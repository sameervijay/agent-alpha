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30936" windowHeight="17496" tabRatio="600" firstSheet="0" activeTab="0" autoFilterDateGrouping="1"/>
  </bookViews>
  <sheets>
    <sheet xmlns:r="http://schemas.openxmlformats.org/officeDocument/2006/relationships" name="Front Page" sheetId="1" state="visible" r:id="rId1"/>
    <sheet xmlns:r="http://schemas.openxmlformats.org/officeDocument/2006/relationships" name="DCF" sheetId="2" state="visible" r:id="rId2"/>
    <sheet xmlns:r="http://schemas.openxmlformats.org/officeDocument/2006/relationships" name="Model" sheetId="3" state="visible" r:id="rId3"/>
    <sheet xmlns:r="http://schemas.openxmlformats.org/officeDocument/2006/relationships" name="Guidance" sheetId="4" state="visible" r:id="rId4"/>
    <sheet xmlns:r="http://schemas.openxmlformats.org/officeDocument/2006/relationships" name="Summary Page" sheetId="5" state="visible" r:id="rId5"/>
    <sheet xmlns:r="http://schemas.openxmlformats.org/officeDocument/2006/relationships" name="Update Log" sheetId="6" state="visible" r:id="rId6"/>
  </sheets>
  <definedNames>
    <definedName name="AA.AlternatePriceSourceStartPeriod">"Q1-2018"</definedName>
    <definedName name="AA.CIK">"1046179"</definedName>
    <definedName name="AA.CompareQuarters.LatestMRQ">"Q3-2024"</definedName>
    <definedName name="AA.CSIN">"M2B13B0184"</definedName>
    <definedName name="AA.CurationVersion">"2023.11.1.0"</definedName>
    <definedName name="AA.DBMacroVersion">"1.0.13.0"</definedName>
    <definedName name="AA.FreeCashFlow">"TRUE"</definedName>
    <definedName name="AA.HardcodeChecker.LatestMRQ">"Q3-2019"</definedName>
    <definedName name="AA.ModelChecks.LatestMRQ">"Q3-2021"</definedName>
    <definedName name="AA.ModelChecks.LatestVersionNumber">"2.38.27.0"</definedName>
    <definedName name="AA.ModelVersion">"FY2025.24"</definedName>
    <definedName name="AA.NonLibraryWideCurationVersion">"4"</definedName>
    <definedName name="AA.PartialUpdate.BsAvailable">"TRUE"</definedName>
    <definedName name="AA.PartialUpdate.CfsAvailable">"TRUE"</definedName>
    <definedName name="AA.PartialUpdate.IsAvailable">"TRUE"</definedName>
    <definedName name="AA.PeriodLayout">"QFY"</definedName>
    <definedName name="AA.PersonalMacro.VersionNumber">"1.5.1.5"</definedName>
    <definedName name="AA.RowNameEnforcerVersion">"2023.11.1.0"</definedName>
    <definedName name="AA.SessionToUploadId">""</definedName>
    <definedName name="AA.StartWorkModelVersion">"FY2025.22"</definedName>
    <definedName name="AA.StartWorkType">""</definedName>
    <definedName name="AA.SubyearType">"Q"</definedName>
    <definedName name="AA.TemplateUpgradeAttempted">"TRUE"</definedName>
    <definedName name="AA.TemplateVersion">"7.5.4.0"</definedName>
    <definedName name="AA.UpdateType">"Partial"</definedName>
    <definedName name="FP.DataSource">'Front Page'!$H$16</definedName>
    <definedName name="FP.DataSourceName">'Front Page'!$H$15</definedName>
    <definedName name="FP.Disclaimer">'Front Page'!$C$22</definedName>
    <definedName name="FP.LastPrice">'Front Page'!$H$20</definedName>
    <definedName name="FP.LastPriceDate">'Front Page'!$F$20</definedName>
    <definedName name="FP.RealTimeToggle">'Front Page'!$H$18</definedName>
    <definedName name="FP.UpdateDate">'Front Page'!$H$11</definedName>
    <definedName name="FP.UpdateEvent">'Front Page'!$H$13</definedName>
    <definedName name="FP_Comment">'Front Page'!$M$13:$P$20</definedName>
    <definedName name="FP_StockPriceOverride">'Front Page'!$C$20:$H$20</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Model!$B$1096</definedName>
    <definedName name="HP.ReportCurrency">Model!$B$1095</definedName>
    <definedName name="HP.Ticker">Model!$A$2</definedName>
    <definedName name="HP.TradeCurrency">Model!$B$1093</definedName>
    <definedName name="HP.TradeCurrency.HardCoded">Model!$B$1094</definedName>
    <definedName name="MO.ApplyTradeCurrencyScaling">Model!$B$1092</definedName>
    <definedName name="MO.CFY">Model!$B$1100</definedName>
    <definedName name="MO.CompanyName">Model!$A$1</definedName>
    <definedName name="MO.DataSourceIndex">Model!$B$1103</definedName>
    <definedName name="MO.DataSourceName">Model!$A$4</definedName>
    <definedName name="MO.FirstForecastedFiscalYear">Model!$B$1101</definedName>
    <definedName name="MO.KPI.1">Model!$A$1003</definedName>
    <definedName name="MO.KPI.10">Model!$A$1012</definedName>
    <definedName name="MO.KPI.11">Model!$A$1013</definedName>
    <definedName name="MO.KPI.12">Model!$A$1014</definedName>
    <definedName name="MO.KPI.13">Model!$A$1015</definedName>
    <definedName name="MO.KPI.14">Model!$A$1016</definedName>
    <definedName name="MO.KPI.15">Model!$A$1017</definedName>
    <definedName name="MO.KPI.16">Model!$A$1018</definedName>
    <definedName name="MO.KPI.17">Model!$A$1019</definedName>
    <definedName name="MO.KPI.18">Model!$A$1020</definedName>
    <definedName name="MO.KPI.19">Model!$A$1021</definedName>
    <definedName name="MO.KPI.2">Model!$A$1004</definedName>
    <definedName name="MO.KPI.20">Model!$A$1022</definedName>
    <definedName name="MO.KPI.21">Model!$A$1023</definedName>
    <definedName name="MO.KPI.22">Model!$A$1024</definedName>
    <definedName name="MO.KPI.23">Model!$A$1025</definedName>
    <definedName name="MO.KPI.3">Model!$A$1005</definedName>
    <definedName name="MO.KPI.4">Model!$A$1006</definedName>
    <definedName name="MO.KPI.5">Model!$A$1007</definedName>
    <definedName name="MO.KPI.6">Model!$A$1008</definedName>
    <definedName name="MO.KPI.7">Model!$A$1009</definedName>
    <definedName name="MO.KPI.8">Model!$A$1010</definedName>
    <definedName name="MO.KPI.9">Model!$A$1011</definedName>
    <definedName name="MO.KPI.Count">Model!$B$1102</definedName>
    <definedName name="MO.LastPrice">Model!$B$3</definedName>
    <definedName name="MO.LastPriceDate">Model!$B$1089</definedName>
    <definedName name="MO.LastPriceFormula">Model!$B$1091</definedName>
    <definedName name="MO.LastPriceHardcoded">Model!$B$1088</definedName>
    <definedName name="MO.MRFP">Model!$B$1099</definedName>
    <definedName name="MO.MRFPColumnNumber">Model!$B$1098</definedName>
    <definedName name="MO.MRFX.Hardcoded">Model!$B$1097</definedName>
    <definedName name="MO.RealTime">Model!$B$4</definedName>
    <definedName name="MO.RealTimeStockPriceToggle">Model!$B$1090</definedName>
    <definedName name="MO.ReportCurrency">Model!$B$1095</definedName>
    <definedName name="MO.ReportFX">Model!$A$5</definedName>
    <definedName name="MO.Ticker">Model!$A$2</definedName>
    <definedName name="MO.Ticker.Bloomberg">Model!$A$982</definedName>
    <definedName name="MO.Ticker.Canalyst">Model!$A$981</definedName>
    <definedName name="MO.Ticker.CapIQ">Model!$A$983</definedName>
    <definedName name="MO.Ticker.FactSet">Model!$A$984</definedName>
    <definedName name="MO.Ticker.Thomson">Model!$A$985</definedName>
    <definedName name="MO.TradingCurrency">Model!$A$3</definedName>
    <definedName name="MO.ValuationToggle">Model!$B$497</definedName>
    <definedName name="MO_AN_DA">Model!$68:$68</definedName>
    <definedName name="MO_AN_DAIntangibles">Model!$76:$76</definedName>
    <definedName name="MO_BS_AccComp_Current">Model!$914:$914</definedName>
    <definedName name="MO_BS_AEandOther">Model!$922:$922</definedName>
    <definedName name="MO_BS_AP">Model!$912:$912</definedName>
    <definedName name="MO_BS_AR">Model!$870:$870</definedName>
    <definedName name="MO_BS_AR_Other">Model!$869:$869</definedName>
    <definedName name="MO_BS_AR_RelatedParties">Model!$868:$868</definedName>
    <definedName name="MO_BS_AR_TR">Model!$867:$867</definedName>
    <definedName name="MO_BS_ARandNR">Model!$870:$870</definedName>
    <definedName name="MO_BS_CA">Model!$876:$876</definedName>
    <definedName name="MO_BS_Cash">Model!$858:$858</definedName>
    <definedName name="MO_BS_CL">Model!$924:$924</definedName>
    <definedName name="MO_BS_CommonStock">Model!$942:$942</definedName>
    <definedName name="MO_BS_ContributedSurplus">Model!$943:$943</definedName>
    <definedName name="MO_BS_FL_NonCurrent">Model!$934:$934</definedName>
    <definedName name="MO_BS_Intangibles">Model!$897:$897</definedName>
    <definedName name="MO_BS_INV">Model!$871:$871</definedName>
    <definedName name="MO_BS_NCA">Model!$901:$901</definedName>
    <definedName name="MO_BS_NCI">Model!$951:$951</definedName>
    <definedName name="MO_BS_NCL">Model!$938:$938</definedName>
    <definedName name="MO_BS_OCI">Model!$949:$949</definedName>
    <definedName name="MO_BS_OL_Current">Model!$921:$921</definedName>
    <definedName name="MO_BS_OL_NonCurrent">Model!$933:$933</definedName>
    <definedName name="MO_BS_PPE">Model!$895:$895</definedName>
    <definedName name="MO_BS_RetainedEarnings">Model!$947:$947</definedName>
    <definedName name="MO_BS_ROU">Model!$896:$896</definedName>
    <definedName name="MO_BS_SE">Model!$950:$950</definedName>
    <definedName name="MO_BS_TA">Model!$902:$902</definedName>
    <definedName name="MO_BS_TaxAssets_Deferred_Current">Model!$874:$874</definedName>
    <definedName name="MO_BS_TaxAssets_Deferred_NonCurrent">Model!$898:$898</definedName>
    <definedName name="MO_BS_TaxLiabilities_Deferred_NonCurrent">Model!$932:$932</definedName>
    <definedName name="MO_BS_TL">Model!$939:$939</definedName>
    <definedName name="MO_BS_TLSE">Model!$952:$952</definedName>
    <definedName name="MO_BS_TreasuryStock">Model!$948:$948</definedName>
    <definedName name="MO_BSS_Cash">Model!$478:$478</definedName>
    <definedName name="MO_BSS_Debt">Model!$481:$481</definedName>
    <definedName name="MO_BSS_Debt_LT">Model!$480:$480</definedName>
    <definedName name="MO_BSS_Debt_Net">Model!$483:$483</definedName>
    <definedName name="MO_BSS_Debt_ST">Model!$479:$479</definedName>
    <definedName name="MO_BSS_Debt_ToCF">Model!$494:$494</definedName>
    <definedName name="MO_BSS_Debt_ToEBITDA">Model!$493:$493</definedName>
    <definedName name="MO_BSS_IE">Model!$485:$485</definedName>
    <definedName name="MO_BSS_IE_Net">Model!$489:$489</definedName>
    <definedName name="MO_BSS_II">Model!$487:$487</definedName>
    <definedName name="MO_BSS_InterestRate_Cash">Model!$488:$488</definedName>
    <definedName name="MO_BSS_InterestRate_Debt">Model!$486:$486</definedName>
    <definedName name="MO_BSS_NetInterestCoverage">Model!$492:$492</definedName>
    <definedName name="MO_BSS_NetInterestRate_Debt">Model!$490:$490</definedName>
    <definedName name="MO_BSS_OL">Model!$482:$482</definedName>
    <definedName name="MO_CCFS_Balance_Begin">Model!$664:$664</definedName>
    <definedName name="MO_CCFS_Balance_End">Model!$665:$665</definedName>
    <definedName name="MO_CCFS_CFF">Model!$658:$658</definedName>
    <definedName name="MO_CCFS_CFI">Model!$632:$632</definedName>
    <definedName name="MO_CCFS_CFO">Model!$588:$588</definedName>
    <definedName name="MO_CCFS_CFO_BeforeWC">Model!$566:$566</definedName>
    <definedName name="MO_CCFS_FX">Model!$661:$661</definedName>
    <definedName name="MO_CCFS_NetChange">Model!$662:$662</definedName>
    <definedName name="MO_CCFS_Sup_CashInterest">Model!$669:$669</definedName>
    <definedName name="MO_CCFS_Sup_CashTax">Model!$670:$670</definedName>
    <definedName name="MO_CFS_Amortization">Model!$678:$678</definedName>
    <definedName name="MO_CFS_Balance_Begin">Model!$813:$813</definedName>
    <definedName name="MO_CFS_Balance_End">Model!$814:$814</definedName>
    <definedName name="MO_CFS_Buyback">Model!$803:$803</definedName>
    <definedName name="MO_CFS_CFF">Model!$807:$807</definedName>
    <definedName name="MO_CFS_CFI">Model!$781:$781</definedName>
    <definedName name="MO_CFS_CFO">Model!$737:$737</definedName>
    <definedName name="MO_CFS_CFO_BeforeWC">Model!$715:$715</definedName>
    <definedName name="MO_CFS_DeferredTax">Model!$712:$712</definedName>
    <definedName name="MO_CFS_Depreciation">Model!$677:$677</definedName>
    <definedName name="MO_CFS_Dividend">Model!$801:$801</definedName>
    <definedName name="MO_CFS_FX">Model!$810:$810</definedName>
    <definedName name="MO_CFS_Impairment_Intangibles">Model!$695:$695</definedName>
    <definedName name="MO_CFS_NetChange">Model!$811:$811</definedName>
    <definedName name="MO_CFS_SBC">Model!$687:$687</definedName>
    <definedName name="MO_CFS_Sup_CashInterest">Model!$818:$818</definedName>
    <definedName name="MO_CFS_Sup_CashTax">Model!$819:$819</definedName>
    <definedName name="MO_CFS_WC">Model!$735:$735</definedName>
    <definedName name="MO_CFS_WC_AccComp">Model!$729:$729</definedName>
    <definedName name="MO_CFS_WC_AEandOther">Model!$730:$730</definedName>
    <definedName name="MO_CFS_WC_AP">Model!$725:$725</definedName>
    <definedName name="MO_CFS_WC_ARandNR">Model!$717:$717</definedName>
    <definedName name="MO_CFS_WC_INV">Model!$720:$720</definedName>
    <definedName name="MO_CFS_WC_PrepaidExpensesAndOther">Model!$721:$721</definedName>
    <definedName name="MO_CFS_WC_TaxPayable">Model!$727:$727</definedName>
    <definedName name="MO_CFSum_Acquisition">Model!$459:$459</definedName>
    <definedName name="MO_CFSum_Capex">Model!$457:$457</definedName>
    <definedName name="MO_CFSum_CFO">Model!$453:$453</definedName>
    <definedName name="MO_CFSum_CFO_BeforeWC">Model!$451:$451</definedName>
    <definedName name="MO_CFSum_CFOPS">Model!$455:$455</definedName>
    <definedName name="MO_CFSum_CFOPS_BeforeWC">Model!$454:$454</definedName>
    <definedName name="MO_CFSum_CFPS">Model!$455:$455</definedName>
    <definedName name="MO_CFSum_ChangeInWC">Model!$452:$452</definedName>
    <definedName name="MO_CFSum_Divestiture">Model!$460:$460</definedName>
    <definedName name="MO_CFSum_Dividend">Model!$461:$461</definedName>
    <definedName name="MO_CFSum_DPS">Model!$462:$462</definedName>
    <definedName name="MO_CFSum_FCF_PostDivPostAD">Model!$470:$470</definedName>
    <definedName name="MO_CFSum_FCF_PostDivPostADPostDebtPostBuyback">Model!$471:$471</definedName>
    <definedName name="MO_CFSum_FCF_PostDivPreAD">Model!$469:$469</definedName>
    <definedName name="MO_CFSum_FCF_PostWCPostDivPostAD">Model!$474:$474</definedName>
    <definedName name="MO_CFSum_FCF_PostWCPostDivPostADPostDebtPostBuyback">Model!$475:$475</definedName>
    <definedName name="MO_CFSum_FCF_PostWCPostDivPreAD">Model!$473:$473</definedName>
    <definedName name="MO_CFSum_FCF_PostWCPreDiv">Model!$472:$472</definedName>
    <definedName name="MO_CFSum_FCF_PreDiv">Model!$468:$468</definedName>
    <definedName name="MO_CFSum_NetDebtIssuance">Model!$464:$464</definedName>
    <definedName name="MO_CFSum_NetShares">Model!$465:$465</definedName>
    <definedName name="MO_CFSum_NetShares_Price">Model!$466:$466</definedName>
    <definedName name="MO_Checks_Bottom">Model!$C$957:$XFD$976</definedName>
    <definedName name="MO_Checks_BS">Model!$954:$954</definedName>
    <definedName name="MO_Checks_CF">Model!$821:$821</definedName>
    <definedName name="MO_Checks_IS">Model!$366:$366</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Model!$1082:$1082</definedName>
    <definedName name="MO_DAF_A">Model!$842:$842</definedName>
    <definedName name="MO_DAF_A_Percentage">Model!$848:$848</definedName>
    <definedName name="MO_DAF_Capex">Model!$853:$853</definedName>
    <definedName name="MO_DAF_D">Model!$836:$836</definedName>
    <definedName name="MO_DAF_D_Percentage">Model!$847:$847</definedName>
    <definedName name="MO_DAF_DA">Model!$852:$852</definedName>
    <definedName name="MO_DAF_Intangibles_BoP">Model!$841:$841</definedName>
    <definedName name="MO_DAF_Intangibles_Capex">Model!$843:$843</definedName>
    <definedName name="MO_DAF_Intangibles_Capex_Percent">Model!$854:$854</definedName>
    <definedName name="MO_DAF_Intangibles_EoP">Model!$845:$845</definedName>
    <definedName name="MO_DAF_Intangibles_Life">Model!$850:$850</definedName>
    <definedName name="MO_DAF_Intangibles_Other">Model!$844:$844</definedName>
    <definedName name="MO_DAF_PPE_BoP">Model!$835:$835</definedName>
    <definedName name="MO_DAF_PPE_Capex">Model!$837:$837</definedName>
    <definedName name="MO_DAF_PPE_EoP">Model!$839:$839</definedName>
    <definedName name="MO_DAF_PPE_Life">Model!$849:$849</definedName>
    <definedName name="MO_DAF_PPE_Other">Model!$838:$838</definedName>
    <definedName name="MO_GA_REV_SEMI">Model!$28:$28</definedName>
    <definedName name="MO_GA_REV_SEMI_Auto">Model!$18:$18</definedName>
    <definedName name="MO_GA_REV_SEMI_Comp">Model!$12:$12</definedName>
    <definedName name="MO_GA_REV_SEMI_Cons">Model!$21:$21</definedName>
    <definedName name="MO_GA_REV_SEMI_IoT">Model!$15:$15</definedName>
    <definedName name="MO_GA_REV_SEMI_Mobile">Model!$9:$9</definedName>
    <definedName name="MO_GA_TotalRevenue">Model!$28:$28</definedName>
    <definedName name="MO_IS_COGS">Model!$323:$323</definedName>
    <definedName name="MO_IS_EBIT">Model!$333:$333</definedName>
    <definedName name="MO_IS_EBT">Model!$358:$358</definedName>
    <definedName name="MO_IS_EI">Model!$334:$334</definedName>
    <definedName name="MO_IS_FirstRow">Model!$322:$322</definedName>
    <definedName name="MO_IS_GA">Model!$328:$328</definedName>
    <definedName name="MO_IS_GP">Model!$326:$326</definedName>
    <definedName name="MO_IS_IE">Model!$344:$344</definedName>
    <definedName name="MO_IS_II">Model!$336:$336</definedName>
    <definedName name="MO_IS_NCI">Model!$363:$363</definedName>
    <definedName name="MO_IS_NI_ContinOp">Model!$362:$362</definedName>
    <definedName name="MO_IS_OPEX">Model!$331:$331</definedName>
    <definedName name="MO_IS_RD">Model!$327:$327</definedName>
    <definedName name="MO_IS_REV">Model!$322:$322</definedName>
    <definedName name="MO_IS_SGA">Model!$330:$330</definedName>
    <definedName name="MO_IS_SM">Model!$329:$329</definedName>
    <definedName name="MO_IS_Tax">Model!$361:$361</definedName>
    <definedName name="MO_KPI_EmployeeCount">Model!$240:$240</definedName>
    <definedName name="MO_KPI_REV_Geo_China">Model!$136:$136</definedName>
    <definedName name="MO_KPI_REV_Geo_Japan">Model!$139:$139</definedName>
    <definedName name="MO_KPI_REV_Geo_Taiwan">Model!$134:$134</definedName>
    <definedName name="MO_KPI_REV_Geo_US">Model!$135:$135</definedName>
    <definedName name="MO_KPI_REV_SEMI">Model!$121:$121</definedName>
    <definedName name="MO_KPI_REV_SEMI_Auto">Model!$16:$16</definedName>
    <definedName name="MO_KPI_REV_SEMI_Auto_Growth">Model!$18:$18</definedName>
    <definedName name="MO_KPI_REV_SEMI_Comp">Model!$10:$10</definedName>
    <definedName name="MO_KPI_REV_SEMI_Comp_Growth">Model!$12:$12</definedName>
    <definedName name="MO_KPI_REV_SEMI_Cons">Model!$19:$19</definedName>
    <definedName name="MO_KPI_REV_SEMI_Cons_Growth">Model!$21:$21</definedName>
    <definedName name="MO_KPI_REV_SEMI_Growth">Model!$28:$28</definedName>
    <definedName name="MO_KPI_REV_SEMI_IoT">Model!$13:$13</definedName>
    <definedName name="MO_KPI_REV_SEMI_IoT_Growth">Model!$15:$15</definedName>
    <definedName name="MO_KPI_REV_SEMI_Mobile">Model!$7:$7</definedName>
    <definedName name="MO_KPI_REV_SEMI_Mobile_Growth">Model!$9:$9</definedName>
    <definedName name="MO_KPI_REV_SEMI_Other">Model!$22:$22</definedName>
    <definedName name="MO_KPI_REV_SEMI_Products">Model!$119:$119</definedName>
    <definedName name="MO_KPI_REV_SEMI_Royalty">Model!$120:$120</definedName>
    <definedName name="MO_KPI_RevenueContribution_LargestClient">Model!$178:$178</definedName>
    <definedName name="MO_KPI_RevenueContribution_SecondLargestClient">Model!$179:$179</definedName>
    <definedName name="MO_MA_COGS">Model!$302:$302</definedName>
    <definedName name="MO_MA_DA">Model!$315:$315</definedName>
    <definedName name="MO_MA_EBIT">Model!$311:$311</definedName>
    <definedName name="MO_MA_EBIT_Adj">Model!$312:$312</definedName>
    <definedName name="MO_MA_EBITDA">Model!$317:$317</definedName>
    <definedName name="MO_MA_EBITDA_Adj">Model!$318:$318</definedName>
    <definedName name="MO_MA_GA">Model!$307:$307</definedName>
    <definedName name="MO_MA_GM">Model!$303:$303</definedName>
    <definedName name="MO_MA_OI_Operating">Model!$310:$310</definedName>
    <definedName name="MO_MA_RD">Model!$306:$306</definedName>
    <definedName name="MO_MA_SBC">Model!$316:$316</definedName>
    <definedName name="MO_MA_SGA">Model!$309:$309</definedName>
    <definedName name="MO_MA_SM">Model!$308:$308</definedName>
    <definedName name="MO_OS_EmployeeCount">Model!$240:$240</definedName>
    <definedName name="MO_OS_REV_SEMI">Model!$121:$121</definedName>
    <definedName name="MO_OS_REV_SEMI_Products">Model!$119:$119</definedName>
    <definedName name="MO_OS_REV_SEMI_Royalty">Model!$120:$120</definedName>
    <definedName name="MO_OS_RevenueContribution_LargestClient">Model!$178:$178</definedName>
    <definedName name="MO_OS_RevenueContribution_SecondLargestClient">Model!$179:$179</definedName>
    <definedName name="MO_RIS_Adjustments_Dilution_GAAP">Model!$403:$403</definedName>
    <definedName name="MO_RIS_Adjustments_Dilution_NONGAAP">Model!$406:$406</definedName>
    <definedName name="MO_RIS_Adjustments_NONGAAP">Model!$405:$405</definedName>
    <definedName name="MO_RIS_COGS">Model!$372:$372</definedName>
    <definedName name="MO_RIS_DA">Model!$384:$384</definedName>
    <definedName name="MO_RIS_DisCont">Model!$399:$399</definedName>
    <definedName name="MO_RIS_Dividend_Prefs">Model!$401:$401</definedName>
    <definedName name="MO_RIS_EBIT">Model!$380:$380</definedName>
    <definedName name="MO_RIS_EBIT_Adj">Model!$381:$381</definedName>
    <definedName name="MO_RIS_EBITDA">Model!$386:$386</definedName>
    <definedName name="MO_RIS_EBITDA_Adj">Model!$387:$387</definedName>
    <definedName name="MO_RIS_EBT">Model!$394:$394</definedName>
    <definedName name="MO_RIS_EI">Model!$391:$391</definedName>
    <definedName name="MO_RIS_EPS_WAB">Model!$416:$416</definedName>
    <definedName name="MO_RIS_EPS_WAD">Model!$417:$417</definedName>
    <definedName name="MO_RIS_EPS_WAD_Adj">Model!$418:$418</definedName>
    <definedName name="MO_RIS_GA">Model!$376:$376</definedName>
    <definedName name="MO_RIS_GP">Model!$373:$373</definedName>
    <definedName name="MO_RIS_IE">Model!$390:$390</definedName>
    <definedName name="MO_RIS_IE_Net">Model!$390:$390</definedName>
    <definedName name="MO_RIS_NCI">Model!$400:$400</definedName>
    <definedName name="MO_RIS_NI_ContinOp">Model!$398:$398</definedName>
    <definedName name="MO_RIS_NI_GAAP_Basic">Model!$402:$402</definedName>
    <definedName name="MO_RIS_NI_GAAP_Diluted">Model!$404:$404</definedName>
    <definedName name="MO_RIS_NI_NONGAAP_Diluted">Model!$407:$407</definedName>
    <definedName name="MO_RIS_OI">Model!$392:$392</definedName>
    <definedName name="MO_RIS_OI_Operating">Model!$379:$379</definedName>
    <definedName name="MO_RIS_OPEX">Model!$379:$379</definedName>
    <definedName name="MO_RIS_OTI">Model!$393:$393</definedName>
    <definedName name="MO_RIS_RD">Model!$375:$375</definedName>
    <definedName name="MO_RIS_REV">Model!$369:$369</definedName>
    <definedName name="MO_RIS_SBC">Model!$385:$385</definedName>
    <definedName name="MO_RIS_SGA">Model!$378:$378</definedName>
    <definedName name="MO_RIS_ShareCount_WAB">Model!$425:$425</definedName>
    <definedName name="MO_RIS_ShareCount_WAD">Model!$426:$426</definedName>
    <definedName name="MO_RIS_ShareCount_WAD_Adj">Model!$427:$427</definedName>
    <definedName name="MO_RIS_SharePerADR_Ratio">Model!$430:$430</definedName>
    <definedName name="MO_RIS_SM">Model!$377:$377</definedName>
    <definedName name="MO_RIS_Tax_Current">Model!$396:$396</definedName>
    <definedName name="MO_RIS_Tax_Deferred">Model!$397:$397</definedName>
    <definedName name="MO_RIS_TaxRate_Current">Model!$409:$409</definedName>
    <definedName name="MO_RIS_TaxRate_Deferred">Model!$410:$410</definedName>
    <definedName name="MO_SCA_ConversionRatio_ADR">Model!$430:$430</definedName>
    <definedName name="MO_SCA_Date_CoverPage">Model!$443:$443</definedName>
    <definedName name="MO_SCA_Ratio_DilutedOverBasic">Model!$446:$446</definedName>
    <definedName name="MO_SCA_ShareCount_CoverPage">Model!$442:$442</definedName>
    <definedName name="MO_SCA_ShareCount_CoverPage_Class1">Model!$442:$442</definedName>
    <definedName name="MO_SCA_ShareCount_CoverPage_Ticker1">Model!$442:$442</definedName>
    <definedName name="MO_SCA_ShareCount_DilutiveShares">Model!$445:$445</definedName>
    <definedName name="MO_SCA_ShareCount_EoP">Model!$433:$433</definedName>
    <definedName name="MO_SCA_ShareCount_EoP_Class1">Model!$433:$433</definedName>
    <definedName name="MO_SCA_ShareCount_EoP_Diluted">Model!$448:$448</definedName>
    <definedName name="MO_SCA_ShareCount_EoP_Growth_Dilutive_QoQ">Model!$434:$434</definedName>
    <definedName name="MO_SCA_ShareCount_EoP_Growth_Dilutive_YoY">Model!$435:$435</definedName>
    <definedName name="MO_SCA_ShareCount_EoP_Growth_NetIssuance_QoQ">Model!$436:$436</definedName>
    <definedName name="MO_SCA_ShareCount_EoP_Growth_NetIssuance_YoY">Model!$437:$437</definedName>
    <definedName name="MO_SCA_ShareCount_EoP_Growth_QoQ">Model!$438:$438</definedName>
    <definedName name="MO_SCA_ShareCount_EoP_Growth_YoY">Model!$439:$439</definedName>
    <definedName name="MO_SCA_ShareCount_EoP_Ticker1">Model!$433:$433</definedName>
    <definedName name="MO_Section_BalanceSheet">Model!$856:$856</definedName>
    <definedName name="MO_Section_BalanceSheetSummary">Model!$477:$477</definedName>
    <definedName name="MO_Section_CashFlowStatement">Model!$672:$672</definedName>
    <definedName name="MO_Section_CashFlowSummary">Model!$450:$450</definedName>
    <definedName name="MO_Section_CumulativeCashFlowStatement">Model!$523:$523</definedName>
    <definedName name="MO_Section_DABreakdownFS">Model!$64:$64</definedName>
    <definedName name="MO_Section_DAForecasting">Model!$834:$834</definedName>
    <definedName name="MO_Section_GrowthAnalysis">Model!$6:$6</definedName>
    <definedName name="MO_Section_HistoricalResults">Model!$260:$260</definedName>
    <definedName name="MO_Section_IncomeStatement">Model!$321:$321</definedName>
    <definedName name="MO_Section_KeyMetricsAIProcessorsRevenueCC">Model!$182:$182</definedName>
    <definedName name="MO_Section_KeyMetricsBreakdownbySemiconductorTypeFSHISTORICAL">Model!$280:$280</definedName>
    <definedName name="MO_Section_KeyMetricsCapacityUtilizationFSSI">Model!$123:$123</definedName>
    <definedName name="MO_Section_KeyMetricsCompanyReportedForeignExchangeRateFS">Model!$256:$256</definedName>
    <definedName name="MO_Section_KeyMetricsEmployees">Model!$235:$235</definedName>
    <definedName name="MO_Section_KeyMetricsFabStatsFS">Model!$188:$188</definedName>
    <definedName name="MO_Section_KeyMetricsMajorCustomerswithRevenues10FS">Model!$177:$177</definedName>
    <definedName name="MO_Section_KeyMetricsUSDMetricsFSSI">Model!$79:$79</definedName>
    <definedName name="MO_Section_LastRow">Model!$1105:$1105</definedName>
    <definedName name="MO_Section_MarginAnalysis">Model!$301:$301</definedName>
    <definedName name="MO_Section_ModelChecks">Model!$956:$956</definedName>
    <definedName name="MO_Section_OperatingExpenseForecasting">Model!$33:$33</definedName>
    <definedName name="MO_Section_RevisedIncomeStatement">Model!$368:$368</definedName>
    <definedName name="MO_Section_SegmentedResultsGeographicBreakdownFS">Model!$261:$261</definedName>
    <definedName name="MO_Section_SegmentedResultsGeographicBreakdownFSSIIR">Model!$133:$133</definedName>
    <definedName name="MO_Section_SegmentedResultsRevenueBreakdownbyCustomerTypeFSHISTORICAL">Model!$274:$274</definedName>
    <definedName name="MO_Section_SegmentedResultsRevenueBreakdownbyProcessNodeFSIRSI">Model!$88:$88</definedName>
    <definedName name="MO_Section_SegmentedResultsRevenueBreakdownFS">Model!$296:$296</definedName>
    <definedName name="MO_Section_ShareCountAnalysis">Model!$429:$429</definedName>
    <definedName name="MO_Section_SupplementalInformation">Model!$78:$78</definedName>
    <definedName name="MO_Section_Tables">Model!$978:$978</definedName>
    <definedName name="MO_Section_Valuation">Model!$496:$496</definedName>
    <definedName name="MO_Section_WorkingCapitalForecasting">Model!$823:$823</definedName>
    <definedName name="MO_SNA_ConsensusEstimatePeriodNumber">Model!$1041:$1041</definedName>
    <definedName name="MO_SNA_ConsensusEstimatePeriodType">Model!$1040:$1040</definedName>
    <definedName name="MO_SNA_FPStartDate">Model!$1052:$1052</definedName>
    <definedName name="MO_SNA_Guidance_ApplicablePeriod_FY">Model!$1036:$1036</definedName>
    <definedName name="MO_SNA_Guidance_ApplicablePeriod_Q">Model!$1030:$1030</definedName>
    <definedName name="MO_SNA_Guidance_IsLatest_FY">Model!$1035:$1035</definedName>
    <definedName name="MO_SNA_Guidance_ReportDate_FY">Model!$1034:$1034</definedName>
    <definedName name="MO_SNA_Guidance_ReportDate_Q">Model!$1029:$1029</definedName>
    <definedName name="MO_SNA_IsHistoricalPeriod">Model!$1053:$1053</definedName>
    <definedName name="MO_SNA_LastDataRow">Model!$952:$952</definedName>
    <definedName name="MO_SPT_FXAverage">Model!$1075:$1075</definedName>
    <definedName name="MO_SPT_FXAverage_Sources">Model!$1076:$1080</definedName>
    <definedName name="MO_SPT_FXAverage_Sources_Bloomberg">Model!$1077:$1077</definedName>
    <definedName name="MO_SPT_FXAverage_Sources_CapIQ">Model!$1078:$1078</definedName>
    <definedName name="MO_SPT_FXAverage_Sources_FactSet">Model!$1079:$1079</definedName>
    <definedName name="MO_SPT_FXAverage_Sources_RealTimeOff">Model!$1076:$1076</definedName>
    <definedName name="MO_SPT_FXAverage_Sources_Thomson">Model!$1080:$1080</definedName>
    <definedName name="MO_SPT_FXEoP">Model!$1084:$1084</definedName>
    <definedName name="MO_SPT_StockAverage">Model!$1068:$1068</definedName>
    <definedName name="MO_SPT_StockAverage_Sources">Model!$1069:$1073</definedName>
    <definedName name="MO_SPT_StockAverage_Sources_Bloomberg">Model!$1070:$1070</definedName>
    <definedName name="MO_SPT_StockAverage_Sources_CapIQ">Model!$1071:$1071</definedName>
    <definedName name="MO_SPT_StockAverage_Sources_FactSet">Model!$1072:$1072</definedName>
    <definedName name="MO_SPT_StockAverage_Sources_RealTimeOff">Model!$1069:$1069</definedName>
    <definedName name="MO_SPT_StockAverage_Sources_Thomson">Model!$1073:$1073</definedName>
    <definedName name="MO_SPT_StockEoP">Model!$1083:$1083</definedName>
    <definedName name="MO_SPT_StockHigh">Model!$1054:$1054</definedName>
    <definedName name="MO_SPT_StockHigh_Sources">Model!$1055:$1059</definedName>
    <definedName name="MO_SPT_StockHigh_Sources_Bloomberg">Model!$1056:$1056</definedName>
    <definedName name="MO_SPT_StockHigh_Sources_CapIQ">Model!$1057:$1057</definedName>
    <definedName name="MO_SPT_StockHigh_Sources_FactSet">Model!$1058:$1058</definedName>
    <definedName name="MO_SPT_StockHigh_Sources_RealTimeOff">Model!$1055:$1055</definedName>
    <definedName name="MO_SPT_StockHigh_Sources_Thomson">Model!$1059:$1059</definedName>
    <definedName name="MO_SPT_StockLow">Model!$1061:$1061</definedName>
    <definedName name="MO_SPT_StockLow_Sources">Model!$1062:$1066</definedName>
    <definedName name="MO_SPT_StockLow_Sources_Bloomberg">Model!$1063:$1063</definedName>
    <definedName name="MO_SPT_StockLow_Sources_CapIQ">Model!$1064:$1064</definedName>
    <definedName name="MO_SPT_StockLow_Sources_FactSet">Model!$1065:$1065</definedName>
    <definedName name="MO_SPT_StockLow_Sources_RealTimeOff">Model!$1062:$1062</definedName>
    <definedName name="MO_SPT_StockLow_Sources_Thomson">Model!$1066:$1066</definedName>
    <definedName name="MO_SR_Geo_China">Model!$136:$136</definedName>
    <definedName name="MO_SR_Geo_Japan">Model!$139:$139</definedName>
    <definedName name="MO_SR_Geo_Taiwan">Model!$134:$134</definedName>
    <definedName name="MO_SR_Geo_US">Model!$135:$135</definedName>
    <definedName name="MO_SR_SEMI_Auto">Model!$16:$16</definedName>
    <definedName name="MO_SR_SEMI_Comp">Model!$10:$10</definedName>
    <definedName name="MO_SR_SEMI_Cons">Model!$19:$19</definedName>
    <definedName name="MO_SR_SEMI_IoT">Model!$13:$13</definedName>
    <definedName name="MO_SR_SEMI_Mobile">Model!$7:$7</definedName>
    <definedName name="MO_SR_SEMI_Other">Model!$22:$22</definedName>
    <definedName name="MO_SubSection_BS_CA">Model!$857:$857</definedName>
    <definedName name="MO_SubSection_BS_CL">Model!$904:$904</definedName>
    <definedName name="MO_SubSection_BS_NCA">Model!$878:$878</definedName>
    <definedName name="MO_SubSection_BS_NCL">Model!$926:$926</definedName>
    <definedName name="MO_SubSection_BS_SE">Model!$941:$941</definedName>
    <definedName name="MO_SubSection_CCFS_CFF">Model!$634:$634</definedName>
    <definedName name="MO_SubSection_CCFS_CFI">Model!$590:$590</definedName>
    <definedName name="MO_SubSection_CCFS_CFO">Model!$524:$524</definedName>
    <definedName name="MO_SubSection_CFS_CFF">Model!$783:$783</definedName>
    <definedName name="MO_SubSection_CFS_CFI">Model!$739:$739</definedName>
    <definedName name="MO_SubSection_CFS_CFO">Model!$673:$673</definedName>
    <definedName name="MO_VA_EV">Model!$500:$500</definedName>
    <definedName name="MO_VA_EV_ToEBITDA">Model!$503:$503</definedName>
    <definedName name="MO_VA_EVCalc_NCI">Model!$519:$519</definedName>
    <definedName name="MO_VA_EVCalc_Other">Model!$521:$521</definedName>
    <definedName name="MO_VA_EVCalc_Prefs">Model!$520:$520</definedName>
    <definedName name="MO_VA_FCFYield_ToEV">Model!$506:$506</definedName>
    <definedName name="MO_VA_FCFYield_ToMktCap">Model!$505:$505</definedName>
    <definedName name="MO_VA_FX_Average">Model!$512:$512</definedName>
    <definedName name="MO_VA_FX_AVG">Model!$515:$515</definedName>
    <definedName name="MO_VA_FX_EoP">Model!$513:$513</definedName>
    <definedName name="MO_VA_MarketCap">Model!$499:$499</definedName>
    <definedName name="MO_VA_P_ToCF">Model!$504:$504</definedName>
    <definedName name="MO_VA_P_ToE">Model!$502:$502</definedName>
    <definedName name="MO_VA_StockPrice">Model!$498:$498</definedName>
    <definedName name="MO_VA_StockPrice_Avg">Model!$510:$510</definedName>
    <definedName name="MO_VA_StockPrice_EoP">Model!$511:$511</definedName>
    <definedName name="MO_VA_StockPrice_High">Model!$508:$508</definedName>
    <definedName name="MO_VA_StockPrice_Low">Model!$509:$509</definedName>
    <definedName name="MO_VA_StockPrice_TradingCurrency">Model!$497:$497</definedName>
    <definedName name="MO_WCF_AR_Margin">Model!$824:$824</definedName>
    <definedName name="MO_WCF_AR_Margin_Change">Model!$829:$829</definedName>
    <definedName name="MO_WCF_INV_Margin">Model!$825:$825</definedName>
    <definedName name="MO_WCF_INV_Margin_Change">Model!$830:$830</definedName>
    <definedName name="SP.CompanyName">'Summary Page'!$A$1</definedName>
    <definedName name="SP.ReportFX">'Summary Page'!$B$2</definedName>
    <definedName name="SP.ValuationToggle">'Summary Page'!$B$4</definedName>
    <definedName name="SP_BSR_Capital">'Summary Page'!$85:$85</definedName>
    <definedName name="SP_BSR_CashFlow">'Summary Page'!$84:$84</definedName>
    <definedName name="SP_BSR_CashFlow_LTM">'Summary Page'!$87:$87</definedName>
    <definedName name="SP_BSR_CL">'Summary Page'!$106:$106</definedName>
    <definedName name="SP_BSR_CL_Avg">'Summary Page'!$107:$107</definedName>
    <definedName name="SP_BSR_Debt">'Summary Page'!$100:$100</definedName>
    <definedName name="SP_BSR_Debt_Avg">'Summary Page'!$101:$101</definedName>
    <definedName name="SP_BSR_EBITDA">'Summary Page'!$83:$83</definedName>
    <definedName name="SP_BSR_EBITDA_LTM">'Summary Page'!$86:$86</definedName>
    <definedName name="SP_BSR_SE">'Summary Page'!$92:$92</definedName>
    <definedName name="SP_BSR_SE_Avg">'Summary Page'!$93:$93</definedName>
    <definedName name="SP_BSR_TA">'Summary Page'!$97:$97</definedName>
    <definedName name="SP_BSR_TA_Avg">'Summary Page'!$98:$98</definedName>
    <definedName name="SP_CFA_Acquisition">'Summary Page'!$69:$69</definedName>
    <definedName name="SP_CFA_Capex">'Summary Page'!$65:$65</definedName>
    <definedName name="SP_CFA_CFO">'Summary Page'!$64:$64</definedName>
    <definedName name="SP_CFA_CFO_BeforeWC">'Summary Page'!$62:$62</definedName>
    <definedName name="SP_CFA_CFO_PerShare">'Summary Page'!$76:$76</definedName>
    <definedName name="SP_CFA_Debt">'Summary Page'!$72:$72</definedName>
    <definedName name="SP_CFA_Div">'Summary Page'!$67:$67</definedName>
    <definedName name="SP_CFA_Div_PerShare">'Summary Page'!$78:$78</definedName>
    <definedName name="SP_CFA_Divestiture">'Summary Page'!$70:$70</definedName>
    <definedName name="SP_CFA_Equity">'Summary Page'!$71:$71</definedName>
    <definedName name="SP_CFA_FCF_PerShare">'Summary Page'!$77:$77</definedName>
    <definedName name="SP_CFA_FCF_PostDiv">'Summary Page'!$68:$68</definedName>
    <definedName name="SP_CFA_FCF_PreDiv">'Summary Page'!$66:$66</definedName>
    <definedName name="SP_CFA_NetChange">'Summary Page'!$74:$74</definedName>
    <definedName name="SP_CFA_Other">'Summary Page'!$73:$73</definedName>
    <definedName name="SP_CFA_Payout_vsEPS">'Summary Page'!$80:$80</definedName>
    <definedName name="SP_CFA_Payout_vsFCF">'Summary Page'!$79:$79</definedName>
    <definedName name="SP_CFA_WC">'Summary Page'!$63:$63</definedName>
    <definedName name="SP_Checks_SummaryPage">'Summary Page'!$C$127:$XFD$132</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_EoP_Diluted">'Summary Page'!$5:$5</definedName>
    <definedName name="SP_CS_StockPrice">'Summary Page'!$4:$4</definedName>
    <definedName name="SP_GF_Adjustments_Dilution">'Summary Page'!$38:$38</definedName>
    <definedName name="SP_GF_COGS">'Summary Page'!$24:$24</definedName>
    <definedName name="SP_GF_DisCont">'Summary Page'!$34:$34</definedName>
    <definedName name="SP_GF_Div_Prefs">'Summary Page'!$36:$36</definedName>
    <definedName name="SP_GF_EBIT">'Summary Page'!$28:$28</definedName>
    <definedName name="SP_GF_EBT">'Summary Page'!$32:$32</definedName>
    <definedName name="SP_GF_EI">'Summary Page'!$30:$30</definedName>
    <definedName name="SP_GF_EPS_WAD">'Summary Page'!$40:$40</definedName>
    <definedName name="SP_GF_IE">'Summary Page'!$29:$29</definedName>
    <definedName name="SP_GF_IE_Net">'Summary Page'!$29:$29</definedName>
    <definedName name="SP_GF_NCI">'Summary Page'!$35:$35</definedName>
    <definedName name="SP_GF_NI">'Summary Page'!$37:$37</definedName>
    <definedName name="SP_GF_NI_Diluted">'Summary Page'!$39:$39</definedName>
    <definedName name="SP_GF_OI">'Summary Page'!$31:$31</definedName>
    <definedName name="SP_GF_OI_Operating">'Summary Page'!$27:$27</definedName>
    <definedName name="SP_GF_RD">'Summary Page'!$26:$26</definedName>
    <definedName name="SP_GF_Rev">'Summary Page'!$23:$23</definedName>
    <definedName name="SP_GF_SGA">'Summary Page'!$25:$25</definedName>
    <definedName name="SP_GF_ShareCount">'Summary Page'!$41:$41</definedName>
    <definedName name="SP_GF_Tax">'Summary Page'!$33:$33</definedName>
    <definedName name="SP_MA_COGS_adj">'Summary Page'!$50:$50</definedName>
    <definedName name="SP_MA_EBIT">'Summary Page'!$56:$56</definedName>
    <definedName name="SP_MA_EBIT_Adj">'Summary Page'!$57:$57</definedName>
    <definedName name="SP_MA_EBITDA">'Summary Page'!$58:$58</definedName>
    <definedName name="SP_MA_EBITDA_Adj">'Summary Page'!$59:$59</definedName>
    <definedName name="SP_MA_GA">'Summary Page'!$51:$51</definedName>
    <definedName name="SP_MA_OI_Operating">'Summary Page'!$55:$55</definedName>
    <definedName name="SP_MA_RD">'Summary Page'!$54:$54</definedName>
    <definedName name="SP_MA_SBC">'Summary Page'!$54:$54</definedName>
    <definedName name="SP_MA_SGA_adj">'Summary Page'!$53:$53</definedName>
    <definedName name="SP_MA_SM">'Summary Page'!$52:$52</definedName>
    <definedName name="SP_NGF_EBIT">'Summary Page'!$45:$45</definedName>
    <definedName name="SP_NGF_EBITDA">'Summary Page'!$44:$44</definedName>
    <definedName name="SP_NGF_EPS">'Summary Page'!$47:$47</definedName>
    <definedName name="SP_NGF_NI">'Summary Page'!$46:$46</definedName>
    <definedName name="SP_PR_ROA">'Summary Page'!$99:$99</definedName>
    <definedName name="SP_PR_ROCE">'Summary Page'!$109:$109</definedName>
    <definedName name="SP_PR_ROE">'Summary Page'!$94:$94</definedName>
    <definedName name="SP_PR_ROIC">'Summary Page'!$103:$103</definedName>
    <definedName name="SP_PSGM_CFO">'Summary Page'!$115:$115</definedName>
    <definedName name="SP_PSGM_EBITDA_Adj">'Summary Page'!$113:$113</definedName>
    <definedName name="SP_PSGM_FCF">'Summary Page'!$116:$116</definedName>
    <definedName name="SP_PSGM_NI_Adj">'Summary Page'!$114:$114</definedName>
    <definedName name="SP_PSGM_Revenue">'Summary Page'!$112:$112</definedName>
    <definedName name="SP_Section_BalanceSheetRatios">'Summary Page'!$82:$82</definedName>
    <definedName name="SP_Section_CapitalizationSummary">'Summary Page'!$3:$3</definedName>
    <definedName name="SP_Section_CashFlowAnalysis">'Summary Page'!$61:$61</definedName>
    <definedName name="SP_Section_Checks">'Summary Page'!$126:$126</definedName>
    <definedName name="SP_Section_CompanySpecificOperationalData">'Summary Page'!$13:$13</definedName>
    <definedName name="SP_Section_GAAPFinancials">'Summary Page'!$22:$22</definedName>
    <definedName name="SP_Section_LastRow">'Summary Page'!$134:$134</definedName>
    <definedName name="SP_Section_MarginAnalysis">'Summary Page'!$49:$49</definedName>
    <definedName name="SP_Section_NonGAAPFinancials">'Summary Page'!$43:$43</definedName>
    <definedName name="SP_Section_PerShareGrowthMetrics">'Summary Page'!$111:$111</definedName>
    <definedName name="SP_Section_ProfitabilityRatios">'Summary Page'!$89:$89</definedName>
    <definedName name="SP_Section_ValuationMetrics">'Summary Page'!$118:$118</definedName>
    <definedName name="SP_VM_EV_ToEBITDA">'Summary Page'!$121:$121</definedName>
    <definedName name="SP_VM_EV_toSales">'Summary Page'!$120:$120</definedName>
    <definedName name="SP_VM_FCFYield_ToEV">'Summary Page'!$124:$124</definedName>
    <definedName name="SP_VM_FCFYield_ToMktCap">'Summary Page'!$123:$123</definedName>
    <definedName name="SP_VM_P_ToCF">'Summary Page'!$122:$122</definedName>
    <definedName name="SP_VM_P_ToE">'Summary Page'!$119:$119</definedName>
    <definedName name="tb_ConsensusEstimate">Model!$A$1039:$CB$1049</definedName>
    <definedName name="tb_EntireModel">Model!$A$1:$CB$954</definedName>
    <definedName name="tb_Guidance_FY">Model!$A$1033:$CB$1037</definedName>
    <definedName name="tb_Guidance_Q">Model!$A$1028:$CB$1031</definedName>
    <definedName name="tb_KeyOutputs">Model!$A$993:$A$1000</definedName>
    <definedName name="tb_KPIs">Model!$A$1002:$A$1026</definedName>
    <definedName name="tb_StockPrice">Model!$A$1051:$CB$1081</definedName>
    <definedName name="tb_Tickers">Model!$A$980:$A$985</definedName>
    <definedName name="tb_UpdateLog">'Update Log'!$C$10:$H$76</definedName>
    <definedName name="tb_ValuationToggle">Model!$A$987:$B$991</definedName>
    <definedName name="Tegus_functions_Workbook_ID">"70139bd1-8d39-4a69-ada4-7389bcbc93fe"</definedName>
    <definedName name="UL.CSIN">'Update Log'!$H$7</definedName>
    <definedName name="UL.ModelVersion">'Update Log'!$H$8</definedName>
    <definedName name="UL.MRQ">'Update Log'!$F$7</definedName>
    <definedName name="UL.MRQColNum">'Update Log'!$E$7</definedName>
    <definedName name="z_M2B13B0184_MO_AN_AmortizationofintangiblesCostofrevenue">Model!$74:$74</definedName>
    <definedName name="z_M2B13B0184_MO_AN_AmortizationofintangiblesOperatingexpense">Model!$75:$75</definedName>
    <definedName name="z_M2B13B0184_MO_AN_DepreciationCostofrevenue">Model!$65:$65</definedName>
    <definedName name="z_M2B13B0184_MO_AN_DepreciationOperatingExpense">Model!$66:$66</definedName>
    <definedName name="z_M2B13B0184_MO_AN_DepreciationOtheroperatingexpense">Model!$67:$67</definedName>
    <definedName name="z_M2B13B0184_MO_AN_netincomeavailabletocommonshareholdersoftheparent">Model!$364:$364</definedName>
    <definedName name="z_M2B13B0184_MO_AN_noncontrollinginterests">Model!$363:$363</definedName>
    <definedName name="z_M2B13B0184_MO_AN_TotalAmortizationofintangibles">Model!$76:$76</definedName>
    <definedName name="z_M2B13B0184_MO_AN_TotalDepreciation">Model!$68:$68</definedName>
    <definedName name="z_M2B13B0184_MO_BlankRow_AN">Model!$77:$77</definedName>
    <definedName name="z_M2B13B0184_MO_BlankRow_AN_1">Model!$69:$69</definedName>
    <definedName name="z_M2B13B0184_MO_BlankRow_BS_1">Model!$877:$877</definedName>
    <definedName name="z_M2B13B0184_MO_BlankRow_BS_2">Model!$903:$903</definedName>
    <definedName name="z_M2B13B0184_MO_BlankRow_BS_3">Model!$925:$925</definedName>
    <definedName name="z_M2B13B0184_MO_BlankRow_BS_4">Model!$940:$940</definedName>
    <definedName name="z_M2B13B0184_MO_BlankRow_BS_5">Model!$953:$953</definedName>
    <definedName name="z_M2B13B0184_MO_BlankRow_BS_6">Model!$955:$955</definedName>
    <definedName name="z_M2B13B0184_MO_BlankRow_BSS">Model!$495:$495</definedName>
    <definedName name="z_M2B13B0184_MO_BlankRow_BSS_1">Model!$484:$484</definedName>
    <definedName name="z_M2B13B0184_MO_BlankRow_BSS_2">Model!$491:$491</definedName>
    <definedName name="z_M2B13B0184_MO_BlankRow_CCFS">Model!$589:$589</definedName>
    <definedName name="z_M2B13B0184_MO_BlankRow_CCFS_1">Model!$633:$633</definedName>
    <definedName name="z_M2B13B0184_MO_BlankRow_CCFS_2">Model!$659:$659</definedName>
    <definedName name="z_M2B13B0184_MO_BlankRow_CCFS_3">Model!$663:$663</definedName>
    <definedName name="z_M2B13B0184_MO_BlankRow_CCFS_4">Model!$671:$671</definedName>
    <definedName name="z_M2B13B0184_MO_BlankRow_CCFS_5">Model!$666:$666</definedName>
    <definedName name="z_M2B13B0184_MO_BlankRow_CFS_2">Model!$738:$738</definedName>
    <definedName name="z_M2B13B0184_MO_BlankRow_CFS_3">Model!$782:$782</definedName>
    <definedName name="z_M2B13B0184_MO_BlankRow_CFS_4">Model!$808:$808</definedName>
    <definedName name="z_M2B13B0184_MO_BlankRow_CFS_5">Model!$812:$812</definedName>
    <definedName name="z_M2B13B0184_MO_BlankRow_CFS_6">Model!$820:$820</definedName>
    <definedName name="z_M2B13B0184_MO_BlankRow_CFS_7">Model!$822:$822</definedName>
    <definedName name="z_M2B13B0184_MO_BlankRow_CFS_9">Model!$815:$815</definedName>
    <definedName name="z_M2B13B0184_MO_BlankRow_CFSum">Model!$467:$467</definedName>
    <definedName name="z_M2B13B0184_MO_BlankRow_CFSum_1">Model!$476:$476</definedName>
    <definedName name="z_M2B13B0184_MO_BlankRow_CFSum_2">Model!$463:$463</definedName>
    <definedName name="z_M2B13B0184_MO_BlankRow_DAF">Model!$840:$840</definedName>
    <definedName name="z_M2B13B0184_MO_BlankRow_DAF_1">Model!$846:$846</definedName>
    <definedName name="z_M2B13B0184_MO_BlankRow_DAF_2">Model!$851:$851</definedName>
    <definedName name="z_M2B13B0184_MO_BlankRow_DAF_3">Model!$855:$855</definedName>
    <definedName name="z_M2B13B0184_MO_BlankRow_GA">"Deleted"</definedName>
    <definedName name="z_M2B13B0184_MO_BlankRow_GA_1">Model!$29:$29</definedName>
    <definedName name="z_M2B13B0184_MO_BlankRow_IS">Model!$365:$365</definedName>
    <definedName name="z_M2B13B0184_MO_BlankRow_IS_1">Model!$367:$367</definedName>
    <definedName name="z_M2B13B0184_MO_BlankRow_MA">Model!$305:$305</definedName>
    <definedName name="z_M2B13B0184_MO_BlankRow_MA_1">Model!$320:$320</definedName>
    <definedName name="z_M2B13B0184_MO_BlankRow_MA_10">"Deleted"</definedName>
    <definedName name="z_M2B13B0184_MO_BlankRow_MA_2">Model!$501:$501</definedName>
    <definedName name="z_M2B13B0184_MO_BlankRow_MA_3">Model!$514:$514</definedName>
    <definedName name="z_M2B13B0184_MO_BlankRow_MA_4">Model!$517:$517</definedName>
    <definedName name="z_M2B13B0184_MO_BlankRow_MA_5">Model!$522:$522</definedName>
    <definedName name="z_M2B13B0184_MO_BlankRow_MA_6">Model!$507:$507</definedName>
    <definedName name="z_M2B13B0184_MO_BlankRow_MA_7">"Deleted"</definedName>
    <definedName name="z_M2B13B0184_MO_BlankRow_MA_8">Model!$314:$314</definedName>
    <definedName name="z_M2B13B0184_MO_BlankRow_MA_9">"Deleted"</definedName>
    <definedName name="z_M2B13B0184_MO_BlankRow_OS">Model!$273:$273</definedName>
    <definedName name="z_M2B13B0184_MO_BlankRow_OS_1">Model!$104:$104</definedName>
    <definedName name="z_M2B13B0184_MO_BlankRow_OS_10">Model!$143:$143</definedName>
    <definedName name="z_M2B13B0184_MO_BlankRow_OS_11">Model!$160:$160</definedName>
    <definedName name="z_M2B13B0184_MO_BlankRow_OS_12">Model!$132:$132</definedName>
    <definedName name="z_M2B13B0184_MO_BlankRow_OS_13">Model!$288:$288</definedName>
    <definedName name="z_M2B13B0184_MO_BlankRow_OS_14">Model!$295:$295</definedName>
    <definedName name="z_M2B13B0184_MO_BlankRow_OS_15">Model!$153:$153</definedName>
    <definedName name="z_M2B13B0184_MO_BlankRow_OS_17">"Deleted"</definedName>
    <definedName name="z_M2B13B0184_MO_BlankRow_OS_19">Model!$204:$204</definedName>
    <definedName name="z_M2B13B0184_MO_BlankRow_OS_2">Model!$279:$279</definedName>
    <definedName name="z_M2B13B0184_MO_BlankRow_OS_20">Model!$220:$220</definedName>
    <definedName name="z_M2B13B0184_MO_BlankRow_OS_21">Model!$234:$234</definedName>
    <definedName name="z_M2B13B0184_MO_BlankRow_OS_22">Model!$32:$32</definedName>
    <definedName name="z_M2B13B0184_MO_BlankRow_OS_23">Model!$106:$106</definedName>
    <definedName name="z_M2B13B0184_MO_BlankRow_OS_24">Model!$255:$255</definedName>
    <definedName name="z_M2B13B0184_MO_BlankRow_OS_25">Model!$259:$259</definedName>
    <definedName name="z_M2B13B0184_MO_BlankRow_OS_26">Model!$41:$41</definedName>
    <definedName name="z_M2B13B0184_MO_BlankRow_OS_27">Model!$46:$46</definedName>
    <definedName name="z_M2B13B0184_MO_BlankRow_OS_28">Model!$51:$51</definedName>
    <definedName name="z_M2B13B0184_MO_BlankRow_OS_29">Model!$56:$56</definedName>
    <definedName name="z_M2B13B0184_MO_BlankRow_OS_3">Model!$176:$176</definedName>
    <definedName name="z_M2B13B0184_MO_BlankRow_OS_30">Model!$58:$58</definedName>
    <definedName name="z_M2B13B0184_MO_BlankRow_OS_31">Model!$63:$63</definedName>
    <definedName name="z_M2B13B0184_MO_BlankRow_OS_32">Model!$73:$73</definedName>
    <definedName name="z_M2B13B0184_MO_BlankRow_OS_33">"Deleted"</definedName>
    <definedName name="z_M2B13B0184_MO_BlankRow_OS_34">Model!$167:$167</definedName>
    <definedName name="z_M2B13B0184_MO_BlankRow_OS_35">Model!$241:$241</definedName>
    <definedName name="z_M2B13B0184_MO_BlankRow_OS_36">Model!$431:$431</definedName>
    <definedName name="z_M2B13B0184_MO_BlankRow_OS_37">Model!$440:$440</definedName>
    <definedName name="z_M2B13B0184_MO_BlankRow_OS_38">Model!$444:$444</definedName>
    <definedName name="z_M2B13B0184_MO_BlankRow_OS_39">Model!$447:$447</definedName>
    <definedName name="z_M2B13B0184_MO_BlankRow_OS_4">Model!$187:$187</definedName>
    <definedName name="z_M2B13B0184_MO_BlankRow_OS_40">Model!$181:$181</definedName>
    <definedName name="z_M2B13B0184_MO_BlankRow_OS_41">Model!$81:$81</definedName>
    <definedName name="z_M2B13B0184_MO_BlankRow_OS_42">Model!$85:$85</definedName>
    <definedName name="z_M2B13B0184_MO_BlankRow_OS_43">Model!$87:$87</definedName>
    <definedName name="z_M2B13B0184_MO_BlankRow_OS_44">"Deleted"</definedName>
    <definedName name="z_M2B13B0184_MO_BlankRow_OS_5">Model!$300:$300</definedName>
    <definedName name="z_M2B13B0184_MO_BlankRow_OS_6">Model!$828:$828</definedName>
    <definedName name="z_M2B13B0184_MO_BlankRow_OS_7">Model!$833:$833</definedName>
    <definedName name="z_M2B13B0184_MO_BlankRow_OS_8">Model!$267:$267</definedName>
    <definedName name="z_M2B13B0184_MO_BlankRow_OS_9">Model!$122:$122</definedName>
    <definedName name="z_M2B13B0184_MO_BlankRow_RIS">Model!$371:$371</definedName>
    <definedName name="z_M2B13B0184_MO_BlankRow_RIS_1">Model!$374:$374</definedName>
    <definedName name="z_M2B13B0184_MO_BlankRow_RIS_10">Model!$420:$420</definedName>
    <definedName name="z_M2B13B0184_MO_BlankRow_RIS_11">Model!$383:$383</definedName>
    <definedName name="z_M2B13B0184_MO_BlankRow_RIS_12">Model!$428:$428</definedName>
    <definedName name="z_M2B13B0184_MO_BlankRow_RIS_2">Model!$389:$389</definedName>
    <definedName name="z_M2B13B0184_MO_BlankRow_RIS_3">"Deleted"</definedName>
    <definedName name="z_M2B13B0184_MO_BlankRow_RIS_4">Model!$395:$395</definedName>
    <definedName name="z_M2B13B0184_MO_BlankRow_RIS_5">Model!$408:$408</definedName>
    <definedName name="z_M2B13B0184_MO_BlankRow_RIS_6">Model!$415:$415</definedName>
    <definedName name="z_M2B13B0184_MO_BlankRow_RIS_7">Model!$424:$424</definedName>
    <definedName name="z_M2B13B0184_MO_BlankRow_RIS_8">Model!$449:$449</definedName>
    <definedName name="z_M2B13B0184_MO_BlankRow_RIS_9">Model!$411:$411</definedName>
    <definedName name="z_M2B13B0184_MO_BlankRow_SNA">Model!$977:$977</definedName>
    <definedName name="z_M2B13B0184_MO_BlankRow_SNA_1">Model!$979:$979</definedName>
    <definedName name="z_M2B13B0184_MO_BlankRow_SNA_10">Model!$1074:$1074</definedName>
    <definedName name="z_M2B13B0184_MO_BlankRow_SNA_11">Model!$1081:$1081</definedName>
    <definedName name="z_M2B13B0184_MO_BlankRow_SNA_12">Model!$1086:$1086</definedName>
    <definedName name="z_M2B13B0184_MO_BlankRow_SNA_13">Model!$1104:$1104</definedName>
    <definedName name="z_M2B13B0184_MO_BlankRow_SNA_14">Model!$1085:$1085</definedName>
    <definedName name="z_M2B13B0184_MO_BlankRow_SNA_15">Model!$1026:$1026</definedName>
    <definedName name="z_M2B13B0184_MO_BlankRow_SNA_16">Model!$1027:$1027</definedName>
    <definedName name="z_M2B13B0184_MO_BlankRow_SNA_17">Model!$1031:$1031</definedName>
    <definedName name="z_M2B13B0184_MO_BlankRow_SNA_18">Model!$1032:$1032</definedName>
    <definedName name="z_M2B13B0184_MO_BlankRow_SNA_19">Model!$1037:$1037</definedName>
    <definedName name="z_M2B13B0184_MO_BlankRow_SNA_2">Model!$986:$986</definedName>
    <definedName name="z_M2B13B0184_MO_BlankRow_SNA_20">Model!$1038:$1038</definedName>
    <definedName name="z_M2B13B0184_MO_BlankRow_SNA_3">Model!$992:$992</definedName>
    <definedName name="z_M2B13B0184_MO_BlankRow_SNA_4">Model!$1000:$1000</definedName>
    <definedName name="z_M2B13B0184_MO_BlankRow_SNA_5">Model!$1001:$1001</definedName>
    <definedName name="z_M2B13B0184_MO_BlankRow_SNA_6">Model!$1049:$1049</definedName>
    <definedName name="z_M2B13B0184_MO_BlankRow_SNA_7">Model!$1050:$1050</definedName>
    <definedName name="z_M2B13B0184_MO_BlankRow_SNA_8">Model!$1060:$1060</definedName>
    <definedName name="z_M2B13B0184_MO_BlankRow_SNA_9">Model!$1067:$1067</definedName>
    <definedName name="z_M2B13B0184_MO_BS_Accountspayable">Model!$910:$910</definedName>
    <definedName name="z_M2B13B0184_MO_BS_Accruedexpensesandothercurrentliabilities">Model!$923:$923</definedName>
    <definedName name="z_M2B13B0184_MO_BS_Accruedexpensesandothercurrentliabilitiesexcllease">Model!$922:$922</definedName>
    <definedName name="z_M2B13B0184_MO_BS_accruedprofitsharingbonustoemployeesandcompensationtodirectorsandsupervisors">Model!$914:$914</definedName>
    <definedName name="z_M2B13B0184_MO_BS_Advancepaymentsandcontructioninprogress">Model!$891:$891</definedName>
    <definedName name="z_M2B13B0184_MO_BS_appropriatedaslegalcapitalreserve">Model!$944:$944</definedName>
    <definedName name="z_M2B13B0184_MO_BS_appropriatedasspecialcapitalreserve">Model!$945:$945</definedName>
    <definedName name="z_M2B13B0184_MO_BS_Assetsusedbythecompany">Model!$893:$893</definedName>
    <definedName name="z_M2B13B0184_MO_BS_availableforsalefinancialassets">Model!$862:$862</definedName>
    <definedName name="z_M2B13B0184_MO_BS_availableforsalefinancialassets_1">Model!$882:$882</definedName>
    <definedName name="z_M2B13B0184_MO_BS_bondspayable">Model!$928:$928</definedName>
    <definedName name="z_M2B13B0184_MO_BS_BSCheck">Model!$954:$954</definedName>
    <definedName name="z_M2B13B0184_MO_BS_Buildingsatcost">Model!$887:$887</definedName>
    <definedName name="z_M2B13B0184_MO_BS_capitalstock">Model!$942:$942</definedName>
    <definedName name="z_M2B13B0184_MO_BS_capitalsurplus">Model!$943:$943</definedName>
    <definedName name="z_M2B13B0184_MO_BS_cashandcashequivalents">Model!$858:$858</definedName>
    <definedName name="z_M2B13B0184_MO_BS_Cashdividendspayable">Model!$916:$916</definedName>
    <definedName name="z_M2B13B0184_MO_BS_CurrentAssets">Model!$857:$857</definedName>
    <definedName name="z_M2B13B0184_MO_BS_CurrentLiabilities">Model!$904:$904</definedName>
    <definedName name="z_M2B13B0184_MO_BS_Currentportionofleaseliability">Model!$921:$921</definedName>
    <definedName name="z_M2B13B0184_MO_BS_deferredincometaxassets">Model!$874:$874</definedName>
    <definedName name="z_M2B13B0184_MO_BS_deferredincometaxassets_1">Model!$898:$898</definedName>
    <definedName name="z_M2B13B0184_MO_BS_deferredincometaxliabilities">Model!$932:$932</definedName>
    <definedName name="z_M2B13B0184_MO_BS_Financialassetsatamortizedcost">Model!$861:$861</definedName>
    <definedName name="z_M2B13B0184_MO_BS_Financialassetsatfairvaluethroughothercomprehensiveincome">Model!$860:$860</definedName>
    <definedName name="z_M2B13B0184_MO_BS_Financialassetsatfairvaluethroughothercomprehensiveincome_1">Model!$879:$879</definedName>
    <definedName name="z_M2B13B0184_MO_BS_financialassetsatfairvaluethroughprofitorlos">Model!$859:$859</definedName>
    <definedName name="z_M2B13B0184_MO_BS_Financialassetsatfairvaluethroughprofitorloss">Model!$880:$880</definedName>
    <definedName name="z_M2B13B0184_MO_BS_Financialassetscarriedatamortizedcost">Model!$884:$884</definedName>
    <definedName name="z_M2B13B0184_MO_BS_financialassetscarriedatcost">Model!$883:$883</definedName>
    <definedName name="z_M2B13B0184_MO_BS_financialliabilitiesatfairvaluethroughprofitorloss">Model!$907:$907</definedName>
    <definedName name="z_M2B13B0184_MO_BS_guaranteedeposits">Model!$936:$936</definedName>
    <definedName name="z_M2B13B0184_MO_BS_hedgingderivativefinancialassets">Model!$864:$864</definedName>
    <definedName name="z_M2B13B0184_MO_BS_hedgingderivativefinancialliabilities">Model!$908:$908</definedName>
    <definedName name="z_M2B13B0184_MO_BS_hedgingderivativefinancialliabilities_1">Model!$927:$927</definedName>
    <definedName name="z_M2B13B0184_MO_BS_Hedgingfinancialassets">Model!$865:$865</definedName>
    <definedName name="z_M2B13B0184_MO_BS_Hedgingfinancialliabilities">Model!$909:$909</definedName>
    <definedName name="z_M2B13B0184_MO_BS_heldtomaturityfinancialassets">Model!$863:$863</definedName>
    <definedName name="z_M2B13B0184_MO_BS_heldtomaturityfinancialassets_1">Model!$881:$881</definedName>
    <definedName name="z_M2B13B0184_MO_BS_incometaxpayable">Model!$917:$917</definedName>
    <definedName name="z_M2B13B0184_MO_BS_Intangibleassets">Model!$897:$897</definedName>
    <definedName name="z_M2B13B0184_MO_BS_Inventories">Model!$871:$871</definedName>
    <definedName name="z_M2B13B0184_MO_BS_Investmentsaccountedforusingequitymethod">Model!$885:$885</definedName>
    <definedName name="z_M2B13B0184_MO_BS_InvestmentsinMarketableFinancialInstruments">Model!$866:$866</definedName>
    <definedName name="z_M2B13B0184_MO_BS_Landandlandimprovementsatcost">Model!$886:$886</definedName>
    <definedName name="z_M2B13B0184_MO_BS_Leasedassetsatcost">Model!$890:$890</definedName>
    <definedName name="z_M2B13B0184_MO_BS_Leaseliabilities">Model!$933:$933</definedName>
    <definedName name="z_M2B13B0184_MO_BS_lessAccumulateddepreciation">Model!$892:$892</definedName>
    <definedName name="z_M2B13B0184_MO_BS_liabilitiesdirectlyassociatedwithnoncurrentassetsheldforsale">Model!$919:$919</definedName>
    <definedName name="z_M2B13B0184_MO_BS_longtermbankloans">Model!$929:$929</definedName>
    <definedName name="z_M2B13B0184_MO_BS_longtermliabilitiescurrentportion">Model!$920:$920</definedName>
    <definedName name="z_M2B13B0184_MO_BS_Machineryandequpimentatcost">Model!$888:$888</definedName>
    <definedName name="z_M2B13B0184_MO_BS_NCI">Model!$951:$951</definedName>
    <definedName name="z_M2B13B0184_MO_BS_netdefinedbenefitliability">Model!$935:$935</definedName>
    <definedName name="z_M2B13B0184_MO_BS_NonCurrentAssets">Model!$878:$878</definedName>
    <definedName name="z_M2B13B0184_MO_BS_noncurrentassetsheldforsale">Model!$872:$872</definedName>
    <definedName name="z_M2B13B0184_MO_BS_NonCurrentLiabilities">Model!$926:$926</definedName>
    <definedName name="z_M2B13B0184_MO_BS_Notesandaccountsreceivable">Model!$867:$867</definedName>
    <definedName name="z_M2B13B0184_MO_BS_obligationsunderfinanceleases">Model!$934:$934</definedName>
    <definedName name="z_M2B13B0184_MO_BS_Officeequipmentatcost">Model!$889:$889</definedName>
    <definedName name="z_M2B13B0184_MO_BS_Operatinglease">Model!$894:$894</definedName>
    <definedName name="z_M2B13B0184_MO_BS_Othercurrentassets">Model!$875:$875</definedName>
    <definedName name="z_M2B13B0184_MO_BS_Otherfinancialassets">Model!$873:$873</definedName>
    <definedName name="z_M2B13B0184_MO_BS_Otherlongtermpayables">Model!$931:$931</definedName>
    <definedName name="z_M2B13B0184_MO_BS_Othernoncurrentassets">Model!$900:$900</definedName>
    <definedName name="z_M2B13B0184_MO_BS_Otherreceivablesfromrelatedparties">Model!$869:$869</definedName>
    <definedName name="z_M2B13B0184_MO_BS_Others">Model!$937:$937</definedName>
    <definedName name="z_M2B13B0184_MO_BS_Others_1">Model!$949:$949</definedName>
    <definedName name="z_M2B13B0184_MO_BS_payablestocontractorsandequipmentsuppliers">Model!$915:$915</definedName>
    <definedName name="z_M2B13B0184_MO_BS_payablestorelatedparties">Model!$911:$911</definedName>
    <definedName name="z_M2B13B0184_MO_BS_Property">Model!$895:$895</definedName>
    <definedName name="z_M2B13B0184_MO_BS_provisions">Model!$918:$918</definedName>
    <definedName name="z_M2B13B0184_MO_BS_provisions_1">Model!$930:$930</definedName>
    <definedName name="z_M2B13B0184_MO_BS_receivablesfromrelatedparties">Model!$868:$868</definedName>
    <definedName name="z_M2B13B0184_MO_BS_refundabledeposits">Model!$899:$899</definedName>
    <definedName name="z_M2B13B0184_MO_BS_retainedearnings">Model!$947:$947</definedName>
    <definedName name="z_M2B13B0184_MO_BS_Rightofuseassets">Model!$896:$896</definedName>
    <definedName name="z_M2B13B0184_MO_BS_salaryandbonuspayable">Model!$913:$913</definedName>
    <definedName name="z_M2B13B0184_MO_BS_ShareholdersEquity">Model!$941:$941</definedName>
    <definedName name="z_M2B13B0184_MO_BS_Shorttermbillspayable">Model!$906:$906</definedName>
    <definedName name="z_M2B13B0184_MO_BS_shorttermloans">Model!$905:$905</definedName>
    <definedName name="z_M2B13B0184_MO_BS_Totalaccountspayable">Model!$912:$912</definedName>
    <definedName name="z_M2B13B0184_MO_BS_TotalAccountsReceivable">Model!$870:$870</definedName>
    <definedName name="z_M2B13B0184_MO_BS_TotalAssets">Model!$902:$902</definedName>
    <definedName name="z_M2B13B0184_MO_BS_TotalCurrentAssets">Model!$876:$876</definedName>
    <definedName name="z_M2B13B0184_MO_BS_TotalCurrentLiabilities">Model!$924:$924</definedName>
    <definedName name="z_M2B13B0184_MO_BS_TotalLiabilities">Model!$939:$939</definedName>
    <definedName name="z_M2B13B0184_MO_BS_TotalLiabilitiesSE">Model!$952:$952</definedName>
    <definedName name="z_M2B13B0184_MO_BS_TotalNonCurrentAssets">Model!$901:$901</definedName>
    <definedName name="z_M2B13B0184_MO_BS_TotalNonCurrentliabilities">Model!$938:$938</definedName>
    <definedName name="z_M2B13B0184_MO_BS_TotalSE">Model!$950:$950</definedName>
    <definedName name="z_M2B13B0184_MO_BS_Treasuryshares">Model!$948:$948</definedName>
    <definedName name="z_M2B13B0184_MO_BS_unappropriatedearnings">Model!$946:$946</definedName>
    <definedName name="z_M2B13B0184_MO_BSS_Cash">Model!$478:$478</definedName>
    <definedName name="z_M2B13B0184_MO_BSS_Debt">Model!$481:$481</definedName>
    <definedName name="z_M2B13B0184_MO_BSS_DebtCashFlow">Model!$494:$494</definedName>
    <definedName name="z_M2B13B0184_MO_BSS_DebtEBITDA">Model!$493:$493</definedName>
    <definedName name="z_M2B13B0184_MO_BSS_EBITDANetInterestExpense">Model!$492:$492</definedName>
    <definedName name="z_M2B13B0184_MO_BSS_EffectiveInterestRateonCash">Model!$488:$488</definedName>
    <definedName name="z_M2B13B0184_MO_BSS_EffectiveInterestRateonDebt">Model!$486:$486</definedName>
    <definedName name="z_M2B13B0184_MO_BSS_EffectiveNetInterestRateonDebt">Model!$490:$490</definedName>
    <definedName name="z_M2B13B0184_MO_BSS_InterestExpense">Model!$485:$485</definedName>
    <definedName name="z_M2B13B0184_MO_BSS_InterestIncome">Model!$487:$487</definedName>
    <definedName name="z_M2B13B0184_MO_BSS_LTDebt">Model!$480:$480</definedName>
    <definedName name="z_M2B13B0184_MO_BSS_NetDebt">Model!$483:$483</definedName>
    <definedName name="z_M2B13B0184_MO_BSS_NetInterestExpenseIncome">Model!$489:$489</definedName>
    <definedName name="z_M2B13B0184_MO_BSS_OperatingLeaseLiabilities">Model!$482:$482</definedName>
    <definedName name="z_M2B13B0184_MO_BSS_STDebt">Model!$479:$479</definedName>
    <definedName name="z_M2B13B0184_MO_CCFS_accountspayable">Model!$576:$576</definedName>
    <definedName name="z_M2B13B0184_MO_CCFS_Accruedexpensesandothercurrentliabilities">Model!$581:$581</definedName>
    <definedName name="z_M2B13B0184_MO_CCFS_accruedprofitsharingbonustoemployeesandcompensationtodirectorsandsupervisors">Model!$580:$580</definedName>
    <definedName name="z_M2B13B0184_MO_CCFS_AcquisitionofAvailableforsalefinancialassets">Model!$591:$591</definedName>
    <definedName name="z_M2B13B0184_MO_CCFS_Acquisitionofbusinesses">Model!$629:$629</definedName>
    <definedName name="z_M2B13B0184_MO_CCFS_Acquisitionoffinancialassetsatamortizedcost">Model!$600:$600</definedName>
    <definedName name="z_M2B13B0184_MO_CCFS_AcquisitionofFinancialassetscarriedatcost">Model!$594:$594</definedName>
    <definedName name="z_M2B13B0184_MO_CCFS_Acquisitionofhedgingfinancialinstruments">Model!$601:$601</definedName>
    <definedName name="z_M2B13B0184_MO_CCFS_AcquisitionofHeldtomaturityfinancialassets">Model!$592:$592</definedName>
    <definedName name="z_M2B13B0184_MO_CCFS_AcquisitionofIntangibleassets">Model!$596:$596</definedName>
    <definedName name="z_M2B13B0184_MO_CCFS_AcquisitionofInvestmentsaccountedforusingequitymethod">Model!$593:$593</definedName>
    <definedName name="z_M2B13B0184_MO_CCFS_AcquisitionofInvestmentsaccountedforusingequitymethod_1">Model!$602:$602</definedName>
    <definedName name="z_M2B13B0184_MO_CCFS_AcquisitionofLanduseright">Model!$597:$597</definedName>
    <definedName name="z_M2B13B0184_MO_CCFS_AcquisitionofProperty">Model!$595:$595</definedName>
    <definedName name="z_M2B13B0184_MO_CCFS_Acquisitionoftreasurystock">Model!$654:$654</definedName>
    <definedName name="z_M2B13B0184_MO_CCFS_AcquisitonofFinancialassetsatfairvaluethroughothercomprehensiveincome">Model!$599:$599</definedName>
    <definedName name="z_M2B13B0184_MO_CCFS_AcquisitonofFinancialinstrumentsatfairvaluethroughprofitorlossdebtinstruments">Model!$598:$598</definedName>
    <definedName name="z_M2B13B0184_MO_CCFS_amortizationexpense">Model!$529:$529</definedName>
    <definedName name="z_M2B13B0184_MO_CCFS_amortizationofpremiumdiscountoffinancialassets">Model!$531:$531</definedName>
    <definedName name="z_M2B13B0184_MO_CCFS_BeginningCashBalance">Model!$664:$664</definedName>
    <definedName name="z_M2B13B0184_MO_CCFS_Cashdividends">Model!$652:$652</definedName>
    <definedName name="z_M2B13B0184_MO_CCFS_Cashdividendsreceivedfromequitymethodinvestees">Model!$552:$552</definedName>
    <definedName name="z_M2B13B0184_MO_CCFS_Cashpaidforincometaxes">Model!$670:$670</definedName>
    <definedName name="z_M2B13B0184_MO_CCFS_Cashpaidforinterest">Model!$667:$667</definedName>
    <definedName name="z_M2B13B0184_MO_CCFS_Cashpaidforinterest_1">Model!$669:$669</definedName>
    <definedName name="z_M2B13B0184_MO_CCFS_Cashreceivedforinterest">Model!$668:$668</definedName>
    <definedName name="z_M2B13B0184_MO_CCFS_Cashreceivedfromotherlongtermreceivables">Model!$621:$621</definedName>
    <definedName name="z_M2B13B0184_MO_CCFS_CFF">Model!$634:$634</definedName>
    <definedName name="z_M2B13B0184_MO_CCFS_CFI">Model!$590:$590</definedName>
    <definedName name="z_M2B13B0184_MO_CCFS_CFO">Model!$524:$524</definedName>
    <definedName name="z_M2B13B0184_MO_CCFS_CFObeforeWC">Model!$566:$566</definedName>
    <definedName name="z_M2B13B0184_MO_CCFS_ChangeinWCandothers">Model!$586:$586</definedName>
    <definedName name="z_M2B13B0184_MO_CCFS_costsfromenteringintohedgingtransactions">Model!$617:$617</definedName>
    <definedName name="z_M2B13B0184_MO_CCFS_decreaseinnoncontrollinginterests">Model!$656:$656</definedName>
    <definedName name="z_M2B13B0184_MO_CCFS_decreaseinobligationsunderfinanceleases">Model!$648:$648</definedName>
    <definedName name="z_M2B13B0184_MO_CCFS_decreaseinreceivablesfortemporarypayments">Model!$630:$630</definedName>
    <definedName name="z_M2B13B0184_MO_CCFS_decreaseinshorttermloans">Model!$635:$635</definedName>
    <definedName name="z_M2B13B0184_MO_CCFS_deferredcredits">Model!$585:$585</definedName>
    <definedName name="z_M2B13B0184_MO_CCFS_deferredincometax">Model!$563:$563</definedName>
    <definedName name="z_M2B13B0184_MO_CCFS_depreciationexpense">Model!$528:$528</definedName>
    <definedName name="z_M2B13B0184_MO_CCFS_derecognitionofhedgingderivativefinancialinstruments">Model!$615:$615</definedName>
    <definedName name="z_M2B13B0184_MO_CCFS_Derecognitionofhedgingfinancialinstruments">Model!$616:$616</definedName>
    <definedName name="z_M2B13B0184_MO_CCFS_Discountsonshorttermloans">Model!$537:$537</definedName>
    <definedName name="z_M2B13B0184_MO_CCFS_Disposalofownershipinterestsinsubsidiaries">Model!$655:$655</definedName>
    <definedName name="z_M2B13B0184_MO_CCFS_Dividendincome">Model!$558:$558</definedName>
    <definedName name="z_M2B13B0184_MO_CCFS_Dividendsreceivedfrominvestmentsaccountedforusingequitymethod">Model!$625:$625</definedName>
    <definedName name="z_M2B13B0184_MO_CCFS_effectofchangesinconsolidatedentities">Model!$660:$660</definedName>
    <definedName name="z_M2B13B0184_MO_CCFS_EndingCashBalance">Model!$665:$665</definedName>
    <definedName name="z_M2B13B0184_MO_CCFS_Equityinearningsofequitymethodinvestees">Model!$551:$551</definedName>
    <definedName name="z_M2B13B0184_MO_CCFS_financecosts">Model!$534:$534</definedName>
    <definedName name="z_M2B13B0184_MO_CCFS_financialinstrumentsatfairvaluethroughprofitorloss">Model!$567:$567</definedName>
    <definedName name="z_M2B13B0184_MO_CCFS_FX">Model!$661:$661</definedName>
    <definedName name="z_M2B13B0184_MO_CCFS_gainfromleaseagreementmodification">Model!$564:$564</definedName>
    <definedName name="z_M2B13B0184_MO_CCFS_gainondeconsolidationofsubsidiary">Model!$555:$555</definedName>
    <definedName name="z_M2B13B0184_MO_CCFS_gainondisposalofavailableforsalefinancialassets">Model!$548:$548</definedName>
    <definedName name="z_M2B13B0184_MO_CCFS_gainondisposaloffinancialassetscarriedatcost">Model!$550:$550</definedName>
    <definedName name="z_M2B13B0184_MO_CCFS_Gainondisposalofintangibleassets">Model!$540:$540</definedName>
    <definedName name="z_M2B13B0184_MO_CCFS_gainonforeignexchange">Model!$557:$557</definedName>
    <definedName name="z_M2B13B0184_MO_CCFS_gainonheldtomaturityfinancialassetsredeemedbytheissuer">Model!$549:$549</definedName>
    <definedName name="z_M2B13B0184_MO_CCFS_guaranteedepositsreceived">Model!$649:$649</definedName>
    <definedName name="z_M2B13B0184_MO_CCFS_guaranteedepositsrefunded">Model!$650:$650</definedName>
    <definedName name="z_M2B13B0184_MO_CCFS_impairmentlossofnoncurrentassetsheldforsale">Model!$544:$544</definedName>
    <definedName name="z_M2B13B0184_MO_CCFS_impairmentlossonfinancialassets">Model!$547:$547</definedName>
    <definedName name="z_M2B13B0184_MO_CCFS_impairmentlossonintangibleassets">Model!$546:$546</definedName>
    <definedName name="z_M2B13B0184_MO_CCFS_impairmentlossonproperty">Model!$545:$545</definedName>
    <definedName name="z_M2B13B0184_MO_CCFS_incomebeforeincometax">Model!$525:$525</definedName>
    <definedName name="z_M2B13B0184_MO_CCFS_Incomefromreceiptofequitysecuritiesinsettlementoftradereceivables">Model!$559:$559</definedName>
    <definedName name="z_M2B13B0184_MO_CCFS_incometaxespaid">Model!$587:$587</definedName>
    <definedName name="z_M2B13B0184_MO_CCFS_IncomeTaxesPaid_1">"Deleted"</definedName>
    <definedName name="z_M2B13B0184_MO_CCFS_incometaxpayable">Model!$578:$578</definedName>
    <definedName name="z_M2B13B0184_MO_CCFS_increaseindeferredcharges">Model!$614:$614</definedName>
    <definedName name="z_M2B13B0184_MO_CCFS_IncreaseinHedgingFinancialLiabilitiesBankLoans">Model!$636:$636</definedName>
    <definedName name="z_M2B13B0184_MO_CCFS_increaseinlongtermbankloans">Model!$638:$638</definedName>
    <definedName name="z_M2B13B0184_MO_CCFS_Increaseinprepaymentsforleases">Model!$626:$626</definedName>
    <definedName name="z_M2B13B0184_MO_CCFS_interestincome">Model!$536:$536</definedName>
    <definedName name="z_M2B13B0184_MO_CCFS_interestpaid">Model!$644:$644</definedName>
    <definedName name="z_M2B13B0184_MO_CCFS_interestreceived">Model!$618:$618</definedName>
    <definedName name="z_M2B13B0184_MO_CCFS_inventories">Model!$571:$571</definedName>
    <definedName name="z_M2B13B0184_MO_CCFS_lossarisingfromfairvaluehedges">Model!$561:$561</definedName>
    <definedName name="z_M2B13B0184_MO_CCFS_lossfromhedginginstruments">Model!$560:$560</definedName>
    <definedName name="z_M2B13B0184_MO_CCFS_lossfromliquidationofsubsidiaries">Model!$554:$554</definedName>
    <definedName name="z_M2B13B0184_MO_CCFS_lossgainondisposalorretirementofpropertyplantandequipment">Model!$539:$539</definedName>
    <definedName name="z_M2B13B0184_MO_CCFS_Lossondisposalofinvestmentsaccountedforusingequitymethod">Model!$553:$553</definedName>
    <definedName name="z_M2B13B0184_MO_CCFS_Lossondisposalofinvestmentsindebtinstrumetsatfairvaluethoughothercomprehensiveincome">Model!$543:$543</definedName>
    <definedName name="z_M2B13B0184_MO_CCFS_Lossonfinancialinstrumentsatfairvaluethroughprofitorloss">Model!$542:$542</definedName>
    <definedName name="z_M2B13B0184_MO_CCFS_Lossonleasemodification">Model!$562:$562</definedName>
    <definedName name="z_M2B13B0184_MO_CCFS_netcashinflowfromdisposalofsubsidiary">Model!$623:$623</definedName>
    <definedName name="z_M2B13B0184_MO_CCFS_Netcashoutflowfromacquisitionofsubsidiary">Model!$622:$622</definedName>
    <definedName name="z_M2B13B0184_MO_CCFS_NetCFF">Model!$658:$658</definedName>
    <definedName name="z_M2B13B0184_MO_CCFS_NetCFI">Model!$632:$632</definedName>
    <definedName name="z_M2B13B0184_MO_CCFS_NetCFO">Model!$588:$588</definedName>
    <definedName name="z_M2B13B0184_MO_CCFS_NetChangeinCashBalance">Model!$662:$662</definedName>
    <definedName name="z_M2B13B0184_MO_CCFS_netdefinedbenefitliability">Model!$583:$583</definedName>
    <definedName name="z_M2B13B0184_MO_CCFS_netincomeattributabletoshareholdersoftheparent">Model!$526:$526</definedName>
    <definedName name="z_M2B13B0184_MO_CCFS_netincomelossattributabletominorityinterests">Model!$527:$527</definedName>
    <definedName name="z_M2B13B0184_MO_CCFS_notesandaccountsreceivable">Model!$568:$568</definedName>
    <definedName name="z_M2B13B0184_MO_CCFS_Other_6">Model!$657:$657</definedName>
    <definedName name="z_M2B13B0184_MO_CCFS_Othercurrentassets">Model!$574:$574</definedName>
    <definedName name="z_M2B13B0184_MO_CCFS_Otherdividendsreceived">Model!$624:$624</definedName>
    <definedName name="z_M2B13B0184_MO_CCFS_Otherfinancialassets">Model!$573:$573</definedName>
    <definedName name="z_M2B13B0184_MO_CCFS_Othernoncurrentassets">Model!$575:$575</definedName>
    <definedName name="z_M2B13B0184_MO_CCFS_Othernoncurrentliabilities">Model!$584:$584</definedName>
    <definedName name="z_M2B13B0184_MO_CCFS_Otherreceivablesfromrelatedparties">Model!$570:$570</definedName>
    <definedName name="z_M2B13B0184_MO_CCFS_Others">Model!$631:$631</definedName>
    <definedName name="z_M2B13B0184_MO_CCFS_Others_1">Model!$565:$565</definedName>
    <definedName name="z_M2B13B0184_MO_CCFS_payablestorelatedparties">Model!$577:$577</definedName>
    <definedName name="z_M2B13B0184_MO_CCFS_Paymentsfortransactioncostsattributabletotheissuanceofbonds">Model!$647:$647</definedName>
    <definedName name="z_M2B13B0184_MO_CCFS_Prepaidexpensesandothercurrentassets">Model!$572:$572</definedName>
    <definedName name="z_M2B13B0184_MO_CCFS_proceedsfromdisposalorredemptionofavailableforsalefinancialassets">Model!$603:$603</definedName>
    <definedName name="z_M2B13B0184_MO_CCFS_ProceedsfromdisposalorredemptionofFinancialassetsatamortizedcost">Model!$612:$612</definedName>
    <definedName name="z_M2B13B0184_MO_CCFS_ProceedsfromdisposalorredemptionofFinancialassetsatfairvaluethroughothercomprehensiveincome">Model!$611:$611</definedName>
    <definedName name="z_M2B13B0184_MO_CCFS_proceedsfromdisposalorredemptionoffinancialassetscarriedatcost">Model!$605:$605</definedName>
    <definedName name="z_M2B13B0184_MO_CCFS_ProceedsfromdisposalorredemptionofFinancialinstrumentsatfairvaluethroughprofitorlossdebtinstruments">Model!$610:$610</definedName>
    <definedName name="z_M2B13B0184_MO_CCFS_proceedsfromdisposalorredemptionofheldtomaturityfinancialassets">Model!$604:$604</definedName>
    <definedName name="z_M2B13B0184_MO_CCFS_ProceedsfromdisposalorredemptionofIntangibleassets">Model!$613:$613</definedName>
    <definedName name="z_M2B13B0184_MO_CCFS_ProceedsfromdisposalorredemptionofInvestmentsaccountedforusingequitymethod">Model!$606:$606</definedName>
    <definedName name="z_M2B13B0184_MO_CCFS_proceedsfromdisposalorredemptionofproperty">Model!$607:$607</definedName>
    <definedName name="z_M2B13B0184_MO_CCFS_proceedsfromdonation">Model!$651:$651</definedName>
    <definedName name="z_M2B13B0184_MO_CCFS_proceedsfromexerciseofemployeestockoptions">Model!$653:$653</definedName>
    <definedName name="z_M2B13B0184_MO_CCFS_Proceedsfromgovernmentgrantslanduserightandothers">Model!$619:$619</definedName>
    <definedName name="z_M2B13B0184_MO_CCFS_proceedsfromgovernmentgrantsproperty">Model!$620:$620</definedName>
    <definedName name="z_M2B13B0184_MO_CCFS_proceedsfromissuanceofbonds">Model!$637:$637</definedName>
    <definedName name="z_M2B13B0184_MO_CCFS_Proceedsfromlongtermbankloans">"Deleted"</definedName>
    <definedName name="z_M2B13B0184_MO_CCFS_proceedsfromreturnofcapitaloffinancialassetscarriedatcost">Model!$608:$608</definedName>
    <definedName name="z_M2B13B0184_MO_CCFS_Proceedsfromreturnofcapitalofinvestmentsinequityinstrumentsatfairvaluethroughothercomprehensiveincome">Model!$609:$609</definedName>
    <definedName name="z_M2B13B0184_MO_CCFS_Proceedsfromshorttermbillspayable">Model!$645:$645</definedName>
    <definedName name="z_M2B13B0184_MO_CCFS_provisions">Model!$582:$582</definedName>
    <definedName name="z_M2B13B0184_MO_CCFS_receivablesfromrelatedparties">Model!$569:$569</definedName>
    <definedName name="z_M2B13B0184_MO_CCFS_refundabledepositspaid">Model!$627:$627</definedName>
    <definedName name="z_M2B13B0184_MO_CCFS_refundabledepositsrefunded">Model!$628:$628</definedName>
    <definedName name="z_M2B13B0184_MO_CCFS_repaymentofbonds">Model!$641:$641</definedName>
    <definedName name="z_M2B13B0184_MO_CCFS_Repaymentofbondsandinterestprepaid">"Deleted"</definedName>
    <definedName name="z_M2B13B0184_MO_CCFS_repaymentoflongtermbankloans">Model!$639:$639</definedName>
    <definedName name="z_M2B13B0184_MO_CCFS_repaymentoflongtermbankloans_1">Model!$642:$642</definedName>
    <definedName name="z_M2B13B0184_MO_CCFS_Repaymentofotherlongtermpayables">Model!$640:$640</definedName>
    <definedName name="z_M2B13B0184_MO_CCFS_Repaymentofprincipalportionofleaseliabilities">Model!$643:$643</definedName>
    <definedName name="z_M2B13B0184_MO_CCFS_Repaymentsofshorttermbillspayable">Model!$646:$646</definedName>
    <definedName name="z_M2B13B0184_MO_CCFS_Reversalofexpectedcreditlossesoninvestmentsindebtinstruments">Model!$533:$533</definedName>
    <definedName name="z_M2B13B0184_MO_CCFS_Reversalofimpairmentlossonproperty">Model!$541:$541</definedName>
    <definedName name="z_M2B13B0184_MO_CCFS_salaryandbonuspayable">Model!$579:$579</definedName>
    <definedName name="z_M2B13B0184_MO_CCFS_Sharebasedcompensation">Model!$538:$538</definedName>
    <definedName name="z_M2B13B0184_MO_CCFS_shareofprofitsofassociates">Model!$535:$535</definedName>
    <definedName name="z_M2B13B0184_MO_CCFS_stockoptioncompensationcostofsubsidiary">Model!$532:$532</definedName>
    <definedName name="z_M2B13B0184_MO_CCFS_unrealizedgrossprofitfromaffiliates">Model!$530:$530</definedName>
    <definedName name="z_M2B13B0184_MO_CCFS_unrealizedgrossprofitonsalestoassociates">Model!$556:$556</definedName>
    <definedName name="z_M2B13B0184_MO_CFS_accountspayable">Model!$725:$725</definedName>
    <definedName name="z_M2B13B0184_MO_CFS_Accruedexpensesandothercurrentliabilities">Model!$730:$730</definedName>
    <definedName name="z_M2B13B0184_MO_CFS_accruedprofitsharingbonustoemployeesandcompensationtodirectorsandsupervisors">Model!$729:$729</definedName>
    <definedName name="z_M2B13B0184_MO_CFS_AcquisitionofAvailableforsalefinancialassets">Model!$740:$740</definedName>
    <definedName name="z_M2B13B0184_MO_CFS_Acquisitionofbusinesses">Model!$778:$778</definedName>
    <definedName name="z_M2B13B0184_MO_CFS_Acquisitionoffinancialassetsatamortizedcost">Model!$749:$749</definedName>
    <definedName name="z_M2B13B0184_MO_CFS_AcquisitionofFinancialassetscarriedatcost">Model!$743:$743</definedName>
    <definedName name="z_M2B13B0184_MO_CFS_Acquisitionofhedgingfinancialinstruments">Model!$750:$750</definedName>
    <definedName name="z_M2B13B0184_MO_CFS_AcquisitionofHeldtomaturityfinancialassets">Model!$741:$741</definedName>
    <definedName name="z_M2B13B0184_MO_CFS_AcquisitionofIntangibleassets">Model!$745:$745</definedName>
    <definedName name="z_M2B13B0184_MO_CFS_AcquisitionofInvestmentsaccountedforusingequitymethod">Model!$742:$742</definedName>
    <definedName name="z_M2B13B0184_MO_CFS_AcquisitionofInvestmentsaccountedforusingequitymethod_1">Model!$751:$751</definedName>
    <definedName name="z_M2B13B0184_MO_CFS_AcquisitionofLanduseright">Model!$746:$746</definedName>
    <definedName name="z_M2B13B0184_MO_CFS_AcquisitionofProperty">Model!$744:$744</definedName>
    <definedName name="z_M2B13B0184_MO_CFS_Acquisitionoftreasurystock">Model!$803:$803</definedName>
    <definedName name="z_M2B13B0184_MO_CFS_AcquisitonofFinancialassetsatfairvaluethroughothercomprehensiveincome">Model!$748:$748</definedName>
    <definedName name="z_M2B13B0184_MO_CFS_AcquisitonofFinancialinstrumentsatfairvaluethroughprofitorlossdebtinstruments">Model!$747:$747</definedName>
    <definedName name="z_M2B13B0184_MO_CFS_amortizationexpense">Model!$678:$678</definedName>
    <definedName name="z_M2B13B0184_MO_CFS_amortizationofpremiumdiscountoffinancialassets">Model!$680:$680</definedName>
    <definedName name="z_M2B13B0184_MO_CFS_BeginningCashBalance">Model!$813:$813</definedName>
    <definedName name="z_M2B13B0184_MO_CFS_Cashdividends">Model!$801:$801</definedName>
    <definedName name="z_M2B13B0184_MO_CFS_Cashdividendsreceivedfromequitymethodinvestees">Model!$701:$701</definedName>
    <definedName name="z_M2B13B0184_MO_CFS_Cashpaidforincometaxes">Model!$819:$819</definedName>
    <definedName name="z_M2B13B0184_MO_CFS_Cashpaidforinterest">Model!$816:$816</definedName>
    <definedName name="z_M2B13B0184_MO_CFS_Cashpaidforinterest_1">Model!$818:$818</definedName>
    <definedName name="z_M2B13B0184_MO_CFS_Cashreceivedforinterest">Model!$817:$817</definedName>
    <definedName name="z_M2B13B0184_MO_CFS_Cashreceivedfromotherlongtermreceivables">Model!$770:$770</definedName>
    <definedName name="z_M2B13B0184_MO_CFS_CFCheck">Model!$821:$821</definedName>
    <definedName name="z_M2B13B0184_MO_CFS_CFF">Model!$783:$783</definedName>
    <definedName name="z_M2B13B0184_MO_CFS_CFI">Model!$739:$739</definedName>
    <definedName name="z_M2B13B0184_MO_CFS_CFO">Model!$673:$673</definedName>
    <definedName name="z_M2B13B0184_MO_CFS_CFObeforeWC">Model!$715:$715</definedName>
    <definedName name="z_M2B13B0184_MO_CFS_ChangeinWCandothers">Model!$735:$735</definedName>
    <definedName name="z_M2B13B0184_MO_CFS_costsfromenteringintohedgingtransactions">Model!$766:$766</definedName>
    <definedName name="z_M2B13B0184_MO_CFS_decreaseinnoncontrollinginterests">Model!$805:$805</definedName>
    <definedName name="z_M2B13B0184_MO_CFS_decreaseinobligationsunderfinanceleases">Model!$797:$797</definedName>
    <definedName name="z_M2B13B0184_MO_CFS_decreaseinreceivablesfortemporarypayments">Model!$779:$779</definedName>
    <definedName name="z_M2B13B0184_MO_CFS_decreaseinshorttermloans">Model!$784:$784</definedName>
    <definedName name="z_M2B13B0184_MO_CFS_deferredcredits">Model!$734:$734</definedName>
    <definedName name="z_M2B13B0184_MO_CFS_deferredincometax">Model!$712:$712</definedName>
    <definedName name="z_M2B13B0184_MO_CFS_depreciationexpense">Model!$677:$677</definedName>
    <definedName name="z_M2B13B0184_MO_CFS_derecognitionofhedgingderivativefinancialinstruments">Model!$764:$764</definedName>
    <definedName name="z_M2B13B0184_MO_CFS_Derecognitionofhedgingfinancialinstruments">Model!$765:$765</definedName>
    <definedName name="z_M2B13B0184_MO_CFS_Discountsonshorttermloans">Model!$686:$686</definedName>
    <definedName name="z_M2B13B0184_MO_CFS_Disposalofownershipinterestsinsubsidiaries">Model!$804:$804</definedName>
    <definedName name="z_M2B13B0184_MO_CFS_Dividendincome">Model!$707:$707</definedName>
    <definedName name="z_M2B13B0184_MO_CFS_Dividendsreceivedfrominvestmentsaccountedforusingequitymethod">Model!$774:$774</definedName>
    <definedName name="z_M2B13B0184_MO_CFS_effectofchangesinconsolidatedentities">Model!$809:$809</definedName>
    <definedName name="z_M2B13B0184_MO_CFS_EndingCashBalance">Model!$814:$814</definedName>
    <definedName name="z_M2B13B0184_MO_CFS_Equityinearningsofequitymethodinvestees">Model!$700:$700</definedName>
    <definedName name="z_M2B13B0184_MO_CFS_financecosts">Model!$683:$683</definedName>
    <definedName name="z_M2B13B0184_MO_CFS_financialinstrumentsatfairvaluethroughprofitorloss">Model!$716:$716</definedName>
    <definedName name="z_M2B13B0184_MO_CFS_FX">Model!$810:$810</definedName>
    <definedName name="z_M2B13B0184_MO_CFS_gainfromleaseagreementmodification">Model!$713:$713</definedName>
    <definedName name="z_M2B13B0184_MO_CFS_gainondeconsolidationofsubsidiary">Model!$704:$704</definedName>
    <definedName name="z_M2B13B0184_MO_CFS_gainondisposalofavailableforsalefinancialassets">Model!$697:$697</definedName>
    <definedName name="z_M2B13B0184_MO_CFS_gainondisposaloffinancialassetscarriedatcost">Model!$699:$699</definedName>
    <definedName name="z_M2B13B0184_MO_CFS_Gainondisposalofintangibleassets">Model!$689:$689</definedName>
    <definedName name="z_M2B13B0184_MO_CFS_gainonforeignexchange">Model!$706:$706</definedName>
    <definedName name="z_M2B13B0184_MO_CFS_gainonheldtomaturityfinancialassetsredeemedbytheissuer">Model!$698:$698</definedName>
    <definedName name="z_M2B13B0184_MO_CFS_guaranteedepositsreceived">Model!$798:$798</definedName>
    <definedName name="z_M2B13B0184_MO_CFS_guaranteedepositsrefunded">Model!$799:$799</definedName>
    <definedName name="z_M2B13B0184_MO_CFS_impairmentlossofnoncurrentassetsheldforsale">Model!$693:$693</definedName>
    <definedName name="z_M2B13B0184_MO_CFS_impairmentlossonfinancialassets">Model!$696:$696</definedName>
    <definedName name="z_M2B13B0184_MO_CFS_impairmentlossonintangibleassets">Model!$695:$695</definedName>
    <definedName name="z_M2B13B0184_MO_CFS_impairmentlossonproperty">Model!$694:$694</definedName>
    <definedName name="z_M2B13B0184_MO_CFS_incomebeforeincometax">Model!$674:$674</definedName>
    <definedName name="z_M2B13B0184_MO_CFS_Incomefromreceiptofequitysecuritiesinsettlementoftradereceivables">Model!$708:$708</definedName>
    <definedName name="z_M2B13B0184_MO_CFS_incometaxespaid">Model!$736:$736</definedName>
    <definedName name="z_M2B13B0184_MO_CFS_IncomeTaxesPaid_1">"Deleted"</definedName>
    <definedName name="z_M2B13B0184_MO_CFS_incometaxpayable">Model!$727:$727</definedName>
    <definedName name="z_M2B13B0184_MO_CFS_increaseindeferredcharges">Model!$763:$763</definedName>
    <definedName name="z_M2B13B0184_MO_CFS_IncreaseinHedgingFinancialLiabilitiesBankLoans">Model!$785:$785</definedName>
    <definedName name="z_M2B13B0184_MO_CFS_increaseinlongtermbankloans">Model!$787:$787</definedName>
    <definedName name="z_M2B13B0184_MO_CFS_Increaseinprepaymentsforleases">Model!$775:$775</definedName>
    <definedName name="z_M2B13B0184_MO_CFS_interestincome">Model!$685:$685</definedName>
    <definedName name="z_M2B13B0184_MO_CFS_interestpaid">Model!$793:$793</definedName>
    <definedName name="z_M2B13B0184_MO_CFS_interestreceived">Model!$767:$767</definedName>
    <definedName name="z_M2B13B0184_MO_CFS_inventories">Model!$720:$720</definedName>
    <definedName name="z_M2B13B0184_MO_CFS_lossarisingfromfairvaluehedges">Model!$710:$710</definedName>
    <definedName name="z_M2B13B0184_MO_CFS_lossfromhedginginstruments">Model!$709:$709</definedName>
    <definedName name="z_M2B13B0184_MO_CFS_lossfromliquidationofsubsidiaries">Model!$703:$703</definedName>
    <definedName name="z_M2B13B0184_MO_CFS_lossgainondisposalorretirementofpropertyplantandequipment">Model!$688:$688</definedName>
    <definedName name="z_M2B13B0184_MO_CFS_Lossondisposalofinvestmentsaccountedforusingequitymethod">Model!$702:$702</definedName>
    <definedName name="z_M2B13B0184_MO_CFS_Lossondisposalofinvestmentsindebtinstrumetsatfairvaluethoughothercomprehensiveincome">Model!$692:$692</definedName>
    <definedName name="z_M2B13B0184_MO_CFS_Lossonfinancialinstrumentsatfairvaluethroughprofitorloss">Model!$691:$691</definedName>
    <definedName name="z_M2B13B0184_MO_CFS_Lossonleasemodification">Model!$711:$711</definedName>
    <definedName name="z_M2B13B0184_MO_CFS_netcashinflowfromdisposalofsubsidiary">Model!$772:$772</definedName>
    <definedName name="z_M2B13B0184_MO_CFS_Netcashoutflowfromacquisitionofsubsidiary">Model!$771:$771</definedName>
    <definedName name="z_M2B13B0184_MO_CFS_NetCFF">Model!$807:$807</definedName>
    <definedName name="z_M2B13B0184_MO_CFS_NetCFI">Model!$781:$781</definedName>
    <definedName name="z_M2B13B0184_MO_CFS_NetCFO">Model!$737:$737</definedName>
    <definedName name="z_M2B13B0184_MO_CFS_NetChangeinCashBalance">Model!$811:$811</definedName>
    <definedName name="z_M2B13B0184_MO_CFS_netdefinedbenefitliability">Model!$732:$732</definedName>
    <definedName name="z_M2B13B0184_MO_CFS_netincomeattributabletoshareholdersoftheparent">Model!$675:$675</definedName>
    <definedName name="z_M2B13B0184_MO_CFS_netincomelossattributabletominorityinterests">Model!$676:$676</definedName>
    <definedName name="z_M2B13B0184_MO_CFS_notesandaccountsreceivable">Model!$717:$717</definedName>
    <definedName name="z_M2B13B0184_MO_CFS_Other_6">Model!$806:$806</definedName>
    <definedName name="z_M2B13B0184_MO_CFS_Othercurrentassets">Model!$723:$723</definedName>
    <definedName name="z_M2B13B0184_MO_CFS_Otherdividendsreceived">Model!$773:$773</definedName>
    <definedName name="z_M2B13B0184_MO_CFS_Otherfinancialassets">Model!$722:$722</definedName>
    <definedName name="z_M2B13B0184_MO_CFS_Othernoncurrentassets">Model!$724:$724</definedName>
    <definedName name="z_M2B13B0184_MO_CFS_Othernoncurrentliabilities">Model!$733:$733</definedName>
    <definedName name="z_M2B13B0184_MO_CFS_Otherreceivablesfromrelatedparties">Model!$719:$719</definedName>
    <definedName name="z_M2B13B0184_MO_CFS_Others">Model!$780:$780</definedName>
    <definedName name="z_M2B13B0184_MO_CFS_Others_1">Model!$714:$714</definedName>
    <definedName name="z_M2B13B0184_MO_CFS_payablestorelatedparties">Model!$726:$726</definedName>
    <definedName name="z_M2B13B0184_MO_CFS_Paymentsfortransactioncostsattributabletotheissuanceofbonds">Model!$796:$796</definedName>
    <definedName name="z_M2B13B0184_MO_CFS_Prepaidexpensesandothercurrentassets">Model!$721:$721</definedName>
    <definedName name="z_M2B13B0184_MO_CFS_proceedsfromdisposalorredemptionofavailableforsalefinancialassets">Model!$752:$752</definedName>
    <definedName name="z_M2B13B0184_MO_CFS_ProceedsfromdisposalorredemptionofFinancialassetsatamortizedcost">Model!$761:$761</definedName>
    <definedName name="z_M2B13B0184_MO_CFS_ProceedsfromdisposalorredemptionofFinancialassetsatfairvaluethroughothercomprehensiveincome">Model!$760:$760</definedName>
    <definedName name="z_M2B13B0184_MO_CFS_proceedsfromdisposalorredemptionoffinancialassetscarriedatcost">Model!$754:$754</definedName>
    <definedName name="z_M2B13B0184_MO_CFS_ProceedsfromdisposalorredemptionofFinancialinstrumentsatfairvaluethroughprofitorlossdebtinstruments">Model!$759:$759</definedName>
    <definedName name="z_M2B13B0184_MO_CFS_proceedsfromdisposalorredemptionofheldtomaturityfinancialassets">Model!$753:$753</definedName>
    <definedName name="z_M2B13B0184_MO_CFS_ProceedsfromdisposalorredemptionofIntangibleassets">Model!$762:$762</definedName>
    <definedName name="z_M2B13B0184_MO_CFS_ProceedsfromdisposalorredemptionofInvestmentsaccountedforusingequitymethod">Model!$755:$755</definedName>
    <definedName name="z_M2B13B0184_MO_CFS_proceedsfromdisposalorredemptionofproperty">Model!$756:$756</definedName>
    <definedName name="z_M2B13B0184_MO_CFS_proceedsfromdonation">Model!$800:$800</definedName>
    <definedName name="z_M2B13B0184_MO_CFS_proceedsfromexerciseofemployeestockoptions">Model!$802:$802</definedName>
    <definedName name="z_M2B13B0184_MO_CFS_Proceedsfromgovernmentgrantslanduserightandothers">Model!$768:$768</definedName>
    <definedName name="z_M2B13B0184_MO_CFS_proceedsfromgovernmentgrantsproperty">Model!$769:$769</definedName>
    <definedName name="z_M2B13B0184_MO_CFS_proceedsfromissuanceofbonds">Model!$786:$786</definedName>
    <definedName name="z_M2B13B0184_MO_CFS_Proceedsfromlongtermbankloans">"Deleted"</definedName>
    <definedName name="z_M2B13B0184_MO_CFS_proceedsfromreturnofcapitaloffinancialassetscarriedatcost">Model!$757:$757</definedName>
    <definedName name="z_M2B13B0184_MO_CFS_Proceedsfromreturnofcapitalofinvestmentsinequityinstrumentsatfairvaluethroughothercomprehensiveincome">Model!$758:$758</definedName>
    <definedName name="z_M2B13B0184_MO_CFS_Proceedsfromshorttermbillspayable">Model!$794:$794</definedName>
    <definedName name="z_M2B13B0184_MO_CFS_provisions">Model!$731:$731</definedName>
    <definedName name="z_M2B13B0184_MO_CFS_receivablesfromrelatedparties">Model!$718:$718</definedName>
    <definedName name="z_M2B13B0184_MO_CFS_refundabledepositspaid">Model!$776:$776</definedName>
    <definedName name="z_M2B13B0184_MO_CFS_refundabledepositsrefunded">Model!$777:$777</definedName>
    <definedName name="z_M2B13B0184_MO_CFS_repaymentofbonds">Model!$790:$790</definedName>
    <definedName name="z_M2B13B0184_MO_CFS_Repaymentofbondsandinterestprepaid">"Deleted"</definedName>
    <definedName name="z_M2B13B0184_MO_CFS_repaymentoflongtermbankloans">Model!$788:$788</definedName>
    <definedName name="z_M2B13B0184_MO_CFS_repaymentoflongtermbankloans_1">Model!$791:$791</definedName>
    <definedName name="z_M2B13B0184_MO_CFS_Repaymentofotherlongtermpayables">Model!$789:$789</definedName>
    <definedName name="z_M2B13B0184_MO_CFS_Repaymentofprincipalportionofleaseliabilities">Model!$792:$792</definedName>
    <definedName name="z_M2B13B0184_MO_CFS_Repaymentsofshorttermbillspayable">Model!$795:$795</definedName>
    <definedName name="z_M2B13B0184_MO_CFS_Reversalofexpectedcreditlossesoninvestmentsindebtinstruments">Model!$682:$682</definedName>
    <definedName name="z_M2B13B0184_MO_CFS_Reversalofimpairmentlossonproperty">Model!$690:$690</definedName>
    <definedName name="z_M2B13B0184_MO_CFS_salaryandbonuspayable">Model!$728:$728</definedName>
    <definedName name="z_M2B13B0184_MO_CFS_Sharebasedcompensation">Model!$687:$687</definedName>
    <definedName name="z_M2B13B0184_MO_CFS_shareofprofitsofassociates">Model!$684:$684</definedName>
    <definedName name="z_M2B13B0184_MO_CFS_stockoptioncompensationcostofsubsidiary">Model!$681:$681</definedName>
    <definedName name="z_M2B13B0184_MO_CFS_unrealizedgrossprofitfromaffiliates">Model!$679:$679</definedName>
    <definedName name="z_M2B13B0184_MO_CFS_unrealizedgrossprofitonsalestoassociates">Model!$705:$705</definedName>
    <definedName name="z_M2B13B0184_MO_CFSum_Acquisitions">Model!$459:$459</definedName>
    <definedName name="z_M2B13B0184_MO_CFSum_Capex">Model!$457:$457</definedName>
    <definedName name="z_M2B13B0184_MO_CFSum_CashFlowPerADS">"Deleted"</definedName>
    <definedName name="z_M2B13B0184_MO_CFSum_CashFlowPerDilutedShare">Model!$454:$454</definedName>
    <definedName name="z_M2B13B0184_MO_CFSum_CashFlowPerDilutedShare_1">Model!$455:$455</definedName>
    <definedName name="z_M2B13B0184_MO_CFSum_ChangeinWorkingCapital">Model!$452:$452</definedName>
    <definedName name="z_M2B13B0184_MO_CFSum_ConsensusEstimatesCapex">Model!$458:$458</definedName>
    <definedName name="z_M2B13B0184_MO_CFSum_consensusestimatescashflowperdilutedshare">Model!$456:$456</definedName>
    <definedName name="z_M2B13B0184_MO_CFSum_Divestiture">Model!$460:$460</definedName>
    <definedName name="z_M2B13B0184_MO_CFSum_DividendPaid">Model!$461:$461</definedName>
    <definedName name="z_M2B13B0184_MO_CFSum_DividendPerADS">"Deleted"</definedName>
    <definedName name="z_M2B13B0184_MO_CFSum_DividendPerShare">Model!$462:$462</definedName>
    <definedName name="z_M2B13B0184_MO_CFSum_EstimatedSharePriceforIssuanceBuybacks">Model!$466:$466</definedName>
    <definedName name="z_M2B13B0184_MO_CFSum_FCF">Model!$468:$468</definedName>
    <definedName name="z_M2B13B0184_MO_CFSum_FCF_1">Model!$469:$469</definedName>
    <definedName name="z_M2B13B0184_MO_CFSum_FCF_2">Model!$470:$470</definedName>
    <definedName name="z_M2B13B0184_MO_CFSum_FCF_4">Model!$472:$472</definedName>
    <definedName name="z_M2B13B0184_MO_CFSum_FCFPostDiv_1">Model!$473:$473</definedName>
    <definedName name="z_M2B13B0184_MO_CFSum_FCFPostDiv_2">Model!$474:$474</definedName>
    <definedName name="z_M2B13B0184_MO_CFSum_FCFPostDivDebtBuyback">Model!$471:$471</definedName>
    <definedName name="z_M2B13B0184_MO_CFSum_FCFPostDivDebtBuyback_1">Model!$475:$475</definedName>
    <definedName name="z_M2B13B0184_MO_CFSum_NetDebtIssuanceRepayment">Model!$464:$464</definedName>
    <definedName name="z_M2B13B0184_MO_CFSum_NetShareIssuanceBuybacks">Model!$465:$465</definedName>
    <definedName name="z_M2B13B0184_MO_CFSum_OperatingCashFlowafterWC">Model!$453:$453</definedName>
    <definedName name="z_M2B13B0184_MO_CFSum_OperatingCashFlowbeforeWC">Model!$451:$451</definedName>
    <definedName name="z_M2B13B0184_MO_Checks_SNA_AdjustedNumbersFYSumofQs">Model!$968:$968</definedName>
    <definedName name="z_M2B13B0184_MO_Checks_SNA_BalanceSheetisnotRepeated">Model!$964:$964</definedName>
    <definedName name="z_M2B13B0184_MO_Checks_SNA_CapexisUpdated">Model!$966:$966</definedName>
    <definedName name="z_M2B13B0184_MO_Checks_SNA_CashFlowisnotRepeated">Model!$962:$962</definedName>
    <definedName name="z_M2B13B0184_MO_Checks_SNA_CashFlowSummarySignsareCorrect">Model!$969:$969</definedName>
    <definedName name="z_M2B13B0184_MO_Checks_SNA_CashisPositive">Model!$959:$959</definedName>
    <definedName name="z_M2B13B0184_MO_Checks_SNA_CFFsubtotalFYSumofQs">Model!$975:$975</definedName>
    <definedName name="z_M2B13B0184_MO_Checks_SNA_CFIsubtotalFYSumofQs">Model!$974:$974</definedName>
    <definedName name="z_M2B13B0184_MO_Checks_SNA_CFOBeforeWCsubtotalFYSumofQs">Model!$972:$972</definedName>
    <definedName name="z_M2B13B0184_MO_Checks_SNA_CFOsubtotalFYSumofQs">Model!$973:$973</definedName>
    <definedName name="z_M2B13B0184_MO_Checks_SNA_CFSummaryFYSumofQs">Model!$976:$976</definedName>
    <definedName name="z_M2B13B0184_MO_Checks_SNA_DebtisPositive">Model!$960:$960</definedName>
    <definedName name="z_M2B13B0184_MO_Checks_SNA_EndingCFEndingCumulativeCF">Model!$965:$965</definedName>
    <definedName name="z_M2B13B0184_MO_Checks_SNA_IncomeStatementisnotRepeated">Model!$963:$963</definedName>
    <definedName name="z_M2B13B0184_MO_Checks_SNA_Marginaddsupto100">"Deleted"</definedName>
    <definedName name="z_M2B13B0184_MO_Checks_SNA_MarginisUpdated">Model!$967:$967</definedName>
    <definedName name="z_M2B13B0184_MO_Checks_SNA_NetIncomeonReportedISNIonRevised">Model!$958:$958</definedName>
    <definedName name="z_M2B13B0184_MO_Checks_SNA_NetIncomeonRevisedISNIonCFstatement">Model!$957:$957</definedName>
    <definedName name="z_M2B13B0184_MO_Checks_SNA_RISAdjustedNIFYSumofQs">Model!$971:$971</definedName>
    <definedName name="z_M2B13B0184_MO_Checks_SNA_RISNIFYSumofQs">Model!$970:$970</definedName>
    <definedName name="z_M2B13B0184_MO_Checks_SNA_SegmentedRevenueRevenue">Model!$961:$961</definedName>
    <definedName name="z_M2B13B0184_MO_DAF_AmortizationaspercentageofIntangiblesBoP">Model!$848:$848</definedName>
    <definedName name="z_M2B13B0184_MO_DAF_Amortizationofintangibles">Model!$842:$842</definedName>
    <definedName name="z_M2B13B0184_MO_DAF_Capexofintangibles">Model!$843:$843</definedName>
    <definedName name="z_M2B13B0184_MO_DAF_CapexofPPE">Model!$837:$837</definedName>
    <definedName name="z_M2B13B0184_MO_DAF_DepreciationaspercentageofPPEBoP">Model!$847:$847</definedName>
    <definedName name="z_M2B13B0184_MO_DAF_Depreciationoffixedassets">Model!$836:$836</definedName>
    <definedName name="z_M2B13B0184_MO_DAF_Impliedlifeoffixedassets">Model!$849:$849</definedName>
    <definedName name="z_M2B13B0184_MO_DAF_Impliedlifeofintangibles">Model!$850:$850</definedName>
    <definedName name="z_M2B13B0184_MO_DAF_IntangiblesBoP">Model!$841:$841</definedName>
    <definedName name="z_M2B13B0184_MO_DAF_IntangiblesEoP">Model!$845:$845</definedName>
    <definedName name="z_M2B13B0184_MO_DAF_Othernetadditionstointangibles">Model!$844:$844</definedName>
    <definedName name="z_M2B13B0184_MO_DAF_OthernetadditionstoPPE">Model!$838:$838</definedName>
    <definedName name="z_M2B13B0184_MO_DAF_Percentageofcapexallocatedtointangibleassets">Model!$854:$854</definedName>
    <definedName name="z_M2B13B0184_MO_DAF_PPEBoP">Model!$835:$835</definedName>
    <definedName name="z_M2B13B0184_MO_DAF_PPEEoP">Model!$839:$839</definedName>
    <definedName name="z_M2B13B0184_MO_DAF_TotalCapex">Model!$853:$853</definedName>
    <definedName name="z_M2B13B0184_MO_DAF_TotalDA">Model!$852:$852</definedName>
    <definedName name="z_M2B13B0184_MO_GA_Automotiverevenuegrowth">Model!$18:$18</definedName>
    <definedName name="z_M2B13B0184_MO_GA_ConsensusEstimatesNetRevenue">Model!$26:$26</definedName>
    <definedName name="z_M2B13B0184_MO_GA_ConsolidatedrevenueinUSDCalculated">Model!$30:$30</definedName>
    <definedName name="z_M2B13B0184_MO_GA_ConsolidatedrevenueinUSDReported">Model!$31:$31</definedName>
    <definedName name="z_M2B13B0184_MO_GA_Digitalconsumerelectronicsrevenuegrowth">Model!$21:$21</definedName>
    <definedName name="z_M2B13B0184_MO_GA_Highperformancecomputingrevenuegrowth">Model!$12:$12</definedName>
    <definedName name="z_M2B13B0184_MO_GA_Internetofthingsrevenuegrowth">Model!$15:$15</definedName>
    <definedName name="z_M2B13B0184_MO_GA_Otherrevenuegrowth">Model!$24:$24</definedName>
    <definedName name="z_M2B13B0184_MO_GA_Smartphonerevenuegrowth">Model!$9:$9</definedName>
    <definedName name="z_M2B13B0184_MO_GA_TotalRevenueGrowth">Model!$28:$28</definedName>
    <definedName name="z_M2B13B0184_MO_Header_ColumnHeader">Model!$5:$5</definedName>
    <definedName name="z_M2B13B0184_MO_Header_CompanySubTitle">Model!$2:$2</definedName>
    <definedName name="z_M2B13B0184_MO_Header_CompanyTitle">Model!$1:$1</definedName>
    <definedName name="z_M2B13B0184_MO_Header_FPDays">Model!$3:$3</definedName>
    <definedName name="z_M2B13B0184_MO_Header_QEndDate">Model!$4:$4</definedName>
    <definedName name="z_M2B13B0184_MO_IS_CapitalizedinterestunderPPE">Model!$353:$353</definedName>
    <definedName name="z_M2B13B0184_MO_IS_casualtyloss">Model!$355:$355</definedName>
    <definedName name="z_M2B13B0184_MO_IS_costofrevenue">Model!$323:$323</definedName>
    <definedName name="z_M2B13B0184_MO_IS_Currentincometaxexpense">Model!$359:$359</definedName>
    <definedName name="z_M2B13B0184_MO_IS_Deferredincometaxbenefit">Model!$360:$360</definedName>
    <definedName name="z_M2B13B0184_MO_IS_Equityinearningsofequitymethodinvestees">Model!$335:$335</definedName>
    <definedName name="z_M2B13B0184_MO_IS_financecosts">Model!$354:$354</definedName>
    <definedName name="z_M2B13B0184_MO_IS_foreignexchangegain">Model!$338:$338</definedName>
    <definedName name="z_M2B13B0184_MO_IS_foreignexchangeloss">Model!$347:$347</definedName>
    <definedName name="z_M2B13B0184_MO_IS_gainonsettlementanddisposaloffinancialassets">Model!$339:$339</definedName>
    <definedName name="z_M2B13B0184_MO_IS_generalandadministrative">Model!$328:$328</definedName>
    <definedName name="z_M2B13B0184_MO_IS_grossprofit">Model!$326:$326</definedName>
    <definedName name="z_M2B13B0184_MO_IS_grossprofitbeforerealizedunrealizedgrossprofitonsalestoassociates">Model!$324:$324</definedName>
    <definedName name="z_M2B13B0184_MO_IS_impairmentlossonidleassets">Model!$345:$345</definedName>
    <definedName name="z_M2B13B0184_MO_IS_impairmentoffinancialassets">Model!$343:$343</definedName>
    <definedName name="z_M2B13B0184_MO_IS_incomebeforeincometax">Model!$358:$358</definedName>
    <definedName name="z_M2B13B0184_MO_IS_incomefromoperations">Model!$333:$333</definedName>
    <definedName name="z_M2B13B0184_MO_IS_incometaxexpense">Model!$361:$361</definedName>
    <definedName name="z_M2B13B0184_MO_IS_interestexpense">Model!$344:$344</definedName>
    <definedName name="z_M2B13B0184_MO_IS_Interestexpense_1">Model!$352:$352</definedName>
    <definedName name="z_M2B13B0184_MO_IS_interestincome">Model!$336:$336</definedName>
    <definedName name="z_M2B13B0184_MO_IS_Interestonbankloans">Model!$350:$350</definedName>
    <definedName name="z_M2B13B0184_MO_IS_Interestoncorporatebonds">Model!$348:$348</definedName>
    <definedName name="z_M2B13B0184_MO_IS_Interestonleaseliabilities">Model!$349:$349</definedName>
    <definedName name="z_M2B13B0184_MO_IS_ISCheck">Model!$366:$366</definedName>
    <definedName name="z_M2B13B0184_MO_IS_lossondisposalofproperty">Model!$346:$346</definedName>
    <definedName name="z_M2B13B0184_MO_IS_marketing">Model!$329:$329</definedName>
    <definedName name="z_M2B13B0184_MO_IS_netincome">Model!$362:$362</definedName>
    <definedName name="z_M2B13B0184_MO_IS_netrevenue">Model!$322:$322</definedName>
    <definedName name="z_M2B13B0184_MO_IS_Othergainsandlosses">Model!$356:$356</definedName>
    <definedName name="z_M2B13B0184_MO_IS_Otherincome">Model!$342:$342</definedName>
    <definedName name="z_M2B13B0184_MO_IS_Otherinterest">Model!$351:$351</definedName>
    <definedName name="z_M2B13B0184_MO_IS_Otheroperatingincomeandexpenses">Model!$332:$332</definedName>
    <definedName name="z_M2B13B0184_MO_IS_realizedunrealizedgrossprofitonsalestoassociates">Model!$325:$325</definedName>
    <definedName name="z_M2B13B0184_MO_IS_researchanddevelopment">Model!$327:$327</definedName>
    <definedName name="z_M2B13B0184_MO_IS_Sales">Model!$330:$330</definedName>
    <definedName name="z_M2B13B0184_MO_IS_settlementincome">Model!$337:$337</definedName>
    <definedName name="z_M2B13B0184_MO_IS_shareofprofitsofassociates">Model!$334:$334</definedName>
    <definedName name="z_M2B13B0184_MO_IS_technicalserviceincome">Model!$340:$340</definedName>
    <definedName name="z_M2B13B0184_MO_IS_totalnonoperatingincomeandexpenses">Model!$357:$357</definedName>
    <definedName name="z_M2B13B0184_MO_IS_totaloperatingexpense">Model!$331:$331</definedName>
    <definedName name="z_M2B13B0184_MO_IS_valuationgainonfinancialinstruments">Model!$341:$341</definedName>
    <definedName name="z_M2B13B0184_MO_MA_AddbackAmortizationofIntangiblesMargin">"Deleted"</definedName>
    <definedName name="z_M2B13B0184_MO_MA_AddbackDepreciationMargin">Model!$315:$315</definedName>
    <definedName name="z_M2B13B0184_MO_MA_AddbackSBCMargin">Model!$316:$316</definedName>
    <definedName name="z_M2B13B0184_MO_MA_AdjustedEBITDAMargin">Model!$318:$318</definedName>
    <definedName name="z_M2B13B0184_MO_MA_AdjustedEBITMargin">Model!$312:$312</definedName>
    <definedName name="z_M2B13B0184_MO_MA_AverageFXRate">Model!$512:$512</definedName>
    <definedName name="z_M2B13B0184_MO_MA_COGSMargin_3">Model!$302:$302</definedName>
    <definedName name="z_M2B13B0184_MO_MA_COGSMarginExcludingDA">"Deleted"</definedName>
    <definedName name="z_M2B13B0184_MO_MA_COGSMarginExcludingDA_1">"Deleted"</definedName>
    <definedName name="z_M2B13B0184_MO_MA_consensusestimatesadjustedebitdamargin">Model!$319:$319</definedName>
    <definedName name="z_M2B13B0184_MO_MA_ConsensusEstimatesAdjustedEBITMargin">Model!$313:$313</definedName>
    <definedName name="z_M2B13B0184_MO_MA_consensusestimatesgrossmargin">Model!$304:$304</definedName>
    <definedName name="z_M2B13B0184_MO_MA_EBITDAMargin">Model!$317:$317</definedName>
    <definedName name="z_M2B13B0184_MO_MA_EBITMargin">Model!$311:$311</definedName>
    <definedName name="z_M2B13B0184_MO_MA_EoPFXRate">Model!$513:$513</definedName>
    <definedName name="z_M2B13B0184_MO_MA_GAMargin">Model!$307:$307</definedName>
    <definedName name="z_M2B13B0184_MO_MA_GAMarginadjforSBC">"Deleted"</definedName>
    <definedName name="z_M2B13B0184_MO_MA_GrossMargin_3">Model!$303:$303</definedName>
    <definedName name="z_M2B13B0184_MO_MA_GrossMarginExcludingDA">"Deleted"</definedName>
    <definedName name="z_M2B13B0184_MO_MA_GrossMarginExcludingDA_1">"Deleted"</definedName>
    <definedName name="z_M2B13B0184_MO_MA_MarketCapAvg">"Deleted"</definedName>
    <definedName name="z_M2B13B0184_MO_MA_OtheritemsMargin">Model!$310:$310</definedName>
    <definedName name="z_M2B13B0184_MO_MA_RDMargin">Model!$306:$306</definedName>
    <definedName name="z_M2B13B0184_MO_MA_RDMargin_2">"Deleted"</definedName>
    <definedName name="z_M2B13B0184_MO_MA_SGAMargin">Model!$309:$309</definedName>
    <definedName name="z_M2B13B0184_MO_MA_SMMargin">Model!$308:$308</definedName>
    <definedName name="z_M2B13B0184_MO_MA_StockEoP">Model!$511:$511</definedName>
    <definedName name="z_M2B13B0184_MO_MA_StockPriceReportingCurpershareAvg">"Deleted"</definedName>
    <definedName name="z_M2B13B0184_MO_MA_StockPriceTradingCurAvg">Model!$497:$497</definedName>
    <definedName name="z_M2B13B0184_MO_OS_011013micronrevenue">Model!$116:$116</definedName>
    <definedName name="z_M2B13B0184_MO_OS_011013micronrevenuecontribution">Model!$100:$100</definedName>
    <definedName name="z_M2B13B0184_MO_OS_015018micronrevenue">Model!$117:$117</definedName>
    <definedName name="z_M2B13B0184_MO_OS_015018micronrevenuecontribution">Model!$101:$101</definedName>
    <definedName name="z_M2B13B0184_MO_OS_025micronandaboverevenue">Model!$118:$118</definedName>
    <definedName name="z_M2B13B0184_MO_OS_025micronandaboverevenuecontribution">Model!$102:$102</definedName>
    <definedName name="z_M2B13B0184_MO_OS_10nanometerrevenue">Model!$108:$108</definedName>
    <definedName name="z_M2B13B0184_MO_OS_10nanometerrevenuecontribution">Model!$92:$92</definedName>
    <definedName name="z_M2B13B0184_MO_OS_12equivalentwafershipment">Model!$126:$126</definedName>
    <definedName name="z_M2B13B0184_MO_OS_1620nanometerrevenue">Model!$109:$109</definedName>
    <definedName name="z_M2B13B0184_MO_OS_1620nanometerrevenue_2">Model!$111:$111</definedName>
    <definedName name="z_M2B13B0184_MO_OS_1620nanometerrevenuecontribution">Model!$95:$95</definedName>
    <definedName name="z_M2B13B0184_MO_OS_16nanometerrevenuecontribution">Model!$93:$93</definedName>
    <definedName name="z_M2B13B0184_MO_OS_20nanometerrevenue_1">Model!$110:$110</definedName>
    <definedName name="z_M2B13B0184_MO_OS_20nanometerrevenuecontribution">Model!$94:$94</definedName>
    <definedName name="z_M2B13B0184_MO_OS_28nanometerrevenue">Model!$112:$112</definedName>
    <definedName name="z_M2B13B0184_MO_OS_28nanometerrevenuecontribution">Model!$96:$96</definedName>
    <definedName name="z_M2B13B0184_MO_OS_3nanometerrevenue_1">Model!$105:$105</definedName>
    <definedName name="z_M2B13B0184_MO_OS_3nanometerrevenuecontribution">Model!$89:$89</definedName>
    <definedName name="z_M2B13B0184_MO_OS_4045nanometerrevenue">Model!$113:$113</definedName>
    <definedName name="z_M2B13B0184_MO_OS_4045nanometerrevenuecontribution">Model!$97:$97</definedName>
    <definedName name="z_M2B13B0184_MO_OS_5nanometerrevenuecontribution">Model!$90:$90</definedName>
    <definedName name="z_M2B13B0184_MO_OS_5YrCAGRofAIProcessorsrevenue20242028">Model!$186:$186</definedName>
    <definedName name="z_M2B13B0184_MO_OS_65nanometerrevenue">Model!$114:$114</definedName>
    <definedName name="z_M2B13B0184_MO_OS_65nanometerrevenuecontribution">Model!$98:$98</definedName>
    <definedName name="z_M2B13B0184_MO_OS_7nanometerrevenue">Model!$107:$107</definedName>
    <definedName name="z_M2B13B0184_MO_OS_7nanometerrevenuecontribution">Model!$91:$91</definedName>
    <definedName name="z_M2B13B0184_MO_OS_90nanometerrevenue">Model!$115:$115</definedName>
    <definedName name="z_M2B13B0184_MO_OS_90nanometerrevenuecontribution">Model!$99:$99</definedName>
    <definedName name="z_M2B13B0184_MO_OS_AIProcessorsrevenuecontribution">Model!$183:$183</definedName>
    <definedName name="z_M2B13B0184_MO_OS_AIProcessorsrevenuecontributionCalculated">Model!$184:$184</definedName>
    <definedName name="z_M2B13B0184_MO_OS_Annual12equivalentwafercapacity">Model!$124:$124</definedName>
    <definedName name="z_M2B13B0184_MO_OS_asia">Model!$270:$270</definedName>
    <definedName name="z_M2B13B0184_MO_OS_Asia_1">Model!$137:$137</definedName>
    <definedName name="z_M2B13B0184_MO_OS_AsiaContribution">Model!$146:$146</definedName>
    <definedName name="z_M2B13B0184_MO_OS_Asianoncurrentassets">Model!$170:$170</definedName>
    <definedName name="z_M2B13B0184_MO_OS_AsiaPacificexChinaJapanRevenue">Model!$155:$155</definedName>
    <definedName name="z_M2B13B0184_MO_OS_AsiaPacificexChinaJapanRevenueContribution">Model!$162:$162</definedName>
    <definedName name="z_M2B13B0184_MO_OS_AssistantEngineersClericals">Model!$238:$238</definedName>
    <definedName name="z_M2B13B0184_MO_OS_AutomotiveQoQchange">Model!$17:$17</definedName>
    <definedName name="z_M2B13B0184_MO_OS_Automotiverevenue_1">Model!$16:$16</definedName>
    <definedName name="z_M2B13B0184_MO_OS_BiCMOSrevenue">Model!$285:$285</definedName>
    <definedName name="z_M2B13B0184_MO_OS_BillingUtilizationRate">Model!$130:$130</definedName>
    <definedName name="z_M2B13B0184_MO_OS_BlendedWaferASP">Model!$131:$131</definedName>
    <definedName name="z_M2B13B0184_MO_OS_Capex">Model!$86:$86</definedName>
    <definedName name="z_M2B13B0184_MO_OS_CentralTaiwanScienceParkTaiwanemployees">Model!$244:$244</definedName>
    <definedName name="z_M2B13B0184_MO_OS_China">Model!$136:$136</definedName>
    <definedName name="z_M2B13B0184_MO_OS_ChinaContribution">Model!$147:$147</definedName>
    <definedName name="z_M2B13B0184_MO_OS_Chinaemployees">Model!$249:$249</definedName>
    <definedName name="z_M2B13B0184_MO_OS_Chinanoncurrentassets">Model!$171:$171</definedName>
    <definedName name="z_M2B13B0184_MO_OS_ChinaRevenue">Model!$156:$156</definedName>
    <definedName name="z_M2B13B0184_MO_OS_ChinaRevenueContribution">Model!$163:$163</definedName>
    <definedName name="z_M2B13B0184_MO_OS_COGS">Model!$35:$35</definedName>
    <definedName name="z_M2B13B0184_MO_OS_Communicationrevenuecontribution">Model!$262:$262</definedName>
    <definedName name="z_M2B13B0184_MO_OS_Computerrevenuecontribution">Model!$264:$264</definedName>
    <definedName name="z_M2B13B0184_MO_OS_ConsensusEstimatesGrossMargin">Model!$39:$39</definedName>
    <definedName name="z_M2B13B0184_MO_OS_Consumerrevenuecontribution">Model!$265:$265</definedName>
    <definedName name="z_M2B13B0184_MO_OS_CoverPageADROutstanding">Model!$442:$442</definedName>
    <definedName name="z_M2B13B0184_MO_OS_CoverPageTotalOrdinarySharesOutstanding">Model!$441:$441</definedName>
    <definedName name="z_M2B13B0184_MO_OS_customera">Model!$178:$178</definedName>
    <definedName name="z_M2B13B0184_MO_OS_customerb">Model!$179:$179</definedName>
    <definedName name="z_M2B13B0184_MO_OS_DateofCoverPageShareCount">Model!$443:$443</definedName>
    <definedName name="z_M2B13B0184_MO_OS_DepreciationofPPEcalculated">Model!$71:$71</definedName>
    <definedName name="z_M2B13B0184_MO_OS_Depreciationofrightofuseassets">Model!$70:$70</definedName>
    <definedName name="z_M2B13B0184_MO_OS_DigitalconsumerelectronicsQoQchange">Model!$20:$20</definedName>
    <definedName name="z_M2B13B0184_MO_OS_Digitalconsumerelectronicsrevenue_1">Model!$19:$19</definedName>
    <definedName name="z_M2B13B0184_MO_OS_Dilutedsharecounttobasicsharecountratio">Model!$446:$446</definedName>
    <definedName name="z_M2B13B0184_MO_OS_DilutiveADR">Model!$445:$445</definedName>
    <definedName name="z_M2B13B0184_MO_OS_EarningsPerADRWAD">Model!$84:$84</definedName>
    <definedName name="z_M2B13B0184_MO_OS_EarningsPerShareWAD">Model!$83:$83</definedName>
    <definedName name="z_M2B13B0184_MO_OS_EBIT">Model!$59:$59</definedName>
    <definedName name="z_M2B13B0184_MO_OS_EBITMargin">Model!$61:$61</definedName>
    <definedName name="z_M2B13B0184_MO_OS_EMEARevenue">Model!$157:$157</definedName>
    <definedName name="z_M2B13B0184_MO_OS_EMEARevenueContribution">Model!$164:$164</definedName>
    <definedName name="z_M2B13B0184_MO_OS_EoPADROutstanding">Model!$433:$433</definedName>
    <definedName name="z_M2B13B0184_MO_OS_EoPforeignexchangedratereported">Model!$258:$258</definedName>
    <definedName name="z_M2B13B0184_MO_OS_EoPTotalDilutedADROutstanding">Model!$448:$448</definedName>
    <definedName name="z_M2B13B0184_MO_OS_EoPTotalOrdinarySharesOutstanding">Model!$432:$432</definedName>
    <definedName name="z_M2B13B0184_MO_OS_Europeemployees">Model!$251:$251</definedName>
    <definedName name="z_M2B13B0184_MO_OS_europethemiddleeastandafrica">Model!$271:$271</definedName>
    <definedName name="z_M2B13B0184_MO_OS_EuropetheMiddleEastandAfrica_1">Model!$138:$138</definedName>
    <definedName name="z_M2B13B0184_MO_OS_EuropetheMiddleEastandAfricaContribution">Model!$148:$148</definedName>
    <definedName name="z_M2B13B0184_MO_OS_EuropetheMiddleEastandAfricanoncurrentassets">Model!$172:$172</definedName>
    <definedName name="z_M2B13B0184_MO_OS_Fab10monthlywafercapacityatyearend">Model!$226:$226</definedName>
    <definedName name="z_M2B13B0184_MO_OS_Fab10mostadvancedprocess">Model!$194:$194</definedName>
    <definedName name="z_M2B13B0184_MO_OS_Fab10wafersize">Model!$210:$210</definedName>
    <definedName name="z_M2B13B0184_MO_OS_Fab11WaferTechmonthlywafercapacityatyearend">Model!$227:$227</definedName>
    <definedName name="z_M2B13B0184_MO_OS_Fab11WaferTechmostadvancedprocess">Model!$195:$195</definedName>
    <definedName name="z_M2B13B0184_MO_OS_Fab11WaferTechwafersize">Model!$211:$211</definedName>
    <definedName name="z_M2B13B0184_MO_OS_Fab12monthlywafercapacityatyearend">Model!$228:$228</definedName>
    <definedName name="z_M2B13B0184_MO_OS_Fab12mostadvancedprocess">Model!$196:$196</definedName>
    <definedName name="z_M2B13B0184_MO_OS_Fab12wafersize">Model!$212:$212</definedName>
    <definedName name="z_M2B13B0184_MO_OS_Fab14monthlywafercapacityatyearend">Model!$229:$229</definedName>
    <definedName name="z_M2B13B0184_MO_OS_Fab14mostadvancedprocess">Model!$197:$197</definedName>
    <definedName name="z_M2B13B0184_MO_OS_Fab14wafersize">Model!$213:$213</definedName>
    <definedName name="z_M2B13B0184_MO_OS_Fab15monthlywafercapacityatyearend">Model!$230:$230</definedName>
    <definedName name="z_M2B13B0184_MO_OS_Fab15mostadvancedprocess">Model!$198:$198</definedName>
    <definedName name="z_M2B13B0184_MO_OS_Fab15wafersize">Model!$214:$214</definedName>
    <definedName name="z_M2B13B0184_MO_OS_Fab16monthlywafercapacityatyearend">Model!$231:$231</definedName>
    <definedName name="z_M2B13B0184_MO_OS_Fab16mostadvancedprocess">Model!$199:$199</definedName>
    <definedName name="z_M2B13B0184_MO_OS_Fab16wafersize">Model!$215:$215</definedName>
    <definedName name="z_M2B13B0184_MO_OS_Fab18mostadvancedprocess">Model!$200:$200</definedName>
    <definedName name="z_M2B13B0184_MO_OS_Fab18wafersize">Model!$216:$216</definedName>
    <definedName name="z_M2B13B0184_MO_OS_Fab21mostadvancedprocess">Model!$201:$201</definedName>
    <definedName name="z_M2B13B0184_MO_OS_Fab21wafersize">Model!$217:$217</definedName>
    <definedName name="z_M2B13B0184_MO_OS_Fab23mostadvancedprocess">Model!$202:$202</definedName>
    <definedName name="z_M2B13B0184_MO_OS_Fab23wafersize">Model!$218:$218</definedName>
    <definedName name="z_M2B13B0184_MO_OS_Fab2monthlywafercapacityatyearend">Model!$221:$221</definedName>
    <definedName name="z_M2B13B0184_MO_OS_Fab2mostadvancedprocess">Model!$189:$189</definedName>
    <definedName name="z_M2B13B0184_MO_OS_Fab2wafersize">Model!$205:$205</definedName>
    <definedName name="z_M2B13B0184_MO_OS_Fab3monthlywafercapacityatyearend">Model!$222:$222</definedName>
    <definedName name="z_M2B13B0184_MO_OS_Fab3mostadvancedprocess">Model!$190:$190</definedName>
    <definedName name="z_M2B13B0184_MO_OS_Fab3wafersize">Model!$206:$206</definedName>
    <definedName name="z_M2B13B0184_MO_OS_Fab5monthlywafercapacityatyearend">Model!$223:$223</definedName>
    <definedName name="z_M2B13B0184_MO_OS_Fab5mostadvancedprocess">Model!$191:$191</definedName>
    <definedName name="z_M2B13B0184_MO_OS_Fab5wafersize">Model!$207:$207</definedName>
    <definedName name="z_M2B13B0184_MO_OS_Fab6monthlywafercapacityatyearend">Model!$224:$224</definedName>
    <definedName name="z_M2B13B0184_MO_OS_Fab6mostadvancedprocess">Model!$192:$192</definedName>
    <definedName name="z_M2B13B0184_MO_OS_Fab6wafersize">Model!$208:$208</definedName>
    <definedName name="z_M2B13B0184_MO_OS_Fab8monthlywafercapacityatyearend">Model!$225:$225</definedName>
    <definedName name="z_M2B13B0184_MO_OS_Fab8mostadvancedprocess">Model!$193:$193</definedName>
    <definedName name="z_M2B13B0184_MO_OS_Fab8wafersize">Model!$209:$209</definedName>
    <definedName name="z_M2B13B0184_MO_OS_Fablesssemiconductorcompaniessystemscompaniesrevenue">Model!$275:$275</definedName>
    <definedName name="z_M2B13B0184_MO_OS_FabUtilizationRatecalculated">Model!$129:$129</definedName>
    <definedName name="z_M2B13B0184_MO_OS_Financialassetsatfairvaluethroughothercomprehensiveincome">Model!$827:$827</definedName>
    <definedName name="z_M2B13B0184_MO_OS_FinancialassetsatfairvaluethroughothercomprehensiveincomeYYChange">Model!$832:$832</definedName>
    <definedName name="z_M2B13B0184_MO_OS_GAExpense">Model!$47:$47</definedName>
    <definedName name="z_M2B13B0184_MO_OS_GAMargin">Model!$49:$49</definedName>
    <definedName name="z_M2B13B0184_MO_OS_GrossMargin">Model!$38:$38</definedName>
    <definedName name="z_M2B13B0184_MO_OS_GrossProfit">Model!$36:$36</definedName>
    <definedName name="z_M2B13B0184_MO_OS_growthofrevenuefromroyalties">"Deleted"</definedName>
    <definedName name="z_M2B13B0184_MO_OS_growthofrevenuefromsaleofgoods">"Deleted"</definedName>
    <definedName name="z_M2B13B0184_MO_OS_HighperformancecomputingQoQchange">Model!$11:$11</definedName>
    <definedName name="z_M2B13B0184_MO_OS_Highperformancecomputingrevenue_1">Model!$10:$10</definedName>
    <definedName name="z_M2B13B0184_MO_OS_HsinchuScienceParkTaiwanemployees">Model!$242:$242</definedName>
    <definedName name="z_M2B13B0184_MO_OS_Implied12equivalentwafercapacitycalculated">Model!$125:$125</definedName>
    <definedName name="z_M2B13B0184_MO_OS_IndustrialStandardrevenuecontribution">Model!$263:$263</definedName>
    <definedName name="z_M2B13B0184_MO_OS_Integrateddevicemanufacturersrevenue">Model!$276:$276</definedName>
    <definedName name="z_M2B13B0184_MO_OS_InternetofthingsQoQchange">Model!$14:$14</definedName>
    <definedName name="z_M2B13B0184_MO_OS_Internetofthingsrevenue_1">Model!$13:$13</definedName>
    <definedName name="z_M2B13B0184_MO_OS_Inventories">Model!$825:$825</definedName>
    <definedName name="z_M2B13B0184_MO_OS_InventoriesYYChange">Model!$830:$830</definedName>
    <definedName name="z_M2B13B0184_MO_OS_Japan">Model!$139:$139</definedName>
    <definedName name="z_M2B13B0184_MO_OS_JapanContribution">Model!$149:$149</definedName>
    <definedName name="z_M2B13B0184_MO_OS_Japanemployees">Model!$252:$252</definedName>
    <definedName name="z_M2B13B0184_MO_OS_Japannoncurrentassets">Model!$173:$173</definedName>
    <definedName name="z_M2B13B0184_MO_OS_JapanRevenue">Model!$158:$158</definedName>
    <definedName name="z_M2B13B0184_MO_OS_JapanRevenueContribution">Model!$165:$165</definedName>
    <definedName name="z_M2B13B0184_MO_OS_KaohsiungNanzihTechnoloygIndustrialParkTaiwanemployees">Model!$247:$247</definedName>
    <definedName name="z_M2B13B0184_MO_OS_Koreaemployees">Model!$253:$253</definedName>
    <definedName name="z_M2B13B0184_MO_OS_Logicsemiconductorrevenue">Model!$281:$281</definedName>
    <definedName name="z_M2B13B0184_MO_OS_Logicsemiconductorrevenuecontribution">Model!$289:$289</definedName>
    <definedName name="z_M2B13B0184_MO_OS_Managers">Model!$236:$236</definedName>
    <definedName name="z_M2B13B0184_MO_OS_Memoryrevenue">Model!$283:$283</definedName>
    <definedName name="z_M2B13B0184_MO_OS_Memoryrevenuesemiconductorcontribution">Model!$291:$291</definedName>
    <definedName name="z_M2B13B0184_MO_OS_MiaoliCountryTaiwanemployees">Model!$246:$246</definedName>
    <definedName name="z_M2B13B0184_MO_OS_Mixedsignalsemiconductorrevenue">Model!$282:$282</definedName>
    <definedName name="z_M2B13B0184_MO_OS_Mixedsignalsemiconductorrevenuecontribution">Model!$290:$290</definedName>
    <definedName name="z_M2B13B0184_MO_OS_Netincomelossattributabletoshareholdersoftheparent">Model!$82:$82</definedName>
    <definedName name="z_M2B13B0184_MO_OS_Netrevenue_2">Model!$80:$80</definedName>
    <definedName name="z_M2B13B0184_MO_OS_netrevenuefromroyalties">Model!$298:$298</definedName>
    <definedName name="z_M2B13B0184_MO_OS_netrevenuefromsaleofgoods">Model!$297:$297</definedName>
    <definedName name="z_M2B13B0184_MO_OS_NorthAmericaemployees">Model!$250:$250</definedName>
    <definedName name="z_M2B13B0184_MO_OS_NorthAmericaRevenue">Model!$154:$154</definedName>
    <definedName name="z_M2B13B0184_MO_OS_NorthAmericaRevenueContribution">Model!$161:$161</definedName>
    <definedName name="z_M2B13B0184_MO_OS_Notesandaccountsreceivablenet">Model!$824:$824</definedName>
    <definedName name="z_M2B13B0184_MO_OS_NotesandaccountsreceivablenetYYChange">Model!$829:$829</definedName>
    <definedName name="z_M2B13B0184_MO_OS_OtherExpense">Model!$57:$57</definedName>
    <definedName name="z_M2B13B0184_MO_OS_OtherQoQchange">Model!$23:$23</definedName>
    <definedName name="z_M2B13B0184_MO_OS_Otherrevenue">Model!$120:$120</definedName>
    <definedName name="z_M2B13B0184_MO_OS_Otherrevenue_1">Model!$286:$286</definedName>
    <definedName name="z_M2B13B0184_MO_OS_Otherrevenue_4">Model!$22:$22</definedName>
    <definedName name="z_M2B13B0184_MO_OS_Otherrevenuecontribution">Model!$293:$293</definedName>
    <definedName name="z_M2B13B0184_MO_OS_Others">Model!$140:$140</definedName>
    <definedName name="z_M2B13B0184_MO_OS_OthersContribution">Model!$150:$150</definedName>
    <definedName name="z_M2B13B0184_MO_OS_Othersnoncurrentassets">Model!$174:$174</definedName>
    <definedName name="z_M2B13B0184_MO_OS_Othersrevenue">Model!$277:$277</definedName>
    <definedName name="z_M2B13B0184_MO_OS_Payablestocontractorsandequipmentsuppliers">Model!$826:$826</definedName>
    <definedName name="z_M2B13B0184_MO_OS_PayablestocontractorsandequipmentsuppliersYYChange">Model!$831:$831</definedName>
    <definedName name="z_M2B13B0184_MO_OS_Professionals">Model!$237:$237</definedName>
    <definedName name="z_M2B13B0184_MO_OS_QQbasicshareexpansionEoP">Model!$438:$438</definedName>
    <definedName name="z_M2B13B0184_MO_OS_QQbasicshareexpansionfromdilutivesecurities">Model!$434:$434</definedName>
    <definedName name="z_M2B13B0184_MO_OS_QQbasicshareexpansionfromshareissuancebuyback">Model!$436:$436</definedName>
    <definedName name="z_M2B13B0184_MO_OS_RDExpense">Model!$42:$42</definedName>
    <definedName name="z_M2B13B0184_MO_OS_RDMargin">Model!$44:$44</definedName>
    <definedName name="z_M2B13B0184_MO_OS_Revenue">Model!$34:$34</definedName>
    <definedName name="z_M2B13B0184_MO_OS_ROE">Model!$127:$127</definedName>
    <definedName name="z_M2B13B0184_MO_OS_Salesreturnsandallowances">Model!$141:$141</definedName>
    <definedName name="z_M2B13B0184_MO_OS_SalesreturnsandallowancesContribution">Model!$151:$151</definedName>
    <definedName name="z_M2B13B0184_MO_OS_SmartphoneQoQchange">Model!$8:$8</definedName>
    <definedName name="z_M2B13B0184_MO_OS_Smartphonerevenue_1">Model!$7:$7</definedName>
    <definedName name="z_M2B13B0184_MO_OS_SMExpense">Model!$52:$52</definedName>
    <definedName name="z_M2B13B0184_MO_OS_SMMargin">Model!$54:$54</definedName>
    <definedName name="z_M2B13B0184_MO_OS_SMMCmostadvancedprocess">Model!$203:$203</definedName>
    <definedName name="z_M2B13B0184_MO_OS_SouthernTaiwanScienceParkTaiwanemployees">Model!$243:$243</definedName>
    <definedName name="z_M2B13B0184_MO_OS_SSMCmonthlywafercapacityatyearend">Model!$232:$232</definedName>
    <definedName name="z_M2B13B0184_MO_OS_SSMCwafersize">Model!$219:$219</definedName>
    <definedName name="z_M2B13B0184_MO_OS_taiwan">Model!$268:$268</definedName>
    <definedName name="z_M2B13B0184_MO_OS_Taiwan_1">Model!$134:$134</definedName>
    <definedName name="z_M2B13B0184_MO_OS_TaiwanContribution">Model!$145:$145</definedName>
    <definedName name="z_M2B13B0184_MO_OS_Taiwannoncurrentassets">Model!$168:$168</definedName>
    <definedName name="z_M2B13B0184_MO_OS_TaoyuanCityTaiwanemployees">Model!$245:$245</definedName>
    <definedName name="z_M2B13B0184_MO_OS_Technicians">Model!$239:$239</definedName>
    <definedName name="z_M2B13B0184_MO_OS_TotalCMOSRevenue">Model!$284:$284</definedName>
    <definedName name="z_M2B13B0184_MO_OS_TotalCMOSRevenuecontribution">Model!$292:$292</definedName>
    <definedName name="z_M2B13B0184_MO_OS_Totaldepreciation">Model!$72:$72</definedName>
    <definedName name="z_M2B13B0184_MO_OS_TotalEmployees">Model!$240:$240</definedName>
    <definedName name="z_M2B13B0184_MO_OS_Totalemployees_1">Model!$254:$254</definedName>
    <definedName name="z_M2B13B0184_MO_OS_Totalmonthlywafercapacityatyearend">Model!$233:$233</definedName>
    <definedName name="z_M2B13B0184_MO_OS_totalnetrevenue">Model!$299:$299</definedName>
    <definedName name="z_M2B13B0184_MO_OS_Totalnoncurrentassets">Model!$175:$175</definedName>
    <definedName name="z_M2B13B0184_MO_OS_totalpercentageofrevenue">Model!$180:$180</definedName>
    <definedName name="z_M2B13B0184_MO_OS_TotalQoQchange">Model!$27:$27</definedName>
    <definedName name="z_M2B13B0184_MO_OS_totalrevenue">Model!$272:$272</definedName>
    <definedName name="z_M2B13B0184_MO_OS_Totalrevenue_1">Model!$121:$121</definedName>
    <definedName name="z_M2B13B0184_MO_OS_TotalRevenue_13">Model!$25:$25</definedName>
    <definedName name="z_M2B13B0184_MO_OS_TotalRevenue_2">Model!$142:$142</definedName>
    <definedName name="z_M2B13B0184_MO_OS_TotalRevenue_3">Model!$278:$278</definedName>
    <definedName name="z_M2B13B0184_MO_OS_TotalRevenue_7">Model!$159:$159</definedName>
    <definedName name="z_M2B13B0184_MO_OS_Totalrevenue_9">Model!$287:$287</definedName>
    <definedName name="z_M2B13B0184_MO_OS_TotalRevenuecontribution">Model!$266:$266</definedName>
    <definedName name="z_M2B13B0184_MO_OS_TotalRevenueContribution_1">Model!$166:$166</definedName>
    <definedName name="z_M2B13B0184_MO_OS_Totalrevenuecontribution_2">Model!$294:$294</definedName>
    <definedName name="z_M2B13B0184_MO_OS_TotalRevenueContribution_3">Model!$152:$152</definedName>
    <definedName name="z_M2B13B0184_MO_OS_TotalRevenueGrowth">"Deleted"</definedName>
    <definedName name="z_M2B13B0184_MO_OS_TotalTaiwanemployees">Model!$248:$248</definedName>
    <definedName name="z_M2B13B0184_MO_OS_Totalwaferrevenue">Model!$119:$119</definedName>
    <definedName name="z_M2B13B0184_MO_OS_Totalwaferrevenue_1">Model!$103:$103</definedName>
    <definedName name="z_M2B13B0184_MO_OS_unitedstates">Model!$269:$269</definedName>
    <definedName name="z_M2B13B0184_MO_OS_UnitedStates_1">Model!$135:$135</definedName>
    <definedName name="z_M2B13B0184_MO_OS_UnitedStatesContribution">Model!$144:$144</definedName>
    <definedName name="z_M2B13B0184_MO_OS_UnitedStatesnoncurrentassets">Model!$169:$169</definedName>
    <definedName name="z_M2B13B0184_MO_OS_Weightedaverageforeignexchangedratereported">Model!$257:$257</definedName>
    <definedName name="z_M2B13B0184_MO_OS_YYbasicshareexpansionEoP">Model!$439:$439</definedName>
    <definedName name="z_M2B13B0184_MO_OS_YYbasicshareexpansionfromdilutivesecurities">Model!$435:$435</definedName>
    <definedName name="z_M2B13B0184_MO_OS_YYbasicshareexpansionfromshareissuancebuyback">Model!$437:$437</definedName>
    <definedName name="z_M2B13B0184_MO_OS_YYgrowthinEBIT">Model!$60:$60</definedName>
    <definedName name="z_M2B13B0184_MO_OS_YYgrowthinGAexpense">Model!$48:$48</definedName>
    <definedName name="z_M2B13B0184_MO_OS_YYgrowthinGrossprofit">Model!$37:$37</definedName>
    <definedName name="z_M2B13B0184_MO_OS_YYgrowthinRDexpense">Model!$43:$43</definedName>
    <definedName name="z_M2B13B0184_MO_OS_YYgrowthinSMexpense">Model!$53:$53</definedName>
    <definedName name="z_M2B13B0184_MO_OS_YYGrowthofAIProcessorsrevenue">Model!$185:$185</definedName>
    <definedName name="z_M2B13B0184_MO_OS_YYimprovementinEBITMargin">Model!$62:$62</definedName>
    <definedName name="z_M2B13B0184_MO_OS_YYimprovementinGAMargin">Model!$50:$50</definedName>
    <definedName name="z_M2B13B0184_MO_OS_YYimprovementinGrossMargin">Model!$40:$40</definedName>
    <definedName name="z_M2B13B0184_MO_OS_YYimprovementinRDMargin">Model!$45:$45</definedName>
    <definedName name="z_M2B13B0184_MO_OS_YYimprovementinSMMargin">Model!$55:$55</definedName>
    <definedName name="z_M2B13B0184_MO_OS_YYROEimprovement">Model!$128:$128</definedName>
    <definedName name="z_M2B13B0184_MO_RIS_AddbackDA">Model!$384:$384</definedName>
    <definedName name="z_M2B13B0184_MO_RIS_AddbackDepreciation">"Deleted"</definedName>
    <definedName name="z_M2B13B0184_MO_RIS_AdjustedADSOutstandingWAD">Model!$427:$427</definedName>
    <definedName name="z_M2B13B0184_MO_RIS_AdjustedEarningsPerADSWAD">Model!$418:$418</definedName>
    <definedName name="z_M2B13B0184_MO_RIS_AdjustedEarningsPerShareWAD">Model!$414:$414</definedName>
    <definedName name="z_M2B13B0184_MO_RIS_AdjustedEBITDANoAdjustments">Model!$387:$387</definedName>
    <definedName name="z_M2B13B0184_MO_RIS_AdjustedEBITNoAdjustments">Model!$381:$381</definedName>
    <definedName name="z_M2B13B0184_MO_RIS_AdjustedNetIncome">Model!$407:$407</definedName>
    <definedName name="z_M2B13B0184_MO_RIS_AdjustedSharesOutstandingWAD">Model!$423:$423</definedName>
    <definedName name="z_M2B13B0184_MO_RIS_AdjustmentsforConvertibleSecurities">Model!$403:$403</definedName>
    <definedName name="z_M2B13B0184_MO_RIS_ADSOutstandingWAB">Model!$425:$425</definedName>
    <definedName name="z_M2B13B0184_MO_RIS_ADSOutstandingWAD">Model!$426:$426</definedName>
    <definedName name="z_M2B13B0184_MO_RIS_AmortizationofIntangibles">"Deleted"</definedName>
    <definedName name="z_M2B13B0184_MO_RIS_COGS_1">Model!$372:$372</definedName>
    <definedName name="z_M2B13B0184_MO_RIS_consensusestimatesadjustedearningspersharewad">Model!$419:$419</definedName>
    <definedName name="z_M2B13B0184_MO_RIS_ConsensusEstimatesAdjustedEBIT_1">Model!$382:$382</definedName>
    <definedName name="z_M2B13B0184_MO_RIS_consensusestimatesadjustedebitda">Model!$388:$388</definedName>
    <definedName name="z_M2B13B0184_MO_RIS_consensusestimatesnetrevenue">Model!$370:$370</definedName>
    <definedName name="z_M2B13B0184_MO_RIS_Currenttax">Model!$396:$396</definedName>
    <definedName name="z_M2B13B0184_MO_RIS_Currenttaxrate">Model!$409:$409</definedName>
    <definedName name="z_M2B13B0184_MO_RIS_DA">"Deleted"</definedName>
    <definedName name="z_M2B13B0184_MO_RIS_Deferredtax">Model!$397:$397</definedName>
    <definedName name="z_M2B13B0184_MO_RIS_Deferredtaxrate">Model!$410:$410</definedName>
    <definedName name="z_M2B13B0184_MO_RIS_DilutedNetIncometoCommonShareholders">Model!$404:$404</definedName>
    <definedName name="z_M2B13B0184_MO_RIS_DiscontinuedOperations">Model!$399:$399</definedName>
    <definedName name="z_M2B13B0184_MO_RIS_EarningsPerADSWAB">Model!$416:$416</definedName>
    <definedName name="z_M2B13B0184_MO_RIS_EarningsPerADSWAD">Model!$417:$417</definedName>
    <definedName name="z_M2B13B0184_MO_RIS_EarningsPerShareWAB">Model!$412:$412</definedName>
    <definedName name="z_M2B13B0184_MO_RIS_EarningsPerShareWAD">Model!$413:$413</definedName>
    <definedName name="z_M2B13B0184_MO_RIS_EarningstoPreferredandOtherSecurities">Model!$401:$401</definedName>
    <definedName name="z_M2B13B0184_MO_RIS_EBIT">Model!$380:$380</definedName>
    <definedName name="z_M2B13B0184_MO_RIS_EBIT_2">"Deleted"</definedName>
    <definedName name="z_M2B13B0184_MO_RIS_EBITDA">Model!$386:$386</definedName>
    <definedName name="z_M2B13B0184_MO_RIS_EBITDA_1">"Deleted"</definedName>
    <definedName name="z_M2B13B0184_MO_RIS_EBT">Model!$394:$394</definedName>
    <definedName name="z_M2B13B0184_MO_RIS_GeneralandadministrativeadjforSBC">Model!$376:$376</definedName>
    <definedName name="z_M2B13B0184_MO_RIS_GrossProfit">Model!$373:$373</definedName>
    <definedName name="z_M2B13B0184_MO_RIS_Incomefromequitymethodinvestments">Model!$391:$391</definedName>
    <definedName name="z_M2B13B0184_MO_RIS_Interestexpense">Model!$390:$390</definedName>
    <definedName name="z_M2B13B0184_MO_RIS_Marketing">Model!$377:$377</definedName>
    <definedName name="z_M2B13B0184_MO_RIS_NetIncomefromContinuedOperation">Model!$398:$398</definedName>
    <definedName name="z_M2B13B0184_MO_RIS_NetIncometoCommonShareholders">Model!$402:$402</definedName>
    <definedName name="z_M2B13B0184_MO_RIS_NetIncometoNCI">Model!$400:$400</definedName>
    <definedName name="z_M2B13B0184_MO_RIS_NetRevenue">Model!$369:$369</definedName>
    <definedName name="z_M2B13B0184_MO_RIS_NonGAAPAdjustments">Model!$405:$405</definedName>
    <definedName name="z_M2B13B0184_MO_RIS_NonGAAPAdjustmentsforDilutiveSecurities">Model!$406:$406</definedName>
    <definedName name="z_M2B13B0184_MO_RIS_Onetimeitem">Model!$393:$393</definedName>
    <definedName name="z_M2B13B0184_MO_RIS_Otheritems">Model!$392:$392</definedName>
    <definedName name="z_M2B13B0184_MO_RIS_OtherOPEX">Model!$379:$379</definedName>
    <definedName name="z_M2B13B0184_MO_RIS_RD_1">Model!$375:$375</definedName>
    <definedName name="z_M2B13B0184_MO_RIS_SBC">Model!$385:$385</definedName>
    <definedName name="z_M2B13B0184_MO_RIS_SGAadjforSBC">Model!$378:$378</definedName>
    <definedName name="z_M2B13B0184_MO_RIS_SharesOutstandingWAB">Model!$421:$421</definedName>
    <definedName name="z_M2B13B0184_MO_RIS_SharesOutstandingWAD">Model!$422:$422</definedName>
    <definedName name="z_M2B13B0184_MO_RIS_SharesperADRConversionRatio">Model!$430:$430</definedName>
    <definedName name="z_M2B13B0184_MO_Section_BS_BalanceSheet">Model!$856:$856</definedName>
    <definedName name="z_M2B13B0184_MO_Section_BSS_BalanceSheetSummary">Model!$477:$477</definedName>
    <definedName name="z_M2B13B0184_MO_Section_CCFS_CumulativeCashFlowStatement">Model!$523:$523</definedName>
    <definedName name="z_M2B13B0184_MO_Section_CFS_CashFlowStatement">Model!$672:$672</definedName>
    <definedName name="z_M2B13B0184_MO_Section_CFSum_CashFlowSummary">Model!$450:$450</definedName>
    <definedName name="z_M2B13B0184_MO_Section_DAF_DAForecasting">Model!$834:$834</definedName>
    <definedName name="z_M2B13B0184_MO_Section_GA_GrowthAnalysis">Model!$6:$6</definedName>
    <definedName name="z_M2B13B0184_MO_Section_IS_IncomeStatement">Model!$321:$321</definedName>
    <definedName name="z_M2B13B0184_MO_Section_MA_MarginAnalysis">Model!$301:$301</definedName>
    <definedName name="z_M2B13B0184_MO_Section_MC_ModelChecks">Model!$956:$956</definedName>
    <definedName name="z_M2B13B0184_MO_Section_OS_HistoricalResults">Model!$260:$260</definedName>
    <definedName name="z_M2B13B0184_MO_Section_OS_KeyMetricsAIProcessorsRevenueCC">Model!$182:$182</definedName>
    <definedName name="z_M2B13B0184_MO_Section_OS_KeyMetricsBreakdownbySemiconductorTypeFS">Model!$280:$280</definedName>
    <definedName name="z_M2B13B0184_MO_Section_OS_KeyMetricsCapacityUtilizationFSSI">Model!$123:$123</definedName>
    <definedName name="z_M2B13B0184_MO_Section_OS_KeyMetricsCompanyReportedForeignExchangeRateFS">Model!$256:$256</definedName>
    <definedName name="z_M2B13B0184_MO_Section_OS_KeyMetricsEmployees">Model!$235:$235</definedName>
    <definedName name="z_M2B13B0184_MO_Section_OS_KeyMetricsFabStatsFS">Model!$188:$188</definedName>
    <definedName name="z_M2B13B0184_MO_Section_OS_KeyMetricsMajorCustomerswithRevenues10FS">Model!$177:$177</definedName>
    <definedName name="z_M2B13B0184_MO_Section_OS_KeyMetricsUSDMetricsFSSI">Model!$79:$79</definedName>
    <definedName name="z_M2B13B0184_MO_Section_OS_OperatingExpenseForecasting">Model!$33:$33</definedName>
    <definedName name="z_M2B13B0184_MO_Section_OS_SBCDABreakdownFS">Model!$64:$64</definedName>
    <definedName name="z_M2B13B0184_MO_Section_OS_SegmentedResultsGeographicBreakdownFS">Model!$261:$261</definedName>
    <definedName name="z_M2B13B0184_MO_Section_OS_SegmentedResultsGeographicBreakdownFS_1">Model!$133:$133</definedName>
    <definedName name="z_M2B13B0184_MO_Section_OS_SegmentedResultsRevenueBreakdownbyCustomerTypeFS">Model!$274:$274</definedName>
    <definedName name="z_M2B13B0184_MO_Section_OS_SegmentedResultsRevenueBreakdownbyProductionFS">Model!$88:$88</definedName>
    <definedName name="z_M2B13B0184_MO_Section_OS_SegmentedResultsRevenueBreakdownFS">Model!$296:$296</definedName>
    <definedName name="z_M2B13B0184_MO_Section_OS_ShareCountAnalysis">Model!$429:$429</definedName>
    <definedName name="z_M2B13B0184_MO_Section_OS_SupplementalInformation">Model!$78:$78</definedName>
    <definedName name="z_M2B13B0184_MO_Section_OS_WorkingCapitalForecasting">Model!$823:$823</definedName>
    <definedName name="z_M2B13B0184_MO_Section_RIS_RevisedIncomeStatement">Model!$368:$368</definedName>
    <definedName name="z_M2B13B0184_MO_Section_SNA_Canalyst">Model!$1105:$1105</definedName>
    <definedName name="z_M2B13B0184_MO_Section_TB_Tables">Model!$978:$978</definedName>
    <definedName name="z_M2B13B0184_MO_Section_VA_Valuation">Model!$496:$496</definedName>
    <definedName name="z_M2B13B0184_MO_Unstructured_SNA_AdjustedEarningsPerADRNoAdjustmentsWAD">Model!$997:$997</definedName>
    <definedName name="z_M2B13B0184_MO_Unstructured_SNA_AdjustedEBITDANoAdjustments">Model!$995:$995</definedName>
    <definedName name="z_M2B13B0184_MO_Unstructured_SNA_AdjustedEBITNoAdjustments">Model!$996:$996</definedName>
    <definedName name="z_M2B13B0184_MO_Unstructured_SNA_AnnualGuidanceTable">Model!$1033:$1033</definedName>
    <definedName name="z_M2B13B0184_MO_Unstructured_SNA_ApplicablePeriod">Model!$1030:$1030</definedName>
    <definedName name="z_M2B13B0184_MO_Unstructured_SNA_ApplicablePeriod_1">Model!$1036:$1036</definedName>
    <definedName name="z_M2B13B0184_MO_Unstructured_SNA_ApplyTradeCurrencyScaling">Model!$1092:$1092</definedName>
    <definedName name="z_M2B13B0184_MO_Unstructured_SNA_Avg">Model!$990:$990</definedName>
    <definedName name="z_M2B13B0184_MO_Unstructured_SNA_Bloomberg">Model!$1056:$1056</definedName>
    <definedName name="z_M2B13B0184_MO_Unstructured_SNA_Bloomberg_1">Model!$1063:$1063</definedName>
    <definedName name="z_M2B13B0184_MO_Unstructured_SNA_Bloomberg_2">Model!$1070:$1070</definedName>
    <definedName name="z_M2B13B0184_MO_Unstructured_SNA_Bloomberg_3">Model!$1077:$1077</definedName>
    <definedName name="z_M2B13B0184_MO_Unstructured_SNA_CapitalIQ">Model!$1057:$1057</definedName>
    <definedName name="z_M2B13B0184_MO_Unstructured_SNA_CapitalIQ_1">Model!$1064:$1064</definedName>
    <definedName name="z_M2B13B0184_MO_Unstructured_SNA_CapitalIQ_2">Model!$1071:$1071</definedName>
    <definedName name="z_M2B13B0184_MO_Unstructured_SNA_CapitalIQ_3">Model!$1078:$1078</definedName>
    <definedName name="z_M2B13B0184_MO_Unstructured_SNA_ConsensusEstimatesAdjustedEarningsPerADR">Model!$1046:$1046</definedName>
    <definedName name="z_M2B13B0184_MO_Unstructured_SNA_ConsensusEstimatesAdjustedEBIT_1">Model!$1045:$1045</definedName>
    <definedName name="z_M2B13B0184_MO_Unstructured_SNA_ConsensusEstimatesAdjustedEBITDA">Model!$1044:$1044</definedName>
    <definedName name="z_M2B13B0184_MO_Unstructured_SNA_ConsensusEstimatesCapex">Model!$1048:$1048</definedName>
    <definedName name="z_M2B13B0184_MO_Unstructured_SNA_ConsensusEstimatesCashFlowPerDilutedADR">"Deleted"</definedName>
    <definedName name="z_M2B13B0184_MO_Unstructured_SNA_ConsensusEstimatesCashFlowPerDilutedShare">Model!$1047:$1047</definedName>
    <definedName name="z_M2B13B0184_MO_Unstructured_SNA_ConsensusEstimatesGrossMargin">Model!$1042:$1042</definedName>
    <definedName name="z_M2B13B0184_MO_Unstructured_SNA_ConsensusEstimatesNetRevenue">Model!$1043:$1043</definedName>
    <definedName name="z_M2B13B0184_MO_Unstructured_SNA_ConsensusEstimateTable">Model!$1039:$1039</definedName>
    <definedName name="z_M2B13B0184_MO_Unstructured_SNA_CurrentFiscalYear">Model!$1100:$1100</definedName>
    <definedName name="z_M2B13B0184_MO_Unstructured_SNA_DataSourceIndex">Model!$1103:$1103</definedName>
    <definedName name="z_M2B13B0184_MO_Unstructured_SNA_EoP">Model!$991:$991</definedName>
    <definedName name="z_M2B13B0184_MO_Unstructured_SNA_EVEBITDAAvg">Model!$998:$998</definedName>
    <definedName name="z_M2B13B0184_MO_Unstructured_SNA_FactSet">Model!$1058:$1058</definedName>
    <definedName name="z_M2B13B0184_MO_Unstructured_SNA_FactSet_1">Model!$1065:$1065</definedName>
    <definedName name="z_M2B13B0184_MO_Unstructured_SNA_FactSet_2">Model!$1072:$1072</definedName>
    <definedName name="z_M2B13B0184_MO_Unstructured_SNA_FactSet_3">Model!$1079:$1079</definedName>
    <definedName name="z_M2B13B0184_MO_Unstructured_SNA_FirstForecastFiscalYear">Model!$1101:$1101</definedName>
    <definedName name="z_M2B13B0184_MO_Unstructured_SNA_FiscalPeriodStartDate">Model!$1052:$1052</definedName>
    <definedName name="z_M2B13B0184_MO_Unstructured_SNA_FXAverageRealTimeOffSource">Model!$1075:$1075</definedName>
    <definedName name="z_M2B13B0184_MO_Unstructured_SNA_FXEoP">Model!$1084:$1084</definedName>
    <definedName name="z_M2B13B0184_MO_Unstructured_SNA_FYorFQ">Model!$1040:$1040</definedName>
    <definedName name="z_M2B13B0184_MO_Unstructured_SNA_GeneralTable">Model!$1087:$1087</definedName>
    <definedName name="z_M2B13B0184_MO_Unstructured_SNA_High">Model!$988:$988</definedName>
    <definedName name="z_M2B13B0184_MO_Unstructured_SNA_IsHistoricalPeriod">Model!$1053:$1053</definedName>
    <definedName name="z_M2B13B0184_MO_Unstructured_SNA_IsLatest">Model!$1035:$1035</definedName>
    <definedName name="z_M2B13B0184_MO_Unstructured_SNA_KeyOutputs">Model!$993:$993</definedName>
    <definedName name="z_M2B13B0184_MO_Unstructured_SNA_KPICount">Model!$1102:$1102</definedName>
    <definedName name="z_M2B13B0184_MO_Unstructured_SNA_KPIData">Model!$1002:$1002</definedName>
    <definedName name="z_M2B13B0184_MO_Unstructured_SNA_LastPrice">Model!$1088:$1088</definedName>
    <definedName name="z_M2B13B0184_MO_Unstructured_SNA_LastPriceDate">Model!$1089:$1089</definedName>
    <definedName name="z_M2B13B0184_MO_Unstructured_SNA_LastPriceFormula">Model!$1091:$1091</definedName>
    <definedName name="z_M2B13B0184_MO_Unstructured_SNA_LastWorkingDayInPeriod">Model!$1082:$1082</definedName>
    <definedName name="z_M2B13B0184_MO_Unstructured_SNA_Low">Model!$989:$989</definedName>
    <definedName name="z_M2B13B0184_MO_Unstructured_SNA_MOCFSumCapex">Model!$1025:$1025</definedName>
    <definedName name="z_M2B13B0184_MO_Unstructured_SNA_ModelSheetCurrencyHardcoded">Model!$1095:$1095</definedName>
    <definedName name="z_M2B13B0184_MO_Unstructured_SNA_MOKPIRevenueContributionLargestClient">Model!$1023:$1023</definedName>
    <definedName name="z_M2B13B0184_MO_Unstructured_SNA_MOKPIRevenueContributionSecondLargestClient">Model!$1024:$1024</definedName>
    <definedName name="z_M2B13B0184_MO_Unstructured_SNA_MOKPIREVSEMI">Model!$1009:$1009</definedName>
    <definedName name="z_M2B13B0184_MO_Unstructured_SNA_MOKPIREVSEMIAuto">Model!$1013:$1013</definedName>
    <definedName name="z_M2B13B0184_MO_Unstructured_SNA_MOKPIREVSEMIAutoGrowth">Model!$1014:$1014</definedName>
    <definedName name="z_M2B13B0184_MO_Unstructured_SNA_MOKPIREVSEMIComp">Model!$1015:$1015</definedName>
    <definedName name="z_M2B13B0184_MO_Unstructured_SNA_MOKPIREVSEMICompGrowth">Model!$1016:$1016</definedName>
    <definedName name="z_M2B13B0184_MO_Unstructured_SNA_MOKPIREVSEMICons">Model!$1017:$1017</definedName>
    <definedName name="z_M2B13B0184_MO_Unstructured_SNA_MOKPIREVSEMIConsGrowth">Model!$1018:$1018</definedName>
    <definedName name="z_M2B13B0184_MO_Unstructured_SNA_MOKPIREVSEMIGrowth">Model!$1010:$1010</definedName>
    <definedName name="z_M2B13B0184_MO_Unstructured_SNA_MOKPIREVSEMIIoT">Model!$1011:$1011</definedName>
    <definedName name="z_M2B13B0184_MO_Unstructured_SNA_MOKPIREVSEMIIoTGrowth">Model!$1012:$1012</definedName>
    <definedName name="z_M2B13B0184_MO_Unstructured_SNA_MOKPIREVSEMIMobile">Model!$1019:$1019</definedName>
    <definedName name="z_M2B13B0184_MO_Unstructured_SNA_MOKPIREVSEMIMobileGrowth">Model!$1020:$1020</definedName>
    <definedName name="z_M2B13B0184_MO_Unstructured_SNA_MOKPIREVSEMIProducts">Model!$1021:$1021</definedName>
    <definedName name="z_M2B13B0184_MO_Unstructured_SNA_MOKPIREVSEMIRoyalty">Model!$1022:$1022</definedName>
    <definedName name="z_M2B13B0184_MO_Unstructured_SNA_MOMAEBITDAAdj">Model!$1007:$1007</definedName>
    <definedName name="z_M2B13B0184_MO_Unstructured_SNA_MOOSEmployeeCount">Model!$1008:$1008</definedName>
    <definedName name="z_M2B13B0184_MO_Unstructured_SNA_MORISEBITDAAdj">Model!$1006:$1006</definedName>
    <definedName name="z_M2B13B0184_MO_Unstructured_SNA_MORISEPSWADAdj">Model!$1005:$1005</definedName>
    <definedName name="z_M2B13B0184_MO_Unstructured_SNA_MORISNINONGAAPDiluted">Model!$1004:$1004</definedName>
    <definedName name="z_M2B13B0184_MO_Unstructured_SNA_MORISREV">Model!$1003:$1003</definedName>
    <definedName name="z_M2B13B0184_MO_Unstructured_SNA_MostRecentFiscalPeriodMRFP">Model!$1099:$1099</definedName>
    <definedName name="z_M2B13B0184_MO_Unstructured_SNA_MostRecentFX">Model!$1096:$1096</definedName>
    <definedName name="z_M2B13B0184_MO_Unstructured_SNA_MostRecentFXHardcoded">Model!$1097:$1097</definedName>
    <definedName name="z_M2B13B0184_MO_Unstructured_SNA_MRFPColumnNumber">Model!$1098:$1098</definedName>
    <definedName name="z_M2B13B0184_MO_Unstructured_SNA_NetRevenue">Model!$994:$994</definedName>
    <definedName name="z_M2B13B0184_MO_Unstructured_SNA_NYSETSM">Model!$983:$983</definedName>
    <definedName name="z_M2B13B0184_MO_Unstructured_SNA_PEAvg">Model!$999:$999</definedName>
    <definedName name="z_M2B13B0184_MO_Unstructured_SNA_Period">Model!$1041:$1041</definedName>
    <definedName name="z_M2B13B0184_MO_Unstructured_SNA_QuarterlyGuidanceTable">Model!$1028:$1028</definedName>
    <definedName name="z_M2B13B0184_MO_Unstructured_SNA_RealTimeOffSource">Model!$1055:$1055</definedName>
    <definedName name="z_M2B13B0184_MO_Unstructured_SNA_RealTimeOffSource_1">Model!$1062:$1062</definedName>
    <definedName name="z_M2B13B0184_MO_Unstructured_SNA_RealTimeOffSource_2">Model!$1069:$1069</definedName>
    <definedName name="z_M2B13B0184_MO_Unstructured_SNA_RealTimeOffSource_3">Model!$1076:$1076</definedName>
    <definedName name="z_M2B13B0184_MO_Unstructured_SNA_RealTimeStockPrice">Model!$1090:$1090</definedName>
    <definedName name="z_M2B13B0184_MO_Unstructured_SNA_Refinitiv">Model!$1059:$1059</definedName>
    <definedName name="z_M2B13B0184_MO_Unstructured_SNA_Refinitiv_1">Model!$1066:$1066</definedName>
    <definedName name="z_M2B13B0184_MO_Unstructured_SNA_Refinitiv_2">Model!$1073:$1073</definedName>
    <definedName name="z_M2B13B0184_MO_Unstructured_SNA_Refinitiv_3">Model!$1080:$1080</definedName>
    <definedName name="z_M2B13B0184_MO_Unstructured_SNA_ReportingDate">Model!$1029:$1029</definedName>
    <definedName name="z_M2B13B0184_MO_Unstructured_SNA_ReportingDate_1">Model!$1034:$1034</definedName>
    <definedName name="z_M2B13B0184_MO_Unstructured_SNA_StockAverageRealTimeOffSource">Model!$1068:$1068</definedName>
    <definedName name="z_M2B13B0184_MO_Unstructured_SNA_StockHighRealTimeOffSource">Model!$1054:$1054</definedName>
    <definedName name="z_M2B13B0184_MO_Unstructured_SNA_StockLowRealTimeOffSource">Model!$1061:$1061</definedName>
    <definedName name="z_M2B13B0184_MO_Unstructured_SNA_StockPriceEoP">Model!$1083:$1083</definedName>
    <definedName name="z_M2B13B0184_MO_Unstructured_SNA_StockPriceTable">Model!$1051:$1051</definedName>
    <definedName name="z_M2B13B0184_MO_Unstructured_SNA_TickerSymbol">Model!$980:$980</definedName>
    <definedName name="z_M2B13B0184_MO_Unstructured_SNA_TradeCurrency">Model!$1093:$1093</definedName>
    <definedName name="z_M2B13B0184_MO_Unstructured_SNA_TradeCurrencyHardcoded">Model!$1094:$1094</definedName>
    <definedName name="z_M2B13B0184_MO_Unstructured_SNA_TSMN">Model!$985:$985</definedName>
    <definedName name="z_M2B13B0184_MO_Unstructured_SNA_TSMUS">Model!$982:$982</definedName>
    <definedName name="z_M2B13B0184_MO_Unstructured_SNA_TSMUS_1">Model!$984:$984</definedName>
    <definedName name="z_M2B13B0184_MO_Unstructured_SNA_TSMUS_2">Model!$981:$981</definedName>
    <definedName name="z_M2B13B0184_MO_Unstructured_SNA_ValuationToggleTable">Model!$987:$987</definedName>
    <definedName name="z_M2B13B0184_MO_VA_AverageFXNTUSD">Model!$515:$515</definedName>
    <definedName name="z_M2B13B0184_MO_VA_EnterpriseValueAverage">Model!$500:$500</definedName>
    <definedName name="z_M2B13B0184_MO_VA_EnterpriseValueAvg">"Deleted"</definedName>
    <definedName name="z_M2B13B0184_MO_VA_enterprisevaluecomponents">Model!$518:$518</definedName>
    <definedName name="z_M2B13B0184_MO_VA_EnterpriseValueHigh">"Deleted"</definedName>
    <definedName name="z_M2B13B0184_MO_VA_EnterpriseValueLow">"Deleted"</definedName>
    <definedName name="z_M2B13B0184_MO_VA_EOPFXNTUSD">Model!$516:$516</definedName>
    <definedName name="z_M2B13B0184_MO_VA_EVEBITDAAverage">Model!$503:$503</definedName>
    <definedName name="z_M2B13B0184_MO_VA_FCFYieldtoAverageEnterpriseValue">Model!$506:$506</definedName>
    <definedName name="z_M2B13B0184_MO_VA_FCFYieldtoAverageMarketCap">Model!$505:$505</definedName>
    <definedName name="z_M2B13B0184_MO_VA_MarketCapAverage">Model!$499:$499</definedName>
    <definedName name="z_M2B13B0184_MO_VA_MarketCapAvg">"Deleted"</definedName>
    <definedName name="z_M2B13B0184_MO_VA_MarketCapHigh">"Deleted"</definedName>
    <definedName name="z_M2B13B0184_MO_VA_MarketCapLow">"Deleted"</definedName>
    <definedName name="z_M2B13B0184_MO_VA_NoncontrollingInterest">Model!$519:$519</definedName>
    <definedName name="z_M2B13B0184_MO_VA_OtherEVComponents">Model!$521:$521</definedName>
    <definedName name="z_M2B13B0184_MO_VA_PCFAverage">Model!$504:$504</definedName>
    <definedName name="z_M2B13B0184_MO_VA_PEAverage">Model!$502:$502</definedName>
    <definedName name="z_M2B13B0184_MO_VA_PreferredShares">Model!$520:$520</definedName>
    <definedName name="z_M2B13B0184_MO_VA_StockAvg">Model!$510:$510</definedName>
    <definedName name="z_M2B13B0184_MO_VA_StockHigh">Model!$508:$508</definedName>
    <definedName name="z_M2B13B0184_MO_VA_StockLow">Model!$509:$509</definedName>
    <definedName name="z_M2B13B0184_MO_VA_StockPriceAverage">Model!$498:$498</definedName>
    <definedName name="AA.ModelColorScheme">"Classic"</definedName>
    <definedName name="AA.ColorizerVersion">"2.0.4.0"</definedName>
    <definedName name="WS.CanalystName" localSheetId="0">"Front Page"</definedName>
    <definedName name="WS.CanalystName" localSheetId="2">"Model"</definedName>
    <definedName name="_xlnm.Print_Titles" localSheetId="2">'Model'!$5:$5</definedName>
    <definedName name="_xlnm.Print_Area" localSheetId="2">'Model'!$A$1:$CB$952</definedName>
    <definedName name="_xlnm._FilterDatabase" localSheetId="3" hidden="1">'Guidance'!$A$5:$U$5</definedName>
    <definedName name="WS.CanalystName" localSheetId="4">"Summary Page"</definedName>
    <definedName name="_xlnm.Print_Area" localSheetId="4">'Summary Page'!$A$1:$CB$124</definedName>
    <definedName name="WS.CanalystName" localSheetId="5">"Update Log"</definedName>
  </definedNames>
  <calcPr calcId="124519" fullCalcOnLoad="1"/>
</workbook>
</file>

<file path=xl/styles.xml><?xml version="1.0" encoding="utf-8"?>
<styleSheet xmlns="http://schemas.openxmlformats.org/spreadsheetml/2006/main">
  <numFmts count="44">
    <numFmt numFmtId="164" formatCode="_(@_)"/>
    <numFmt numFmtId="165" formatCode="_(* 0.0%_);_(* \-0.0%_);_(* &quot;-&quot;??_);_(@_)"/>
    <numFmt numFmtId="166" formatCode="_(* #,##0.0_);_(* \(#,##0.0\);_(* &quot;-&quot;??_);_(&quot;Model Sheet Currency :   &quot;@_)"/>
    <numFmt numFmtId="167" formatCode="_(* #,##0.0_);_(* \(#,##0.0\);_(* &quot;-&quot;??_);_(@_)"/>
    <numFmt numFmtId="168" formatCode="_(&quot;$&quot;* 0.00_);_(&quot;$&quot;* \(0.00\);_(&quot;$&quot;* &quot;-&quot;??_);_(@_)"/>
    <numFmt numFmtId="169" formatCode="_(* 0.0\ \x_);\ _(* &quot;n/a&quot;_);_(* &quot;-&quot;??_);_(@_)"/>
    <numFmt numFmtId="170" formatCode="_(* 0.0%_);_(* &quot;NMF&quot;_);_(* &quot;-&quot;??_);_(@_)"/>
    <numFmt numFmtId="171" formatCode="_(* 0.0%_);_(* &quot;n/a&quot;_);_(* &quot;-&quot;??_);_(@_)"/>
    <numFmt numFmtId="172" formatCode="[$NTD]\ #,##0.00"/>
    <numFmt numFmtId="173" formatCode="_(* #,##0.0_);_(* \(#,##0.0\);_(* &quot;-&quot;??_);@"/>
    <numFmt numFmtId="174" formatCode="_(&quot;$&quot;* 0.000_);_(&quot;$&quot;* \(0.000\);_(&quot;$&quot;* &quot;-&quot;??_);_(@_)"/>
    <numFmt numFmtId="175" formatCode="_(&quot;$&quot;* 0.00_);_(&quot;$&quot;* \(0.00\);_(&quot;$&quot;* &quot; - &quot;??_);_(@_)"/>
    <numFmt numFmtId="176" formatCode="_(* #,##0_);_(* \(#,##0\);_(* &quot;-&quot;??_);_(@_)"/>
    <numFmt numFmtId="177" formatCode="_(* #,##0.000_);_(* \(#,##0.000\);_(* &quot;-&quot;??_);_(@_)"/>
    <numFmt numFmtId="178" formatCode="_(&quot;$&quot;* #,##0_);_(&quot;$&quot;* \(#,##0\);_(&quot;$&quot;* &quot;-&quot;??_);_(@_)"/>
    <numFmt numFmtId="179" formatCode="_(* #,##0.0_);_(* \(#,##0.0\);_(* &quot;-&quot;??_);_(&quot;Bloomberg &gt;&gt; &quot;@_)"/>
    <numFmt numFmtId="180" formatCode="_(* #,##0.0_);_(* \(#,##0.0\);_(* &quot;-&quot;??_);_(&quot;Capital IQ &gt;&gt; &quot;@_)"/>
    <numFmt numFmtId="181" formatCode="_(* #,##0.0_);_(* \(#,##0.0\);_(* &quot;-&quot;??_);_(&quot;FactSet &gt;&gt; &quot;@_)"/>
    <numFmt numFmtId="182" formatCode="[$NTD]\ #,##0"/>
    <numFmt numFmtId="183" formatCode="_(* #,##0.0_);_(* \(#,##0.0\);_(* &quot;-&quot;??_);_(@\ * \ &quot;Toggle  &gt;&gt;&gt;&quot;_)"/>
    <numFmt numFmtId="184" formatCode="_(* #,##0.0_);_(* \(#,##0.0\);_(* &quot; -&quot;??_);_(&quot;Refinitiv &gt;&gt; &quot;@_)"/>
    <numFmt numFmtId="185" formatCode="_(&quot;$&quot;* #,##0.00_);_(&quot;$&quot;* \(#,##0.00\);_(&quot;$&quot;* &quot; - &quot;??_);_(@_)"/>
    <numFmt numFmtId="186" formatCode="_(* #,##0.0_);_(* \(#,##0.0\);_(* &quot;-&quot;??_);_(&quot;Ticker :   &quot;@_)"/>
    <numFmt numFmtId="187" formatCode="_(* #,##0.0_);_(* \(#,##0.0\);_(* &quot; - &quot;??_);_(&quot;Last Price (&quot;@&quot;) &quot;_)"/>
    <numFmt numFmtId="188" formatCode="_(* #,##0.0_);_(* \(#,##0.0\);_(* &quot;-&quot;??_);_(&quot;Real-Time Stock Price :   &quot;@_)"/>
    <numFmt numFmtId="189" formatCode="_(* #,##0.0000_);_(* \(#,##0.0000\);_(* &quot;-&quot;??_);_(@_)"/>
    <numFmt numFmtId="190" formatCode="_(&quot;$&quot;* 0.0000_);_(&quot;$&quot;* \(0.0000\);_(&quot;$&quot;* &quot; - &quot;??_);_(@_)"/>
    <numFmt numFmtId="191" formatCode="yyyy\-mm\-dd"/>
    <numFmt numFmtId="192" formatCode="_(\$* 0.00_);_(\$* \(0.00\);_(\$* &quot; - &quot;??_);_(@_)"/>
    <numFmt numFmtId="193" formatCode="_(\$* 0.00_);_(\$* \(0.00\);_(\$* &quot;-&quot;??_);_(@\ * \ &quot;Toggle  &gt;&gt;&gt;&quot;_)"/>
    <numFmt numFmtId="194" formatCode="m/d/yy"/>
    <numFmt numFmtId="195" formatCode="&quot;Most Recent Period:&quot;"/>
    <numFmt numFmtId="196" formatCode="_(* #,##0.0_);_(* \(#,##0.0\);_(* &quot;-&quot;??_);_(&quot;Canalyst Security Identification #: &quot;@_)"/>
    <numFmt numFmtId="197" formatCode="_(* #,##0.0_);_(* \(#,##0.0\);_(* &quot;-&quot;??_);_(&quot;Model Version #: &quot;@_)"/>
    <numFmt numFmtId="198" formatCode="m\-d\-yy"/>
    <numFmt numFmtId="199" formatCode="_(* 0.00\ \x_);\ _(* &quot;n/a&quot;_);_(* &quot;-&quot;??_);_(@_)"/>
    <numFmt numFmtId="200" formatCode="_(* #,##0.0_);_(* \(#,##0.0\);_(* &quot;-&quot;??_);_(&quot;Tegus Ticker &gt;&gt; &quot;@_)"/>
    <numFmt numFmtId="201" formatCode=";;;"/>
    <numFmt numFmtId="202" formatCode="_(&quot;$&quot;* #,##0.00_);_(&quot;$&quot;* \(#,##0.00\);_(&quot;$&quot;* &quot;-&quot;??_);_(@_)"/>
    <numFmt numFmtId="203" formatCode="0.0%"/>
    <numFmt numFmtId="204" formatCode="$#,##0.00"/>
    <numFmt numFmtId="205" formatCode="+0.0%;-0.0%"/>
    <numFmt numFmtId="206" formatCode="#,##0.00_);\(#,##0.00\);0.00_);@_)"/>
    <numFmt numFmtId="207" formatCode="0.00_)"/>
  </numFmts>
  <fonts count="77">
    <font>
      <name val="Calibri"/>
      <family val="2"/>
      <sz val="11"/>
    </font>
    <font>
      <name val="Arial"/>
      <family val="2"/>
      <color theme="1"/>
      <sz val="10"/>
    </font>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i val="1"/>
      <color theme="1"/>
      <sz val="11"/>
      <scheme val="minor"/>
    </font>
    <font>
      <name val="Calibri"/>
      <family val="2"/>
      <b val="1"/>
      <sz val="11"/>
      <scheme val="minor"/>
    </font>
    <font>
      <name val="Calibri"/>
      <family val="2"/>
      <b val="1"/>
      <sz val="11"/>
    </font>
    <font>
      <name val="Calibri"/>
      <family val="2"/>
      <sz val="11"/>
      <scheme val="minor"/>
    </font>
    <font>
      <name val="Calibri"/>
      <family val="2"/>
      <color rgb="FFFF0000"/>
      <sz val="11"/>
    </font>
    <font>
      <name val="Calibri"/>
      <family val="2"/>
      <color theme="1"/>
      <sz val="22"/>
      <scheme val="minor"/>
    </font>
    <font>
      <name val="Calibri"/>
      <family val="2"/>
      <color theme="10"/>
      <sz val="11"/>
      <u val="single"/>
    </font>
    <font>
      <name val="Calibri"/>
      <family val="2"/>
      <color theme="1"/>
      <sz val="14"/>
      <scheme val="minor"/>
    </font>
    <font>
      <name val="Calibri"/>
      <family val="2"/>
      <b val="1"/>
      <color rgb="FFFF0000"/>
      <sz val="11"/>
    </font>
    <font>
      <name val="Calibri"/>
      <family val="2"/>
      <color rgb="FF006100"/>
      <sz val="11"/>
      <scheme val="minor"/>
    </font>
    <font>
      <name val="Calibri"/>
      <family val="2"/>
      <color theme="1"/>
      <sz val="10"/>
      <scheme val="minor"/>
    </font>
    <font>
      <name val="Calibri"/>
      <family val="2"/>
      <b val="1"/>
      <color theme="1"/>
      <sz val="10"/>
      <scheme val="minor"/>
    </font>
    <font>
      <name val="Calibri"/>
      <family val="2"/>
      <b val="1"/>
      <color theme="1"/>
      <sz val="14"/>
      <scheme val="minor"/>
    </font>
    <font>
      <name val="Calibri"/>
      <family val="2"/>
      <sz val="14"/>
      <scheme val="minor"/>
    </font>
    <font>
      <name val="Calibri"/>
      <family val="2"/>
      <i val="1"/>
      <sz val="11"/>
    </font>
    <font>
      <name val="Calibri"/>
      <family val="2"/>
      <i val="1"/>
      <sz val="11"/>
      <scheme val="minor"/>
    </font>
    <font>
      <name val="Calibri"/>
      <family val="2"/>
      <color rgb="FF000000"/>
      <sz val="11"/>
      <scheme val="minor"/>
    </font>
    <font>
      <name val="Calibri"/>
      <family val="2"/>
      <b val="1"/>
      <color rgb="FFFF0000"/>
      <sz val="11"/>
      <scheme val="minor"/>
    </font>
    <font>
      <name val="Calibri"/>
      <family val="2"/>
      <color theme="0"/>
      <sz val="10"/>
      <scheme val="minor"/>
    </font>
    <font>
      <name val="Calibri"/>
      <family val="2"/>
      <i val="1"/>
      <color rgb="FF000000"/>
      <sz val="11"/>
      <scheme val="minor"/>
    </font>
    <font>
      <name val="Calibri"/>
      <family val="2"/>
      <i val="1"/>
      <color rgb="FF000000"/>
      <sz val="11"/>
    </font>
    <font>
      <name val="Calibri"/>
      <family val="2"/>
      <b val="1"/>
      <color rgb="FF000000"/>
      <sz val="11"/>
    </font>
    <font>
      <name val="Calibri"/>
      <family val="2"/>
      <color rgb="FF000000"/>
      <sz val="11"/>
    </font>
    <font>
      <name val="Calibri"/>
      <family val="2"/>
      <b val="1"/>
      <color rgb="FF000000"/>
      <sz val="11"/>
      <scheme val="minor"/>
    </font>
    <font>
      <name val="Calibri"/>
      <family val="2"/>
      <b val="1"/>
      <color rgb="FFFFFFFF"/>
      <sz val="11"/>
    </font>
    <font>
      <name val="Calibri"/>
      <family val="2"/>
      <color rgb="FFFFFFFF"/>
      <sz val="11"/>
    </font>
    <font>
      <name val="Calibri"/>
      <family val="2"/>
      <b val="1"/>
      <color rgb="FFFFFFFF"/>
      <sz val="11"/>
      <scheme val="minor"/>
    </font>
    <font>
      <name val="Calibri"/>
      <family val="2"/>
      <b val="1"/>
      <i val="1"/>
      <color rgb="FF000000"/>
      <sz val="11"/>
    </font>
    <font>
      <name val="Calibri"/>
      <family val="2"/>
      <b val="1"/>
      <i val="1"/>
      <color rgb="FF000000"/>
      <sz val="11"/>
      <scheme val="minor"/>
    </font>
    <font>
      <name val="Calibri"/>
      <family val="2"/>
      <color theme="0" tint="-0.0364799983799458"/>
      <sz val="11"/>
    </font>
    <font>
      <name val="Calibri"/>
      <family val="2"/>
      <b val="1"/>
      <color theme="0"/>
      <sz val="11"/>
    </font>
    <font>
      <name val="Calibri"/>
      <family val="2"/>
      <color rgb="FFF2F2F2"/>
      <sz val="11"/>
    </font>
    <font>
      <name val="Calibri"/>
      <family val="2"/>
      <color rgb="FF000000"/>
      <sz val="22"/>
      <u val="single"/>
      <scheme val="minor"/>
    </font>
    <font>
      <name val="Calibri"/>
      <family val="2"/>
      <color rgb="FF000000"/>
      <sz val="11"/>
      <u val="single"/>
      <scheme val="minor"/>
    </font>
    <font>
      <name val="Calibri"/>
      <family val="2"/>
      <color rgb="FF0000FF"/>
      <sz val="11"/>
      <u val="single"/>
      <scheme val="minor"/>
    </font>
    <font>
      <name val="Calibri"/>
      <family val="2"/>
      <color rgb="FF0000FF"/>
      <sz val="14"/>
      <u val="single"/>
      <scheme val="minor"/>
    </font>
    <font>
      <name val="Calibri"/>
      <family val="2"/>
      <b val="1"/>
      <i val="1"/>
      <sz val="11"/>
    </font>
    <font>
      <name val="Calibri"/>
      <family val="2"/>
      <b val="1"/>
      <i val="1"/>
      <color rgb="FFFF0000"/>
      <sz val="11"/>
    </font>
    <font>
      <name val="Times New Roman"/>
      <family val="1"/>
      <sz val="12"/>
    </font>
    <font>
      <name val="新細明體"/>
      <family val="1"/>
      <sz val="12"/>
    </font>
    <font>
      <name val="Arial"/>
      <family val="2"/>
      <sz val="10"/>
    </font>
    <font>
      <name val="Arial"/>
      <family val="2"/>
      <sz val="8"/>
    </font>
    <font>
      <name val="Helv"/>
      <family val="2"/>
      <b val="1"/>
      <i val="1"/>
      <sz val="16"/>
    </font>
    <font>
      <name val="Tahoma"/>
      <family val="2"/>
      <b val="1"/>
      <sz val="9"/>
    </font>
    <font>
      <name val="Tahoma"/>
      <family val="2"/>
      <sz val="9"/>
    </font>
    <font>
      <name val="Calibri"/>
      <family val="2"/>
      <color rgb="FF0000FF"/>
      <sz val="11"/>
    </font>
    <font>
      <name val="Calibri"/>
      <family val="2"/>
      <color rgb="FF000000"/>
      <sz val="7"/>
      <scheme val="minor"/>
    </font>
    <font>
      <name val="Calibri"/>
      <family val="2"/>
      <b val="1"/>
      <color rgb="FF000000"/>
      <sz val="7"/>
      <scheme val="minor"/>
    </font>
    <font>
      <name val="Calibri"/>
      <family val="2"/>
      <i val="1"/>
      <color rgb="FFFF0000"/>
      <sz val="11"/>
    </font>
    <font>
      <name val="Calibri"/>
      <family val="2"/>
      <color theme="1"/>
      <sz val="11"/>
    </font>
    <font>
      <name val="Calibri"/>
      <family val="2"/>
      <b val="1"/>
      <i val="1"/>
      <color rgb="FFFFFFFF"/>
      <sz val="11"/>
    </font>
    <font>
      <name val="Calibri"/>
      <family val="2"/>
      <color theme="10"/>
      <sz val="24"/>
      <u val="single"/>
      <scheme val="minor"/>
    </font>
    <font>
      <name val="Calibri"/>
      <family val="2"/>
      <b val="1"/>
      <color rgb="FFD04B35"/>
      <sz val="14"/>
      <scheme val="minor"/>
    </font>
    <font>
      <name val="Calibri"/>
      <family val="2"/>
      <color theme="10"/>
      <sz val="14"/>
      <u val="single"/>
      <scheme val="minor"/>
    </font>
    <font>
      <name val="Tahoma"/>
      <family val="2"/>
      <sz val="10"/>
    </font>
    <font>
      <name val="Tahoma"/>
      <family val="2"/>
      <b val="1"/>
      <sz val="10"/>
    </font>
    <font>
      <name val="Calibri"/>
      <family val="2"/>
      <color rgb="FF0000FC"/>
      <sz val="11"/>
    </font>
    <font>
      <name val="Calibri"/>
      <family val="2"/>
      <b val="1"/>
      <i val="1"/>
      <color rgb="FF0000FC"/>
      <sz val="11"/>
    </font>
    <font>
      <name val="Calibri"/>
      <family val="2"/>
      <b val="1"/>
      <color rgb="FF0000FC"/>
      <sz val="11"/>
    </font>
    <font>
      <name val="Calibri"/>
      <family val="2"/>
      <i val="1"/>
      <color rgb="FF0000FC"/>
      <sz val="11"/>
    </font>
    <font>
      <name val="Calibri"/>
      <family val="2"/>
      <color rgb="FF0000FC"/>
      <sz val="11"/>
      <scheme val="minor"/>
    </font>
    <font>
      <name val="Calibri"/>
      <family val="2"/>
      <b val="1"/>
      <color rgb="FF0000FC"/>
      <sz val="11"/>
      <scheme val="minor"/>
    </font>
    <font>
      <b val="1"/>
      <color rgb="00000000"/>
      <sz val="14"/>
    </font>
    <font>
      <b val="1"/>
      <color rgb="00000000"/>
    </font>
    <font>
      <b val="1"/>
      <color rgb="00000000"/>
      <sz val="12"/>
    </font>
    <font>
      <color rgb="00007F00"/>
      <sz val="10"/>
    </font>
    <font>
      <b val="1"/>
      <color rgb="00000000"/>
      <sz val="11"/>
    </font>
    <font>
      <b val="1"/>
      <sz val="14"/>
    </font>
    <font>
      <b val="1"/>
    </font>
    <font>
      <b val="1"/>
      <sz val="12"/>
    </font>
    <font>
      <i val="1"/>
      <color rgb="00007F00"/>
    </font>
    <font>
      <color rgb="00007F00"/>
    </font>
  </fonts>
  <fills count="12">
    <fill>
      <patternFill/>
    </fill>
    <fill>
      <patternFill patternType="gray125"/>
    </fill>
    <fill>
      <patternFill patternType="solid">
        <fgColor rgb="FFC6EFCE"/>
        <bgColor indexed="64"/>
      </patternFill>
    </fill>
    <fill>
      <patternFill patternType="solid">
        <fgColor rgb="FFC0C0C0"/>
        <bgColor indexed="64"/>
      </patternFill>
    </fill>
    <fill>
      <patternFill patternType="solid">
        <fgColor rgb="FFFFFFCC"/>
        <bgColor indexed="64"/>
      </patternFill>
    </fill>
    <fill>
      <patternFill patternType="solid">
        <fgColor rgb="FFFFFFFF"/>
        <bgColor indexed="64"/>
      </patternFill>
    </fill>
    <fill>
      <patternFill patternType="solid">
        <fgColor rgb="FF89E0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
      <patternFill patternType="solid">
        <fgColor rgb="00CCCCFF"/>
        <bgColor rgb="00CCCCFF"/>
      </patternFill>
    </fill>
  </fills>
  <borders count="45">
    <border>
      <left/>
      <right/>
      <top/>
      <bottom/>
      <diagonal/>
    </border>
    <border>
      <left style="thin">
        <color auto="1"/>
      </left>
      <right style="thin">
        <color auto="1"/>
      </right>
      <top style="thin">
        <color auto="1"/>
      </top>
      <bottom style="thin">
        <color auto="1"/>
      </bottom>
    </border>
    <border>
      <left/>
      <right style="thin">
        <color auto="1"/>
      </right>
      <top/>
      <bottom style="thin">
        <color auto="1"/>
      </bottom>
    </border>
    <border>
      <left/>
      <right/>
      <top/>
      <bottom style="thin">
        <color auto="1"/>
      </bottom>
    </border>
    <border>
      <left style="thin">
        <color auto="1"/>
      </left>
      <right/>
      <top/>
      <bottom style="thin">
        <color auto="1"/>
      </bottom>
    </border>
    <border>
      <left/>
      <right style="thin">
        <color auto="1"/>
      </right>
      <top/>
      <bottom/>
    </border>
    <border>
      <left style="thin">
        <color auto="1"/>
      </left>
      <right/>
      <top/>
      <bottom/>
    </border>
    <border>
      <left/>
      <right style="thin">
        <color auto="1"/>
      </right>
      <top style="thin">
        <color auto="1"/>
      </top>
      <bottom/>
    </border>
    <border>
      <left/>
      <right/>
      <top style="thin">
        <color auto="1"/>
      </top>
      <bottom/>
    </border>
    <border>
      <left style="thin">
        <color auto="1"/>
      </left>
      <right/>
      <top style="thin">
        <color auto="1"/>
      </top>
      <bottom/>
    </border>
    <border>
      <left/>
      <right/>
      <top style="thin">
        <color auto="1"/>
      </top>
      <bottom style="thin">
        <color auto="1"/>
      </bottom>
    </border>
    <border>
      <left/>
      <right style="thick">
        <color auto="1"/>
      </right>
      <top/>
      <bottom/>
    </border>
    <border>
      <left/>
      <right style="thin">
        <color rgb="FF000000"/>
      </right>
      <top/>
      <bottom/>
    </border>
    <border>
      <left style="thin">
        <color rgb="FF000000"/>
      </left>
      <right/>
      <top/>
      <bottom/>
    </border>
    <border>
      <left/>
      <right/>
      <top style="thin">
        <color rgb="FF000000"/>
      </top>
      <bottom/>
    </border>
    <border>
      <left/>
      <right/>
      <top/>
      <bottom style="thin">
        <color rgb="FF000000"/>
      </bottom>
    </border>
    <border>
      <left/>
      <right style="thin">
        <color rgb="FF000000"/>
      </right>
      <top style="thin">
        <color rgb="FF000000"/>
      </top>
      <bottom/>
    </border>
    <border>
      <left style="thin">
        <color rgb="FF000000"/>
      </left>
      <right/>
      <top style="thin">
        <color rgb="FF000000"/>
      </top>
      <bottom/>
    </border>
    <border>
      <left/>
      <right/>
      <top style="thin">
        <color rgb="FF000000"/>
      </top>
      <bottom style="thin">
        <color rgb="FF000000"/>
      </bottom>
    </border>
    <border>
      <left style="thin">
        <color auto="1"/>
      </left>
      <right style="thin">
        <color auto="1"/>
      </right>
      <top style="thin">
        <color auto="1"/>
      </top>
      <bottom/>
    </border>
    <border>
      <left style="thin">
        <color auto="1"/>
      </left>
      <right style="thin">
        <color auto="1"/>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auto="1"/>
      </left>
      <right style="thin">
        <color auto="1"/>
      </right>
      <top/>
      <bottom style="thin">
        <color auto="1"/>
      </bottom>
    </border>
    <border>
      <left/>
      <right style="thick">
        <color auto="1"/>
      </right>
      <top/>
      <bottom style="thin">
        <color rgb="FF000000"/>
      </bottom>
    </border>
    <border>
      <left/>
      <right style="thick">
        <color auto="1"/>
      </right>
      <top style="thin">
        <color rgb="FF000000"/>
      </top>
      <bottom style="thin">
        <color rgb="FF000000"/>
      </bottom>
    </border>
    <border>
      <left/>
      <right style="thick">
        <color auto="1"/>
      </right>
      <top style="thin">
        <color rgb="FF000000"/>
      </top>
      <bottom/>
    </border>
    <border>
      <left style="thin">
        <color rgb="FF000000"/>
      </left>
      <right/>
      <top/>
      <bottom style="thin">
        <color auto="1"/>
      </bottom>
    </border>
    <border>
      <left/>
      <right style="thick">
        <color auto="1"/>
      </right>
      <top/>
      <bottom style="thin">
        <color auto="1"/>
      </bottom>
    </border>
    <border>
      <left/>
      <right style="thin">
        <color rgb="FF000000"/>
      </right>
      <top/>
      <bottom style="thin">
        <color auto="1"/>
      </bottom>
    </border>
    <border>
      <left/>
      <right style="thick">
        <color auto="1"/>
      </right>
      <top style="thin">
        <color auto="1"/>
      </top>
      <bottom/>
    </border>
    <border>
      <left style="thin">
        <color rgb="FF000000"/>
      </left>
      <right style="thin">
        <color auto="1"/>
      </right>
      <top style="thin">
        <color auto="1"/>
      </top>
      <bottom style="thin">
        <color rgb="FF000000"/>
      </bottom>
    </border>
    <border>
      <left style="thin">
        <color auto="1"/>
      </left>
      <right style="thin">
        <color auto="1"/>
      </right>
      <top style="thin">
        <color auto="1"/>
      </top>
      <bottom style="thin">
        <color rgb="FF000000"/>
      </bottom>
    </border>
    <border>
      <left style="thin">
        <color auto="1"/>
      </left>
      <right style="thin">
        <color auto="1"/>
      </right>
      <top/>
      <bottom style="thin">
        <color rgb="FF000000"/>
      </bottom>
    </border>
    <border>
      <left/>
      <right style="thin">
        <color rgb="FF000000"/>
      </right>
      <top/>
      <bottom style="thin">
        <color rgb="FF000000"/>
      </bottom>
    </border>
    <border>
      <left style="thin">
        <color rgb="FF000000"/>
      </left>
      <right style="thin">
        <color auto="1"/>
      </right>
      <top/>
      <bottom style="thin">
        <color rgb="FF000000"/>
      </bottom>
    </border>
    <border>
      <left style="thin">
        <color auto="1"/>
      </left>
      <right style="thin">
        <color rgb="FF000000"/>
      </right>
      <top/>
      <bottom style="thin">
        <color rgb="FF000000"/>
      </bottom>
    </border>
    <border>
      <left/>
      <right style="thick">
        <color auto="1"/>
      </right>
      <top style="thin">
        <color auto="1"/>
      </top>
      <bottom style="thin">
        <color auto="1"/>
      </bottom>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8">
    <xf numFmtId="0" fontId="0" fillId="0" borderId="0"/>
    <xf numFmtId="9" fontId="0" fillId="0" borderId="0"/>
    <xf numFmtId="44" fontId="0" fillId="0" borderId="0"/>
    <xf numFmtId="42" fontId="1" fillId="0" borderId="0"/>
    <xf numFmtId="43" fontId="0" fillId="0" borderId="0"/>
    <xf numFmtId="41" fontId="1" fillId="0" borderId="0"/>
    <xf numFmtId="206" fontId="45" fillId="0" borderId="0"/>
    <xf numFmtId="43" fontId="43" fillId="0" borderId="0"/>
    <xf numFmtId="44" fontId="2" fillId="0" borderId="0"/>
    <xf numFmtId="44" fontId="0" fillId="0" borderId="0"/>
    <xf numFmtId="0" fontId="14" fillId="2" borderId="0"/>
    <xf numFmtId="38" fontId="46" fillId="3" borderId="0"/>
    <xf numFmtId="0" fontId="4" fillId="0" borderId="0"/>
    <xf numFmtId="0" fontId="11" fillId="0" borderId="0" applyAlignment="1" applyProtection="1">
      <alignment vertical="top"/>
      <protection locked="0" hidden="0"/>
    </xf>
    <xf numFmtId="10" fontId="46" fillId="4" borderId="1"/>
    <xf numFmtId="207" fontId="47" fillId="0" borderId="0"/>
    <xf numFmtId="0" fontId="2" fillId="0" borderId="0"/>
    <xf numFmtId="0" fontId="2" fillId="0" borderId="0"/>
    <xf numFmtId="0" fontId="0" fillId="0" borderId="0"/>
    <xf numFmtId="0" fontId="43" fillId="0" borderId="0"/>
    <xf numFmtId="10" fontId="45" fillId="0" borderId="0"/>
    <xf numFmtId="9" fontId="2" fillId="0" borderId="0"/>
    <xf numFmtId="9" fontId="43" fillId="0" borderId="0"/>
    <xf numFmtId="42" fontId="44" fillId="0" borderId="0"/>
    <xf numFmtId="44" fontId="2" fillId="0" borderId="0"/>
    <xf numFmtId="0" fontId="2" fillId="0" borderId="0"/>
    <xf numFmtId="0" fontId="2" fillId="0" borderId="0"/>
    <xf numFmtId="9" fontId="2" fillId="0" borderId="0"/>
  </cellStyleXfs>
  <cellXfs count="2077">
    <xf numFmtId="0" fontId="0" fillId="0" borderId="0" pivotButton="0" quotePrefix="0" xfId="0"/>
    <xf numFmtId="0" fontId="15" fillId="5" borderId="0" pivotButton="0" quotePrefix="0" xfId="31"/>
    <xf numFmtId="0" fontId="2" fillId="0" borderId="0" pivotButton="0" quotePrefix="0" xfId="31"/>
    <xf numFmtId="0" fontId="2" fillId="5" borderId="0" pivotButton="0" quotePrefix="0" xfId="31"/>
    <xf numFmtId="164" fontId="2" fillId="5" borderId="0" applyAlignment="1" pivotButton="0" quotePrefix="1" xfId="31">
      <alignment horizontal="left" vertical="top" wrapText="1"/>
    </xf>
    <xf numFmtId="0" fontId="2" fillId="5" borderId="2" applyAlignment="1" pivotButton="0" quotePrefix="0" xfId="31">
      <alignment vertical="top" wrapText="1"/>
    </xf>
    <xf numFmtId="0" fontId="2" fillId="5" borderId="3" applyAlignment="1" pivotButton="0" quotePrefix="0" xfId="31">
      <alignment vertical="top" wrapText="1"/>
    </xf>
    <xf numFmtId="0" fontId="2" fillId="5" borderId="4" applyAlignment="1" pivotButton="0" quotePrefix="0" xfId="31">
      <alignment vertical="top" wrapText="1"/>
    </xf>
    <xf numFmtId="0" fontId="2" fillId="5" borderId="5" applyAlignment="1" pivotButton="0" quotePrefix="0" xfId="31">
      <alignment vertical="top" wrapText="1"/>
    </xf>
    <xf numFmtId="0" fontId="2" fillId="5" borderId="0" applyAlignment="1" pivotButton="0" quotePrefix="0" xfId="31">
      <alignment vertical="top" wrapText="1"/>
    </xf>
    <xf numFmtId="0" fontId="2" fillId="5" borderId="6" applyAlignment="1" pivotButton="0" quotePrefix="0" xfId="31">
      <alignment vertical="top" wrapText="1"/>
    </xf>
    <xf numFmtId="0" fontId="2" fillId="5" borderId="7" applyAlignment="1" pivotButton="0" quotePrefix="0" xfId="31">
      <alignment vertical="top" wrapText="1"/>
    </xf>
    <xf numFmtId="0" fontId="2" fillId="5" borderId="8" applyAlignment="1" pivotButton="0" quotePrefix="0" xfId="31">
      <alignment vertical="top" wrapText="1"/>
    </xf>
    <xf numFmtId="0" fontId="51" fillId="5" borderId="9" applyAlignment="1" pivotButton="0" quotePrefix="0" xfId="31">
      <alignment vertical="top" wrapText="1"/>
    </xf>
    <xf numFmtId="0" fontId="10" fillId="5" borderId="0" applyAlignment="1" pivotButton="0" quotePrefix="0" xfId="31">
      <alignment horizontal="center"/>
    </xf>
    <xf numFmtId="0" fontId="2" fillId="0" borderId="0" pivotButton="0" quotePrefix="0" xfId="31"/>
    <xf numFmtId="0" fontId="2" fillId="5" borderId="0" pivotButton="0" quotePrefix="0" xfId="31"/>
    <xf numFmtId="0" fontId="15" fillId="5" borderId="0" pivotButton="0" quotePrefix="0" xfId="31"/>
    <xf numFmtId="0" fontId="15" fillId="0" borderId="0" pivotButton="0" quotePrefix="0" xfId="31"/>
    <xf numFmtId="165" fontId="13" fillId="6" borderId="0" applyAlignment="1" pivotButton="0" quotePrefix="0" xfId="0">
      <alignment horizontal="right"/>
    </xf>
    <xf numFmtId="165" fontId="13" fillId="6" borderId="0" pivotButton="0" quotePrefix="0" xfId="0"/>
    <xf numFmtId="166" fontId="3" fillId="5" borderId="0" pivotButton="0" quotePrefix="0" xfId="0"/>
    <xf numFmtId="165" fontId="26" fillId="5" borderId="8" applyAlignment="1" pivotButton="0" quotePrefix="0" xfId="0">
      <alignment horizontal="left" indent="1"/>
    </xf>
    <xf numFmtId="165" fontId="25" fillId="6" borderId="0" applyAlignment="1" pivotButton="0" quotePrefix="0" xfId="0">
      <alignment horizontal="center"/>
    </xf>
    <xf numFmtId="167" fontId="7" fillId="5" borderId="8" applyAlignment="1" pivotButton="0" quotePrefix="0" xfId="0">
      <alignment horizontal="left"/>
    </xf>
    <xf numFmtId="165" fontId="7" fillId="6" borderId="8" pivotButton="0" quotePrefix="0" xfId="0"/>
    <xf numFmtId="165" fontId="27" fillId="6" borderId="0" applyAlignment="1" pivotButton="0" quotePrefix="0" xfId="0">
      <alignment horizontal="right"/>
    </xf>
    <xf numFmtId="165" fontId="26" fillId="6" borderId="8" applyAlignment="1" pivotButton="0" quotePrefix="0" xfId="0">
      <alignment horizontal="right"/>
    </xf>
    <xf numFmtId="165" fontId="26" fillId="6" borderId="0" applyAlignment="1" pivotButton="0" quotePrefix="0" xfId="0">
      <alignment horizontal="right"/>
    </xf>
    <xf numFmtId="165" fontId="27" fillId="5" borderId="0" applyAlignment="1" pivotButton="0" quotePrefix="0" xfId="0">
      <alignment horizontal="left" indent="1"/>
    </xf>
    <xf numFmtId="165" fontId="26" fillId="5" borderId="8" applyAlignment="1" pivotButton="0" quotePrefix="0" xfId="0">
      <alignment horizontal="left"/>
    </xf>
    <xf numFmtId="165" fontId="3" fillId="5" borderId="8" pivotButton="0" quotePrefix="0" xfId="16"/>
    <xf numFmtId="165" fontId="0" fillId="5" borderId="0" applyAlignment="1" pivotButton="0" quotePrefix="0" xfId="0">
      <alignment horizontal="left" indent="1"/>
    </xf>
    <xf numFmtId="165" fontId="26" fillId="5" borderId="0" applyAlignment="1" pivotButton="0" quotePrefix="0" xfId="0">
      <alignment horizontal="left" indent="2"/>
    </xf>
    <xf numFmtId="165" fontId="24" fillId="5" borderId="0" applyAlignment="1" pivotButton="0" quotePrefix="0" xfId="0">
      <alignment horizontal="left" indent="1"/>
    </xf>
    <xf numFmtId="165" fontId="26" fillId="5" borderId="0" applyAlignment="1" pivotButton="0" quotePrefix="0" xfId="0">
      <alignment horizontal="left" indent="1"/>
    </xf>
    <xf numFmtId="167" fontId="7" fillId="5" borderId="0" applyAlignment="1" pivotButton="0" quotePrefix="0" xfId="0">
      <alignment horizontal="left"/>
    </xf>
    <xf numFmtId="167" fontId="7" fillId="5" borderId="10" applyAlignment="1" pivotButton="0" quotePrefix="0" xfId="0">
      <alignment horizontal="left"/>
    </xf>
    <xf numFmtId="168" fontId="24" fillId="5" borderId="0" applyAlignment="1" pivotButton="0" quotePrefix="0" xfId="0">
      <alignment horizontal="left" indent="1"/>
    </xf>
    <xf numFmtId="168" fontId="3" fillId="5" borderId="0" applyAlignment="1" pivotButton="0" quotePrefix="0" xfId="0">
      <alignment horizontal="left"/>
    </xf>
    <xf numFmtId="167" fontId="3" fillId="5" borderId="0" pivotButton="0" quotePrefix="0" xfId="0"/>
    <xf numFmtId="169" fontId="3" fillId="5" borderId="0" pivotButton="0" quotePrefix="0" xfId="0"/>
    <xf numFmtId="169" fontId="2" fillId="5" borderId="0" pivotButton="0" quotePrefix="0" xfId="0"/>
    <xf numFmtId="165" fontId="0" fillId="5" borderId="0" applyAlignment="1" pivotButton="0" quotePrefix="0" xfId="0">
      <alignment horizontal="left"/>
    </xf>
    <xf numFmtId="167" fontId="7" fillId="5" borderId="0" applyAlignment="1" pivotButton="0" quotePrefix="0" xfId="0">
      <alignment horizontal="left" indent="1"/>
    </xf>
    <xf numFmtId="167" fontId="0" fillId="5" borderId="0" applyAlignment="1" pivotButton="0" quotePrefix="0" xfId="0">
      <alignment horizontal="left" indent="2"/>
    </xf>
    <xf numFmtId="167" fontId="0" fillId="5" borderId="3" applyAlignment="1" pivotButton="0" quotePrefix="0" xfId="0">
      <alignment horizontal="left" indent="2"/>
    </xf>
    <xf numFmtId="165" fontId="21" fillId="5" borderId="0" pivotButton="0" quotePrefix="0" xfId="16"/>
    <xf numFmtId="165" fontId="28" fillId="5" borderId="8" pivotButton="0" quotePrefix="0" xfId="16"/>
    <xf numFmtId="165" fontId="28" fillId="5" borderId="0" pivotButton="0" quotePrefix="0" xfId="16"/>
    <xf numFmtId="165" fontId="25" fillId="5" borderId="0" applyAlignment="1" pivotButton="0" quotePrefix="0" xfId="0">
      <alignment horizontal="left" indent="3"/>
    </xf>
    <xf numFmtId="168" fontId="25" fillId="5" borderId="0" applyAlignment="1" pivotButton="0" quotePrefix="0" xfId="0">
      <alignment horizontal="left" indent="3"/>
    </xf>
    <xf numFmtId="167" fontId="26" fillId="5" borderId="0" applyAlignment="1" pivotButton="0" quotePrefix="0" xfId="0">
      <alignment horizontal="left" indent="3"/>
    </xf>
    <xf numFmtId="165" fontId="27" fillId="5" borderId="0" applyAlignment="1" pivotButton="0" quotePrefix="0" xfId="0">
      <alignment horizontal="right"/>
    </xf>
    <xf numFmtId="165" fontId="26" fillId="5" borderId="8" applyAlignment="1" pivotButton="0" quotePrefix="0" xfId="0">
      <alignment horizontal="right"/>
    </xf>
    <xf numFmtId="165" fontId="7" fillId="5" borderId="8" pivotButton="0" quotePrefix="0" xfId="0"/>
    <xf numFmtId="165" fontId="26" fillId="5" borderId="0" applyAlignment="1" pivotButton="0" quotePrefix="0" xfId="0">
      <alignment horizontal="right"/>
    </xf>
    <xf numFmtId="165" fontId="25" fillId="5" borderId="0" pivotButton="0" quotePrefix="0" xfId="0"/>
    <xf numFmtId="168" fontId="25" fillId="5" borderId="0" pivotButton="0" quotePrefix="0" xfId="0"/>
    <xf numFmtId="165" fontId="13" fillId="5" borderId="0" applyAlignment="1" pivotButton="0" quotePrefix="0" xfId="0">
      <alignment horizontal="right"/>
    </xf>
    <xf numFmtId="169" fontId="7" fillId="5" borderId="0" pivotButton="0" quotePrefix="0" xfId="0"/>
    <xf numFmtId="169" fontId="0" fillId="5" borderId="0" pivotButton="0" quotePrefix="0" xfId="0"/>
    <xf numFmtId="165" fontId="29" fillId="7" borderId="0" pivotButton="0" quotePrefix="0" xfId="0"/>
    <xf numFmtId="165" fontId="30" fillId="7" borderId="0" pivotButton="0" quotePrefix="0" xfId="0"/>
    <xf numFmtId="17" fontId="33" fillId="5" borderId="0" applyAlignment="1" pivotButton="0" quotePrefix="0" xfId="32">
      <alignment horizontal="center"/>
    </xf>
    <xf numFmtId="165" fontId="27" fillId="6" borderId="0" applyAlignment="1" pivotButton="0" quotePrefix="0" xfId="32">
      <alignment horizontal="right"/>
    </xf>
    <xf numFmtId="165" fontId="26" fillId="6" borderId="8" applyAlignment="1" pivotButton="0" quotePrefix="0" xfId="32">
      <alignment horizontal="right"/>
    </xf>
    <xf numFmtId="168" fontId="26" fillId="6" borderId="0" pivotButton="0" quotePrefix="0" xfId="32"/>
    <xf numFmtId="165" fontId="27" fillId="6" borderId="0" pivotButton="0" quotePrefix="0" xfId="32"/>
    <xf numFmtId="165" fontId="26" fillId="6" borderId="0" applyAlignment="1" pivotButton="0" quotePrefix="0" xfId="32">
      <alignment horizontal="right"/>
    </xf>
    <xf numFmtId="170" fontId="26" fillId="6" borderId="0" applyAlignment="1" pivotButton="0" quotePrefix="0" xfId="32">
      <alignment horizontal="right"/>
    </xf>
    <xf numFmtId="169" fontId="27" fillId="6" borderId="0" applyAlignment="1" pivotButton="0" quotePrefix="0" xfId="32">
      <alignment horizontal="right"/>
    </xf>
    <xf numFmtId="167" fontId="13" fillId="5" borderId="0" applyAlignment="1" pivotButton="0" quotePrefix="0" xfId="32">
      <alignment horizontal="left"/>
    </xf>
    <xf numFmtId="167" fontId="28" fillId="5" borderId="0" applyAlignment="1" pivotButton="0" quotePrefix="0" xfId="32">
      <alignment horizontal="center"/>
    </xf>
    <xf numFmtId="165" fontId="26" fillId="5" borderId="8" applyAlignment="1" pivotButton="0" quotePrefix="0" xfId="32">
      <alignment horizontal="right"/>
    </xf>
    <xf numFmtId="165" fontId="26" fillId="5" borderId="0" applyAlignment="1" pivotButton="0" quotePrefix="0" xfId="32">
      <alignment horizontal="right"/>
    </xf>
    <xf numFmtId="165" fontId="27" fillId="5" borderId="0" applyAlignment="1" pivotButton="0" quotePrefix="0" xfId="32">
      <alignment horizontal="right"/>
    </xf>
    <xf numFmtId="168" fontId="26" fillId="5" borderId="0" pivotButton="0" quotePrefix="0" xfId="32"/>
    <xf numFmtId="165" fontId="26" fillId="5" borderId="0" applyAlignment="1" pivotButton="0" quotePrefix="0" xfId="32">
      <alignment horizontal="center"/>
    </xf>
    <xf numFmtId="170" fontId="26" fillId="5" borderId="0" applyAlignment="1" pivotButton="0" quotePrefix="0" xfId="32">
      <alignment horizontal="right"/>
    </xf>
    <xf numFmtId="171" fontId="26" fillId="5" borderId="0" applyAlignment="1" pivotButton="0" quotePrefix="0" xfId="32">
      <alignment horizontal="right"/>
    </xf>
    <xf numFmtId="169" fontId="26" fillId="5" borderId="0" pivotButton="0" quotePrefix="0" xfId="32"/>
    <xf numFmtId="169" fontId="27" fillId="5" borderId="0" pivotButton="0" quotePrefix="0" xfId="32"/>
    <xf numFmtId="167" fontId="31" fillId="7" borderId="0" pivotButton="0" quotePrefix="0" xfId="32"/>
    <xf numFmtId="167" fontId="31" fillId="7" borderId="11" pivotButton="0" quotePrefix="0" xfId="32"/>
    <xf numFmtId="165" fontId="29" fillId="7" borderId="0" pivotButton="0" quotePrefix="0" xfId="32"/>
    <xf numFmtId="165" fontId="30" fillId="7" borderId="0" pivotButton="0" quotePrefix="0" xfId="32"/>
    <xf numFmtId="167" fontId="29" fillId="7" borderId="0" pivotButton="0" quotePrefix="0" xfId="32"/>
    <xf numFmtId="172" fontId="7" fillId="5" borderId="0" pivotButton="0" quotePrefix="0" xfId="0"/>
    <xf numFmtId="172" fontId="26" fillId="6" borderId="0" pivotButton="0" quotePrefix="0" xfId="32"/>
    <xf numFmtId="172" fontId="26" fillId="5" borderId="0" pivotButton="0" quotePrefix="0" xfId="32"/>
    <xf numFmtId="167" fontId="27" fillId="5" borderId="0" applyAlignment="1" pivotButton="0" quotePrefix="0" xfId="0">
      <alignment horizontal="left" indent="3"/>
    </xf>
    <xf numFmtId="0" fontId="36" fillId="5" borderId="0" pivotButton="0" quotePrefix="0" xfId="32"/>
    <xf numFmtId="167" fontId="26" fillId="5" borderId="8" applyAlignment="1" pivotButton="0" quotePrefix="0" xfId="0">
      <alignment horizontal="left"/>
    </xf>
    <xf numFmtId="167" fontId="26" fillId="5" borderId="8" applyAlignment="1" pivotButton="0" quotePrefix="0" xfId="0">
      <alignment horizontal="left" indent="4"/>
    </xf>
    <xf numFmtId="165" fontId="26" fillId="5" borderId="0" applyAlignment="1" pivotButton="0" quotePrefix="0" xfId="0">
      <alignment horizontal="left"/>
    </xf>
    <xf numFmtId="167" fontId="26" fillId="5" borderId="0" applyAlignment="1" pivotButton="0" quotePrefix="0" xfId="0">
      <alignment horizontal="left"/>
    </xf>
    <xf numFmtId="167" fontId="26" fillId="5" borderId="0" applyAlignment="1" pivotButton="0" quotePrefix="0" xfId="0">
      <alignment horizontal="left" indent="4"/>
    </xf>
    <xf numFmtId="167" fontId="27" fillId="5" borderId="0" applyAlignment="1" pivotButton="0" quotePrefix="0" xfId="0">
      <alignment horizontal="left" indent="4"/>
    </xf>
    <xf numFmtId="167" fontId="27" fillId="5" borderId="12" pivotButton="0" quotePrefix="0" xfId="0"/>
    <xf numFmtId="167" fontId="21" fillId="5" borderId="13" applyAlignment="1" pivotButton="0" quotePrefix="0" xfId="30">
      <alignment horizontal="left" indent="1"/>
    </xf>
    <xf numFmtId="173" fontId="37" fillId="5" borderId="0" applyAlignment="1" pivotButton="0" quotePrefix="0" xfId="26">
      <alignment horizontal="left"/>
    </xf>
    <xf numFmtId="0" fontId="26" fillId="5" borderId="0" pivotButton="0" quotePrefix="0" xfId="32"/>
    <xf numFmtId="0" fontId="25" fillId="5" borderId="0" pivotButton="0" quotePrefix="0" xfId="32"/>
    <xf numFmtId="165" fontId="27" fillId="5" borderId="0" pivotButton="0" quotePrefix="0" xfId="32"/>
    <xf numFmtId="0" fontId="27" fillId="5" borderId="0" applyAlignment="1" pivotButton="0" quotePrefix="0" xfId="32">
      <alignment horizontal="left"/>
    </xf>
    <xf numFmtId="167" fontId="26" fillId="5" borderId="0" applyAlignment="1" pivotButton="0" quotePrefix="0" xfId="32">
      <alignment horizontal="center"/>
    </xf>
    <xf numFmtId="14" fontId="27" fillId="5" borderId="0" applyAlignment="1" pivotButton="0" quotePrefix="0" xfId="32">
      <alignment horizontal="left"/>
    </xf>
    <xf numFmtId="0" fontId="38" fillId="5" borderId="0" pivotButton="0" quotePrefix="0" xfId="26"/>
    <xf numFmtId="0" fontId="27" fillId="5" borderId="0" applyAlignment="1" pivotButton="0" quotePrefix="0" xfId="32">
      <alignment horizontal="center"/>
    </xf>
    <xf numFmtId="165" fontId="27" fillId="5" borderId="0" applyAlignment="1" pivotButton="0" quotePrefix="0" xfId="32">
      <alignment horizontal="center"/>
    </xf>
    <xf numFmtId="167" fontId="27" fillId="5" borderId="0" applyAlignment="1" pivotButton="0" quotePrefix="0" xfId="32">
      <alignment horizontal="center"/>
    </xf>
    <xf numFmtId="0" fontId="29" fillId="7" borderId="0" applyAlignment="1" pivotButton="0" quotePrefix="0" xfId="32">
      <alignment horizontal="left"/>
    </xf>
    <xf numFmtId="0" fontId="29" fillId="7" borderId="0" applyAlignment="1" pivotButton="0" quotePrefix="0" xfId="32">
      <alignment horizontal="centerContinuous"/>
    </xf>
    <xf numFmtId="0" fontId="29" fillId="7" borderId="0" applyAlignment="1" pivotButton="0" quotePrefix="0" xfId="32">
      <alignment horizontal="center"/>
    </xf>
    <xf numFmtId="165" fontId="29" fillId="7" borderId="0" applyAlignment="1" pivotButton="0" quotePrefix="0" xfId="32">
      <alignment horizontal="center"/>
    </xf>
    <xf numFmtId="0" fontId="27" fillId="8" borderId="0" pivotButton="0" quotePrefix="0" xfId="32"/>
    <xf numFmtId="0" fontId="25" fillId="8" borderId="0" pivotButton="0" quotePrefix="0" xfId="32"/>
    <xf numFmtId="167" fontId="27" fillId="8" borderId="0" pivotButton="0" quotePrefix="0" xfId="32"/>
    <xf numFmtId="14" fontId="27" fillId="8" borderId="0" applyAlignment="1" pivotButton="0" quotePrefix="0" xfId="32">
      <alignment horizontal="left"/>
    </xf>
    <xf numFmtId="165" fontId="27" fillId="8" borderId="0" pivotButton="0" quotePrefix="0" xfId="32"/>
    <xf numFmtId="0" fontId="29" fillId="5" borderId="0" applyAlignment="1" pivotButton="0" quotePrefix="0" xfId="32">
      <alignment horizontal="left"/>
    </xf>
    <xf numFmtId="0" fontId="29" fillId="5" borderId="0" applyAlignment="1" pivotButton="0" quotePrefix="0" xfId="32">
      <alignment horizontal="center"/>
    </xf>
    <xf numFmtId="0" fontId="26" fillId="8" borderId="0" pivotButton="0" quotePrefix="0" xfId="32"/>
    <xf numFmtId="167" fontId="26" fillId="8" borderId="0" applyAlignment="1" pivotButton="0" quotePrefix="0" xfId="32">
      <alignment horizontal="center"/>
    </xf>
    <xf numFmtId="165" fontId="26" fillId="8" borderId="0" applyAlignment="1" pivotButton="0" quotePrefix="0" xfId="32">
      <alignment horizontal="center"/>
    </xf>
    <xf numFmtId="0" fontId="39" fillId="5" borderId="0" pivotButton="0" quotePrefix="0" xfId="26"/>
    <xf numFmtId="167" fontId="28" fillId="5" borderId="0" applyAlignment="1" pivotButton="0" quotePrefix="0" xfId="32">
      <alignment horizontal="left"/>
    </xf>
    <xf numFmtId="167" fontId="33" fillId="5" borderId="0" applyAlignment="1" pivotButton="0" quotePrefix="0" xfId="32">
      <alignment horizontal="center"/>
    </xf>
    <xf numFmtId="167" fontId="26" fillId="5" borderId="8" applyAlignment="1" pivotButton="0" quotePrefix="0" xfId="32">
      <alignment horizontal="left"/>
    </xf>
    <xf numFmtId="167" fontId="26" fillId="5" borderId="8" applyAlignment="1" pivotButton="0" quotePrefix="0" xfId="32">
      <alignment horizontal="left" indent="3"/>
    </xf>
    <xf numFmtId="167" fontId="26" fillId="5" borderId="0" applyAlignment="1" pivotButton="0" quotePrefix="0" xfId="32">
      <alignment horizontal="left"/>
    </xf>
    <xf numFmtId="165" fontId="27" fillId="5" borderId="0" applyAlignment="1" pivotButton="0" quotePrefix="0" xfId="32">
      <alignment horizontal="left" indent="1"/>
    </xf>
    <xf numFmtId="165" fontId="21" fillId="5" borderId="0" pivotButton="0" quotePrefix="0" xfId="23"/>
    <xf numFmtId="165" fontId="26" fillId="5" borderId="8" applyAlignment="1" pivotButton="0" quotePrefix="0" xfId="32">
      <alignment horizontal="left"/>
    </xf>
    <xf numFmtId="165" fontId="28" fillId="5" borderId="8" pivotButton="0" quotePrefix="0" xfId="23"/>
    <xf numFmtId="167" fontId="26" fillId="5" borderId="0" applyAlignment="1" pivotButton="0" quotePrefix="0" xfId="32">
      <alignment horizontal="left" indent="3"/>
    </xf>
    <xf numFmtId="167" fontId="27" fillId="5" borderId="0" applyAlignment="1" pivotButton="0" quotePrefix="0" xfId="32">
      <alignment horizontal="left" indent="1"/>
    </xf>
    <xf numFmtId="168" fontId="28" fillId="5" borderId="0" pivotButton="0" quotePrefix="0" xfId="23"/>
    <xf numFmtId="168" fontId="26" fillId="5" borderId="0" applyAlignment="1" pivotButton="0" quotePrefix="0" xfId="32">
      <alignment horizontal="left" indent="3"/>
    </xf>
    <xf numFmtId="165" fontId="28" fillId="5" borderId="0" pivotButton="0" quotePrefix="0" xfId="23"/>
    <xf numFmtId="170" fontId="26" fillId="5" borderId="0" applyAlignment="1" pivotButton="0" quotePrefix="0" xfId="32">
      <alignment horizontal="left"/>
    </xf>
    <xf numFmtId="170" fontId="28" fillId="5" borderId="0" pivotButton="0" quotePrefix="0" xfId="23"/>
    <xf numFmtId="169" fontId="28" fillId="5" borderId="0" pivotButton="0" quotePrefix="0" xfId="32"/>
    <xf numFmtId="169" fontId="26" fillId="5" borderId="0" applyAlignment="1" pivotButton="0" quotePrefix="0" xfId="32">
      <alignment horizontal="left" indent="3"/>
    </xf>
    <xf numFmtId="171" fontId="26" fillId="5" borderId="0" applyAlignment="1" pivotButton="0" quotePrefix="0" xfId="32">
      <alignment horizontal="left"/>
    </xf>
    <xf numFmtId="171" fontId="28" fillId="5" borderId="0" pivotButton="0" quotePrefix="0" xfId="23"/>
    <xf numFmtId="167" fontId="27" fillId="5" borderId="0" applyAlignment="1" pivotButton="0" quotePrefix="0" xfId="32">
      <alignment horizontal="left" indent="3"/>
    </xf>
    <xf numFmtId="165" fontId="26" fillId="5" borderId="0" applyAlignment="1" pivotButton="0" quotePrefix="0" xfId="32">
      <alignment horizontal="left"/>
    </xf>
    <xf numFmtId="169" fontId="21" fillId="5" borderId="0" pivotButton="0" quotePrefix="0" xfId="32"/>
    <xf numFmtId="169" fontId="27" fillId="5" borderId="0" applyAlignment="1" pivotButton="0" quotePrefix="0" xfId="32">
      <alignment horizontal="left" indent="3"/>
    </xf>
    <xf numFmtId="165" fontId="27" fillId="5" borderId="0" applyAlignment="1" pivotButton="0" quotePrefix="0" xfId="32">
      <alignment horizontal="left"/>
    </xf>
    <xf numFmtId="167" fontId="7" fillId="5" borderId="0" applyAlignment="1" pivotButton="0" quotePrefix="0" xfId="0">
      <alignment horizontal="center"/>
    </xf>
    <xf numFmtId="168" fontId="7" fillId="5" borderId="0" pivotButton="0" quotePrefix="0" xfId="0"/>
    <xf numFmtId="174" fontId="0" fillId="5" borderId="0" pivotButton="0" quotePrefix="0" xfId="0"/>
    <xf numFmtId="165" fontId="26" fillId="5" borderId="0" pivotButton="0" quotePrefix="0" xfId="32"/>
    <xf numFmtId="170" fontId="26" fillId="5" borderId="0" pivotButton="0" quotePrefix="0" xfId="32"/>
    <xf numFmtId="171" fontId="26" fillId="5" borderId="0" pivotButton="0" quotePrefix="0" xfId="32"/>
    <xf numFmtId="0" fontId="0" fillId="5" borderId="0" pivotButton="0" quotePrefix="0" xfId="0"/>
    <xf numFmtId="167" fontId="7" fillId="5" borderId="14" pivotButton="0" quotePrefix="0" xfId="0"/>
    <xf numFmtId="175" fontId="0" fillId="5" borderId="0" pivotButton="0" quotePrefix="0" xfId="0"/>
    <xf numFmtId="176" fontId="0" fillId="5" borderId="0" applyAlignment="1" pivotButton="0" quotePrefix="0" xfId="0">
      <alignment horizontal="left" indent="1"/>
    </xf>
    <xf numFmtId="176" fontId="0" fillId="5" borderId="0" pivotButton="0" quotePrefix="0" xfId="0"/>
    <xf numFmtId="176" fontId="0" fillId="5" borderId="15" applyAlignment="1" pivotButton="0" quotePrefix="0" xfId="0">
      <alignment horizontal="left" indent="1"/>
    </xf>
    <xf numFmtId="176" fontId="0" fillId="5" borderId="15" pivotButton="0" quotePrefix="0" xfId="0"/>
    <xf numFmtId="0" fontId="30" fillId="7" borderId="0" pivotButton="0" quotePrefix="0" xfId="0"/>
    <xf numFmtId="0" fontId="27" fillId="5" borderId="0" pivotButton="0" quotePrefix="0" xfId="32"/>
    <xf numFmtId="167" fontId="29" fillId="7" borderId="0" applyAlignment="1" pivotButton="0" quotePrefix="0" xfId="0">
      <alignment horizontal="left"/>
    </xf>
    <xf numFmtId="167" fontId="29" fillId="7" borderId="0" applyAlignment="1" pivotButton="0" quotePrefix="0" xfId="0">
      <alignment horizontal="left" indent="3"/>
    </xf>
    <xf numFmtId="165" fontId="7" fillId="5" borderId="0" applyAlignment="1" pivotButton="0" quotePrefix="0" xfId="0">
      <alignment horizontal="left" indent="1"/>
    </xf>
    <xf numFmtId="165" fontId="7" fillId="5" borderId="0" pivotButton="0" quotePrefix="0" xfId="0"/>
    <xf numFmtId="165" fontId="41" fillId="5" borderId="0" applyAlignment="1" pivotButton="0" quotePrefix="0" xfId="0">
      <alignment horizontal="left" indent="1"/>
    </xf>
    <xf numFmtId="165" fontId="42" fillId="5" borderId="0" pivotButton="0" quotePrefix="0" xfId="0"/>
    <xf numFmtId="165" fontId="42" fillId="6" borderId="0" pivotButton="0" quotePrefix="0" xfId="0"/>
    <xf numFmtId="165" fontId="0" fillId="5" borderId="0" applyAlignment="1" pivotButton="0" quotePrefix="0" xfId="0">
      <alignment horizontal="left" indent="2"/>
    </xf>
    <xf numFmtId="165" fontId="0" fillId="5" borderId="0" pivotButton="0" quotePrefix="0" xfId="0"/>
    <xf numFmtId="165" fontId="26" fillId="5" borderId="0" applyAlignment="1" pivotButton="0" quotePrefix="0" xfId="0">
      <alignment horizontal="left" indent="4"/>
    </xf>
    <xf numFmtId="165" fontId="26" fillId="6" borderId="0" pivotButton="0" quotePrefix="0" xfId="0"/>
    <xf numFmtId="165" fontId="26" fillId="5" borderId="0" pivotButton="0" quotePrefix="0" xfId="0"/>
    <xf numFmtId="165" fontId="13" fillId="5" borderId="0" pivotButton="0" quotePrefix="0" xfId="0"/>
    <xf numFmtId="176" fontId="27" fillId="8" borderId="0" pivotButton="0" quotePrefix="0" xfId="32"/>
    <xf numFmtId="165" fontId="7" fillId="5" borderId="8" applyAlignment="1" pivotButton="0" quotePrefix="0" xfId="0">
      <alignment horizontal="left"/>
    </xf>
    <xf numFmtId="176" fontId="27" fillId="5" borderId="0" pivotButton="0" quotePrefix="0" xfId="32"/>
    <xf numFmtId="176" fontId="26" fillId="8" borderId="0" applyAlignment="1" pivotButton="0" quotePrefix="0" xfId="32">
      <alignment horizontal="center"/>
    </xf>
    <xf numFmtId="177" fontId="9" fillId="5" borderId="0" pivotButton="0" quotePrefix="0" xfId="0"/>
    <xf numFmtId="167" fontId="27" fillId="5" borderId="14" pivotButton="0" quotePrefix="0" xfId="0"/>
    <xf numFmtId="167" fontId="21" fillId="5" borderId="14" pivotButton="0" quotePrefix="0" xfId="30"/>
    <xf numFmtId="167" fontId="27" fillId="5" borderId="16" pivotButton="0" quotePrefix="0" xfId="0"/>
    <xf numFmtId="178" fontId="28" fillId="5" borderId="17" applyAlignment="1" pivotButton="0" quotePrefix="0" xfId="30">
      <alignment horizontal="left"/>
    </xf>
    <xf numFmtId="178" fontId="21" fillId="5" borderId="13" applyAlignment="1" pivotButton="0" quotePrefix="0" xfId="30">
      <alignment horizontal="left"/>
    </xf>
    <xf numFmtId="175" fontId="21" fillId="5" borderId="13" applyAlignment="1" pivotButton="0" quotePrefix="0" xfId="30">
      <alignment horizontal="left" indent="1"/>
    </xf>
    <xf numFmtId="175" fontId="27" fillId="5" borderId="0" pivotButton="0" quotePrefix="0" xfId="0"/>
    <xf numFmtId="175" fontId="27" fillId="5" borderId="12" pivotButton="0" quotePrefix="0" xfId="0"/>
    <xf numFmtId="175" fontId="21" fillId="5" borderId="13" applyAlignment="1" pivotButton="0" quotePrefix="0" xfId="30">
      <alignment horizontal="left" indent="2"/>
    </xf>
    <xf numFmtId="177" fontId="21" fillId="5" borderId="13" applyAlignment="1" pivotButton="0" quotePrefix="0" xfId="30">
      <alignment horizontal="left" indent="1"/>
    </xf>
    <xf numFmtId="177" fontId="0" fillId="5" borderId="0" pivotButton="0" quotePrefix="0" xfId="0"/>
    <xf numFmtId="177" fontId="21" fillId="5" borderId="13" applyAlignment="1" pivotButton="0" quotePrefix="0" xfId="30">
      <alignment horizontal="left" indent="2"/>
    </xf>
    <xf numFmtId="175" fontId="0" fillId="5" borderId="0" applyAlignment="1" pivotButton="0" quotePrefix="0" xfId="0">
      <alignment horizontal="left" indent="1"/>
    </xf>
    <xf numFmtId="177" fontId="0" fillId="5" borderId="0" applyAlignment="1" pivotButton="0" quotePrefix="0" xfId="0">
      <alignment horizontal="left" indent="1"/>
    </xf>
    <xf numFmtId="175" fontId="22" fillId="5" borderId="0" pivotButton="0" quotePrefix="0" xfId="16"/>
    <xf numFmtId="175" fontId="7" fillId="5" borderId="0" pivotButton="0" quotePrefix="0" xfId="0"/>
    <xf numFmtId="165" fontId="2" fillId="5" borderId="0" applyAlignment="1" pivotButton="0" quotePrefix="0" xfId="16">
      <alignment horizontal="left" indent="1"/>
    </xf>
    <xf numFmtId="178" fontId="0" fillId="5" borderId="0" pivotButton="0" quotePrefix="0" xfId="0"/>
    <xf numFmtId="165" fontId="2" fillId="5" borderId="8" applyAlignment="1" pivotButton="0" quotePrefix="0" xfId="16">
      <alignment horizontal="left" indent="1"/>
    </xf>
    <xf numFmtId="167" fontId="2" fillId="5" borderId="8" applyAlignment="1" pivotButton="0" quotePrefix="0" xfId="16">
      <alignment horizontal="left" indent="1"/>
    </xf>
    <xf numFmtId="167" fontId="3" fillId="5" borderId="8" pivotButton="0" quotePrefix="0" xfId="16"/>
    <xf numFmtId="167" fontId="2" fillId="5" borderId="0" applyAlignment="1" pivotButton="0" quotePrefix="0" xfId="16">
      <alignment horizontal="left" indent="1"/>
    </xf>
    <xf numFmtId="165" fontId="2" fillId="5" borderId="0" applyAlignment="1" pivotButton="0" quotePrefix="0" xfId="16">
      <alignment horizontal="left" indent="2"/>
    </xf>
    <xf numFmtId="165" fontId="27" fillId="5" borderId="0" pivotButton="0" quotePrefix="0" xfId="0"/>
    <xf numFmtId="0" fontId="39" fillId="8" borderId="0" pivotButton="0" quotePrefix="0" xfId="26"/>
    <xf numFmtId="167" fontId="0" fillId="5" borderId="10" applyAlignment="1" pivotButton="0" quotePrefix="0" xfId="0">
      <alignment horizontal="left" indent="1"/>
    </xf>
    <xf numFmtId="165" fontId="27" fillId="5" borderId="0" applyAlignment="1" pivotButton="0" quotePrefix="0" xfId="32">
      <alignment horizontal="left" indent="2"/>
    </xf>
    <xf numFmtId="165" fontId="27" fillId="5" borderId="8" applyAlignment="1" pivotButton="0" quotePrefix="0" xfId="32">
      <alignment horizontal="left" indent="1"/>
    </xf>
    <xf numFmtId="165" fontId="21" fillId="5" borderId="8" pivotButton="0" quotePrefix="0" xfId="23"/>
    <xf numFmtId="165" fontId="27" fillId="6" borderId="8" applyAlignment="1" pivotButton="0" quotePrefix="0" xfId="32">
      <alignment horizontal="right"/>
    </xf>
    <xf numFmtId="165" fontId="27" fillId="5" borderId="8" applyAlignment="1" pivotButton="0" quotePrefix="0" xfId="32">
      <alignment horizontal="right"/>
    </xf>
    <xf numFmtId="165" fontId="27" fillId="6" borderId="8" pivotButton="0" quotePrefix="0" xfId="32"/>
    <xf numFmtId="176" fontId="7" fillId="6" borderId="8" pivotButton="0" quotePrefix="0" xfId="0"/>
    <xf numFmtId="167" fontId="26" fillId="5" borderId="8" applyAlignment="1" pivotButton="0" quotePrefix="0" xfId="0">
      <alignment horizontal="left" indent="3"/>
    </xf>
    <xf numFmtId="0" fontId="50" fillId="8" borderId="0" pivotButton="0" quotePrefix="0" xfId="0"/>
    <xf numFmtId="0" fontId="7" fillId="5" borderId="0" applyAlignment="1" pivotButton="0" quotePrefix="0" xfId="0">
      <alignment horizontal="center"/>
    </xf>
    <xf numFmtId="165" fontId="0" fillId="5" borderId="3" applyAlignment="1" pivotButton="0" quotePrefix="0" xfId="0">
      <alignment horizontal="left" indent="1"/>
    </xf>
    <xf numFmtId="165" fontId="0" fillId="5" borderId="3" pivotButton="0" quotePrefix="0" xfId="0"/>
    <xf numFmtId="165" fontId="0" fillId="5" borderId="3" applyAlignment="1" pivotButton="0" quotePrefix="0" xfId="0">
      <alignment horizontal="left" indent="2"/>
    </xf>
    <xf numFmtId="165" fontId="2" fillId="5" borderId="3" applyAlignment="1" pivotButton="0" quotePrefix="0" xfId="16">
      <alignment horizontal="left" indent="1"/>
    </xf>
    <xf numFmtId="167" fontId="27" fillId="5" borderId="3" applyAlignment="1" pivotButton="0" quotePrefix="0" xfId="0">
      <alignment horizontal="left" indent="4"/>
    </xf>
    <xf numFmtId="167" fontId="2" fillId="5" borderId="3" applyAlignment="1" pivotButton="0" quotePrefix="0" xfId="16">
      <alignment horizontal="left" indent="2"/>
    </xf>
    <xf numFmtId="167" fontId="2" fillId="5" borderId="3" applyAlignment="1" pivotButton="0" quotePrefix="0" xfId="16">
      <alignment horizontal="left" indent="1"/>
    </xf>
    <xf numFmtId="165" fontId="2" fillId="5" borderId="3" applyAlignment="1" pivotButton="0" quotePrefix="0" xfId="16">
      <alignment horizontal="left" indent="2"/>
    </xf>
    <xf numFmtId="165" fontId="26" fillId="5" borderId="3" applyAlignment="1" pivotButton="0" quotePrefix="0" xfId="0">
      <alignment horizontal="left" indent="2"/>
    </xf>
    <xf numFmtId="165" fontId="28" fillId="5" borderId="3" pivotButton="0" quotePrefix="0" xfId="16"/>
    <xf numFmtId="165" fontId="26" fillId="5" borderId="3" applyAlignment="1" pivotButton="0" quotePrefix="0" xfId="0">
      <alignment horizontal="right"/>
    </xf>
    <xf numFmtId="167" fontId="0" fillId="5" borderId="8" applyAlignment="1" pivotButton="0" quotePrefix="0" xfId="0">
      <alignment horizontal="left" indent="1"/>
    </xf>
    <xf numFmtId="167" fontId="27" fillId="5" borderId="3" applyAlignment="1" pivotButton="0" quotePrefix="0" xfId="0">
      <alignment horizontal="left" indent="3"/>
    </xf>
    <xf numFmtId="167" fontId="0" fillId="5" borderId="13" pivotButton="0" quotePrefix="0" xfId="0"/>
    <xf numFmtId="165" fontId="0" fillId="5" borderId="13" pivotButton="0" quotePrefix="0" xfId="0"/>
    <xf numFmtId="168" fontId="0" fillId="5" borderId="13" pivotButton="0" quotePrefix="0" xfId="0"/>
    <xf numFmtId="167" fontId="21" fillId="5" borderId="18" applyAlignment="1" pivotButton="0" quotePrefix="0" xfId="30">
      <alignment horizontal="left" indent="1"/>
    </xf>
    <xf numFmtId="167" fontId="27" fillId="5" borderId="18" pivotButton="0" quotePrefix="0" xfId="0"/>
    <xf numFmtId="167" fontId="21" fillId="5" borderId="18" pivotButton="0" quotePrefix="0" xfId="30"/>
    <xf numFmtId="175" fontId="0" fillId="5" borderId="13" pivotButton="0" quotePrefix="0" xfId="0"/>
    <xf numFmtId="177" fontId="0" fillId="5" borderId="13" pivotButton="0" quotePrefix="0" xfId="0"/>
    <xf numFmtId="165" fontId="27" fillId="6" borderId="3" applyAlignment="1" pivotButton="0" quotePrefix="0" xfId="0">
      <alignment horizontal="right"/>
    </xf>
    <xf numFmtId="165" fontId="0" fillId="6" borderId="3" pivotButton="0" quotePrefix="0" xfId="0"/>
    <xf numFmtId="165" fontId="26" fillId="6" borderId="3" applyAlignment="1" pivotButton="0" quotePrefix="0" xfId="0">
      <alignment horizontal="right"/>
    </xf>
    <xf numFmtId="165" fontId="0" fillId="6" borderId="3" applyAlignment="1" pivotButton="0" quotePrefix="0" xfId="0">
      <alignment horizontal="right"/>
    </xf>
    <xf numFmtId="176" fontId="0" fillId="6" borderId="3" applyAlignment="1" pivotButton="0" quotePrefix="0" xfId="0">
      <alignment horizontal="right"/>
    </xf>
    <xf numFmtId="0" fontId="0" fillId="6" borderId="8" pivotButton="0" quotePrefix="0" xfId="15"/>
    <xf numFmtId="0" fontId="0" fillId="5" borderId="8" pivotButton="0" quotePrefix="0" xfId="15"/>
    <xf numFmtId="167" fontId="21" fillId="5" borderId="3" pivotButton="0" quotePrefix="0" xfId="30"/>
    <xf numFmtId="165" fontId="27" fillId="5" borderId="5" pivotButton="0" quotePrefix="0" xfId="0"/>
    <xf numFmtId="167" fontId="27" fillId="5" borderId="5" pivotButton="0" quotePrefix="0" xfId="0"/>
    <xf numFmtId="168" fontId="27" fillId="5" borderId="5" pivotButton="0" quotePrefix="0" xfId="0"/>
    <xf numFmtId="167" fontId="27" fillId="5" borderId="2" pivotButton="0" quotePrefix="0" xfId="0"/>
    <xf numFmtId="165" fontId="21" fillId="5" borderId="6" applyAlignment="1" pivotButton="0" quotePrefix="0" xfId="30">
      <alignment horizontal="left" indent="1"/>
    </xf>
    <xf numFmtId="167" fontId="21" fillId="5" borderId="6" applyAlignment="1" pivotButton="0" quotePrefix="0" xfId="30">
      <alignment horizontal="left" indent="1"/>
    </xf>
    <xf numFmtId="168" fontId="21" fillId="5" borderId="6" applyAlignment="1" pivotButton="0" quotePrefix="0" xfId="30">
      <alignment horizontal="left" indent="1"/>
    </xf>
    <xf numFmtId="167" fontId="21" fillId="5" borderId="4" applyAlignment="1" pivotButton="0" quotePrefix="0" xfId="30">
      <alignment horizontal="left" indent="1"/>
    </xf>
    <xf numFmtId="167" fontId="28" fillId="5" borderId="19" pivotButton="0" quotePrefix="0" xfId="30"/>
    <xf numFmtId="179" fontId="21" fillId="5" borderId="20" applyAlignment="1" pivotButton="0" quotePrefix="0" xfId="30">
      <alignment horizontal="left" indent="1"/>
    </xf>
    <xf numFmtId="180" fontId="21" fillId="5" borderId="20" applyAlignment="1" pivotButton="0" quotePrefix="0" xfId="30">
      <alignment horizontal="left" indent="1"/>
    </xf>
    <xf numFmtId="181" fontId="21" fillId="5" borderId="20" applyAlignment="1" pivotButton="0" quotePrefix="0" xfId="30">
      <alignment horizontal="left" indent="1"/>
    </xf>
    <xf numFmtId="167" fontId="28" fillId="5" borderId="9" pivotButton="0" quotePrefix="0" xfId="30"/>
    <xf numFmtId="167" fontId="27" fillId="5" borderId="3" applyAlignment="1" pivotButton="0" quotePrefix="0" xfId="32">
      <alignment horizontal="left" indent="3"/>
    </xf>
    <xf numFmtId="165" fontId="27" fillId="5" borderId="3" applyAlignment="1" pivotButton="0" quotePrefix="0" xfId="32">
      <alignment horizontal="left" indent="1"/>
    </xf>
    <xf numFmtId="165" fontId="21" fillId="5" borderId="3" pivotButton="0" quotePrefix="0" xfId="23"/>
    <xf numFmtId="165" fontId="27" fillId="6" borderId="3" applyAlignment="1" pivotButton="0" quotePrefix="0" xfId="32">
      <alignment horizontal="right"/>
    </xf>
    <xf numFmtId="165" fontId="27" fillId="5" borderId="3" applyAlignment="1" pivotButton="0" quotePrefix="0" xfId="32">
      <alignment horizontal="right"/>
    </xf>
    <xf numFmtId="165" fontId="27" fillId="5" borderId="3" applyAlignment="1" pivotButton="0" quotePrefix="0" xfId="32">
      <alignment horizontal="left" indent="2"/>
    </xf>
    <xf numFmtId="165" fontId="27" fillId="6" borderId="3" pivotButton="0" quotePrefix="0" xfId="32"/>
    <xf numFmtId="175" fontId="28" fillId="5" borderId="0" applyAlignment="1" pivotButton="0" quotePrefix="0" xfId="0">
      <alignment horizontal="left"/>
    </xf>
    <xf numFmtId="175" fontId="26" fillId="5" borderId="0" applyAlignment="1" pivotButton="0" quotePrefix="0" xfId="0">
      <alignment horizontal="left"/>
    </xf>
    <xf numFmtId="182" fontId="26" fillId="6" borderId="0" pivotButton="0" quotePrefix="0" xfId="0"/>
    <xf numFmtId="182" fontId="26" fillId="5" borderId="0" pivotButton="0" quotePrefix="0" xfId="0"/>
    <xf numFmtId="167" fontId="27" fillId="5" borderId="0" applyAlignment="1" pivotButton="0" quotePrefix="0" xfId="0">
      <alignment horizontal="left" indent="2"/>
    </xf>
    <xf numFmtId="167" fontId="27" fillId="5" borderId="3" applyAlignment="1" pivotButton="0" quotePrefix="0" xfId="0">
      <alignment horizontal="left" indent="2"/>
    </xf>
    <xf numFmtId="167" fontId="27" fillId="5" borderId="8" applyAlignment="1" pivotButton="0" quotePrefix="0" xfId="0">
      <alignment horizontal="left" indent="1"/>
    </xf>
    <xf numFmtId="167" fontId="27" fillId="5" borderId="8" applyAlignment="1" pivotButton="0" quotePrefix="0" xfId="0">
      <alignment horizontal="left" indent="3"/>
    </xf>
    <xf numFmtId="0" fontId="4" fillId="5" borderId="21" pivotButton="0" quotePrefix="0" xfId="26"/>
    <xf numFmtId="167" fontId="3" fillId="5" borderId="7" applyAlignment="1" pivotButton="0" quotePrefix="0" xfId="30">
      <alignment horizontal="left"/>
    </xf>
    <xf numFmtId="167" fontId="2" fillId="5" borderId="5" applyAlignment="1" pivotButton="0" quotePrefix="0" xfId="30">
      <alignment horizontal="left" indent="1"/>
    </xf>
    <xf numFmtId="0" fontId="4" fillId="5" borderId="22" pivotButton="0" quotePrefix="0" xfId="26"/>
    <xf numFmtId="172" fontId="9" fillId="6" borderId="0" pivotButton="0" quotePrefix="0" xfId="0"/>
    <xf numFmtId="169" fontId="26" fillId="6" borderId="0" applyAlignment="1" pivotButton="0" quotePrefix="0" xfId="0">
      <alignment horizontal="right"/>
    </xf>
    <xf numFmtId="169" fontId="26" fillId="5" borderId="0" applyAlignment="1" pivotButton="0" quotePrefix="0" xfId="0">
      <alignment horizontal="right"/>
    </xf>
    <xf numFmtId="167" fontId="0" fillId="5" borderId="15" applyAlignment="1" pivotButton="0" quotePrefix="0" xfId="0">
      <alignment horizontal="left" indent="1"/>
    </xf>
    <xf numFmtId="169" fontId="26" fillId="6" borderId="0" applyAlignment="1" pivotButton="0" quotePrefix="0" xfId="32">
      <alignment horizontal="right"/>
    </xf>
    <xf numFmtId="171" fontId="26" fillId="6" borderId="0" applyAlignment="1" pivotButton="0" quotePrefix="0" xfId="32">
      <alignment horizontal="right"/>
    </xf>
    <xf numFmtId="176" fontId="29" fillId="7" borderId="0" pivotButton="0" quotePrefix="0" xfId="32"/>
    <xf numFmtId="176" fontId="29" fillId="7" borderId="0" pivotButton="0" quotePrefix="0" xfId="0"/>
    <xf numFmtId="176" fontId="26" fillId="5" borderId="0" pivotButton="0" quotePrefix="0" xfId="32"/>
    <xf numFmtId="183" fontId="26" fillId="5" borderId="0" applyAlignment="1" pivotButton="0" quotePrefix="0" xfId="32">
      <alignment horizontal="left" indent="1"/>
    </xf>
    <xf numFmtId="184" fontId="21" fillId="5" borderId="23" applyAlignment="1" pivotButton="0" quotePrefix="0" xfId="30">
      <alignment horizontal="left" indent="1"/>
    </xf>
    <xf numFmtId="174" fontId="2" fillId="5" borderId="0" pivotButton="0" quotePrefix="0" xfId="16"/>
    <xf numFmtId="176" fontId="26" fillId="5" borderId="8" applyAlignment="1" pivotButton="0" quotePrefix="0" xfId="32">
      <alignment horizontal="left"/>
    </xf>
    <xf numFmtId="176" fontId="26" fillId="5" borderId="8" applyAlignment="1" pivotButton="0" quotePrefix="0" xfId="32">
      <alignment horizontal="left" indent="3"/>
    </xf>
    <xf numFmtId="176" fontId="26" fillId="6" borderId="8" pivotButton="0" quotePrefix="0" xfId="32"/>
    <xf numFmtId="176" fontId="26" fillId="5" borderId="8" pivotButton="0" quotePrefix="0" xfId="32"/>
    <xf numFmtId="182" fontId="26" fillId="5" borderId="0" applyAlignment="1" pivotButton="0" quotePrefix="0" xfId="32">
      <alignment horizontal="right"/>
    </xf>
    <xf numFmtId="182" fontId="26" fillId="6" borderId="0" pivotButton="0" quotePrefix="0" xfId="32"/>
    <xf numFmtId="185" fontId="3" fillId="5" borderId="0" pivotButton="0" quotePrefix="0" xfId="16"/>
    <xf numFmtId="185" fontId="13" fillId="5" borderId="0" pivotButton="0" quotePrefix="0" xfId="0"/>
    <xf numFmtId="185" fontId="13" fillId="6" borderId="0" pivotButton="0" quotePrefix="0" xfId="0"/>
    <xf numFmtId="185" fontId="0" fillId="5" borderId="0" pivotButton="0" quotePrefix="0" xfId="0"/>
    <xf numFmtId="186" fontId="2" fillId="5" borderId="0" applyAlignment="1" pivotButton="0" quotePrefix="0" xfId="0">
      <alignment horizontal="left"/>
    </xf>
    <xf numFmtId="187" fontId="3" fillId="5" borderId="0" applyAlignment="1" pivotButton="0" quotePrefix="0" xfId="0">
      <alignment horizontal="left"/>
    </xf>
    <xf numFmtId="185" fontId="6" fillId="5" borderId="0" applyAlignment="1" pivotButton="0" quotePrefix="0" xfId="16">
      <alignment horizontal="center"/>
    </xf>
    <xf numFmtId="188" fontId="3" fillId="5" borderId="0" pivotButton="0" quotePrefix="0" xfId="0"/>
    <xf numFmtId="173" fontId="21" fillId="5" borderId="0" applyAlignment="1" pivotButton="0" quotePrefix="0" xfId="0">
      <alignment horizontal="center"/>
    </xf>
    <xf numFmtId="0" fontId="27" fillId="5" borderId="0" pivotButton="0" quotePrefix="0" xfId="0"/>
    <xf numFmtId="0" fontId="28" fillId="5" borderId="0" applyAlignment="1" pivotButton="0" quotePrefix="0" xfId="16">
      <alignment horizontal="center"/>
    </xf>
    <xf numFmtId="165" fontId="27" fillId="5" borderId="0" applyAlignment="1" pivotButton="0" quotePrefix="0" xfId="0">
      <alignment horizontal="left" indent="4"/>
    </xf>
    <xf numFmtId="165" fontId="27" fillId="5" borderId="3" applyAlignment="1" pivotButton="0" quotePrefix="0" xfId="0">
      <alignment horizontal="left" indent="4"/>
    </xf>
    <xf numFmtId="165" fontId="27" fillId="5" borderId="3" pivotButton="0" quotePrefix="0" xfId="0"/>
    <xf numFmtId="165" fontId="26" fillId="5" borderId="8" applyAlignment="1" pivotButton="0" quotePrefix="0" xfId="0">
      <alignment horizontal="left" indent="4"/>
    </xf>
    <xf numFmtId="165" fontId="26" fillId="5" borderId="8" pivotButton="0" quotePrefix="0" xfId="0"/>
    <xf numFmtId="176" fontId="27" fillId="5" borderId="0" applyAlignment="1" pivotButton="0" quotePrefix="0" xfId="0">
      <alignment horizontal="left" indent="3"/>
    </xf>
    <xf numFmtId="176" fontId="27" fillId="5" borderId="0" pivotButton="0" quotePrefix="0" xfId="0"/>
    <xf numFmtId="165" fontId="27" fillId="5" borderId="0" applyAlignment="1" pivotButton="0" quotePrefix="0" xfId="0">
      <alignment horizontal="left" indent="3"/>
    </xf>
    <xf numFmtId="178" fontId="27" fillId="5" borderId="0" applyAlignment="1" pivotButton="0" quotePrefix="0" xfId="0">
      <alignment horizontal="left" indent="3"/>
    </xf>
    <xf numFmtId="178" fontId="27" fillId="5" borderId="0" pivotButton="0" quotePrefix="0" xfId="0"/>
    <xf numFmtId="165" fontId="26" fillId="5" borderId="0" applyAlignment="1" pivotButton="0" quotePrefix="0" xfId="0">
      <alignment horizontal="left" indent="3"/>
    </xf>
    <xf numFmtId="167" fontId="27" fillId="5" borderId="0" applyAlignment="1" pivotButton="0" quotePrefix="0" xfId="0">
      <alignment horizontal="left"/>
    </xf>
    <xf numFmtId="165" fontId="27" fillId="5" borderId="3" applyAlignment="1" pivotButton="0" quotePrefix="0" xfId="0">
      <alignment horizontal="left" indent="3"/>
    </xf>
    <xf numFmtId="165" fontId="26" fillId="5" borderId="8" applyAlignment="1" pivotButton="0" quotePrefix="0" xfId="0">
      <alignment horizontal="left" indent="3"/>
    </xf>
    <xf numFmtId="176" fontId="21" fillId="5" borderId="0" applyAlignment="1" pivotButton="0" quotePrefix="0" xfId="16">
      <alignment horizontal="left" indent="1"/>
    </xf>
    <xf numFmtId="176" fontId="27" fillId="5" borderId="3" applyAlignment="1" pivotButton="0" quotePrefix="0" xfId="0">
      <alignment horizontal="left" indent="3"/>
    </xf>
    <xf numFmtId="176" fontId="27" fillId="5" borderId="3" pivotButton="0" quotePrefix="0" xfId="0"/>
    <xf numFmtId="167" fontId="27" fillId="5" borderId="8" applyAlignment="1" pivotButton="0" quotePrefix="0" xfId="15">
      <alignment horizontal="left" indent="3"/>
    </xf>
    <xf numFmtId="167" fontId="27" fillId="5" borderId="0" applyAlignment="1" pivotButton="0" quotePrefix="0" xfId="15">
      <alignment horizontal="left" indent="3"/>
    </xf>
    <xf numFmtId="9" fontId="27" fillId="5" borderId="8" applyAlignment="1" pivotButton="0" quotePrefix="0" xfId="15">
      <alignment horizontal="left" indent="3"/>
    </xf>
    <xf numFmtId="0" fontId="27" fillId="5" borderId="8" pivotButton="0" quotePrefix="0" xfId="15"/>
    <xf numFmtId="167" fontId="27" fillId="5" borderId="10" applyAlignment="1" pivotButton="0" quotePrefix="0" xfId="0">
      <alignment horizontal="left" indent="3"/>
    </xf>
    <xf numFmtId="167" fontId="26" fillId="5" borderId="10" applyAlignment="1" pivotButton="0" quotePrefix="0" xfId="0">
      <alignment horizontal="left" indent="3"/>
    </xf>
    <xf numFmtId="167" fontId="24" fillId="5" borderId="8" applyAlignment="1" pivotButton="0" quotePrefix="0" xfId="0">
      <alignment horizontal="left" indent="1"/>
    </xf>
    <xf numFmtId="172" fontId="26" fillId="5" borderId="0" applyAlignment="1" pivotButton="0" quotePrefix="0" xfId="0">
      <alignment horizontal="left" indent="3"/>
    </xf>
    <xf numFmtId="172" fontId="26" fillId="5" borderId="0" pivotButton="0" quotePrefix="0" xfId="0"/>
    <xf numFmtId="168" fontId="28" fillId="5" borderId="0" applyAlignment="1" pivotButton="0" quotePrefix="0" xfId="0">
      <alignment horizontal="left"/>
    </xf>
    <xf numFmtId="169" fontId="27" fillId="5" borderId="0" applyAlignment="1" pivotButton="0" quotePrefix="0" xfId="0">
      <alignment horizontal="left" indent="3"/>
    </xf>
    <xf numFmtId="168" fontId="26" fillId="5" borderId="0" applyAlignment="1" pivotButton="0" quotePrefix="0" xfId="0">
      <alignment horizontal="left" indent="3"/>
    </xf>
    <xf numFmtId="174" fontId="27" fillId="5" borderId="0" applyAlignment="1" pivotButton="0" quotePrefix="0" xfId="0">
      <alignment horizontal="left" indent="3"/>
    </xf>
    <xf numFmtId="174" fontId="21" fillId="5" borderId="0" pivotButton="0" quotePrefix="0" xfId="16"/>
    <xf numFmtId="172" fontId="27" fillId="5" borderId="0" pivotButton="0" quotePrefix="0" xfId="0"/>
    <xf numFmtId="185" fontId="26" fillId="5" borderId="0" applyAlignment="1" pivotButton="0" quotePrefix="0" xfId="0">
      <alignment horizontal="left" indent="3"/>
    </xf>
    <xf numFmtId="167" fontId="27" fillId="5" borderId="15" applyAlignment="1" pivotButton="0" quotePrefix="0" xfId="0">
      <alignment horizontal="left" indent="3"/>
    </xf>
    <xf numFmtId="169" fontId="26" fillId="5" borderId="0" applyAlignment="1" pivotButton="0" quotePrefix="0" xfId="0">
      <alignment horizontal="left" indent="3"/>
    </xf>
    <xf numFmtId="169" fontId="26" fillId="5" borderId="0" pivotButton="0" quotePrefix="0" xfId="0"/>
    <xf numFmtId="0" fontId="27" fillId="5" borderId="0" applyAlignment="1" pivotButton="0" quotePrefix="0" xfId="0">
      <alignment horizontal="left" indent="3"/>
    </xf>
    <xf numFmtId="169" fontId="21" fillId="5" borderId="0" pivotButton="0" quotePrefix="0" xfId="0"/>
    <xf numFmtId="169" fontId="27" fillId="5" borderId="0" pivotButton="0" quotePrefix="0" xfId="0"/>
    <xf numFmtId="165" fontId="27" fillId="5" borderId="0" applyAlignment="1" pivotButton="0" quotePrefix="0" xfId="0">
      <alignment horizontal="left"/>
    </xf>
    <xf numFmtId="175" fontId="21" fillId="5" borderId="0" pivotButton="0" quotePrefix="0" xfId="16"/>
    <xf numFmtId="177" fontId="21" fillId="5" borderId="0" pivotButton="0" quotePrefix="0" xfId="16"/>
    <xf numFmtId="189" fontId="27" fillId="5" borderId="0" pivotButton="0" quotePrefix="0" xfId="0"/>
    <xf numFmtId="165" fontId="32" fillId="5" borderId="0" applyAlignment="1" pivotButton="0" quotePrefix="0" xfId="0">
      <alignment horizontal="left" indent="3"/>
    </xf>
    <xf numFmtId="167" fontId="21" fillId="5" borderId="15" applyAlignment="1" pivotButton="0" quotePrefix="0" xfId="30">
      <alignment horizontal="left" indent="1"/>
    </xf>
    <xf numFmtId="176" fontId="27" fillId="5" borderId="13" pivotButton="0" quotePrefix="0" xfId="0"/>
    <xf numFmtId="176" fontId="27" fillId="5" borderId="15" pivotButton="0" quotePrefix="0" xfId="0"/>
    <xf numFmtId="167" fontId="21" fillId="5" borderId="14" applyAlignment="1" pivotButton="0" quotePrefix="0" xfId="30">
      <alignment horizontal="left" indent="1"/>
    </xf>
    <xf numFmtId="176" fontId="27" fillId="5" borderId="14" pivotButton="0" quotePrefix="0" xfId="0"/>
    <xf numFmtId="167" fontId="21" fillId="5" borderId="2" applyAlignment="1" pivotButton="0" quotePrefix="0" xfId="30">
      <alignment horizontal="left" indent="1"/>
    </xf>
    <xf numFmtId="176" fontId="21" fillId="5" borderId="15" pivotButton="0" quotePrefix="0" xfId="30"/>
    <xf numFmtId="0" fontId="27" fillId="5" borderId="14" pivotButton="0" quotePrefix="0" xfId="0"/>
    <xf numFmtId="165" fontId="27" fillId="6" borderId="0" pivotButton="0" quotePrefix="0" xfId="0"/>
    <xf numFmtId="165" fontId="27" fillId="6" borderId="3" pivotButton="0" quotePrefix="0" xfId="0"/>
    <xf numFmtId="165" fontId="26" fillId="6" borderId="8" pivotButton="0" quotePrefix="0" xfId="0"/>
    <xf numFmtId="176" fontId="27" fillId="6" borderId="0" pivotButton="0" quotePrefix="0" xfId="0"/>
    <xf numFmtId="172" fontId="26" fillId="6" borderId="0" pivotButton="0" quotePrefix="0" xfId="0"/>
    <xf numFmtId="172" fontId="27" fillId="6" borderId="0" pivotButton="0" quotePrefix="0" xfId="0"/>
    <xf numFmtId="185" fontId="26" fillId="6" borderId="0" pivotButton="0" quotePrefix="0" xfId="0"/>
    <xf numFmtId="169" fontId="27" fillId="6" borderId="0" applyAlignment="1" pivotButton="0" quotePrefix="0" xfId="0">
      <alignment horizontal="right"/>
    </xf>
    <xf numFmtId="165" fontId="32" fillId="6" borderId="0" pivotButton="0" quotePrefix="0" xfId="0"/>
    <xf numFmtId="176" fontId="27" fillId="6" borderId="3" applyAlignment="1" pivotButton="0" quotePrefix="0" xfId="0">
      <alignment horizontal="right"/>
    </xf>
    <xf numFmtId="176" fontId="27" fillId="6" borderId="3" pivotButton="0" quotePrefix="0" xfId="0"/>
    <xf numFmtId="178" fontId="27" fillId="6" borderId="0" pivotButton="0" quotePrefix="0" xfId="0"/>
    <xf numFmtId="0" fontId="27" fillId="6" borderId="8" pivotButton="0" quotePrefix="0" xfId="15"/>
    <xf numFmtId="17" fontId="33" fillId="6" borderId="0" applyAlignment="1" pivotButton="0" quotePrefix="0" xfId="32">
      <alignment horizontal="center"/>
    </xf>
    <xf numFmtId="167" fontId="28" fillId="6" borderId="0" applyAlignment="1" pivotButton="0" quotePrefix="0" xfId="32">
      <alignment horizontal="center"/>
    </xf>
    <xf numFmtId="0" fontId="27" fillId="5" borderId="7" pivotButton="0" quotePrefix="0" xfId="0"/>
    <xf numFmtId="176" fontId="21" fillId="5" borderId="5" pivotButton="0" quotePrefix="0" xfId="30"/>
    <xf numFmtId="176" fontId="21" fillId="5" borderId="2" pivotButton="0" quotePrefix="0" xfId="30"/>
    <xf numFmtId="0" fontId="27" fillId="5" borderId="11" pivotButton="0" quotePrefix="0" xfId="0"/>
    <xf numFmtId="165" fontId="30" fillId="7" borderId="11" pivotButton="0" quotePrefix="0" xfId="0"/>
    <xf numFmtId="165" fontId="27" fillId="5" borderId="11" pivotButton="0" quotePrefix="0" xfId="0"/>
    <xf numFmtId="176" fontId="27" fillId="5" borderId="24" pivotButton="0" quotePrefix="0" xfId="0"/>
    <xf numFmtId="168" fontId="27" fillId="5" borderId="11" pivotButton="0" quotePrefix="0" xfId="0"/>
    <xf numFmtId="167" fontId="27" fillId="5" borderId="25" pivotButton="0" quotePrefix="0" xfId="0"/>
    <xf numFmtId="167" fontId="27" fillId="5" borderId="26" pivotButton="0" quotePrefix="0" xfId="0"/>
    <xf numFmtId="175" fontId="27" fillId="5" borderId="11" pivotButton="0" quotePrefix="0" xfId="0"/>
    <xf numFmtId="190" fontId="27" fillId="5" borderId="11" pivotButton="0" quotePrefix="0" xfId="0"/>
    <xf numFmtId="165" fontId="30" fillId="7" borderId="11" pivotButton="0" quotePrefix="0" xfId="32"/>
    <xf numFmtId="167" fontId="26" fillId="5" borderId="14" applyAlignment="1" pivotButton="0" quotePrefix="0" xfId="0">
      <alignment horizontal="left"/>
    </xf>
    <xf numFmtId="167" fontId="26" fillId="5" borderId="14" applyAlignment="1" pivotButton="0" quotePrefix="0" xfId="0">
      <alignment horizontal="left" indent="3"/>
    </xf>
    <xf numFmtId="167" fontId="25" fillId="5" borderId="0" applyAlignment="1" pivotButton="0" quotePrefix="0" xfId="0">
      <alignment horizontal="left"/>
    </xf>
    <xf numFmtId="165" fontId="25" fillId="6" borderId="0" applyAlignment="1" pivotButton="0" quotePrefix="0" xfId="0">
      <alignment horizontal="right"/>
    </xf>
    <xf numFmtId="165" fontId="25" fillId="5" borderId="0" applyAlignment="1" pivotButton="0" quotePrefix="0" xfId="0">
      <alignment horizontal="right"/>
    </xf>
    <xf numFmtId="165" fontId="53" fillId="5" borderId="0" applyAlignment="1" pivotButton="0" quotePrefix="0" xfId="0">
      <alignment horizontal="right"/>
    </xf>
    <xf numFmtId="165" fontId="53" fillId="6" borderId="0" applyAlignment="1" pivotButton="0" quotePrefix="0" xfId="0">
      <alignment horizontal="right"/>
    </xf>
    <xf numFmtId="176" fontId="26" fillId="6" borderId="0" applyAlignment="1" pivotButton="0" quotePrefix="0" xfId="0">
      <alignment horizontal="right"/>
    </xf>
    <xf numFmtId="176" fontId="26" fillId="5" borderId="0" applyAlignment="1" pivotButton="0" quotePrefix="0" xfId="0">
      <alignment horizontal="right"/>
    </xf>
    <xf numFmtId="191" fontId="27" fillId="5" borderId="0" pivotButton="0" quotePrefix="0" xfId="0"/>
    <xf numFmtId="178" fontId="2" fillId="5" borderId="0" applyAlignment="1" pivotButton="0" quotePrefix="0" xfId="16">
      <alignment horizontal="left" indent="1"/>
    </xf>
    <xf numFmtId="176" fontId="28" fillId="5" borderId="8" applyAlignment="1" pivotButton="0" quotePrefix="0" xfId="16">
      <alignment horizontal="left"/>
    </xf>
    <xf numFmtId="176" fontId="26" fillId="5" borderId="8" applyAlignment="1" pivotButton="0" quotePrefix="0" xfId="0">
      <alignment horizontal="left" indent="3"/>
    </xf>
    <xf numFmtId="176" fontId="26" fillId="6" borderId="8" pivotButton="0" quotePrefix="0" xfId="0"/>
    <xf numFmtId="176" fontId="26" fillId="5" borderId="8" pivotButton="0" quotePrefix="0" xfId="0"/>
    <xf numFmtId="176" fontId="7" fillId="5" borderId="8" pivotButton="0" quotePrefix="0" xfId="0"/>
    <xf numFmtId="176" fontId="0" fillId="6" borderId="3" pivotButton="0" quotePrefix="0" xfId="0"/>
    <xf numFmtId="176" fontId="26" fillId="6" borderId="8" applyAlignment="1" pivotButton="0" quotePrefix="0" xfId="0">
      <alignment horizontal="right"/>
    </xf>
    <xf numFmtId="177" fontId="27" fillId="6" borderId="0" pivotButton="0" quotePrefix="0" xfId="0"/>
    <xf numFmtId="177" fontId="21" fillId="5" borderId="0" applyAlignment="1" pivotButton="0" quotePrefix="0" xfId="0">
      <alignment horizontal="left"/>
    </xf>
    <xf numFmtId="177" fontId="27" fillId="5" borderId="0" applyAlignment="1" pivotButton="0" quotePrefix="0" xfId="0">
      <alignment horizontal="left"/>
    </xf>
    <xf numFmtId="167" fontId="0" fillId="5" borderId="0" applyAlignment="1" pivotButton="0" quotePrefix="0" xfId="0">
      <alignment horizontal="left" indent="3"/>
    </xf>
    <xf numFmtId="167" fontId="27" fillId="5" borderId="0" applyAlignment="1" pivotButton="0" quotePrefix="0" xfId="0">
      <alignment horizontal="left" indent="5"/>
    </xf>
    <xf numFmtId="167" fontId="0" fillId="5" borderId="3" applyAlignment="1" pivotButton="0" quotePrefix="0" xfId="0">
      <alignment horizontal="left" indent="3"/>
    </xf>
    <xf numFmtId="167" fontId="27" fillId="5" borderId="3" applyAlignment="1" pivotButton="0" quotePrefix="0" xfId="0">
      <alignment horizontal="left" indent="5"/>
    </xf>
    <xf numFmtId="17" fontId="27" fillId="5" borderId="0" pivotButton="0" quotePrefix="0" xfId="0"/>
    <xf numFmtId="17" fontId="27" fillId="5" borderId="12" pivotButton="0" quotePrefix="0" xfId="0"/>
    <xf numFmtId="192" fontId="27" fillId="5" borderId="0" pivotButton="0" quotePrefix="0" xfId="0"/>
    <xf numFmtId="192" fontId="27" fillId="5" borderId="12" pivotButton="0" quotePrefix="0" xfId="0"/>
    <xf numFmtId="177" fontId="27" fillId="5" borderId="0" pivotButton="0" quotePrefix="0" xfId="0"/>
    <xf numFmtId="177" fontId="27" fillId="5" borderId="12" pivotButton="0" quotePrefix="0" xfId="0"/>
    <xf numFmtId="167" fontId="21" fillId="5" borderId="27" applyAlignment="1" pivotButton="0" quotePrefix="0" xfId="30">
      <alignment horizontal="left" indent="1"/>
    </xf>
    <xf numFmtId="177" fontId="21" fillId="5" borderId="3" pivotButton="0" quotePrefix="0" xfId="30"/>
    <xf numFmtId="177" fontId="27" fillId="5" borderId="3" pivotButton="0" quotePrefix="0" xfId="0"/>
    <xf numFmtId="177" fontId="27" fillId="5" borderId="28" pivotButton="0" quotePrefix="0" xfId="0"/>
    <xf numFmtId="177" fontId="27" fillId="5" borderId="29" pivotButton="0" quotePrefix="0" xfId="0"/>
    <xf numFmtId="165" fontId="25" fillId="5" borderId="0" applyAlignment="1" pivotButton="0" quotePrefix="0" xfId="0">
      <alignment horizontal="left" indent="1"/>
    </xf>
    <xf numFmtId="165" fontId="24" fillId="5" borderId="0" pivotButton="0" quotePrefix="0" xfId="16"/>
    <xf numFmtId="165" fontId="26" fillId="5" borderId="3" applyAlignment="1" pivotButton="0" quotePrefix="0" xfId="0">
      <alignment horizontal="left" indent="1"/>
    </xf>
    <xf numFmtId="193" fontId="7" fillId="5" borderId="0" applyAlignment="1" pivotButton="0" quotePrefix="0" xfId="0">
      <alignment horizontal="left"/>
    </xf>
    <xf numFmtId="167" fontId="0" fillId="5" borderId="0" applyAlignment="1" pivotButton="0" quotePrefix="0" xfId="0">
      <alignment horizontal="left"/>
    </xf>
    <xf numFmtId="172" fontId="26" fillId="6" borderId="0" pivotButton="0" quotePrefix="0" xfId="16"/>
    <xf numFmtId="172" fontId="26" fillId="5" borderId="0" pivotButton="0" quotePrefix="0" xfId="16"/>
    <xf numFmtId="1" fontId="26" fillId="6" borderId="0" applyAlignment="1" pivotButton="0" quotePrefix="0" xfId="0">
      <alignment horizontal="center"/>
    </xf>
    <xf numFmtId="17" fontId="24" fillId="6" borderId="0" applyAlignment="1" pivotButton="0" quotePrefix="0" xfId="0">
      <alignment horizontal="center"/>
    </xf>
    <xf numFmtId="175" fontId="26" fillId="6" borderId="0" pivotButton="0" quotePrefix="0" xfId="0"/>
    <xf numFmtId="175" fontId="27" fillId="6" borderId="0" pivotButton="0" quotePrefix="0" xfId="0"/>
    <xf numFmtId="192" fontId="27" fillId="6" borderId="0" pivotButton="0" quotePrefix="0" xfId="0"/>
    <xf numFmtId="189" fontId="27" fillId="6" borderId="0" pivotButton="0" quotePrefix="0" xfId="0"/>
    <xf numFmtId="1" fontId="26" fillId="5" borderId="0" applyAlignment="1" pivotButton="0" quotePrefix="0" xfId="0">
      <alignment horizontal="center"/>
    </xf>
    <xf numFmtId="17" fontId="24" fillId="5" borderId="0" applyAlignment="1" pivotButton="0" quotePrefix="0" xfId="0">
      <alignment horizontal="center"/>
    </xf>
    <xf numFmtId="175" fontId="26" fillId="5" borderId="0" applyAlignment="1" pivotButton="0" quotePrefix="0" xfId="0">
      <alignment horizontal="right"/>
    </xf>
    <xf numFmtId="175" fontId="27" fillId="5" borderId="0" applyAlignment="1" pivotButton="0" quotePrefix="0" xfId="0">
      <alignment horizontal="right"/>
    </xf>
    <xf numFmtId="192" fontId="27" fillId="5" borderId="0" applyAlignment="1" pivotButton="0" quotePrefix="0" xfId="0">
      <alignment horizontal="right"/>
    </xf>
    <xf numFmtId="177" fontId="27" fillId="5" borderId="0" applyAlignment="1" pivotButton="0" quotePrefix="0" xfId="0">
      <alignment horizontal="right"/>
    </xf>
    <xf numFmtId="167" fontId="21" fillId="5" borderId="0" applyAlignment="1" pivotButton="0" quotePrefix="0" xfId="30">
      <alignment horizontal="left" indent="1"/>
    </xf>
    <xf numFmtId="167" fontId="28" fillId="5" borderId="7" applyAlignment="1" pivotButton="0" quotePrefix="0" xfId="30">
      <alignment horizontal="left"/>
    </xf>
    <xf numFmtId="167" fontId="21" fillId="5" borderId="5" applyAlignment="1" pivotButton="0" quotePrefix="0" xfId="30">
      <alignment horizontal="left" indent="1"/>
    </xf>
    <xf numFmtId="167" fontId="0" fillId="5" borderId="0" pivotButton="0" quotePrefix="0" xfId="0"/>
    <xf numFmtId="167" fontId="0" fillId="5" borderId="0" applyAlignment="1" pivotButton="0" quotePrefix="0" xfId="0">
      <alignment horizontal="left" indent="1"/>
    </xf>
    <xf numFmtId="167" fontId="7" fillId="5" borderId="0" pivotButton="0" quotePrefix="0" xfId="0"/>
    <xf numFmtId="176" fontId="27" fillId="5" borderId="28" pivotButton="0" quotePrefix="0" xfId="0"/>
    <xf numFmtId="165" fontId="25" fillId="6" borderId="0" pivotButton="0" quotePrefix="0" xfId="0"/>
    <xf numFmtId="0" fontId="4" fillId="5" borderId="23" pivotButton="0" quotePrefix="0" xfId="26"/>
    <xf numFmtId="176" fontId="28" fillId="5" borderId="0" applyAlignment="1" pivotButton="0" quotePrefix="0" xfId="16">
      <alignment horizontal="left"/>
    </xf>
    <xf numFmtId="176" fontId="26" fillId="5" borderId="0" applyAlignment="1" pivotButton="0" quotePrefix="0" xfId="0">
      <alignment horizontal="left" indent="3"/>
    </xf>
    <xf numFmtId="176" fontId="26" fillId="6" borderId="0" pivotButton="0" quotePrefix="0" xfId="0"/>
    <xf numFmtId="176" fontId="26" fillId="5" borderId="0" pivotButton="0" quotePrefix="0" xfId="0"/>
    <xf numFmtId="176" fontId="7" fillId="5" borderId="0" pivotButton="0" quotePrefix="0" xfId="0"/>
    <xf numFmtId="176" fontId="21" fillId="5" borderId="0" applyAlignment="1" pivotButton="0" quotePrefix="0" xfId="16">
      <alignment horizontal="left" indent="2"/>
    </xf>
    <xf numFmtId="176" fontId="21" fillId="5" borderId="8" applyAlignment="1" pivotButton="0" quotePrefix="0" xfId="16">
      <alignment horizontal="left" indent="1"/>
    </xf>
    <xf numFmtId="176" fontId="27" fillId="5" borderId="8" applyAlignment="1" pivotButton="0" quotePrefix="0" xfId="0">
      <alignment horizontal="left" indent="3"/>
    </xf>
    <xf numFmtId="176" fontId="27" fillId="6" borderId="8" pivotButton="0" quotePrefix="0" xfId="0"/>
    <xf numFmtId="176" fontId="27" fillId="6" borderId="8" applyAlignment="1" pivotButton="0" quotePrefix="0" xfId="0">
      <alignment horizontal="right"/>
    </xf>
    <xf numFmtId="176" fontId="27" fillId="5" borderId="8" pivotButton="0" quotePrefix="0" xfId="0"/>
    <xf numFmtId="176" fontId="27" fillId="5" borderId="30" pivotButton="0" quotePrefix="0" xfId="0"/>
    <xf numFmtId="165" fontId="19" fillId="5" borderId="0" pivotButton="0" quotePrefix="0" xfId="0"/>
    <xf numFmtId="165" fontId="24" fillId="5" borderId="3" pivotButton="0" quotePrefix="0" xfId="16"/>
    <xf numFmtId="165" fontId="25" fillId="6" borderId="3" applyAlignment="1" pivotButton="0" quotePrefix="0" xfId="0">
      <alignment horizontal="right"/>
    </xf>
    <xf numFmtId="165" fontId="25" fillId="5" borderId="3" applyAlignment="1" pivotButton="0" quotePrefix="0" xfId="0">
      <alignment horizontal="right"/>
    </xf>
    <xf numFmtId="165" fontId="53" fillId="5" borderId="3" applyAlignment="1" pivotButton="0" quotePrefix="0" xfId="0">
      <alignment horizontal="right"/>
    </xf>
    <xf numFmtId="165" fontId="53" fillId="6" borderId="3" applyAlignment="1" pivotButton="0" quotePrefix="0" xfId="0">
      <alignment horizontal="right"/>
    </xf>
    <xf numFmtId="165" fontId="25" fillId="5" borderId="0" applyAlignment="1" pivotButton="0" quotePrefix="0" xfId="0">
      <alignment horizontal="left" indent="4"/>
    </xf>
    <xf numFmtId="165" fontId="25" fillId="5" borderId="0" pivotButton="0" quotePrefix="0" xfId="32"/>
    <xf numFmtId="165" fontId="19" fillId="5" borderId="0" applyAlignment="1" pivotButton="0" quotePrefix="0" xfId="0">
      <alignment horizontal="left" indent="2"/>
    </xf>
    <xf numFmtId="165" fontId="19" fillId="5" borderId="0" applyAlignment="1" pivotButton="0" quotePrefix="0" xfId="0">
      <alignment horizontal="left" indent="1"/>
    </xf>
    <xf numFmtId="165" fontId="19" fillId="5" borderId="3" applyAlignment="1" pivotButton="0" quotePrefix="0" xfId="0">
      <alignment horizontal="left" indent="2"/>
    </xf>
    <xf numFmtId="167" fontId="19" fillId="5" borderId="0" pivotButton="0" quotePrefix="0" xfId="0"/>
    <xf numFmtId="176" fontId="26" fillId="5" borderId="0" applyAlignment="1" pivotButton="0" quotePrefix="0" xfId="0">
      <alignment horizontal="left"/>
    </xf>
    <xf numFmtId="176" fontId="27" fillId="5" borderId="3" applyAlignment="1" pivotButton="0" quotePrefix="0" xfId="0">
      <alignment horizontal="left" indent="1"/>
    </xf>
    <xf numFmtId="176" fontId="27" fillId="5" borderId="0" applyAlignment="1" pivotButton="0" quotePrefix="0" xfId="0">
      <alignment horizontal="left" indent="1"/>
    </xf>
    <xf numFmtId="165" fontId="24" fillId="5" borderId="0" applyAlignment="1" pivotButton="0" quotePrefix="0" xfId="0">
      <alignment horizontal="left" indent="2"/>
    </xf>
    <xf numFmtId="176" fontId="27" fillId="5" borderId="0" applyAlignment="1" pivotButton="0" quotePrefix="0" xfId="0">
      <alignment horizontal="left"/>
    </xf>
    <xf numFmtId="176" fontId="26" fillId="5" borderId="8" applyAlignment="1" pivotButton="0" quotePrefix="0" xfId="0">
      <alignment horizontal="left"/>
    </xf>
    <xf numFmtId="176" fontId="27" fillId="5" borderId="0" applyAlignment="1" pivotButton="0" quotePrefix="0" xfId="0">
      <alignment horizontal="left" indent="4"/>
    </xf>
    <xf numFmtId="176" fontId="9" fillId="5" borderId="0" pivotButton="0" quotePrefix="0" xfId="0"/>
    <xf numFmtId="176" fontId="9" fillId="6" borderId="0" pivotButton="0" quotePrefix="0" xfId="0"/>
    <xf numFmtId="176" fontId="2" fillId="5" borderId="3" applyAlignment="1" pivotButton="0" quotePrefix="0" xfId="16">
      <alignment horizontal="left" indent="1"/>
    </xf>
    <xf numFmtId="176" fontId="3" fillId="5" borderId="8" applyAlignment="1" pivotButton="0" quotePrefix="0" xfId="16">
      <alignment horizontal="left"/>
    </xf>
    <xf numFmtId="173" fontId="56" fillId="5" borderId="0" applyAlignment="1" pivotButton="0" quotePrefix="0" xfId="26">
      <alignment horizontal="left"/>
    </xf>
    <xf numFmtId="165" fontId="32" fillId="5" borderId="0" applyAlignment="1" pivotButton="0" quotePrefix="0" xfId="0">
      <alignment horizontal="left" indent="1"/>
    </xf>
    <xf numFmtId="167" fontId="21" fillId="5" borderId="0" applyAlignment="1" pivotButton="0" quotePrefix="0" xfId="16">
      <alignment horizontal="left" indent="1"/>
    </xf>
    <xf numFmtId="172" fontId="19" fillId="5" borderId="0" pivotButton="0" quotePrefix="0" xfId="0"/>
    <xf numFmtId="168" fontId="5" fillId="5" borderId="0" applyAlignment="1" pivotButton="0" quotePrefix="0" xfId="0">
      <alignment horizontal="left" indent="1"/>
    </xf>
    <xf numFmtId="0" fontId="28" fillId="5" borderId="0" applyAlignment="1" pivotButton="0" quotePrefix="0" xfId="0">
      <alignment horizontal="center"/>
    </xf>
    <xf numFmtId="0" fontId="28" fillId="6" borderId="0" applyAlignment="1" pivotButton="0" quotePrefix="0" xfId="0">
      <alignment horizontal="center"/>
    </xf>
    <xf numFmtId="176" fontId="21" fillId="5" borderId="8" pivotButton="0" quotePrefix="0" xfId="30"/>
    <xf numFmtId="176" fontId="27" fillId="5" borderId="7" pivotButton="0" quotePrefix="0" xfId="0"/>
    <xf numFmtId="176" fontId="21" fillId="5" borderId="3" pivotButton="0" quotePrefix="0" xfId="30"/>
    <xf numFmtId="176" fontId="27" fillId="5" borderId="2" pivotButton="0" quotePrefix="0" xfId="0"/>
    <xf numFmtId="167" fontId="28" fillId="5" borderId="8" applyAlignment="1" pivotButton="0" quotePrefix="0" xfId="30">
      <alignment horizontal="left"/>
    </xf>
    <xf numFmtId="167" fontId="28" fillId="5" borderId="0" applyAlignment="1" pivotButton="0" quotePrefix="0" xfId="30">
      <alignment horizontal="left"/>
    </xf>
    <xf numFmtId="167" fontId="28" fillId="5" borderId="3" applyAlignment="1" pivotButton="0" quotePrefix="0" xfId="30">
      <alignment horizontal="left"/>
    </xf>
    <xf numFmtId="194" fontId="26" fillId="5" borderId="0" applyAlignment="1" pivotButton="0" quotePrefix="0" xfId="0">
      <alignment horizontal="right"/>
    </xf>
    <xf numFmtId="194" fontId="26" fillId="5" borderId="5" applyAlignment="1" pivotButton="0" quotePrefix="0" xfId="0">
      <alignment horizontal="right"/>
    </xf>
    <xf numFmtId="0" fontId="26" fillId="5" borderId="0" applyAlignment="1" pivotButton="0" quotePrefix="0" xfId="0">
      <alignment horizontal="right"/>
    </xf>
    <xf numFmtId="0" fontId="26" fillId="5" borderId="5" applyAlignment="1" pivotButton="0" quotePrefix="0" xfId="0">
      <alignment horizontal="right"/>
    </xf>
    <xf numFmtId="0" fontId="12" fillId="5" borderId="0" applyAlignment="1" pivotButton="0" quotePrefix="0" xfId="31">
      <alignment vertical="center"/>
    </xf>
    <xf numFmtId="0" fontId="17" fillId="5" borderId="0" applyAlignment="1" pivotButton="0" quotePrefix="0" xfId="31">
      <alignment vertical="center"/>
    </xf>
    <xf numFmtId="0" fontId="2" fillId="5" borderId="0" applyAlignment="1" pivotButton="0" quotePrefix="0" xfId="31">
      <alignment vertical="center"/>
    </xf>
    <xf numFmtId="0" fontId="17" fillId="5" borderId="0" applyAlignment="1" pivotButton="0" quotePrefix="0" xfId="31">
      <alignment horizontal="center" vertical="center"/>
    </xf>
    <xf numFmtId="0" fontId="12" fillId="5" borderId="0" pivotButton="0" quotePrefix="0" xfId="31"/>
    <xf numFmtId="14" fontId="12" fillId="5" borderId="0" applyAlignment="1" pivotButton="0" quotePrefix="0" xfId="31">
      <alignment horizontal="center" vertical="center"/>
    </xf>
    <xf numFmtId="0" fontId="12" fillId="5" borderId="0" applyAlignment="1" pivotButton="0" quotePrefix="0" xfId="31">
      <alignment horizontal="center"/>
    </xf>
    <xf numFmtId="0" fontId="16" fillId="5" borderId="0" pivotButton="0" quotePrefix="0" xfId="31"/>
    <xf numFmtId="0" fontId="23" fillId="5" borderId="0" applyAlignment="1" pivotButton="0" quotePrefix="0" xfId="31">
      <alignment horizontal="center"/>
    </xf>
    <xf numFmtId="1" fontId="15" fillId="5" borderId="0" applyAlignment="1" pivotButton="0" quotePrefix="0" xfId="31">
      <alignment horizontal="center"/>
    </xf>
    <xf numFmtId="0" fontId="16" fillId="5" borderId="0" pivotButton="0" quotePrefix="1" xfId="31"/>
    <xf numFmtId="0" fontId="17" fillId="5" borderId="0" pivotButton="0" quotePrefix="0" xfId="31"/>
    <xf numFmtId="191" fontId="15" fillId="5" borderId="0" pivotButton="0" quotePrefix="0" xfId="31"/>
    <xf numFmtId="195" fontId="17" fillId="5" borderId="0" applyAlignment="1" pivotButton="0" quotePrefix="0" xfId="31">
      <alignment horizontal="center" vertical="center"/>
    </xf>
    <xf numFmtId="196" fontId="3" fillId="5" borderId="0" applyAlignment="1" pivotButton="0" quotePrefix="0" xfId="31">
      <alignment horizontal="right"/>
    </xf>
    <xf numFmtId="197" fontId="3" fillId="5" borderId="0" applyAlignment="1" pivotButton="0" quotePrefix="0" xfId="31">
      <alignment horizontal="right"/>
    </xf>
    <xf numFmtId="14" fontId="8" fillId="5" borderId="1" applyAlignment="1" pivotButton="0" quotePrefix="0" xfId="31">
      <alignment horizontal="center"/>
    </xf>
    <xf numFmtId="0" fontId="8" fillId="5" borderId="1" applyAlignment="1" pivotButton="0" quotePrefix="0" xfId="31">
      <alignment horizontal="center"/>
    </xf>
    <xf numFmtId="0" fontId="2" fillId="5" borderId="1" applyAlignment="1" pivotButton="0" quotePrefix="0" xfId="31">
      <alignment horizontal="center"/>
    </xf>
    <xf numFmtId="0" fontId="8" fillId="5" borderId="23" applyAlignment="1" pivotButton="0" quotePrefix="0" xfId="31">
      <alignment horizontal="left"/>
    </xf>
    <xf numFmtId="0" fontId="8" fillId="5" borderId="4" applyAlignment="1" pivotButton="0" quotePrefix="0" xfId="31">
      <alignment horizontal="left"/>
    </xf>
    <xf numFmtId="0" fontId="8" fillId="5" borderId="1" applyAlignment="1" pivotButton="0" quotePrefix="0" xfId="31">
      <alignment horizontal="left"/>
    </xf>
    <xf numFmtId="0" fontId="4" fillId="5" borderId="1" pivotButton="0" quotePrefix="0" xfId="26"/>
    <xf numFmtId="14" fontId="8" fillId="5" borderId="31" applyAlignment="1" pivotButton="0" quotePrefix="0" xfId="31">
      <alignment horizontal="center"/>
    </xf>
    <xf numFmtId="0" fontId="8" fillId="5" borderId="32" applyAlignment="1" pivotButton="0" quotePrefix="0" xfId="31">
      <alignment horizontal="center"/>
    </xf>
    <xf numFmtId="0" fontId="2" fillId="5" borderId="33" applyAlignment="1" pivotButton="0" quotePrefix="0" xfId="31">
      <alignment horizontal="center"/>
    </xf>
    <xf numFmtId="0" fontId="8" fillId="5" borderId="33" applyAlignment="1" pivotButton="0" quotePrefix="0" xfId="31">
      <alignment horizontal="left"/>
    </xf>
    <xf numFmtId="0" fontId="4" fillId="5" borderId="34" pivotButton="0" quotePrefix="0" xfId="26"/>
    <xf numFmtId="14" fontId="8" fillId="5" borderId="35" applyAlignment="1" pivotButton="0" quotePrefix="0" xfId="31">
      <alignment horizontal="center"/>
    </xf>
    <xf numFmtId="0" fontId="8" fillId="5" borderId="33" applyAlignment="1" pivotButton="0" quotePrefix="0" xfId="31">
      <alignment horizontal="center"/>
    </xf>
    <xf numFmtId="0" fontId="4" fillId="5" borderId="36" pivotButton="0" quotePrefix="0" xfId="26"/>
    <xf numFmtId="0" fontId="4" fillId="5" borderId="36" applyAlignment="1" pivotButton="0" quotePrefix="0" xfId="26">
      <alignment horizontal="left"/>
    </xf>
    <xf numFmtId="14" fontId="8" fillId="5" borderId="23" applyAlignment="1" pivotButton="0" quotePrefix="0" xfId="31">
      <alignment horizontal="center"/>
    </xf>
    <xf numFmtId="0" fontId="8" fillId="5" borderId="23" applyAlignment="1" pivotButton="0" quotePrefix="0" xfId="31">
      <alignment horizontal="center"/>
    </xf>
    <xf numFmtId="0" fontId="2" fillId="5" borderId="23" applyAlignment="1" pivotButton="0" quotePrefix="0" xfId="31">
      <alignment horizontal="center"/>
    </xf>
    <xf numFmtId="0" fontId="4" fillId="5" borderId="23" applyAlignment="1" pivotButton="0" quotePrefix="0" xfId="26">
      <alignment horizontal="left"/>
    </xf>
    <xf numFmtId="0" fontId="4" fillId="5" borderId="1" applyAlignment="1" pivotButton="0" quotePrefix="0" xfId="26">
      <alignment horizontal="left"/>
    </xf>
    <xf numFmtId="14" fontId="12" fillId="9" borderId="0" applyAlignment="1" pivotButton="0" quotePrefix="0" xfId="31">
      <alignment horizontal="center" vertical="center"/>
    </xf>
    <xf numFmtId="0" fontId="18" fillId="9" borderId="0" applyAlignment="1" pivotButton="0" quotePrefix="0" xfId="31">
      <alignment horizontal="center" vertical="center"/>
    </xf>
    <xf numFmtId="1" fontId="57" fillId="10" borderId="0" applyAlignment="1" pivotButton="0" quotePrefix="0" xfId="31">
      <alignment horizontal="center" vertical="center"/>
    </xf>
    <xf numFmtId="185" fontId="57" fillId="10" borderId="0" applyAlignment="1" pivotButton="0" quotePrefix="0" xfId="16">
      <alignment horizontal="center" vertical="center"/>
    </xf>
    <xf numFmtId="0" fontId="28" fillId="5" borderId="1" applyAlignment="1" pivotButton="0" quotePrefix="0" xfId="31">
      <alignment horizontal="center"/>
    </xf>
    <xf numFmtId="198" fontId="27" fillId="6" borderId="0" pivotButton="0" quotePrefix="0" xfId="0"/>
    <xf numFmtId="198" fontId="27" fillId="5" borderId="0" pivotButton="0" quotePrefix="0" xfId="0"/>
    <xf numFmtId="176" fontId="25" fillId="5" borderId="0" applyAlignment="1" pivotButton="0" quotePrefix="0" xfId="0">
      <alignment horizontal="left" indent="1"/>
    </xf>
    <xf numFmtId="165" fontId="53" fillId="5" borderId="0" pivotButton="0" quotePrefix="0" xfId="0"/>
    <xf numFmtId="165" fontId="53" fillId="6" borderId="0" pivotButton="0" quotePrefix="0" xfId="0"/>
    <xf numFmtId="176" fontId="25" fillId="5" borderId="3" applyAlignment="1" pivotButton="0" quotePrefix="0" xfId="0">
      <alignment horizontal="left" indent="1"/>
    </xf>
    <xf numFmtId="167" fontId="25" fillId="5" borderId="3" applyAlignment="1" pivotButton="0" quotePrefix="0" xfId="0">
      <alignment horizontal="left" indent="3"/>
    </xf>
    <xf numFmtId="165" fontId="25" fillId="6" borderId="3" pivotButton="0" quotePrefix="0" xfId="0"/>
    <xf numFmtId="165" fontId="25" fillId="5" borderId="3" pivotButton="0" quotePrefix="0" xfId="0"/>
    <xf numFmtId="176" fontId="25" fillId="5" borderId="0" applyAlignment="1" pivotButton="0" quotePrefix="0" xfId="0">
      <alignment horizontal="left"/>
    </xf>
    <xf numFmtId="199" fontId="25" fillId="6" borderId="0" pivotButton="0" quotePrefix="0" xfId="0"/>
    <xf numFmtId="199" fontId="53" fillId="5" borderId="0" pivotButton="0" quotePrefix="0" xfId="0"/>
    <xf numFmtId="199" fontId="53" fillId="6" borderId="0" pivotButton="0" quotePrefix="0" xfId="0"/>
    <xf numFmtId="167" fontId="27" fillId="5" borderId="0" applyAlignment="1" pivotButton="0" quotePrefix="0" xfId="32">
      <alignment horizontal="left"/>
    </xf>
    <xf numFmtId="167" fontId="27" fillId="5" borderId="3" applyAlignment="1" pivotButton="0" quotePrefix="0" xfId="32">
      <alignment horizontal="left" indent="1"/>
    </xf>
    <xf numFmtId="169" fontId="25" fillId="5" borderId="0" pivotButton="0" quotePrefix="0" xfId="0"/>
    <xf numFmtId="169" fontId="25" fillId="5" borderId="0" applyAlignment="1" pivotButton="0" quotePrefix="0" xfId="0">
      <alignment horizontal="left" indent="3"/>
    </xf>
    <xf numFmtId="169" fontId="19" fillId="5" borderId="0" pivotButton="0" quotePrefix="0" xfId="0"/>
    <xf numFmtId="169" fontId="25" fillId="6" borderId="0" pivotButton="0" quotePrefix="0" xfId="0"/>
    <xf numFmtId="167" fontId="27" fillId="5" borderId="3" applyAlignment="1" pivotButton="0" quotePrefix="0" xfId="32">
      <alignment horizontal="left"/>
    </xf>
    <xf numFmtId="0" fontId="4" fillId="0" borderId="1" pivotButton="0" quotePrefix="0" xfId="26"/>
    <xf numFmtId="0" fontId="4" fillId="0" borderId="23" pivotButton="0" quotePrefix="0" xfId="26"/>
    <xf numFmtId="0" fontId="2" fillId="5" borderId="3" pivotButton="0" quotePrefix="0" xfId="31"/>
    <xf numFmtId="176" fontId="27" fillId="5" borderId="11" pivotButton="0" quotePrefix="0" xfId="0"/>
    <xf numFmtId="0" fontId="12" fillId="0" borderId="0" pivotButton="0" quotePrefix="0" xfId="31"/>
    <xf numFmtId="0" fontId="58" fillId="5" borderId="0" pivotButton="0" quotePrefix="0" xfId="26"/>
    <xf numFmtId="200" fontId="21" fillId="5" borderId="20" applyAlignment="1" pivotButton="0" quotePrefix="0" xfId="30">
      <alignment horizontal="left" indent="1"/>
    </xf>
    <xf numFmtId="176" fontId="21" fillId="5" borderId="0" pivotButton="0" quotePrefix="0" xfId="16"/>
    <xf numFmtId="165" fontId="24" fillId="5" borderId="0" applyAlignment="1" pivotButton="0" quotePrefix="0" xfId="16">
      <alignment horizontal="left" indent="1"/>
    </xf>
    <xf numFmtId="165" fontId="21" fillId="5" borderId="0" applyAlignment="1" pivotButton="0" quotePrefix="0" xfId="16">
      <alignment horizontal="left"/>
    </xf>
    <xf numFmtId="168" fontId="25" fillId="5" borderId="0" applyAlignment="1" pivotButton="0" quotePrefix="0" xfId="0">
      <alignment horizontal="right"/>
    </xf>
    <xf numFmtId="168" fontId="25" fillId="6" borderId="0" applyAlignment="1" pivotButton="0" quotePrefix="0" xfId="0">
      <alignment horizontal="right"/>
    </xf>
    <xf numFmtId="0" fontId="28" fillId="5" borderId="19" applyAlignment="1" pivotButton="0" quotePrefix="0" xfId="31">
      <alignment horizontal="left"/>
    </xf>
    <xf numFmtId="0" fontId="21" fillId="0" borderId="0" pivotButton="0" quotePrefix="0" xfId="31"/>
    <xf numFmtId="177" fontId="27" fillId="5" borderId="11" pivotButton="0" quotePrefix="0" xfId="0"/>
    <xf numFmtId="194" fontId="26" fillId="5" borderId="11" applyAlignment="1" pivotButton="0" quotePrefix="0" xfId="0">
      <alignment horizontal="right"/>
    </xf>
    <xf numFmtId="0" fontId="26" fillId="5" borderId="11" applyAlignment="1" pivotButton="0" quotePrefix="0" xfId="0">
      <alignment horizontal="right"/>
    </xf>
    <xf numFmtId="17" fontId="27" fillId="5" borderId="11" pivotButton="0" quotePrefix="0" xfId="0"/>
    <xf numFmtId="176" fontId="2" fillId="5" borderId="0" applyAlignment="1" pivotButton="0" quotePrefix="0" xfId="16">
      <alignment horizontal="left" indent="1"/>
    </xf>
    <xf numFmtId="167" fontId="2" fillId="5" borderId="0" applyAlignment="1" pivotButton="0" quotePrefix="0" xfId="16">
      <alignment horizontal="left" indent="2"/>
    </xf>
    <xf numFmtId="0" fontId="40" fillId="5" borderId="0" pivotButton="0" quotePrefix="0" xfId="26"/>
    <xf numFmtId="172" fontId="9" fillId="5" borderId="0" pivotButton="0" quotePrefix="0" xfId="0"/>
    <xf numFmtId="167" fontId="21" fillId="2" borderId="0" pivotButton="0" quotePrefix="0" xfId="24"/>
    <xf numFmtId="165" fontId="21" fillId="5" borderId="0" pivotButton="0" quotePrefix="0" xfId="30"/>
    <xf numFmtId="167" fontId="21" fillId="5" borderId="0" pivotButton="0" quotePrefix="0" xfId="30"/>
    <xf numFmtId="168" fontId="27" fillId="5" borderId="0" pivotButton="0" quotePrefix="0" xfId="0"/>
    <xf numFmtId="168" fontId="21" fillId="5" borderId="0" pivotButton="0" quotePrefix="0" xfId="16"/>
    <xf numFmtId="201" fontId="0" fillId="5" borderId="0" pivotButton="0" quotePrefix="0" xfId="0"/>
    <xf numFmtId="1" fontId="7" fillId="6" borderId="0" applyAlignment="1" pivotButton="0" quotePrefix="0" xfId="0">
      <alignment horizontal="center"/>
    </xf>
    <xf numFmtId="1" fontId="7" fillId="5" borderId="0" applyAlignment="1" pivotButton="0" quotePrefix="0" xfId="0">
      <alignment horizontal="center"/>
    </xf>
    <xf numFmtId="17" fontId="19" fillId="6" borderId="0" applyAlignment="1" pivotButton="0" quotePrefix="0" xfId="0">
      <alignment horizontal="center"/>
    </xf>
    <xf numFmtId="17" fontId="5" fillId="6" borderId="0" applyAlignment="1" pivotButton="0" quotePrefix="0" xfId="0">
      <alignment horizontal="center"/>
    </xf>
    <xf numFmtId="17" fontId="5" fillId="5" borderId="0" applyAlignment="1" pivotButton="0" quotePrefix="0" xfId="0">
      <alignment horizontal="center"/>
    </xf>
    <xf numFmtId="17" fontId="20" fillId="5" borderId="0" applyAlignment="1" pivotButton="0" quotePrefix="0" xfId="0">
      <alignment horizontal="center"/>
    </xf>
    <xf numFmtId="0" fontId="7" fillId="6" borderId="0" applyAlignment="1" pivotButton="0" quotePrefix="0" xfId="0">
      <alignment horizontal="center"/>
    </xf>
    <xf numFmtId="0" fontId="3" fillId="6" borderId="0" applyAlignment="1" pivotButton="0" quotePrefix="0" xfId="0">
      <alignment horizontal="center"/>
    </xf>
    <xf numFmtId="0" fontId="3" fillId="5" borderId="0" applyAlignment="1" pivotButton="0" quotePrefix="0" xfId="0">
      <alignment horizontal="center"/>
    </xf>
    <xf numFmtId="0" fontId="6" fillId="5" borderId="0" applyAlignment="1" pivotButton="0" quotePrefix="0" xfId="0">
      <alignment horizontal="center"/>
    </xf>
    <xf numFmtId="165" fontId="0" fillId="6" borderId="0" pivotButton="0" quotePrefix="0" xfId="0"/>
    <xf numFmtId="176" fontId="0" fillId="6" borderId="0" pivotButton="0" quotePrefix="0" xfId="0"/>
    <xf numFmtId="165" fontId="0" fillId="6" borderId="0" applyAlignment="1" pivotButton="0" quotePrefix="0" xfId="0">
      <alignment horizontal="right"/>
    </xf>
    <xf numFmtId="178" fontId="0" fillId="6" borderId="0" pivotButton="0" quotePrefix="0" xfId="0"/>
    <xf numFmtId="178" fontId="0" fillId="6" borderId="0" applyAlignment="1" pivotButton="0" quotePrefix="0" xfId="0">
      <alignment horizontal="right"/>
    </xf>
    <xf numFmtId="176" fontId="27" fillId="6" borderId="0" applyAlignment="1" pivotButton="0" quotePrefix="0" xfId="0">
      <alignment horizontal="right"/>
    </xf>
    <xf numFmtId="176" fontId="0" fillId="6" borderId="0" applyAlignment="1" pivotButton="0" quotePrefix="0" xfId="0">
      <alignment horizontal="right"/>
    </xf>
    <xf numFmtId="165" fontId="7" fillId="6" borderId="0" applyAlignment="1" pivotButton="0" quotePrefix="0" xfId="0">
      <alignment horizontal="right"/>
    </xf>
    <xf numFmtId="165" fontId="7" fillId="5" borderId="0" applyAlignment="1" pivotButton="0" quotePrefix="0" xfId="0">
      <alignment horizontal="right"/>
    </xf>
    <xf numFmtId="165" fontId="24" fillId="5" borderId="0" pivotButton="0" quotePrefix="0" xfId="0"/>
    <xf numFmtId="165" fontId="7" fillId="6" borderId="0" pivotButton="0" quotePrefix="0" xfId="0"/>
    <xf numFmtId="172" fontId="7" fillId="6" borderId="0" pivotButton="0" quotePrefix="0" xfId="0"/>
    <xf numFmtId="168" fontId="25" fillId="6" borderId="0" pivotButton="0" quotePrefix="0" xfId="0"/>
    <xf numFmtId="169" fontId="19" fillId="6" borderId="0" pivotButton="0" quotePrefix="0" xfId="0"/>
    <xf numFmtId="199" fontId="25" fillId="5" borderId="0" pivotButton="0" quotePrefix="0" xfId="0"/>
    <xf numFmtId="172" fontId="26" fillId="6" borderId="0" applyAlignment="1" pivotButton="0" quotePrefix="0" xfId="16">
      <alignment horizontal="right" indent="1"/>
    </xf>
    <xf numFmtId="168" fontId="24" fillId="5" borderId="0" pivotButton="0" quotePrefix="0" xfId="16"/>
    <xf numFmtId="172" fontId="0" fillId="6" borderId="0" pivotButton="0" quotePrefix="0" xfId="0"/>
    <xf numFmtId="172" fontId="0" fillId="5" borderId="0" pivotButton="0" quotePrefix="0" xfId="0"/>
    <xf numFmtId="185" fontId="26" fillId="5" borderId="0" pivotButton="0" quotePrefix="0" xfId="0"/>
    <xf numFmtId="169" fontId="7" fillId="6" borderId="0" applyAlignment="1" pivotButton="0" quotePrefix="0" xfId="0">
      <alignment horizontal="right"/>
    </xf>
    <xf numFmtId="175" fontId="7" fillId="6" borderId="0" applyAlignment="1" pivotButton="0" quotePrefix="0" xfId="0">
      <alignment horizontal="right"/>
    </xf>
    <xf numFmtId="175" fontId="7" fillId="5" borderId="0" applyAlignment="1" pivotButton="0" quotePrefix="0" xfId="0">
      <alignment horizontal="right"/>
    </xf>
    <xf numFmtId="169" fontId="27" fillId="5" borderId="0" applyAlignment="1" pivotButton="0" quotePrefix="0" xfId="0">
      <alignment horizontal="right"/>
    </xf>
    <xf numFmtId="169" fontId="0" fillId="6" borderId="0" applyAlignment="1" pivotButton="0" quotePrefix="0" xfId="0">
      <alignment horizontal="right"/>
    </xf>
    <xf numFmtId="175" fontId="0" fillId="6" borderId="0" applyAlignment="1" pivotButton="0" quotePrefix="0" xfId="0">
      <alignment horizontal="right"/>
    </xf>
    <xf numFmtId="175" fontId="0" fillId="5" borderId="0" applyAlignment="1" pivotButton="0" quotePrefix="0" xfId="0">
      <alignment horizontal="right"/>
    </xf>
    <xf numFmtId="192" fontId="0" fillId="6" borderId="0" applyAlignment="1" pivotButton="0" quotePrefix="0" xfId="0">
      <alignment horizontal="right"/>
    </xf>
    <xf numFmtId="192" fontId="0" fillId="5" borderId="0" applyAlignment="1" pivotButton="0" quotePrefix="0" xfId="0">
      <alignment horizontal="right"/>
    </xf>
    <xf numFmtId="177" fontId="0" fillId="6" borderId="0" applyAlignment="1" pivotButton="0" quotePrefix="0" xfId="0">
      <alignment horizontal="right"/>
    </xf>
    <xf numFmtId="177" fontId="0" fillId="5" borderId="0" applyAlignment="1" pivotButton="0" quotePrefix="0" xfId="0">
      <alignment horizontal="right"/>
    </xf>
    <xf numFmtId="189" fontId="0" fillId="6" borderId="0" pivotButton="0" quotePrefix="0" xfId="0"/>
    <xf numFmtId="189" fontId="0" fillId="5" borderId="0" pivotButton="0" quotePrefix="0" xfId="0"/>
    <xf numFmtId="165" fontId="32" fillId="5" borderId="0" pivotButton="0" quotePrefix="0" xfId="0"/>
    <xf numFmtId="165" fontId="41" fillId="6" borderId="0" pivotButton="0" quotePrefix="0" xfId="0"/>
    <xf numFmtId="165" fontId="41" fillId="5" borderId="0" pivotButton="0" quotePrefix="0" xfId="0"/>
    <xf numFmtId="176" fontId="21" fillId="5" borderId="0" pivotButton="0" quotePrefix="0" xfId="30"/>
    <xf numFmtId="194" fontId="28" fillId="5" borderId="0" applyAlignment="1" pivotButton="0" quotePrefix="0" xfId="30">
      <alignment horizontal="right"/>
    </xf>
    <xf numFmtId="0" fontId="28" fillId="5" borderId="0" applyAlignment="1" pivotButton="0" quotePrefix="0" xfId="30">
      <alignment horizontal="right"/>
    </xf>
    <xf numFmtId="17" fontId="21" fillId="5" borderId="0" pivotButton="0" quotePrefix="0" xfId="30"/>
    <xf numFmtId="175" fontId="21" fillId="5" borderId="0" pivotButton="0" quotePrefix="0" xfId="30"/>
    <xf numFmtId="177" fontId="21" fillId="5" borderId="0" pivotButton="0" quotePrefix="0" xfId="30"/>
    <xf numFmtId="192" fontId="21" fillId="5" borderId="0" pivotButton="0" quotePrefix="0" xfId="30"/>
    <xf numFmtId="190" fontId="27" fillId="5" borderId="0" pivotButton="0" quotePrefix="0" xfId="0"/>
    <xf numFmtId="17" fontId="32" fillId="6" borderId="0" applyAlignment="1" pivotButton="0" quotePrefix="0" xfId="32">
      <alignment horizontal="center"/>
    </xf>
    <xf numFmtId="167" fontId="26" fillId="6" borderId="0" applyAlignment="1" pivotButton="0" quotePrefix="0" xfId="32">
      <alignment horizontal="center"/>
    </xf>
    <xf numFmtId="182" fontId="26" fillId="6" borderId="0" applyAlignment="1" pivotButton="0" quotePrefix="0" xfId="32">
      <alignment horizontal="right"/>
    </xf>
    <xf numFmtId="165" fontId="26" fillId="6" borderId="0" applyAlignment="1" pivotButton="0" quotePrefix="0" xfId="32">
      <alignment horizontal="center"/>
    </xf>
    <xf numFmtId="169" fontId="26" fillId="5" borderId="0" applyAlignment="1" pivotButton="0" quotePrefix="0" xfId="32">
      <alignment horizontal="right"/>
    </xf>
    <xf numFmtId="169" fontId="27" fillId="5" borderId="0" applyAlignment="1" pivotButton="0" quotePrefix="0" xfId="32">
      <alignment horizontal="right"/>
    </xf>
    <xf numFmtId="167" fontId="27" fillId="5" borderId="28" pivotButton="0" quotePrefix="0" xfId="0"/>
    <xf numFmtId="1" fontId="7" fillId="6" borderId="11" applyAlignment="1" pivotButton="0" quotePrefix="0" xfId="0">
      <alignment horizontal="center"/>
    </xf>
    <xf numFmtId="17" fontId="5" fillId="6" borderId="11" applyAlignment="1" pivotButton="0" quotePrefix="0" xfId="0">
      <alignment horizontal="center"/>
    </xf>
    <xf numFmtId="0" fontId="3" fillId="6" borderId="11" applyAlignment="1" pivotButton="0" quotePrefix="0" xfId="0">
      <alignment horizontal="center"/>
    </xf>
    <xf numFmtId="165" fontId="25" fillId="6" borderId="11" pivotButton="0" quotePrefix="0" xfId="0"/>
    <xf numFmtId="165" fontId="25" fillId="6" borderId="11" applyAlignment="1" pivotButton="0" quotePrefix="0" xfId="0">
      <alignment horizontal="right"/>
    </xf>
    <xf numFmtId="165" fontId="25" fillId="6" borderId="28" applyAlignment="1" pivotButton="0" quotePrefix="0" xfId="0">
      <alignment horizontal="right"/>
    </xf>
    <xf numFmtId="165" fontId="26" fillId="6" borderId="11" pivotButton="0" quotePrefix="0" xfId="0"/>
    <xf numFmtId="165" fontId="27" fillId="6" borderId="11" pivotButton="0" quotePrefix="0" xfId="0"/>
    <xf numFmtId="176" fontId="27" fillId="6" borderId="11" pivotButton="0" quotePrefix="0" xfId="0"/>
    <xf numFmtId="165" fontId="0" fillId="6" borderId="11" pivotButton="0" quotePrefix="0" xfId="0"/>
    <xf numFmtId="165" fontId="0" fillId="6" borderId="28" pivotButton="0" quotePrefix="0" xfId="0"/>
    <xf numFmtId="165" fontId="7" fillId="6" borderId="30" pivotButton="0" quotePrefix="0" xfId="0"/>
    <xf numFmtId="176" fontId="0" fillId="6" borderId="11" pivotButton="0" quotePrefix="0" xfId="0"/>
    <xf numFmtId="178" fontId="27" fillId="6" borderId="11" pivotButton="0" quotePrefix="0" xfId="0"/>
    <xf numFmtId="165" fontId="27" fillId="6" borderId="28" pivotButton="0" quotePrefix="0" xfId="0"/>
    <xf numFmtId="165" fontId="26" fillId="6" borderId="30" pivotButton="0" quotePrefix="0" xfId="0"/>
    <xf numFmtId="176" fontId="27" fillId="6" borderId="28" pivotButton="0" quotePrefix="0" xfId="0"/>
    <xf numFmtId="176" fontId="26" fillId="6" borderId="30" pivotButton="0" quotePrefix="0" xfId="0"/>
    <xf numFmtId="176" fontId="26" fillId="6" borderId="11" pivotButton="0" quotePrefix="0" xfId="0"/>
    <xf numFmtId="0" fontId="0" fillId="6" borderId="30" pivotButton="0" quotePrefix="0" xfId="15"/>
    <xf numFmtId="165" fontId="27" fillId="6" borderId="11" applyAlignment="1" pivotButton="0" quotePrefix="0" xfId="0">
      <alignment horizontal="right"/>
    </xf>
    <xf numFmtId="165" fontId="26" fillId="6" borderId="28" applyAlignment="1" pivotButton="0" quotePrefix="0" xfId="0">
      <alignment horizontal="right"/>
    </xf>
    <xf numFmtId="165" fontId="7" fillId="6" borderId="11" applyAlignment="1" pivotButton="0" quotePrefix="0" xfId="0">
      <alignment horizontal="right"/>
    </xf>
    <xf numFmtId="165" fontId="26" fillId="6" borderId="11" applyAlignment="1" pivotButton="0" quotePrefix="0" xfId="0">
      <alignment horizontal="right"/>
    </xf>
    <xf numFmtId="165" fontId="26" fillId="6" borderId="30" applyAlignment="1" pivotButton="0" quotePrefix="0" xfId="0">
      <alignment horizontal="right"/>
    </xf>
    <xf numFmtId="165" fontId="7" fillId="6" borderId="11" pivotButton="0" quotePrefix="0" xfId="0"/>
    <xf numFmtId="172" fontId="7" fillId="6" borderId="11" pivotButton="0" quotePrefix="0" xfId="0"/>
    <xf numFmtId="168" fontId="25" fillId="6" borderId="11" pivotButton="0" quotePrefix="0" xfId="0"/>
    <xf numFmtId="172" fontId="26" fillId="6" borderId="11" pivotButton="0" quotePrefix="0" xfId="0"/>
    <xf numFmtId="169" fontId="19" fillId="6" borderId="11" pivotButton="0" quotePrefix="0" xfId="0"/>
    <xf numFmtId="165" fontId="25" fillId="6" borderId="28" pivotButton="0" quotePrefix="0" xfId="0"/>
    <xf numFmtId="198" fontId="27" fillId="6" borderId="11" pivotButton="0" quotePrefix="0" xfId="0"/>
    <xf numFmtId="199" fontId="25" fillId="6" borderId="11" pivotButton="0" quotePrefix="0" xfId="0"/>
    <xf numFmtId="172" fontId="26" fillId="6" borderId="11" pivotButton="0" quotePrefix="0" xfId="16"/>
    <xf numFmtId="172" fontId="0" fillId="6" borderId="11" pivotButton="0" quotePrefix="0" xfId="0"/>
    <xf numFmtId="172" fontId="27" fillId="6" borderId="11" pivotButton="0" quotePrefix="0" xfId="0"/>
    <xf numFmtId="185" fontId="26" fillId="6" borderId="11" pivotButton="0" quotePrefix="0" xfId="0"/>
    <xf numFmtId="169" fontId="26" fillId="6" borderId="11" applyAlignment="1" pivotButton="0" quotePrefix="0" xfId="0">
      <alignment horizontal="right"/>
    </xf>
    <xf numFmtId="169" fontId="7" fillId="6" borderId="11" applyAlignment="1" pivotButton="0" quotePrefix="0" xfId="0">
      <alignment horizontal="right"/>
    </xf>
    <xf numFmtId="175" fontId="7" fillId="6" borderId="11" applyAlignment="1" pivotButton="0" quotePrefix="0" xfId="0">
      <alignment horizontal="right"/>
    </xf>
    <xf numFmtId="182" fontId="26" fillId="6" borderId="11" pivotButton="0" quotePrefix="0" xfId="0"/>
    <xf numFmtId="169" fontId="27" fillId="6" borderId="11" applyAlignment="1" pivotButton="0" quotePrefix="0" xfId="0">
      <alignment horizontal="right"/>
    </xf>
    <xf numFmtId="169" fontId="0" fillId="6" borderId="11" applyAlignment="1" pivotButton="0" quotePrefix="0" xfId="0">
      <alignment horizontal="right"/>
    </xf>
    <xf numFmtId="165" fontId="0" fillId="6" borderId="11" applyAlignment="1" pivotButton="0" quotePrefix="0" xfId="0">
      <alignment horizontal="right"/>
    </xf>
    <xf numFmtId="175" fontId="0" fillId="6" borderId="11" applyAlignment="1" pivotButton="0" quotePrefix="0" xfId="0">
      <alignment horizontal="right"/>
    </xf>
    <xf numFmtId="192" fontId="0" fillId="6" borderId="11" applyAlignment="1" pivotButton="0" quotePrefix="0" xfId="0">
      <alignment horizontal="right"/>
    </xf>
    <xf numFmtId="177" fontId="0" fillId="6" borderId="11" applyAlignment="1" pivotButton="0" quotePrefix="0" xfId="0">
      <alignment horizontal="right"/>
    </xf>
    <xf numFmtId="189" fontId="0" fillId="6" borderId="11" pivotButton="0" quotePrefix="0" xfId="0"/>
    <xf numFmtId="165" fontId="32" fillId="6" borderId="11" pivotButton="0" quotePrefix="0" xfId="0"/>
    <xf numFmtId="165" fontId="41" fillId="6" borderId="11" pivotButton="0" quotePrefix="0" xfId="0"/>
    <xf numFmtId="176" fontId="26" fillId="6" borderId="11" applyAlignment="1" pivotButton="0" quotePrefix="0" xfId="0">
      <alignment horizontal="right"/>
    </xf>
    <xf numFmtId="17" fontId="33" fillId="6" borderId="11" applyAlignment="1" pivotButton="0" quotePrefix="0" xfId="32">
      <alignment horizontal="center"/>
    </xf>
    <xf numFmtId="167" fontId="28" fillId="6" borderId="11" applyAlignment="1" pivotButton="0" quotePrefix="0" xfId="32">
      <alignment horizontal="center"/>
    </xf>
    <xf numFmtId="182" fontId="26" fillId="6" borderId="11" applyAlignment="1" pivotButton="0" quotePrefix="0" xfId="32">
      <alignment horizontal="right"/>
    </xf>
    <xf numFmtId="176" fontId="26" fillId="6" borderId="30" pivotButton="0" quotePrefix="0" xfId="32"/>
    <xf numFmtId="165" fontId="27" fillId="6" borderId="11" applyAlignment="1" pivotButton="0" quotePrefix="0" xfId="32">
      <alignment horizontal="right"/>
    </xf>
    <xf numFmtId="165" fontId="27" fillId="6" borderId="28" applyAlignment="1" pivotButton="0" quotePrefix="0" xfId="32">
      <alignment horizontal="right"/>
    </xf>
    <xf numFmtId="165" fontId="26" fillId="6" borderId="30" applyAlignment="1" pivotButton="0" quotePrefix="0" xfId="32">
      <alignment horizontal="right"/>
    </xf>
    <xf numFmtId="165" fontId="26" fillId="6" borderId="11" applyAlignment="1" pivotButton="0" quotePrefix="0" xfId="32">
      <alignment horizontal="right"/>
    </xf>
    <xf numFmtId="172" fontId="26" fillId="6" borderId="11" pivotButton="0" quotePrefix="0" xfId="32"/>
    <xf numFmtId="165" fontId="26" fillId="6" borderId="11" applyAlignment="1" pivotButton="0" quotePrefix="0" xfId="32">
      <alignment horizontal="center"/>
    </xf>
    <xf numFmtId="165" fontId="27" fillId="6" borderId="30" applyAlignment="1" pivotButton="0" quotePrefix="0" xfId="32">
      <alignment horizontal="right"/>
    </xf>
    <xf numFmtId="170" fontId="26" fillId="6" borderId="11" applyAlignment="1" pivotButton="0" quotePrefix="0" xfId="32">
      <alignment horizontal="right"/>
    </xf>
    <xf numFmtId="168" fontId="26" fillId="6" borderId="11" pivotButton="0" quotePrefix="0" xfId="32"/>
    <xf numFmtId="169" fontId="26" fillId="6" borderId="11" applyAlignment="1" pivotButton="0" quotePrefix="0" xfId="32">
      <alignment horizontal="right"/>
    </xf>
    <xf numFmtId="171" fontId="26" fillId="6" borderId="11" applyAlignment="1" pivotButton="0" quotePrefix="0" xfId="32">
      <alignment horizontal="right"/>
    </xf>
    <xf numFmtId="169" fontId="27" fillId="6" borderId="11" applyAlignment="1" pivotButton="0" quotePrefix="0" xfId="32">
      <alignment horizontal="right"/>
    </xf>
    <xf numFmtId="165" fontId="27" fillId="6" borderId="11" pivotButton="0" quotePrefix="0" xfId="32"/>
    <xf numFmtId="176" fontId="27" fillId="6" borderId="30" pivotButton="0" quotePrefix="0" xfId="0"/>
    <xf numFmtId="167" fontId="28" fillId="5" borderId="0" applyAlignment="1" pivotButton="0" quotePrefix="0" xfId="0">
      <alignment horizontal="left"/>
    </xf>
    <xf numFmtId="165" fontId="9" fillId="5" borderId="0" pivotButton="0" quotePrefix="0" xfId="0"/>
    <xf numFmtId="165" fontId="9" fillId="5" borderId="3" pivotButton="0" quotePrefix="0" xfId="0"/>
    <xf numFmtId="192" fontId="27" fillId="5" borderId="11" pivotButton="0" quotePrefix="0" xfId="0"/>
    <xf numFmtId="177" fontId="27" fillId="6" borderId="11" pivotButton="0" quotePrefix="0" xfId="0"/>
    <xf numFmtId="167" fontId="27" fillId="5" borderId="0" pivotButton="0" quotePrefix="0" xfId="0"/>
    <xf numFmtId="167" fontId="27" fillId="5" borderId="0" pivotButton="0" quotePrefix="0" xfId="32"/>
    <xf numFmtId="167" fontId="26" fillId="5" borderId="0" pivotButton="0" quotePrefix="0" xfId="0"/>
    <xf numFmtId="167" fontId="30" fillId="7" borderId="0" pivotButton="0" quotePrefix="0" xfId="0"/>
    <xf numFmtId="167" fontId="27" fillId="5" borderId="3" pivotButton="0" quotePrefix="0" xfId="0"/>
    <xf numFmtId="167" fontId="27" fillId="5" borderId="0" applyAlignment="1" pivotButton="0" quotePrefix="0" xfId="0">
      <alignment horizontal="left" indent="1"/>
    </xf>
    <xf numFmtId="167" fontId="27" fillId="5" borderId="3" applyAlignment="1" pivotButton="0" quotePrefix="0" xfId="0">
      <alignment horizontal="left" indent="1"/>
    </xf>
    <xf numFmtId="167" fontId="0" fillId="5" borderId="3" applyAlignment="1" pivotButton="0" quotePrefix="0" xfId="0">
      <alignment horizontal="left" indent="1"/>
    </xf>
    <xf numFmtId="167" fontId="25" fillId="5" borderId="0" pivotButton="0" quotePrefix="0" xfId="0"/>
    <xf numFmtId="167" fontId="27" fillId="5" borderId="0" applyAlignment="1" pivotButton="0" quotePrefix="0" xfId="0">
      <alignment horizontal="right"/>
    </xf>
    <xf numFmtId="167" fontId="29" fillId="7" borderId="0" pivotButton="0" quotePrefix="0" xfId="0"/>
    <xf numFmtId="167" fontId="27" fillId="5" borderId="11" pivotButton="0" quotePrefix="0" xfId="0"/>
    <xf numFmtId="167" fontId="31" fillId="7" borderId="0" pivotButton="0" quotePrefix="0" xfId="0"/>
    <xf numFmtId="167" fontId="31" fillId="7" borderId="11" pivotButton="0" quotePrefix="0" xfId="0"/>
    <xf numFmtId="167" fontId="24" fillId="5" borderId="0" applyAlignment="1" pivotButton="0" quotePrefix="0" xfId="0">
      <alignment horizontal="left" indent="1"/>
    </xf>
    <xf numFmtId="167" fontId="25" fillId="5" borderId="0" applyAlignment="1" pivotButton="0" quotePrefix="0" xfId="0">
      <alignment horizontal="left" indent="3"/>
    </xf>
    <xf numFmtId="167" fontId="26" fillId="5" borderId="0" pivotButton="0" quotePrefix="0" xfId="32"/>
    <xf numFmtId="167" fontId="30" fillId="7" borderId="0" pivotButton="0" quotePrefix="0" xfId="32"/>
    <xf numFmtId="202" fontId="27" fillId="5" borderId="0" applyAlignment="1" pivotButton="0" quotePrefix="0" xfId="0">
      <alignment horizontal="left" indent="3"/>
    </xf>
    <xf numFmtId="202" fontId="27" fillId="6" borderId="0" pivotButton="0" quotePrefix="0" xfId="0"/>
    <xf numFmtId="202" fontId="27" fillId="5" borderId="0" pivotButton="0" quotePrefix="0" xfId="0"/>
    <xf numFmtId="202" fontId="27" fillId="6" borderId="11" pivotButton="0" quotePrefix="0" xfId="0"/>
    <xf numFmtId="202" fontId="2" fillId="5" borderId="0" applyAlignment="1" pivotButton="0" quotePrefix="0" xfId="0">
      <alignment horizontal="left"/>
    </xf>
    <xf numFmtId="167" fontId="27" fillId="6" borderId="0" pivotButton="0" quotePrefix="0" xfId="0"/>
    <xf numFmtId="167" fontId="0" fillId="6" borderId="0" pivotButton="0" quotePrefix="0" xfId="0"/>
    <xf numFmtId="167" fontId="0" fillId="6" borderId="11" pivotButton="0" quotePrefix="0" xfId="0"/>
    <xf numFmtId="167" fontId="26" fillId="6" borderId="8" pivotButton="0" quotePrefix="0" xfId="0"/>
    <xf numFmtId="167" fontId="26" fillId="5" borderId="8" pivotButton="0" quotePrefix="0" xfId="0"/>
    <xf numFmtId="167" fontId="7" fillId="5" borderId="8" pivotButton="0" quotePrefix="0" xfId="0"/>
    <xf numFmtId="167" fontId="7" fillId="6" borderId="8" pivotButton="0" quotePrefix="0" xfId="0"/>
    <xf numFmtId="167" fontId="7" fillId="6" borderId="30" pivotButton="0" quotePrefix="0" xfId="0"/>
    <xf numFmtId="167" fontId="25" fillId="6" borderId="0" pivotButton="0" quotePrefix="0" xfId="0"/>
    <xf numFmtId="167" fontId="25" fillId="6" borderId="11" pivotButton="0" quotePrefix="0" xfId="0"/>
    <xf numFmtId="167" fontId="25" fillId="5" borderId="0" applyAlignment="1" pivotButton="0" quotePrefix="0" xfId="0">
      <alignment horizontal="right"/>
    </xf>
    <xf numFmtId="167" fontId="25" fillId="6" borderId="0" applyAlignment="1" pivotButton="0" quotePrefix="0" xfId="0">
      <alignment horizontal="right"/>
    </xf>
    <xf numFmtId="167" fontId="26" fillId="6" borderId="0" pivotButton="0" quotePrefix="0" xfId="0"/>
    <xf numFmtId="167" fontId="26" fillId="6" borderId="11" pivotButton="0" quotePrefix="0" xfId="0"/>
    <xf numFmtId="167" fontId="30" fillId="7" borderId="11" pivotButton="0" quotePrefix="0" xfId="0"/>
    <xf numFmtId="167" fontId="27" fillId="6" borderId="3" pivotButton="0" quotePrefix="0" xfId="0"/>
    <xf numFmtId="167" fontId="27" fillId="6" borderId="28" pivotButton="0" quotePrefix="0" xfId="0"/>
    <xf numFmtId="167" fontId="27" fillId="6" borderId="11" pivotButton="0" quotePrefix="0" xfId="0"/>
    <xf numFmtId="167" fontId="9" fillId="5" borderId="0" pivotButton="0" quotePrefix="0" xfId="0"/>
    <xf numFmtId="167" fontId="9" fillId="6" borderId="0" pivotButton="0" quotePrefix="0" xfId="0"/>
    <xf numFmtId="167" fontId="26" fillId="6" borderId="30" pivotButton="0" quotePrefix="0" xfId="0"/>
    <xf numFmtId="167" fontId="9" fillId="5" borderId="3" pivotButton="0" quotePrefix="0" xfId="0"/>
    <xf numFmtId="167" fontId="27" fillId="6" borderId="0" applyAlignment="1" pivotButton="0" quotePrefix="0" xfId="0">
      <alignment horizontal="left" indent="1"/>
    </xf>
    <xf numFmtId="167" fontId="27" fillId="6" borderId="11" applyAlignment="1" pivotButton="0" quotePrefix="0" xfId="0">
      <alignment horizontal="left" indent="1"/>
    </xf>
    <xf numFmtId="167" fontId="27" fillId="6" borderId="3" applyAlignment="1" pivotButton="0" quotePrefix="0" xfId="0">
      <alignment horizontal="left" indent="1"/>
    </xf>
    <xf numFmtId="167" fontId="27" fillId="6" borderId="28" applyAlignment="1" pivotButton="0" quotePrefix="0" xfId="0">
      <alignment horizontal="left" indent="1"/>
    </xf>
    <xf numFmtId="167" fontId="0" fillId="5" borderId="3" pivotButton="0" quotePrefix="0" xfId="0"/>
    <xf numFmtId="167" fontId="0" fillId="6" borderId="3" pivotButton="0" quotePrefix="0" xfId="0"/>
    <xf numFmtId="167" fontId="0" fillId="6" borderId="28" pivotButton="0" quotePrefix="0" xfId="0"/>
    <xf numFmtId="167" fontId="27" fillId="6" borderId="0" applyAlignment="1" pivotButton="0" quotePrefix="0" xfId="0">
      <alignment horizontal="right"/>
    </xf>
    <xf numFmtId="167" fontId="55" fillId="7" borderId="0" pivotButton="0" quotePrefix="0" xfId="0"/>
    <xf numFmtId="167" fontId="27" fillId="5" borderId="8" pivotButton="0" quotePrefix="0" xfId="0"/>
    <xf numFmtId="167" fontId="0" fillId="6" borderId="8" pivotButton="0" quotePrefix="0" xfId="15"/>
    <xf numFmtId="167" fontId="27" fillId="5" borderId="8" pivotButton="0" quotePrefix="0" xfId="15"/>
    <xf numFmtId="167" fontId="27" fillId="6" borderId="8" pivotButton="0" quotePrefix="0" xfId="15"/>
    <xf numFmtId="167" fontId="27" fillId="6" borderId="30" pivotButton="0" quotePrefix="0" xfId="15"/>
    <xf numFmtId="167" fontId="0" fillId="6" borderId="0" pivotButton="0" quotePrefix="0" xfId="15"/>
    <xf numFmtId="167" fontId="27" fillId="5" borderId="0" pivotButton="0" quotePrefix="0" xfId="15"/>
    <xf numFmtId="167" fontId="27" fillId="6" borderId="0" pivotButton="0" quotePrefix="0" xfId="15"/>
    <xf numFmtId="167" fontId="27" fillId="6" borderId="11" pivotButton="0" quotePrefix="0" xfId="15"/>
    <xf numFmtId="167" fontId="0" fillId="6" borderId="3" applyAlignment="1" pivotButton="0" quotePrefix="0" xfId="0">
      <alignment horizontal="right"/>
    </xf>
    <xf numFmtId="167" fontId="7" fillId="6" borderId="0" pivotButton="0" quotePrefix="0" xfId="0"/>
    <xf numFmtId="167" fontId="7" fillId="6" borderId="11" pivotButton="0" quotePrefix="0" xfId="0"/>
    <xf numFmtId="167" fontId="9" fillId="6" borderId="3" pivotButton="0" quotePrefix="0" xfId="0"/>
    <xf numFmtId="167" fontId="9" fillId="6" borderId="28" pivotButton="0" quotePrefix="0" xfId="0"/>
    <xf numFmtId="167" fontId="0" fillId="6" borderId="10" pivotButton="0" quotePrefix="0" xfId="0"/>
    <xf numFmtId="167" fontId="0" fillId="5" borderId="10" pivotButton="0" quotePrefix="0" xfId="0"/>
    <xf numFmtId="167" fontId="27" fillId="5" borderId="10" pivotButton="0" quotePrefix="0" xfId="0"/>
    <xf numFmtId="167" fontId="27" fillId="6" borderId="37" pivotButton="0" quotePrefix="0" xfId="0"/>
    <xf numFmtId="167" fontId="27" fillId="6" borderId="10" pivotButton="0" quotePrefix="0" xfId="0"/>
    <xf numFmtId="167" fontId="54" fillId="6" borderId="0" pivotButton="0" quotePrefix="0" xfId="0"/>
    <xf numFmtId="167" fontId="54" fillId="6" borderId="11" pivotButton="0" quotePrefix="0" xfId="0"/>
    <xf numFmtId="167" fontId="0" fillId="5" borderId="8" pivotButton="0" quotePrefix="0" xfId="0"/>
    <xf numFmtId="167" fontId="54" fillId="6" borderId="3" pivotButton="0" quotePrefix="0" xfId="0"/>
    <xf numFmtId="167" fontId="7" fillId="6" borderId="10" pivotButton="0" quotePrefix="0" xfId="0"/>
    <xf numFmtId="167" fontId="7" fillId="5" borderId="10" pivotButton="0" quotePrefix="0" xfId="0"/>
    <xf numFmtId="167" fontId="7" fillId="6" borderId="37" pivotButton="0" quotePrefix="0" xfId="0"/>
    <xf numFmtId="167" fontId="26" fillId="5" borderId="10" pivotButton="0" quotePrefix="0" xfId="0"/>
    <xf numFmtId="167" fontId="26" fillId="6" borderId="10" pivotButton="0" quotePrefix="0" xfId="0"/>
    <xf numFmtId="167" fontId="27" fillId="6" borderId="8" pivotButton="0" quotePrefix="0" xfId="0"/>
    <xf numFmtId="167" fontId="27" fillId="6" borderId="30" pivotButton="0" quotePrefix="0" xfId="0"/>
    <xf numFmtId="167" fontId="24" fillId="5" borderId="0" pivotButton="0" quotePrefix="0" xfId="0"/>
    <xf numFmtId="167" fontId="0" fillId="6" borderId="8" pivotButton="0" quotePrefix="0" xfId="0"/>
    <xf numFmtId="167" fontId="0" fillId="6" borderId="30" pivotButton="0" quotePrefix="0" xfId="0"/>
    <xf numFmtId="167" fontId="24" fillId="6" borderId="0" pivotButton="0" quotePrefix="0" xfId="0"/>
    <xf numFmtId="167" fontId="13" fillId="5" borderId="0" pivotButton="0" quotePrefix="0" xfId="0"/>
    <xf numFmtId="167" fontId="13" fillId="6" borderId="0" pivotButton="0" quotePrefix="0" xfId="0"/>
    <xf numFmtId="167" fontId="0" fillId="6" borderId="15" pivotButton="0" quotePrefix="0" xfId="0"/>
    <xf numFmtId="167" fontId="0" fillId="5" borderId="15" pivotButton="0" quotePrefix="0" xfId="0"/>
    <xf numFmtId="167" fontId="0" fillId="6" borderId="24" pivotButton="0" quotePrefix="0" xfId="0"/>
    <xf numFmtId="167" fontId="27" fillId="5" borderId="15" pivotButton="0" quotePrefix="0" xfId="0"/>
    <xf numFmtId="167" fontId="27" fillId="6" borderId="15" pivotButton="0" quotePrefix="0" xfId="0"/>
    <xf numFmtId="167" fontId="27" fillId="6" borderId="11" applyAlignment="1" pivotButton="0" quotePrefix="0" xfId="0">
      <alignment horizontal="right"/>
    </xf>
    <xf numFmtId="167" fontId="9" fillId="6" borderId="11" pivotButton="0" quotePrefix="0" xfId="0"/>
    <xf numFmtId="167" fontId="26" fillId="5" borderId="3" pivotButton="0" quotePrefix="0" xfId="0"/>
    <xf numFmtId="167" fontId="26" fillId="6" borderId="3" pivotButton="0" quotePrefix="0" xfId="0"/>
    <xf numFmtId="167" fontId="29" fillId="7" borderId="11" pivotButton="0" quotePrefix="0" xfId="0"/>
    <xf numFmtId="167" fontId="29" fillId="7" borderId="0" applyAlignment="1" pivotButton="0" quotePrefix="0" xfId="0">
      <alignment horizontal="right"/>
    </xf>
    <xf numFmtId="167" fontId="29" fillId="7" borderId="11" applyAlignment="1" pivotButton="0" quotePrefix="0" xfId="0">
      <alignment horizontal="right"/>
    </xf>
    <xf numFmtId="167" fontId="26" fillId="6" borderId="0" applyAlignment="1" pivotButton="0" quotePrefix="0" xfId="0">
      <alignment horizontal="right"/>
    </xf>
    <xf numFmtId="167" fontId="26" fillId="5" borderId="0" applyAlignment="1" pivotButton="0" quotePrefix="0" xfId="0">
      <alignment horizontal="right"/>
    </xf>
    <xf numFmtId="167" fontId="26" fillId="6" borderId="11" applyAlignment="1" pivotButton="0" quotePrefix="0" xfId="0">
      <alignment horizontal="right"/>
    </xf>
    <xf numFmtId="167" fontId="26" fillId="6" borderId="14" applyAlignment="1" pivotButton="0" quotePrefix="0" xfId="0">
      <alignment horizontal="right"/>
    </xf>
    <xf numFmtId="167" fontId="26" fillId="5" borderId="14" applyAlignment="1" pivotButton="0" quotePrefix="0" xfId="0">
      <alignment horizontal="right"/>
    </xf>
    <xf numFmtId="167" fontId="26" fillId="6" borderId="26" applyAlignment="1" pivotButton="0" quotePrefix="0" xfId="0">
      <alignment horizontal="right"/>
    </xf>
    <xf numFmtId="167" fontId="54" fillId="6" borderId="28" pivotButton="0" quotePrefix="0" xfId="0"/>
    <xf numFmtId="167" fontId="27" fillId="5" borderId="11" applyAlignment="1" pivotButton="0" quotePrefix="0" xfId="0">
      <alignment horizontal="right"/>
    </xf>
    <xf numFmtId="167" fontId="21" fillId="2" borderId="0" applyAlignment="1" pivotButton="0" quotePrefix="0" xfId="24">
      <alignment horizontal="right"/>
    </xf>
    <xf numFmtId="167" fontId="21" fillId="2" borderId="11" applyAlignment="1" pivotButton="0" quotePrefix="0" xfId="24">
      <alignment horizontal="right"/>
    </xf>
    <xf numFmtId="167" fontId="21" fillId="2" borderId="0" applyAlignment="1" pivotButton="0" quotePrefix="0" xfId="18">
      <alignment horizontal="right"/>
    </xf>
    <xf numFmtId="167" fontId="26" fillId="5" borderId="9" pivotButton="0" quotePrefix="0" xfId="0"/>
    <xf numFmtId="167" fontId="26" fillId="5" borderId="30" pivotButton="0" quotePrefix="0" xfId="0"/>
    <xf numFmtId="167" fontId="26" fillId="5" borderId="7" pivotButton="0" quotePrefix="0" xfId="0"/>
    <xf numFmtId="167" fontId="26" fillId="5" borderId="6" pivotButton="0" quotePrefix="0" xfId="0"/>
    <xf numFmtId="167" fontId="26" fillId="5" borderId="11" pivotButton="0" quotePrefix="0" xfId="0"/>
    <xf numFmtId="167" fontId="26" fillId="5" borderId="5" pivotButton="0" quotePrefix="0" xfId="0"/>
    <xf numFmtId="167" fontId="19" fillId="5" borderId="0" applyAlignment="1" pivotButton="0" quotePrefix="0" xfId="0">
      <alignment horizontal="left" indent="1"/>
    </xf>
    <xf numFmtId="167" fontId="25" fillId="5" borderId="0" applyAlignment="1" pivotButton="0" quotePrefix="0" xfId="0">
      <alignment horizontal="left" indent="4"/>
    </xf>
    <xf numFmtId="167" fontId="25" fillId="5" borderId="0" applyAlignment="1" pivotButton="0" quotePrefix="0" xfId="0">
      <alignment horizontal="left" indent="1"/>
    </xf>
    <xf numFmtId="167" fontId="27" fillId="6" borderId="3" applyAlignment="1" pivotButton="0" quotePrefix="0" xfId="32">
      <alignment horizontal="right"/>
    </xf>
    <xf numFmtId="167" fontId="27" fillId="5" borderId="3" applyAlignment="1" pivotButton="0" quotePrefix="0" xfId="32">
      <alignment horizontal="right"/>
    </xf>
    <xf numFmtId="167" fontId="27" fillId="6" borderId="28" applyAlignment="1" pivotButton="0" quotePrefix="0" xfId="32">
      <alignment horizontal="right"/>
    </xf>
    <xf numFmtId="167" fontId="27" fillId="6" borderId="3" pivotButton="0" quotePrefix="0" xfId="32"/>
    <xf numFmtId="167" fontId="27" fillId="6" borderId="0" pivotButton="0" quotePrefix="0" xfId="32"/>
    <xf numFmtId="167" fontId="27" fillId="6" borderId="11" pivotButton="0" quotePrefix="0" xfId="32"/>
    <xf numFmtId="167" fontId="27" fillId="5" borderId="3" pivotButton="0" quotePrefix="0" xfId="32"/>
    <xf numFmtId="167" fontId="27" fillId="6" borderId="28" pivotButton="0" quotePrefix="0" xfId="32"/>
    <xf numFmtId="167" fontId="26" fillId="6" borderId="0" pivotButton="0" quotePrefix="0" xfId="32"/>
    <xf numFmtId="167" fontId="26" fillId="6" borderId="11" pivotButton="0" quotePrefix="0" xfId="32"/>
    <xf numFmtId="167" fontId="30" fillId="7" borderId="11" pivotButton="0" quotePrefix="0" xfId="32"/>
    <xf numFmtId="167" fontId="26" fillId="6" borderId="8" pivotButton="0" quotePrefix="0" xfId="32"/>
    <xf numFmtId="167" fontId="26" fillId="5" borderId="8" pivotButton="0" quotePrefix="0" xfId="32"/>
    <xf numFmtId="167" fontId="26" fillId="6" borderId="30" pivotButton="0" quotePrefix="0" xfId="32"/>
    <xf numFmtId="43" fontId="27" fillId="5" borderId="0" applyAlignment="1" pivotButton="0" quotePrefix="0" xfId="0">
      <alignment horizontal="left" indent="4"/>
    </xf>
    <xf numFmtId="43" fontId="27" fillId="6" borderId="0" pivotButton="0" quotePrefix="0" xfId="0"/>
    <xf numFmtId="43" fontId="27" fillId="5" borderId="0" pivotButton="0" quotePrefix="0" xfId="0"/>
    <xf numFmtId="43" fontId="27" fillId="6" borderId="11" pivotButton="0" quotePrefix="0" xfId="0"/>
    <xf numFmtId="43" fontId="0" fillId="5" borderId="0" pivotButton="0" quotePrefix="0" xfId="0"/>
    <xf numFmtId="43" fontId="27" fillId="5" borderId="0" applyAlignment="1" pivotButton="0" quotePrefix="0" xfId="0">
      <alignment horizontal="left"/>
    </xf>
    <xf numFmtId="0" fontId="15" fillId="5" borderId="0" applyAlignment="1" pivotButton="0" quotePrefix="0" xfId="31">
      <alignment horizontal="left" wrapText="1" indent="1"/>
    </xf>
    <xf numFmtId="0" fontId="0" fillId="0" borderId="0" pivotButton="0" quotePrefix="0" xfId="0"/>
    <xf numFmtId="167" fontId="0" fillId="0" borderId="0" pivotButton="0" quotePrefix="0" xfId="0"/>
    <xf numFmtId="167" fontId="7" fillId="0" borderId="0" applyAlignment="1" pivotButton="0" quotePrefix="0" xfId="0">
      <alignment horizontal="center"/>
    </xf>
    <xf numFmtId="165" fontId="0" fillId="0" borderId="0" pivotButton="0" quotePrefix="0" xfId="0"/>
    <xf numFmtId="165" fontId="19" fillId="0" borderId="0" pivotButton="0" quotePrefix="0" xfId="0"/>
    <xf numFmtId="167" fontId="7" fillId="0" borderId="0" pivotButton="0" quotePrefix="0" xfId="0"/>
    <xf numFmtId="167" fontId="19" fillId="0" borderId="0" pivotButton="0" quotePrefix="0" xfId="0"/>
    <xf numFmtId="165" fontId="7" fillId="0" borderId="0" pivotButton="0" quotePrefix="0" xfId="0"/>
    <xf numFmtId="176" fontId="0" fillId="0" borderId="0" pivotButton="0" quotePrefix="0" xfId="0"/>
    <xf numFmtId="202" fontId="27" fillId="0" borderId="0" pivotButton="0" quotePrefix="0" xfId="0"/>
    <xf numFmtId="43" fontId="0" fillId="0" borderId="0" pivotButton="0" quotePrefix="0" xfId="0"/>
    <xf numFmtId="167" fontId="0" fillId="0" borderId="0" applyAlignment="1" pivotButton="0" quotePrefix="0" xfId="0">
      <alignment horizontal="left" indent="1"/>
    </xf>
    <xf numFmtId="178" fontId="0" fillId="0" borderId="0" pivotButton="0" quotePrefix="0" xfId="0"/>
    <xf numFmtId="176" fontId="7" fillId="0" borderId="8" pivotButton="0" quotePrefix="0" xfId="0"/>
    <xf numFmtId="176" fontId="7" fillId="0" borderId="0" pivotButton="0" quotePrefix="0" xfId="0"/>
    <xf numFmtId="177" fontId="0" fillId="0" borderId="0" pivotButton="0" quotePrefix="0" xfId="0"/>
    <xf numFmtId="165" fontId="25" fillId="0" borderId="0" pivotButton="0" quotePrefix="0" xfId="0"/>
    <xf numFmtId="167" fontId="25" fillId="0" borderId="0" pivotButton="0" quotePrefix="0" xfId="0"/>
    <xf numFmtId="167" fontId="27" fillId="0" borderId="0" pivotButton="0" quotePrefix="0" xfId="0"/>
    <xf numFmtId="172" fontId="7" fillId="0" borderId="0" pivotButton="0" quotePrefix="0" xfId="0"/>
    <xf numFmtId="172" fontId="19" fillId="0" borderId="0" pivotButton="0" quotePrefix="0" xfId="0"/>
    <xf numFmtId="169" fontId="19" fillId="0" borderId="0" pivotButton="0" quotePrefix="0" xfId="0"/>
    <xf numFmtId="168" fontId="7" fillId="0" borderId="0" pivotButton="0" quotePrefix="0" xfId="0"/>
    <xf numFmtId="168" fontId="25" fillId="0" borderId="0" pivotButton="0" quotePrefix="0" xfId="0"/>
    <xf numFmtId="174" fontId="0" fillId="0" borderId="0" pivotButton="0" quotePrefix="0" xfId="0"/>
    <xf numFmtId="185" fontId="0" fillId="0" borderId="0" pivotButton="0" quotePrefix="0" xfId="0"/>
    <xf numFmtId="169" fontId="7" fillId="0" borderId="0" pivotButton="0" quotePrefix="0" xfId="0"/>
    <xf numFmtId="175" fontId="7" fillId="0" borderId="0" pivotButton="0" quotePrefix="0" xfId="0"/>
    <xf numFmtId="169" fontId="0" fillId="0" borderId="0" pivotButton="0" quotePrefix="0" xfId="0"/>
    <xf numFmtId="175" fontId="0" fillId="0" borderId="0" pivotButton="0" quotePrefix="0" xfId="0"/>
    <xf numFmtId="168" fontId="0" fillId="0" borderId="0" pivotButton="0" quotePrefix="0" xfId="0"/>
    <xf numFmtId="0" fontId="34" fillId="0" borderId="0" pivotButton="0" quotePrefix="0" xfId="32"/>
    <xf numFmtId="0" fontId="0" fillId="0" borderId="0" pivotButton="0" quotePrefix="0" xfId="32"/>
    <xf numFmtId="0" fontId="7" fillId="0" borderId="0" pivotButton="0" quotePrefix="0" xfId="32"/>
    <xf numFmtId="0" fontId="19" fillId="0" borderId="0" pivotButton="0" quotePrefix="0" xfId="32"/>
    <xf numFmtId="165" fontId="0" fillId="0" borderId="0" pivotButton="0" quotePrefix="0" xfId="32"/>
    <xf numFmtId="0" fontId="0" fillId="0" borderId="0" applyAlignment="1" pivotButton="0" quotePrefix="0" xfId="32">
      <alignment horizontal="left"/>
    </xf>
    <xf numFmtId="0" fontId="9" fillId="0" borderId="0" pivotButton="0" quotePrefix="0" xfId="32"/>
    <xf numFmtId="0" fontId="35" fillId="0" borderId="0" applyAlignment="1" pivotButton="0" quotePrefix="0" xfId="32">
      <alignment horizontal="left"/>
    </xf>
    <xf numFmtId="0" fontId="35" fillId="0" borderId="0" applyAlignment="1" pivotButton="0" quotePrefix="0" xfId="32">
      <alignment horizontal="center"/>
    </xf>
    <xf numFmtId="167" fontId="0" fillId="0" borderId="0" pivotButton="0" quotePrefix="0" xfId="32"/>
    <xf numFmtId="168" fontId="7" fillId="0" borderId="0" pivotButton="0" quotePrefix="0" xfId="32"/>
    <xf numFmtId="176" fontId="7" fillId="0" borderId="0" pivotButton="0" quotePrefix="0" xfId="32"/>
    <xf numFmtId="167" fontId="7" fillId="0" borderId="0" pivotButton="0" quotePrefix="0" xfId="32"/>
    <xf numFmtId="165" fontId="7" fillId="0" borderId="0" pivotButton="0" quotePrefix="0" xfId="32"/>
    <xf numFmtId="170" fontId="7" fillId="0" borderId="0" pivotButton="0" quotePrefix="0" xfId="32"/>
    <xf numFmtId="169" fontId="7" fillId="0" borderId="0" pivotButton="0" quotePrefix="0" xfId="32"/>
    <xf numFmtId="171" fontId="7" fillId="0" borderId="0" pivotButton="0" quotePrefix="0" xfId="32"/>
    <xf numFmtId="169" fontId="0" fillId="0" borderId="0" pivotButton="0" quotePrefix="0" xfId="32"/>
    <xf numFmtId="17" fontId="64" fillId="6" borderId="0" applyAlignment="1" pivotButton="0" quotePrefix="0" xfId="0">
      <alignment horizontal="center"/>
    </xf>
    <xf numFmtId="17" fontId="24" fillId="6" borderId="11" applyAlignment="1" pivotButton="0" quotePrefix="0" xfId="0">
      <alignment horizontal="center"/>
    </xf>
    <xf numFmtId="0" fontId="63" fillId="6" borderId="0" applyAlignment="1" pivotButton="0" quotePrefix="0" xfId="0">
      <alignment horizontal="center"/>
    </xf>
    <xf numFmtId="0" fontId="28" fillId="6" borderId="11" applyAlignment="1" pivotButton="0" quotePrefix="0" xfId="0">
      <alignment horizontal="center"/>
    </xf>
    <xf numFmtId="167" fontId="61" fillId="5" borderId="0" pivotButton="0" quotePrefix="0" xfId="0"/>
    <xf numFmtId="167" fontId="61" fillId="6" borderId="0" pivotButton="0" quotePrefix="0" xfId="0"/>
    <xf numFmtId="165" fontId="64" fillId="5" borderId="0" applyAlignment="1" pivotButton="0" quotePrefix="0" xfId="0">
      <alignment horizontal="right"/>
    </xf>
    <xf numFmtId="165" fontId="64" fillId="6" borderId="0" applyAlignment="1" pivotButton="0" quotePrefix="0" xfId="0">
      <alignment horizontal="right"/>
    </xf>
    <xf numFmtId="165" fontId="64" fillId="5" borderId="3" applyAlignment="1" pivotButton="0" quotePrefix="0" xfId="0">
      <alignment horizontal="right"/>
    </xf>
    <xf numFmtId="165" fontId="64" fillId="6" borderId="3" applyAlignment="1" pivotButton="0" quotePrefix="0" xfId="0">
      <alignment horizontal="right"/>
    </xf>
    <xf numFmtId="167" fontId="63" fillId="6" borderId="0" pivotButton="0" quotePrefix="0" xfId="0"/>
    <xf numFmtId="167" fontId="63" fillId="5" borderId="0" pivotButton="0" quotePrefix="0" xfId="0"/>
    <xf numFmtId="176" fontId="61" fillId="5" borderId="0" pivotButton="0" quotePrefix="0" xfId="0"/>
    <xf numFmtId="176" fontId="61" fillId="6" borderId="0" pivotButton="0" quotePrefix="0" xfId="0"/>
    <xf numFmtId="167" fontId="61" fillId="6" borderId="3" pivotButton="0" quotePrefix="0" xfId="0"/>
    <xf numFmtId="167" fontId="61" fillId="5" borderId="3" pivotButton="0" quotePrefix="0" xfId="0"/>
    <xf numFmtId="43" fontId="61" fillId="6" borderId="0" pivotButton="0" quotePrefix="0" xfId="0"/>
    <xf numFmtId="43" fontId="61" fillId="5" borderId="0" pivotButton="0" quotePrefix="0" xfId="0"/>
    <xf numFmtId="43" fontId="61" fillId="6" borderId="11" pivotButton="0" quotePrefix="0" xfId="0"/>
    <xf numFmtId="165" fontId="61" fillId="5" borderId="0" pivotButton="0" quotePrefix="0" xfId="0"/>
    <xf numFmtId="165" fontId="61" fillId="6" borderId="0" pivotButton="0" quotePrefix="0" xfId="0"/>
    <xf numFmtId="165" fontId="61" fillId="5" borderId="3" pivotButton="0" quotePrefix="0" xfId="0"/>
    <xf numFmtId="165" fontId="61" fillId="6" borderId="3" pivotButton="0" quotePrefix="0" xfId="0"/>
    <xf numFmtId="167" fontId="61" fillId="5" borderId="0" applyAlignment="1" pivotButton="0" quotePrefix="0" xfId="0">
      <alignment horizontal="left" indent="1"/>
    </xf>
    <xf numFmtId="167" fontId="61" fillId="6" borderId="0" applyAlignment="1" pivotButton="0" quotePrefix="0" xfId="0">
      <alignment horizontal="left" indent="1"/>
    </xf>
    <xf numFmtId="167" fontId="61" fillId="5" borderId="3" applyAlignment="1" pivotButton="0" quotePrefix="0" xfId="0">
      <alignment horizontal="left" indent="1"/>
    </xf>
    <xf numFmtId="167" fontId="61" fillId="6" borderId="3" applyAlignment="1" pivotButton="0" quotePrefix="0" xfId="0">
      <alignment horizontal="left" indent="1"/>
    </xf>
    <xf numFmtId="167" fontId="63" fillId="6" borderId="8" pivotButton="0" quotePrefix="0" xfId="0"/>
    <xf numFmtId="165" fontId="61" fillId="6" borderId="11" pivotButton="0" quotePrefix="0" xfId="0"/>
    <xf numFmtId="165" fontId="61" fillId="6" borderId="0" applyAlignment="1" pivotButton="0" quotePrefix="0" xfId="0">
      <alignment horizontal="right"/>
    </xf>
    <xf numFmtId="165" fontId="61" fillId="6" borderId="3" applyAlignment="1" pivotButton="0" quotePrefix="0" xfId="0">
      <alignment horizontal="right"/>
    </xf>
    <xf numFmtId="165" fontId="64" fillId="6" borderId="0" pivotButton="0" quotePrefix="0" xfId="0"/>
    <xf numFmtId="165" fontId="64" fillId="5" borderId="0" pivotButton="0" quotePrefix="0" xfId="0"/>
    <xf numFmtId="176" fontId="61" fillId="6" borderId="0" applyAlignment="1" pivotButton="0" quotePrefix="0" xfId="0">
      <alignment horizontal="right"/>
    </xf>
    <xf numFmtId="176" fontId="61" fillId="6" borderId="3" pivotButton="0" quotePrefix="0" xfId="0"/>
    <xf numFmtId="176" fontId="61" fillId="6" borderId="3" applyAlignment="1" pivotButton="0" quotePrefix="0" xfId="0">
      <alignment horizontal="right"/>
    </xf>
    <xf numFmtId="177" fontId="61" fillId="6" borderId="0" pivotButton="0" quotePrefix="0" xfId="0"/>
    <xf numFmtId="177" fontId="61" fillId="5" borderId="0" pivotButton="0" quotePrefix="0" xfId="0"/>
    <xf numFmtId="177" fontId="61" fillId="6" borderId="11" pivotButton="0" quotePrefix="0" xfId="0"/>
    <xf numFmtId="167" fontId="61" fillId="6" borderId="0" pivotButton="0" quotePrefix="0" xfId="15"/>
    <xf numFmtId="167" fontId="61" fillId="6" borderId="3" applyAlignment="1" pivotButton="0" quotePrefix="0" xfId="0">
      <alignment horizontal="right"/>
    </xf>
    <xf numFmtId="167" fontId="61" fillId="6" borderId="28" pivotButton="0" quotePrefix="0" xfId="0"/>
    <xf numFmtId="167" fontId="61" fillId="5" borderId="10" pivotButton="0" quotePrefix="0" xfId="0"/>
    <xf numFmtId="167" fontId="61" fillId="5" borderId="8" pivotButton="0" quotePrefix="0" xfId="0"/>
    <xf numFmtId="167" fontId="63" fillId="6" borderId="10" pivotButton="0" quotePrefix="0" xfId="0"/>
    <xf numFmtId="165" fontId="63" fillId="5" borderId="0" pivotButton="0" quotePrefix="0" xfId="0"/>
    <xf numFmtId="165" fontId="63" fillId="6" borderId="0" pivotButton="0" quotePrefix="0" xfId="0"/>
    <xf numFmtId="167" fontId="61" fillId="6" borderId="11" pivotButton="0" quotePrefix="0" xfId="0"/>
    <xf numFmtId="169" fontId="64" fillId="6" borderId="0" pivotButton="0" quotePrefix="0" xfId="0"/>
    <xf numFmtId="198" fontId="61" fillId="6" borderId="0" pivotButton="0" quotePrefix="0" xfId="0"/>
    <xf numFmtId="199" fontId="64" fillId="5" borderId="0" pivotButton="0" quotePrefix="0" xfId="0"/>
    <xf numFmtId="199" fontId="64" fillId="6" borderId="0" pivotButton="0" quotePrefix="0" xfId="0"/>
    <xf numFmtId="172" fontId="61" fillId="5" borderId="0" pivotButton="0" quotePrefix="0" xfId="0"/>
    <xf numFmtId="172" fontId="61" fillId="6" borderId="0" pivotButton="0" quotePrefix="0" xfId="0"/>
    <xf numFmtId="185" fontId="63" fillId="5" borderId="0" pivotButton="0" quotePrefix="0" xfId="0"/>
    <xf numFmtId="185" fontId="63" fillId="6" borderId="0" pivotButton="0" quotePrefix="0" xfId="0"/>
    <xf numFmtId="165" fontId="63" fillId="5" borderId="0" applyAlignment="1" pivotButton="0" quotePrefix="0" xfId="0">
      <alignment horizontal="right"/>
    </xf>
    <xf numFmtId="165" fontId="63" fillId="6" borderId="0" applyAlignment="1" pivotButton="0" quotePrefix="0" xfId="0">
      <alignment horizontal="right"/>
    </xf>
    <xf numFmtId="175" fontId="66" fillId="5" borderId="0" pivotButton="0" quotePrefix="0" xfId="16"/>
    <xf numFmtId="165" fontId="62" fillId="5" borderId="0" pivotButton="0" quotePrefix="0" xfId="0"/>
    <xf numFmtId="165" fontId="62" fillId="6" borderId="0" pivotButton="0" quotePrefix="0" xfId="0"/>
    <xf numFmtId="167" fontId="61" fillId="6" borderId="30" pivotButton="0" quotePrefix="0" xfId="0"/>
    <xf numFmtId="176" fontId="65" fillId="5" borderId="5" pivotButton="0" quotePrefix="0" xfId="30"/>
    <xf numFmtId="176" fontId="65" fillId="5" borderId="2" pivotButton="0" quotePrefix="0" xfId="30"/>
    <xf numFmtId="194" fontId="63" fillId="5" borderId="0" applyAlignment="1" pivotButton="0" quotePrefix="0" xfId="0">
      <alignment horizontal="right"/>
    </xf>
    <xf numFmtId="194" fontId="63" fillId="5" borderId="11" applyAlignment="1" pivotButton="0" quotePrefix="0" xfId="0">
      <alignment horizontal="right"/>
    </xf>
    <xf numFmtId="175" fontId="65" fillId="5" borderId="0" pivotButton="0" quotePrefix="0" xfId="30"/>
    <xf numFmtId="175" fontId="61" fillId="5" borderId="0" pivotButton="0" quotePrefix="0" xfId="0"/>
    <xf numFmtId="175" fontId="61" fillId="5" borderId="11" pivotButton="0" quotePrefix="0" xfId="0"/>
    <xf numFmtId="177" fontId="65" fillId="5" borderId="0" pivotButton="0" quotePrefix="0" xfId="30"/>
    <xf numFmtId="177" fontId="61" fillId="5" borderId="11" pivotButton="0" quotePrefix="0" xfId="0"/>
    <xf numFmtId="192" fontId="65" fillId="5" borderId="0" pivotButton="0" quotePrefix="0" xfId="30"/>
    <xf numFmtId="192" fontId="61" fillId="5" borderId="0" pivotButton="0" quotePrefix="0" xfId="0"/>
    <xf numFmtId="192" fontId="61" fillId="5" borderId="11" pivotButton="0" quotePrefix="0" xfId="0"/>
    <xf numFmtId="1" fontId="7" fillId="8" borderId="0" applyAlignment="1" pivotButton="0" quotePrefix="0" xfId="0">
      <alignment horizontal="center"/>
    </xf>
    <xf numFmtId="1" fontId="7" fillId="8" borderId="11" applyAlignment="1" pivotButton="0" quotePrefix="0" xfId="0">
      <alignment horizontal="center"/>
    </xf>
    <xf numFmtId="1" fontId="26" fillId="8" borderId="0" applyAlignment="1" pivotButton="0" quotePrefix="0" xfId="0">
      <alignment horizontal="center"/>
    </xf>
    <xf numFmtId="17" fontId="64" fillId="8" borderId="0" applyAlignment="1" pivotButton="0" quotePrefix="0" xfId="0">
      <alignment horizontal="center"/>
    </xf>
    <xf numFmtId="17" fontId="24" fillId="8" borderId="0" applyAlignment="1" pivotButton="0" quotePrefix="0" xfId="0">
      <alignment horizontal="center"/>
    </xf>
    <xf numFmtId="17" fontId="24" fillId="8" borderId="11" applyAlignment="1" pivotButton="0" quotePrefix="0" xfId="0">
      <alignment horizontal="center"/>
    </xf>
    <xf numFmtId="0" fontId="63" fillId="8" borderId="0" applyAlignment="1" pivotButton="0" quotePrefix="0" xfId="0">
      <alignment horizontal="center"/>
    </xf>
    <xf numFmtId="0" fontId="28" fillId="8" borderId="0" applyAlignment="1" pivotButton="0" quotePrefix="0" xfId="0">
      <alignment horizontal="center"/>
    </xf>
    <xf numFmtId="0" fontId="28" fillId="8" borderId="11" applyAlignment="1" pivotButton="0" quotePrefix="0" xfId="0">
      <alignment horizontal="center"/>
    </xf>
    <xf numFmtId="167" fontId="27" fillId="8" borderId="0" pivotButton="0" quotePrefix="0" xfId="0"/>
    <xf numFmtId="167" fontId="61" fillId="8" borderId="0" pivotButton="0" quotePrefix="0" xfId="0"/>
    <xf numFmtId="167" fontId="0" fillId="8" borderId="11" pivotButton="0" quotePrefix="0" xfId="0"/>
    <xf numFmtId="165" fontId="25" fillId="8" borderId="0" pivotButton="0" quotePrefix="0" xfId="0"/>
    <xf numFmtId="165" fontId="25" fillId="8" borderId="11" pivotButton="0" quotePrefix="0" xfId="0"/>
    <xf numFmtId="165" fontId="25" fillId="8" borderId="0" applyAlignment="1" pivotButton="0" quotePrefix="0" xfId="0">
      <alignment horizontal="right"/>
    </xf>
    <xf numFmtId="165" fontId="25" fillId="8" borderId="11" applyAlignment="1" pivotButton="0" quotePrefix="0" xfId="0">
      <alignment horizontal="right"/>
    </xf>
    <xf numFmtId="165" fontId="64" fillId="8" borderId="0" applyAlignment="1" pivotButton="0" quotePrefix="0" xfId="0">
      <alignment horizontal="right"/>
    </xf>
    <xf numFmtId="165" fontId="25" fillId="8" borderId="3" applyAlignment="1" pivotButton="0" quotePrefix="0" xfId="0">
      <alignment horizontal="right"/>
    </xf>
    <xf numFmtId="165" fontId="25" fillId="8" borderId="28" applyAlignment="1" pivotButton="0" quotePrefix="0" xfId="0">
      <alignment horizontal="right"/>
    </xf>
    <xf numFmtId="165" fontId="64" fillId="8" borderId="3" applyAlignment="1" pivotButton="0" quotePrefix="0" xfId="0">
      <alignment horizontal="right"/>
    </xf>
    <xf numFmtId="167" fontId="26" fillId="8" borderId="8" pivotButton="0" quotePrefix="0" xfId="0"/>
    <xf numFmtId="167" fontId="7" fillId="8" borderId="8" pivotButton="0" quotePrefix="0" xfId="0"/>
    <xf numFmtId="167" fontId="7" fillId="8" borderId="30" pivotButton="0" quotePrefix="0" xfId="0"/>
    <xf numFmtId="167" fontId="25" fillId="8" borderId="0" pivotButton="0" quotePrefix="0" xfId="0"/>
    <xf numFmtId="167" fontId="25" fillId="8" borderId="11" pivotButton="0" quotePrefix="0" xfId="0"/>
    <xf numFmtId="167" fontId="25" fillId="8" borderId="0" applyAlignment="1" pivotButton="0" quotePrefix="0" xfId="0">
      <alignment horizontal="right"/>
    </xf>
    <xf numFmtId="167" fontId="26" fillId="8" borderId="0" pivotButton="0" quotePrefix="0" xfId="0"/>
    <xf numFmtId="167" fontId="26" fillId="8" borderId="11" pivotButton="0" quotePrefix="0" xfId="0"/>
    <xf numFmtId="167" fontId="63" fillId="8" borderId="0" pivotButton="0" quotePrefix="0" xfId="0"/>
    <xf numFmtId="165" fontId="26" fillId="8" borderId="0" pivotButton="0" quotePrefix="0" xfId="0"/>
    <xf numFmtId="165" fontId="26" fillId="8" borderId="11" pivotButton="0" quotePrefix="0" xfId="0"/>
    <xf numFmtId="167" fontId="27" fillId="8" borderId="3" pivotButton="0" quotePrefix="0" xfId="0"/>
    <xf numFmtId="167" fontId="27" fillId="8" borderId="28" pivotButton="0" quotePrefix="0" xfId="0"/>
    <xf numFmtId="165" fontId="27" fillId="8" borderId="0" pivotButton="0" quotePrefix="0" xfId="0"/>
    <xf numFmtId="165" fontId="27" fillId="8" borderId="11" pivotButton="0" quotePrefix="0" xfId="0"/>
    <xf numFmtId="176" fontId="27" fillId="8" borderId="0" pivotButton="0" quotePrefix="0" xfId="0"/>
    <xf numFmtId="176" fontId="27" fillId="8" borderId="11" pivotButton="0" quotePrefix="0" xfId="0"/>
    <xf numFmtId="176" fontId="61" fillId="8" borderId="0" pivotButton="0" quotePrefix="0" xfId="0"/>
    <xf numFmtId="167" fontId="27" fillId="8" borderId="11" pivotButton="0" quotePrefix="0" xfId="0"/>
    <xf numFmtId="167" fontId="26" fillId="8" borderId="30" pivotButton="0" quotePrefix="0" xfId="0"/>
    <xf numFmtId="167" fontId="61" fillId="8" borderId="3" pivotButton="0" quotePrefix="0" xfId="0"/>
    <xf numFmtId="202" fontId="27" fillId="8" borderId="0" pivotButton="0" quotePrefix="0" xfId="0"/>
    <xf numFmtId="202" fontId="27" fillId="8" borderId="11" pivotButton="0" quotePrefix="0" xfId="0"/>
    <xf numFmtId="43" fontId="61" fillId="8" borderId="0" pivotButton="0" quotePrefix="0" xfId="0"/>
    <xf numFmtId="43" fontId="27" fillId="8" borderId="0" pivotButton="0" quotePrefix="0" xfId="0"/>
    <xf numFmtId="43" fontId="61" fillId="8" borderId="11" pivotButton="0" quotePrefix="0" xfId="0"/>
    <xf numFmtId="165" fontId="0" fillId="8" borderId="0" pivotButton="0" quotePrefix="0" xfId="0"/>
    <xf numFmtId="165" fontId="0" fillId="8" borderId="11" pivotButton="0" quotePrefix="0" xfId="0"/>
    <xf numFmtId="165" fontId="61" fillId="8" borderId="0" pivotButton="0" quotePrefix="0" xfId="0"/>
    <xf numFmtId="165" fontId="27" fillId="8" borderId="3" pivotButton="0" quotePrefix="0" xfId="0"/>
    <xf numFmtId="165" fontId="0" fillId="8" borderId="3" pivotButton="0" quotePrefix="0" xfId="0"/>
    <xf numFmtId="165" fontId="0" fillId="8" borderId="28" pivotButton="0" quotePrefix="0" xfId="0"/>
    <xf numFmtId="165" fontId="61" fillId="8" borderId="3" pivotButton="0" quotePrefix="0" xfId="0"/>
    <xf numFmtId="165" fontId="7" fillId="8" borderId="8" pivotButton="0" quotePrefix="0" xfId="0"/>
    <xf numFmtId="165" fontId="7" fillId="8" borderId="30" pivotButton="0" quotePrefix="0" xfId="0"/>
    <xf numFmtId="165" fontId="26" fillId="8" borderId="8" pivotButton="0" quotePrefix="0" xfId="0"/>
    <xf numFmtId="167" fontId="27" fillId="8" borderId="0" applyAlignment="1" pivotButton="0" quotePrefix="0" xfId="0">
      <alignment horizontal="left" indent="1"/>
    </xf>
    <xf numFmtId="167" fontId="61" fillId="8" borderId="0" applyAlignment="1" pivotButton="0" quotePrefix="0" xfId="0">
      <alignment horizontal="left" indent="1"/>
    </xf>
    <xf numFmtId="167" fontId="27" fillId="8" borderId="11" applyAlignment="1" pivotButton="0" quotePrefix="0" xfId="0">
      <alignment horizontal="left" indent="1"/>
    </xf>
    <xf numFmtId="167" fontId="27" fillId="8" borderId="3" applyAlignment="1" pivotButton="0" quotePrefix="0" xfId="0">
      <alignment horizontal="left" indent="1"/>
    </xf>
    <xf numFmtId="167" fontId="61" fillId="8" borderId="3" applyAlignment="1" pivotButton="0" quotePrefix="0" xfId="0">
      <alignment horizontal="left" indent="1"/>
    </xf>
    <xf numFmtId="167" fontId="27" fillId="8" borderId="28" applyAlignment="1" pivotButton="0" quotePrefix="0" xfId="0">
      <alignment horizontal="left" indent="1"/>
    </xf>
    <xf numFmtId="167" fontId="63" fillId="8" borderId="8" pivotButton="0" quotePrefix="0" xfId="0"/>
    <xf numFmtId="176" fontId="0" fillId="8" borderId="0" pivotButton="0" quotePrefix="0" xfId="0"/>
    <xf numFmtId="176" fontId="0" fillId="8" borderId="11" pivotButton="0" quotePrefix="0" xfId="0"/>
    <xf numFmtId="165" fontId="61" fillId="8" borderId="11" pivotButton="0" quotePrefix="0" xfId="0"/>
    <xf numFmtId="167" fontId="0" fillId="8" borderId="0" pivotButton="0" quotePrefix="0" xfId="0"/>
    <xf numFmtId="165" fontId="0" fillId="8" borderId="0" applyAlignment="1" pivotButton="0" quotePrefix="0" xfId="0">
      <alignment horizontal="right"/>
    </xf>
    <xf numFmtId="165" fontId="61" fillId="8" borderId="0" applyAlignment="1" pivotButton="0" quotePrefix="0" xfId="0">
      <alignment horizontal="right"/>
    </xf>
    <xf numFmtId="178" fontId="0" fillId="8" borderId="0" pivotButton="0" quotePrefix="0" xfId="0"/>
    <xf numFmtId="178" fontId="0" fillId="8" borderId="0" applyAlignment="1" pivotButton="0" quotePrefix="0" xfId="0">
      <alignment horizontal="right"/>
    </xf>
    <xf numFmtId="178" fontId="27" fillId="8" borderId="0" pivotButton="0" quotePrefix="0" xfId="0"/>
    <xf numFmtId="178" fontId="27" fillId="8" borderId="11" pivotButton="0" quotePrefix="0" xfId="0"/>
    <xf numFmtId="165" fontId="27" fillId="8" borderId="28" pivotButton="0" quotePrefix="0" xfId="0"/>
    <xf numFmtId="165" fontId="26" fillId="8" borderId="30" pivotButton="0" quotePrefix="0" xfId="0"/>
    <xf numFmtId="167" fontId="0" fillId="8" borderId="3" pivotButton="0" quotePrefix="0" xfId="0"/>
    <xf numFmtId="167" fontId="0" fillId="8" borderId="28" pivotButton="0" quotePrefix="0" xfId="0"/>
    <xf numFmtId="165" fontId="61" fillId="8" borderId="3" applyAlignment="1" pivotButton="0" quotePrefix="0" xfId="0">
      <alignment horizontal="right"/>
    </xf>
    <xf numFmtId="165" fontId="27" fillId="8" borderId="3" applyAlignment="1" pivotButton="0" quotePrefix="0" xfId="0">
      <alignment horizontal="right"/>
    </xf>
    <xf numFmtId="165" fontId="64" fillId="8" borderId="0" pivotButton="0" quotePrefix="0" xfId="0"/>
    <xf numFmtId="176" fontId="27" fillId="8" borderId="0" applyAlignment="1" pivotButton="0" quotePrefix="0" xfId="0">
      <alignment horizontal="right"/>
    </xf>
    <xf numFmtId="176" fontId="61" fillId="8" borderId="0" applyAlignment="1" pivotButton="0" quotePrefix="0" xfId="0">
      <alignment horizontal="right"/>
    </xf>
    <xf numFmtId="176" fontId="61" fillId="8" borderId="3" pivotButton="0" quotePrefix="0" xfId="0"/>
    <xf numFmtId="176" fontId="61" fillId="8" borderId="3" applyAlignment="1" pivotButton="0" quotePrefix="0" xfId="0">
      <alignment horizontal="right"/>
    </xf>
    <xf numFmtId="176" fontId="27" fillId="8" borderId="3" applyAlignment="1" pivotButton="0" quotePrefix="0" xfId="0">
      <alignment horizontal="right"/>
    </xf>
    <xf numFmtId="176" fontId="27" fillId="8" borderId="3" pivotButton="0" quotePrefix="0" xfId="0"/>
    <xf numFmtId="176" fontId="27" fillId="8" borderId="28" pivotButton="0" quotePrefix="0" xfId="0"/>
    <xf numFmtId="176" fontId="7" fillId="8" borderId="8" pivotButton="0" quotePrefix="0" xfId="0"/>
    <xf numFmtId="176" fontId="26" fillId="8" borderId="8" pivotButton="0" quotePrefix="0" xfId="0"/>
    <xf numFmtId="176" fontId="26" fillId="8" borderId="30" pivotButton="0" quotePrefix="0" xfId="0"/>
    <xf numFmtId="176" fontId="26" fillId="8" borderId="8" applyAlignment="1" pivotButton="0" quotePrefix="0" xfId="0">
      <alignment horizontal="right"/>
    </xf>
    <xf numFmtId="176" fontId="26" fillId="8" borderId="0" pivotButton="0" quotePrefix="0" xfId="0"/>
    <xf numFmtId="176" fontId="26" fillId="8" borderId="0" applyAlignment="1" pivotButton="0" quotePrefix="0" xfId="0">
      <alignment horizontal="right"/>
    </xf>
    <xf numFmtId="176" fontId="26" fillId="8" borderId="11" pivotButton="0" quotePrefix="0" xfId="0"/>
    <xf numFmtId="176" fontId="27" fillId="8" borderId="8" pivotButton="0" quotePrefix="0" xfId="0"/>
    <xf numFmtId="176" fontId="27" fillId="8" borderId="8" applyAlignment="1" pivotButton="0" quotePrefix="0" xfId="0">
      <alignment horizontal="right"/>
    </xf>
    <xf numFmtId="176" fontId="27" fillId="8" borderId="30" pivotButton="0" quotePrefix="0" xfId="0"/>
    <xf numFmtId="167" fontId="27" fillId="8" borderId="0" applyAlignment="1" pivotButton="0" quotePrefix="0" xfId="0">
      <alignment horizontal="right"/>
    </xf>
    <xf numFmtId="177" fontId="61" fillId="8" borderId="0" pivotButton="0" quotePrefix="0" xfId="0"/>
    <xf numFmtId="177" fontId="61" fillId="8" borderId="11" pivotButton="0" quotePrefix="0" xfId="0"/>
    <xf numFmtId="177" fontId="27" fillId="8" borderId="0" pivotButton="0" quotePrefix="0" xfId="0"/>
    <xf numFmtId="167" fontId="0" fillId="8" borderId="8" pivotButton="0" quotePrefix="0" xfId="15"/>
    <xf numFmtId="167" fontId="27" fillId="8" borderId="8" pivotButton="0" quotePrefix="0" xfId="15"/>
    <xf numFmtId="167" fontId="27" fillId="8" borderId="30" pivotButton="0" quotePrefix="0" xfId="15"/>
    <xf numFmtId="167" fontId="61" fillId="8" borderId="0" pivotButton="0" quotePrefix="0" xfId="15"/>
    <xf numFmtId="167" fontId="27" fillId="8" borderId="0" pivotButton="0" quotePrefix="0" xfId="15"/>
    <xf numFmtId="167" fontId="27" fillId="8" borderId="11" pivotButton="0" quotePrefix="0" xfId="15"/>
    <xf numFmtId="167" fontId="61" fillId="8" borderId="3" applyAlignment="1" pivotButton="0" quotePrefix="0" xfId="0">
      <alignment horizontal="right"/>
    </xf>
    <xf numFmtId="0" fontId="0" fillId="8" borderId="8" pivotButton="0" quotePrefix="0" xfId="15"/>
    <xf numFmtId="0" fontId="0" fillId="8" borderId="30" pivotButton="0" quotePrefix="0" xfId="15"/>
    <xf numFmtId="0" fontId="27" fillId="8" borderId="8" pivotButton="0" quotePrefix="0" xfId="15"/>
    <xf numFmtId="165" fontId="0" fillId="8" borderId="3" applyAlignment="1" pivotButton="0" quotePrefix="0" xfId="0">
      <alignment horizontal="right"/>
    </xf>
    <xf numFmtId="165" fontId="27" fillId="8" borderId="0" applyAlignment="1" pivotButton="0" quotePrefix="0" xfId="0">
      <alignment horizontal="right"/>
    </xf>
    <xf numFmtId="165" fontId="27" fillId="8" borderId="11" applyAlignment="1" pivotButton="0" quotePrefix="0" xfId="0">
      <alignment horizontal="right"/>
    </xf>
    <xf numFmtId="165" fontId="26" fillId="8" borderId="3" applyAlignment="1" pivotButton="0" quotePrefix="0" xfId="0">
      <alignment horizontal="right"/>
    </xf>
    <xf numFmtId="165" fontId="26" fillId="8" borderId="28" applyAlignment="1" pivotButton="0" quotePrefix="0" xfId="0">
      <alignment horizontal="right"/>
    </xf>
    <xf numFmtId="165" fontId="7" fillId="8" borderId="0" applyAlignment="1" pivotButton="0" quotePrefix="0" xfId="0">
      <alignment horizontal="right"/>
    </xf>
    <xf numFmtId="165" fontId="7" fillId="8" borderId="11" applyAlignment="1" pivotButton="0" quotePrefix="0" xfId="0">
      <alignment horizontal="right"/>
    </xf>
    <xf numFmtId="165" fontId="26" fillId="8" borderId="0" applyAlignment="1" pivotButton="0" quotePrefix="0" xfId="0">
      <alignment horizontal="right"/>
    </xf>
    <xf numFmtId="165" fontId="26" fillId="8" borderId="11" applyAlignment="1" pivotButton="0" quotePrefix="0" xfId="0">
      <alignment horizontal="right"/>
    </xf>
    <xf numFmtId="165" fontId="26" fillId="8" borderId="8" applyAlignment="1" pivotButton="0" quotePrefix="0" xfId="0">
      <alignment horizontal="right"/>
    </xf>
    <xf numFmtId="165" fontId="26" fillId="8" borderId="30" applyAlignment="1" pivotButton="0" quotePrefix="0" xfId="0">
      <alignment horizontal="right"/>
    </xf>
    <xf numFmtId="165" fontId="25" fillId="8" borderId="0" applyAlignment="1" pivotButton="0" quotePrefix="0" xfId="0">
      <alignment horizontal="center"/>
    </xf>
    <xf numFmtId="167" fontId="7" fillId="8" borderId="11" pivotButton="0" quotePrefix="0" xfId="0"/>
    <xf numFmtId="167" fontId="61" fillId="8" borderId="28" pivotButton="0" quotePrefix="0" xfId="0"/>
    <xf numFmtId="167" fontId="0" fillId="8" borderId="10" pivotButton="0" quotePrefix="0" xfId="0"/>
    <xf numFmtId="167" fontId="27" fillId="8" borderId="37" pivotButton="0" quotePrefix="0" xfId="0"/>
    <xf numFmtId="167" fontId="27" fillId="8" borderId="10" pivotButton="0" quotePrefix="0" xfId="0"/>
    <xf numFmtId="167" fontId="7" fillId="8" borderId="0" pivotButton="0" quotePrefix="0" xfId="0"/>
    <xf numFmtId="167" fontId="7" fillId="8" borderId="10" pivotButton="0" quotePrefix="0" xfId="0"/>
    <xf numFmtId="167" fontId="63" fillId="8" borderId="10" pivotButton="0" quotePrefix="0" xfId="0"/>
    <xf numFmtId="167" fontId="7" fillId="8" borderId="37" pivotButton="0" quotePrefix="0" xfId="0"/>
    <xf numFmtId="167" fontId="26" fillId="8" borderId="10" pivotButton="0" quotePrefix="0" xfId="0"/>
    <xf numFmtId="167" fontId="27" fillId="8" borderId="8" pivotButton="0" quotePrefix="0" xfId="0"/>
    <xf numFmtId="167" fontId="27" fillId="8" borderId="30" pivotButton="0" quotePrefix="0" xfId="0"/>
    <xf numFmtId="167" fontId="0" fillId="8" borderId="8" pivotButton="0" quotePrefix="0" xfId="0"/>
    <xf numFmtId="167" fontId="0" fillId="8" borderId="30" pivotButton="0" quotePrefix="0" xfId="0"/>
    <xf numFmtId="167" fontId="24" fillId="8" borderId="0" pivotButton="0" quotePrefix="0" xfId="0"/>
    <xf numFmtId="165" fontId="7" fillId="8" borderId="0" pivotButton="0" quotePrefix="0" xfId="0"/>
    <xf numFmtId="165" fontId="7" fillId="8" borderId="11" pivotButton="0" quotePrefix="0" xfId="0"/>
    <xf numFmtId="165" fontId="63" fillId="8" borderId="0" pivotButton="0" quotePrefix="0" xfId="0"/>
    <xf numFmtId="172" fontId="7" fillId="8" borderId="0" pivotButton="0" quotePrefix="0" xfId="0"/>
    <xf numFmtId="172" fontId="7" fillId="8" borderId="11" pivotButton="0" quotePrefix="0" xfId="0"/>
    <xf numFmtId="172" fontId="26" fillId="8" borderId="0" pivotButton="0" quotePrefix="0" xfId="0"/>
    <xf numFmtId="168" fontId="25" fillId="8" borderId="0" pivotButton="0" quotePrefix="0" xfId="0"/>
    <xf numFmtId="168" fontId="25" fillId="8" borderId="11" pivotButton="0" quotePrefix="0" xfId="0"/>
    <xf numFmtId="168" fontId="25" fillId="8" borderId="0" applyAlignment="1" pivotButton="0" quotePrefix="0" xfId="0">
      <alignment horizontal="right"/>
    </xf>
    <xf numFmtId="172" fontId="26" fillId="8" borderId="11" pivotButton="0" quotePrefix="0" xfId="0"/>
    <xf numFmtId="167" fontId="61" fillId="8" borderId="11" pivotButton="0" quotePrefix="0" xfId="0"/>
    <xf numFmtId="169" fontId="64" fillId="8" borderId="0" pivotButton="0" quotePrefix="0" xfId="0"/>
    <xf numFmtId="169" fontId="19" fillId="8" borderId="0" pivotButton="0" quotePrefix="0" xfId="0"/>
    <xf numFmtId="169" fontId="19" fillId="8" borderId="11" pivotButton="0" quotePrefix="0" xfId="0"/>
    <xf numFmtId="169" fontId="25" fillId="8" borderId="0" pivotButton="0" quotePrefix="0" xfId="0"/>
    <xf numFmtId="165" fontId="25" fillId="8" borderId="3" pivotButton="0" quotePrefix="0" xfId="0"/>
    <xf numFmtId="165" fontId="25" fillId="8" borderId="28" pivotButton="0" quotePrefix="0" xfId="0"/>
    <xf numFmtId="198" fontId="61" fillId="8" borderId="0" pivotButton="0" quotePrefix="0" xfId="0"/>
    <xf numFmtId="198" fontId="27" fillId="8" borderId="11" pivotButton="0" quotePrefix="0" xfId="0"/>
    <xf numFmtId="198" fontId="27" fillId="8" borderId="0" pivotButton="0" quotePrefix="0" xfId="0"/>
    <xf numFmtId="199" fontId="25" fillId="8" borderId="0" pivotButton="0" quotePrefix="0" xfId="0"/>
    <xf numFmtId="199" fontId="25" fillId="8" borderId="11" pivotButton="0" quotePrefix="0" xfId="0"/>
    <xf numFmtId="199" fontId="64" fillId="8" borderId="0" pivotButton="0" quotePrefix="0" xfId="0"/>
    <xf numFmtId="172" fontId="26" fillId="8" borderId="0" applyAlignment="1" pivotButton="0" quotePrefix="0" xfId="16">
      <alignment horizontal="right" indent="1"/>
    </xf>
    <xf numFmtId="172" fontId="26" fillId="8" borderId="0" pivotButton="0" quotePrefix="0" xfId="16"/>
    <xf numFmtId="172" fontId="26" fillId="8" borderId="11" pivotButton="0" quotePrefix="0" xfId="16"/>
    <xf numFmtId="172" fontId="0" fillId="8" borderId="0" pivotButton="0" quotePrefix="0" xfId="0"/>
    <xf numFmtId="172" fontId="0" fillId="8" borderId="11" pivotButton="0" quotePrefix="0" xfId="0"/>
    <xf numFmtId="172" fontId="27" fillId="8" borderId="0" pivotButton="0" quotePrefix="0" xfId="0"/>
    <xf numFmtId="172" fontId="61" fillId="8" borderId="0" pivotButton="0" quotePrefix="0" xfId="0"/>
    <xf numFmtId="172" fontId="27" fillId="8" borderId="11" pivotButton="0" quotePrefix="0" xfId="0"/>
    <xf numFmtId="185" fontId="26" fillId="8" borderId="0" pivotButton="0" quotePrefix="0" xfId="0"/>
    <xf numFmtId="185" fontId="26" fillId="8" borderId="11" pivotButton="0" quotePrefix="0" xfId="0"/>
    <xf numFmtId="185" fontId="63" fillId="8" borderId="0" pivotButton="0" quotePrefix="0" xfId="0"/>
    <xf numFmtId="167" fontId="0" fillId="8" borderId="15" pivotButton="0" quotePrefix="0" xfId="0"/>
    <xf numFmtId="167" fontId="0" fillId="8" borderId="24" pivotButton="0" quotePrefix="0" xfId="0"/>
    <xf numFmtId="167" fontId="27" fillId="8" borderId="15" pivotButton="0" quotePrefix="0" xfId="0"/>
    <xf numFmtId="167" fontId="27" fillId="8" borderId="11" applyAlignment="1" pivotButton="0" quotePrefix="0" xfId="0">
      <alignment horizontal="right"/>
    </xf>
    <xf numFmtId="165" fontId="63" fillId="8" borderId="0" applyAlignment="1" pivotButton="0" quotePrefix="0" xfId="0">
      <alignment horizontal="right"/>
    </xf>
    <xf numFmtId="169" fontId="26" fillId="8" borderId="0" applyAlignment="1" pivotButton="0" quotePrefix="0" xfId="0">
      <alignment horizontal="right"/>
    </xf>
    <xf numFmtId="169" fontId="26" fillId="8" borderId="11" applyAlignment="1" pivotButton="0" quotePrefix="0" xfId="0">
      <alignment horizontal="right"/>
    </xf>
    <xf numFmtId="169" fontId="7" fillId="8" borderId="0" applyAlignment="1" pivotButton="0" quotePrefix="0" xfId="0">
      <alignment horizontal="right"/>
    </xf>
    <xf numFmtId="169" fontId="7" fillId="8" borderId="11" applyAlignment="1" pivotButton="0" quotePrefix="0" xfId="0">
      <alignment horizontal="right"/>
    </xf>
    <xf numFmtId="175" fontId="7" fillId="8" borderId="0" applyAlignment="1" pivotButton="0" quotePrefix="0" xfId="0">
      <alignment horizontal="right"/>
    </xf>
    <xf numFmtId="175" fontId="7" fillId="8" borderId="11" applyAlignment="1" pivotButton="0" quotePrefix="0" xfId="0">
      <alignment horizontal="right"/>
    </xf>
    <xf numFmtId="175" fontId="26" fillId="8" borderId="0" pivotButton="0" quotePrefix="0" xfId="0"/>
    <xf numFmtId="182" fontId="26" fillId="8" borderId="0" pivotButton="0" quotePrefix="0" xfId="0"/>
    <xf numFmtId="182" fontId="26" fillId="8" borderId="11" pivotButton="0" quotePrefix="0" xfId="0"/>
    <xf numFmtId="169" fontId="27" fillId="8" borderId="0" applyAlignment="1" pivotButton="0" quotePrefix="0" xfId="0">
      <alignment horizontal="right"/>
    </xf>
    <xf numFmtId="169" fontId="27" fillId="8" borderId="11" applyAlignment="1" pivotButton="0" quotePrefix="0" xfId="0">
      <alignment horizontal="right"/>
    </xf>
    <xf numFmtId="169" fontId="0" fillId="8" borderId="0" applyAlignment="1" pivotButton="0" quotePrefix="0" xfId="0">
      <alignment horizontal="right"/>
    </xf>
    <xf numFmtId="169" fontId="0" fillId="8" borderId="11" applyAlignment="1" pivotButton="0" quotePrefix="0" xfId="0">
      <alignment horizontal="right"/>
    </xf>
    <xf numFmtId="165" fontId="0" fillId="8" borderId="11" applyAlignment="1" pivotButton="0" quotePrefix="0" xfId="0">
      <alignment horizontal="right"/>
    </xf>
    <xf numFmtId="175" fontId="0" fillId="8" borderId="0" applyAlignment="1" pivotButton="0" quotePrefix="0" xfId="0">
      <alignment horizontal="right"/>
    </xf>
    <xf numFmtId="175" fontId="0" fillId="8" borderId="11" applyAlignment="1" pivotButton="0" quotePrefix="0" xfId="0">
      <alignment horizontal="right"/>
    </xf>
    <xf numFmtId="175" fontId="27" fillId="8" borderId="0" pivotButton="0" quotePrefix="0" xfId="0"/>
    <xf numFmtId="192" fontId="0" fillId="8" borderId="0" applyAlignment="1" pivotButton="0" quotePrefix="0" xfId="0">
      <alignment horizontal="right"/>
    </xf>
    <xf numFmtId="192" fontId="0" fillId="8" borderId="11" applyAlignment="1" pivotButton="0" quotePrefix="0" xfId="0">
      <alignment horizontal="right"/>
    </xf>
    <xf numFmtId="192" fontId="27" fillId="8" borderId="0" pivotButton="0" quotePrefix="0" xfId="0"/>
    <xf numFmtId="177" fontId="0" fillId="8" borderId="0" applyAlignment="1" pivotButton="0" quotePrefix="0" xfId="0">
      <alignment horizontal="right"/>
    </xf>
    <xf numFmtId="177" fontId="0" fillId="8" borderId="11" applyAlignment="1" pivotButton="0" quotePrefix="0" xfId="0">
      <alignment horizontal="right"/>
    </xf>
    <xf numFmtId="189" fontId="0" fillId="8" borderId="0" pivotButton="0" quotePrefix="0" xfId="0"/>
    <xf numFmtId="189" fontId="0" fillId="8" borderId="11" pivotButton="0" quotePrefix="0" xfId="0"/>
    <xf numFmtId="189" fontId="27" fillId="8" borderId="0" pivotButton="0" quotePrefix="0" xfId="0"/>
    <xf numFmtId="167" fontId="26" fillId="8" borderId="3" pivotButton="0" quotePrefix="0" xfId="0"/>
    <xf numFmtId="165" fontId="32" fillId="8" borderId="0" pivotButton="0" quotePrefix="0" xfId="0"/>
    <xf numFmtId="165" fontId="32" fillId="8" borderId="11" pivotButton="0" quotePrefix="0" xfId="0"/>
    <xf numFmtId="165" fontId="62" fillId="8" borderId="0" pivotButton="0" quotePrefix="0" xfId="0"/>
    <xf numFmtId="165" fontId="41" fillId="8" borderId="0" pivotButton="0" quotePrefix="0" xfId="0"/>
    <xf numFmtId="165" fontId="41" fillId="8" borderId="11" pivotButton="0" quotePrefix="0" xfId="0"/>
    <xf numFmtId="167" fontId="26" fillId="8" borderId="0" applyAlignment="1" pivotButton="0" quotePrefix="0" xfId="0">
      <alignment horizontal="right"/>
    </xf>
    <xf numFmtId="167" fontId="26" fillId="8" borderId="11" applyAlignment="1" pivotButton="0" quotePrefix="0" xfId="0">
      <alignment horizontal="right"/>
    </xf>
    <xf numFmtId="167" fontId="26" fillId="8" borderId="14" applyAlignment="1" pivotButton="0" quotePrefix="0" xfId="0">
      <alignment horizontal="right"/>
    </xf>
    <xf numFmtId="167" fontId="26" fillId="8" borderId="26" applyAlignment="1" pivotButton="0" quotePrefix="0" xfId="0">
      <alignment horizontal="right"/>
    </xf>
    <xf numFmtId="176" fontId="26" fillId="8" borderId="11" applyAlignment="1" pivotButton="0" quotePrefix="0" xfId="0">
      <alignment horizontal="right"/>
    </xf>
    <xf numFmtId="167" fontId="61" fillId="8" borderId="30" pivotButton="0" quotePrefix="0" xfId="0"/>
    <xf numFmtId="17" fontId="32" fillId="8" borderId="0" applyAlignment="1" pivotButton="0" quotePrefix="0" xfId="32">
      <alignment horizontal="center"/>
    </xf>
    <xf numFmtId="17" fontId="33" fillId="8" borderId="0" applyAlignment="1" pivotButton="0" quotePrefix="0" xfId="32">
      <alignment horizontal="center"/>
    </xf>
    <xf numFmtId="17" fontId="33" fillId="8" borderId="11" applyAlignment="1" pivotButton="0" quotePrefix="0" xfId="32">
      <alignment horizontal="center"/>
    </xf>
    <xf numFmtId="167" fontId="28" fillId="8" borderId="0" applyAlignment="1" pivotButton="0" quotePrefix="0" xfId="32">
      <alignment horizontal="center"/>
    </xf>
    <xf numFmtId="167" fontId="28" fillId="8" borderId="11" applyAlignment="1" pivotButton="0" quotePrefix="0" xfId="32">
      <alignment horizontal="center"/>
    </xf>
    <xf numFmtId="182" fontId="26" fillId="8" borderId="0" applyAlignment="1" pivotButton="0" quotePrefix="0" xfId="32">
      <alignment horizontal="right"/>
    </xf>
    <xf numFmtId="182" fontId="26" fillId="8" borderId="11" applyAlignment="1" pivotButton="0" quotePrefix="0" xfId="32">
      <alignment horizontal="right"/>
    </xf>
    <xf numFmtId="182" fontId="26" fillId="8" borderId="0" pivotButton="0" quotePrefix="0" xfId="32"/>
    <xf numFmtId="167" fontId="27" fillId="8" borderId="3" applyAlignment="1" pivotButton="0" quotePrefix="0" xfId="32">
      <alignment horizontal="right"/>
    </xf>
    <xf numFmtId="167" fontId="27" fillId="8" borderId="28" applyAlignment="1" pivotButton="0" quotePrefix="0" xfId="32">
      <alignment horizontal="right"/>
    </xf>
    <xf numFmtId="167" fontId="27" fillId="8" borderId="3" pivotButton="0" quotePrefix="0" xfId="32"/>
    <xf numFmtId="176" fontId="26" fillId="8" borderId="8" pivotButton="0" quotePrefix="0" xfId="32"/>
    <xf numFmtId="176" fontId="26" fillId="8" borderId="30" pivotButton="0" quotePrefix="0" xfId="32"/>
    <xf numFmtId="167" fontId="27" fillId="8" borderId="11" pivotButton="0" quotePrefix="0" xfId="32"/>
    <xf numFmtId="167" fontId="27" fillId="8" borderId="28" pivotButton="0" quotePrefix="0" xfId="32"/>
    <xf numFmtId="167" fontId="26" fillId="8" borderId="0" pivotButton="0" quotePrefix="0" xfId="32"/>
    <xf numFmtId="167" fontId="26" fillId="8" borderId="11" pivotButton="0" quotePrefix="0" xfId="32"/>
    <xf numFmtId="165" fontId="27" fillId="8" borderId="0" applyAlignment="1" pivotButton="0" quotePrefix="0" xfId="32">
      <alignment horizontal="right"/>
    </xf>
    <xf numFmtId="165" fontId="27" fillId="8" borderId="11" applyAlignment="1" pivotButton="0" quotePrefix="0" xfId="32">
      <alignment horizontal="right"/>
    </xf>
    <xf numFmtId="165" fontId="27" fillId="8" borderId="3" applyAlignment="1" pivotButton="0" quotePrefix="0" xfId="32">
      <alignment horizontal="right"/>
    </xf>
    <xf numFmtId="165" fontId="27" fillId="8" borderId="28" applyAlignment="1" pivotButton="0" quotePrefix="0" xfId="32">
      <alignment horizontal="right"/>
    </xf>
    <xf numFmtId="165" fontId="26" fillId="8" borderId="8" applyAlignment="1" pivotButton="0" quotePrefix="0" xfId="32">
      <alignment horizontal="right"/>
    </xf>
    <xf numFmtId="165" fontId="26" fillId="8" borderId="30" applyAlignment="1" pivotButton="0" quotePrefix="0" xfId="32">
      <alignment horizontal="right"/>
    </xf>
    <xf numFmtId="165" fontId="26" fillId="8" borderId="0" applyAlignment="1" pivotButton="0" quotePrefix="0" xfId="32">
      <alignment horizontal="right"/>
    </xf>
    <xf numFmtId="165" fontId="26" fillId="8" borderId="11" applyAlignment="1" pivotButton="0" quotePrefix="0" xfId="32">
      <alignment horizontal="right"/>
    </xf>
    <xf numFmtId="167" fontId="26" fillId="8" borderId="8" pivotButton="0" quotePrefix="0" xfId="32"/>
    <xf numFmtId="167" fontId="26" fillId="8" borderId="30" pivotButton="0" quotePrefix="0" xfId="32"/>
    <xf numFmtId="172" fontId="26" fillId="8" borderId="0" pivotButton="0" quotePrefix="0" xfId="32"/>
    <xf numFmtId="172" fontId="26" fillId="8" borderId="11" pivotButton="0" quotePrefix="0" xfId="32"/>
    <xf numFmtId="165" fontId="26" fillId="8" borderId="11" applyAlignment="1" pivotButton="0" quotePrefix="0" xfId="32">
      <alignment horizontal="center"/>
    </xf>
    <xf numFmtId="165" fontId="27" fillId="8" borderId="3" pivotButton="0" quotePrefix="0" xfId="32"/>
    <xf numFmtId="165" fontId="27" fillId="8" borderId="8" applyAlignment="1" pivotButton="0" quotePrefix="0" xfId="32">
      <alignment horizontal="right"/>
    </xf>
    <xf numFmtId="165" fontId="27" fillId="8" borderId="30" applyAlignment="1" pivotButton="0" quotePrefix="0" xfId="32">
      <alignment horizontal="right"/>
    </xf>
    <xf numFmtId="165" fontId="27" fillId="8" borderId="8" pivotButton="0" quotePrefix="0" xfId="32"/>
    <xf numFmtId="170" fontId="26" fillId="8" borderId="0" applyAlignment="1" pivotButton="0" quotePrefix="0" xfId="32">
      <alignment horizontal="right"/>
    </xf>
    <xf numFmtId="170" fontId="26" fillId="8" borderId="11" applyAlignment="1" pivotButton="0" quotePrefix="0" xfId="32">
      <alignment horizontal="right"/>
    </xf>
    <xf numFmtId="168" fontId="26" fillId="8" borderId="0" pivotButton="0" quotePrefix="0" xfId="32"/>
    <xf numFmtId="168" fontId="26" fillId="8" borderId="11" pivotButton="0" quotePrefix="0" xfId="32"/>
    <xf numFmtId="169" fontId="26" fillId="8" borderId="0" applyAlignment="1" pivotButton="0" quotePrefix="0" xfId="32">
      <alignment horizontal="right"/>
    </xf>
    <xf numFmtId="169" fontId="26" fillId="8" borderId="11" applyAlignment="1" pivotButton="0" quotePrefix="0" xfId="32">
      <alignment horizontal="right"/>
    </xf>
    <xf numFmtId="171" fontId="26" fillId="8" borderId="0" applyAlignment="1" pivotButton="0" quotePrefix="0" xfId="32">
      <alignment horizontal="right"/>
    </xf>
    <xf numFmtId="171" fontId="26" fillId="8" borderId="11" applyAlignment="1" pivotButton="0" quotePrefix="0" xfId="32">
      <alignment horizontal="right"/>
    </xf>
    <xf numFmtId="169" fontId="27" fillId="8" borderId="0" applyAlignment="1" pivotButton="0" quotePrefix="0" xfId="32">
      <alignment horizontal="right"/>
    </xf>
    <xf numFmtId="169" fontId="27" fillId="8" borderId="11" applyAlignment="1" pivotButton="0" quotePrefix="0" xfId="32">
      <alignment horizontal="right"/>
    </xf>
    <xf numFmtId="165" fontId="27" fillId="8" borderId="11" pivotButton="0" quotePrefix="0" xfId="32"/>
    <xf numFmtId="164" fontId="2" fillId="5" borderId="0" applyAlignment="1" pivotButton="0" quotePrefix="1" xfId="31">
      <alignment horizontal="left" vertical="top" wrapText="1"/>
    </xf>
    <xf numFmtId="191" fontId="15" fillId="5" borderId="0" pivotButton="0" quotePrefix="0" xfId="31"/>
    <xf numFmtId="185" fontId="57" fillId="10" borderId="0" applyAlignment="1" pivotButton="0" quotePrefix="0" xfId="16">
      <alignment horizontal="center" vertical="center"/>
    </xf>
    <xf numFmtId="0" fontId="51" fillId="5" borderId="1" applyAlignment="1" pivotButton="0" quotePrefix="0" xfId="31">
      <alignment vertical="top" wrapText="1"/>
    </xf>
    <xf numFmtId="0" fontId="0" fillId="0" borderId="38" pivotButton="0" quotePrefix="0" xfId="0"/>
    <xf numFmtId="0" fontId="0" fillId="0" borderId="40" pivotButton="0" quotePrefix="0" xfId="0"/>
    <xf numFmtId="0" fontId="0" fillId="0" borderId="39" pivotButton="0" quotePrefix="0" xfId="0"/>
    <xf numFmtId="0" fontId="0" fillId="0" borderId="41" pivotButton="0" quotePrefix="0" xfId="0"/>
    <xf numFmtId="0" fontId="0" fillId="0" borderId="42" pivotButton="0" quotePrefix="0" xfId="0"/>
    <xf numFmtId="0" fontId="0" fillId="0" borderId="43" pivotButton="0" quotePrefix="0" xfId="0"/>
    <xf numFmtId="0" fontId="0" fillId="0" borderId="44" pivotButton="0" quotePrefix="0" xfId="0"/>
    <xf numFmtId="0" fontId="67" fillId="0" borderId="0" pivotButton="0" quotePrefix="0" xfId="0"/>
    <xf numFmtId="0" fontId="68" fillId="0" borderId="0" pivotButton="0" quotePrefix="0" xfId="0"/>
    <xf numFmtId="0" fontId="69" fillId="0" borderId="0" pivotButton="0" quotePrefix="0" xfId="0"/>
    <xf numFmtId="0" fontId="70" fillId="0" borderId="0" pivotButton="0" quotePrefix="0" xfId="0"/>
    <xf numFmtId="0" fontId="71" fillId="0" borderId="0" pivotButton="0" quotePrefix="0" xfId="0"/>
    <xf numFmtId="203" fontId="0" fillId="0" borderId="0" pivotButton="0" quotePrefix="0" xfId="0"/>
    <xf numFmtId="167" fontId="0" fillId="0" borderId="0" pivotButton="0" quotePrefix="0" xfId="0"/>
    <xf numFmtId="173" fontId="56" fillId="5" borderId="0" applyAlignment="1" pivotButton="0" quotePrefix="0" xfId="26">
      <alignment horizontal="left"/>
    </xf>
    <xf numFmtId="167" fontId="27" fillId="5" borderId="0" pivotButton="0" quotePrefix="0" xfId="0"/>
    <xf numFmtId="176" fontId="27" fillId="5" borderId="0" pivotButton="0" quotePrefix="0" xfId="0"/>
    <xf numFmtId="176" fontId="27" fillId="5" borderId="11" pivotButton="0" quotePrefix="0" xfId="0"/>
    <xf numFmtId="167" fontId="0" fillId="5" borderId="0" pivotButton="0" quotePrefix="0" xfId="0"/>
    <xf numFmtId="186" fontId="2" fillId="5" borderId="0" applyAlignment="1" pivotButton="0" quotePrefix="0" xfId="0">
      <alignment horizontal="left"/>
    </xf>
    <xf numFmtId="173" fontId="21" fillId="5" borderId="0" applyAlignment="1" pivotButton="0" quotePrefix="0" xfId="0">
      <alignment horizontal="center"/>
    </xf>
    <xf numFmtId="201" fontId="0" fillId="5" borderId="0" pivotButton="0" quotePrefix="0" xfId="0"/>
    <xf numFmtId="167" fontId="7" fillId="0" borderId="0" applyAlignment="1" pivotButton="0" quotePrefix="0" xfId="0">
      <alignment horizontal="center"/>
    </xf>
    <xf numFmtId="187" fontId="3" fillId="5" borderId="0" applyAlignment="1" pivotButton="0" quotePrefix="0" xfId="0">
      <alignment horizontal="left"/>
    </xf>
    <xf numFmtId="185" fontId="6" fillId="5" borderId="0" applyAlignment="1" pivotButton="0" quotePrefix="0" xfId="16">
      <alignment horizontal="center"/>
    </xf>
    <xf numFmtId="167" fontId="7" fillId="5" borderId="0" applyAlignment="1" pivotButton="0" quotePrefix="0" xfId="0">
      <alignment horizontal="center"/>
    </xf>
    <xf numFmtId="188" fontId="3" fillId="5" borderId="0" pivotButton="0" quotePrefix="0" xfId="0"/>
    <xf numFmtId="166" fontId="3" fillId="5" borderId="0" pivotButton="0" quotePrefix="0" xfId="0"/>
    <xf numFmtId="165" fontId="0" fillId="0" borderId="0" pivotButton="0" quotePrefix="0" xfId="0"/>
    <xf numFmtId="165" fontId="29" fillId="7" borderId="0" pivotButton="0" quotePrefix="0" xfId="0"/>
    <xf numFmtId="165" fontId="30" fillId="7" borderId="0" pivotButton="0" quotePrefix="0" xfId="0"/>
    <xf numFmtId="165" fontId="30" fillId="7" borderId="11" pivotButton="0" quotePrefix="0" xfId="0"/>
    <xf numFmtId="165" fontId="0" fillId="5" borderId="0" pivotButton="0" quotePrefix="0" xfId="0"/>
    <xf numFmtId="167" fontId="0" fillId="5" borderId="0" applyAlignment="1" pivotButton="0" quotePrefix="0" xfId="0">
      <alignment horizontal="left" indent="1"/>
    </xf>
    <xf numFmtId="167" fontId="27" fillId="5" borderId="0" applyAlignment="1" pivotButton="0" quotePrefix="0" xfId="0">
      <alignment horizontal="left" indent="4"/>
    </xf>
    <xf numFmtId="167" fontId="27" fillId="8" borderId="0" pivotButton="0" quotePrefix="0" xfId="0"/>
    <xf numFmtId="167" fontId="61" fillId="5" borderId="0" pivotButton="0" quotePrefix="0" xfId="0"/>
    <xf numFmtId="167" fontId="61" fillId="8" borderId="0" pivotButton="0" quotePrefix="0" xfId="0"/>
    <xf numFmtId="167" fontId="0" fillId="8" borderId="11" pivotButton="0" quotePrefix="0" xfId="0"/>
    <xf numFmtId="167" fontId="27" fillId="5" borderId="0" pivotButton="0" quotePrefix="0" xfId="32"/>
    <xf numFmtId="165" fontId="19" fillId="0" borderId="0" pivotButton="0" quotePrefix="0" xfId="0"/>
    <xf numFmtId="165" fontId="19" fillId="5" borderId="0" applyAlignment="1" pivotButton="0" quotePrefix="0" xfId="0">
      <alignment horizontal="left" indent="2"/>
    </xf>
    <xf numFmtId="165" fontId="25" fillId="5" borderId="0" applyAlignment="1" pivotButton="0" quotePrefix="0" xfId="0">
      <alignment horizontal="left" indent="4"/>
    </xf>
    <xf numFmtId="165" fontId="25" fillId="8" borderId="0" pivotButton="0" quotePrefix="0" xfId="0"/>
    <xf numFmtId="165" fontId="25" fillId="5" borderId="0" pivotButton="0" quotePrefix="0" xfId="0"/>
    <xf numFmtId="165" fontId="19" fillId="5" borderId="0" pivotButton="0" quotePrefix="0" xfId="0"/>
    <xf numFmtId="165" fontId="25" fillId="8" borderId="11" pivotButton="0" quotePrefix="0" xfId="0"/>
    <xf numFmtId="165" fontId="25" fillId="5" borderId="0" pivotButton="0" quotePrefix="0" xfId="32"/>
    <xf numFmtId="165" fontId="24" fillId="5" borderId="0" pivotButton="0" quotePrefix="0" xfId="16"/>
    <xf numFmtId="165" fontId="25" fillId="8" borderId="0" applyAlignment="1" pivotButton="0" quotePrefix="0" xfId="0">
      <alignment horizontal="right"/>
    </xf>
    <xf numFmtId="165" fontId="25" fillId="5" borderId="0" applyAlignment="1" pivotButton="0" quotePrefix="0" xfId="0">
      <alignment horizontal="right"/>
    </xf>
    <xf numFmtId="165" fontId="25" fillId="8" borderId="11" applyAlignment="1" pivotButton="0" quotePrefix="0" xfId="0">
      <alignment horizontal="right"/>
    </xf>
    <xf numFmtId="165" fontId="64" fillId="5" borderId="0" applyAlignment="1" pivotButton="0" quotePrefix="0" xfId="0">
      <alignment horizontal="right"/>
    </xf>
    <xf numFmtId="165" fontId="64" fillId="8" borderId="0" applyAlignment="1" pivotButton="0" quotePrefix="0" xfId="0">
      <alignment horizontal="right"/>
    </xf>
    <xf numFmtId="165" fontId="19" fillId="5" borderId="3" applyAlignment="1" pivotButton="0" quotePrefix="0" xfId="0">
      <alignment horizontal="left" indent="2"/>
    </xf>
    <xf numFmtId="165" fontId="24" fillId="5" borderId="3" pivotButton="0" quotePrefix="0" xfId="16"/>
    <xf numFmtId="165" fontId="25" fillId="8" borderId="3" applyAlignment="1" pivotButton="0" quotePrefix="0" xfId="0">
      <alignment horizontal="right"/>
    </xf>
    <xf numFmtId="165" fontId="25" fillId="5" borderId="3" applyAlignment="1" pivotButton="0" quotePrefix="0" xfId="0">
      <alignment horizontal="right"/>
    </xf>
    <xf numFmtId="165" fontId="25" fillId="8" borderId="28" applyAlignment="1" pivotButton="0" quotePrefix="0" xfId="0">
      <alignment horizontal="right"/>
    </xf>
    <xf numFmtId="165" fontId="64" fillId="5" borderId="3" applyAlignment="1" pivotButton="0" quotePrefix="0" xfId="0">
      <alignment horizontal="right"/>
    </xf>
    <xf numFmtId="165" fontId="64" fillId="8" borderId="3" applyAlignment="1" pivotButton="0" quotePrefix="0" xfId="0">
      <alignment horizontal="right"/>
    </xf>
    <xf numFmtId="167" fontId="7" fillId="0" borderId="0" pivotButton="0" quotePrefix="0" xfId="0"/>
    <xf numFmtId="167" fontId="7" fillId="5" borderId="8" applyAlignment="1" pivotButton="0" quotePrefix="0" xfId="0">
      <alignment horizontal="left"/>
    </xf>
    <xf numFmtId="167" fontId="26" fillId="5" borderId="8" applyAlignment="1" pivotButton="0" quotePrefix="0" xfId="0">
      <alignment horizontal="left" indent="4"/>
    </xf>
    <xf numFmtId="167" fontId="26" fillId="8" borderId="8" pivotButton="0" quotePrefix="0" xfId="0"/>
    <xf numFmtId="167" fontId="26" fillId="5" borderId="8" pivotButton="0" quotePrefix="0" xfId="0"/>
    <xf numFmtId="167" fontId="7" fillId="5" borderId="8" pivotButton="0" quotePrefix="0" xfId="0"/>
    <xf numFmtId="167" fontId="7" fillId="8" borderId="8" pivotButton="0" quotePrefix="0" xfId="0"/>
    <xf numFmtId="167" fontId="7" fillId="8" borderId="30" pivotButton="0" quotePrefix="0" xfId="0"/>
    <xf numFmtId="167" fontId="7" fillId="5" borderId="0" pivotButton="0" quotePrefix="0" xfId="0"/>
    <xf numFmtId="167" fontId="19" fillId="0" borderId="0" pivotButton="0" quotePrefix="0" xfId="0"/>
    <xf numFmtId="167" fontId="19" fillId="5" borderId="0" applyAlignment="1" pivotButton="0" quotePrefix="0" xfId="0">
      <alignment horizontal="left" indent="1"/>
    </xf>
    <xf numFmtId="167" fontId="25" fillId="5" borderId="0" applyAlignment="1" pivotButton="0" quotePrefix="0" xfId="0">
      <alignment horizontal="left" indent="4"/>
    </xf>
    <xf numFmtId="167" fontId="25" fillId="8" borderId="0" pivotButton="0" quotePrefix="0" xfId="0"/>
    <xf numFmtId="167" fontId="25" fillId="5" borderId="0" pivotButton="0" quotePrefix="0" xfId="0"/>
    <xf numFmtId="167" fontId="25" fillId="8" borderId="11" pivotButton="0" quotePrefix="0" xfId="0"/>
    <xf numFmtId="167" fontId="25" fillId="5" borderId="0" applyAlignment="1" pivotButton="0" quotePrefix="0" xfId="0">
      <alignment horizontal="right"/>
    </xf>
    <xf numFmtId="167" fontId="25" fillId="8" borderId="0" applyAlignment="1" pivotButton="0" quotePrefix="0" xfId="0">
      <alignment horizontal="right"/>
    </xf>
    <xf numFmtId="167" fontId="19" fillId="5" borderId="0" pivotButton="0" quotePrefix="0" xfId="0"/>
    <xf numFmtId="165" fontId="19" fillId="5" borderId="0" applyAlignment="1" pivotButton="0" quotePrefix="0" xfId="0">
      <alignment horizontal="left" indent="1"/>
    </xf>
    <xf numFmtId="165" fontId="25" fillId="5" borderId="0" applyAlignment="1" pivotButton="0" quotePrefix="0" xfId="0">
      <alignment horizontal="left" indent="1"/>
    </xf>
    <xf numFmtId="167" fontId="28" fillId="5" borderId="0" applyAlignment="1" pivotButton="0" quotePrefix="0" xfId="0">
      <alignment horizontal="left"/>
    </xf>
    <xf numFmtId="167" fontId="26" fillId="5" borderId="0" applyAlignment="1" pivotButton="0" quotePrefix="0" xfId="0">
      <alignment horizontal="left"/>
    </xf>
    <xf numFmtId="167" fontId="26" fillId="8" borderId="0" pivotButton="0" quotePrefix="0" xfId="0"/>
    <xf numFmtId="167" fontId="26" fillId="5" borderId="0" pivotButton="0" quotePrefix="0" xfId="0"/>
    <xf numFmtId="167" fontId="26" fillId="8" borderId="11" pivotButton="0" quotePrefix="0" xfId="0"/>
    <xf numFmtId="167" fontId="63" fillId="8" borderId="0" pivotButton="0" quotePrefix="0" xfId="0"/>
    <xf numFmtId="167" fontId="63" fillId="5" borderId="0" pivotButton="0" quotePrefix="0" xfId="0"/>
    <xf numFmtId="165" fontId="7" fillId="0" borderId="0" pivotButton="0" quotePrefix="0" xfId="0"/>
    <xf numFmtId="165" fontId="26" fillId="5" borderId="0" applyAlignment="1" pivotButton="0" quotePrefix="0" xfId="0">
      <alignment horizontal="left"/>
    </xf>
    <xf numFmtId="165" fontId="26" fillId="5" borderId="0" applyAlignment="1" pivotButton="0" quotePrefix="0" xfId="0">
      <alignment horizontal="left" indent="4"/>
    </xf>
    <xf numFmtId="165" fontId="26" fillId="8" borderId="0" pivotButton="0" quotePrefix="0" xfId="0"/>
    <xf numFmtId="165" fontId="26" fillId="5" borderId="0" pivotButton="0" quotePrefix="0" xfId="0"/>
    <xf numFmtId="165" fontId="26" fillId="8" borderId="11" pivotButton="0" quotePrefix="0" xfId="0"/>
    <xf numFmtId="165" fontId="7" fillId="5" borderId="0" pivotButton="0" quotePrefix="0" xfId="0"/>
    <xf numFmtId="167" fontId="29" fillId="7" borderId="0" pivotButton="0" quotePrefix="0" xfId="0"/>
    <xf numFmtId="167" fontId="30" fillId="7" borderId="0" pivotButton="0" quotePrefix="0" xfId="0"/>
    <xf numFmtId="167" fontId="30" fillId="7" borderId="11" pivotButton="0" quotePrefix="0" xfId="0"/>
    <xf numFmtId="176" fontId="26" fillId="5" borderId="0" applyAlignment="1" pivotButton="0" quotePrefix="0" xfId="0">
      <alignment horizontal="left"/>
    </xf>
    <xf numFmtId="167" fontId="26" fillId="5" borderId="0" applyAlignment="1" pivotButton="0" quotePrefix="0" xfId="0">
      <alignment horizontal="left" indent="4"/>
    </xf>
    <xf numFmtId="176" fontId="27" fillId="5" borderId="3" applyAlignment="1" pivotButton="0" quotePrefix="0" xfId="0">
      <alignment horizontal="left" indent="1"/>
    </xf>
    <xf numFmtId="167" fontId="27" fillId="5" borderId="3" applyAlignment="1" pivotButton="0" quotePrefix="0" xfId="0">
      <alignment horizontal="left" indent="4"/>
    </xf>
    <xf numFmtId="167" fontId="27" fillId="8" borderId="3" pivotButton="0" quotePrefix="0" xfId="0"/>
    <xf numFmtId="167" fontId="27" fillId="5" borderId="3" pivotButton="0" quotePrefix="0" xfId="0"/>
    <xf numFmtId="167" fontId="27" fillId="8" borderId="28" pivotButton="0" quotePrefix="0" xfId="0"/>
    <xf numFmtId="165" fontId="27" fillId="5" borderId="0" applyAlignment="1" pivotButton="0" quotePrefix="0" xfId="0">
      <alignment horizontal="left"/>
    </xf>
    <xf numFmtId="165" fontId="27" fillId="5" borderId="0" applyAlignment="1" pivotButton="0" quotePrefix="0" xfId="0">
      <alignment horizontal="left" indent="4"/>
    </xf>
    <xf numFmtId="165" fontId="27" fillId="8" borderId="0" pivotButton="0" quotePrefix="0" xfId="0"/>
    <xf numFmtId="165" fontId="27" fillId="5" borderId="0" pivotButton="0" quotePrefix="0" xfId="0"/>
    <xf numFmtId="165" fontId="27" fillId="8" borderId="11" pivotButton="0" quotePrefix="0" xfId="0"/>
    <xf numFmtId="165" fontId="24" fillId="5" borderId="0" applyAlignment="1" pivotButton="0" quotePrefix="0" xfId="0">
      <alignment horizontal="left" indent="1"/>
    </xf>
    <xf numFmtId="176" fontId="0" fillId="0" borderId="0" pivotButton="0" quotePrefix="0" xfId="0"/>
    <xf numFmtId="176" fontId="27" fillId="5" borderId="0" applyAlignment="1" pivotButton="0" quotePrefix="0" xfId="0">
      <alignment horizontal="left" indent="1"/>
    </xf>
    <xf numFmtId="176" fontId="27" fillId="5" borderId="0" applyAlignment="1" pivotButton="0" quotePrefix="0" xfId="0">
      <alignment horizontal="left" indent="4"/>
    </xf>
    <xf numFmtId="176" fontId="27" fillId="8" borderId="0" pivotButton="0" quotePrefix="0" xfId="0"/>
    <xf numFmtId="176" fontId="27" fillId="8" borderId="11" pivotButton="0" quotePrefix="0" xfId="0"/>
    <xf numFmtId="176" fontId="61" fillId="5" borderId="0" pivotButton="0" quotePrefix="0" xfId="0"/>
    <xf numFmtId="176" fontId="61" fillId="8" borderId="0" pivotButton="0" quotePrefix="0" xfId="0"/>
    <xf numFmtId="176" fontId="0" fillId="5" borderId="0" pivotButton="0" quotePrefix="0" xfId="0"/>
    <xf numFmtId="165" fontId="24" fillId="5" borderId="0" applyAlignment="1" pivotButton="0" quotePrefix="0" xfId="0">
      <alignment horizontal="left" indent="2"/>
    </xf>
    <xf numFmtId="167" fontId="27" fillId="8" borderId="11" pivotButton="0" quotePrefix="0" xfId="0"/>
    <xf numFmtId="176" fontId="27" fillId="5" borderId="0" applyAlignment="1" pivotButton="0" quotePrefix="0" xfId="0">
      <alignment horizontal="left"/>
    </xf>
    <xf numFmtId="167" fontId="27" fillId="5" borderId="0" applyAlignment="1" pivotButton="0" quotePrefix="0" xfId="0">
      <alignment horizontal="left" indent="1"/>
    </xf>
    <xf numFmtId="176" fontId="26" fillId="5" borderId="8" applyAlignment="1" pivotButton="0" quotePrefix="0" xfId="0">
      <alignment horizontal="left"/>
    </xf>
    <xf numFmtId="167" fontId="26" fillId="8" borderId="30" pivotButton="0" quotePrefix="0" xfId="0"/>
    <xf numFmtId="167" fontId="27" fillId="5" borderId="0" applyAlignment="1" pivotButton="0" quotePrefix="0" xfId="0">
      <alignment horizontal="left" indent="3"/>
    </xf>
    <xf numFmtId="167" fontId="27" fillId="5" borderId="3" applyAlignment="1" pivotButton="0" quotePrefix="0" xfId="0">
      <alignment horizontal="left" indent="1"/>
    </xf>
    <xf numFmtId="167" fontId="27" fillId="5" borderId="3" applyAlignment="1" pivotButton="0" quotePrefix="0" xfId="0">
      <alignment horizontal="left" indent="3"/>
    </xf>
    <xf numFmtId="167" fontId="61" fillId="8" borderId="3" pivotButton="0" quotePrefix="0" xfId="0"/>
    <xf numFmtId="167" fontId="61" fillId="5" borderId="3" pivotButton="0" quotePrefix="0" xfId="0"/>
    <xf numFmtId="167" fontId="26" fillId="5" borderId="8" applyAlignment="1" pivotButton="0" quotePrefix="0" xfId="0">
      <alignment horizontal="left"/>
    </xf>
    <xf numFmtId="167" fontId="26" fillId="5" borderId="8" applyAlignment="1" pivotButton="0" quotePrefix="0" xfId="0">
      <alignment horizontal="left" indent="3"/>
    </xf>
    <xf numFmtId="167" fontId="26" fillId="5" borderId="0" applyAlignment="1" pivotButton="0" quotePrefix="0" xfId="0">
      <alignment horizontal="left" indent="3"/>
    </xf>
    <xf numFmtId="202" fontId="27" fillId="0" borderId="0" pivotButton="0" quotePrefix="0" xfId="0"/>
    <xf numFmtId="202" fontId="2" fillId="5" borderId="0" applyAlignment="1" pivotButton="0" quotePrefix="0" xfId="0">
      <alignment horizontal="left"/>
    </xf>
    <xf numFmtId="202" fontId="27" fillId="5" borderId="0" applyAlignment="1" pivotButton="0" quotePrefix="0" xfId="0">
      <alignment horizontal="left" indent="3"/>
    </xf>
    <xf numFmtId="202" fontId="27" fillId="8" borderId="0" pivotButton="0" quotePrefix="0" xfId="0"/>
    <xf numFmtId="202" fontId="27" fillId="5" borderId="0" pivotButton="0" quotePrefix="0" xfId="0"/>
    <xf numFmtId="202" fontId="27" fillId="8" borderId="11" pivotButton="0" quotePrefix="0" xfId="0"/>
    <xf numFmtId="165" fontId="0" fillId="5" borderId="0" applyAlignment="1" pivotButton="0" quotePrefix="0" xfId="0">
      <alignment horizontal="left" indent="1"/>
    </xf>
    <xf numFmtId="165" fontId="61" fillId="5" borderId="0" pivotButton="0" quotePrefix="0" xfId="0"/>
    <xf numFmtId="165" fontId="0" fillId="8" borderId="0" pivotButton="0" quotePrefix="0" xfId="0"/>
    <xf numFmtId="165" fontId="0" fillId="8" borderId="11" pivotButton="0" quotePrefix="0" xfId="0"/>
    <xf numFmtId="165" fontId="61" fillId="8" borderId="0" pivotButton="0" quotePrefix="0" xfId="0"/>
    <xf numFmtId="165" fontId="0" fillId="5" borderId="0" applyAlignment="1" pivotButton="0" quotePrefix="0" xfId="0">
      <alignment horizontal="left" indent="2"/>
    </xf>
    <xf numFmtId="165" fontId="0" fillId="5" borderId="3" applyAlignment="1" pivotButton="0" quotePrefix="0" xfId="0">
      <alignment horizontal="left" indent="2"/>
    </xf>
    <xf numFmtId="165" fontId="27" fillId="5" borderId="3" applyAlignment="1" pivotButton="0" quotePrefix="0" xfId="0">
      <alignment horizontal="left" indent="4"/>
    </xf>
    <xf numFmtId="165" fontId="27" fillId="8" borderId="3" pivotButton="0" quotePrefix="0" xfId="0"/>
    <xf numFmtId="165" fontId="27" fillId="5" borderId="3" pivotButton="0" quotePrefix="0" xfId="0"/>
    <xf numFmtId="165" fontId="0" fillId="5" borderId="3" pivotButton="0" quotePrefix="0" xfId="0"/>
    <xf numFmtId="165" fontId="0" fillId="8" borderId="3" pivotButton="0" quotePrefix="0" xfId="0"/>
    <xf numFmtId="165" fontId="61" fillId="5" borderId="3" pivotButton="0" quotePrefix="0" xfId="0"/>
    <xf numFmtId="165" fontId="0" fillId="8" borderId="28" pivotButton="0" quotePrefix="0" xfId="0"/>
    <xf numFmtId="165" fontId="0" fillId="5" borderId="3" applyAlignment="1" pivotButton="0" quotePrefix="0" xfId="0">
      <alignment horizontal="left" indent="1"/>
    </xf>
    <xf numFmtId="165" fontId="61" fillId="8" borderId="3" pivotButton="0" quotePrefix="0" xfId="0"/>
    <xf numFmtId="165" fontId="7" fillId="5" borderId="8" applyAlignment="1" pivotButton="0" quotePrefix="0" xfId="0">
      <alignment horizontal="left"/>
    </xf>
    <xf numFmtId="165" fontId="26" fillId="5" borderId="8" applyAlignment="1" pivotButton="0" quotePrefix="0" xfId="0">
      <alignment horizontal="left" indent="4"/>
    </xf>
    <xf numFmtId="165" fontId="7" fillId="8" borderId="8" pivotButton="0" quotePrefix="0" xfId="0"/>
    <xf numFmtId="165" fontId="7" fillId="5" borderId="8" pivotButton="0" quotePrefix="0" xfId="0"/>
    <xf numFmtId="165" fontId="26" fillId="5" borderId="8" pivotButton="0" quotePrefix="0" xfId="0"/>
    <xf numFmtId="165" fontId="7" fillId="8" borderId="30" pivotButton="0" quotePrefix="0" xfId="0"/>
    <xf numFmtId="165" fontId="26" fillId="8" borderId="8" pivotButton="0" quotePrefix="0" xfId="0"/>
    <xf numFmtId="167" fontId="0" fillId="0" borderId="0" applyAlignment="1" pivotButton="0" quotePrefix="0" xfId="0">
      <alignment horizontal="left" indent="1"/>
    </xf>
    <xf numFmtId="167" fontId="27" fillId="5" borderId="0" applyAlignment="1" pivotButton="0" quotePrefix="0" xfId="0">
      <alignment horizontal="left" indent="2"/>
    </xf>
    <xf numFmtId="167" fontId="27" fillId="5" borderId="0" applyAlignment="1" pivotButton="0" quotePrefix="0" xfId="0">
      <alignment horizontal="left" indent="5"/>
    </xf>
    <xf numFmtId="167" fontId="27" fillId="8" borderId="0" applyAlignment="1" pivotButton="0" quotePrefix="0" xfId="0">
      <alignment horizontal="left" indent="1"/>
    </xf>
    <xf numFmtId="167" fontId="61" fillId="5" borderId="0" applyAlignment="1" pivotButton="0" quotePrefix="0" xfId="0">
      <alignment horizontal="left" indent="1"/>
    </xf>
    <xf numFmtId="167" fontId="61" fillId="8" borderId="0" applyAlignment="1" pivotButton="0" quotePrefix="0" xfId="0">
      <alignment horizontal="left" indent="1"/>
    </xf>
    <xf numFmtId="167" fontId="27" fillId="8" borderId="11" applyAlignment="1" pivotButton="0" quotePrefix="0" xfId="0">
      <alignment horizontal="left" indent="1"/>
    </xf>
    <xf numFmtId="167" fontId="27" fillId="5" borderId="3" applyAlignment="1" pivotButton="0" quotePrefix="0" xfId="0">
      <alignment horizontal="left" indent="2"/>
    </xf>
    <xf numFmtId="167" fontId="27" fillId="5" borderId="3" applyAlignment="1" pivotButton="0" quotePrefix="0" xfId="0">
      <alignment horizontal="left" indent="5"/>
    </xf>
    <xf numFmtId="167" fontId="27" fillId="8" borderId="3" applyAlignment="1" pivotButton="0" quotePrefix="0" xfId="0">
      <alignment horizontal="left" indent="1"/>
    </xf>
    <xf numFmtId="167" fontId="61" fillId="5" borderId="3" applyAlignment="1" pivotButton="0" quotePrefix="0" xfId="0">
      <alignment horizontal="left" indent="1"/>
    </xf>
    <xf numFmtId="167" fontId="61" fillId="8" borderId="3" applyAlignment="1" pivotButton="0" quotePrefix="0" xfId="0">
      <alignment horizontal="left" indent="1"/>
    </xf>
    <xf numFmtId="167" fontId="27" fillId="8" borderId="28" applyAlignment="1" pivotButton="0" quotePrefix="0" xfId="0">
      <alignment horizontal="left" indent="1"/>
    </xf>
    <xf numFmtId="167" fontId="63" fillId="8" borderId="8" pivotButton="0" quotePrefix="0" xfId="0"/>
    <xf numFmtId="176" fontId="2" fillId="5" borderId="0" applyAlignment="1" pivotButton="0" quotePrefix="0" xfId="16">
      <alignment horizontal="left" indent="1"/>
    </xf>
    <xf numFmtId="176" fontId="27" fillId="5" borderId="0" applyAlignment="1" pivotButton="0" quotePrefix="0" xfId="0">
      <alignment horizontal="left" indent="3"/>
    </xf>
    <xf numFmtId="176" fontId="0" fillId="8" borderId="0" pivotButton="0" quotePrefix="0" xfId="0"/>
    <xf numFmtId="176" fontId="0" fillId="8" borderId="11" pivotButton="0" quotePrefix="0" xfId="0"/>
    <xf numFmtId="165" fontId="2" fillId="5" borderId="0" applyAlignment="1" pivotButton="0" quotePrefix="0" xfId="16">
      <alignment horizontal="left" indent="1"/>
    </xf>
    <xf numFmtId="165" fontId="27" fillId="5" borderId="0" applyAlignment="1" pivotButton="0" quotePrefix="0" xfId="0">
      <alignment horizontal="left" indent="3"/>
    </xf>
    <xf numFmtId="165" fontId="61" fillId="8" borderId="11" pivotButton="0" quotePrefix="0" xfId="0"/>
    <xf numFmtId="167" fontId="2" fillId="5" borderId="0" applyAlignment="1" pivotButton="0" quotePrefix="0" xfId="16">
      <alignment horizontal="left" indent="2"/>
    </xf>
    <xf numFmtId="167" fontId="0" fillId="8" borderId="0" pivotButton="0" quotePrefix="0" xfId="0"/>
    <xf numFmtId="165" fontId="0" fillId="8" borderId="0" applyAlignment="1" pivotButton="0" quotePrefix="0" xfId="0">
      <alignment horizontal="right"/>
    </xf>
    <xf numFmtId="165" fontId="61" fillId="8" borderId="0" applyAlignment="1" pivotButton="0" quotePrefix="0" xfId="0">
      <alignment horizontal="right"/>
    </xf>
    <xf numFmtId="178" fontId="0" fillId="0" borderId="0" pivotButton="0" quotePrefix="0" xfId="0"/>
    <xf numFmtId="178" fontId="2" fillId="5" borderId="0" applyAlignment="1" pivotButton="0" quotePrefix="0" xfId="16">
      <alignment horizontal="left" indent="1"/>
    </xf>
    <xf numFmtId="178" fontId="27" fillId="5" borderId="0" applyAlignment="1" pivotButton="0" quotePrefix="0" xfId="0">
      <alignment horizontal="left" indent="3"/>
    </xf>
    <xf numFmtId="178" fontId="0" fillId="8" borderId="0" pivotButton="0" quotePrefix="0" xfId="0"/>
    <xf numFmtId="178" fontId="0" fillId="8" borderId="0" applyAlignment="1" pivotButton="0" quotePrefix="0" xfId="0">
      <alignment horizontal="right"/>
    </xf>
    <xf numFmtId="178" fontId="27" fillId="5" borderId="0" pivotButton="0" quotePrefix="0" xfId="0"/>
    <xf numFmtId="178" fontId="27" fillId="8" borderId="0" pivotButton="0" quotePrefix="0" xfId="0"/>
    <xf numFmtId="178" fontId="27" fillId="8" borderId="11" pivotButton="0" quotePrefix="0" xfId="0"/>
    <xf numFmtId="178" fontId="0" fillId="5" borderId="0" pivotButton="0" quotePrefix="0" xfId="0"/>
    <xf numFmtId="165" fontId="28" fillId="5" borderId="0" pivotButton="0" quotePrefix="0" xfId="16"/>
    <xf numFmtId="165" fontId="26" fillId="5" borderId="0" applyAlignment="1" pivotButton="0" quotePrefix="0" xfId="0">
      <alignment horizontal="left" indent="3"/>
    </xf>
    <xf numFmtId="167" fontId="0" fillId="5" borderId="3" applyAlignment="1" pivotButton="0" quotePrefix="0" xfId="0">
      <alignment horizontal="left" indent="1"/>
    </xf>
    <xf numFmtId="165" fontId="27" fillId="8" borderId="28" pivotButton="0" quotePrefix="0" xfId="0"/>
    <xf numFmtId="165" fontId="26" fillId="8" borderId="30" pivotButton="0" quotePrefix="0" xfId="0"/>
    <xf numFmtId="167" fontId="0" fillId="8" borderId="3" pivotButton="0" quotePrefix="0" xfId="0"/>
    <xf numFmtId="167" fontId="0" fillId="5" borderId="3" pivotButton="0" quotePrefix="0" xfId="0"/>
    <xf numFmtId="167" fontId="0" fillId="8" borderId="28" pivotButton="0" quotePrefix="0" xfId="0"/>
    <xf numFmtId="167" fontId="27" fillId="5" borderId="0" applyAlignment="1" pivotButton="0" quotePrefix="0" xfId="0">
      <alignment horizontal="left"/>
    </xf>
    <xf numFmtId="165" fontId="2" fillId="5" borderId="3" applyAlignment="1" pivotButton="0" quotePrefix="0" xfId="16">
      <alignment horizontal="left" indent="1"/>
    </xf>
    <xf numFmtId="165" fontId="27" fillId="5" borderId="3" applyAlignment="1" pivotButton="0" quotePrefix="0" xfId="0">
      <alignment horizontal="left" indent="3"/>
    </xf>
    <xf numFmtId="165" fontId="61" fillId="8" borderId="3" applyAlignment="1" pivotButton="0" quotePrefix="0" xfId="0">
      <alignment horizontal="right"/>
    </xf>
    <xf numFmtId="165" fontId="27" fillId="8" borderId="3" applyAlignment="1" pivotButton="0" quotePrefix="0" xfId="0">
      <alignment horizontal="right"/>
    </xf>
    <xf numFmtId="165" fontId="3" fillId="5" borderId="8" pivotButton="0" quotePrefix="0" xfId="16"/>
    <xf numFmtId="165" fontId="26" fillId="5" borderId="8" applyAlignment="1" pivotButton="0" quotePrefix="0" xfId="0">
      <alignment horizontal="left" indent="3"/>
    </xf>
    <xf numFmtId="165" fontId="21" fillId="5" borderId="0" applyAlignment="1" pivotButton="0" quotePrefix="0" xfId="16">
      <alignment horizontal="left"/>
    </xf>
    <xf numFmtId="176" fontId="21" fillId="5" borderId="0" pivotButton="0" quotePrefix="0" xfId="16"/>
    <xf numFmtId="165" fontId="24" fillId="5" borderId="0" applyAlignment="1" pivotButton="0" quotePrefix="0" xfId="16">
      <alignment horizontal="left" indent="1"/>
    </xf>
    <xf numFmtId="165" fontId="25" fillId="5" borderId="0" applyAlignment="1" pivotButton="0" quotePrefix="0" xfId="0">
      <alignment horizontal="left" indent="3"/>
    </xf>
    <xf numFmtId="165" fontId="64" fillId="8" borderId="0" pivotButton="0" quotePrefix="0" xfId="0"/>
    <xf numFmtId="165" fontId="64" fillId="5" borderId="0" pivotButton="0" quotePrefix="0" xfId="0"/>
    <xf numFmtId="176" fontId="27" fillId="8" borderId="0" applyAlignment="1" pivotButton="0" quotePrefix="0" xfId="0">
      <alignment horizontal="right"/>
    </xf>
    <xf numFmtId="176" fontId="61" fillId="8" borderId="0" applyAlignment="1" pivotButton="0" quotePrefix="0" xfId="0">
      <alignment horizontal="right"/>
    </xf>
    <xf numFmtId="176" fontId="21" fillId="5" borderId="0" applyAlignment="1" pivotButton="0" quotePrefix="0" xfId="16">
      <alignment horizontal="left" indent="1"/>
    </xf>
    <xf numFmtId="176" fontId="2" fillId="5" borderId="3" applyAlignment="1" pivotButton="0" quotePrefix="0" xfId="16">
      <alignment horizontal="left" indent="1"/>
    </xf>
    <xf numFmtId="176" fontId="27" fillId="5" borderId="3" applyAlignment="1" pivotButton="0" quotePrefix="0" xfId="0">
      <alignment horizontal="left" indent="3"/>
    </xf>
    <xf numFmtId="176" fontId="61" fillId="8" borderId="3" pivotButton="0" quotePrefix="0" xfId="0"/>
    <xf numFmtId="176" fontId="61" fillId="8" borderId="3" applyAlignment="1" pivotButton="0" quotePrefix="0" xfId="0">
      <alignment horizontal="right"/>
    </xf>
    <xf numFmtId="176" fontId="27" fillId="8" borderId="3" applyAlignment="1" pivotButton="0" quotePrefix="0" xfId="0">
      <alignment horizontal="right"/>
    </xf>
    <xf numFmtId="176" fontId="27" fillId="5" borderId="3" pivotButton="0" quotePrefix="0" xfId="0"/>
    <xf numFmtId="176" fontId="27" fillId="8" borderId="3" pivotButton="0" quotePrefix="0" xfId="0"/>
    <xf numFmtId="176" fontId="27" fillId="8" borderId="28" pivotButton="0" quotePrefix="0" xfId="0"/>
    <xf numFmtId="176" fontId="3" fillId="5" borderId="8" applyAlignment="1" pivotButton="0" quotePrefix="0" xfId="16">
      <alignment horizontal="left"/>
    </xf>
    <xf numFmtId="176" fontId="26" fillId="5" borderId="8" applyAlignment="1" pivotButton="0" quotePrefix="0" xfId="0">
      <alignment horizontal="left" indent="3"/>
    </xf>
    <xf numFmtId="176" fontId="7" fillId="8" borderId="8" pivotButton="0" quotePrefix="0" xfId="0"/>
    <xf numFmtId="176" fontId="26" fillId="5" borderId="8" pivotButton="0" quotePrefix="0" xfId="0"/>
    <xf numFmtId="176" fontId="26" fillId="8" borderId="8" pivotButton="0" quotePrefix="0" xfId="0"/>
    <xf numFmtId="176" fontId="26" fillId="8" borderId="30" pivotButton="0" quotePrefix="0" xfId="0"/>
    <xf numFmtId="176" fontId="7" fillId="0" borderId="8" pivotButton="0" quotePrefix="0" xfId="0"/>
    <xf numFmtId="176" fontId="28" fillId="5" borderId="8" applyAlignment="1" pivotButton="0" quotePrefix="0" xfId="16">
      <alignment horizontal="left"/>
    </xf>
    <xf numFmtId="176" fontId="26" fillId="8" borderId="8" applyAlignment="1" pivotButton="0" quotePrefix="0" xfId="0">
      <alignment horizontal="right"/>
    </xf>
    <xf numFmtId="176" fontId="7" fillId="5" borderId="8" pivotButton="0" quotePrefix="0" xfId="0"/>
    <xf numFmtId="176" fontId="7" fillId="0" borderId="0" pivotButton="0" quotePrefix="0" xfId="0"/>
    <xf numFmtId="176" fontId="28" fillId="5" borderId="0" applyAlignment="1" pivotButton="0" quotePrefix="0" xfId="16">
      <alignment horizontal="left"/>
    </xf>
    <xf numFmtId="176" fontId="26" fillId="5" borderId="0" applyAlignment="1" pivotButton="0" quotePrefix="0" xfId="0">
      <alignment horizontal="left" indent="3"/>
    </xf>
    <xf numFmtId="176" fontId="26" fillId="8" borderId="0" pivotButton="0" quotePrefix="0" xfId="0"/>
    <xf numFmtId="176" fontId="26" fillId="8" borderId="0" applyAlignment="1" pivotButton="0" quotePrefix="0" xfId="0">
      <alignment horizontal="right"/>
    </xf>
    <xf numFmtId="176" fontId="26" fillId="5" borderId="0" pivotButton="0" quotePrefix="0" xfId="0"/>
    <xf numFmtId="176" fontId="26" fillId="8" borderId="11" pivotButton="0" quotePrefix="0" xfId="0"/>
    <xf numFmtId="176" fontId="7" fillId="5" borderId="0" pivotButton="0" quotePrefix="0" xfId="0"/>
    <xf numFmtId="176" fontId="21" fillId="5" borderId="0" applyAlignment="1" pivotButton="0" quotePrefix="0" xfId="16">
      <alignment horizontal="left" indent="2"/>
    </xf>
    <xf numFmtId="176" fontId="21" fillId="5" borderId="8" applyAlignment="1" pivotButton="0" quotePrefix="0" xfId="16">
      <alignment horizontal="left" indent="1"/>
    </xf>
    <xf numFmtId="176" fontId="27" fillId="5" borderId="8" applyAlignment="1" pivotButton="0" quotePrefix="0" xfId="0">
      <alignment horizontal="left" indent="3"/>
    </xf>
    <xf numFmtId="176" fontId="27" fillId="8" borderId="8" pivotButton="0" quotePrefix="0" xfId="0"/>
    <xf numFmtId="176" fontId="27" fillId="8" borderId="8" applyAlignment="1" pivotButton="0" quotePrefix="0" xfId="0">
      <alignment horizontal="right"/>
    </xf>
    <xf numFmtId="176" fontId="27" fillId="5" borderId="8" pivotButton="0" quotePrefix="0" xfId="0"/>
    <xf numFmtId="176" fontId="27" fillId="8" borderId="30" pivotButton="0" quotePrefix="0" xfId="0"/>
    <xf numFmtId="167" fontId="21" fillId="5" borderId="0" applyAlignment="1" pivotButton="0" quotePrefix="0" xfId="16">
      <alignment horizontal="left" indent="1"/>
    </xf>
    <xf numFmtId="167" fontId="27" fillId="8" borderId="0" applyAlignment="1" pivotButton="0" quotePrefix="0" xfId="0">
      <alignment horizontal="right"/>
    </xf>
    <xf numFmtId="167" fontId="55" fillId="7" borderId="0" pivotButton="0" quotePrefix="0" xfId="0"/>
    <xf numFmtId="177" fontId="0" fillId="0" borderId="0" pivotButton="0" quotePrefix="0" xfId="0"/>
    <xf numFmtId="177" fontId="21" fillId="5" borderId="0" applyAlignment="1" pivotButton="0" quotePrefix="0" xfId="0">
      <alignment horizontal="left"/>
    </xf>
    <xf numFmtId="177" fontId="27" fillId="5" borderId="0" applyAlignment="1" pivotButton="0" quotePrefix="0" xfId="0">
      <alignment horizontal="left"/>
    </xf>
    <xf numFmtId="177" fontId="61" fillId="8" borderId="0" pivotButton="0" quotePrefix="0" xfId="0"/>
    <xf numFmtId="177" fontId="61" fillId="5" borderId="0" pivotButton="0" quotePrefix="0" xfId="0"/>
    <xf numFmtId="177" fontId="61" fillId="8" borderId="11" pivotButton="0" quotePrefix="0" xfId="0"/>
    <xf numFmtId="177" fontId="27" fillId="5" borderId="0" pivotButton="0" quotePrefix="0" xfId="0"/>
    <xf numFmtId="177" fontId="27" fillId="8" borderId="0" pivotButton="0" quotePrefix="0" xfId="0"/>
    <xf numFmtId="177" fontId="0" fillId="5" borderId="0" pivotButton="0" quotePrefix="0" xfId="0"/>
    <xf numFmtId="165" fontId="27" fillId="5" borderId="0" pivotButton="0" quotePrefix="0" xfId="32"/>
    <xf numFmtId="167" fontId="27" fillId="5" borderId="8" pivotButton="0" quotePrefix="0" xfId="0"/>
    <xf numFmtId="167" fontId="2" fillId="5" borderId="3" applyAlignment="1" pivotButton="0" quotePrefix="0" xfId="16">
      <alignment horizontal="left" indent="2"/>
    </xf>
    <xf numFmtId="167" fontId="2" fillId="5" borderId="8" applyAlignment="1" pivotButton="0" quotePrefix="0" xfId="16">
      <alignment horizontal="left" indent="1"/>
    </xf>
    <xf numFmtId="167" fontId="27" fillId="5" borderId="8" applyAlignment="1" pivotButton="0" quotePrefix="0" xfId="15">
      <alignment horizontal="left" indent="3"/>
    </xf>
    <xf numFmtId="167" fontId="0" fillId="8" borderId="8" pivotButton="0" quotePrefix="0" xfId="15"/>
    <xf numFmtId="167" fontId="27" fillId="5" borderId="8" pivotButton="0" quotePrefix="0" xfId="15"/>
    <xf numFmtId="167" fontId="27" fillId="8" borderId="8" pivotButton="0" quotePrefix="0" xfId="15"/>
    <xf numFmtId="167" fontId="27" fillId="8" borderId="30" pivotButton="0" quotePrefix="0" xfId="15"/>
    <xf numFmtId="167" fontId="2" fillId="5" borderId="0" applyAlignment="1" pivotButton="0" quotePrefix="0" xfId="16">
      <alignment horizontal="left" indent="1"/>
    </xf>
    <xf numFmtId="167" fontId="27" fillId="5" borderId="0" applyAlignment="1" pivotButton="0" quotePrefix="0" xfId="15">
      <alignment horizontal="left" indent="3"/>
    </xf>
    <xf numFmtId="167" fontId="61" fillId="8" borderId="0" pivotButton="0" quotePrefix="0" xfId="15"/>
    <xf numFmtId="167" fontId="27" fillId="5" borderId="0" pivotButton="0" quotePrefix="0" xfId="15"/>
    <xf numFmtId="167" fontId="27" fillId="8" borderId="0" pivotButton="0" quotePrefix="0" xfId="15"/>
    <xf numFmtId="167" fontId="27" fillId="8" borderId="11" pivotButton="0" quotePrefix="0" xfId="15"/>
    <xf numFmtId="167" fontId="2" fillId="5" borderId="3" applyAlignment="1" pivotButton="0" quotePrefix="0" xfId="16">
      <alignment horizontal="left" indent="1"/>
    </xf>
    <xf numFmtId="167" fontId="61" fillId="8" borderId="3" applyAlignment="1" pivotButton="0" quotePrefix="0" xfId="0">
      <alignment horizontal="right"/>
    </xf>
    <xf numFmtId="167" fontId="3" fillId="5" borderId="8" pivotButton="0" quotePrefix="0" xfId="16"/>
    <xf numFmtId="165" fontId="2" fillId="5" borderId="0" applyAlignment="1" pivotButton="0" quotePrefix="0" xfId="16">
      <alignment horizontal="left" indent="2"/>
    </xf>
    <xf numFmtId="165" fontId="2" fillId="5" borderId="3" applyAlignment="1" pivotButton="0" quotePrefix="0" xfId="16">
      <alignment horizontal="left" indent="2"/>
    </xf>
    <xf numFmtId="165" fontId="2" fillId="5" borderId="8" applyAlignment="1" pivotButton="0" quotePrefix="0" xfId="16">
      <alignment horizontal="left" indent="1"/>
    </xf>
    <xf numFmtId="165" fontId="0" fillId="8" borderId="3" applyAlignment="1" pivotButton="0" quotePrefix="0" xfId="0">
      <alignment horizontal="right"/>
    </xf>
    <xf numFmtId="165" fontId="27" fillId="5" borderId="0" applyAlignment="1" pivotButton="0" quotePrefix="0" xfId="0">
      <alignment horizontal="left" indent="1"/>
    </xf>
    <xf numFmtId="165" fontId="21" fillId="5" borderId="0" pivotButton="0" quotePrefix="0" xfId="16"/>
    <xf numFmtId="165" fontId="27" fillId="8" borderId="0" applyAlignment="1" pivotButton="0" quotePrefix="0" xfId="0">
      <alignment horizontal="right"/>
    </xf>
    <xf numFmtId="165" fontId="27" fillId="5" borderId="0" applyAlignment="1" pivotButton="0" quotePrefix="0" xfId="0">
      <alignment horizontal="right"/>
    </xf>
    <xf numFmtId="165" fontId="27" fillId="8" borderId="11" applyAlignment="1" pivotButton="0" quotePrefix="0" xfId="0">
      <alignment horizontal="right"/>
    </xf>
    <xf numFmtId="165" fontId="26" fillId="5" borderId="3" applyAlignment="1" pivotButton="0" quotePrefix="0" xfId="0">
      <alignment horizontal="left" indent="2"/>
    </xf>
    <xf numFmtId="165" fontId="28" fillId="5" borderId="3" pivotButton="0" quotePrefix="0" xfId="16"/>
    <xf numFmtId="165" fontId="26" fillId="8" borderId="3" applyAlignment="1" pivotButton="0" quotePrefix="0" xfId="0">
      <alignment horizontal="right"/>
    </xf>
    <xf numFmtId="165" fontId="26" fillId="5" borderId="3" applyAlignment="1" pivotButton="0" quotePrefix="0" xfId="0">
      <alignment horizontal="right"/>
    </xf>
    <xf numFmtId="165" fontId="26" fillId="8" borderId="28" applyAlignment="1" pivotButton="0" quotePrefix="0" xfId="0">
      <alignment horizontal="right"/>
    </xf>
    <xf numFmtId="165" fontId="26" fillId="5" borderId="0" applyAlignment="1" pivotButton="0" quotePrefix="0" xfId="0">
      <alignment horizontal="left" indent="1"/>
    </xf>
    <xf numFmtId="165" fontId="7" fillId="8" borderId="0" applyAlignment="1" pivotButton="0" quotePrefix="0" xfId="0">
      <alignment horizontal="right"/>
    </xf>
    <xf numFmtId="165" fontId="7" fillId="5" borderId="0" applyAlignment="1" pivotButton="0" quotePrefix="0" xfId="0">
      <alignment horizontal="right"/>
    </xf>
    <xf numFmtId="165" fontId="7" fillId="8" borderId="11" applyAlignment="1" pivotButton="0" quotePrefix="0" xfId="0">
      <alignment horizontal="right"/>
    </xf>
    <xf numFmtId="165" fontId="26" fillId="5" borderId="0" applyAlignment="1" pivotButton="0" quotePrefix="0" xfId="0">
      <alignment horizontal="right"/>
    </xf>
    <xf numFmtId="165" fontId="26" fillId="8" borderId="0" applyAlignment="1" pivotButton="0" quotePrefix="0" xfId="0">
      <alignment horizontal="right"/>
    </xf>
    <xf numFmtId="165" fontId="25" fillId="0" borderId="0" pivotButton="0" quotePrefix="0" xfId="0"/>
    <xf numFmtId="165" fontId="24" fillId="5" borderId="0" pivotButton="0" quotePrefix="0" xfId="0"/>
    <xf numFmtId="165" fontId="26" fillId="8" borderId="11" applyAlignment="1" pivotButton="0" quotePrefix="0" xfId="0">
      <alignment horizontal="right"/>
    </xf>
    <xf numFmtId="165" fontId="26" fillId="5" borderId="0" applyAlignment="1" pivotButton="0" quotePrefix="0" xfId="0">
      <alignment horizontal="left" indent="2"/>
    </xf>
    <xf numFmtId="165" fontId="26" fillId="5" borderId="8" applyAlignment="1" pivotButton="0" quotePrefix="0" xfId="0">
      <alignment horizontal="left" indent="1"/>
    </xf>
    <xf numFmtId="165" fontId="28" fillId="5" borderId="8" pivotButton="0" quotePrefix="0" xfId="16"/>
    <xf numFmtId="165" fontId="26" fillId="8" borderId="8" applyAlignment="1" pivotButton="0" quotePrefix="0" xfId="0">
      <alignment horizontal="right"/>
    </xf>
    <xf numFmtId="165" fontId="26" fillId="5" borderId="8" applyAlignment="1" pivotButton="0" quotePrefix="0" xfId="0">
      <alignment horizontal="right"/>
    </xf>
    <xf numFmtId="165" fontId="26" fillId="8" borderId="30" applyAlignment="1" pivotButton="0" quotePrefix="0" xfId="0">
      <alignment horizontal="right"/>
    </xf>
    <xf numFmtId="165" fontId="26" fillId="5" borderId="3" applyAlignment="1" pivotButton="0" quotePrefix="0" xfId="0">
      <alignment horizontal="left" indent="1"/>
    </xf>
    <xf numFmtId="165" fontId="26" fillId="5" borderId="8" applyAlignment="1" pivotButton="0" quotePrefix="0" xfId="0">
      <alignment horizontal="left"/>
    </xf>
    <xf numFmtId="165" fontId="25" fillId="8" borderId="0" applyAlignment="1" pivotButton="0" quotePrefix="0" xfId="0">
      <alignment horizontal="center"/>
    </xf>
    <xf numFmtId="167" fontId="7" fillId="5" borderId="0" applyAlignment="1" pivotButton="0" quotePrefix="0" xfId="0">
      <alignment horizontal="left"/>
    </xf>
    <xf numFmtId="167" fontId="7" fillId="8" borderId="11" pivotButton="0" quotePrefix="0" xfId="0"/>
    <xf numFmtId="167" fontId="61" fillId="8" borderId="28" pivotButton="0" quotePrefix="0" xfId="0"/>
    <xf numFmtId="167" fontId="0" fillId="5" borderId="10" applyAlignment="1" pivotButton="0" quotePrefix="0" xfId="0">
      <alignment horizontal="left" indent="1"/>
    </xf>
    <xf numFmtId="167" fontId="27" fillId="5" borderId="10" applyAlignment="1" pivotButton="0" quotePrefix="0" xfId="0">
      <alignment horizontal="left" indent="3"/>
    </xf>
    <xf numFmtId="167" fontId="0" fillId="8" borderId="10" pivotButton="0" quotePrefix="0" xfId="0"/>
    <xf numFmtId="167" fontId="0" fillId="5" borderId="10" pivotButton="0" quotePrefix="0" xfId="0"/>
    <xf numFmtId="167" fontId="27" fillId="5" borderId="10" pivotButton="0" quotePrefix="0" xfId="0"/>
    <xf numFmtId="167" fontId="61" fillId="5" borderId="10" pivotButton="0" quotePrefix="0" xfId="0"/>
    <xf numFmtId="167" fontId="27" fillId="8" borderId="37" pivotButton="0" quotePrefix="0" xfId="0"/>
    <xf numFmtId="167" fontId="27" fillId="8" borderId="10" pivotButton="0" quotePrefix="0" xfId="0"/>
    <xf numFmtId="167" fontId="0" fillId="5" borderId="0" applyAlignment="1" pivotButton="0" quotePrefix="0" xfId="0">
      <alignment horizontal="left" indent="3"/>
    </xf>
    <xf numFmtId="167" fontId="0" fillId="5" borderId="3" applyAlignment="1" pivotButton="0" quotePrefix="0" xfId="0">
      <alignment horizontal="left" indent="3"/>
    </xf>
    <xf numFmtId="167" fontId="0" fillId="5" borderId="0" applyAlignment="1" pivotButton="0" quotePrefix="0" xfId="0">
      <alignment horizontal="left" indent="2"/>
    </xf>
    <xf numFmtId="167" fontId="0" fillId="5" borderId="3" applyAlignment="1" pivotButton="0" quotePrefix="0" xfId="0">
      <alignment horizontal="left" indent="2"/>
    </xf>
    <xf numFmtId="167" fontId="61" fillId="5" borderId="8" pivotButton="0" quotePrefix="0" xfId="0"/>
    <xf numFmtId="167" fontId="7" fillId="8" borderId="0" pivotButton="0" quotePrefix="0" xfId="0"/>
    <xf numFmtId="167" fontId="7" fillId="5" borderId="10" applyAlignment="1" pivotButton="0" quotePrefix="0" xfId="0">
      <alignment horizontal="left"/>
    </xf>
    <xf numFmtId="167" fontId="26" fillId="5" borderId="10" applyAlignment="1" pivotButton="0" quotePrefix="0" xfId="0">
      <alignment horizontal="left" indent="3"/>
    </xf>
    <xf numFmtId="167" fontId="7" fillId="8" borderId="10" pivotButton="0" quotePrefix="0" xfId="0"/>
    <xf numFmtId="167" fontId="7" fillId="5" borderId="10" pivotButton="0" quotePrefix="0" xfId="0"/>
    <xf numFmtId="167" fontId="63" fillId="8" borderId="10" pivotButton="0" quotePrefix="0" xfId="0"/>
    <xf numFmtId="167" fontId="7" fillId="8" borderId="37" pivotButton="0" quotePrefix="0" xfId="0"/>
    <xf numFmtId="167" fontId="26" fillId="5" borderId="10" pivotButton="0" quotePrefix="0" xfId="0"/>
    <xf numFmtId="167" fontId="26" fillId="8" borderId="10" pivotButton="0" quotePrefix="0" xfId="0"/>
    <xf numFmtId="167" fontId="27" fillId="5" borderId="8" applyAlignment="1" pivotButton="0" quotePrefix="0" xfId="0">
      <alignment horizontal="left" indent="1"/>
    </xf>
    <xf numFmtId="167" fontId="27" fillId="8" borderId="8" pivotButton="0" quotePrefix="0" xfId="0"/>
    <xf numFmtId="167" fontId="27" fillId="8" borderId="30" pivotButton="0" quotePrefix="0" xfId="0"/>
    <xf numFmtId="167" fontId="21" fillId="2" borderId="0" pivotButton="0" quotePrefix="0" xfId="24"/>
    <xf numFmtId="167" fontId="21" fillId="2" borderId="0" applyAlignment="1" pivotButton="0" quotePrefix="0" xfId="24">
      <alignment horizontal="right"/>
    </xf>
    <xf numFmtId="167" fontId="21" fillId="2" borderId="11" applyAlignment="1" pivotButton="0" quotePrefix="0" xfId="24">
      <alignment horizontal="right"/>
    </xf>
    <xf numFmtId="167" fontId="25" fillId="0" borderId="0" pivotButton="0" quotePrefix="0" xfId="0"/>
    <xf numFmtId="167" fontId="24" fillId="5" borderId="0" applyAlignment="1" pivotButton="0" quotePrefix="0" xfId="0">
      <alignment horizontal="left" indent="1"/>
    </xf>
    <xf numFmtId="167" fontId="25" fillId="5" borderId="0" applyAlignment="1" pivotButton="0" quotePrefix="0" xfId="0">
      <alignment horizontal="left" indent="3"/>
    </xf>
    <xf numFmtId="167" fontId="24" fillId="5" borderId="0" pivotButton="0" quotePrefix="0" xfId="0"/>
    <xf numFmtId="167" fontId="0" fillId="5" borderId="8" applyAlignment="1" pivotButton="0" quotePrefix="0" xfId="0">
      <alignment horizontal="left" indent="1"/>
    </xf>
    <xf numFmtId="167" fontId="27" fillId="5" borderId="8" applyAlignment="1" pivotButton="0" quotePrefix="0" xfId="0">
      <alignment horizontal="left" indent="3"/>
    </xf>
    <xf numFmtId="167" fontId="0" fillId="8" borderId="8" pivotButton="0" quotePrefix="0" xfId="0"/>
    <xf numFmtId="167" fontId="0" fillId="5" borderId="8" pivotButton="0" quotePrefix="0" xfId="0"/>
    <xf numFmtId="167" fontId="0" fillId="8" borderId="30" pivotButton="0" quotePrefix="0" xfId="0"/>
    <xf numFmtId="167" fontId="25" fillId="5" borderId="0" applyAlignment="1" pivotButton="0" quotePrefix="0" xfId="0">
      <alignment horizontal="left" indent="1"/>
    </xf>
    <xf numFmtId="168" fontId="24" fillId="5" borderId="0" applyAlignment="1" pivotButton="0" quotePrefix="0" xfId="0">
      <alignment horizontal="left" indent="1"/>
    </xf>
    <xf numFmtId="167" fontId="24" fillId="8" borderId="0" pivotButton="0" quotePrefix="0" xfId="0"/>
    <xf numFmtId="167" fontId="24" fillId="5" borderId="8" applyAlignment="1" pivotButton="0" quotePrefix="0" xfId="0">
      <alignment horizontal="left" indent="1"/>
    </xf>
    <xf numFmtId="165" fontId="7" fillId="8" borderId="0" pivotButton="0" quotePrefix="0" xfId="0"/>
    <xf numFmtId="165" fontId="7" fillId="8" borderId="11" pivotButton="0" quotePrefix="0" xfId="0"/>
    <xf numFmtId="165" fontId="63" fillId="5" borderId="0" pivotButton="0" quotePrefix="0" xfId="0"/>
    <xf numFmtId="165" fontId="63" fillId="8" borderId="0" pivotButton="0" quotePrefix="0" xfId="0"/>
    <xf numFmtId="167" fontId="27" fillId="0" borderId="0" pivotButton="0" quotePrefix="0" xfId="0"/>
    <xf numFmtId="172" fontId="7" fillId="0" borderId="0" pivotButton="0" quotePrefix="0" xfId="0"/>
    <xf numFmtId="168" fontId="3" fillId="5" borderId="0" applyAlignment="1" pivotButton="0" quotePrefix="0" xfId="0">
      <alignment horizontal="left"/>
    </xf>
    <xf numFmtId="172" fontId="26" fillId="5" borderId="0" applyAlignment="1" pivotButton="0" quotePrefix="0" xfId="0">
      <alignment horizontal="left" indent="3"/>
    </xf>
    <xf numFmtId="172" fontId="7" fillId="8" borderId="0" pivotButton="0" quotePrefix="0" xfId="0"/>
    <xf numFmtId="172" fontId="7" fillId="5" borderId="0" pivotButton="0" quotePrefix="0" xfId="0"/>
    <xf numFmtId="172" fontId="7" fillId="8" borderId="11" pivotButton="0" quotePrefix="0" xfId="0"/>
    <xf numFmtId="172" fontId="26" fillId="5" borderId="0" pivotButton="0" quotePrefix="0" xfId="0"/>
    <xf numFmtId="172" fontId="26" fillId="8" borderId="0" pivotButton="0" quotePrefix="0" xfId="0"/>
    <xf numFmtId="172" fontId="19" fillId="0" borderId="0" pivotButton="0" quotePrefix="0" xfId="0"/>
    <xf numFmtId="168" fontId="5" fillId="5" borderId="0" applyAlignment="1" pivotButton="0" quotePrefix="0" xfId="0">
      <alignment horizontal="left" indent="1"/>
    </xf>
    <xf numFmtId="168" fontId="25" fillId="5" borderId="0" applyAlignment="1" pivotButton="0" quotePrefix="0" xfId="0">
      <alignment horizontal="left" indent="3"/>
    </xf>
    <xf numFmtId="168" fontId="25" fillId="8" borderId="0" pivotButton="0" quotePrefix="0" xfId="0"/>
    <xf numFmtId="168" fontId="25" fillId="5" borderId="0" pivotButton="0" quotePrefix="0" xfId="0"/>
    <xf numFmtId="168" fontId="25" fillId="8" borderId="11" pivotButton="0" quotePrefix="0" xfId="0"/>
    <xf numFmtId="168" fontId="25" fillId="5" borderId="0" applyAlignment="1" pivotButton="0" quotePrefix="0" xfId="0">
      <alignment horizontal="right"/>
    </xf>
    <xf numFmtId="168" fontId="25" fillId="8" borderId="0" applyAlignment="1" pivotButton="0" quotePrefix="0" xfId="0">
      <alignment horizontal="right"/>
    </xf>
    <xf numFmtId="172" fontId="19" fillId="5" borderId="0" pivotButton="0" quotePrefix="0" xfId="0"/>
    <xf numFmtId="168" fontId="28" fillId="5" borderId="0" applyAlignment="1" pivotButton="0" quotePrefix="0" xfId="0">
      <alignment horizontal="left"/>
    </xf>
    <xf numFmtId="172" fontId="26" fillId="8" borderId="11" pivotButton="0" quotePrefix="0" xfId="0"/>
    <xf numFmtId="167" fontId="61" fillId="8" borderId="11" pivotButton="0" quotePrefix="0" xfId="0"/>
    <xf numFmtId="169" fontId="19" fillId="0" borderId="0" pivotButton="0" quotePrefix="0" xfId="0"/>
    <xf numFmtId="169" fontId="25" fillId="5" borderId="0" pivotButton="0" quotePrefix="0" xfId="0"/>
    <xf numFmtId="169" fontId="25" fillId="5" borderId="0" applyAlignment="1" pivotButton="0" quotePrefix="0" xfId="0">
      <alignment horizontal="left" indent="3"/>
    </xf>
    <xf numFmtId="169" fontId="64" fillId="8" borderId="0" pivotButton="0" quotePrefix="0" xfId="0"/>
    <xf numFmtId="169" fontId="19" fillId="8" borderId="0" pivotButton="0" quotePrefix="0" xfId="0"/>
    <xf numFmtId="169" fontId="19" fillId="5" borderId="0" pivotButton="0" quotePrefix="0" xfId="0"/>
    <xf numFmtId="169" fontId="19" fillId="8" borderId="11" pivotButton="0" quotePrefix="0" xfId="0"/>
    <xf numFmtId="169" fontId="25" fillId="8" borderId="0" pivotButton="0" quotePrefix="0" xfId="0"/>
    <xf numFmtId="176" fontId="25" fillId="5" borderId="0" applyAlignment="1" pivotButton="0" quotePrefix="0" xfId="0">
      <alignment horizontal="left" indent="1"/>
    </xf>
    <xf numFmtId="176" fontId="25" fillId="5" borderId="3" applyAlignment="1" pivotButton="0" quotePrefix="0" xfId="0">
      <alignment horizontal="left" indent="1"/>
    </xf>
    <xf numFmtId="167" fontId="25" fillId="5" borderId="3" applyAlignment="1" pivotButton="0" quotePrefix="0" xfId="0">
      <alignment horizontal="left" indent="3"/>
    </xf>
    <xf numFmtId="165" fontId="25" fillId="8" borderId="3" pivotButton="0" quotePrefix="0" xfId="0"/>
    <xf numFmtId="165" fontId="25" fillId="5" borderId="3" pivotButton="0" quotePrefix="0" xfId="0"/>
    <xf numFmtId="165" fontId="25" fillId="8" borderId="28" pivotButton="0" quotePrefix="0" xfId="0"/>
    <xf numFmtId="176" fontId="25" fillId="5" borderId="0" applyAlignment="1" pivotButton="0" quotePrefix="0" xfId="0">
      <alignment horizontal="left"/>
    </xf>
    <xf numFmtId="198" fontId="61" fillId="8" borderId="0" pivotButton="0" quotePrefix="0" xfId="0"/>
    <xf numFmtId="198" fontId="27" fillId="5" borderId="0" pivotButton="0" quotePrefix="0" xfId="0"/>
    <xf numFmtId="198" fontId="27" fillId="8" borderId="11" pivotButton="0" quotePrefix="0" xfId="0"/>
    <xf numFmtId="198" fontId="27" fillId="8" borderId="0" pivotButton="0" quotePrefix="0" xfId="0"/>
    <xf numFmtId="199" fontId="25" fillId="8" borderId="0" pivotButton="0" quotePrefix="0" xfId="0"/>
    <xf numFmtId="199" fontId="25" fillId="5" borderId="0" pivotButton="0" quotePrefix="0" xfId="0"/>
    <xf numFmtId="199" fontId="25" fillId="8" borderId="11" pivotButton="0" quotePrefix="0" xfId="0"/>
    <xf numFmtId="199" fontId="64" fillId="5" borderId="0" pivotButton="0" quotePrefix="0" xfId="0"/>
    <xf numFmtId="199" fontId="64" fillId="8" borderId="0" pivotButton="0" quotePrefix="0" xfId="0"/>
    <xf numFmtId="168" fontId="7" fillId="0" borderId="0" pivotButton="0" quotePrefix="0" xfId="0"/>
    <xf numFmtId="168" fontId="26" fillId="5" borderId="0" applyAlignment="1" pivotButton="0" quotePrefix="0" xfId="0">
      <alignment horizontal="left" indent="3"/>
    </xf>
    <xf numFmtId="172" fontId="26" fillId="8" borderId="0" applyAlignment="1" pivotButton="0" quotePrefix="0" xfId="16">
      <alignment horizontal="right" indent="1"/>
    </xf>
    <xf numFmtId="172" fontId="26" fillId="8" borderId="0" pivotButton="0" quotePrefix="0" xfId="16"/>
    <xf numFmtId="172" fontId="26" fillId="5" borderId="0" pivotButton="0" quotePrefix="0" xfId="16"/>
    <xf numFmtId="172" fontId="26" fillId="8" borderId="11" pivotButton="0" quotePrefix="0" xfId="16"/>
    <xf numFmtId="168" fontId="7" fillId="5" borderId="0" pivotButton="0" quotePrefix="0" xfId="0"/>
    <xf numFmtId="168" fontId="25" fillId="0" borderId="0" pivotButton="0" quotePrefix="0" xfId="0"/>
    <xf numFmtId="168" fontId="24" fillId="5" borderId="0" pivotButton="0" quotePrefix="0" xfId="16"/>
    <xf numFmtId="167" fontId="3" fillId="5" borderId="0" pivotButton="0" quotePrefix="0" xfId="0"/>
    <xf numFmtId="174" fontId="0" fillId="0" borderId="0" pivotButton="0" quotePrefix="0" xfId="0"/>
    <xf numFmtId="174" fontId="2" fillId="5" borderId="0" pivotButton="0" quotePrefix="0" xfId="16"/>
    <xf numFmtId="174" fontId="27" fillId="5" borderId="0" applyAlignment="1" pivotButton="0" quotePrefix="0" xfId="0">
      <alignment horizontal="left" indent="3"/>
    </xf>
    <xf numFmtId="172" fontId="0" fillId="8" borderId="0" pivotButton="0" quotePrefix="0" xfId="0"/>
    <xf numFmtId="172" fontId="0" fillId="5" borderId="0" pivotButton="0" quotePrefix="0" xfId="0"/>
    <xf numFmtId="172" fontId="0" fillId="8" borderId="11" pivotButton="0" quotePrefix="0" xfId="0"/>
    <xf numFmtId="172" fontId="61" fillId="5" borderId="0" pivotButton="0" quotePrefix="0" xfId="0"/>
    <xf numFmtId="172" fontId="27" fillId="8" borderId="0" pivotButton="0" quotePrefix="0" xfId="0"/>
    <xf numFmtId="172" fontId="61" fillId="8" borderId="0" pivotButton="0" quotePrefix="0" xfId="0"/>
    <xf numFmtId="174" fontId="0" fillId="5" borderId="0" pivotButton="0" quotePrefix="0" xfId="0"/>
    <xf numFmtId="174" fontId="21" fillId="5" borderId="0" pivotButton="0" quotePrefix="0" xfId="16"/>
    <xf numFmtId="172" fontId="27" fillId="5" borderId="0" pivotButton="0" quotePrefix="0" xfId="0"/>
    <xf numFmtId="172" fontId="27" fillId="8" borderId="11" pivotButton="0" quotePrefix="0" xfId="0"/>
    <xf numFmtId="185" fontId="0" fillId="0" borderId="0" pivotButton="0" quotePrefix="0" xfId="0"/>
    <xf numFmtId="185" fontId="3" fillId="5" borderId="0" pivotButton="0" quotePrefix="0" xfId="16"/>
    <xf numFmtId="185" fontId="26" fillId="5" borderId="0" applyAlignment="1" pivotButton="0" quotePrefix="0" xfId="0">
      <alignment horizontal="left" indent="3"/>
    </xf>
    <xf numFmtId="185" fontId="26" fillId="8" borderId="0" pivotButton="0" quotePrefix="0" xfId="0"/>
    <xf numFmtId="185" fontId="26" fillId="5" borderId="0" pivotButton="0" quotePrefix="0" xfId="0"/>
    <xf numFmtId="185" fontId="26" fillId="8" borderId="11" pivotButton="0" quotePrefix="0" xfId="0"/>
    <xf numFmtId="185" fontId="63" fillId="5" borderId="0" pivotButton="0" quotePrefix="0" xfId="0"/>
    <xf numFmtId="185" fontId="63" fillId="8" borderId="0" pivotButton="0" quotePrefix="0" xfId="0"/>
    <xf numFmtId="185" fontId="0" fillId="5" borderId="0" pivotButton="0" quotePrefix="0" xfId="0"/>
    <xf numFmtId="167" fontId="0" fillId="5" borderId="15" applyAlignment="1" pivotButton="0" quotePrefix="0" xfId="0">
      <alignment horizontal="left" indent="1"/>
    </xf>
    <xf numFmtId="167" fontId="27" fillId="5" borderId="15" applyAlignment="1" pivotButton="0" quotePrefix="0" xfId="0">
      <alignment horizontal="left" indent="3"/>
    </xf>
    <xf numFmtId="167" fontId="0" fillId="8" borderId="15" pivotButton="0" quotePrefix="0" xfId="0"/>
    <xf numFmtId="167" fontId="0" fillId="5" borderId="15" pivotButton="0" quotePrefix="0" xfId="0"/>
    <xf numFmtId="167" fontId="0" fillId="8" borderId="24" pivotButton="0" quotePrefix="0" xfId="0"/>
    <xf numFmtId="167" fontId="27" fillId="5" borderId="15" pivotButton="0" quotePrefix="0" xfId="0"/>
    <xf numFmtId="167" fontId="27" fillId="8" borderId="15" pivotButton="0" quotePrefix="0" xfId="0"/>
    <xf numFmtId="167" fontId="27" fillId="5" borderId="0" applyAlignment="1" pivotButton="0" quotePrefix="0" xfId="0">
      <alignment horizontal="right"/>
    </xf>
    <xf numFmtId="167" fontId="27" fillId="8" borderId="11" applyAlignment="1" pivotButton="0" quotePrefix="0" xfId="0">
      <alignment horizontal="right"/>
    </xf>
    <xf numFmtId="165" fontId="63" fillId="5" borderId="0" applyAlignment="1" pivotButton="0" quotePrefix="0" xfId="0">
      <alignment horizontal="right"/>
    </xf>
    <xf numFmtId="165" fontId="63" fillId="8" borderId="0" applyAlignment="1" pivotButton="0" quotePrefix="0" xfId="0">
      <alignment horizontal="right"/>
    </xf>
    <xf numFmtId="169" fontId="26" fillId="8" borderId="0" applyAlignment="1" pivotButton="0" quotePrefix="0" xfId="0">
      <alignment horizontal="right"/>
    </xf>
    <xf numFmtId="169" fontId="26" fillId="5" borderId="0" applyAlignment="1" pivotButton="0" quotePrefix="0" xfId="0">
      <alignment horizontal="right"/>
    </xf>
    <xf numFmtId="169" fontId="26" fillId="8" borderId="11" applyAlignment="1" pivotButton="0" quotePrefix="0" xfId="0">
      <alignment horizontal="right"/>
    </xf>
    <xf numFmtId="169" fontId="7" fillId="0" borderId="0" pivotButton="0" quotePrefix="0" xfId="0"/>
    <xf numFmtId="169" fontId="3" fillId="5" borderId="0" pivotButton="0" quotePrefix="0" xfId="0"/>
    <xf numFmtId="169" fontId="26" fillId="5" borderId="0" applyAlignment="1" pivotButton="0" quotePrefix="0" xfId="0">
      <alignment horizontal="left" indent="3"/>
    </xf>
    <xf numFmtId="169" fontId="7" fillId="8" borderId="0" applyAlignment="1" pivotButton="0" quotePrefix="0" xfId="0">
      <alignment horizontal="right"/>
    </xf>
    <xf numFmtId="169" fontId="26" fillId="5" borderId="0" pivotButton="0" quotePrefix="0" xfId="0"/>
    <xf numFmtId="169" fontId="7" fillId="8" borderId="11" applyAlignment="1" pivotButton="0" quotePrefix="0" xfId="0">
      <alignment horizontal="right"/>
    </xf>
    <xf numFmtId="169" fontId="7" fillId="5" borderId="0" pivotButton="0" quotePrefix="0" xfId="0"/>
    <xf numFmtId="175" fontId="7" fillId="0" borderId="0" pivotButton="0" quotePrefix="0" xfId="0"/>
    <xf numFmtId="193" fontId="7" fillId="5" borderId="0" applyAlignment="1" pivotButton="0" quotePrefix="0" xfId="0">
      <alignment horizontal="left"/>
    </xf>
    <xf numFmtId="175" fontId="66" fillId="5" borderId="0" pivotButton="0" quotePrefix="0" xfId="16"/>
    <xf numFmtId="175" fontId="7" fillId="8" borderId="0" applyAlignment="1" pivotButton="0" quotePrefix="0" xfId="0">
      <alignment horizontal="right"/>
    </xf>
    <xf numFmtId="175" fontId="7" fillId="5" borderId="0" applyAlignment="1" pivotButton="0" quotePrefix="0" xfId="0">
      <alignment horizontal="right"/>
    </xf>
    <xf numFmtId="175" fontId="7" fillId="8" borderId="11" applyAlignment="1" pivotButton="0" quotePrefix="0" xfId="0">
      <alignment horizontal="right"/>
    </xf>
    <xf numFmtId="175" fontId="26" fillId="5" borderId="0" applyAlignment="1" pivotButton="0" quotePrefix="0" xfId="0">
      <alignment horizontal="right"/>
    </xf>
    <xf numFmtId="175" fontId="26" fillId="8" borderId="0" pivotButton="0" quotePrefix="0" xfId="0"/>
    <xf numFmtId="175" fontId="7" fillId="5" borderId="0" pivotButton="0" quotePrefix="0" xfId="0"/>
    <xf numFmtId="175" fontId="28" fillId="5" borderId="0" applyAlignment="1" pivotButton="0" quotePrefix="0" xfId="0">
      <alignment horizontal="left"/>
    </xf>
    <xf numFmtId="175" fontId="26" fillId="5" borderId="0" applyAlignment="1" pivotButton="0" quotePrefix="0" xfId="0">
      <alignment horizontal="left"/>
    </xf>
    <xf numFmtId="182" fontId="26" fillId="8" borderId="0" pivotButton="0" quotePrefix="0" xfId="0"/>
    <xf numFmtId="182" fontId="26" fillId="5" borderId="0" pivotButton="0" quotePrefix="0" xfId="0"/>
    <xf numFmtId="182" fontId="26" fillId="8" borderId="11" pivotButton="0" quotePrefix="0" xfId="0"/>
    <xf numFmtId="169" fontId="0" fillId="0" borderId="0" pivotButton="0" quotePrefix="0" xfId="0"/>
    <xf numFmtId="169" fontId="21" fillId="5" borderId="0" pivotButton="0" quotePrefix="0" xfId="0"/>
    <xf numFmtId="169" fontId="27" fillId="5" borderId="0" applyAlignment="1" pivotButton="0" quotePrefix="0" xfId="0">
      <alignment horizontal="left" indent="3"/>
    </xf>
    <xf numFmtId="169" fontId="27" fillId="8" borderId="0" applyAlignment="1" pivotButton="0" quotePrefix="0" xfId="0">
      <alignment horizontal="right"/>
    </xf>
    <xf numFmtId="169" fontId="27" fillId="5" borderId="0" applyAlignment="1" pivotButton="0" quotePrefix="0" xfId="0">
      <alignment horizontal="right"/>
    </xf>
    <xf numFmtId="169" fontId="27" fillId="5" borderId="0" pivotButton="0" quotePrefix="0" xfId="0"/>
    <xf numFmtId="169" fontId="27" fillId="8" borderId="11" applyAlignment="1" pivotButton="0" quotePrefix="0" xfId="0">
      <alignment horizontal="right"/>
    </xf>
    <xf numFmtId="169" fontId="0" fillId="5" borderId="0" pivotButton="0" quotePrefix="0" xfId="0"/>
    <xf numFmtId="169" fontId="2" fillId="5" borderId="0" pivotButton="0" quotePrefix="0" xfId="0"/>
    <xf numFmtId="169" fontId="0" fillId="8" borderId="0" applyAlignment="1" pivotButton="0" quotePrefix="0" xfId="0">
      <alignment horizontal="right"/>
    </xf>
    <xf numFmtId="169" fontId="0" fillId="8" borderId="11" applyAlignment="1" pivotButton="0" quotePrefix="0" xfId="0">
      <alignment horizontal="right"/>
    </xf>
    <xf numFmtId="165" fontId="0" fillId="5" borderId="0" applyAlignment="1" pivotButton="0" quotePrefix="0" xfId="0">
      <alignment horizontal="left"/>
    </xf>
    <xf numFmtId="165" fontId="0" fillId="8" borderId="11" applyAlignment="1" pivotButton="0" quotePrefix="0" xfId="0">
      <alignment horizontal="right"/>
    </xf>
    <xf numFmtId="175" fontId="0" fillId="0" borderId="0" pivotButton="0" quotePrefix="0" xfId="0"/>
    <xf numFmtId="175" fontId="0" fillId="5" borderId="0" applyAlignment="1" pivotButton="0" quotePrefix="0" xfId="0">
      <alignment horizontal="left" indent="1"/>
    </xf>
    <xf numFmtId="175" fontId="21" fillId="5" borderId="0" pivotButton="0" quotePrefix="0" xfId="16"/>
    <xf numFmtId="175" fontId="0" fillId="8" borderId="0" applyAlignment="1" pivotButton="0" quotePrefix="0" xfId="0">
      <alignment horizontal="right"/>
    </xf>
    <xf numFmtId="175" fontId="0" fillId="5" borderId="0" applyAlignment="1" pivotButton="0" quotePrefix="0" xfId="0">
      <alignment horizontal="right"/>
    </xf>
    <xf numFmtId="175" fontId="0" fillId="8" borderId="11" applyAlignment="1" pivotButton="0" quotePrefix="0" xfId="0">
      <alignment horizontal="right"/>
    </xf>
    <xf numFmtId="175" fontId="27" fillId="5" borderId="0" applyAlignment="1" pivotButton="0" quotePrefix="0" xfId="0">
      <alignment horizontal="right"/>
    </xf>
    <xf numFmtId="175" fontId="27" fillId="8" borderId="0" pivotButton="0" quotePrefix="0" xfId="0"/>
    <xf numFmtId="175" fontId="0" fillId="5" borderId="0" pivotButton="0" quotePrefix="0" xfId="0"/>
    <xf numFmtId="192" fontId="0" fillId="8" borderId="0" applyAlignment="1" pivotButton="0" quotePrefix="0" xfId="0">
      <alignment horizontal="right"/>
    </xf>
    <xf numFmtId="192" fontId="0" fillId="5" borderId="0" applyAlignment="1" pivotButton="0" quotePrefix="0" xfId="0">
      <alignment horizontal="right"/>
    </xf>
    <xf numFmtId="192" fontId="0" fillId="8" borderId="11" applyAlignment="1" pivotButton="0" quotePrefix="0" xfId="0">
      <alignment horizontal="right"/>
    </xf>
    <xf numFmtId="192" fontId="27" fillId="5" borderId="0" applyAlignment="1" pivotButton="0" quotePrefix="0" xfId="0">
      <alignment horizontal="right"/>
    </xf>
    <xf numFmtId="192" fontId="27" fillId="8" borderId="0" pivotButton="0" quotePrefix="0" xfId="0"/>
    <xf numFmtId="177" fontId="0" fillId="5" borderId="0" applyAlignment="1" pivotButton="0" quotePrefix="0" xfId="0">
      <alignment horizontal="left" indent="1"/>
    </xf>
    <xf numFmtId="177" fontId="21" fillId="5" borderId="0" pivotButton="0" quotePrefix="0" xfId="16"/>
    <xf numFmtId="177" fontId="0" fillId="8" borderId="0" applyAlignment="1" pivotButton="0" quotePrefix="0" xfId="0">
      <alignment horizontal="right"/>
    </xf>
    <xf numFmtId="177" fontId="0" fillId="5" borderId="0" applyAlignment="1" pivotButton="0" quotePrefix="0" xfId="0">
      <alignment horizontal="right"/>
    </xf>
    <xf numFmtId="177" fontId="0" fillId="8" borderId="11" applyAlignment="1" pivotButton="0" quotePrefix="0" xfId="0">
      <alignment horizontal="right"/>
    </xf>
    <xf numFmtId="177" fontId="27" fillId="5" borderId="0" applyAlignment="1" pivotButton="0" quotePrefix="0" xfId="0">
      <alignment horizontal="right"/>
    </xf>
    <xf numFmtId="189" fontId="0" fillId="8" borderId="0" pivotButton="0" quotePrefix="0" xfId="0"/>
    <xf numFmtId="189" fontId="0" fillId="5" borderId="0" pivotButton="0" quotePrefix="0" xfId="0"/>
    <xf numFmtId="189" fontId="0" fillId="8" borderId="11" pivotButton="0" quotePrefix="0" xfId="0"/>
    <xf numFmtId="189" fontId="27" fillId="5" borderId="0" pivotButton="0" quotePrefix="0" xfId="0"/>
    <xf numFmtId="189" fontId="27" fillId="8" borderId="0" pivotButton="0" quotePrefix="0" xfId="0"/>
    <xf numFmtId="167" fontId="7" fillId="5" borderId="0" applyAlignment="1" pivotButton="0" quotePrefix="0" xfId="0">
      <alignment horizontal="left" indent="1"/>
    </xf>
    <xf numFmtId="167" fontId="0" fillId="5" borderId="0" applyAlignment="1" pivotButton="0" quotePrefix="0" xfId="0">
      <alignment horizontal="left"/>
    </xf>
    <xf numFmtId="167" fontId="26" fillId="5" borderId="3" pivotButton="0" quotePrefix="0" xfId="0"/>
    <xf numFmtId="167" fontId="26" fillId="8" borderId="3" pivotButton="0" quotePrefix="0" xfId="0"/>
    <xf numFmtId="167" fontId="21" fillId="2" borderId="0" applyAlignment="1" pivotButton="0" quotePrefix="0" xfId="18">
      <alignment horizontal="right"/>
    </xf>
    <xf numFmtId="167" fontId="29" fillId="7" borderId="0" applyAlignment="1" pivotButton="0" quotePrefix="0" xfId="0">
      <alignment horizontal="left"/>
    </xf>
    <xf numFmtId="167" fontId="29" fillId="7" borderId="0" applyAlignment="1" pivotButton="0" quotePrefix="0" xfId="0">
      <alignment horizontal="left" indent="3"/>
    </xf>
    <xf numFmtId="167" fontId="29" fillId="7" borderId="11" pivotButton="0" quotePrefix="0" xfId="0"/>
    <xf numFmtId="165" fontId="7" fillId="5" borderId="0" applyAlignment="1" pivotButton="0" quotePrefix="0" xfId="0">
      <alignment horizontal="left" indent="1"/>
    </xf>
    <xf numFmtId="165" fontId="32" fillId="5" borderId="0" applyAlignment="1" pivotButton="0" quotePrefix="0" xfId="0">
      <alignment horizontal="left" indent="1"/>
    </xf>
    <xf numFmtId="165" fontId="32" fillId="5" borderId="0" applyAlignment="1" pivotButton="0" quotePrefix="0" xfId="0">
      <alignment horizontal="left" indent="3"/>
    </xf>
    <xf numFmtId="165" fontId="32" fillId="8" borderId="0" pivotButton="0" quotePrefix="0" xfId="0"/>
    <xf numFmtId="165" fontId="32" fillId="5" borderId="0" pivotButton="0" quotePrefix="0" xfId="0"/>
    <xf numFmtId="165" fontId="32" fillId="8" borderId="11" pivotButton="0" quotePrefix="0" xfId="0"/>
    <xf numFmtId="165" fontId="62" fillId="5" borderId="0" pivotButton="0" quotePrefix="0" xfId="0"/>
    <xf numFmtId="165" fontId="62" fillId="8" borderId="0" pivotButton="0" quotePrefix="0" xfId="0"/>
    <xf numFmtId="165" fontId="41" fillId="5" borderId="0" applyAlignment="1" pivotButton="0" quotePrefix="0" xfId="0">
      <alignment horizontal="left" indent="1"/>
    </xf>
    <xf numFmtId="165" fontId="41" fillId="8" borderId="0" pivotButton="0" quotePrefix="0" xfId="0"/>
    <xf numFmtId="165" fontId="41" fillId="5" borderId="0" pivotButton="0" quotePrefix="0" xfId="0"/>
    <xf numFmtId="165" fontId="41" fillId="8" borderId="11" pivotButton="0" quotePrefix="0" xfId="0"/>
    <xf numFmtId="167" fontId="29" fillId="7" borderId="0" applyAlignment="1" pivotButton="0" quotePrefix="0" xfId="0">
      <alignment horizontal="right"/>
    </xf>
    <xf numFmtId="167" fontId="29" fillId="7" borderId="11" applyAlignment="1" pivotButton="0" quotePrefix="0" xfId="0">
      <alignment horizontal="right"/>
    </xf>
    <xf numFmtId="167" fontId="26" fillId="8" borderId="0" applyAlignment="1" pivotButton="0" quotePrefix="0" xfId="0">
      <alignment horizontal="right"/>
    </xf>
    <xf numFmtId="167" fontId="26" fillId="5" borderId="0" applyAlignment="1" pivotButton="0" quotePrefix="0" xfId="0">
      <alignment horizontal="right"/>
    </xf>
    <xf numFmtId="167" fontId="26" fillId="8" borderId="11" applyAlignment="1" pivotButton="0" quotePrefix="0" xfId="0">
      <alignment horizontal="right"/>
    </xf>
    <xf numFmtId="167" fontId="26" fillId="5" borderId="14" applyAlignment="1" pivotButton="0" quotePrefix="0" xfId="0">
      <alignment horizontal="left"/>
    </xf>
    <xf numFmtId="167" fontId="26" fillId="5" borderId="14" applyAlignment="1" pivotButton="0" quotePrefix="0" xfId="0">
      <alignment horizontal="left" indent="3"/>
    </xf>
    <xf numFmtId="167" fontId="26" fillId="8" borderId="14" applyAlignment="1" pivotButton="0" quotePrefix="0" xfId="0">
      <alignment horizontal="right"/>
    </xf>
    <xf numFmtId="167" fontId="26" fillId="5" borderId="14" applyAlignment="1" pivotButton="0" quotePrefix="0" xfId="0">
      <alignment horizontal="right"/>
    </xf>
    <xf numFmtId="167" fontId="26" fillId="8" borderId="26" applyAlignment="1" pivotButton="0" quotePrefix="0" xfId="0">
      <alignment horizontal="right"/>
    </xf>
    <xf numFmtId="167" fontId="25" fillId="5" borderId="0" applyAlignment="1" pivotButton="0" quotePrefix="0" xfId="0">
      <alignment horizontal="left"/>
    </xf>
    <xf numFmtId="176" fontId="26" fillId="5" borderId="0" applyAlignment="1" pivotButton="0" quotePrefix="0" xfId="0">
      <alignment horizontal="right"/>
    </xf>
    <xf numFmtId="176" fontId="26" fillId="8" borderId="11" applyAlignment="1" pivotButton="0" quotePrefix="0" xfId="0">
      <alignment horizontal="right"/>
    </xf>
    <xf numFmtId="167" fontId="61" fillId="8" borderId="30" pivotButton="0" quotePrefix="0" xfId="0"/>
    <xf numFmtId="167" fontId="27" fillId="5" borderId="11" pivotButton="0" quotePrefix="0" xfId="0"/>
    <xf numFmtId="167" fontId="31" fillId="7" borderId="0" pivotButton="0" quotePrefix="0" xfId="0"/>
    <xf numFmtId="167" fontId="31" fillId="7" borderId="11" pivotButton="0" quotePrefix="0" xfId="0"/>
    <xf numFmtId="167" fontId="27" fillId="5" borderId="11" applyAlignment="1" pivotButton="0" quotePrefix="0" xfId="0">
      <alignment horizontal="right"/>
    </xf>
    <xf numFmtId="167" fontId="21" fillId="5" borderId="15" applyAlignment="1" pivotButton="0" quotePrefix="0" xfId="30">
      <alignment horizontal="left" indent="1"/>
    </xf>
    <xf numFmtId="167" fontId="21" fillId="5" borderId="0" pivotButton="0" quotePrefix="0" xfId="30"/>
    <xf numFmtId="167" fontId="28" fillId="5" borderId="19" pivotButton="0" quotePrefix="0" xfId="30"/>
    <xf numFmtId="176" fontId="27" fillId="5" borderId="13" pivotButton="0" quotePrefix="0" xfId="0"/>
    <xf numFmtId="176" fontId="21" fillId="5" borderId="0" pivotButton="0" quotePrefix="0" xfId="30"/>
    <xf numFmtId="200" fontId="21" fillId="5" borderId="20" applyAlignment="1" pivotButton="0" quotePrefix="0" xfId="30">
      <alignment horizontal="left" indent="1"/>
    </xf>
    <xf numFmtId="179" fontId="21" fillId="5" borderId="20" applyAlignment="1" pivotButton="0" quotePrefix="0" xfId="30">
      <alignment horizontal="left" indent="1"/>
    </xf>
    <xf numFmtId="180" fontId="21" fillId="5" borderId="20" applyAlignment="1" pivotButton="0" quotePrefix="0" xfId="30">
      <alignment horizontal="left" indent="1"/>
    </xf>
    <xf numFmtId="181" fontId="21" fillId="5" borderId="20" applyAlignment="1" pivotButton="0" quotePrefix="0" xfId="30">
      <alignment horizontal="left" indent="1"/>
    </xf>
    <xf numFmtId="184" fontId="21" fillId="5" borderId="23" applyAlignment="1" pivotButton="0" quotePrefix="0" xfId="30">
      <alignment horizontal="left" indent="1"/>
    </xf>
    <xf numFmtId="167" fontId="21" fillId="5" borderId="18" applyAlignment="1" pivotButton="0" quotePrefix="0" xfId="30">
      <alignment horizontal="left" indent="1"/>
    </xf>
    <xf numFmtId="176" fontId="27" fillId="5" borderId="15" pivotButton="0" quotePrefix="0" xfId="0"/>
    <xf numFmtId="167" fontId="28" fillId="5" borderId="9" pivotButton="0" quotePrefix="0" xfId="30"/>
    <xf numFmtId="167" fontId="21" fillId="5" borderId="6" applyAlignment="1" pivotButton="0" quotePrefix="0" xfId="30">
      <alignment horizontal="left" indent="1"/>
    </xf>
    <xf numFmtId="176" fontId="65" fillId="5" borderId="5" pivotButton="0" quotePrefix="0" xfId="30"/>
    <xf numFmtId="167" fontId="21" fillId="5" borderId="4" applyAlignment="1" pivotButton="0" quotePrefix="0" xfId="30">
      <alignment horizontal="left" indent="1"/>
    </xf>
    <xf numFmtId="176" fontId="65" fillId="5" borderId="2" pivotButton="0" quotePrefix="0" xfId="30"/>
    <xf numFmtId="167" fontId="21" fillId="5" borderId="14" applyAlignment="1" pivotButton="0" quotePrefix="0" xfId="30">
      <alignment horizontal="left" indent="1"/>
    </xf>
    <xf numFmtId="176" fontId="27" fillId="5" borderId="14" pivotButton="0" quotePrefix="0" xfId="0"/>
    <xf numFmtId="167" fontId="3" fillId="5" borderId="7" applyAlignment="1" pivotButton="0" quotePrefix="0" xfId="30">
      <alignment horizontal="left"/>
    </xf>
    <xf numFmtId="167" fontId="2" fillId="5" borderId="5" applyAlignment="1" pivotButton="0" quotePrefix="0" xfId="30">
      <alignment horizontal="left" indent="1"/>
    </xf>
    <xf numFmtId="167" fontId="21" fillId="5" borderId="2" applyAlignment="1" pivotButton="0" quotePrefix="0" xfId="30">
      <alignment horizontal="left" indent="1"/>
    </xf>
    <xf numFmtId="167" fontId="21" fillId="5" borderId="0" applyAlignment="1" pivotButton="0" quotePrefix="0" xfId="30">
      <alignment horizontal="left" indent="1"/>
    </xf>
    <xf numFmtId="167" fontId="28" fillId="5" borderId="7" applyAlignment="1" pivotButton="0" quotePrefix="0" xfId="30">
      <alignment horizontal="left"/>
    </xf>
    <xf numFmtId="167" fontId="21" fillId="5" borderId="5" applyAlignment="1" pivotButton="0" quotePrefix="0" xfId="30">
      <alignment horizontal="left" indent="1"/>
    </xf>
    <xf numFmtId="176" fontId="21" fillId="5" borderId="15" pivotButton="0" quotePrefix="0" xfId="30"/>
    <xf numFmtId="176" fontId="27" fillId="5" borderId="24" pivotButton="0" quotePrefix="0" xfId="0"/>
    <xf numFmtId="167" fontId="28" fillId="5" borderId="8" applyAlignment="1" pivotButton="0" quotePrefix="0" xfId="30">
      <alignment horizontal="left"/>
    </xf>
    <xf numFmtId="176" fontId="21" fillId="5" borderId="8" pivotButton="0" quotePrefix="0" xfId="30"/>
    <xf numFmtId="176" fontId="27" fillId="5" borderId="30" pivotButton="0" quotePrefix="0" xfId="0"/>
    <xf numFmtId="176" fontId="27" fillId="5" borderId="7" pivotButton="0" quotePrefix="0" xfId="0"/>
    <xf numFmtId="167" fontId="28" fillId="5" borderId="0" applyAlignment="1" pivotButton="0" quotePrefix="0" xfId="30">
      <alignment horizontal="left"/>
    </xf>
    <xf numFmtId="194" fontId="28" fillId="5" borderId="0" applyAlignment="1" pivotButton="0" quotePrefix="0" xfId="30">
      <alignment horizontal="right"/>
    </xf>
    <xf numFmtId="194" fontId="26" fillId="5" borderId="0" applyAlignment="1" pivotButton="0" quotePrefix="0" xfId="0">
      <alignment horizontal="right"/>
    </xf>
    <xf numFmtId="194" fontId="63" fillId="5" borderId="0" applyAlignment="1" pivotButton="0" quotePrefix="0" xfId="0">
      <alignment horizontal="right"/>
    </xf>
    <xf numFmtId="194" fontId="63" fillId="5" borderId="11" applyAlignment="1" pivotButton="0" quotePrefix="0" xfId="0">
      <alignment horizontal="right"/>
    </xf>
    <xf numFmtId="194" fontId="26" fillId="5" borderId="5" applyAlignment="1" pivotButton="0" quotePrefix="0" xfId="0">
      <alignment horizontal="right"/>
    </xf>
    <xf numFmtId="167" fontId="28" fillId="5" borderId="3" applyAlignment="1" pivotButton="0" quotePrefix="0" xfId="30">
      <alignment horizontal="left"/>
    </xf>
    <xf numFmtId="176" fontId="21" fillId="5" borderId="3" pivotButton="0" quotePrefix="0" xfId="30"/>
    <xf numFmtId="176" fontId="27" fillId="5" borderId="28" pivotButton="0" quotePrefix="0" xfId="0"/>
    <xf numFmtId="176" fontId="27" fillId="5" borderId="2" pivotButton="0" quotePrefix="0" xfId="0"/>
    <xf numFmtId="194" fontId="26" fillId="5" borderId="11" applyAlignment="1" pivotButton="0" quotePrefix="0" xfId="0">
      <alignment horizontal="right"/>
    </xf>
    <xf numFmtId="167" fontId="26" fillId="5" borderId="9" pivotButton="0" quotePrefix="0" xfId="0"/>
    <xf numFmtId="167" fontId="26" fillId="5" borderId="30" pivotButton="0" quotePrefix="0" xfId="0"/>
    <xf numFmtId="167" fontId="26" fillId="5" borderId="7" pivotButton="0" quotePrefix="0" xfId="0"/>
    <xf numFmtId="167" fontId="0" fillId="5" borderId="13" pivotButton="0" quotePrefix="0" xfId="0"/>
    <xf numFmtId="167" fontId="26" fillId="5" borderId="6" pivotButton="0" quotePrefix="0" xfId="0"/>
    <xf numFmtId="167" fontId="26" fillId="5" borderId="11" pivotButton="0" quotePrefix="0" xfId="0"/>
    <xf numFmtId="167" fontId="26" fillId="5" borderId="5" pivotButton="0" quotePrefix="0" xfId="0"/>
    <xf numFmtId="165" fontId="21" fillId="5" borderId="6" applyAlignment="1" pivotButton="0" quotePrefix="0" xfId="30">
      <alignment horizontal="left" indent="1"/>
    </xf>
    <xf numFmtId="165" fontId="21" fillId="5" borderId="0" pivotButton="0" quotePrefix="0" xfId="30"/>
    <xf numFmtId="165" fontId="27" fillId="5" borderId="11" pivotButton="0" quotePrefix="0" xfId="0"/>
    <xf numFmtId="165" fontId="27" fillId="5" borderId="5" pivotButton="0" quotePrefix="0" xfId="0"/>
    <xf numFmtId="165" fontId="0" fillId="5" borderId="13" pivotButton="0" quotePrefix="0" xfId="0"/>
    <xf numFmtId="167" fontId="27" fillId="5" borderId="5" pivotButton="0" quotePrefix="0" xfId="0"/>
    <xf numFmtId="168" fontId="0" fillId="0" borderId="0" pivotButton="0" quotePrefix="0" xfId="0"/>
    <xf numFmtId="168" fontId="21" fillId="5" borderId="6" applyAlignment="1" pivotButton="0" quotePrefix="0" xfId="30">
      <alignment horizontal="left" indent="1"/>
    </xf>
    <xf numFmtId="168" fontId="27" fillId="5" borderId="0" pivotButton="0" quotePrefix="0" xfId="0"/>
    <xf numFmtId="168" fontId="21" fillId="5" borderId="0" pivotButton="0" quotePrefix="0" xfId="16"/>
    <xf numFmtId="168" fontId="27" fillId="5" borderId="11" pivotButton="0" quotePrefix="0" xfId="0"/>
    <xf numFmtId="168" fontId="27" fillId="5" borderId="5" pivotButton="0" quotePrefix="0" xfId="0"/>
    <xf numFmtId="168" fontId="0" fillId="5" borderId="13" pivotButton="0" quotePrefix="0" xfId="0"/>
    <xf numFmtId="167" fontId="21" fillId="5" borderId="3" pivotButton="0" quotePrefix="0" xfId="30"/>
    <xf numFmtId="167" fontId="27" fillId="5" borderId="28" pivotButton="0" quotePrefix="0" xfId="0"/>
    <xf numFmtId="167" fontId="27" fillId="5" borderId="2" pivotButton="0" quotePrefix="0" xfId="0"/>
    <xf numFmtId="167" fontId="27" fillId="5" borderId="18" pivotButton="0" quotePrefix="0" xfId="0"/>
    <xf numFmtId="167" fontId="21" fillId="5" borderId="18" pivotButton="0" quotePrefix="0" xfId="30"/>
    <xf numFmtId="167" fontId="27" fillId="5" borderId="25" pivotButton="0" quotePrefix="0" xfId="0"/>
    <xf numFmtId="178" fontId="28" fillId="5" borderId="17" applyAlignment="1" pivotButton="0" quotePrefix="0" xfId="30">
      <alignment horizontal="left"/>
    </xf>
    <xf numFmtId="167" fontId="27" fillId="5" borderId="14" pivotButton="0" quotePrefix="0" xfId="0"/>
    <xf numFmtId="167" fontId="21" fillId="5" borderId="14" pivotButton="0" quotePrefix="0" xfId="30"/>
    <xf numFmtId="167" fontId="27" fillId="5" borderId="26" pivotButton="0" quotePrefix="0" xfId="0"/>
    <xf numFmtId="167" fontId="27" fillId="5" borderId="16" pivotButton="0" quotePrefix="0" xfId="0"/>
    <xf numFmtId="178" fontId="21" fillId="5" borderId="13" applyAlignment="1" pivotButton="0" quotePrefix="0" xfId="30">
      <alignment horizontal="left"/>
    </xf>
    <xf numFmtId="175" fontId="21" fillId="5" borderId="13" applyAlignment="1" pivotButton="0" quotePrefix="0" xfId="30">
      <alignment horizontal="left" indent="1"/>
    </xf>
    <xf numFmtId="175" fontId="27" fillId="5" borderId="0" pivotButton="0" quotePrefix="0" xfId="0"/>
    <xf numFmtId="175" fontId="21" fillId="5" borderId="0" pivotButton="0" quotePrefix="0" xfId="30"/>
    <xf numFmtId="175" fontId="27" fillId="5" borderId="11" pivotButton="0" quotePrefix="0" xfId="0"/>
    <xf numFmtId="175" fontId="27" fillId="5" borderId="12" pivotButton="0" quotePrefix="0" xfId="0"/>
    <xf numFmtId="175" fontId="0" fillId="5" borderId="13" pivotButton="0" quotePrefix="0" xfId="0"/>
    <xf numFmtId="175" fontId="21" fillId="5" borderId="13" applyAlignment="1" pivotButton="0" quotePrefix="0" xfId="30">
      <alignment horizontal="left" indent="2"/>
    </xf>
    <xf numFmtId="175" fontId="65" fillId="5" borderId="0" pivotButton="0" quotePrefix="0" xfId="30"/>
    <xf numFmtId="175" fontId="61" fillId="5" borderId="0" pivotButton="0" quotePrefix="0" xfId="0"/>
    <xf numFmtId="175" fontId="61" fillId="5" borderId="11" pivotButton="0" quotePrefix="0" xfId="0"/>
    <xf numFmtId="167" fontId="21" fillId="5" borderId="13" applyAlignment="1" pivotButton="0" quotePrefix="0" xfId="30">
      <alignment horizontal="left" indent="1"/>
    </xf>
    <xf numFmtId="167" fontId="27" fillId="5" borderId="12" pivotButton="0" quotePrefix="0" xfId="0"/>
    <xf numFmtId="177" fontId="21" fillId="5" borderId="13" applyAlignment="1" pivotButton="0" quotePrefix="0" xfId="30">
      <alignment horizontal="left" indent="1"/>
    </xf>
    <xf numFmtId="177" fontId="21" fillId="5" borderId="0" pivotButton="0" quotePrefix="0" xfId="30"/>
    <xf numFmtId="177" fontId="27" fillId="5" borderId="11" pivotButton="0" quotePrefix="0" xfId="0"/>
    <xf numFmtId="177" fontId="27" fillId="5" borderId="12" pivotButton="0" quotePrefix="0" xfId="0"/>
    <xf numFmtId="177" fontId="0" fillId="5" borderId="13" pivotButton="0" quotePrefix="0" xfId="0"/>
    <xf numFmtId="177" fontId="21" fillId="5" borderId="13" applyAlignment="1" pivotButton="0" quotePrefix="0" xfId="30">
      <alignment horizontal="left" indent="2"/>
    </xf>
    <xf numFmtId="177" fontId="65" fillId="5" borderId="0" pivotButton="0" quotePrefix="0" xfId="30"/>
    <xf numFmtId="177" fontId="61" fillId="5" borderId="11" pivotButton="0" quotePrefix="0" xfId="0"/>
    <xf numFmtId="192" fontId="65" fillId="5" borderId="0" pivotButton="0" quotePrefix="0" xfId="30"/>
    <xf numFmtId="192" fontId="61" fillId="5" borderId="0" pivotButton="0" quotePrefix="0" xfId="0"/>
    <xf numFmtId="192" fontId="61" fillId="5" borderId="11" pivotButton="0" quotePrefix="0" xfId="0"/>
    <xf numFmtId="192" fontId="27" fillId="5" borderId="0" pivotButton="0" quotePrefix="0" xfId="0"/>
    <xf numFmtId="192" fontId="27" fillId="5" borderId="12" pivotButton="0" quotePrefix="0" xfId="0"/>
    <xf numFmtId="167" fontId="21" fillId="5" borderId="27" applyAlignment="1" pivotButton="0" quotePrefix="0" xfId="30">
      <alignment horizontal="left" indent="1"/>
    </xf>
    <xf numFmtId="177" fontId="21" fillId="5" borderId="3" pivotButton="0" quotePrefix="0" xfId="30"/>
    <xf numFmtId="177" fontId="27" fillId="5" borderId="3" pivotButton="0" quotePrefix="0" xfId="0"/>
    <xf numFmtId="177" fontId="27" fillId="5" borderId="28" pivotButton="0" quotePrefix="0" xfId="0"/>
    <xf numFmtId="177" fontId="27" fillId="5" borderId="29" pivotButton="0" quotePrefix="0" xfId="0"/>
    <xf numFmtId="167" fontId="7" fillId="5" borderId="14" pivotButton="0" quotePrefix="0" xfId="0"/>
    <xf numFmtId="191" fontId="27" fillId="5" borderId="0" pivotButton="0" quotePrefix="0" xfId="0"/>
    <xf numFmtId="190" fontId="27" fillId="5" borderId="0" pivotButton="0" quotePrefix="0" xfId="0"/>
    <xf numFmtId="190" fontId="27" fillId="5" borderId="11" pivotButton="0" quotePrefix="0" xfId="0"/>
    <xf numFmtId="176" fontId="0" fillId="5" borderId="0" applyAlignment="1" pivotButton="0" quotePrefix="0" xfId="0">
      <alignment horizontal="left" indent="1"/>
    </xf>
    <xf numFmtId="176" fontId="0" fillId="5" borderId="15" applyAlignment="1" pivotButton="0" quotePrefix="0" xfId="0">
      <alignment horizontal="left" indent="1"/>
    </xf>
    <xf numFmtId="176" fontId="0" fillId="5" borderId="15" pivotButton="0" quotePrefix="0" xfId="0"/>
    <xf numFmtId="176" fontId="29" fillId="7" borderId="0" pivotButton="0" quotePrefix="0" xfId="0"/>
    <xf numFmtId="165" fontId="0" fillId="0" borderId="0" pivotButton="0" quotePrefix="0" xfId="32"/>
    <xf numFmtId="173" fontId="37" fillId="5" borderId="0" applyAlignment="1" pivotButton="0" quotePrefix="0" xfId="26">
      <alignment horizontal="left"/>
    </xf>
    <xf numFmtId="165" fontId="29" fillId="7" borderId="0" applyAlignment="1" pivotButton="0" quotePrefix="0" xfId="32">
      <alignment horizontal="center"/>
    </xf>
    <xf numFmtId="167" fontId="27" fillId="8" borderId="0" pivotButton="0" quotePrefix="0" xfId="32"/>
    <xf numFmtId="167" fontId="26" fillId="8" borderId="0" applyAlignment="1" pivotButton="0" quotePrefix="0" xfId="32">
      <alignment horizontal="center"/>
    </xf>
    <xf numFmtId="165" fontId="26" fillId="8" borderId="0" applyAlignment="1" pivotButton="0" quotePrefix="0" xfId="32">
      <alignment horizontal="center"/>
    </xf>
    <xf numFmtId="167" fontId="26" fillId="5" borderId="0" applyAlignment="1" pivotButton="0" quotePrefix="0" xfId="32">
      <alignment horizontal="center"/>
    </xf>
    <xf numFmtId="165" fontId="26" fillId="5" borderId="0" applyAlignment="1" pivotButton="0" quotePrefix="0" xfId="32">
      <alignment horizontal="center"/>
    </xf>
    <xf numFmtId="165" fontId="27" fillId="8" borderId="0" pivotButton="0" quotePrefix="0" xfId="32"/>
    <xf numFmtId="176" fontId="27" fillId="8" borderId="0" pivotButton="0" quotePrefix="0" xfId="32"/>
    <xf numFmtId="176" fontId="27" fillId="5" borderId="0" pivotButton="0" quotePrefix="0" xfId="32"/>
    <xf numFmtId="176" fontId="26" fillId="8" borderId="0" applyAlignment="1" pivotButton="0" quotePrefix="0" xfId="32">
      <alignment horizontal="center"/>
    </xf>
    <xf numFmtId="167" fontId="27" fillId="5" borderId="0" applyAlignment="1" pivotButton="0" quotePrefix="0" xfId="32">
      <alignment horizontal="center"/>
    </xf>
    <xf numFmtId="165" fontId="27" fillId="5" borderId="0" applyAlignment="1" pivotButton="0" quotePrefix="0" xfId="32">
      <alignment horizontal="center"/>
    </xf>
    <xf numFmtId="167" fontId="0" fillId="0" borderId="0" pivotButton="0" quotePrefix="0" xfId="32"/>
    <xf numFmtId="167" fontId="28" fillId="5" borderId="0" applyAlignment="1" pivotButton="0" quotePrefix="0" xfId="32">
      <alignment horizontal="left"/>
    </xf>
    <xf numFmtId="167" fontId="33" fillId="5" borderId="0" applyAlignment="1" pivotButton="0" quotePrefix="0" xfId="32">
      <alignment horizontal="center"/>
    </xf>
    <xf numFmtId="167" fontId="28" fillId="8" borderId="0" applyAlignment="1" pivotButton="0" quotePrefix="0" xfId="32">
      <alignment horizontal="center"/>
    </xf>
    <xf numFmtId="167" fontId="28" fillId="5" borderId="0" applyAlignment="1" pivotButton="0" quotePrefix="0" xfId="32">
      <alignment horizontal="center"/>
    </xf>
    <xf numFmtId="167" fontId="28" fillId="8" borderId="11" applyAlignment="1" pivotButton="0" quotePrefix="0" xfId="32">
      <alignment horizontal="center"/>
    </xf>
    <xf numFmtId="167" fontId="31" fillId="7" borderId="0" pivotButton="0" quotePrefix="0" xfId="32"/>
    <xf numFmtId="167" fontId="31" fillId="7" borderId="11" pivotButton="0" quotePrefix="0" xfId="32"/>
    <xf numFmtId="168" fontId="7" fillId="0" borderId="0" pivotButton="0" quotePrefix="0" xfId="32"/>
    <xf numFmtId="183" fontId="26" fillId="5" borderId="0" applyAlignment="1" pivotButton="0" quotePrefix="0" xfId="32">
      <alignment horizontal="left" indent="1"/>
    </xf>
    <xf numFmtId="167" fontId="26" fillId="5" borderId="0" applyAlignment="1" pivotButton="0" quotePrefix="0" xfId="32">
      <alignment horizontal="left"/>
    </xf>
    <xf numFmtId="182" fontId="26" fillId="8" borderId="0" applyAlignment="1" pivotButton="0" quotePrefix="0" xfId="32">
      <alignment horizontal="right"/>
    </xf>
    <xf numFmtId="182" fontId="26" fillId="5" borderId="0" applyAlignment="1" pivotButton="0" quotePrefix="0" xfId="32">
      <alignment horizontal="right"/>
    </xf>
    <xf numFmtId="182" fontId="26" fillId="8" borderId="11" applyAlignment="1" pivotButton="0" quotePrefix="0" xfId="32">
      <alignment horizontal="right"/>
    </xf>
    <xf numFmtId="182" fontId="26" fillId="8" borderId="0" pivotButton="0" quotePrefix="0" xfId="32"/>
    <xf numFmtId="168" fontId="26" fillId="5" borderId="0" pivotButton="0" quotePrefix="0" xfId="32"/>
    <xf numFmtId="167" fontId="27" fillId="5" borderId="3" applyAlignment="1" pivotButton="0" quotePrefix="0" xfId="32">
      <alignment horizontal="left" indent="1"/>
    </xf>
    <xf numFmtId="167" fontId="27" fillId="5" borderId="3" applyAlignment="1" pivotButton="0" quotePrefix="0" xfId="32">
      <alignment horizontal="left"/>
    </xf>
    <xf numFmtId="167" fontId="27" fillId="8" borderId="3" applyAlignment="1" pivotButton="0" quotePrefix="0" xfId="32">
      <alignment horizontal="right"/>
    </xf>
    <xf numFmtId="167" fontId="27" fillId="5" borderId="3" applyAlignment="1" pivotButton="0" quotePrefix="0" xfId="32">
      <alignment horizontal="right"/>
    </xf>
    <xf numFmtId="167" fontId="27" fillId="8" borderId="28" applyAlignment="1" pivotButton="0" quotePrefix="0" xfId="32">
      <alignment horizontal="right"/>
    </xf>
    <xf numFmtId="167" fontId="27" fillId="8" borderId="3" pivotButton="0" quotePrefix="0" xfId="32"/>
    <xf numFmtId="176" fontId="7" fillId="0" borderId="0" pivotButton="0" quotePrefix="0" xfId="32"/>
    <xf numFmtId="176" fontId="26" fillId="5" borderId="8" applyAlignment="1" pivotButton="0" quotePrefix="0" xfId="32">
      <alignment horizontal="left"/>
    </xf>
    <xf numFmtId="176" fontId="26" fillId="5" borderId="8" applyAlignment="1" pivotButton="0" quotePrefix="0" xfId="32">
      <alignment horizontal="left" indent="3"/>
    </xf>
    <xf numFmtId="176" fontId="26" fillId="8" borderId="8" pivotButton="0" quotePrefix="0" xfId="32"/>
    <xf numFmtId="176" fontId="26" fillId="5" borderId="8" pivotButton="0" quotePrefix="0" xfId="32"/>
    <xf numFmtId="176" fontId="26" fillId="8" borderId="30" pivotButton="0" quotePrefix="0" xfId="32"/>
    <xf numFmtId="176" fontId="26" fillId="5" borderId="0" pivotButton="0" quotePrefix="0" xfId="32"/>
    <xf numFmtId="167" fontId="27" fillId="5" borderId="0" applyAlignment="1" pivotButton="0" quotePrefix="0" xfId="32">
      <alignment horizontal="left" indent="1"/>
    </xf>
    <xf numFmtId="167" fontId="27" fillId="5" borderId="0" applyAlignment="1" pivotButton="0" quotePrefix="0" xfId="32">
      <alignment horizontal="left" indent="3"/>
    </xf>
    <xf numFmtId="167" fontId="27" fillId="8" borderId="11" pivotButton="0" quotePrefix="0" xfId="32"/>
    <xf numFmtId="167" fontId="27" fillId="5" borderId="3" applyAlignment="1" pivotButton="0" quotePrefix="0" xfId="32">
      <alignment horizontal="left" indent="3"/>
    </xf>
    <xf numFmtId="167" fontId="27" fillId="5" borderId="3" pivotButton="0" quotePrefix="0" xfId="32"/>
    <xf numFmtId="167" fontId="27" fillId="8" borderId="28" pivotButton="0" quotePrefix="0" xfId="32"/>
    <xf numFmtId="167" fontId="7" fillId="0" borderId="0" pivotButton="0" quotePrefix="0" xfId="32"/>
    <xf numFmtId="167" fontId="26" fillId="5" borderId="0" applyAlignment="1" pivotButton="0" quotePrefix="0" xfId="32">
      <alignment horizontal="left" indent="3"/>
    </xf>
    <xf numFmtId="167" fontId="26" fillId="8" borderId="0" pivotButton="0" quotePrefix="0" xfId="32"/>
    <xf numFmtId="167" fontId="26" fillId="5" borderId="0" pivotButton="0" quotePrefix="0" xfId="32"/>
    <xf numFmtId="167" fontId="26" fillId="8" borderId="11" pivotButton="0" quotePrefix="0" xfId="32"/>
    <xf numFmtId="167" fontId="30" fillId="7" borderId="0" pivotButton="0" quotePrefix="0" xfId="32"/>
    <xf numFmtId="167" fontId="30" fillId="7" borderId="11" pivotButton="0" quotePrefix="0" xfId="32"/>
    <xf numFmtId="165" fontId="27" fillId="5" borderId="0" applyAlignment="1" pivotButton="0" quotePrefix="0" xfId="32">
      <alignment horizontal="left" indent="1"/>
    </xf>
    <xf numFmtId="165" fontId="21" fillId="5" borderId="0" pivotButton="0" quotePrefix="0" xfId="23"/>
    <xf numFmtId="165" fontId="27" fillId="8" borderId="0" applyAlignment="1" pivotButton="0" quotePrefix="0" xfId="32">
      <alignment horizontal="right"/>
    </xf>
    <xf numFmtId="165" fontId="27" fillId="5" borderId="0" applyAlignment="1" pivotButton="0" quotePrefix="0" xfId="32">
      <alignment horizontal="right"/>
    </xf>
    <xf numFmtId="165" fontId="27" fillId="8" borderId="11" applyAlignment="1" pivotButton="0" quotePrefix="0" xfId="32">
      <alignment horizontal="right"/>
    </xf>
    <xf numFmtId="165" fontId="27" fillId="5" borderId="3" applyAlignment="1" pivotButton="0" quotePrefix="0" xfId="32">
      <alignment horizontal="left" indent="1"/>
    </xf>
    <xf numFmtId="165" fontId="21" fillId="5" borderId="3" pivotButton="0" quotePrefix="0" xfId="23"/>
    <xf numFmtId="165" fontId="27" fillId="8" borderId="3" applyAlignment="1" pivotButton="0" quotePrefix="0" xfId="32">
      <alignment horizontal="right"/>
    </xf>
    <xf numFmtId="165" fontId="27" fillId="5" borderId="3" applyAlignment="1" pivotButton="0" quotePrefix="0" xfId="32">
      <alignment horizontal="right"/>
    </xf>
    <xf numFmtId="165" fontId="27" fillId="8" borderId="28" applyAlignment="1" pivotButton="0" quotePrefix="0" xfId="32">
      <alignment horizontal="right"/>
    </xf>
    <xf numFmtId="165" fontId="7" fillId="0" borderId="0" pivotButton="0" quotePrefix="0" xfId="32"/>
    <xf numFmtId="165" fontId="26" fillId="5" borderId="8" applyAlignment="1" pivotButton="0" quotePrefix="0" xfId="32">
      <alignment horizontal="left"/>
    </xf>
    <xf numFmtId="165" fontId="28" fillId="5" borderId="8" pivotButton="0" quotePrefix="0" xfId="23"/>
    <xf numFmtId="165" fontId="26" fillId="8" borderId="8" applyAlignment="1" pivotButton="0" quotePrefix="0" xfId="32">
      <alignment horizontal="right"/>
    </xf>
    <xf numFmtId="165" fontId="26" fillId="5" borderId="8" applyAlignment="1" pivotButton="0" quotePrefix="0" xfId="32">
      <alignment horizontal="right"/>
    </xf>
    <xf numFmtId="165" fontId="26" fillId="8" borderId="30" applyAlignment="1" pivotButton="0" quotePrefix="0" xfId="32">
      <alignment horizontal="right"/>
    </xf>
    <xf numFmtId="165" fontId="26" fillId="5" borderId="0" pivotButton="0" quotePrefix="0" xfId="32"/>
    <xf numFmtId="165" fontId="26" fillId="5" borderId="0" applyAlignment="1" pivotButton="0" quotePrefix="0" xfId="32">
      <alignment horizontal="left"/>
    </xf>
    <xf numFmtId="165" fontId="28" fillId="5" borderId="0" pivotButton="0" quotePrefix="0" xfId="23"/>
    <xf numFmtId="165" fontId="26" fillId="8" borderId="0" applyAlignment="1" pivotButton="0" quotePrefix="0" xfId="32">
      <alignment horizontal="right"/>
    </xf>
    <xf numFmtId="165" fontId="26" fillId="5" borderId="0" applyAlignment="1" pivotButton="0" quotePrefix="0" xfId="32">
      <alignment horizontal="right"/>
    </xf>
    <xf numFmtId="165" fontId="26" fillId="8" borderId="11" applyAlignment="1" pivotButton="0" quotePrefix="0" xfId="32">
      <alignment horizontal="right"/>
    </xf>
    <xf numFmtId="167" fontId="26" fillId="5" borderId="8" applyAlignment="1" pivotButton="0" quotePrefix="0" xfId="32">
      <alignment horizontal="left"/>
    </xf>
    <xf numFmtId="167" fontId="26" fillId="5" borderId="8" applyAlignment="1" pivotButton="0" quotePrefix="0" xfId="32">
      <alignment horizontal="left" indent="3"/>
    </xf>
    <xf numFmtId="167" fontId="26" fillId="8" borderId="8" pivotButton="0" quotePrefix="0" xfId="32"/>
    <xf numFmtId="167" fontId="26" fillId="5" borderId="8" pivotButton="0" quotePrefix="0" xfId="32"/>
    <xf numFmtId="167" fontId="26" fillId="8" borderId="30" pivotButton="0" quotePrefix="0" xfId="32"/>
    <xf numFmtId="168" fontId="28" fillId="5" borderId="0" pivotButton="0" quotePrefix="0" xfId="23"/>
    <xf numFmtId="168" fontId="26" fillId="5" borderId="0" applyAlignment="1" pivotButton="0" quotePrefix="0" xfId="32">
      <alignment horizontal="left" indent="3"/>
    </xf>
    <xf numFmtId="172" fontId="26" fillId="8" borderId="0" pivotButton="0" quotePrefix="0" xfId="32"/>
    <xf numFmtId="172" fontId="26" fillId="5" borderId="0" pivotButton="0" quotePrefix="0" xfId="32"/>
    <xf numFmtId="172" fontId="26" fillId="8" borderId="11" pivotButton="0" quotePrefix="0" xfId="32"/>
    <xf numFmtId="167" fontId="27" fillId="5" borderId="0" applyAlignment="1" pivotButton="0" quotePrefix="0" xfId="32">
      <alignment horizontal="left"/>
    </xf>
    <xf numFmtId="165" fontId="29" fillId="7" borderId="0" pivotButton="0" quotePrefix="0" xfId="32"/>
    <xf numFmtId="165" fontId="30" fillId="7" borderId="0" pivotButton="0" quotePrefix="0" xfId="32"/>
    <xf numFmtId="165" fontId="30" fillId="7" borderId="11" pivotButton="0" quotePrefix="0" xfId="32"/>
    <xf numFmtId="165" fontId="26" fillId="8" borderId="11" applyAlignment="1" pivotButton="0" quotePrefix="0" xfId="32">
      <alignment horizontal="center"/>
    </xf>
    <xf numFmtId="167" fontId="29" fillId="7" borderId="0" pivotButton="0" quotePrefix="0" xfId="32"/>
    <xf numFmtId="165" fontId="27" fillId="5" borderId="0" applyAlignment="1" pivotButton="0" quotePrefix="0" xfId="32">
      <alignment horizontal="left" indent="2"/>
    </xf>
    <xf numFmtId="165" fontId="27" fillId="5" borderId="3" applyAlignment="1" pivotButton="0" quotePrefix="0" xfId="32">
      <alignment horizontal="left" indent="2"/>
    </xf>
    <xf numFmtId="165" fontId="27" fillId="8" borderId="3" pivotButton="0" quotePrefix="0" xfId="32"/>
    <xf numFmtId="165" fontId="27" fillId="5" borderId="8" applyAlignment="1" pivotButton="0" quotePrefix="0" xfId="32">
      <alignment horizontal="left" indent="1"/>
    </xf>
    <xf numFmtId="165" fontId="21" fillId="5" borderId="8" pivotButton="0" quotePrefix="0" xfId="23"/>
    <xf numFmtId="165" fontId="27" fillId="8" borderId="8" applyAlignment="1" pivotButton="0" quotePrefix="0" xfId="32">
      <alignment horizontal="right"/>
    </xf>
    <xf numFmtId="165" fontId="27" fillId="5" borderId="8" applyAlignment="1" pivotButton="0" quotePrefix="0" xfId="32">
      <alignment horizontal="right"/>
    </xf>
    <xf numFmtId="165" fontId="27" fillId="8" borderId="30" applyAlignment="1" pivotButton="0" quotePrefix="0" xfId="32">
      <alignment horizontal="right"/>
    </xf>
    <xf numFmtId="165" fontId="27" fillId="8" borderId="8" pivotButton="0" quotePrefix="0" xfId="32"/>
    <xf numFmtId="170" fontId="7" fillId="0" borderId="0" pivotButton="0" quotePrefix="0" xfId="32"/>
    <xf numFmtId="170" fontId="26" fillId="5" borderId="0" applyAlignment="1" pivotButton="0" quotePrefix="0" xfId="32">
      <alignment horizontal="left"/>
    </xf>
    <xf numFmtId="170" fontId="28" fillId="5" borderId="0" pivotButton="0" quotePrefix="0" xfId="23"/>
    <xf numFmtId="170" fontId="26" fillId="8" borderId="0" applyAlignment="1" pivotButton="0" quotePrefix="0" xfId="32">
      <alignment horizontal="right"/>
    </xf>
    <xf numFmtId="170" fontId="26" fillId="5" borderId="0" applyAlignment="1" pivotButton="0" quotePrefix="0" xfId="32">
      <alignment horizontal="right"/>
    </xf>
    <xf numFmtId="170" fontId="26" fillId="8" borderId="11" applyAlignment="1" pivotButton="0" quotePrefix="0" xfId="32">
      <alignment horizontal="right"/>
    </xf>
    <xf numFmtId="170" fontId="26" fillId="5" borderId="0" pivotButton="0" quotePrefix="0" xfId="32"/>
    <xf numFmtId="168" fontId="26" fillId="8" borderId="0" pivotButton="0" quotePrefix="0" xfId="32"/>
    <xf numFmtId="168" fontId="26" fillId="8" borderId="11" pivotButton="0" quotePrefix="0" xfId="32"/>
    <xf numFmtId="169" fontId="7" fillId="0" borderId="0" pivotButton="0" quotePrefix="0" xfId="32"/>
    <xf numFmtId="169" fontId="28" fillId="5" borderId="0" pivotButton="0" quotePrefix="0" xfId="32"/>
    <xf numFmtId="169" fontId="26" fillId="5" borderId="0" applyAlignment="1" pivotButton="0" quotePrefix="0" xfId="32">
      <alignment horizontal="left" indent="3"/>
    </xf>
    <xf numFmtId="169" fontId="26" fillId="8" borderId="0" applyAlignment="1" pivotButton="0" quotePrefix="0" xfId="32">
      <alignment horizontal="right"/>
    </xf>
    <xf numFmtId="169" fontId="26" fillId="5" borderId="0" applyAlignment="1" pivotButton="0" quotePrefix="0" xfId="32">
      <alignment horizontal="right"/>
    </xf>
    <xf numFmtId="169" fontId="26" fillId="5" borderId="0" pivotButton="0" quotePrefix="0" xfId="32"/>
    <xf numFmtId="169" fontId="26" fillId="8" borderId="11" applyAlignment="1" pivotButton="0" quotePrefix="0" xfId="32">
      <alignment horizontal="right"/>
    </xf>
    <xf numFmtId="171" fontId="7" fillId="0" borderId="0" pivotButton="0" quotePrefix="0" xfId="32"/>
    <xf numFmtId="171" fontId="26" fillId="5" borderId="0" applyAlignment="1" pivotButton="0" quotePrefix="0" xfId="32">
      <alignment horizontal="left"/>
    </xf>
    <xf numFmtId="171" fontId="28" fillId="5" borderId="0" pivotButton="0" quotePrefix="0" xfId="23"/>
    <xf numFmtId="171" fontId="26" fillId="8" borderId="0" applyAlignment="1" pivotButton="0" quotePrefix="0" xfId="32">
      <alignment horizontal="right"/>
    </xf>
    <xf numFmtId="171" fontId="26" fillId="5" borderId="0" applyAlignment="1" pivotButton="0" quotePrefix="0" xfId="32">
      <alignment horizontal="right"/>
    </xf>
    <xf numFmtId="171" fontId="26" fillId="8" borderId="11" applyAlignment="1" pivotButton="0" quotePrefix="0" xfId="32">
      <alignment horizontal="right"/>
    </xf>
    <xf numFmtId="171" fontId="26" fillId="5" borderId="0" pivotButton="0" quotePrefix="0" xfId="32"/>
    <xf numFmtId="165" fontId="27" fillId="5" borderId="0" applyAlignment="1" pivotButton="0" quotePrefix="0" xfId="32">
      <alignment horizontal="left"/>
    </xf>
    <xf numFmtId="169" fontId="0" fillId="0" borderId="0" pivotButton="0" quotePrefix="0" xfId="32"/>
    <xf numFmtId="169" fontId="21" fillId="5" borderId="0" pivotButton="0" quotePrefix="0" xfId="32"/>
    <xf numFmtId="169" fontId="27" fillId="5" borderId="0" applyAlignment="1" pivotButton="0" quotePrefix="0" xfId="32">
      <alignment horizontal="left" indent="3"/>
    </xf>
    <xf numFmtId="169" fontId="27" fillId="8" borderId="0" applyAlignment="1" pivotButton="0" quotePrefix="0" xfId="32">
      <alignment horizontal="right"/>
    </xf>
    <xf numFmtId="169" fontId="27" fillId="5" borderId="0" applyAlignment="1" pivotButton="0" quotePrefix="0" xfId="32">
      <alignment horizontal="right"/>
    </xf>
    <xf numFmtId="169" fontId="27" fillId="5" borderId="0" pivotButton="0" quotePrefix="0" xfId="32"/>
    <xf numFmtId="169" fontId="27" fillId="8" borderId="11" applyAlignment="1" pivotButton="0" quotePrefix="0" xfId="32">
      <alignment horizontal="right"/>
    </xf>
    <xf numFmtId="165" fontId="27" fillId="8" borderId="11" pivotButton="0" quotePrefix="0" xfId="32"/>
    <xf numFmtId="176" fontId="29" fillId="7" borderId="0" pivotButton="0" quotePrefix="0" xfId="32"/>
    <xf numFmtId="195" fontId="17" fillId="5" borderId="0" applyAlignment="1" pivotButton="0" quotePrefix="0" xfId="31">
      <alignment horizontal="center" vertical="center"/>
    </xf>
    <xf numFmtId="196" fontId="3" fillId="5" borderId="0" applyAlignment="1" pivotButton="0" quotePrefix="0" xfId="31">
      <alignment horizontal="right"/>
    </xf>
    <xf numFmtId="197" fontId="3" fillId="5" borderId="0" applyAlignment="1" pivotButton="0" quotePrefix="0" xfId="31">
      <alignment horizontal="right"/>
    </xf>
    <xf numFmtId="0" fontId="72" fillId="0" borderId="0" pivotButton="0" quotePrefix="0" xfId="0"/>
    <xf numFmtId="0" fontId="73" fillId="0" borderId="0" pivotButton="0" quotePrefix="0" xfId="0"/>
    <xf numFmtId="203" fontId="0" fillId="0" borderId="0" pivotButton="0" quotePrefix="0" xfId="0"/>
    <xf numFmtId="204" fontId="0" fillId="0" borderId="0" pivotButton="0" quotePrefix="0" xfId="0"/>
    <xf numFmtId="205" fontId="0" fillId="0" borderId="0" pivotButton="0" quotePrefix="0" xfId="0"/>
    <xf numFmtId="0" fontId="74" fillId="0" borderId="0" pivotButton="0" quotePrefix="0" xfId="0"/>
    <xf numFmtId="0" fontId="75" fillId="0" borderId="0" pivotButton="0" quotePrefix="0" xfId="0"/>
    <xf numFmtId="0" fontId="76" fillId="0" borderId="0" pivotButton="0" quotePrefix="0" xfId="0"/>
    <xf numFmtId="0" fontId="0" fillId="11" borderId="0" pivotButton="0" quotePrefix="0" xfId="0"/>
    <xf numFmtId="10" fontId="0" fillId="11" borderId="0" pivotButton="0" quotePrefix="0" xfId="0"/>
    <xf numFmtId="204" fontId="74" fillId="0" borderId="0" pivotButton="0" quotePrefix="0" xfId="0"/>
    <xf numFmtId="204" fontId="0" fillId="11" borderId="0" pivotButton="0" quotePrefix="0" xfId="0"/>
    <xf numFmtId="205" fontId="74" fillId="0" borderId="0" pivotButton="0" quotePrefix="0" xfId="0"/>
  </cellXfs>
  <cellStyles count="28">
    <cellStyle name="Normal" xfId="0" builtinId="0"/>
    <cellStyle name="Percent" xfId="1"/>
    <cellStyle name="Currency" xfId="2"/>
    <cellStyle name="Currency [0]" xfId="3"/>
    <cellStyle name="Comma" xfId="4"/>
    <cellStyle name="Comma [0]" xfId="5"/>
    <cellStyle name="_CurrencySpace" xfId="6"/>
    <cellStyle name="Comma 2" xfId="7"/>
    <cellStyle name="Currency 2" xfId="8"/>
    <cellStyle name="Currency 2 2" xfId="9"/>
    <cellStyle name="Good" xfId="10"/>
    <cellStyle name="Grey" xfId="11"/>
    <cellStyle name="Hyperlink" xfId="12"/>
    <cellStyle name="Hyperlink 2" xfId="13"/>
    <cellStyle name="Input [yellow]" xfId="14"/>
    <cellStyle name="Normal - Style1" xfId="15"/>
    <cellStyle name="Normal 2" xfId="16"/>
    <cellStyle name="Normal 3" xfId="17"/>
    <cellStyle name="Normal 4" xfId="18"/>
    <cellStyle name="Normal 5" xfId="19"/>
    <cellStyle name="Percent [2]" xfId="20"/>
    <cellStyle name="Percent 2" xfId="21"/>
    <cellStyle name="Percent 3" xfId="22"/>
    <cellStyle name="貨幣[0]_laroux" xfId="23"/>
    <cellStyle name="Currency 2 3" xfId="24"/>
    <cellStyle name="Normal 2 2" xfId="25"/>
    <cellStyle name="Normal 3 2" xfId="26"/>
    <cellStyle name="Percent 2 2" xfId="27"/>
  </cellStyles>
  <dxfs count="11">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Tegus (AN)</author>
    <author>Canalyst (LZ)</author>
    <author>Tegus (BL)</author>
    <author>Tegus (ALT)</author>
    <author>Tegus (SH)</author>
    <author>Tegus (AW)</author>
    <author>Tegus (ASr)</author>
    <author>Tegus (TP)</author>
    <author>Tegus (AA)</author>
  </authors>
  <commentList>
    <comment ref="BN2" authorId="0" shapeId="0">
      <text>
        <t>Tegus:
This period has been partially updated from a press release, prior to the release of the complete statements. Information that was not included in the press release has been left as assumptions, and can be identified by the red font in cells for this period. Upon release of the full statements, the model will be updated to reflect any new or changed information.</t>
      </text>
    </comment>
    <comment ref="BO2" authorId="0" shapeId="0">
      <text>
        <t>Tegus:
This period has been partially updated from a press release, prior to the release of the complete statements. Information that was not included in the press release has been left as assumptions, and can be identified by the red font in cells for this period. Upon release of the full statements, the model will be updated to reflect any new or changed information.</t>
      </text>
    </comment>
    <comment ref="F5" authorId="1" shapeId="0">
      <text>
        <t>Tegus (WC):
Company adopts TFRS from R.O.C GAAP</t>
      </text>
    </comment>
    <comment ref="BN6" authorId="0" shapeId="0">
      <text>
        <t>Tegus (AN):
To be updated with 10-Q/K</t>
      </text>
    </comment>
    <comment ref="BO6" authorId="0" shapeId="0">
      <text>
        <t>Tegus (AN):
To be updated with 10-Q/K</t>
      </text>
    </comment>
    <comment ref="BN7" authorId="0" shapeId="0">
      <text>
        <t>Tegus (AN):
Estimated from percentages</t>
      </text>
    </comment>
    <comment ref="BN10" authorId="0" shapeId="0">
      <text>
        <t>Tegus (AN):
Estimated from percentages</t>
      </text>
    </comment>
    <comment ref="BN13" authorId="0" shapeId="0">
      <text>
        <t>Tegus (AN):
Estimated from percentages</t>
      </text>
    </comment>
    <comment ref="BN16" authorId="0" shapeId="0">
      <text>
        <t>Tegus (AN):
Estimated from percentages</t>
      </text>
    </comment>
    <comment ref="BN19" authorId="0" shapeId="0">
      <text>
        <t>Tegus (AN):
Estimated from percentages</t>
      </text>
    </comment>
    <comment ref="BN22" authorId="0" shapeId="0">
      <text>
        <t>Tegus (AN):
Estimated from percentages</t>
      </text>
    </comment>
    <comment ref="BN25" authorId="0" shapeId="0">
      <text>
        <t>Tegus (AN):
Linked to ISAR</t>
      </text>
    </comment>
    <comment ref="BO25" authorId="0" shapeId="0">
      <text>
        <t>Tegus (AN):
Linked to ISAR</t>
      </text>
    </comment>
    <comment ref="F31" authorId="2" shapeId="0">
      <text>
        <t xml:space="preserve">Tegus (BL):
</t>
      </text>
    </comment>
    <comment ref="Q31" authorId="2" shapeId="0">
      <text>
        <t>Tegus (BL):
Hardcode as reported.</t>
      </text>
    </comment>
    <comment ref="BN64" authorId="0" shapeId="0">
      <text>
        <t>Tegus (AN):
To be updated with 10-Q/K</t>
      </text>
    </comment>
    <comment ref="BO64" authorId="0" shapeId="0">
      <text>
        <t>Tegus (AN):
To be updated with 10-Q/K</t>
      </text>
    </comment>
    <comment ref="BN65" authorId="0" shapeId="0">
      <text>
        <t>Tegus (AN):
To be updated with 10-Q/K</t>
      </text>
    </comment>
    <comment ref="BO65" authorId="0" shapeId="0">
      <text>
        <t>Tegus (AN):
To be updated with 10-Q/K</t>
      </text>
    </comment>
    <comment ref="BN66" authorId="0" shapeId="0">
      <text>
        <t>Tegus (AN):
To be updated with 10-Q/K</t>
      </text>
    </comment>
    <comment ref="BO66" authorId="0" shapeId="0">
      <text>
        <t>Tegus (AN):
To be updated with 10-Q/K</t>
      </text>
    </comment>
    <comment ref="C67" authorId="1" shapeId="0">
      <text>
        <t>Tegus (WC):
backed out</t>
      </text>
    </comment>
    <comment ref="D67" authorId="1" shapeId="0">
      <text>
        <t>Tegus (WC):
backed out</t>
      </text>
    </comment>
    <comment ref="E67" authorId="1" shapeId="0">
      <text>
        <t>Tegus (WC):
backed out</t>
      </text>
    </comment>
    <comment ref="BN67" authorId="0" shapeId="0">
      <text>
        <t>Tegus (AN):
To be updated with 10-Q/K</t>
      </text>
    </comment>
    <comment ref="BO67" authorId="0" shapeId="0">
      <text>
        <t>Tegus (AN):
To be updated with 10-Q/K</t>
      </text>
    </comment>
    <comment ref="BN68" authorId="0" shapeId="0">
      <text>
        <t>Tegus (AN):
Linked to CFS</t>
      </text>
    </comment>
    <comment ref="BO68" authorId="0" shapeId="0">
      <text>
        <t>Tegus (AN):
Linked to CFS</t>
      </text>
    </comment>
    <comment ref="BN70" authorId="0" shapeId="0">
      <text>
        <t>Tegus (AN):
To be updated with 10-Q/K</t>
      </text>
    </comment>
    <comment ref="BN74" authorId="0" shapeId="0">
      <text>
        <t>Tegus (AN):
To be updated with 10-Q/K</t>
      </text>
    </comment>
    <comment ref="BO74" authorId="0" shapeId="0">
      <text>
        <t>Tegus (AN):
To be updated with 10-Q/K</t>
      </text>
    </comment>
    <comment ref="BN75" authorId="0" shapeId="0">
      <text>
        <t>Tegus (AN):
To be updated with 10-Q/K</t>
      </text>
    </comment>
    <comment ref="BO75" authorId="0" shapeId="0">
      <text>
        <t>Tegus (AN):
To be updated with 10-Q/K</t>
      </text>
    </comment>
    <comment ref="BN76" authorId="0" shapeId="0">
      <text>
        <t>Tegus (AN):
Linked to CFS</t>
      </text>
    </comment>
    <comment ref="BO76" authorId="0" shapeId="0">
      <text>
        <t>Tegus (AN):
Linked to CFS</t>
      </text>
    </comment>
    <comment ref="BN88" authorId="0" shapeId="0">
      <text>
        <t>Tegus (AN):
To be updated with 10-Q/K</t>
      </text>
    </comment>
    <comment ref="BO88" authorId="0" shapeId="0">
      <text>
        <t>Tegus (AN):
To be updated with 10-Q/K</t>
      </text>
    </comment>
    <comment ref="BN93" authorId="0" shapeId="0">
      <text>
        <t>Tegus:
Estimated</t>
      </text>
    </comment>
    <comment ref="BN94" authorId="0" shapeId="0">
      <text>
        <t>Tegus:
Estimated</t>
      </text>
    </comment>
    <comment ref="AG95" authorId="1" shapeId="0">
      <text>
        <t>Tegus (AH):
16% for 16nm and 1% for 20nm</t>
      </text>
    </comment>
    <comment ref="AH95" authorId="1" shapeId="0">
      <text>
        <t>Tegus (WC):
16nm: 23% 20nm: 1%</t>
      </text>
    </comment>
    <comment ref="AI95" authorId="1" shapeId="0">
      <text>
        <t>Tegus (AP):
22% for 16nm 1% for 20nm</t>
      </text>
    </comment>
    <comment ref="AJ95" authorId="1" shapeId="0">
      <text>
        <t>Tegus (AP):
20% for 16nm 1% for 20nm</t>
      </text>
    </comment>
    <comment ref="AK95" authorId="1" shapeId="0">
      <text>
        <t>Tegus (AP):
20% for 16nm 1% for 20nm</t>
      </text>
    </comment>
    <comment ref="AN95" authorId="1" shapeId="0">
      <text>
        <t>Tegus (AW):
18% 16nm 1% 20nm</t>
      </text>
    </comment>
    <comment ref="AO95" authorId="1" shapeId="0">
      <text>
        <t>Tegus (AW):
13% 16nm 1% 20nm</t>
      </text>
    </comment>
    <comment ref="AP95" authorId="1" shapeId="0">
      <text>
        <t>Tegus (AW):
17% 16nm 1% 20nm</t>
      </text>
    </comment>
    <comment ref="AQ95" authorId="1" shapeId="0">
      <text>
        <t>Tegus (AW):
14% 16nm 0% 20nm</t>
      </text>
    </comment>
    <comment ref="AR95" authorId="1" shapeId="0">
      <text>
        <t>Tegus (AW):
14% 16nm 0% 20nm</t>
      </text>
    </comment>
    <comment ref="BN105" authorId="0" shapeId="0">
      <text>
        <t>Tegus (AN):
Calculated from percentages</t>
      </text>
    </comment>
    <comment ref="BO105" authorId="0" shapeId="0">
      <text>
        <t>Tegus (AN):
Calculated from percentages</t>
      </text>
    </comment>
    <comment ref="BN106" authorId="0" shapeId="0">
      <text>
        <t>Tegus (AN):
Calculated from percentages</t>
      </text>
    </comment>
    <comment ref="BO106" authorId="0" shapeId="0">
      <text>
        <t>Tegus (AN):
Calculated from percentages</t>
      </text>
    </comment>
    <comment ref="BN107" authorId="0" shapeId="0">
      <text>
        <t>Tegus (AN):
Calculated from percentages</t>
      </text>
    </comment>
    <comment ref="BO107" authorId="0" shapeId="0">
      <text>
        <t>Tegus (AN):
Calculated from percentages</t>
      </text>
    </comment>
    <comment ref="BN108" authorId="0" shapeId="0">
      <text>
        <t>Tegus (AN):
Calculated from percentages</t>
      </text>
    </comment>
    <comment ref="BO108" authorId="0" shapeId="0">
      <text>
        <t>Tegus (AN):
Calculated from percentages</t>
      </text>
    </comment>
    <comment ref="AH109" authorId="1" shapeId="0">
      <text>
        <t>Tegus (WC):
16nm: 48,069,217 20nm: 2,740,789</t>
      </text>
    </comment>
    <comment ref="AI109" authorId="1" shapeId="0">
      <text>
        <t>Tegus (WC):
16nm: 54,833.514 20nm: 2,030.871</t>
      </text>
    </comment>
    <comment ref="BN109" authorId="0" shapeId="0">
      <text>
        <t>Tegus (AN):
Calculated from percentages</t>
      </text>
    </comment>
    <comment ref="BO109" authorId="0" shapeId="0">
      <text>
        <t>Tegus (AN):
Calculated from percentages</t>
      </text>
    </comment>
    <comment ref="BN110" authorId="0" shapeId="0">
      <text>
        <t>Tegus (AN):
Calculated from percentages</t>
      </text>
    </comment>
    <comment ref="BO110" authorId="0" shapeId="0">
      <text>
        <t>Tegus (AN):
Calculated from percentages</t>
      </text>
    </comment>
    <comment ref="BN112" authorId="0" shapeId="0">
      <text>
        <t>Tegus (AN):
Calculated from percentages</t>
      </text>
    </comment>
    <comment ref="BO112" authorId="0" shapeId="0">
      <text>
        <t>Tegus (AN):
Calculated from percentages</t>
      </text>
    </comment>
    <comment ref="BN113" authorId="0" shapeId="0">
      <text>
        <t>Tegus (AN):
Calculated from percentages</t>
      </text>
    </comment>
    <comment ref="BO113" authorId="0" shapeId="0">
      <text>
        <t>Tegus (AN):
Calculated from percentages</t>
      </text>
    </comment>
    <comment ref="BN114" authorId="0" shapeId="0">
      <text>
        <t>Tegus (AN):
Calculated from percentages</t>
      </text>
    </comment>
    <comment ref="BO114" authorId="0" shapeId="0">
      <text>
        <t>Tegus (AN):
Calculated from percentages</t>
      </text>
    </comment>
    <comment ref="BN115" authorId="0" shapeId="0">
      <text>
        <t>Tegus (AN):
Calculated from percentages</t>
      </text>
    </comment>
    <comment ref="BO115" authorId="0" shapeId="0">
      <text>
        <t>Tegus (AN):
Calculated from percentages</t>
      </text>
    </comment>
    <comment ref="BN116" authorId="0" shapeId="0">
      <text>
        <t>Tegus (AN):
Calculated from percentages</t>
      </text>
    </comment>
    <comment ref="BO116" authorId="0" shapeId="0">
      <text>
        <t>Tegus (AN):
Calculated from percentages</t>
      </text>
    </comment>
    <comment ref="BN117" authorId="0" shapeId="0">
      <text>
        <t>Tegus (AN):
Calculated from percentages</t>
      </text>
    </comment>
    <comment ref="BO117" authorId="0" shapeId="0">
      <text>
        <t>Tegus (AN):
Calculated from percentages</t>
      </text>
    </comment>
    <comment ref="BN118" authorId="0" shapeId="0">
      <text>
        <t>Tegus (AN):
Calculated from percentages</t>
      </text>
    </comment>
    <comment ref="BO118" authorId="0" shapeId="0">
      <text>
        <t>Tegus (AN):
Calculated from percentages</t>
      </text>
    </comment>
    <comment ref="BN119" authorId="0" shapeId="0">
      <text>
        <t>Tegus (AN):
Backed out from estimate</t>
      </text>
    </comment>
    <comment ref="C120" authorId="1" shapeId="0">
      <text>
        <t xml:space="preserve">Tegus (WC):
17,333 in mask revenue 10,023 in other revenue </t>
      </text>
    </comment>
    <comment ref="D120" authorId="1" shapeId="0">
      <text>
        <t xml:space="preserve">Tegus (WC):
19,796 in mask revenue 24,680 in other revenue </t>
      </text>
    </comment>
    <comment ref="E120" authorId="1" shapeId="0">
      <text>
        <t xml:space="preserve">Tegus (WC):
23,818 in mask revenue 18,629 in other revenue </t>
      </text>
    </comment>
    <comment ref="BN120" authorId="0" shapeId="0">
      <text>
        <t>Tegus (AN):
Backed out from estimate</t>
      </text>
    </comment>
    <comment ref="BO120" authorId="0" shapeId="0">
      <text>
        <t>Tegus (AN):
To be updated with 10-Q/K</t>
      </text>
    </comment>
    <comment ref="BO121" authorId="0" shapeId="0">
      <text>
        <t>Tegus (AN):
To be updated with 10-Q/K</t>
      </text>
    </comment>
    <comment ref="BO123" authorId="0" shapeId="0">
      <text>
        <t>Tegus (AN):
To be updated with 20-F</t>
      </text>
    </comment>
    <comment ref="G124" authorId="1" shapeId="0">
      <text>
        <t>Tegus (WC):
- reported capacity figure no longer includes SSMC - TSMC still has access to SSMC capacity however</t>
      </text>
    </comment>
    <comment ref="Q124" authorId="1" shapeId="0">
      <text>
        <t>Tegus (WC):
reported as "greater than"</t>
      </text>
    </comment>
    <comment ref="V124" authorId="1" shapeId="0">
      <text>
        <t>Tegus (WC):
reported as "greater than"</t>
      </text>
    </comment>
    <comment ref="AA124" authorId="1" shapeId="0">
      <text>
        <t>Tegus (WC):
reported as "greater than"</t>
      </text>
    </comment>
    <comment ref="AF124" authorId="1" shapeId="0">
      <text>
        <t>Tegus (WC):
reported as "greater than"</t>
      </text>
    </comment>
    <comment ref="AK124" authorId="1" shapeId="0">
      <text>
        <t>Tegus (AW):
Approximately</t>
      </text>
    </comment>
    <comment ref="AP124" authorId="1" shapeId="0">
      <text>
        <t>Tegus (AW):
Approximately</t>
      </text>
    </comment>
    <comment ref="BE124" authorId="1" shapeId="0">
      <text>
        <t>Tegus (WW):
approximately 16 million</t>
      </text>
    </comment>
    <comment ref="BJ124" authorId="2" shapeId="0">
      <text>
        <t>Tegus (BL):
Annual capacity (in 12-inch equivalent wafers) was approximately 17 million wafers</t>
      </text>
    </comment>
    <comment ref="BO124" authorId="0" shapeId="0">
      <text>
        <t>Tegus (AN):
To be updated with 20-F</t>
      </text>
    </comment>
    <comment ref="A125" authorId="1" shapeId="0">
      <text>
        <t>Tegus (WC):
-based on wafer shipment data and reported billing utilization</t>
      </text>
    </comment>
    <comment ref="AU125" authorId="1" shapeId="0">
      <text>
        <t>Tegus (TP):
Cannot be calculated</t>
      </text>
    </comment>
    <comment ref="AZ125" authorId="1" shapeId="0">
      <text>
        <t>Tegus (DY):
Cannot be calculated</t>
      </text>
    </comment>
    <comment ref="AP126" authorId="1" shapeId="0">
      <text>
        <t>Tegus (AW):
Reported as 12,396 in 20-F</t>
      </text>
    </comment>
    <comment ref="A127" authorId="3" shapeId="0">
      <text>
        <t xml:space="preserve">Tegus (ALT):
ROE figures are annualized based on average equity attributable to shareholders of the parent company
</t>
      </text>
    </comment>
    <comment ref="BO129" authorId="0" shapeId="0">
      <text>
        <t>Tegus (AN):
To be updated with 20-F</t>
      </text>
    </comment>
    <comment ref="A130" authorId="1" shapeId="0">
      <text>
        <t>Tegus (WC):
- reported in 20F - equals to annual shipment divided by capacity - capacity includes VIS and SSMC capacities</t>
      </text>
    </comment>
    <comment ref="AU130" authorId="1" shapeId="0">
      <text>
        <t>Tegus (EC):
Not reported</t>
      </text>
    </comment>
    <comment ref="AZ130" authorId="1" shapeId="0">
      <text>
        <t>Tegus (DY):
Not reported</t>
      </text>
    </comment>
    <comment ref="BN133" authorId="0" shapeId="0">
      <text>
        <t>Tegus (AN):
To be updated with 10-Q/K</t>
      </text>
    </comment>
    <comment ref="BO133" authorId="0" shapeId="0">
      <text>
        <t>Tegus (AN):
To be updated with 10-Q/K</t>
      </text>
    </comment>
    <comment ref="C137" authorId="1" shapeId="0">
      <text>
        <t>Tegus (BZ):
includes others</t>
      </text>
    </comment>
    <comment ref="A142" authorId="1" shapeId="0">
      <text>
        <t>Tegus (WC):
based on FS</t>
      </text>
    </comment>
    <comment ref="BI142" authorId="4" shapeId="0">
      <text>
        <t>Tegus (SH):
Breakdown not backed-out due to negative other revenue.</t>
      </text>
    </comment>
    <comment ref="BN142" authorId="0" shapeId="0">
      <text>
        <t>Tegus (AN):
To be updated with 10-Q/K</t>
      </text>
    </comment>
    <comment ref="BO142" authorId="0" shapeId="0">
      <text>
        <t>Tegus (AN):
To be updated with 10-Q/K</t>
      </text>
    </comment>
    <comment ref="C146" authorId="1" shapeId="0">
      <text>
        <t>Tegus (BZ):
includes others</t>
      </text>
    </comment>
    <comment ref="A152" authorId="1" shapeId="0">
      <text>
        <t>Tegus (WC):
based on FS</t>
      </text>
    </comment>
    <comment ref="BI152" authorId="4" shapeId="0">
      <text>
        <t>Tegus (SH):
Breakdown not backed-out due to negative other revenue.</t>
      </text>
    </comment>
    <comment ref="BN152" authorId="0" shapeId="0">
      <text>
        <t>Tegus (AN):
To be updated with 10-Q/K</t>
      </text>
    </comment>
    <comment ref="BO152" authorId="0" shapeId="0">
      <text>
        <t>Tegus (AN):
To be updated with 10-Q/K</t>
      </text>
    </comment>
    <comment ref="A159" authorId="1" shapeId="0">
      <text>
        <t>Tegus (WC):
Based on supplementary information</t>
      </text>
    </comment>
    <comment ref="A166" authorId="1" shapeId="0">
      <text>
        <t>Tegus (WC):
Based on supplementary information</t>
      </text>
    </comment>
    <comment ref="A175" authorId="1" shapeId="0">
      <text>
        <t xml:space="preserve">Tegus (AHA):
Noncurrent assets include property, plant and equipment, right-of-use assets, intangible assets and other noncurrent assets. </t>
      </text>
    </comment>
    <comment ref="BO175" authorId="0" shapeId="0">
      <text>
        <t>Tegus (AN):
To be updated with 10-Q/K</t>
      </text>
    </comment>
    <comment ref="BO177" authorId="0" shapeId="0">
      <text>
        <t>Tegus (AN):
To be updated with 10-Q/K</t>
      </text>
    </comment>
    <comment ref="AZ179" authorId="1" shapeId="0">
      <text>
        <t>Tegus (DY):
Less than 10%</t>
      </text>
    </comment>
    <comment ref="BO182" authorId="0" shapeId="0">
      <text>
        <t>Tegus (AN):
To be updated with 10-Q/K</t>
      </text>
    </comment>
    <comment ref="BE183" authorId="5" shapeId="0">
      <text>
        <t>Tegus (AW):
Estimation, backed out based on earnings cc: 'We forecast the revenue contribution from several AI processors to more than double this year and account for low-teens percent of our total revenue in 2024." - Q1-2024 earnings cc</t>
      </text>
    </comment>
    <comment ref="BJ183" authorId="4" shapeId="0">
      <text>
        <t>Tegus (SH):
"Revenue from AI accelerators, which we now define as AI GPU, AI ASICs and HBM controller for AI training and inference in the data center, accounted for close to mid-teens percent of our total revenue in 2024. "</t>
      </text>
    </comment>
    <comment ref="CA183" authorId="4" shapeId="0">
      <text>
        <t>Tegus (SH):
"For the 5-year period starting from 2024, we expect our long-term revenue growth to approach a 20% CAGR in U.S. dollar term, fueled by all 4 of our growth platform, which are smartphone, HPC, IoT and automotive." - in FY2024 cc</t>
      </text>
    </comment>
    <comment ref="CA184" authorId="4" shapeId="0">
      <text>
        <t>Tegus (SH):
"For the 5-year period starting from 2024, we expect our long-term revenue growth to approach a 20% CAGR in U.S. dollar term, fueled by all 4 of our growth platform, which are smartphone, HPC, IoT and automotive." - in FY2024 cc</t>
      </text>
    </comment>
    <comment ref="BE186" authorId="5" shapeId="0">
      <text>
        <t>Tegus (AW):
"About 50%" - Q4-2023 earnings cc</t>
      </text>
    </comment>
    <comment ref="BF186" authorId="5" shapeId="0">
      <text>
        <t>Tegus (AW):
"For the next 5 years, we forecast it to grow at 50% CAGR and increase to higher than 20% of our revenue by 2028. " - Q1-2024 earnings cc</t>
      </text>
    </comment>
    <comment ref="BJ186" authorId="4" shapeId="0">
      <text>
        <t>Tegus (SH):
For the 5-year period starting from 2024, we expect our long-term revenue growth to approach a 20% CAGR in U.S. dollar term, fueled by all 4 of our growth platform, which are smartphone, HPC, IoT and automotive.</t>
      </text>
    </comment>
    <comment ref="BK186" authorId="6" shapeId="0">
      <text>
        <t>Tegus (ASr):
Earnings call mentions mid-40s percentage revenue CAGR from AI accelerators.</t>
      </text>
    </comment>
    <comment ref="BO188" authorId="0" shapeId="0">
      <text>
        <t>Tegus (AN):
To be updated with 20-F</t>
      </text>
    </comment>
    <comment ref="BJ201" authorId="2" shapeId="0">
      <text>
        <t>Tegus (BL):
Fab 21 is located in Arizona, U.S.</t>
      </text>
    </comment>
    <comment ref="BJ202" authorId="2" shapeId="0">
      <text>
        <t>Tegus (BL):
Fab 23 is located in Kumamoto, Japan.</t>
      </text>
    </comment>
    <comment ref="G203" authorId="1" shapeId="0">
      <text>
        <t>Tegus (WC):
no longer reported but TSMC still has access to SSMC capacity</t>
      </text>
    </comment>
    <comment ref="G219" authorId="1" shapeId="0">
      <text>
        <t>Tegus (WC):
no longer reported but TSMC still has access to SSMC capacity</t>
      </text>
    </comment>
    <comment ref="Q221" authorId="1" shapeId="0">
      <text>
        <t>Tegus (WC):
no longer reported</t>
      </text>
    </comment>
    <comment ref="G232" authorId="1" shapeId="0">
      <text>
        <t>Tegus (WC):
no longer reported but TSMC still has access to SSMC capacity</t>
      </text>
    </comment>
    <comment ref="BO235" authorId="0" shapeId="0">
      <text>
        <t>Tegus (AN):
To be updated with 20-F</t>
      </text>
    </comment>
    <comment ref="F256" authorId="1" shapeId="0">
      <text>
        <t>Tegus (WC):
Company adopts TFRS from R.O.C GAAP
This period is unrestated due to the availability of data.</t>
      </text>
    </comment>
    <comment ref="AB261" authorId="1" shapeId="0">
      <text>
        <t>Tegus (WC):
based on dollar figures disclosed in the FS</t>
      </text>
    </comment>
    <comment ref="AC261" authorId="1" shapeId="0">
      <text>
        <t>Tegus (WC):
based on dollar figures disclosed in the FS</t>
      </text>
    </comment>
    <comment ref="AD261" authorId="1" shapeId="0">
      <text>
        <t>Tegus (WC):
based on dollar figures disclosed in the FS</t>
      </text>
    </comment>
    <comment ref="AE261" authorId="1" shapeId="0">
      <text>
        <t>Tegus (WC):
based on dollar figures disclosed in the FS</t>
      </text>
    </comment>
    <comment ref="AF261" authorId="1" shapeId="0">
      <text>
        <t>Tegus (WC):
based on dollar figures disclosed in the FS</t>
      </text>
    </comment>
    <comment ref="AH262" authorId="1" shapeId="0">
      <text>
        <t>Tegus (WC):
no longer reported</t>
      </text>
    </comment>
    <comment ref="AE275" authorId="1" shapeId="0">
      <text>
        <t>Tegus (WC):
no longer reported</t>
      </text>
    </comment>
    <comment ref="V281" authorId="1" shapeId="0">
      <text>
        <t>Tegus (WC):
no longer reported</t>
      </text>
    </comment>
    <comment ref="C297" authorId="1" shapeId="0">
      <text>
        <t>Tegus (BZ):
segmented revenue not reported</t>
      </text>
    </comment>
    <comment ref="D297" authorId="1" shapeId="0">
      <text>
        <t>Tegus (BZ):
segmented revenue not reported</t>
      </text>
    </comment>
    <comment ref="E297" authorId="1" shapeId="0">
      <text>
        <t>Tegus (BZ):
segmented revenue not reported</t>
      </text>
    </comment>
    <comment ref="BO321" authorId="0" shapeId="0">
      <text>
        <t>Tegus (AN):
To be updated with 10-Q/K</t>
      </text>
    </comment>
    <comment ref="AU325" authorId="1" shapeId="0">
      <text>
        <t>Tegus (AW):
Estimated; not reported</t>
      </text>
    </comment>
    <comment ref="AV325" authorId="1" shapeId="0">
      <text>
        <t>Tegus (EC):
Estimated; not reported</t>
      </text>
    </comment>
    <comment ref="AW325" authorId="1" shapeId="0">
      <text>
        <t>Tegus (EC):
Estimated; not reported</t>
      </text>
    </comment>
    <comment ref="AX325" authorId="1" shapeId="0">
      <text>
        <t>Tegus (TP):
Estimated; not reported</t>
      </text>
    </comment>
    <comment ref="AZ325" authorId="1" shapeId="0">
      <text>
        <t>Tegus (CZ):
Estimated; not reported</t>
      </text>
    </comment>
    <comment ref="BA325" authorId="1" shapeId="0">
      <text>
        <t>Tegus (MP):
Estimated, not reported.</t>
      </text>
    </comment>
    <comment ref="BB325" authorId="1" shapeId="0">
      <text>
        <t>Tegus (AN):
Estimated, not reported.</t>
      </text>
    </comment>
    <comment ref="BC325" authorId="1" shapeId="0">
      <text>
        <t>Tegus (HZ):
Estimated</t>
      </text>
    </comment>
    <comment ref="BE325" authorId="1" shapeId="0">
      <text>
        <t>Tegus (TP):
Estimated; not reported</t>
      </text>
    </comment>
    <comment ref="BF325" authorId="1" shapeId="0">
      <text>
        <t>Tegus (AW):
Estimated, not reported.</t>
      </text>
    </comment>
    <comment ref="BG325" authorId="7" shapeId="0">
      <text>
        <t>Canalyst:
Assumption by Canalyst</t>
      </text>
    </comment>
    <comment ref="BH325" authorId="8" shapeId="0">
      <text>
        <t>Tegus (AA):
Estimated</t>
      </text>
    </comment>
    <comment ref="BJ325" authorId="7" shapeId="0">
      <text>
        <t>Tegus (TP):
Estimated; not reported</t>
      </text>
    </comment>
    <comment ref="BK325" authorId="7" shapeId="0">
      <text>
        <t>Tegus (TP):
Estimated</t>
      </text>
    </comment>
    <comment ref="BL325" authorId="7" shapeId="0">
      <text>
        <t>Tegus (TP):
Estimated</t>
      </text>
    </comment>
    <comment ref="BM325" authorId="8" shapeId="0">
      <text>
        <t>Tegus (AA):
Estimated</t>
      </text>
    </comment>
    <comment ref="BO325" authorId="0" shapeId="0">
      <text>
        <t>Tegus (AN):
Estimated; not reported</t>
      </text>
    </comment>
    <comment ref="BN328" authorId="0" shapeId="0">
      <text>
        <t>Tegus (AN):
To be updated with 10-Q/K</t>
      </text>
    </comment>
    <comment ref="BO328" authorId="0" shapeId="0">
      <text>
        <t>Tegus (AN):
To be updated with 10-Q/K</t>
      </text>
    </comment>
    <comment ref="BN329" authorId="0" shapeId="0">
      <text>
        <t>Tegus (AN):
To be updated with 10-Q/K</t>
      </text>
    </comment>
    <comment ref="BO329" authorId="0" shapeId="0">
      <text>
        <t>Tegus (AN):
To be updated with 10-Q/K</t>
      </text>
    </comment>
    <comment ref="AK342" authorId="1" shapeId="0">
      <text>
        <t>Tegus (AHA):
Reported as interest income</t>
      </text>
    </comment>
    <comment ref="BO342" authorId="0" shapeId="0">
      <text>
        <t>Tegus:
Estimated</t>
      </text>
    </comment>
    <comment ref="BO347" authorId="0" shapeId="0">
      <text>
        <t>Tegus:
Estimated</t>
      </text>
    </comment>
    <comment ref="BN354" authorId="0" shapeId="0">
      <text>
        <t>Tegus (AN):
To be updated with 10-Q/K</t>
      </text>
    </comment>
    <comment ref="BO354" authorId="0" shapeId="0">
      <text>
        <t>Tegus (AN):
To be updated with 10-Q/K</t>
      </text>
    </comment>
    <comment ref="AK356" authorId="1" shapeId="0">
      <text>
        <t>Tegus (AHA):
Includes 417.295 of other income</t>
      </text>
    </comment>
    <comment ref="BN356" authorId="0" shapeId="0">
      <text>
        <t>Tegus (AN):
To be updated with 10-Q/K</t>
      </text>
    </comment>
    <comment ref="BO356" authorId="0" shapeId="0">
      <text>
        <t>Tegus (AN):
To be updated with 10-Q/K</t>
      </text>
    </comment>
    <comment ref="BO359" authorId="0" shapeId="0">
      <text>
        <t>Tegus (AN):
To be updated with 10-Q/K</t>
      </text>
    </comment>
    <comment ref="BO360" authorId="0" shapeId="0">
      <text>
        <t>Tegus (AN):
To be updated with 10-Q/K</t>
      </text>
    </comment>
    <comment ref="C366" authorId="1" shapeId="0">
      <text>
        <t>Tegus (BZ):
cash flow starts with net income, not net income before tax</t>
      </text>
    </comment>
    <comment ref="D366" authorId="1" shapeId="0">
      <text>
        <t>Tegus (BZ):
cash flow starts with net income, not net income before tax</t>
      </text>
    </comment>
    <comment ref="E366" authorId="1" shapeId="0">
      <text>
        <t>Tegus (BZ):
cash flow starts with net income, not net income before tax</t>
      </text>
    </comment>
    <comment ref="BN366" authorId="0" shapeId="0">
      <text>
        <t>Tegus (AN):
Temporary rounding</t>
      </text>
    </comment>
    <comment ref="BO366" authorId="0" shapeId="0">
      <text>
        <t>Tegus (AN):
Temporary rounding</t>
      </text>
    </comment>
    <comment ref="BP419" authorId="1" shapeId="0">
      <text>
        <t>Tegus (AH):
Per ADS Outstanding</t>
      </text>
    </comment>
    <comment ref="BQ419" authorId="1" shapeId="0">
      <text>
        <t>Tegus (AH):
Per ADS Outstanding</t>
      </text>
    </comment>
    <comment ref="BR419" authorId="1" shapeId="0">
      <text>
        <t>Tegus (AH):
Per ADS Outstanding</t>
      </text>
    </comment>
    <comment ref="BS419" authorId="1" shapeId="0">
      <text>
        <t>Tegus (AH):
Per ADS Outstanding</t>
      </text>
    </comment>
    <comment ref="BT419" authorId="1" shapeId="0">
      <text>
        <t>Tegus (AH):
Per ADS Outstanding</t>
      </text>
    </comment>
    <comment ref="BU419" authorId="1" shapeId="0">
      <text>
        <t>Tegus (AH):
Per ADS Outstanding</t>
      </text>
    </comment>
    <comment ref="BV419" authorId="1" shapeId="0">
      <text>
        <t>Tegus (AH):
Per ADS Outstanding</t>
      </text>
    </comment>
    <comment ref="BW419" authorId="1" shapeId="0">
      <text>
        <t>Tegus (AH):
Per ADS Outstanding</t>
      </text>
    </comment>
    <comment ref="BX419" authorId="1" shapeId="0">
      <text>
        <t>Tegus (AH):
Per ADS Outstanding</t>
      </text>
    </comment>
    <comment ref="BY419" authorId="1" shapeId="0">
      <text>
        <t>Tegus (AH):
Per ADS Outstanding</t>
      </text>
    </comment>
    <comment ref="BZ419" authorId="1" shapeId="0">
      <text>
        <t>Tegus (AH):
Per ADS Outstanding</t>
      </text>
    </comment>
    <comment ref="CA419" authorId="1" shapeId="0">
      <text>
        <t>Tegus (AH):
Per ADS Outstanding</t>
      </text>
    </comment>
    <comment ref="CB419" authorId="1" shapeId="0">
      <text>
        <t>Tegus (AH):
Per ADS Outstanding</t>
      </text>
    </comment>
    <comment ref="K421" authorId="1" shapeId="0">
      <text>
        <t>Tegus (BZ):
backed out</t>
      </text>
    </comment>
    <comment ref="P421" authorId="1" shapeId="0">
      <text>
        <t>Tegus (BZ):
backed out</t>
      </text>
    </comment>
    <comment ref="U421" authorId="1" shapeId="0">
      <text>
        <t>Tegus (BZ):
backed out</t>
      </text>
    </comment>
    <comment ref="Z421" authorId="1" shapeId="0">
      <text>
        <t>Tegus (VT):
backed out</t>
      </text>
    </comment>
    <comment ref="AY421" authorId="1" shapeId="0">
      <text>
        <t>Tegus (DY):
Calculated, not reported</t>
      </text>
    </comment>
    <comment ref="BN421" authorId="0" shapeId="0">
      <text>
        <t>Tegus (AN):
To be updated with 10-Q/K</t>
      </text>
    </comment>
    <comment ref="BO421" authorId="0" shapeId="0">
      <text>
        <t>Tegus (AN):
To be updated with 10-Q/K</t>
      </text>
    </comment>
    <comment ref="AY422" authorId="1" shapeId="0">
      <text>
        <t>Tegus (DY):
Calculated, not reported</t>
      </text>
    </comment>
    <comment ref="BD422" authorId="1" shapeId="0">
      <text>
        <t>Tegus (AN):
Formula adjusted. Original estimated WAD &lt; WAB</t>
      </text>
    </comment>
    <comment ref="BO429" authorId="0" shapeId="0">
      <text>
        <t>Tegus:
Missing data to be updated with 10Q/K or full disclosure from IR page</t>
      </text>
    </comment>
    <comment ref="BO432" authorId="0" shapeId="0">
      <text>
        <t>Tegus (AN):
More decimals to be updated with 20F</t>
      </text>
    </comment>
    <comment ref="BO442" authorId="0" shapeId="0">
      <text>
        <t>Tegus (AN):
To be updated with 20F</t>
      </text>
    </comment>
    <comment ref="A445" authorId="1" shapeId="0">
      <text>
        <t>Tegus:
In periods where EPS is negative, this amount is calculated using the closest prior period where EPS was positive.</t>
      </text>
    </comment>
    <comment ref="A516" authorId="1" shapeId="0">
      <text>
        <t>Tegus (WC):
hardcoded based on EOP FX disclosed in the FS</t>
      </text>
    </comment>
    <comment ref="BO523" authorId="0" shapeId="0">
      <text>
        <t>Tegus (AN):
To be updated with 10-Q/K</t>
      </text>
    </comment>
    <comment ref="BO528" authorId="0" shapeId="0">
      <text>
        <t>Tegus (AN):
Adjusted for amortization</t>
      </text>
    </comment>
    <comment ref="BO529" authorId="0" shapeId="0">
      <text>
        <t>Tegus (AN):
To be updated with 10-Q/K</t>
      </text>
    </comment>
    <comment ref="BK554" authorId="6" shapeId="0">
      <text>
        <t>Tegus (ASr):
Loss from disposal of subsidiaries.</t>
      </text>
    </comment>
    <comment ref="AS562" authorId="1" shapeId="0">
      <text>
        <t>Tegus (DH):
Reported as Others</t>
      </text>
    </comment>
    <comment ref="C582" authorId="1" shapeId="0">
      <text>
        <t xml:space="preserve">Tegus (WC):
-allowance for sales returns: 2653.455 -allowance for doubtful receivables 87.574 </t>
      </text>
    </comment>
    <comment ref="D582" authorId="1" shapeId="0">
      <text>
        <t>Tegus (WC):
-allowance for sales returns: (1178.217) -allowance for doubtful receivables (39.296)</t>
      </text>
    </comment>
    <comment ref="E582" authorId="1" shapeId="0">
      <text>
        <t>Tegus (WC):
-allowance for sales returns: (2478.001) -allowance for doubtful receivables (12.844)</t>
      </text>
    </comment>
    <comment ref="AS586" authorId="1" shapeId="0">
      <text>
        <t>Tegus (DH):
Other noncurrent liabilities</t>
      </text>
    </comment>
    <comment ref="AT586" authorId="1" shapeId="0">
      <text>
        <t>Tegus (TP):
Other noncurrent liabilities</t>
      </text>
    </comment>
    <comment ref="AU586" authorId="1" shapeId="0">
      <text>
        <t>Tegus (TP):
Other noncurrent liabilities</t>
      </text>
    </comment>
    <comment ref="AB641" authorId="1" shapeId="0">
      <text>
        <t>Tegus (WC):
includes prepaid amount of -(16,800)</t>
      </text>
    </comment>
    <comment ref="F669" authorId="1" shapeId="0">
      <text>
        <t>Tegus (VA):
Interest paid before FY12 is not comparable due to the switch to TFRS.</t>
      </text>
    </comment>
    <comment ref="F670" authorId="1" shapeId="0">
      <text>
        <t>Tegus (VA):
Interest paid before FY12 is not comparable due to the switch to TFRS.</t>
      </text>
    </comment>
    <comment ref="F818" authorId="1" shapeId="0">
      <text>
        <t>Tegus (VA):
Interest paid before FY12 is not comparable due to the switch to TFRS.</t>
      </text>
    </comment>
    <comment ref="F819" authorId="1" shapeId="0">
      <text>
        <t>Tegus (VA):
Interest paid before FY12 is not comparable due to the switch to TFRS.</t>
      </text>
    </comment>
    <comment ref="K821" authorId="1" shapeId="0">
      <text>
        <t>Tegus (BZ):
end cash is subtracted by cash and cash equivalents in noncurrent assets held for sale</t>
      </text>
    </comment>
    <comment ref="L821" authorId="1" shapeId="0">
      <text>
        <t>Tegus (BZ):
end cash is subtracted by cash and cash equivalents in noncurrent assets held for sale</t>
      </text>
    </comment>
    <comment ref="BN821" authorId="0" shapeId="0">
      <text>
        <t>Tegus (AN):
Temporary Rounding</t>
      </text>
    </comment>
    <comment ref="BO821" authorId="0" shapeId="0">
      <text>
        <t>Tegus (AN):
Temporary Rounding</t>
      </text>
    </comment>
    <comment ref="AF836" authorId="1" shapeId="0">
      <text>
        <t>Tegus (AHA):
Linked to total depreciation</t>
      </text>
    </comment>
    <comment ref="BO856" authorId="0" shapeId="0">
      <text>
        <t>Tegus:
Missing data to be updated with 10Q/K or full disclosure from IR page</t>
      </text>
    </comment>
    <comment ref="BO859" authorId="0" shapeId="0">
      <text>
        <t>Tegus:
Estimated</t>
      </text>
    </comment>
    <comment ref="BO860" authorId="0" shapeId="0">
      <text>
        <t>Tegus:
Estimated</t>
      </text>
    </comment>
    <comment ref="BO861" authorId="0" shapeId="0">
      <text>
        <t>Tegus:
Estimated</t>
      </text>
    </comment>
    <comment ref="BO867" authorId="0" shapeId="0">
      <text>
        <t>Tegus (AN):
Backed out</t>
      </text>
    </comment>
    <comment ref="BO868" authorId="0" shapeId="0">
      <text>
        <t>Tegus (AN):
To be updated with 10-Q/K</t>
      </text>
    </comment>
    <comment ref="BO869" authorId="0" shapeId="0">
      <text>
        <t>Tegus (AN):
To be updated with 10-Q/K</t>
      </text>
    </comment>
    <comment ref="BO873" authorId="0" shapeId="0">
      <text>
        <t>Tegus:
Estimated</t>
      </text>
    </comment>
    <comment ref="BO875" authorId="0" shapeId="0">
      <text>
        <t>Tegus:
Estimated</t>
      </text>
    </comment>
    <comment ref="BO879" authorId="0" shapeId="0">
      <text>
        <t>Tegus:
Estimated</t>
      </text>
    </comment>
    <comment ref="BO880" authorId="0" shapeId="0">
      <text>
        <t>Tegus:
Estimated</t>
      </text>
    </comment>
    <comment ref="BO884" authorId="0" shapeId="0">
      <text>
        <t>Tegus:
Estimated</t>
      </text>
    </comment>
    <comment ref="BO885" authorId="0" shapeId="0">
      <text>
        <t>Tegus:
Estimated</t>
      </text>
    </comment>
    <comment ref="BO895" authorId="0" shapeId="0">
      <text>
        <t>Tegus (AN):
Adjusted for intangible assets</t>
      </text>
    </comment>
    <comment ref="BO896" authorId="0" shapeId="0">
      <text>
        <t>Tegus:
Estimated</t>
      </text>
    </comment>
    <comment ref="BO897" authorId="0" shapeId="0">
      <text>
        <t>Tegus:
Estimated</t>
      </text>
    </comment>
    <comment ref="BO898" authorId="0" shapeId="0">
      <text>
        <t>Tegus:
Estimated</t>
      </text>
    </comment>
    <comment ref="BO899" authorId="0" shapeId="0">
      <text>
        <t>Tegus:
Estimated</t>
      </text>
    </comment>
    <comment ref="BO900" authorId="0" shapeId="0">
      <text>
        <t>Tegus:
Estimated</t>
      </text>
    </comment>
    <comment ref="BO907" authorId="0" shapeId="0">
      <text>
        <t>Tegus:
Estimated</t>
      </text>
    </comment>
    <comment ref="BO908" authorId="0" shapeId="0">
      <text>
        <t>Tegus:
Estimated</t>
      </text>
    </comment>
    <comment ref="BO909" authorId="0" shapeId="0">
      <text>
        <t>Tegus:
Estimated</t>
      </text>
    </comment>
    <comment ref="BO910" authorId="0" shapeId="0">
      <text>
        <t>Tegus:
Estimated</t>
      </text>
    </comment>
    <comment ref="BO911" authorId="0" shapeId="0">
      <text>
        <t>Tegus:
Estimated</t>
      </text>
    </comment>
    <comment ref="BO913" authorId="0" shapeId="0">
      <text>
        <t>Tegus:
Estimated</t>
      </text>
    </comment>
    <comment ref="BO914" authorId="0" shapeId="0">
      <text>
        <t>Tegus:
Estimated</t>
      </text>
    </comment>
    <comment ref="BO917" authorId="0" shapeId="0">
      <text>
        <t>Tegus:
Estimated</t>
      </text>
    </comment>
    <comment ref="BO921" authorId="0" shapeId="0">
      <text>
        <t>Tegus (AN):
To be updated with 10-Q/K</t>
      </text>
    </comment>
    <comment ref="BO923" authorId="0" shapeId="0">
      <text>
        <t>Tegus:
Estimated</t>
      </text>
    </comment>
    <comment ref="BO928" authorId="0" shapeId="0">
      <text>
        <t>Tegus:
Estimated</t>
      </text>
    </comment>
    <comment ref="BO929" authorId="0" shapeId="0">
      <text>
        <t>Tegus:
Estimated</t>
      </text>
    </comment>
    <comment ref="BO930" authorId="0" shapeId="0">
      <text>
        <t>Tegus:
Estimated</t>
      </text>
    </comment>
    <comment ref="BO931" authorId="0" shapeId="0">
      <text>
        <t>Tegus:
Estimated</t>
      </text>
    </comment>
    <comment ref="BO932" authorId="0" shapeId="0">
      <text>
        <t>Tegus:
Estimated</t>
      </text>
    </comment>
    <comment ref="BO933" authorId="0" shapeId="0">
      <text>
        <t>Tegus:
Estimated</t>
      </text>
    </comment>
    <comment ref="BO934" authorId="0" shapeId="0">
      <text>
        <t>Tegus:
Estimated</t>
      </text>
    </comment>
    <comment ref="BO935" authorId="0" shapeId="0">
      <text>
        <t>Tegus (AN):
To be updated with 10-Q/K</t>
      </text>
    </comment>
    <comment ref="BO936" authorId="0" shapeId="0">
      <text>
        <t>Tegus:
Estimated</t>
      </text>
    </comment>
    <comment ref="BO937" authorId="0" shapeId="0">
      <text>
        <t>Tegus (AN):
To be updated with 10-Q/K</t>
      </text>
    </comment>
    <comment ref="A949" authorId="1" shapeId="0">
      <text>
        <t>Tegus (BZ):
includes cumulative translation adjustments</t>
      </text>
    </comment>
    <comment ref="C957" authorId="1" shapeId="0">
      <text>
        <t>Tegus (BZ):
starts from net income after tax</t>
      </text>
    </comment>
    <comment ref="D957" authorId="1" shapeId="0">
      <text>
        <t>Tegus (BZ):
starts from net income after tax</t>
      </text>
    </comment>
    <comment ref="E957" authorId="1" shapeId="0">
      <text>
        <t>Tegus (BZ):
starts from net income after tax</t>
      </text>
    </comment>
    <comment ref="F957" authorId="1" shapeId="0">
      <text>
        <t>Tegus (BZ):
starts with net income before tax on CF statement</t>
      </text>
    </comment>
    <comment ref="BN957" authorId="0" shapeId="0">
      <text>
        <t>Tegus (AN):
Temporary rounding</t>
      </text>
    </comment>
    <comment ref="BO957" authorId="0" shapeId="0">
      <text>
        <t>Tegus (AN):
Temporary rounding</t>
      </text>
    </comment>
  </commentList>
</comments>
</file>

<file path=xl/comments/comment2.xml><?xml version="1.0" encoding="utf-8"?>
<comments xmlns="http://schemas.openxmlformats.org/spreadsheetml/2006/main">
  <authors>
    <author>Canalyst (LZ)</author>
    <author>Tegus (WW)</author>
    <author>Tegus (BL)</author>
    <author>Tegus (AA)</author>
  </authors>
  <commentList>
    <comment ref="A4" authorId="0" shapeId="0">
      <text>
        <t>Tegus:
Sort Largest to Smallest to return to default.</t>
      </text>
    </comment>
    <comment ref="I6" authorId="1" shapeId="0">
      <text>
        <t>Tegus (WW):
USD</t>
      </text>
    </comment>
    <comment ref="J6" authorId="1" shapeId="0">
      <text>
        <t>Tegus (WW):
USD</t>
      </text>
    </comment>
    <comment ref="K6" authorId="1" shapeId="0">
      <text>
        <t>Tegus (WW):
USD</t>
      </text>
    </comment>
    <comment ref="K8" authorId="2" shapeId="0">
      <text>
        <t>Tegus (ALT):
based on the exchange rate assumption of 1 US dollar to 31.6 NT dollars</t>
      </text>
    </comment>
    <comment ref="I13" authorId="1" shapeId="0">
      <text>
        <t>Tegus (WW):
USD</t>
      </text>
    </comment>
    <comment ref="J13" authorId="1" shapeId="0">
      <text>
        <t>Tegus (WW):
USD</t>
      </text>
    </comment>
    <comment ref="K13" authorId="1" shapeId="0">
      <text>
        <t>Tegus (WW):
USD</t>
      </text>
    </comment>
    <comment ref="N13" authorId="2" shapeId="0">
      <text>
        <t>Tegus (WW):
based on the exchange rate assumption of 1 US dollar to 33.25 NT dollars</t>
      </text>
    </comment>
    <comment ref="K15" authorId="2" shapeId="0">
      <text>
        <t>Tegus (ALT):
based on the exchange rate assumption of 1 US dollar to 30.6 NT dollars</t>
      </text>
    </comment>
    <comment ref="K20" authorId="1" shapeId="0">
      <text>
        <t>Tegus (ALT):
increase by close to 30% in US dollar terms</t>
      </text>
    </comment>
    <comment ref="N20" authorId="1" shapeId="0">
      <text>
        <t>Tegus (WW):
Canalyst currently not forecast this metrics</t>
      </text>
    </comment>
    <comment ref="I21" authorId="1" shapeId="0">
      <text>
        <t>Tegus (WW):
USD</t>
      </text>
    </comment>
    <comment ref="J21" authorId="1" shapeId="0">
      <text>
        <t>Tegus (WW):
USD</t>
      </text>
    </comment>
    <comment ref="K21" authorId="1" shapeId="0">
      <text>
        <t>Tegus (WW):
USD</t>
      </text>
    </comment>
    <comment ref="N21" authorId="2" shapeId="0">
      <text>
        <t>Tegus (WW):
based on the exchange rate assumption of 1 US dollar to 33.25 NT dollars</t>
      </text>
    </comment>
    <comment ref="K23" authorId="2" shapeId="0">
      <text>
        <t>Tegus (ALT):
based on the exchange rate assumption of 1 US dollar to 29.0 NT dollars</t>
      </text>
    </comment>
    <comment ref="K28" authorId="1" shapeId="0">
      <text>
        <t>Tegus (WW):
mid-20s%</t>
      </text>
    </comment>
    <comment ref="N28" authorId="1" shapeId="0">
      <text>
        <t>Tegus (WW):
Canalyst currently not forecast this metrics</t>
      </text>
    </comment>
    <comment ref="I29" authorId="1" shapeId="0">
      <text>
        <t>Tegus (WW):
USD</t>
      </text>
    </comment>
    <comment ref="J29" authorId="1" shapeId="0">
      <text>
        <t>Tegus (WW):
USD</t>
      </text>
    </comment>
    <comment ref="K29" authorId="1" shapeId="0">
      <text>
        <t>Tegus (WW):
USD</t>
      </text>
    </comment>
    <comment ref="N29" authorId="2" shapeId="0">
      <text>
        <t>Tegus (WW):
based on the exchange rate assumption of 1 US dollar to 33.25 NT dollars</t>
      </text>
    </comment>
    <comment ref="K32" authorId="2" shapeId="0">
      <text>
        <t>Tegus (BL):
based on the exchange rate assumption of 1 US dollar to 32.5 NT dollars</t>
      </text>
    </comment>
    <comment ref="K36" authorId="1" shapeId="0">
      <text>
        <t>Tegus (WW):
Around 20%</t>
      </text>
    </comment>
    <comment ref="I38" authorId="1" shapeId="0">
      <text>
        <t>Tegus (WW):
USD</t>
      </text>
    </comment>
    <comment ref="J38" authorId="1" shapeId="0">
      <text>
        <t>Tegus (WW):
USD</t>
      </text>
    </comment>
    <comment ref="K38" authorId="1" shapeId="0">
      <text>
        <t>Tegus (WW):
USD</t>
      </text>
    </comment>
    <comment ref="N38" authorId="2" shapeId="0">
      <text>
        <t>Tegus (WW):
based on the exchange rate assumption of 1 US dollar to 33.25 NT dollars</t>
      </text>
    </comment>
    <comment ref="K41" authorId="3" shapeId="0">
      <text>
        <t>Tegus (AA):
based on the exchange rate assumption of 1 US dollar to 32.8 NT dollars</t>
      </text>
    </comment>
    <comment ref="I46" authorId="1" shapeId="0">
      <text>
        <t>Tegus (WW):
USD</t>
      </text>
    </comment>
    <comment ref="J46" authorId="1" shapeId="0">
      <text>
        <t>Tegus (WW):
USD</t>
      </text>
    </comment>
    <comment ref="K46" authorId="1" shapeId="0">
      <text>
        <t>Tegus (WW):
slightly higher than USD 30 billion</t>
      </text>
    </comment>
    <comment ref="K48" authorId="3" shapeId="0">
      <text>
        <t>Tegus (AA):
based on the exchange rate assumption of 1 US dollar to 32 NT dollars</t>
      </text>
    </comment>
    <comment ref="I53" authorId="1" shapeId="0">
      <text>
        <t>Tegus (WW):
USD</t>
      </text>
    </comment>
    <comment ref="J53" authorId="1" shapeId="0">
      <text>
        <t>Tegus (WW):
USD</t>
      </text>
    </comment>
    <comment ref="K55" authorId="0" shapeId="0">
      <text>
        <t>Tegus (MP):
Based on the exchange rate assumption of USD 1 to TWD 32.5</t>
      </text>
    </comment>
    <comment ref="I60" authorId="1" shapeId="0">
      <text>
        <t>Tegus (WW):
USD</t>
      </text>
    </comment>
    <comment ref="J60" authorId="1" shapeId="0">
      <text>
        <t>Tegus (WW):
USD</t>
      </text>
    </comment>
    <comment ref="K63" authorId="0" shapeId="0">
      <text>
        <t>Tegus (MP):
Based on the exchange rate assumption of USD 1 to TWD 32.3</t>
      </text>
    </comment>
    <comment ref="I69" authorId="1" shapeId="0">
      <text>
        <t>Tegus (WW):
USD</t>
      </text>
    </comment>
    <comment ref="J69" authorId="1" shapeId="0">
      <text>
        <t>Tegus (WW):
USD</t>
      </text>
    </comment>
    <comment ref="K71" authorId="0" shapeId="0">
      <text>
        <t>Tegus (TP):
Based on the exchange rate assumption of USD 1 to TWD 31.1</t>
      </text>
    </comment>
    <comment ref="I76" authorId="1" shapeId="0">
      <text>
        <t>Tegus (WW):
USD</t>
      </text>
    </comment>
    <comment ref="J76" authorId="1" shapeId="0">
      <text>
        <t>Tegus (WW):
USD</t>
      </text>
    </comment>
    <comment ref="K78" authorId="0" shapeId="0">
      <text>
        <t>Tegus (TP):
Based on the exchange rate assumption of USD 1 to TWD 30.8</t>
      </text>
    </comment>
    <comment ref="I83" authorId="1" shapeId="0">
      <text>
        <t>Tegus (WW):
USD</t>
      </text>
    </comment>
    <comment ref="J83" authorId="1" shapeId="0">
      <text>
        <t>Tegus (WW):
USD</t>
      </text>
    </comment>
    <comment ref="K85" authorId="0" shapeId="0">
      <text>
        <t>Tegus (TP):
Based on the exchange rate assumption of USD 1 to TWD 30.8</t>
      </text>
    </comment>
    <comment ref="I90" authorId="1" shapeId="0">
      <text>
        <t>Tegus (WW):
USD</t>
      </text>
    </comment>
    <comment ref="J90" authorId="1" shapeId="0">
      <text>
        <t>Tegus (WW):
USD</t>
      </text>
    </comment>
    <comment ref="K92" authorId="0" shapeId="0">
      <text>
        <t>Tegus (MP):
Based on the exchange rate assumption of USD 1 to TWD 30.4</t>
      </text>
    </comment>
    <comment ref="I97" authorId="1" shapeId="0">
      <text>
        <t>Tegus (WW):
USD</t>
      </text>
    </comment>
    <comment ref="J97" authorId="1" shapeId="0">
      <text>
        <t>Tegus (WW):
USD</t>
      </text>
    </comment>
    <comment ref="K100" authorId="0" shapeId="0">
      <text>
        <t>Tegus (CZ):
Based on the exchange rate assumption of USD 1 to TWD 30.7</t>
      </text>
    </comment>
    <comment ref="I105" authorId="1" shapeId="0">
      <text>
        <t>Tegus (WW):
USD</t>
      </text>
    </comment>
    <comment ref="J105" authorId="1" shapeId="0">
      <text>
        <t>Tegus (WW):
USD</t>
      </text>
    </comment>
    <comment ref="K107" authorId="0" shapeId="0">
      <text>
        <t>Tegus (AK):
Based on the exchange rate assumption of USD 1 to TWD 31.5,</t>
      </text>
    </comment>
    <comment ref="K112" authorId="0" shapeId="0">
      <text>
        <t>Tegus (AK):
CLOSER TO LOWER END OF PREVIOUS GUIDANCE OF $40-44 BLN</t>
      </text>
    </comment>
    <comment ref="K115" authorId="0" shapeId="0">
      <text>
        <t>Tegus (AK):
Based on the exchange rate assumption of USD 1 to TWD 29.7,</t>
      </text>
    </comment>
    <comment ref="K120" authorId="0" shapeId="0">
      <text>
        <t>Tegus (AK):
CLOSER TO LOWER END OF PREVIOUS GUIDANCE OF $40-44 BLN</t>
      </text>
    </comment>
    <comment ref="I122" authorId="0" shapeId="0">
      <text>
        <t>Tegus (AK):
based on the exchange rate assumption of 1 US dollar to 28.8 NT dollars</t>
      </text>
    </comment>
    <comment ref="J122" authorId="0" shapeId="0">
      <text>
        <t>Tegus (AK):
based on the exchange rate assumption of 1 US dollar to 28.8 NT dollars</t>
      </text>
    </comment>
    <comment ref="K122" authorId="0" shapeId="0">
      <text>
        <t>Tegus (AK):
based on the exchange rate assumption of 1 US dollar to 28.8 NT dollars</t>
      </text>
    </comment>
    <comment ref="I130" authorId="0" shapeId="0">
      <text>
        <t>Tegus (KZZH):
"based on the exchange rate assumption of 1 US dollar to 27.6 NT dollar."</t>
      </text>
    </comment>
    <comment ref="J130" authorId="0" shapeId="0">
      <text>
        <t>Tegus (KZZH):
"based on the exchange rate assumption of 1 US dollar to 27.6 NT dollar."</t>
      </text>
    </comment>
    <comment ref="K130" authorId="0" shapeId="0">
      <text>
        <t>Tegus (KZZH):
"based on the exchange rate assumption of 1 US dollar to 27.6 NT dollar."</t>
      </text>
    </comment>
    <comment ref="N130" authorId="0" shapeId="0">
      <text>
        <t>Tegus (KZZH):
"based on the exchange rate assumption of 1 US dollar to 27.6 NT dollar."</t>
      </text>
    </comment>
    <comment ref="I137" authorId="0" shapeId="0">
      <text>
        <t>Tegus (TP):
"based on the exchange rate assumption of 1 US dollar to 28 NT dollar."</t>
      </text>
    </comment>
    <comment ref="J137" authorId="0" shapeId="0">
      <text>
        <t>Tegus (TP):
"based on the exchange rate assumption of 1 US dollar to 28 NT dollar."</t>
      </text>
    </comment>
    <comment ref="K137" authorId="0" shapeId="0">
      <text>
        <t>Tegus (TP):
"based on the exchange rate assumption of 1 US dollar to 28 NT dollar."</t>
      </text>
    </comment>
    <comment ref="N137" authorId="0" shapeId="0">
      <text>
        <t>Tegus (TP):
"based on the exchange rate assumption of 1 US dollar to 28 NT dollar."</t>
      </text>
    </comment>
    <comment ref="I142" authorId="0" shapeId="0">
      <text>
        <t>Tegus (KZZH):
"based on the exchange rate assumption of 1 US dollar to 27.9 NT dollar."</t>
      </text>
    </comment>
    <comment ref="J142" authorId="0" shapeId="0">
      <text>
        <t>Tegus (KZZH):
"based on the exchange rate assumption of 1 US dollar to 27.9 NT dollar."</t>
      </text>
    </comment>
    <comment ref="K142" authorId="0" shapeId="0">
      <text>
        <t>Tegus (KZZH):
"based on the exchange rate assumption of 1 US dollar to 27.9 NT dollar."</t>
      </text>
    </comment>
    <comment ref="N142" authorId="0" shapeId="0">
      <text>
        <t>Tegus (KZZH):
"based on the exchange rate assumption of 1 US dollar to 27.9 NT dollar."</t>
      </text>
    </comment>
    <comment ref="N147" authorId="0" shapeId="0">
      <text>
        <t>Tegus (AK):
The management further expects the 2021 capital budget to be around US$30 billion</t>
      </text>
    </comment>
    <comment ref="I149" authorId="0" shapeId="0">
      <text>
        <t>Tegus (KZZH):
"based on the exchange rate assumption of 1 US dollar to 28.4 NT dollar."</t>
      </text>
    </comment>
    <comment ref="J149" authorId="0" shapeId="0">
      <text>
        <t>Tegus (KZZH):
"based on the exchange rate assumption of 1 US dollar to 28.4 NT dollar."</t>
      </text>
    </comment>
    <comment ref="K149" authorId="0" shapeId="0">
      <text>
        <t>Tegus (KZZH):
"based on the exchange rate assumption of 1 US dollar to 28.4 NT dollar."</t>
      </text>
    </comment>
    <comment ref="N149" authorId="0" shapeId="0">
      <text>
        <t>Tegus (KZZH):
"based on the exchange rate assumption of 1 US dollar to 28.4 NT dollar."</t>
      </text>
    </comment>
    <comment ref="N154" authorId="0" shapeId="0">
      <text>
        <t>Tegus (AP):
Assuming 1USD:28.95NTD exchange rate</t>
      </text>
    </comment>
    <comment ref="I157" authorId="0" shapeId="0">
      <text>
        <t>Tegus (KZZH):
"based on the exchange rate assumption of 1 US dollar to 27.95 NT dollar."</t>
      </text>
    </comment>
    <comment ref="J157" authorId="0" shapeId="0">
      <text>
        <t>Tegus (KZZH):
"based on the exchange rate assumption of 1 US dollar to 27.95 NT dollar."</t>
      </text>
    </comment>
    <comment ref="K157" authorId="0" shapeId="0">
      <text>
        <t>Tegus (KZZH):
"based on the exchange rate assumption of 1 US dollar to 27.95 NT dollar."</t>
      </text>
    </comment>
    <comment ref="N157" authorId="0" shapeId="0">
      <text>
        <t>Tegus (KZZH):
"based on the exchange rate assumption of 1 US dollar to 27.95 NT dollar."</t>
      </text>
    </comment>
    <comment ref="N162" authorId="0" shapeId="0">
      <text>
        <t>Tegus (AP):
Assuming 1USD:28.95NTD exchange rate</t>
      </text>
    </comment>
    <comment ref="I164" authorId="0" shapeId="0">
      <text>
        <t>Tegus (KZZH):
"based on the exchange rate assumption of 1 US dollar to 28.75 NT dollar."</t>
      </text>
    </comment>
    <comment ref="J164" authorId="0" shapeId="0">
      <text>
        <t>Tegus (KZZH):
"based on the exchange rate assumption of 1 US dollar to 28.75 NT dollar."</t>
      </text>
    </comment>
    <comment ref="K164" authorId="0" shapeId="0">
      <text>
        <t>Tegus (KZZH):
"based on the exchange rate assumption of 1 US dollar to 28.75 NT dollar."</t>
      </text>
    </comment>
    <comment ref="N164" authorId="0" shapeId="0">
      <text>
        <t>Tegus (KZZH):
"based on the exchange rate assumption of 1 US dollar to 28.75 NT dollar."</t>
      </text>
    </comment>
    <comment ref="N169" authorId="0" shapeId="0">
      <text>
        <t>Tegus (AP):
Assuming 1USD:29.5NTD exchange rate</t>
      </text>
    </comment>
    <comment ref="N171" authorId="0" shapeId="0">
      <text>
        <t>Tegus (AP):
Assuming 1USD:29.5NTD exchange rate</t>
      </text>
    </comment>
    <comment ref="N176" authorId="0" shapeId="0">
      <text>
        <t>Tegus (AP):
Assuming 1USD:28.95NTD exchange rate</t>
      </text>
    </comment>
    <comment ref="I178" authorId="0" shapeId="0">
      <text>
        <t>Tegus (AP):
Assuming 1USD:30.0NTD exchange rate</t>
      </text>
    </comment>
    <comment ref="J178" authorId="0" shapeId="0">
      <text>
        <t>Tegus (AP):
Assuming 1USD:30.0NTD exchange rate</t>
      </text>
    </comment>
    <comment ref="K178" authorId="0" shapeId="0">
      <text>
        <t>Tegus (AP):
Assuming 1USD:30.0NTD exchange rate</t>
      </text>
    </comment>
    <comment ref="N178" authorId="0" shapeId="0">
      <text>
        <t>Tegus (AP):
Assuming 1USD:30.0NTD exchange rate</t>
      </text>
    </comment>
    <comment ref="N183" authorId="0" shapeId="0">
      <text>
        <t>Tegus (AP):
Assuming 1USD:29.9NTD exchange rate</t>
      </text>
    </comment>
    <comment ref="I186" authorId="0" shapeId="0">
      <text>
        <t>Tegus (AP):
Assuming 1USD:29.9NTD exchange rate</t>
      </text>
    </comment>
    <comment ref="J186" authorId="0" shapeId="0">
      <text>
        <t>Tegus (AP):
Assuming 1USD:29.9NTD exchange rate</t>
      </text>
    </comment>
    <comment ref="K186" authorId="0" shapeId="0">
      <text>
        <t>Tegus (AP):
Assuming 1USD:29.9NTD exchange rate</t>
      </text>
    </comment>
    <comment ref="N186" authorId="0" shapeId="0">
      <text>
        <t>Tegus (AP):
Assuming 1USD:29.9NTD exchange rate</t>
      </text>
    </comment>
    <comment ref="I191" authorId="0" shapeId="0">
      <text>
        <t>Tegus:
Will Chien: 1.5bn for 7nm capacity 2.5bn for 5nm capacity</t>
      </text>
    </comment>
    <comment ref="J191" authorId="0" shapeId="0">
      <text>
        <t>Tegus:
Will Chien: 1.5bn for 7nm capacity 2.5bn for 5nm capacity</t>
      </text>
    </comment>
    <comment ref="K191" authorId="0" shapeId="0">
      <text>
        <t>Tegus:
Will Chien: 1.5bn for 7nm capacity 2.5bn for 5nm capacity</t>
      </text>
    </comment>
    <comment ref="N191" authorId="0" shapeId="0">
      <text>
        <t>Tegus (AP):
Assuming 1USD:30.6NTD exchange rate</t>
      </text>
    </comment>
    <comment ref="I193" authorId="0" shapeId="0">
      <text>
        <t>Tegus (WC):
Assuming 1USD:30.6 TWD exchange rate</t>
      </text>
    </comment>
    <comment ref="J193" authorId="0" shapeId="0">
      <text>
        <t>Tegus (WC):
Assuming 1USD:30.6 TWD exchange rate</t>
      </text>
    </comment>
    <comment ref="K193" authorId="0" shapeId="0">
      <text>
        <t>Tegus (WC):
Assuming 1USD:30.6 TWD exchange rate</t>
      </text>
    </comment>
    <comment ref="N193" authorId="0" shapeId="0">
      <text>
        <t>Tegus (AP):
Assuming 1USD:30.6NTD exchange rate</t>
      </text>
    </comment>
    <comment ref="N198" authorId="0" shapeId="0">
      <text>
        <t>Tegus (WC):
Assuming 1USD:31NTD exchange rate</t>
      </text>
    </comment>
    <comment ref="I199" authorId="0" shapeId="0">
      <text>
        <t>Tegus (WC):
up single-digit</t>
      </text>
    </comment>
    <comment ref="J199" authorId="0" shapeId="0">
      <text>
        <t>Tegus (WC):
up single-digit</t>
      </text>
    </comment>
    <comment ref="K199" authorId="0" shapeId="0">
      <text>
        <t>Tegus (WC):
up single-digit</t>
      </text>
    </comment>
    <comment ref="I200" authorId="0" shapeId="0">
      <text>
        <t>Tegus (WC):
up single-digit</t>
      </text>
    </comment>
    <comment ref="J200" authorId="0" shapeId="0">
      <text>
        <t>Tegus (WC):
up single-digit</t>
      </text>
    </comment>
    <comment ref="K200" authorId="0" shapeId="0">
      <text>
        <t>Tegus (WC):
up single-digit</t>
      </text>
    </comment>
    <comment ref="I201" authorId="0" shapeId="0">
      <text>
        <t>Tegus (WC):
up double digit</t>
      </text>
    </comment>
    <comment ref="J201" authorId="0" shapeId="0">
      <text>
        <t>Tegus (WC):
up double digit</t>
      </text>
    </comment>
    <comment ref="K201" authorId="0" shapeId="0">
      <text>
        <t>Tegus (WC):
up double digit</t>
      </text>
    </comment>
    <comment ref="I202" authorId="0" shapeId="0">
      <text>
        <t>Tegus (WC):
yoy decline</t>
      </text>
    </comment>
    <comment ref="J202" authorId="0" shapeId="0">
      <text>
        <t>Tegus (WC):
yoy decline</t>
      </text>
    </comment>
    <comment ref="K202" authorId="0" shapeId="0">
      <text>
        <t>Tegus (WC):
yoy decline</t>
      </text>
    </comment>
    <comment ref="N204" authorId="0" shapeId="0">
      <text>
        <t>Tegus (WC):
Assuming 1USD:31NTD exchange rate</t>
      </text>
    </comment>
    <comment ref="N212" authorId="0" shapeId="0">
      <text>
        <t>Tegus (AH):
Assuming 1USD:30.85NTD exchange rate</t>
      </text>
    </comment>
    <comment ref="N218" authorId="0" shapeId="0">
      <text>
        <t>Tegus (JK):
Assuming 1USD:30.6NTD exchange rate</t>
      </text>
    </comment>
    <comment ref="N220" authorId="0" shapeId="0">
      <text>
        <t>Tegus (JK):
Assuming 1USD:30.6NTD exchange rate</t>
      </text>
    </comment>
    <comment ref="N228" authorId="0" shapeId="0">
      <text>
        <t>Tegus (AY):
Assuming 1USD:30.8NTD exchange rate</t>
      </text>
    </comment>
    <comment ref="N236" authorId="0" shapeId="0">
      <text>
        <t>Tegus (AY):
Assuming 1USD:30.5NTD exchange rate</t>
      </text>
    </comment>
    <comment ref="N244" authorId="0" shapeId="0">
      <text>
        <t>Tegus (AB):
Based on the exchange rate assumption of 1 US dollar to 29.6NT dollars.</t>
      </text>
    </comment>
    <comment ref="N250" authorId="0" shapeId="0">
      <text>
        <t>Tegus (AB):
Based on the exchange rate assumption of 1 US dollar to 29.6NT dollars.</t>
      </text>
    </comment>
    <comment ref="N252" authorId="0" shapeId="0">
      <text>
        <t>Tegus (AB):
Based on the exchange rate assumption of 1 US dollar to 29.6NT dollars.</t>
      </text>
    </comment>
  </commentList>
</comments>
</file>

<file path=xl/comments/comment3.xml><?xml version="1.0" encoding="utf-8"?>
<comments xmlns="http://schemas.openxmlformats.org/spreadsheetml/2006/main">
  <authors>
    <author>Canalyst (LZ)</author>
  </authors>
  <commentList>
    <comment ref="AC132" authorId="0" shapeId="0">
      <text>
        <t>Tegus (JK):
Error as CFS is reported to 1 decimal and the formulas have been changed to accommodate this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0</colOff>
      <row>1</row>
      <rowOff>0</rowOff>
    </from>
    <to>
      <col>5</col>
      <colOff>133350</colOff>
      <row>6</row>
      <rowOff>58420</rowOff>
    </to>
    <pic>
      <nvPicPr>
        <cNvPr id="9" name="CanalystByASLogo"/>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95350" y="180975"/>
          <a:ext cx="2095500" cy="1009650"/>
        </a:xfrm>
        <a:prstGeom xmlns:a="http://schemas.openxmlformats.org/drawingml/2006/main" prst="rect"/>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0</colOff>
      <row>1</row>
      <rowOff>0</rowOff>
    </from>
    <to>
      <col>3</col>
      <colOff>1238250</colOff>
      <row>6</row>
      <rowOff>173355</rowOff>
    </to>
    <pic>
      <nvPicPr>
        <cNvPr id="9" name="CanalystByASLogo"/>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42975" y="180975"/>
          <a:ext cx="2286000" cy="1076325"/>
        </a:xfrm>
        <a:prstGeom xmlns:a="http://schemas.openxmlformats.org/drawingml/2006/main" prst="rect"/>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support@canalyst.com?subject=Canalyst%20Support:%20Taiwan%20Semiconductor%20Manufacturing%20Company%20Ltd.%20TSM%20US&amp;body=Model%20Version:%20Q2-2019.21" TargetMode="External" Id="rId1"/><Relationship Type="http://schemas.openxmlformats.org/officeDocument/2006/relationships/hyperlink" Target="mailto:support@canalyst.com?subject=Canalyst%20Support:%20Taiwan%20Semiconductor%20Manufacturing%20Company%20Ltd.%20TSM%20US&amp;body=Model%20Version:%20Q2-2019.21" TargetMode="External" Id="rId2"/><Relationship Type="http://schemas.openxmlformats.org/officeDocument/2006/relationships/hyperlink" Target="mailto:support@canalyst.com?subject=Canalyst%20Support:%20Taiwan%20Semiconductor%20Manufacturing%20Company%20Ltd.%20TSM%20US&amp;body=Model%20Version:%20Q2-2019.21" TargetMode="External" Id="rId3"/><Relationship Type="http://schemas.openxmlformats.org/officeDocument/2006/relationships/drawing" Target="/xl/drawings/drawing1.xml" Id="rId4"/></Relationships>
</file>

<file path=xl/worksheets/_rels/sheet3.xml.rels><Relationships xmlns="http://schemas.openxmlformats.org/package/2006/relationships"><Relationship Type="http://schemas.openxmlformats.org/officeDocument/2006/relationships/hyperlink" Target="http://www.tsmc.com/english/investorRelations/index.htm"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bamsec.com/transcripts/fcede2c4-3aa4-47aa-88e3-a2665176b8b4" TargetMode="External" Id="rId1"/><Relationship Type="http://schemas.openxmlformats.org/officeDocument/2006/relationships/hyperlink" Target="https://www.bamsec.com/transcripts/7de565b8-dca8-47eb-b882-8ae1e734d3ae" TargetMode="External" Id="rId2"/><Relationship Type="http://schemas.openxmlformats.org/officeDocument/2006/relationships/hyperlink" Target="https://investor.tsmc.com/english/encrypt/files/encrypt_file/reports/2025-10/e2bc3d3489511b11699eed2c65c4ad22162270e3/3Q25%20Presentation%20%28E%29.pdf" TargetMode="External" Id="rId3"/><Relationship Type="http://schemas.openxmlformats.org/officeDocument/2006/relationships/hyperlink" Target="https://investor.tsmc.com/english/encrypt/files/encrypt_file/reports/2025-10/e2bc3d3489511b11699eed2c65c4ad22162270e3/3Q25%20Presentation%20%28E%29.pdf" TargetMode="External" Id="rId4"/><Relationship Type="http://schemas.openxmlformats.org/officeDocument/2006/relationships/hyperlink" Target="https://investor.tsmc.com/english/encrypt/files/encrypt_file/reports/2025-10/e2bc3d3489511b11699eed2c65c4ad22162270e3/3Q25%20Presentation%20%28E%29.pdf" TargetMode="External" Id="rId5"/><Relationship Type="http://schemas.openxmlformats.org/officeDocument/2006/relationships/hyperlink" Target="https://investor.tsmc.com/english/encrypt/files/encrypt_file/reports/2025-10/e2bc3d3489511b11699eed2c65c4ad22162270e3/3Q25%20Presentation%20%28E%29.pdf" TargetMode="External" Id="rId6"/><Relationship Type="http://schemas.openxmlformats.org/officeDocument/2006/relationships/hyperlink" Target="https://investor.tsmc.com/english/encrypt/files/encrypt_file/reports/2025-07/0b789bd2a405b69773e1ccfcfadd222600f3734c/2Q25%20Presentation%20%28E%29.pdf" TargetMode="External" Id="rId7"/><Relationship Type="http://schemas.openxmlformats.org/officeDocument/2006/relationships/hyperlink" Target="https://www.bamsec.com/transcripts/3df54427-a429-4374-bb7b-22f0f6abab41" TargetMode="External" Id="rId8"/><Relationship Type="http://schemas.openxmlformats.org/officeDocument/2006/relationships/hyperlink" Target="https://investor.tsmc.com/english/encrypt/files/encrypt_file/reports/2025-07/0b789bd2a405b69773e1ccfcfadd222600f3734c/2Q25%20Presentation%20%28E%29.pdf" TargetMode="External" Id="rId9"/><Relationship Type="http://schemas.openxmlformats.org/officeDocument/2006/relationships/hyperlink" Target="https://investor.tsmc.com/english/encrypt/files/encrypt_file/reports/2025-07/0b789bd2a405b69773e1ccfcfadd222600f3734c/2Q25%20Presentation%20%28E%29.pdf" TargetMode="External" Id="rId10"/><Relationship Type="http://schemas.openxmlformats.org/officeDocument/2006/relationships/hyperlink" Target="https://investor.tsmc.com/english/encrypt/files/encrypt_file/reports/2025-07/0b789bd2a405b69773e1ccfcfadd222600f3734c/2Q25%20Presentation%20%28E%29.pdf" TargetMode="External" Id="rId11"/><Relationship Type="http://schemas.openxmlformats.org/officeDocument/2006/relationships/hyperlink" Target="https://investor.tsmc.com/english/encrypt/files/encrypt_file/reports/2025-07/0b789bd2a405b69773e1ccfcfadd222600f3734c/2Q25%20Presentation%20%28E%29.pdf" TargetMode="External" Id="rId12"/><Relationship Type="http://schemas.openxmlformats.org/officeDocument/2006/relationships/hyperlink" Target="https://investor.tsmc.com/english/encrypt/files/encrypt_file/reports/2025-04/ee52288ce5bd516a6346a4129eb00d1aac300beb/1Q25%20Presentation%20%28E%29.pdf" TargetMode="External" Id="rId13"/><Relationship Type="http://schemas.openxmlformats.org/officeDocument/2006/relationships/hyperlink" Target="https://investor.tsmc.com/english/encrypt/files/encrypt_file/reports/2025-04/7630274eecc1197a4e3ea6a415f44a47204fe10a/TSMC%201Q25%20Transcript.pdf" TargetMode="External" Id="rId14"/><Relationship Type="http://schemas.openxmlformats.org/officeDocument/2006/relationships/hyperlink" Target="https://investor.tsmc.com/english/encrypt/files/encrypt_file/reports/2025-04/7630274eecc1197a4e3ea6a415f44a47204fe10a/TSMC%201Q25%20Transcript.pdf" TargetMode="External" Id="rId15"/><Relationship Type="http://schemas.openxmlformats.org/officeDocument/2006/relationships/hyperlink" Target="https://investor.tsmc.com/english/encrypt/files/encrypt_file/reports/2025-04/ee52288ce5bd516a6346a4129eb00d1aac300beb/1Q25%20Presentation%20%28E%29.pdf" TargetMode="External" Id="rId16"/><Relationship Type="http://schemas.openxmlformats.org/officeDocument/2006/relationships/hyperlink" Target="https://investor.tsmc.com/english/encrypt/files/encrypt_file/reports/2025-04/ee52288ce5bd516a6346a4129eb00d1aac300beb/1Q25%20Presentation%20%28E%29.pdf" TargetMode="External" Id="rId17"/><Relationship Type="http://schemas.openxmlformats.org/officeDocument/2006/relationships/hyperlink" Target="https://investor.tsmc.com/english/encrypt/files/encrypt_file/reports/2025-04/ee52288ce5bd516a6346a4129eb00d1aac300beb/1Q25%20Presentation%20%28E%29.pdf" TargetMode="External" Id="rId18"/><Relationship Type="http://schemas.openxmlformats.org/officeDocument/2006/relationships/hyperlink" Target="https://investor.tsmc.com/english/encrypt/files/encrypt_file/reports/2025-04/ee52288ce5bd516a6346a4129eb00d1aac300beb/1Q25%20Presentation%20%28E%29.pdf" TargetMode="External" Id="rId19"/><Relationship Type="http://schemas.openxmlformats.org/officeDocument/2006/relationships/hyperlink" Target="https://investor.tsmc.com/english/encrypt/files/encrypt_file/reports/2025-04/7630274eecc1197a4e3ea6a415f44a47204fe10a/TSMC%201Q25%20Transcript.pdf" TargetMode="External" Id="rId20"/><Relationship Type="http://schemas.openxmlformats.org/officeDocument/2006/relationships/hyperlink" Target="https://investor.tsmc.com/english/encrypt/files/encrypt_file/reports/2025-01/84aeb15bbe33894365d33f52e027c5268ba95dcf/TSMC%204Q24%20Transcript.pdf" TargetMode="External" Id="rId21"/><Relationship Type="http://schemas.openxmlformats.org/officeDocument/2006/relationships/hyperlink" Target="https://investor.tsmc.com/english/encrypt/files/encrypt_file/reports/2025-01/84aeb15bbe33894365d33f52e027c5268ba95dcf/TSMC%204Q24%20Transcript.pdf" TargetMode="External" Id="rId22"/><Relationship Type="http://schemas.openxmlformats.org/officeDocument/2006/relationships/hyperlink" Target="https://investor.tsmc.com/english/encrypt/files/encrypt_file/reports/2025-01/244ed7a603f240c2aaf09c21b22e9356beec897d/4Q24%20Presentation%20%28E%29.pdf" TargetMode="External" Id="rId23"/><Relationship Type="http://schemas.openxmlformats.org/officeDocument/2006/relationships/hyperlink" Target="https://investor.tsmc.com/english/encrypt/files/encrypt_file/reports/2025-01/244ed7a603f240c2aaf09c21b22e9356beec897d/4Q24%20Presentation%20%28E%29.pdf" TargetMode="External" Id="rId24"/><Relationship Type="http://schemas.openxmlformats.org/officeDocument/2006/relationships/hyperlink" Target="https://investor.tsmc.com/english/encrypt/files/encrypt_file/reports/2025-01/244ed7a603f240c2aaf09c21b22e9356beec897d/4Q24%20Presentation%20%28E%29.pdf" TargetMode="External" Id="rId25"/><Relationship Type="http://schemas.openxmlformats.org/officeDocument/2006/relationships/hyperlink" Target="https://investor.tsmc.com/english/encrypt/files/encrypt_file/reports/2025-01/244ed7a603f240c2aaf09c21b22e9356beec897d/4Q24%20Presentation%20%28E%29.pdf" TargetMode="External" Id="rId26"/><Relationship Type="http://schemas.openxmlformats.org/officeDocument/2006/relationships/hyperlink" Target="https://investor.tsmc.com/english/encrypt/files/encrypt_file/reports/2024-10/b474da862d1c24b1aa0c635a9f771261d93d3154/TSMC%203Q24%20Transcript.pdf" TargetMode="External" Id="rId27"/><Relationship Type="http://schemas.openxmlformats.org/officeDocument/2006/relationships/hyperlink" Target="https://investor.tsmc.com/english/encrypt/files/encrypt_file/reports/2024-10/9ca706c18831d2f07b460082cbe1776f4632d404/3Q24%20Presentation%20%28E%29.pdf" TargetMode="External" Id="rId28"/><Relationship Type="http://schemas.openxmlformats.org/officeDocument/2006/relationships/hyperlink" Target="https://investor.tsmc.com/english/encrypt/files/encrypt_file/reports/2024-10/9ca706c18831d2f07b460082cbe1776f4632d404/3Q24%20Presentation%20%28E%29.pdf" TargetMode="External" Id="rId29"/><Relationship Type="http://schemas.openxmlformats.org/officeDocument/2006/relationships/hyperlink" Target="https://investor.tsmc.com/english/encrypt/files/encrypt_file/reports/2024-10/9ca706c18831d2f07b460082cbe1776f4632d404/3Q24%20Presentation%20%28E%29.pdf" TargetMode="External" Id="rId30"/><Relationship Type="http://schemas.openxmlformats.org/officeDocument/2006/relationships/hyperlink" Target="https://investor.tsmc.com/english/encrypt/files/encrypt_file/reports/2024-10/9ca706c18831d2f07b460082cbe1776f4632d404/3Q24%20Presentation%20%28E%29.pdf" TargetMode="External" Id="rId31"/><Relationship Type="http://schemas.openxmlformats.org/officeDocument/2006/relationships/hyperlink" Target="https://investor.tsmc.com/english/encrypt/files/encrypt_file/reports/2024-08/5122725a56670882d777a8e8bfe0ed247cc55330/TSMC%202Q24%20Transcript.pdf" TargetMode="External" Id="rId32"/><Relationship Type="http://schemas.openxmlformats.org/officeDocument/2006/relationships/hyperlink" Target="https://investor.tsmc.com/english/encrypt/files/encrypt_file/reports/2024-07/7512d1adfdcad311ae571119b0a90f9d87171935/2Q24%20Presentation%20%28E%29.pdf" TargetMode="External" Id="rId33"/><Relationship Type="http://schemas.openxmlformats.org/officeDocument/2006/relationships/hyperlink" Target="https://investor.tsmc.com/english/encrypt/files/encrypt_file/reports/2024-07/7512d1adfdcad311ae571119b0a90f9d87171935/2Q24%20Presentation%20%28E%29.pdf" TargetMode="External" Id="rId34"/><Relationship Type="http://schemas.openxmlformats.org/officeDocument/2006/relationships/hyperlink" Target="https://investor.tsmc.com/english/encrypt/files/encrypt_file/reports/2024-07/7512d1adfdcad311ae571119b0a90f9d87171935/2Q24%20Presentation%20%28E%29.pdf" TargetMode="External" Id="rId35"/><Relationship Type="http://schemas.openxmlformats.org/officeDocument/2006/relationships/hyperlink" Target="https://investor.tsmc.com/english/encrypt/files/encrypt_file/reports/2024-07/7512d1adfdcad311ae571119b0a90f9d87171935/2Q24%20Presentation%20%28E%29.pdf" TargetMode="External" Id="rId36"/><Relationship Type="http://schemas.openxmlformats.org/officeDocument/2006/relationships/hyperlink" Target="https://investor.tsmc.com/english/encrypt/files/encrypt_file/reports/2024-04/34ff75e23e53246302ce3a8d90d0423c57c6b120/TSMC%201Q24%20Transcript.pdf" TargetMode="External" Id="rId37"/><Relationship Type="http://schemas.openxmlformats.org/officeDocument/2006/relationships/hyperlink" Target="https://investor.tsmc.com/english/encrypt/files/encrypt_file/reports/2024-04/34ff75e23e53246302ce3a8d90d0423c57c6b120/TSMC%201Q24%20Transcript.pdf" TargetMode="External" Id="rId38"/><Relationship Type="http://schemas.openxmlformats.org/officeDocument/2006/relationships/hyperlink" Target="https://investor.tsmc.com/english/encrypt/files/encrypt_file/reports/2024-04/93ac4d64a5f16b53c2a31320b7316a0e58333f4f/1Q24%20Presentation%20%28E%29.pdf" TargetMode="External" Id="rId39"/><Relationship Type="http://schemas.openxmlformats.org/officeDocument/2006/relationships/hyperlink" Target="https://investor.tsmc.com/english/encrypt/files/encrypt_file/reports/2024-04/93ac4d64a5f16b53c2a31320b7316a0e58333f4f/1Q24%20Presentation%20%28E%29.pdf" TargetMode="External" Id="rId40"/><Relationship Type="http://schemas.openxmlformats.org/officeDocument/2006/relationships/hyperlink" Target="https://investor.tsmc.com/english/encrypt/files/encrypt_file/reports/2024-04/93ac4d64a5f16b53c2a31320b7316a0e58333f4f/1Q24%20Presentation%20%28E%29.pdf" TargetMode="External" Id="rId41"/><Relationship Type="http://schemas.openxmlformats.org/officeDocument/2006/relationships/hyperlink" Target="https://investor.tsmc.com/english/encrypt/files/encrypt_file/reports/2024-04/93ac4d64a5f16b53c2a31320b7316a0e58333f4f/1Q24%20Presentation%20%28E%29.pdf" TargetMode="External" Id="rId42"/><Relationship Type="http://schemas.openxmlformats.org/officeDocument/2006/relationships/hyperlink" Target="https://investor.tsmc.com/english/encrypt/files/encrypt_file/reports/2024-04/34ff75e23e53246302ce3a8d90d0423c57c6b120/TSMC%201Q24%20Transcript.pdf" TargetMode="External" Id="rId43"/><Relationship Type="http://schemas.openxmlformats.org/officeDocument/2006/relationships/hyperlink" Target="https://investor.tsmc.com/english/encrypt/files/encrypt_file/reports/2024-03/1979f7d585d258f1026b753e4b8a98a046bc81d3/TSMC%204Q23%20Transcript.pdf" TargetMode="External" Id="rId44"/><Relationship Type="http://schemas.openxmlformats.org/officeDocument/2006/relationships/hyperlink" Target="https://investor.tsmc.com/english/encrypt/files/encrypt_file/reports/2024-01/3e43ab2cb1ddad664ef9fe09c6ae80fa69167eea/4Q23Presentation%28E%29.pdf" TargetMode="External" Id="rId45"/><Relationship Type="http://schemas.openxmlformats.org/officeDocument/2006/relationships/hyperlink" Target="https://investor.tsmc.com/english/encrypt/files/encrypt_file/reports/2023-07/aa7d1adbe692cf07f10aa1584c832facb43ee84b/2Q23Presentation%28E%29.pdf" TargetMode="External" Id="rId46"/><Relationship Type="http://schemas.openxmlformats.org/officeDocument/2006/relationships/hyperlink" Target="https://investor.tsmc.com/english/encrypt/files/encrypt_file/reports/2023-07/aa7d1adbe692cf07f10aa1584c832facb43ee84b/2Q23Presentation%28E%29.pdf" TargetMode="External" Id="rId47"/><Relationship Type="http://schemas.openxmlformats.org/officeDocument/2006/relationships/hyperlink" Target="https://investor.tsmc.com/english/encrypt/files/encrypt_file/reports/2023-07/aa7d1adbe692cf07f10aa1584c832facb43ee84b/2Q23Presentation%28E%29.pdf" TargetMode="External" Id="rId48"/><Relationship Type="http://schemas.openxmlformats.org/officeDocument/2006/relationships/hyperlink" Target="https://investor.tsmc.com/english/encrypt/files/encrypt_file/reports/2023-10/b2fc08165bbaf6fc1a2db26500e6f78f1db85ebd/TSMC%203Q23%20Transcript.pdf" TargetMode="External" Id="rId49"/><Relationship Type="http://schemas.openxmlformats.org/officeDocument/2006/relationships/hyperlink" Target="https://investor.tsmc.com/english/encrypt/files/encrypt_file/reports/2023-10/58d5eb3be78e2b45aabc7ebd464e3ac3b8e71bcc/3Q23Presentation%28E%29.pdf" TargetMode="External" Id="rId50"/><Relationship Type="http://schemas.openxmlformats.org/officeDocument/2006/relationships/hyperlink" Target="https://investor.tsmc.com/english/encrypt/files/encrypt_file/reports/2023-10/58d5eb3be78e2b45aabc7ebd464e3ac3b8e71bcc/3Q23Presentation%28E%29.pdf" TargetMode="External" Id="rId51"/><Relationship Type="http://schemas.openxmlformats.org/officeDocument/2006/relationships/hyperlink" Target="https://investor.tsmc.com/english/encrypt/files/encrypt_file/reports/2023-10/58d5eb3be78e2b45aabc7ebd464e3ac3b8e71bcc/3Q23Presentation%28E%29.pdf" TargetMode="External" Id="rId52"/><Relationship Type="http://schemas.openxmlformats.org/officeDocument/2006/relationships/hyperlink" Target="https://investor.tsmc.com/english/encrypt/files/encrypt_file/reports/2023-10/58d5eb3be78e2b45aabc7ebd464e3ac3b8e71bcc/3Q23Presentation%28E%29.pdf" TargetMode="External" Id="rId53"/><Relationship Type="http://schemas.openxmlformats.org/officeDocument/2006/relationships/hyperlink" Target="https://investor.tsmc.com/english/encrypt/files/encrypt_file/reports/2023-07/7ec677062ca442e429b632ccd6d4f31ad53b1ce7/TSMC%202Q23%20Transcript.pdf" TargetMode="External" Id="rId54"/><Relationship Type="http://schemas.openxmlformats.org/officeDocument/2006/relationships/hyperlink" Target="https://investor.tsmc.com/english/encrypt/files/encrypt_file/reports/2023-07/aa7d1adbe692cf07f10aa1584c832facb43ee84b/2Q23Presentation%28E%29.pdf" TargetMode="External" Id="rId55"/><Relationship Type="http://schemas.openxmlformats.org/officeDocument/2006/relationships/hyperlink" Target="https://investor.tsmc.com/english/encrypt/files/encrypt_file/reports/2023-07/aa7d1adbe692cf07f10aa1584c832facb43ee84b/2Q23Presentation%28E%29.pdf" TargetMode="External" Id="rId56"/><Relationship Type="http://schemas.openxmlformats.org/officeDocument/2006/relationships/hyperlink" Target="https://investor.tsmc.com/english/encrypt/files/encrypt_file/reports/2023-07/aa7d1adbe692cf07f10aa1584c832facb43ee84b/2Q23Presentation%28E%29.pdf" TargetMode="External" Id="rId57"/><Relationship Type="http://schemas.openxmlformats.org/officeDocument/2006/relationships/hyperlink" Target="https://investor.tsmc.com/english/encrypt/files/encrypt_file/reports/2023-07/aa7d1adbe692cf07f10aa1584c832facb43ee84b/2Q23Presentation%28E%29.pdf" TargetMode="External" Id="rId58"/><Relationship Type="http://schemas.openxmlformats.org/officeDocument/2006/relationships/hyperlink" Target="https://investor.tsmc.com/english/encrypt/files/encrypt_file/reports/2023-04/882aa7c981570fe00c0bba76648983b02b54cbf4/TSMC%201Q23%20Transcript.pdf" TargetMode="External" Id="rId59"/><Relationship Type="http://schemas.openxmlformats.org/officeDocument/2006/relationships/hyperlink" Target="https://investor.tsmc.com/english/encrypt/files/encrypt_file/reports/2023-04/8647f0e714162975c5740e709c0990a326c3bbb7/1Q23Presentation%28E%29.pdf" TargetMode="External" Id="rId60"/><Relationship Type="http://schemas.openxmlformats.org/officeDocument/2006/relationships/hyperlink" Target="https://investor.tsmc.com/english/encrypt/files/encrypt_file/reports/2023-04/8647f0e714162975c5740e709c0990a326c3bbb7/1Q23Presentation%28E%29.pdf" TargetMode="External" Id="rId61"/><Relationship Type="http://schemas.openxmlformats.org/officeDocument/2006/relationships/hyperlink" Target="https://investor.tsmc.com/english/encrypt/files/encrypt_file/reports/2023-04/8647f0e714162975c5740e709c0990a326c3bbb7/1Q23Presentation%28E%29.pdf" TargetMode="External" Id="rId62"/><Relationship Type="http://schemas.openxmlformats.org/officeDocument/2006/relationships/hyperlink" Target="https://investor.tsmc.com/english/encrypt/files/encrypt_file/reports/2023-04/8647f0e714162975c5740e709c0990a326c3bbb7/1Q23Presentation%28E%29.pdf" TargetMode="External" Id="rId63"/><Relationship Type="http://schemas.openxmlformats.org/officeDocument/2006/relationships/hyperlink" Target="https://investor.tsmc.com/english/encrypt/files/encrypt_file/reports/2023-01/84f1ef6f66c6c90b05d2e581066a01a8f1c4f410/TSMC%204Q22%20Transcript.pdf" TargetMode="External" Id="rId64"/><Relationship Type="http://schemas.openxmlformats.org/officeDocument/2006/relationships/hyperlink" Target="https://investor.tsmc.com/english/encrypt/files/encrypt_file/reports/2023-01/84f1ef6f66c6c90b05d2e581066a01a8f1c4f410/TSMC%204Q22%20Transcript.pdf" TargetMode="External" Id="rId65"/><Relationship Type="http://schemas.openxmlformats.org/officeDocument/2006/relationships/hyperlink" Target="https://investor.tsmc.com/english/encrypt/files/encrypt_file/reports/2023-01/92c560bc8693eb0e57efc21d3b6b162dad8afafe/4Q22Presentation%28E%29.pdf" TargetMode="External" Id="rId66"/><Relationship Type="http://schemas.openxmlformats.org/officeDocument/2006/relationships/hyperlink" Target="https://investor.tsmc.com/english/encrypt/files/encrypt_file/reports/2023-01/92c560bc8693eb0e57efc21d3b6b162dad8afafe/4Q22Presentation%28E%29.pdf" TargetMode="External" Id="rId67"/><Relationship Type="http://schemas.openxmlformats.org/officeDocument/2006/relationships/hyperlink" Target="https://investor.tsmc.com/english/encrypt/files/encrypt_file/reports/2023-01/92c560bc8693eb0e57efc21d3b6b162dad8afafe/4Q22Presentation%28E%29.pdf" TargetMode="External" Id="rId68"/><Relationship Type="http://schemas.openxmlformats.org/officeDocument/2006/relationships/hyperlink" Target="https://investor.tsmc.com/english/encrypt/files/encrypt_file/reports/2023-01/92c560bc8693eb0e57efc21d3b6b162dad8afafe/4Q22Presentation%28E%29.pdf" TargetMode="External" Id="rId69"/><Relationship Type="http://schemas.openxmlformats.org/officeDocument/2006/relationships/hyperlink" Target="https://investor.tsmc.com/english/encrypt/files/encrypt_file/reports/2022-10/1ee31c398ae422b9f503b5f64324c11997011447/TSMC%203Q22%20Transcript.pdf" TargetMode="External" Id="rId70"/><Relationship Type="http://schemas.openxmlformats.org/officeDocument/2006/relationships/hyperlink" Target="https://investor.tsmc.com/english/quarterly-results/2022/q3" TargetMode="External" Id="rId71"/><Relationship Type="http://schemas.openxmlformats.org/officeDocument/2006/relationships/hyperlink" Target="https://investor.tsmc.com/english/quarterly-results/2022/q3" TargetMode="External" Id="rId72"/><Relationship Type="http://schemas.openxmlformats.org/officeDocument/2006/relationships/hyperlink" Target="https://investor.tsmc.com/english/quarterly-results/2022/q3" TargetMode="External" Id="rId73"/><Relationship Type="http://schemas.openxmlformats.org/officeDocument/2006/relationships/hyperlink" Target="https://investor.tsmc.com/english/quarterly-results/2022/q3" TargetMode="External" Id="rId74"/><Relationship Type="http://schemas.openxmlformats.org/officeDocument/2006/relationships/hyperlink" Target="https://investor.tsmc.com/english/encrypt/files/encrypt_file/reports/2022-07/185efaefea866a5e944499cda9eeecc65315449c/TSMC%202Q22%20Transcript.pdf" TargetMode="External" Id="rId75"/><Relationship Type="http://schemas.openxmlformats.org/officeDocument/2006/relationships/hyperlink" Target="https://investor.tsmc.com/english/encrypt/files/encrypt_file/reports/2022-07/185efaefea866a5e944499cda9eeecc65315449c/TSMC%202Q22%20Transcript.pdf" TargetMode="External" Id="rId76"/><Relationship Type="http://schemas.openxmlformats.org/officeDocument/2006/relationships/hyperlink" Target="https://investor.tsmc.com/english/quarterly-results/2022/q2" TargetMode="External" Id="rId77"/><Relationship Type="http://schemas.openxmlformats.org/officeDocument/2006/relationships/hyperlink" Target="https://investor.tsmc.com/english/quarterly-results/2022/q2" TargetMode="External" Id="rId78"/><Relationship Type="http://schemas.openxmlformats.org/officeDocument/2006/relationships/hyperlink" Target="https://investor.tsmc.com/english/quarterly-results/2022/q2" TargetMode="External" Id="rId79"/><Relationship Type="http://schemas.openxmlformats.org/officeDocument/2006/relationships/hyperlink" Target="https://investor.tsmc.com/english/quarterly-results/2022/q2" TargetMode="External" Id="rId80"/><Relationship Type="http://schemas.openxmlformats.org/officeDocument/2006/relationships/hyperlink" Target="https://investor.tsmc.com/english/encrypt/files/encrypt_file/reports/2022-04/117efb70077c0b21504d3da6c93aad1b111df971/TSMC%201Q22%20Transcript.pdf" TargetMode="External" Id="rId81"/><Relationship Type="http://schemas.openxmlformats.org/officeDocument/2006/relationships/hyperlink" Target="https://investor.tsmc.com/english/encrypt/files/encrypt_file/reports/2022-04/087738faabd68c42b662ed59ce00bf2355e229b0/1Q22EarningsRelease.pdf" TargetMode="External" Id="rId82"/><Relationship Type="http://schemas.openxmlformats.org/officeDocument/2006/relationships/hyperlink" Target="https://investor.tsmc.com/english/encrypt/files/encrypt_file/reports/2022-04/087738faabd68c42b662ed59ce00bf2355e229b0/1Q22EarningsRelease.pdf" TargetMode="External" Id="rId83"/><Relationship Type="http://schemas.openxmlformats.org/officeDocument/2006/relationships/hyperlink" Target="https://investor.tsmc.com/english/encrypt/files/encrypt_file/reports/2022-04/087738faabd68c42b662ed59ce00bf2355e229b0/1Q22EarningsRelease.pdf" TargetMode="External" Id="rId84"/><Relationship Type="http://schemas.openxmlformats.org/officeDocument/2006/relationships/hyperlink" Target="https://investor.tsmc.com/english/encrypt/files/encrypt_file/reports/2022-04/087738faabd68c42b662ed59ce00bf2355e229b0/1Q22EarningsRelease.pdf" TargetMode="External" Id="rId85"/><Relationship Type="http://schemas.openxmlformats.org/officeDocument/2006/relationships/hyperlink" Target="https://investor.tsmc.com/english/encrypt/files/encrypt_file/reports/2022-01/e97803dd13e1a0bb2aa65a2597dd253a689ed578/TSMC%204Q21%20Transcript.pdf" TargetMode="External" Id="rId86"/><Relationship Type="http://schemas.openxmlformats.org/officeDocument/2006/relationships/hyperlink" Target="https://investor.tsmc.com/english/encrypt/files/encrypt_file/reports/2022-01/e97803dd13e1a0bb2aa65a2597dd253a689ed578/TSMC%204Q21%20Transcript.pdf" TargetMode="External" Id="rId87"/><Relationship Type="http://schemas.openxmlformats.org/officeDocument/2006/relationships/hyperlink" Target="https://pr.tsmc.com/system/files/newspdf/attachment/53e02b0ba38cf53dd51a1e2ce0d8554c0ec75e23/4Q21%20%28E%29_with%20guidance_final_wmn.pdf" TargetMode="External" Id="rId88"/><Relationship Type="http://schemas.openxmlformats.org/officeDocument/2006/relationships/hyperlink" Target="https://pr.tsmc.com/system/files/newspdf/attachment/53e02b0ba38cf53dd51a1e2ce0d8554c0ec75e23/4Q21%20%28E%29_with%20guidance_final_wmn.pdf" TargetMode="External" Id="rId89"/><Relationship Type="http://schemas.openxmlformats.org/officeDocument/2006/relationships/hyperlink" Target="https://pr.tsmc.com/system/files/newspdf/attachment/53e02b0ba38cf53dd51a1e2ce0d8554c0ec75e23/4Q21%20%28E%29_with%20guidance_final_wmn.pdf" TargetMode="External" Id="rId90"/><Relationship Type="http://schemas.openxmlformats.org/officeDocument/2006/relationships/hyperlink" Target="https://pr.tsmc.com/system/files/newspdf/attachment/53e02b0ba38cf53dd51a1e2ce0d8554c0ec75e23/4Q21%20%28E%29_with%20guidance_final_wmn.pdf" TargetMode="External" Id="rId91"/><Relationship Type="http://schemas.openxmlformats.org/officeDocument/2006/relationships/hyperlink" Target="https://investor.tsmc.com/english/encrypt/files/encrypt_file/reports/2021-10/49fc7e9bd6065f8610b9b4fdf6a47f627898fc99/TSMC%203Q21%20Transcript.pdf" TargetMode="External" Id="rId92"/><Relationship Type="http://schemas.openxmlformats.org/officeDocument/2006/relationships/hyperlink" Target="https://pr.tsmc.com/system/files/newspdf/attachment/6b1dc1cd38ff29c997386ec577eae950ea8d441e/3Q21%20%28E%29_with%20guidance_final_wmn.pdf" TargetMode="External" Id="rId93"/><Relationship Type="http://schemas.openxmlformats.org/officeDocument/2006/relationships/hyperlink" Target="https://pr.tsmc.com/system/files/newspdf/attachment/6b1dc1cd38ff29c997386ec577eae950ea8d441e/3Q21%20%28E%29_with%20guidance_final_wmn.pdf" TargetMode="External" Id="rId94"/><Relationship Type="http://schemas.openxmlformats.org/officeDocument/2006/relationships/hyperlink" Target="https://pr.tsmc.com/system/files/newspdf/attachment/6b1dc1cd38ff29c997386ec577eae950ea8d441e/3Q21%20%28E%29_with%20guidance_final_wmn.pdf" TargetMode="External" Id="rId95"/><Relationship Type="http://schemas.openxmlformats.org/officeDocument/2006/relationships/hyperlink" Target="https://pr.tsmc.com/system/files/newspdf/attachment/6b1dc1cd38ff29c997386ec577eae950ea8d441e/3Q21%20%28E%29_with%20guidance_final_wmn.pdf" TargetMode="External" Id="rId96"/><Relationship Type="http://schemas.openxmlformats.org/officeDocument/2006/relationships/hyperlink" Target="https://investor.tsmc.com/english/encrypt/files/encrypt_file/qr/phase4_reports/2021-07/f1ce24e7291c050595193ebaadd863aa2dd2f38b/2Q21EarningsReleaseWoG.pdf" TargetMode="External" Id="rId97"/><Relationship Type="http://schemas.openxmlformats.org/officeDocument/2006/relationships/hyperlink" Target="https://investor.tsmc.com/english/encrypt/files/encrypt_file/qr/phase4_reports/2021-07/f1ce24e7291c050595193ebaadd863aa2dd2f38b/2Q21EarningsReleaseWoG.pdf" TargetMode="External" Id="rId98"/><Relationship Type="http://schemas.openxmlformats.org/officeDocument/2006/relationships/hyperlink" Target="https://investor.tsmc.com/english/encrypt/files/encrypt_file/qr/phase4_reports/2021-07/f1ce24e7291c050595193ebaadd863aa2dd2f38b/2Q21EarningsReleaseWoG.pdf" TargetMode="External" Id="rId99"/><Relationship Type="http://schemas.openxmlformats.org/officeDocument/2006/relationships/hyperlink" Target="https://investor.tsmc.com/english/encrypt/files/encrypt_file/qr/phase4_reports/2021-07/f1ce24e7291c050595193ebaadd863aa2dd2f38b/2Q21EarningsReleaseWoG.pdf" TargetMode="External" Id="rId100"/><Relationship Type="http://schemas.openxmlformats.org/officeDocument/2006/relationships/hyperlink" Target="https://investor.tsmc.com/english/encrypt/files/encrypt_file/qr/phase4_reports/2021-04/27db7ee1d79802148ebe465d76ca8f7a698d50eb/1Q21EarningsReleaseWoG.pdf" TargetMode="External" Id="rId101"/><Relationship Type="http://schemas.openxmlformats.org/officeDocument/2006/relationships/hyperlink" Target="https://investor.tsmc.com/english/encrypt/files/encrypt_file/qr/phase4_reports/2021-04/27db7ee1d79802148ebe465d76ca8f7a698d50eb/1Q21EarningsReleaseWoG.pdf" TargetMode="External" Id="rId102"/><Relationship Type="http://schemas.openxmlformats.org/officeDocument/2006/relationships/hyperlink" Target="https://investor.tsmc.com/english/encrypt/files/encrypt_file/qr/phase4_reports/2021-04/27db7ee1d79802148ebe465d76ca8f7a698d50eb/1Q21EarningsReleaseWoG.pdf" TargetMode="External" Id="rId103"/><Relationship Type="http://schemas.openxmlformats.org/officeDocument/2006/relationships/hyperlink" Target="https://investor.tsmc.com/english/encrypt/files/encrypt_file/qr/phase4_reports/2021-04/27db7ee1d79802148ebe465d76ca8f7a698d50eb/1Q21EarningsReleaseWoG.pdf" TargetMode="External" Id="rId104"/><Relationship Type="http://schemas.openxmlformats.org/officeDocument/2006/relationships/hyperlink" Target="https://investor.tsmc.com/english/encrypt/files/encrypt_file/qr/phase4_reports/2021-04/27db7ee1d79802148ebe465d76ca8f7a698d50eb/1Q21EarningsReleaseWoG.pdf" TargetMode="External" Id="rId105"/><Relationship Type="http://schemas.openxmlformats.org/officeDocument/2006/relationships/hyperlink" Target="https://investor.tsmc.com/english/encrypt/files/encrypt_file/reports/2021-01/TSMC%204Q20%20transcript_3.pdf" TargetMode="External" Id="rId106"/><Relationship Type="http://schemas.openxmlformats.org/officeDocument/2006/relationships/hyperlink" Target="https://investor.tsmc.com/english/encrypt/files/encrypt_file/reports/2021-01/TSMC%204Q20%20transcript_3.pdf" TargetMode="External" Id="rId107"/><Relationship Type="http://schemas.openxmlformats.org/officeDocument/2006/relationships/hyperlink" Target="https://investor.tsmc.com/english/encrypt/files/encrypt_file/reports/2021-01/4Q20EarningsRelease.pdf" TargetMode="External" Id="rId108"/><Relationship Type="http://schemas.openxmlformats.org/officeDocument/2006/relationships/hyperlink" Target="https://investor.tsmc.com/english/encrypt/files/encrypt_file/reports/2021-01/4Q20EarningsRelease.pdf" TargetMode="External" Id="rId109"/><Relationship Type="http://schemas.openxmlformats.org/officeDocument/2006/relationships/hyperlink" Target="https://investor.tsmc.com/english/encrypt/files/encrypt_file/reports/2021-01/4Q20EarningsRelease.pdf" TargetMode="External" Id="rId110"/><Relationship Type="http://schemas.openxmlformats.org/officeDocument/2006/relationships/hyperlink" Target="https://investor.tsmc.com/english/encrypt/files/encrypt_file/reports/2021-01/4Q20EarningsRelease.pdf" TargetMode="External" Id="rId111"/><Relationship Type="http://schemas.openxmlformats.org/officeDocument/2006/relationships/hyperlink" Target="https://investor.tsmc.com/english/encrypt/files/encrypt_file/qr/phase5_support/2021-10/TSMC%203Q20%20transcript.pdf" TargetMode="External" Id="rId112"/><Relationship Type="http://schemas.openxmlformats.org/officeDocument/2006/relationships/hyperlink" Target="https://investor.tsmc.com/english/encrypt/files/encrypt_file/qr/phase5_support/3Q20EarningsRelease.pdf" TargetMode="External" Id="rId113"/><Relationship Type="http://schemas.openxmlformats.org/officeDocument/2006/relationships/hyperlink" Target="https://investor.tsmc.com/english/encrypt/files/encrypt_file/qr/phase5_support/3Q20EarningsRelease.pdf" TargetMode="External" Id="rId114"/><Relationship Type="http://schemas.openxmlformats.org/officeDocument/2006/relationships/hyperlink" Target="https://investor.tsmc.com/english/encrypt/files/encrypt_file/qr/phase5_support/3Q20EarningsRelease.pdf" TargetMode="External" Id="rId115"/><Relationship Type="http://schemas.openxmlformats.org/officeDocument/2006/relationships/hyperlink" Target="https://investor.tsmc.com/english/encrypt/files/encrypt_file/qr/phase5_support/3Q20EarningsRelease.pdf" TargetMode="External" Id="rId116"/><Relationship Type="http://schemas.openxmlformats.org/officeDocument/2006/relationships/hyperlink" Target="https://www.tsmc.com/uploadfile/ir/quarterly/2019/4YjSO/E/4Q19EarningsRelease.pdf" TargetMode="External" Id="rId117"/><Relationship Type="http://schemas.openxmlformats.org/officeDocument/2006/relationships/hyperlink" Target="https://investor.tsmc.com/english/encrypt/files/encrypt_file/qr/phase5_support/2Q20EarningsRelease.pdf" TargetMode="External" Id="rId118"/><Relationship Type="http://schemas.openxmlformats.org/officeDocument/2006/relationships/hyperlink" Target="https://investor.tsmc.com/english/encrypt/files/encrypt_file/qr/phase5_support/2Q20EarningsRelease.pdf" TargetMode="External" Id="rId119"/><Relationship Type="http://schemas.openxmlformats.org/officeDocument/2006/relationships/hyperlink" Target="https://investor.tsmc.com/english/encrypt/files/encrypt_file/qr/phase5_support/2Q20EarningsRelease.pdf" TargetMode="External" Id="rId120"/><Relationship Type="http://schemas.openxmlformats.org/officeDocument/2006/relationships/hyperlink" Target="https://investor.tsmc.com/english/encrypt/files/encrypt_file/qr/phase5_support/2Q20EarningsRelease.pdf" TargetMode="External" Id="rId121"/><Relationship Type="http://schemas.openxmlformats.org/officeDocument/2006/relationships/hyperlink" Target="https://investor.tsmc.com/english/encrypt/files/encrypt_file/qr/phase5_support/TSMC%201Q20%20transcript.pdf" TargetMode="External" Id="rId122"/><Relationship Type="http://schemas.openxmlformats.org/officeDocument/2006/relationships/hyperlink" Target="https://investor.tsmc.com/english/encrypt/files/encrypt_file/qr/phase5_support/1Q20EarningsRelease.pdf" TargetMode="External" Id="rId123"/><Relationship Type="http://schemas.openxmlformats.org/officeDocument/2006/relationships/hyperlink" Target="https://investor.tsmc.com/english/encrypt/files/encrypt_file/qr/phase5_support/1Q20EarningsRelease.pdf" TargetMode="External" Id="rId124"/><Relationship Type="http://schemas.openxmlformats.org/officeDocument/2006/relationships/hyperlink" Target="https://investor.tsmc.com/english/encrypt/files/encrypt_file/qr/phase5_support/1Q20EarningsRelease.pdf" TargetMode="External" Id="rId125"/><Relationship Type="http://schemas.openxmlformats.org/officeDocument/2006/relationships/hyperlink" Target="https://investor.tsmc.com/english/encrypt/files/encrypt_file/qr/phase5_support/1Q20EarningsRelease.pdf" TargetMode="External" Id="rId126"/><Relationship Type="http://schemas.openxmlformats.org/officeDocument/2006/relationships/hyperlink" Target="https://investor.tsmc.com/english/encrypt/files/encrypt_file/english/2019/Q4/TSMC%204Q19%20transcript.pdf" TargetMode="External" Id="rId127"/><Relationship Type="http://schemas.openxmlformats.org/officeDocument/2006/relationships/hyperlink" Target="https://investor.tsmc.com/english/encrypt/files/encrypt_file/english/2019/Q4/TSMC%204Q19%20transcript.pdf" TargetMode="External" Id="rId128"/><Relationship Type="http://schemas.openxmlformats.org/officeDocument/2006/relationships/hyperlink" Target="https://www.tsmc.com/uploadfile/ir/quarterly/2019/4YjSO/E/4Q19EarningsRelease.pdf" TargetMode="External" Id="rId129"/><Relationship Type="http://schemas.openxmlformats.org/officeDocument/2006/relationships/hyperlink" Target="https://www.tsmc.com/uploadfile/ir/quarterly/2019/4YjSO/E/4Q19EarningsRelease.pdf" TargetMode="External" Id="rId130"/><Relationship Type="http://schemas.openxmlformats.org/officeDocument/2006/relationships/hyperlink" Target="https://www.tsmc.com/uploadfile/ir/quarterly/2019/4YjSO/E/4Q19EarningsRelease.pdf" TargetMode="External" Id="rId131"/><Relationship Type="http://schemas.openxmlformats.org/officeDocument/2006/relationships/hyperlink" Target="https://www.tsmc.com/uploadfile/ir/quarterly/2019/4YjSO/E/4Q19EarningsRelease.pdf" TargetMode="External" Id="rId132"/><Relationship Type="http://schemas.openxmlformats.org/officeDocument/2006/relationships/hyperlink" Target="https://seekingalpha.com/article/4297068-taiwan-semiconductor-manufacturing-co-ltd-tsm-ceo-dr-c-c-wei-q3-2019-results-earnings-call?part=single" TargetMode="External" Id="rId133"/><Relationship Type="http://schemas.openxmlformats.org/officeDocument/2006/relationships/hyperlink" Target="https://www.tsmc.com/uploadfile/ir/quarterly/2019/3JEzE/E/3Q19EarningsRelease.pdf" TargetMode="External" Id="rId134"/><Relationship Type="http://schemas.openxmlformats.org/officeDocument/2006/relationships/hyperlink" Target="https://www.tsmc.com/uploadfile/ir/quarterly/2019/3JEzE/E/3Q19EarningsRelease.pdf" TargetMode="External" Id="rId135"/><Relationship Type="http://schemas.openxmlformats.org/officeDocument/2006/relationships/hyperlink" Target="https://www.tsmc.com/uploadfile/ir/quarterly/2019/3JEzE/E/3Q19EarningsRelease.pdf" TargetMode="External" Id="rId136"/><Relationship Type="http://schemas.openxmlformats.org/officeDocument/2006/relationships/hyperlink" Target="https://www.tsmc.com/uploadfile/ir/quarterly/2019/3JEzE/E/3Q19EarningsRelease.pdf" TargetMode="External" Id="rId137"/><Relationship Type="http://schemas.openxmlformats.org/officeDocument/2006/relationships/hyperlink" Target="https://www.tsmc.com/uploadfile/ir/quarterly/2019/1SprV/E/1Q19EarningsRelease.pdf" TargetMode="External" Id="rId138"/><Relationship Type="http://schemas.openxmlformats.org/officeDocument/2006/relationships/hyperlink" Target="https://www.tsmc.com/uploadfile/ir/quarterly/2019/1SprV/E/1Q19EarningsRelease.pdf" TargetMode="External" Id="rId139"/><Relationship Type="http://schemas.openxmlformats.org/officeDocument/2006/relationships/hyperlink" Target="https://www.tsmc.com/uploadfile/ir/quarterly/2019/1SprV/E/1Q19EarningsRelease.pdf" TargetMode="External" Id="rId140"/><Relationship Type="http://schemas.openxmlformats.org/officeDocument/2006/relationships/hyperlink" Target="https://www.tsmc.com/uploadfile/ir/quarterly/2019/1SprV/E/1Q19EarningsRelease.pdf" TargetMode="External" Id="rId141"/><Relationship Type="http://schemas.openxmlformats.org/officeDocument/2006/relationships/hyperlink" Target="https://www.tsmc.com/uploadfile/ir/quarterly/2019/1SprV/E/1Q19EarningsRelease.pdf" TargetMode="External" Id="rId142"/><Relationship Type="http://schemas.openxmlformats.org/officeDocument/2006/relationships/hyperlink" Target="https://investor.tsmc.com/english/encrypt/files/encrypt_file/english/2019/Q2/2Q19EarningsRelease.pdf" TargetMode="External" Id="rId143"/><Relationship Type="http://schemas.openxmlformats.org/officeDocument/2006/relationships/hyperlink" Target="https://www.tsmc.com/uploadfile/ir/quarterly/2019/3JEzE/E/3Q19EarningsRelease.pdf" TargetMode="External" Id="rId144"/><Relationship Type="http://schemas.openxmlformats.org/officeDocument/2006/relationships/hyperlink" Target="https://investor.tsmc.com/english/encrypt/files/encrypt_file/english/2019/Q2/2Q19EarningsRelease.pdf" TargetMode="External" Id="rId145"/><Relationship Type="http://schemas.openxmlformats.org/officeDocument/2006/relationships/hyperlink" Target="https://investor.tsmc.com/english/encrypt/files/encrypt_file/english/2019/Q2/2Q19EarningsRelease.pdf" TargetMode="External" Id="rId146"/><Relationship Type="http://schemas.openxmlformats.org/officeDocument/2006/relationships/hyperlink" Target="https://investor.tsmc.com/english/encrypt/files/encrypt_file/english/2019/Q1/TSMC%201Q19%20transcript.pdf" TargetMode="External" Id="rId147"/><Relationship Type="http://schemas.openxmlformats.org/officeDocument/2006/relationships/hyperlink" Target="https://investor.tsmc.com/english/encrypt/files/encrypt_file/english/2019/Q1/TSMC%201Q19%20transcript.pdf" TargetMode="External" Id="rId148"/><Relationship Type="http://schemas.openxmlformats.org/officeDocument/2006/relationships/hyperlink" Target="https://investor.tsmc.com/english/encrypt/files/encrypt_file/english/2019/Q1/1Q19EarningsRelease.pdf" TargetMode="External" Id="rId149"/><Relationship Type="http://schemas.openxmlformats.org/officeDocument/2006/relationships/hyperlink" Target="https://investor.tsmc.com/english/encrypt/files/encrypt_file/english/2019/Q1/1Q19EarningsRelease.pdf" TargetMode="External" Id="rId150"/><Relationship Type="http://schemas.openxmlformats.org/officeDocument/2006/relationships/hyperlink" Target="https://investor.tsmc.com/english/encrypt/files/encrypt_file/english/2019/Q1/1Q19EarningsRelease.pdf" TargetMode="External" Id="rId151"/><Relationship Type="http://schemas.openxmlformats.org/officeDocument/2006/relationships/hyperlink" Target="https://investor.tsmc.com/english/encrypt/files/encrypt_file/english/2019/Q1/1Q19EarningsRelease.pdf" TargetMode="External" Id="rId152"/><Relationship Type="http://schemas.openxmlformats.org/officeDocument/2006/relationships/hyperlink" Target="https://investor.tsmc.com/english/encrypt/files/encrypt_file/english/2019/Q1/TSMC%201Q19%20transcript.pdf" TargetMode="External" Id="rId153"/><Relationship Type="http://schemas.openxmlformats.org/officeDocument/2006/relationships/hyperlink" Target="http://www.tsmc.com/uploadfile/ir/quarterly/2018/3X3YN/E/3Q18EarningsRelease.pdf" TargetMode="External" Id="rId154"/><Relationship Type="http://schemas.openxmlformats.org/officeDocument/2006/relationships/hyperlink" Target="https://investor.tsmc.com/english/encrypt/files/encrypt_file/english/2018/Q4/4Q18EarningsRelease.pdf" TargetMode="External" Id="rId155"/><Relationship Type="http://schemas.openxmlformats.org/officeDocument/2006/relationships/hyperlink" Target="https://investor.tsmc.com/english/encrypt/files/encrypt_file/english/2018/Q4/4Q18EarningsRelease.pdf" TargetMode="External" Id="rId156"/><Relationship Type="http://schemas.openxmlformats.org/officeDocument/2006/relationships/hyperlink" Target="https://investor.tsmc.com/english/encrypt/files/encrypt_file/english/2018/Q4/4Q18EarningsRelease.pdf" TargetMode="External" Id="rId157"/><Relationship Type="http://schemas.openxmlformats.org/officeDocument/2006/relationships/hyperlink" Target="https://investor.tsmc.com/english/encrypt/files/encrypt_file/english/2018/Q4/4Q18EarningsRelease.pdf" TargetMode="External" Id="rId158"/><Relationship Type="http://schemas.openxmlformats.org/officeDocument/2006/relationships/hyperlink" Target="https://investor.tsmc.com/english/encrypt/files/encrypt_file/english/2018/Q3/TSMC%203Q18%20transcript.pdf" TargetMode="External" Id="rId159"/><Relationship Type="http://schemas.openxmlformats.org/officeDocument/2006/relationships/hyperlink" Target="https://investor.tsmc.com/english/encrypt/files/encrypt_file/english/2018/Q3/TSMC%203Q18%20transcript.pdf" TargetMode="External" Id="rId160"/><Relationship Type="http://schemas.openxmlformats.org/officeDocument/2006/relationships/hyperlink" Target="https://investor.tsmc.com/english/encrypt/files/encrypt_file/english/2018/Q3/3Q18EarningsRelease.pdf" TargetMode="External" Id="rId161"/><Relationship Type="http://schemas.openxmlformats.org/officeDocument/2006/relationships/hyperlink" Target="https://investor.tsmc.com/english/encrypt/files/encrypt_file/english/2018/Q3/3Q18EarningsRelease.pdf" TargetMode="External" Id="rId162"/><Relationship Type="http://schemas.openxmlformats.org/officeDocument/2006/relationships/hyperlink" Target="https://investor.tsmc.com/english/encrypt/files/encrypt_file/english/2018/Q3/3Q18EarningsRelease.pdf" TargetMode="External" Id="rId163"/><Relationship Type="http://schemas.openxmlformats.org/officeDocument/2006/relationships/hyperlink" Target="https://investor.tsmc.com/english/encrypt/files/encrypt_file/english/2018/Q3/3Q18EarningsRelease.pdf" TargetMode="External" Id="rId164"/><Relationship Type="http://schemas.openxmlformats.org/officeDocument/2006/relationships/hyperlink" Target="https://investor.tsmc.com/english/encrypt/files/encrypt_file/english/2018/Q2/TSMC%202Q18%20transcript.pdf" TargetMode="External" Id="rId165"/><Relationship Type="http://schemas.openxmlformats.org/officeDocument/2006/relationships/hyperlink" Target="https://investor.tsmc.com/english/encrypt/files/encrypt_file/english/2018/Q2/TSMC%202Q18%20transcript.pdf" TargetMode="External" Id="rId166"/><Relationship Type="http://schemas.openxmlformats.org/officeDocument/2006/relationships/hyperlink" Target="https://investor.tsmc.com/english/encrypt/files/encrypt_file/english/2018/Q2/2Q18EarningsRelease.pdf" TargetMode="External" Id="rId167"/><Relationship Type="http://schemas.openxmlformats.org/officeDocument/2006/relationships/hyperlink" Target="https://investor.tsmc.com/english/encrypt/files/encrypt_file/english/2018/Q2/2Q18EarningsRelease.pdf" TargetMode="External" Id="rId168"/><Relationship Type="http://schemas.openxmlformats.org/officeDocument/2006/relationships/hyperlink" Target="https://investor.tsmc.com/english/encrypt/files/encrypt_file/english/2018/Q2/2Q18EarningsRelease.pdf" TargetMode="External" Id="rId169"/><Relationship Type="http://schemas.openxmlformats.org/officeDocument/2006/relationships/hyperlink" Target="https://investor.tsmc.com/english/encrypt/files/encrypt_file/english/2018/Q2/2Q18EarningsRelease.pdf" TargetMode="External" Id="rId170"/><Relationship Type="http://schemas.openxmlformats.org/officeDocument/2006/relationships/hyperlink" Target="https://investor.tsmc.com/english/encrypt/files/encrypt_file/english/2018/Q1/TSMC%201Q18%20transcript.pdf" TargetMode="External" Id="rId171"/><Relationship Type="http://schemas.openxmlformats.org/officeDocument/2006/relationships/hyperlink" Target="https://investor.tsmc.com/english/encrypt/files/encrypt_file/english/2018/Q1/TSMC%201Q18%20transcript.pdf" TargetMode="External" Id="rId172"/><Relationship Type="http://schemas.openxmlformats.org/officeDocument/2006/relationships/hyperlink" Target="https://investor.tsmc.com/english/encrypt/files/encrypt_file/english/2018/Q1/1Q18EarningsRelease.pdf" TargetMode="External" Id="rId173"/><Relationship Type="http://schemas.openxmlformats.org/officeDocument/2006/relationships/hyperlink" Target="https://investor.tsmc.com/english/encrypt/files/encrypt_file/english/2018/Q1/1Q18EarningsRelease.pdf" TargetMode="External" Id="rId174"/><Relationship Type="http://schemas.openxmlformats.org/officeDocument/2006/relationships/hyperlink" Target="https://investor.tsmc.com/english/encrypt/files/encrypt_file/english/2018/Q1/1Q18EarningsRelease.pdf" TargetMode="External" Id="rId175"/><Relationship Type="http://schemas.openxmlformats.org/officeDocument/2006/relationships/hyperlink" Target="https://investor.tsmc.com/english/encrypt/files/encrypt_file/english/2018/Q1/1Q18EarningsRelease.pdf" TargetMode="External" Id="rId176"/><Relationship Type="http://schemas.openxmlformats.org/officeDocument/2006/relationships/hyperlink" Target="https://investor.tsmc.com/english/encrypt/files/encrypt_file/english/2018/Q1/TSMC%201Q18%20transcript.pdf" TargetMode="External" Id="rId177"/><Relationship Type="http://schemas.openxmlformats.org/officeDocument/2006/relationships/hyperlink" Target="http://www.tsmc.com/uploadfile/ir/quarterly/2017/4M1iB/E/4Q17EarningsRelease.pdf" TargetMode="External" Id="rId178"/><Relationship Type="http://schemas.openxmlformats.org/officeDocument/2006/relationships/hyperlink" Target="https://investor.tsmc.com/english/encrypt/files/encrypt_file/english/2017/Q4/4Q17EarningsRelease.pdf" TargetMode="External" Id="rId179"/><Relationship Type="http://schemas.openxmlformats.org/officeDocument/2006/relationships/hyperlink" Target="https://investor.tsmc.com/english/encrypt/files/encrypt_file/english/2017/Q4/4Q17EarningsRelease.pdf" TargetMode="External" Id="rId180"/><Relationship Type="http://schemas.openxmlformats.org/officeDocument/2006/relationships/hyperlink" Target="https://investor.tsmc.com/english/encrypt/files/encrypt_file/english/2017/Q4/4Q17EarningsRelease.pdf" TargetMode="External" Id="rId181"/><Relationship Type="http://schemas.openxmlformats.org/officeDocument/2006/relationships/hyperlink" Target="https://investor.tsmc.com/english/encrypt/files/encrypt_file/english/2017/Q4/4Q17EarningsRelease.pdf" TargetMode="External" Id="rId18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hyperlink" Target="https://investor.tsmc.com/english/encrypt/files/encrypt_file/qr/phase4_reports/2026-01/46d76c65fbf3f5031e2e435de6301389c4cb07f4/4Q25EarningsRelease_WoG.pdf" TargetMode="External" Id="rId1"/><Relationship Type="http://schemas.openxmlformats.org/officeDocument/2006/relationships/hyperlink" Target="https://pr.tsmc.com/english/news/3264" TargetMode="External" Id="rId2"/><Relationship Type="http://schemas.openxmlformats.org/officeDocument/2006/relationships/hyperlink" Target="https://pr.tsmc.com/english/news/3264" TargetMode="External" Id="rId3"/><Relationship Type="http://schemas.openxmlformats.org/officeDocument/2006/relationships/hyperlink" Target="https://investor.tsmc.com/english/encrypt/files/encrypt_file/qr/phase4_reports/2025-07/3145487c31efd1e24ab378d0e64e4a83ef9776ef/2Q25ManagementReport.pdf" TargetMode="External" Id="rId4"/><Relationship Type="http://schemas.openxmlformats.org/officeDocument/2006/relationships/hyperlink" Target="https://investor.tsmc.com/english/encrypt/files/encrypt_file/qr/phase4_reports/2025-07/3145487c31efd1e24ab378d0e64e4a83ef9776ef/2Q25ManagementReport.pdf" TargetMode="External" Id="rId5"/><Relationship Type="http://schemas.openxmlformats.org/officeDocument/2006/relationships/hyperlink" Target="https://investor.tsmc.com/english/encrypt/files/encrypt_file/qr/phase4_reports/2025-04/9898ae6b80bda1f00a1387e52245ebd6e4d184ea/1Q25EarningsRelease_WoG.pdf" TargetMode="External" Id="rId6"/><Relationship Type="http://schemas.openxmlformats.org/officeDocument/2006/relationships/hyperlink" Target="https://investor.tsmc.com/english/encrypt/files/encrypt_file/qr/phase4_reports/2025-04/9898ae6b80bda1f00a1387e52245ebd6e4d184ea/1Q25EarningsRelease_WoG.pdf" TargetMode="External" Id="rId7"/><Relationship Type="http://schemas.openxmlformats.org/officeDocument/2006/relationships/hyperlink" Target="https://pr.tsmc.com/english/news/3201" TargetMode="External" Id="rId8"/><Relationship Type="http://schemas.openxmlformats.org/officeDocument/2006/relationships/hyperlink" Target="https://pr.tsmc.com/english/news/3201" TargetMode="External" Id="rId9"/><Relationship Type="http://schemas.openxmlformats.org/officeDocument/2006/relationships/hyperlink" Target="https://pr.tsmc.com/english/news/3180" TargetMode="External" Id="rId10"/><Relationship Type="http://schemas.openxmlformats.org/officeDocument/2006/relationships/hyperlink" Target="https://pr.tsmc.com/english/news/3180" TargetMode="External" Id="rId11"/><Relationship Type="http://schemas.openxmlformats.org/officeDocument/2006/relationships/hyperlink" Target="https://investor.tsmc.com/english/encrypt/files/encrypt_file/qr/phase4_reports/2024-07/7faa8e8f85e103f4ffedd48233ac7042e6af886c/2Q24EarningsRelease_WoG.pdf" TargetMode="External" Id="rId12"/><Relationship Type="http://schemas.openxmlformats.org/officeDocument/2006/relationships/hyperlink" Target="https://investor.tsmc.com/english/encrypt/files/encrypt_file/qr/phase4_reports/2024-07/7faa8e8f85e103f4ffedd48233ac7042e6af886c/2Q24EarningsRelease_WoG.pdf" TargetMode="External" Id="rId13"/><Relationship Type="http://schemas.openxmlformats.org/officeDocument/2006/relationships/hyperlink" Target="https://investor.tsmc.com/english/encrypt/files/encrypt_file/reports/2024-04/e19914dd320b6386af51d5ed27fa5c51af9c441e/1Q24EarningsRelease.pdf" TargetMode="External" Id="rId14"/><Relationship Type="http://schemas.openxmlformats.org/officeDocument/2006/relationships/hyperlink" Target="https://investor.tsmc.com/english/encrypt/files/encrypt_file/reports/2024-04/e19914dd320b6386af51d5ed27fa5c51af9c441e/1Q24EarningsRelease.pdf" TargetMode="External" Id="rId15"/><Relationship Type="http://schemas.openxmlformats.org/officeDocument/2006/relationships/hyperlink" Target="https://investor.tsmc.com/english/encrypt/files/encrypt_file/reports/2024-01/b65d7a92d8dc9da3f66817946d941401fa4b2cda/4Q23EarningsRelease.pdf" TargetMode="External" Id="rId16"/><Relationship Type="http://schemas.openxmlformats.org/officeDocument/2006/relationships/hyperlink" Target="https://investor.tsmc.com/english/encrypt/files/encrypt_file/reports/2024-01/b65d7a92d8dc9da3f66817946d941401fa4b2cda/4Q23EarningsRelease.pdf" TargetMode="External" Id="rId17"/><Relationship Type="http://schemas.openxmlformats.org/officeDocument/2006/relationships/hyperlink" Target="https://investor.tsmc.com/english/encrypt/files/encrypt_file/reports/2024-01/b65d7a92d8dc9da3f66817946d941401fa4b2cda/4Q23EarningsRelease.pdf" TargetMode="External" Id="rId18"/><Relationship Type="http://schemas.openxmlformats.org/officeDocument/2006/relationships/hyperlink" Target="https://pr.tsmc.com/english/news/3076" TargetMode="External" Id="rId19"/><Relationship Type="http://schemas.openxmlformats.org/officeDocument/2006/relationships/hyperlink" Target="https://pr.tsmc.com/english/news/3076" TargetMode="External" Id="rId20"/><Relationship Type="http://schemas.openxmlformats.org/officeDocument/2006/relationships/hyperlink" Target="https://investor.tsmc.com/english/encrypt/files/encrypt_file/reports/2023-07/ad504a4ad5534f8078babbe190b3d071aa02cc92/2Q23EarningsRelease.pdf" TargetMode="External" Id="rId21"/><Relationship Type="http://schemas.openxmlformats.org/officeDocument/2006/relationships/hyperlink" Target="https://investor.tsmc.com/english/encrypt/files/encrypt_file/reports/2023-07/ad504a4ad5534f8078babbe190b3d071aa02cc92/2Q23EarningsRelease.pdf" TargetMode="External" Id="rId22"/><Relationship Type="http://schemas.openxmlformats.org/officeDocument/2006/relationships/hyperlink" Target="https://investor.tsmc.com/english/encrypt/files/encrypt_file/reports/2023-04/765324723cf228ac306b87854f31fef5ebc9cd68/1Q23EarningsRelease.pdf" TargetMode="External" Id="rId23"/><Relationship Type="http://schemas.openxmlformats.org/officeDocument/2006/relationships/hyperlink" Target="https://investor.tsmc.com/english/encrypt/files/encrypt_file/reports/2023-04/765324723cf228ac306b87854f31fef5ebc9cd68/1Q23EarningsRelease.pdf" TargetMode="External" Id="rId24"/><Relationship Type="http://schemas.openxmlformats.org/officeDocument/2006/relationships/hyperlink" Target="https://investor.tsmc.com/english/encrypt/files/encrypt_file/qr/phase4_reports/2023-01/85e994ad280a242421bde6fbd7231fa647af315b/4Q22EarningsReleaseWoG.pdf" TargetMode="External" Id="rId25"/><Relationship Type="http://schemas.openxmlformats.org/officeDocument/2006/relationships/hyperlink" Target="https://investor.tsmc.com/english/encrypt/files/encrypt_file/qr/phase4_reports/2023-01/85e994ad280a242421bde6fbd7231fa647af315b/4Q22EarningsReleaseWoG.pdf" TargetMode="External" Id="rId26"/><Relationship Type="http://schemas.openxmlformats.org/officeDocument/2006/relationships/hyperlink" Target="https://investor.tsmc.com/english/encrypt/files/encrypt_file/qr/phase4_reports/2023-01/85e994ad280a242421bde6fbd7231fa647af315b/4Q22EarningsReleaseWoG.pdf" TargetMode="External" Id="rId27"/><Relationship Type="http://schemas.openxmlformats.org/officeDocument/2006/relationships/hyperlink" Target="https://pr.tsmc.com/system/files/newspdf/attachment/fa8c46f5d936a69b3f95dca8a1ea7069ab5c1405/3Q22%20%28E%29_with%20guidance_final_wmn.pdf" TargetMode="External" Id="rId28"/><Relationship Type="http://schemas.openxmlformats.org/officeDocument/2006/relationships/hyperlink" Target="https://pr.tsmc.com/system/files/newspdf/attachment/fa8c46f5d936a69b3f95dca8a1ea7069ab5c1405/3Q22%20%28E%29_with%20guidance_final_wmn.pdf" TargetMode="External" Id="rId29"/><Relationship Type="http://schemas.openxmlformats.org/officeDocument/2006/relationships/hyperlink" Target="https://investor.tsmc.com/english/encrypt/files/encrypt_file/qr/phase4_reports/2022-07/4a6255e3e6b5a8b8f413458e1c80b180dbb9f750/2Q22EarningsReleaseWoG.pdf" TargetMode="External" Id="rId30"/><Relationship Type="http://schemas.openxmlformats.org/officeDocument/2006/relationships/hyperlink" Target="https://investor.tsmc.com/english/encrypt/files/encrypt_file/qr/phase4_reports/2022-07/4a6255e3e6b5a8b8f413458e1c80b180dbb9f750/2Q22EarningsReleaseWoG.pdf" TargetMode="External" Id="rId31"/><Relationship Type="http://schemas.openxmlformats.org/officeDocument/2006/relationships/hyperlink" Target="https://investor.tsmc.com/english/encrypt/files/encrypt_file/reports/2022-04/087738faabd68c42b662ed59ce00bf2355e229b0/1Q22EarningsRelease.pdf" TargetMode="External" Id="rId32"/><Relationship Type="http://schemas.openxmlformats.org/officeDocument/2006/relationships/hyperlink" Target="https://investor.tsmc.com/english/encrypt/files/encrypt_file/reports/2022-04/087738faabd68c42b662ed59ce00bf2355e229b0/1Q22EarningsRelease.pdf" TargetMode="External" Id="rId33"/><Relationship Type="http://schemas.openxmlformats.org/officeDocument/2006/relationships/hyperlink" Target="https://investor.tsmc.com/english/encrypt/files/encrypt_file/qr/phase4_reports/2022-01/68acc26dd2071d4967e69057be8f15af53ad75c8/4Q21EarningsReleaseWoG.pdf" TargetMode="External" Id="rId34"/><Relationship Type="http://schemas.openxmlformats.org/officeDocument/2006/relationships/hyperlink" Target="https://investor.tsmc.com/english/encrypt/files/encrypt_file/qr/phase4_reports/2022-01/68acc26dd2071d4967e69057be8f15af53ad75c8/4Q21EarningsReleaseWoG.pdf" TargetMode="External" Id="rId35"/><Relationship Type="http://schemas.openxmlformats.org/officeDocument/2006/relationships/hyperlink" Target="https://pr.tsmc.com/system/files/newspdf/attachment/6b1dc1cd38ff29c997386ec577eae950ea8d441e/3Q21%20%28E%29_with%20guidance_final_wmn.pdf" TargetMode="External" Id="rId36"/><Relationship Type="http://schemas.openxmlformats.org/officeDocument/2006/relationships/hyperlink" Target="https://pr.tsmc.com/system/files/newspdf/attachment/6b1dc1cd38ff29c997386ec577eae950ea8d441e/3Q21%20%28E%29_with%20guidance_final_wmn.pdf" TargetMode="External" Id="rId37"/><Relationship Type="http://schemas.openxmlformats.org/officeDocument/2006/relationships/hyperlink" Target="https://investor.tsmc.com/english/encrypt/files/encrypt_file/qr/phase4_reports/2021-07/f1ce24e7291c050595193ebaadd863aa2dd2f38b/2Q21EarningsReleaseWoG.pdf" TargetMode="External" Id="rId38"/><Relationship Type="http://schemas.openxmlformats.org/officeDocument/2006/relationships/hyperlink" Target="https://investor.tsmc.com/english/encrypt/files/encrypt_file/qr/phase4_reports/2021-07/f1ce24e7291c050595193ebaadd863aa2dd2f38b/2Q21EarningsReleaseWoG.pdf" TargetMode="External" Id="rId39"/><Relationship Type="http://schemas.openxmlformats.org/officeDocument/2006/relationships/hyperlink" Target="https://investor.tsmc.com/english/encrypt/files/encrypt_file/qr/phase4_reports/2021-04/27db7ee1d79802148ebe465d76ca8f7a698d50eb/1Q21EarningsReleaseWoG.pdf" TargetMode="External" Id="rId40"/><Relationship Type="http://schemas.openxmlformats.org/officeDocument/2006/relationships/hyperlink" Target="https://investor.tsmc.com/english/encrypt/files/encrypt_file/qr/phase4_reports/2021-04/27db7ee1d79802148ebe465d76ca8f7a698d50eb/1Q21EarningsReleaseWoG.pdf" TargetMode="External" Id="rId41"/><Relationship Type="http://schemas.openxmlformats.org/officeDocument/2006/relationships/hyperlink" Target="https://pr.tsmc.com/system/files/newspdf/attachment/4Q20%20%28E%29_with%20guidance_final.pdf" TargetMode="External" Id="rId42"/><Relationship Type="http://schemas.openxmlformats.org/officeDocument/2006/relationships/hyperlink" Target="https://pr.tsmc.com/system/files/newspdf/attachment/4Q20%20%28E%29_with%20guidance_final.pdf" TargetMode="External" Id="rId43"/><Relationship Type="http://schemas.openxmlformats.org/officeDocument/2006/relationships/hyperlink" Target="https://www.tsmc.com/uploadfile/ir/quarterly/2020/30UTw/E/3Q20EarningsRelease.pdf" TargetMode="External" Id="rId44"/><Relationship Type="http://schemas.openxmlformats.org/officeDocument/2006/relationships/hyperlink" Target="https://www.tsmc.com/uploadfile/ir/quarterly/2020/30UTw/E/3Q20EarningsRelease.pdf" TargetMode="External" Id="rId45"/><Relationship Type="http://schemas.openxmlformats.org/officeDocument/2006/relationships/hyperlink" Target="https://www.tsmc.com/uploadfile/ir/quarterly/2020/2PBbw/E/2Q20EarningsRelease.pdf" TargetMode="External" Id="rId46"/><Relationship Type="http://schemas.openxmlformats.org/officeDocument/2006/relationships/hyperlink" Target="https://www.tsmc.com/uploadfile/ir/quarterly/2020/2PBbw/E/2Q20EarningsRelease.pdf" TargetMode="External" Id="rId47"/><Relationship Type="http://schemas.openxmlformats.org/officeDocument/2006/relationships/hyperlink" Target="https://www.tsmc.com/uploadfile/ir/quarterly/2020/1hjsn/E/1Q20EarningsRelease.pdf" TargetMode="External" Id="rId48"/><Relationship Type="http://schemas.openxmlformats.org/officeDocument/2006/relationships/hyperlink" Target="https://www.tsmc.com/uploadfile/ir/quarterly/2020/1hjsn/E/1Q20EarningsRelease.pdf" TargetMode="External" Id="rId49"/><Relationship Type="http://schemas.openxmlformats.org/officeDocument/2006/relationships/hyperlink" Target="https://www.tsmc.com/uploadfile/ir/quarterly/2019/4YjSO/E/4Q19EarningsRelease.pdf" TargetMode="External" Id="rId50"/><Relationship Type="http://schemas.openxmlformats.org/officeDocument/2006/relationships/hyperlink" Target="https://www.tsmc.com/uploadfile/ir/quarterly/2019/4YjSO/E/4Q19EarningsRelease.pdf" TargetMode="External" Id="rId51"/><Relationship Type="http://schemas.openxmlformats.org/officeDocument/2006/relationships/hyperlink" Target="https://www.tsmc.com/uploadfile/ir/quarterly/2019/4YjSO/E/4Q19EarningsRelease.pdf" TargetMode="External" Id="rId52"/><Relationship Type="http://schemas.openxmlformats.org/officeDocument/2006/relationships/hyperlink" Target="https://www.tsmc.com/uploadfile/ir/quarterly/2019/3JEzE/E/3Q19EarningsRelease.pdf" TargetMode="External" Id="rId53"/><Relationship Type="http://schemas.openxmlformats.org/officeDocument/2006/relationships/hyperlink" Target="https://www.tsmc.com/uploadfile/ir/quarterly/2019/3JEzE/E/3Q19EarningsRelease.pdf" TargetMode="External" Id="rId54"/><Relationship Type="http://schemas.openxmlformats.org/officeDocument/2006/relationships/hyperlink" Target="https://www.tsmc.com/uploadfile/ir/quarterly/2019/2yPzH/E/2Q19EarningsRelease.pdf" TargetMode="External" Id="rId55"/><Relationship Type="http://schemas.openxmlformats.org/officeDocument/2006/relationships/hyperlink" Target="https://www.tsmc.com/uploadfile/ir/quarterly/2019/2yPzH/E/2Q19EarningsRelease.pdf" TargetMode="External" Id="rId56"/><Relationship Type="http://schemas.openxmlformats.org/officeDocument/2006/relationships/hyperlink" Target="https://www.tsmc.com/tsmcdotcom/ExtIRListingQuarterlyAction.do?action=listByYearAndQuarter&amp;year=2019&amp;theQuarter=1&amp;language=E" TargetMode="External" Id="rId57"/><Relationship Type="http://schemas.openxmlformats.org/officeDocument/2006/relationships/hyperlink" Target="https://www.tsmc.com/tsmcdotcom/ExtIRListingQuarterlyAction.do?action=listByYearAndQuarter&amp;year=2019&amp;theQuarter=1&amp;language=E" TargetMode="External" Id="rId58"/><Relationship Type="http://schemas.openxmlformats.org/officeDocument/2006/relationships/hyperlink" Target="https://www.tsmc.com/uploadfile/ir/quarterly/2018/4wVe6/E/4Q18EarningsRelease.pdf" TargetMode="External" Id="rId59"/><Relationship Type="http://schemas.openxmlformats.org/officeDocument/2006/relationships/hyperlink" Target="http://www.tsmc.com/uploadfile/ir/quarterly/2018/3X3YN/E/3Q18EarningsRelease.pdf" TargetMode="External" Id="rId60"/><Relationship Type="http://schemas.openxmlformats.org/officeDocument/2006/relationships/hyperlink" Target="http://www.tsmc.com/uploadfile/ir/quarterly/2018/2y4ZO/E/2Q18EarningsRelease.pdf" TargetMode="External" Id="rId61"/><Relationship Type="http://schemas.openxmlformats.org/officeDocument/2006/relationships/hyperlink" Target="http://www.tsmc.com/uploadfile/ir/quarterly/2018/1yZjH/E/1Q18EarningsRelease.pdf" TargetMode="External" Id="rId62"/><Relationship Type="http://schemas.openxmlformats.org/officeDocument/2006/relationships/hyperlink" Target="http://www.tsmc.com/uploadfile/ir/quarterly/2017/4M1iB/E/4Q17EarningsRelease.pdf" TargetMode="External" Id="rId63"/><Relationship Type="http://schemas.openxmlformats.org/officeDocument/2006/relationships/drawing" Target="/xl/drawings/drawing2.xml" Id="rId64"/></Relationships>
</file>

<file path=xl/worksheets/sheet1.xml><?xml version="1.0" encoding="utf-8"?>
<worksheet xmlns="http://schemas.openxmlformats.org/spreadsheetml/2006/main">
  <sheetPr codeName="Sheet5">
    <outlinePr summaryBelow="1" summaryRight="1"/>
    <pageSetUpPr fitToPage="1"/>
  </sheetPr>
  <dimension ref="A1:AG67"/>
  <sheetViews>
    <sheetView showGridLines="0" tabSelected="1" topLeftCell="A1" workbookViewId="0">
      <selection activeCell="A1" sqref="A1"/>
    </sheetView>
  </sheetViews>
  <sheetFormatPr baseColWidth="8" defaultColWidth="8.77428571428571" defaultRowHeight="14.4"/>
  <cols>
    <col width="5.71428571428571" customWidth="1" style="15" min="1" max="1"/>
    <col width="7.71428571428571" customWidth="1" style="15" min="2" max="2"/>
    <col width="10.2857142857143" customWidth="1" style="15" min="3" max="3"/>
    <col width="13.7142857142857" customWidth="1" style="15" min="4" max="4"/>
    <col width="5.42857142857143" customWidth="1" style="15" min="5" max="5"/>
    <col width="13.7142857142857" customWidth="1" style="15" min="6" max="6"/>
    <col width="6.71428571428571" customWidth="1" style="15" min="7" max="7"/>
    <col width="31.7142857142857" customWidth="1" style="15" min="8" max="8"/>
    <col width="8.71428571428571" customWidth="1" style="15" min="9" max="15"/>
    <col width="45.7142857142857" customWidth="1" style="15" min="16" max="16"/>
    <col width="8.71428571428571" customWidth="1" style="15" min="17" max="20"/>
    <col width="8.71428571428571" customWidth="1" style="15" min="21" max="16384"/>
  </cols>
  <sheetData>
    <row r="1" ht="14.4" customHeight="1" s="876">
      <c r="A1" s="16" t="n"/>
      <c r="B1" s="16" t="n"/>
      <c r="C1" s="16" t="n"/>
      <c r="D1" s="16" t="n"/>
      <c r="E1" s="16" t="n"/>
      <c r="F1" s="16" t="n"/>
      <c r="G1" s="16" t="n"/>
      <c r="H1" s="16" t="n"/>
      <c r="I1" s="16" t="n"/>
      <c r="J1" s="16" t="n"/>
      <c r="K1" s="16" t="n"/>
      <c r="L1" s="16" t="n"/>
      <c r="M1" s="16" t="n"/>
      <c r="N1" s="16" t="n"/>
      <c r="O1" s="16" t="n"/>
      <c r="P1" s="16" t="n"/>
      <c r="Q1" s="16" t="n"/>
      <c r="R1" s="16" t="n"/>
      <c r="S1" s="16" t="n"/>
      <c r="T1" s="16" t="n"/>
      <c r="U1" s="16" t="n"/>
      <c r="V1" s="16" t="n"/>
      <c r="W1" s="16" t="n"/>
    </row>
    <row r="2" ht="14.4" customHeight="1" s="876">
      <c r="A2" s="16" t="n"/>
      <c r="B2" s="16" t="n"/>
      <c r="C2" s="16" t="n"/>
      <c r="D2" s="16" t="n"/>
      <c r="E2" s="16" t="n"/>
      <c r="F2" s="16" t="n"/>
      <c r="G2" s="16" t="n"/>
      <c r="H2" s="16" t="n"/>
      <c r="I2" s="16" t="n"/>
      <c r="J2" s="16" t="n"/>
      <c r="K2" s="16" t="n"/>
      <c r="L2" s="16" t="n"/>
      <c r="M2" s="16" t="n"/>
      <c r="N2" s="16" t="n"/>
      <c r="O2" s="16" t="n"/>
      <c r="P2" s="16" t="n"/>
      <c r="Q2" s="16" t="n"/>
      <c r="R2" s="16" t="n"/>
      <c r="S2" s="16" t="n"/>
      <c r="T2" s="16" t="n"/>
      <c r="U2" s="16" t="n"/>
      <c r="V2" s="16" t="n"/>
      <c r="W2" s="16" t="n"/>
    </row>
    <row r="3" ht="14.4" customHeight="1" s="876">
      <c r="A3" s="16" t="n"/>
      <c r="B3" s="16" t="n"/>
      <c r="C3" s="16" t="n"/>
      <c r="D3" s="16" t="n"/>
      <c r="E3" s="16" t="n"/>
      <c r="F3" s="16" t="n"/>
      <c r="G3" s="16" t="n"/>
      <c r="H3" s="16" t="n"/>
      <c r="I3" s="16" t="n"/>
      <c r="J3" s="16" t="n"/>
      <c r="K3" s="16" t="n"/>
      <c r="L3" s="16" t="n"/>
      <c r="M3" s="16" t="n"/>
      <c r="N3" s="16" t="n"/>
      <c r="O3" s="16" t="n"/>
      <c r="P3" s="16" t="n"/>
      <c r="Q3" s="16" t="n"/>
      <c r="R3" s="16" t="n"/>
      <c r="S3" s="16" t="n"/>
      <c r="T3" s="16" t="n"/>
      <c r="U3" s="16" t="n"/>
      <c r="V3" s="16" t="n"/>
      <c r="W3" s="16" t="n"/>
    </row>
    <row r="4" ht="14.4" customHeight="1" s="876">
      <c r="A4" s="16" t="n"/>
      <c r="B4" s="16" t="n"/>
      <c r="C4" s="16" t="n"/>
      <c r="D4" s="16" t="n"/>
      <c r="E4" s="16" t="n"/>
      <c r="F4" s="16" t="n"/>
      <c r="G4" s="16" t="n"/>
      <c r="H4" s="16" t="n"/>
      <c r="I4" s="16" t="n"/>
      <c r="J4" s="16" t="n"/>
      <c r="K4" s="16" t="n"/>
      <c r="L4" s="16" t="n"/>
      <c r="M4" s="16" t="n"/>
      <c r="N4" s="16" t="n"/>
      <c r="O4" s="16" t="n"/>
      <c r="P4" s="16" t="n"/>
      <c r="Q4" s="16" t="n"/>
      <c r="R4" s="16" t="n"/>
      <c r="S4" s="16" t="n"/>
      <c r="T4" s="16" t="n"/>
      <c r="U4" s="16" t="n"/>
      <c r="V4" s="16" t="n"/>
      <c r="W4" s="16" t="n"/>
    </row>
    <row r="5" ht="14.4" customHeight="1" s="876">
      <c r="A5" s="16" t="n"/>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row>
    <row r="6" ht="18" customHeight="1" s="876">
      <c r="A6" s="16" t="n"/>
      <c r="B6" s="16" t="n"/>
      <c r="C6" s="16" t="n"/>
      <c r="D6" s="16" t="n"/>
      <c r="E6" s="16" t="n"/>
      <c r="F6" s="16" t="n"/>
      <c r="G6" s="16" t="n"/>
      <c r="H6" s="16" t="n"/>
      <c r="I6" s="16" t="n"/>
      <c r="J6" s="16" t="n"/>
      <c r="K6" s="16" t="n"/>
      <c r="L6" s="16" t="n"/>
      <c r="M6" s="508" t="inlineStr">
        <is>
          <t xml:space="preserve">Please contact this email for any model-specific questions: </t>
        </is>
      </c>
      <c r="N6" s="16" t="n"/>
      <c r="O6" s="16" t="n"/>
      <c r="P6" s="16" t="n"/>
      <c r="Q6" s="16" t="n"/>
      <c r="R6" s="16" t="n"/>
      <c r="S6" s="16" t="n"/>
      <c r="T6" s="16" t="n"/>
      <c r="U6" s="16" t="n"/>
      <c r="V6" s="16" t="n"/>
      <c r="W6" s="16" t="n"/>
    </row>
    <row r="7" ht="18" customHeight="1" s="876">
      <c r="A7" s="16" t="n"/>
      <c r="B7" s="16" t="n"/>
      <c r="C7" s="16" t="n"/>
      <c r="D7" s="16" t="n"/>
      <c r="E7" s="16" t="n"/>
      <c r="F7" s="16" t="n"/>
      <c r="G7" s="16" t="n"/>
      <c r="H7" s="16" t="n"/>
      <c r="I7" s="16" t="n"/>
      <c r="J7" s="16" t="n"/>
      <c r="K7" s="16" t="n"/>
      <c r="L7" s="16" t="n"/>
      <c r="M7" s="590" t="inlineStr">
        <is>
          <t>modelsupport@alpha-sense.com</t>
        </is>
      </c>
      <c r="N7" s="590" t="inlineStr">
        <is>
          <t>mailto:support@canalyst.com?subject=Canalyst%20Support:%20Taiwan%20Semiconductor%20Manufacturing%20Company%20Ltd.%20TSM%20US&amp;body=Model%20Version:%20Q2-2019.21</t>
        </is>
      </c>
      <c r="O7" s="590" t="inlineStr">
        <is>
          <t>mailto:support@canalyst.com?subject=Canalyst%20Support:%20Taiwan%20Semiconductor%20Manufacturing%20Company%20Ltd.%20TSM%20US&amp;body=Model%20Version:%20Q2-2019.21</t>
        </is>
      </c>
      <c r="P7" s="16" t="n"/>
      <c r="Q7" s="16" t="n"/>
      <c r="R7" s="16" t="n"/>
      <c r="S7" s="16" t="n"/>
      <c r="T7" s="16" t="n"/>
      <c r="U7" s="16" t="n"/>
      <c r="V7" s="16" t="n"/>
      <c r="W7" s="16" t="n"/>
    </row>
    <row r="8" ht="28.8" customHeight="1" s="876">
      <c r="A8" s="16" t="n"/>
      <c r="B8" s="16" t="n"/>
      <c r="C8" s="16" t="n"/>
      <c r="D8" s="16" t="n"/>
      <c r="E8" s="16" t="n"/>
      <c r="F8" s="14" t="n"/>
      <c r="L8" s="16" t="n"/>
      <c r="M8" s="16" t="n"/>
      <c r="N8" s="16" t="n"/>
      <c r="O8" s="16" t="n"/>
      <c r="P8" s="16" t="n"/>
      <c r="Q8" s="16" t="n"/>
      <c r="R8" s="16" t="n"/>
      <c r="S8" s="16" t="n"/>
      <c r="T8" s="16" t="n"/>
      <c r="U8" s="16" t="n"/>
      <c r="V8" s="16" t="n"/>
      <c r="W8" s="16" t="n"/>
    </row>
    <row r="9" ht="18.75" customHeight="1" s="876">
      <c r="A9" s="16" t="n"/>
      <c r="B9" s="16" t="n"/>
      <c r="C9" s="509" t="inlineStr">
        <is>
          <t>Company Model:</t>
        </is>
      </c>
      <c r="D9" s="510" t="n"/>
      <c r="E9" s="510" t="n"/>
      <c r="F9" s="510" t="n"/>
      <c r="G9" s="510" t="n"/>
      <c r="H9" s="511">
        <f>Model!A1</f>
        <v/>
      </c>
      <c r="I9" s="510" t="n"/>
      <c r="J9" s="510" t="n"/>
      <c r="K9" s="510" t="n"/>
      <c r="L9" s="510" t="n"/>
      <c r="M9" s="574" t="n"/>
      <c r="N9" s="510" t="n"/>
      <c r="O9" s="510" t="n"/>
      <c r="Q9" s="16" t="n"/>
      <c r="R9" s="16" t="n"/>
      <c r="S9" s="16" t="n"/>
      <c r="T9" s="16" t="n"/>
      <c r="U9" s="16" t="n"/>
      <c r="V9" s="16" t="n"/>
      <c r="W9" s="16" t="n"/>
    </row>
    <row r="10" ht="18" customHeight="1" s="876">
      <c r="A10" s="16" t="n"/>
      <c r="B10" s="16" t="n"/>
      <c r="C10" s="512" t="n"/>
      <c r="D10" s="16" t="n"/>
      <c r="E10" s="16" t="n"/>
      <c r="F10" s="16" t="n"/>
      <c r="G10" s="16" t="n"/>
      <c r="H10" s="16" t="n"/>
      <c r="I10" s="16" t="n"/>
      <c r="J10" s="16" t="n"/>
      <c r="K10" s="16" t="n"/>
      <c r="L10" s="16" t="n"/>
      <c r="M10" s="575" t="n"/>
      <c r="N10" s="16" t="n"/>
      <c r="O10" s="16" t="n"/>
      <c r="Q10" s="16" t="n"/>
      <c r="R10" s="16" t="n"/>
      <c r="S10" s="16" t="n"/>
      <c r="T10" s="16" t="n"/>
      <c r="U10" s="16" t="n"/>
      <c r="V10" s="16" t="n"/>
      <c r="W10" s="16" t="n"/>
    </row>
    <row r="11" ht="18" customHeight="1" s="876">
      <c r="A11" s="16" t="n"/>
      <c r="B11" s="16" t="n"/>
      <c r="C11" s="509" t="inlineStr">
        <is>
          <t xml:space="preserve">Updated: </t>
        </is>
      </c>
      <c r="D11" s="16" t="n"/>
      <c r="E11" s="16" t="n"/>
      <c r="F11" s="16" t="n"/>
      <c r="G11" s="16" t="n"/>
      <c r="H11" s="545">
        <f>OFFSET('Update Log'!$C$10,1,0,1,1)</f>
        <v/>
      </c>
      <c r="I11" s="16" t="n"/>
      <c r="J11" s="16" t="n"/>
      <c r="K11" s="16" t="n"/>
      <c r="L11" s="16" t="n"/>
      <c r="M11" s="16" t="n"/>
      <c r="N11" s="16" t="n"/>
      <c r="O11" s="16" t="n"/>
      <c r="Q11" s="16" t="n"/>
      <c r="R11" s="16" t="n"/>
      <c r="S11" s="16" t="n"/>
      <c r="T11" s="16" t="n"/>
      <c r="U11" s="16" t="n"/>
      <c r="V11" s="16" t="n"/>
      <c r="W11" s="16" t="n"/>
    </row>
    <row r="12" ht="18" customHeight="1" s="876">
      <c r="A12" s="16" t="n"/>
      <c r="B12" s="16" t="n"/>
      <c r="C12" s="16" t="n"/>
      <c r="D12" s="16" t="n"/>
      <c r="E12" s="16" t="n"/>
      <c r="F12" s="16" t="n"/>
      <c r="G12" s="16" t="n"/>
      <c r="H12" s="514" t="n"/>
      <c r="I12" s="16" t="n"/>
      <c r="J12" s="16" t="n"/>
      <c r="K12" s="16" t="n"/>
      <c r="L12" s="16" t="n"/>
      <c r="M12" s="509" t="inlineStr">
        <is>
          <t>Comments on Model:</t>
        </is>
      </c>
      <c r="N12" s="16" t="n"/>
      <c r="O12" s="16" t="n"/>
      <c r="Q12" s="16" t="n"/>
      <c r="R12" s="16" t="n"/>
      <c r="S12" s="16" t="n"/>
      <c r="T12" s="16" t="n"/>
      <c r="U12" s="16" t="n"/>
      <c r="V12" s="16" t="n"/>
      <c r="W12" s="16" t="n"/>
    </row>
    <row r="13" ht="18" customHeight="1" s="876">
      <c r="A13" s="16" t="n"/>
      <c r="B13" s="16" t="n"/>
      <c r="C13" s="509" t="inlineStr">
        <is>
          <t>For:</t>
        </is>
      </c>
      <c r="D13" s="16" t="n"/>
      <c r="E13" s="16" t="n"/>
      <c r="F13" s="16" t="n"/>
      <c r="G13" s="16" t="n"/>
      <c r="H13" s="546">
        <f>OFFSET('Update Log'!$E$10,1,0,1,1)</f>
        <v/>
      </c>
      <c r="I13" s="16" t="n"/>
      <c r="J13" s="16" t="n"/>
      <c r="K13" s="16" t="n"/>
      <c r="L13" s="16" t="n"/>
      <c r="M13" s="1258" t="inlineStr">
        <is>
          <t>1 ADR represents 5 shares.
Partially updated with PR, to be fully updated with 20F</t>
        </is>
      </c>
      <c r="Q13" s="16" t="n"/>
      <c r="R13" s="16" t="n"/>
      <c r="S13" s="16" t="n"/>
      <c r="T13" s="16" t="n"/>
      <c r="U13" s="16" t="n"/>
      <c r="V13" s="16" t="n"/>
      <c r="W13" s="16" t="n"/>
    </row>
    <row r="14" ht="14.4" customHeight="1" s="876">
      <c r="A14" s="16" t="n"/>
      <c r="B14" s="16" t="n"/>
      <c r="C14" s="16" t="n"/>
      <c r="D14" s="16" t="n"/>
      <c r="E14" s="16" t="n"/>
      <c r="F14" s="16" t="n"/>
      <c r="G14" s="16" t="n"/>
      <c r="H14" s="16" t="n"/>
      <c r="I14" s="16" t="n"/>
      <c r="J14" s="16" t="n"/>
      <c r="K14" s="16" t="n"/>
      <c r="L14" s="16" t="n"/>
      <c r="Q14" s="16" t="n"/>
      <c r="R14" s="16" t="n"/>
      <c r="S14" s="16" t="n"/>
      <c r="T14" s="16" t="n"/>
      <c r="U14" s="16" t="n"/>
      <c r="V14" s="16" t="n"/>
      <c r="W14" s="16" t="n"/>
    </row>
    <row r="15" ht="18.75" customHeight="1" s="876">
      <c r="A15" s="16" t="n"/>
      <c r="B15" s="16" t="n"/>
      <c r="C15" s="509" t="inlineStr">
        <is>
          <t>Consensus Data and Real-Time Stock Price:</t>
        </is>
      </c>
      <c r="D15" s="510" t="n"/>
      <c r="E15" s="510" t="n"/>
      <c r="F15" s="510" t="n"/>
      <c r="G15" s="510" t="n"/>
      <c r="H15" s="547" t="inlineStr">
        <is>
          <t>Bloomberg</t>
        </is>
      </c>
      <c r="I15" s="16" t="n"/>
      <c r="J15" s="515" t="n"/>
      <c r="K15" s="16" t="n"/>
      <c r="L15" s="16" t="n"/>
      <c r="Q15" s="16" t="n"/>
      <c r="R15" s="16" t="n"/>
      <c r="S15" s="16" t="n"/>
      <c r="T15" s="16" t="n"/>
      <c r="U15" s="16" t="n"/>
      <c r="V15" s="16" t="n"/>
      <c r="W15" s="16" t="n"/>
    </row>
    <row r="16" ht="15" customHeight="1" s="876">
      <c r="A16" s="16" t="n"/>
      <c r="B16" s="16" t="n"/>
      <c r="C16" s="510" t="n"/>
      <c r="D16" s="17" t="n"/>
      <c r="E16" s="17" t="n"/>
      <c r="F16" s="17" t="n"/>
      <c r="G16" s="17" t="n"/>
      <c r="H16" s="516">
        <f>IF(FP.DataSourceName="Bloomberg",1,IF(FP.DataSourceName="Capital IQ",2,IF(FP.DataSourceName="FactSet",3,IF(FP.DataSourceName="Refinitiv",4))))</f>
        <v/>
      </c>
      <c r="I16" s="517" t="n"/>
      <c r="J16" s="515" t="n"/>
      <c r="K16" s="16" t="n"/>
      <c r="L16" s="16" t="n"/>
      <c r="Q16" s="16" t="n"/>
      <c r="R16" s="16" t="n"/>
      <c r="S16" s="16" t="n"/>
      <c r="T16" s="16" t="n"/>
      <c r="U16" s="16" t="n"/>
      <c r="V16" s="16" t="n"/>
      <c r="W16" s="16" t="n"/>
    </row>
    <row r="17" ht="18" customFormat="1" customHeight="1" s="18">
      <c r="A17" s="17" t="n"/>
      <c r="B17" s="17" t="n"/>
      <c r="C17" s="512" t="n"/>
      <c r="D17" s="17" t="n"/>
      <c r="E17" s="17" t="n"/>
      <c r="F17" s="17" t="n"/>
      <c r="G17" s="17" t="n"/>
      <c r="H17" s="17" t="n"/>
      <c r="I17" s="517" t="n"/>
      <c r="J17" s="515" t="n"/>
      <c r="K17" s="16" t="n"/>
      <c r="L17" s="16" t="n"/>
      <c r="Q17" s="17" t="n"/>
      <c r="R17" s="17" t="n"/>
      <c r="S17" s="17" t="n"/>
      <c r="T17" s="17" t="n"/>
      <c r="U17" s="17" t="n"/>
      <c r="V17" s="17" t="n"/>
      <c r="W17" s="16" t="n"/>
    </row>
    <row r="18" ht="18.75" customFormat="1" customHeight="1" s="18">
      <c r="A18" s="17" t="n"/>
      <c r="B18" s="17" t="n"/>
      <c r="C18" s="509" t="inlineStr">
        <is>
          <t>Real-Time Stock Price:</t>
        </is>
      </c>
      <c r="D18" s="510" t="n"/>
      <c r="E18" s="510" t="n"/>
      <c r="F18" s="510" t="n"/>
      <c r="G18" s="510" t="n"/>
      <c r="H18" s="547" t="inlineStr">
        <is>
          <t>OFF</t>
        </is>
      </c>
      <c r="I18" s="518" t="n"/>
      <c r="J18" s="518" t="n"/>
      <c r="K18" s="16" t="n"/>
      <c r="L18" s="16" t="n"/>
      <c r="Q18" s="17" t="n"/>
      <c r="R18" s="17" t="n"/>
      <c r="S18" s="17" t="n"/>
      <c r="T18" s="17" t="n"/>
      <c r="U18" s="17" t="n"/>
      <c r="V18" s="17" t="n"/>
      <c r="W18" s="16" t="n"/>
    </row>
    <row r="19" ht="14.4" customFormat="1" customHeight="1" s="18">
      <c r="A19" s="17" t="n"/>
      <c r="B19" s="17" t="n"/>
      <c r="C19" s="510" t="n"/>
      <c r="D19" s="17" t="n"/>
      <c r="E19" s="17" t="n"/>
      <c r="F19" s="17" t="n"/>
      <c r="G19" s="17" t="n"/>
      <c r="H19" s="17" t="n"/>
      <c r="I19" s="517" t="n"/>
      <c r="J19" s="515" t="n"/>
      <c r="K19" s="16" t="n"/>
      <c r="L19" s="16" t="n"/>
      <c r="Q19" s="17" t="n"/>
      <c r="R19" s="17" t="n"/>
      <c r="S19" s="17" t="n"/>
      <c r="T19" s="17" t="n"/>
      <c r="U19" s="17" t="n"/>
      <c r="V19" s="17" t="n"/>
      <c r="W19" s="16" t="n"/>
    </row>
    <row r="20" ht="18.75" customFormat="1" customHeight="1" s="18">
      <c r="A20" s="17" t="n"/>
      <c r="B20" s="17" t="n"/>
      <c r="C20" s="519" t="inlineStr">
        <is>
          <t>Stock Price Override:</t>
        </is>
      </c>
      <c r="D20" s="17" t="n"/>
      <c r="E20" s="17" t="n"/>
      <c r="F20" s="1259" t="n">
        <v>46051</v>
      </c>
      <c r="G20" s="17" t="n"/>
      <c r="H20" s="1260" t="n">
        <v>339.55</v>
      </c>
      <c r="I20" s="517" t="n"/>
      <c r="J20" s="515" t="n"/>
      <c r="K20" s="16" t="n"/>
      <c r="L20" s="16" t="n"/>
      <c r="Q20" s="17" t="n"/>
      <c r="R20" s="17" t="n"/>
      <c r="S20" s="17" t="n"/>
      <c r="T20" s="17" t="n"/>
      <c r="U20" s="17" t="n"/>
      <c r="V20" s="17" t="n"/>
      <c r="W20" s="16" t="n"/>
    </row>
    <row r="21" ht="14.4" customFormat="1" customHeight="1" s="18">
      <c r="A21" s="17" t="n"/>
      <c r="B21" s="17" t="n"/>
      <c r="C21" s="17" t="n"/>
      <c r="D21" s="16" t="n"/>
      <c r="E21" s="16" t="n"/>
      <c r="F21" s="16" t="n"/>
      <c r="G21" s="16" t="n"/>
      <c r="H21" s="16" t="n"/>
      <c r="I21" s="16" t="n"/>
      <c r="J21" s="16" t="n"/>
      <c r="K21" s="16" t="n"/>
      <c r="L21" s="16" t="n"/>
      <c r="M21" s="16" t="n"/>
      <c r="N21" s="17" t="n"/>
      <c r="O21" s="17" t="n"/>
      <c r="P21" s="17" t="n"/>
      <c r="Q21" s="17" t="n"/>
      <c r="R21" s="17" t="n"/>
      <c r="S21" s="17" t="n"/>
      <c r="T21" s="17" t="n"/>
      <c r="U21" s="17" t="n"/>
      <c r="V21" s="17" t="n"/>
      <c r="W21" s="17" t="n"/>
    </row>
    <row r="22" ht="16.2" customHeight="1" s="876">
      <c r="A22" s="16" t="n"/>
      <c r="B22" s="16" t="n"/>
      <c r="C22" s="1261" t="inlineStr">
        <is>
          <t>DISCLAIMER
Access to and use of this model, including the data contained herein (this "Model") is subject to Tegus, Inc.'s (a successor entity to Canalyst Financial Modeling Corporation)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LEGAL@TEGUS.COM OF SUCH UNLAWFUL OR UNAUTHORIZED ACCESS AND USE; AND, (III) CERTIFY THAT YOU HAVE DESTROYED THIS MODEL (AND ANY DERIVATIVE WORKS ARISING FROM OR RELATING THERETO) AND ANY COPIES FROM YOUR SYSTEMS SO AS TO ENSURE THEY ARE INCAPABLE OF RETRIEVAL.
A portion of the data contained in this Model may be powered by third party contributors and their respective licensors, or derived from data provided by such contributors, including (but not limited to): (i) QuoteMedia Inc.: A portion of the market data is powered by Quotemedia.com. All rights reserved. Data delayed 15 minutes unless otherwise indicated; (ii) S&amp;P Global Market Intelligence LLC: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Refinitiv Canada Holdings Limited: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 Access to data in this Model that is sourced from third party contributors is subject to termination in the event that any agreement between the Company and such third party contributors terminates for any reason.
Copyright 2023 Tegus. All rights reserved.</t>
        </is>
      </c>
      <c r="D22" s="1262" t="n"/>
      <c r="E22" s="1262" t="n"/>
      <c r="F22" s="1262" t="n"/>
      <c r="G22" s="1262" t="n"/>
      <c r="H22" s="1262" t="n"/>
      <c r="I22" s="1262" t="n"/>
      <c r="J22" s="1262" t="n"/>
      <c r="K22" s="1262" t="n"/>
      <c r="L22" s="1262" t="n"/>
      <c r="M22" s="1262" t="n"/>
      <c r="N22" s="1262" t="n"/>
      <c r="O22" s="1262" t="n"/>
      <c r="P22" s="1263" t="n"/>
      <c r="Q22" s="16" t="n"/>
      <c r="R22" s="16" t="n"/>
      <c r="S22" s="16" t="n"/>
      <c r="T22" s="16" t="n"/>
      <c r="U22" s="16" t="n"/>
      <c r="V22" s="16" t="n"/>
      <c r="W22" s="16" t="n"/>
    </row>
    <row r="23" ht="16.2" customHeight="1" s="876">
      <c r="A23" s="16" t="n"/>
      <c r="B23" s="16" t="n"/>
      <c r="C23" s="1264" t="n"/>
      <c r="P23" s="1265" t="n"/>
      <c r="Q23" s="16" t="n"/>
      <c r="R23" s="16" t="n"/>
      <c r="S23" s="16" t="n"/>
      <c r="T23" s="16" t="n"/>
      <c r="U23" s="16" t="n"/>
      <c r="V23" s="16" t="n"/>
      <c r="W23" s="16" t="n"/>
    </row>
    <row r="24" ht="16.2" customHeight="1" s="876">
      <c r="A24" s="16" t="n"/>
      <c r="B24" s="16" t="n"/>
      <c r="C24" s="1264" t="n"/>
      <c r="P24" s="1265" t="n"/>
      <c r="Q24" s="16" t="n"/>
      <c r="R24" s="16" t="n"/>
      <c r="S24" s="16" t="n"/>
      <c r="T24" s="16" t="n"/>
      <c r="U24" s="16" t="n"/>
      <c r="V24" s="16" t="n"/>
      <c r="W24" s="16" t="n"/>
    </row>
    <row r="25" ht="16.2" customHeight="1" s="876">
      <c r="A25" s="16" t="n"/>
      <c r="B25" s="16" t="n"/>
      <c r="C25" s="1264" t="n"/>
      <c r="P25" s="1265" t="n"/>
      <c r="Q25" s="16" t="n"/>
      <c r="R25" s="16" t="n"/>
      <c r="S25" s="16" t="n"/>
      <c r="T25" s="16" t="n"/>
      <c r="U25" s="16" t="n"/>
      <c r="V25" s="16" t="n"/>
      <c r="W25" s="16" t="n"/>
    </row>
    <row r="26" ht="16.2" customHeight="1" s="876">
      <c r="A26" s="16" t="n"/>
      <c r="B26" s="16" t="n"/>
      <c r="C26" s="1264" t="n"/>
      <c r="P26" s="1265" t="n"/>
      <c r="Q26" s="16" t="n"/>
      <c r="R26" s="16" t="n"/>
      <c r="S26" s="16" t="n"/>
      <c r="T26" s="16" t="n"/>
      <c r="U26" s="16" t="n"/>
      <c r="V26" s="16" t="n"/>
      <c r="W26" s="16" t="n"/>
    </row>
    <row r="27" ht="16.2" customHeight="1" s="876">
      <c r="A27" s="16" t="n"/>
      <c r="B27" s="16" t="n"/>
      <c r="C27" s="1264" t="n"/>
      <c r="P27" s="1265" t="n"/>
      <c r="Q27" s="16" t="n"/>
      <c r="R27" s="16" t="n"/>
      <c r="S27" s="16" t="n"/>
      <c r="T27" s="16" t="n"/>
      <c r="U27" s="16" t="n"/>
      <c r="V27" s="16" t="n"/>
      <c r="W27" s="16" t="n"/>
    </row>
    <row r="28" ht="16.2" customHeight="1" s="876">
      <c r="A28" s="16" t="n"/>
      <c r="B28" s="16" t="n"/>
      <c r="C28" s="1264" t="n"/>
      <c r="P28" s="1265" t="n"/>
      <c r="Q28" s="16" t="n"/>
      <c r="R28" s="16" t="n"/>
      <c r="S28" s="16" t="n"/>
      <c r="T28" s="16" t="n"/>
      <c r="U28" s="16" t="n"/>
      <c r="V28" s="16" t="n"/>
      <c r="W28" s="16" t="n"/>
    </row>
    <row r="29" ht="16.2" customHeight="1" s="876">
      <c r="A29" s="16" t="n"/>
      <c r="B29" s="16" t="n"/>
      <c r="C29" s="1264" t="n"/>
      <c r="P29" s="1265" t="n"/>
      <c r="Q29" s="16" t="n"/>
      <c r="R29" s="16" t="n"/>
      <c r="S29" s="16" t="n"/>
      <c r="T29" s="16" t="n"/>
      <c r="U29" s="16" t="n"/>
      <c r="V29" s="16" t="n"/>
      <c r="W29" s="16" t="n"/>
    </row>
    <row r="30" ht="16.2" customHeight="1" s="876">
      <c r="A30" s="16" t="n"/>
      <c r="B30" s="16" t="n"/>
      <c r="C30" s="1264" t="n"/>
      <c r="P30" s="1265" t="n"/>
      <c r="Q30" s="16" t="n"/>
      <c r="R30" s="16" t="n"/>
      <c r="S30" s="16" t="n"/>
      <c r="T30" s="16" t="n"/>
      <c r="U30" s="16" t="n"/>
      <c r="V30" s="16" t="n"/>
      <c r="W30" s="16" t="n"/>
    </row>
    <row r="31" ht="16.2" customHeight="1" s="876">
      <c r="A31" s="16" t="n"/>
      <c r="B31" s="16" t="n"/>
      <c r="C31" s="1264" t="n"/>
      <c r="P31" s="1265" t="n"/>
      <c r="Q31" s="16" t="n"/>
      <c r="R31" s="16" t="n"/>
      <c r="S31" s="16" t="n"/>
      <c r="T31" s="16" t="n"/>
      <c r="U31" s="16" t="n"/>
      <c r="V31" s="16" t="n"/>
      <c r="W31" s="16" t="n"/>
    </row>
    <row r="32" ht="16.2" customHeight="1" s="876">
      <c r="A32" s="16" t="n"/>
      <c r="B32" s="16" t="n"/>
      <c r="C32" s="1264" t="n"/>
      <c r="P32" s="1265" t="n"/>
      <c r="Q32" s="16" t="n"/>
      <c r="R32" s="16" t="n"/>
      <c r="S32" s="16" t="n"/>
      <c r="T32" s="16" t="n"/>
      <c r="U32" s="16" t="n"/>
      <c r="V32" s="16" t="n"/>
      <c r="W32" s="16" t="n"/>
    </row>
    <row r="33" ht="16.2" customHeight="1" s="876">
      <c r="A33" s="16" t="n"/>
      <c r="B33" s="16" t="n"/>
      <c r="C33" s="1264" t="n"/>
      <c r="P33" s="1265" t="n"/>
      <c r="Q33" s="16" t="n"/>
      <c r="R33" s="16" t="n"/>
      <c r="S33" s="16" t="n"/>
      <c r="T33" s="16" t="n"/>
      <c r="U33" s="16" t="n"/>
      <c r="V33" s="16" t="n"/>
      <c r="W33" s="16" t="n"/>
    </row>
    <row r="34" ht="16.2" customHeight="1" s="876">
      <c r="A34" s="16" t="n"/>
      <c r="B34" s="16" t="n"/>
      <c r="C34" s="1264" t="n"/>
      <c r="P34" s="1265" t="n"/>
      <c r="Q34" s="16" t="n"/>
      <c r="R34" s="16" t="n"/>
      <c r="S34" s="16" t="n"/>
      <c r="T34" s="16" t="n"/>
      <c r="U34" s="16" t="n"/>
      <c r="V34" s="16" t="n"/>
      <c r="W34" s="16" t="n"/>
    </row>
    <row r="35" ht="16.2" customHeight="1" s="876">
      <c r="A35" s="16" t="n"/>
      <c r="B35" s="16" t="n"/>
      <c r="C35" s="1264" t="n"/>
      <c r="P35" s="1265" t="n"/>
      <c r="Q35" s="16" t="n"/>
      <c r="R35" s="16" t="n"/>
      <c r="S35" s="16" t="n"/>
      <c r="T35" s="16" t="n"/>
      <c r="U35" s="16" t="n"/>
      <c r="V35" s="16" t="n"/>
      <c r="W35" s="16" t="n"/>
    </row>
    <row r="36" ht="16.2" customHeight="1" s="876">
      <c r="A36" s="16" t="n"/>
      <c r="B36" s="16" t="n"/>
      <c r="C36" s="1264" t="n"/>
      <c r="P36" s="1265" t="n"/>
      <c r="Q36" s="16" t="n"/>
      <c r="R36" s="16" t="n"/>
      <c r="S36" s="16" t="n"/>
      <c r="T36" s="16" t="n"/>
      <c r="U36" s="16" t="n"/>
      <c r="V36" s="16" t="n"/>
      <c r="W36" s="16" t="n"/>
    </row>
    <row r="37" ht="16.2" customHeight="1" s="876">
      <c r="A37" s="16" t="n"/>
      <c r="B37" s="16" t="n"/>
      <c r="C37" s="1264" t="n"/>
      <c r="P37" s="1265" t="n"/>
      <c r="Q37" s="16" t="n"/>
      <c r="R37" s="16" t="n"/>
      <c r="S37" s="16" t="n"/>
      <c r="T37" s="16" t="n"/>
      <c r="U37" s="16" t="n"/>
      <c r="V37" s="16" t="n"/>
      <c r="W37" s="16" t="n"/>
    </row>
    <row r="38" ht="16.2" customHeight="1" s="876">
      <c r="A38" s="16" t="n"/>
      <c r="B38" s="16" t="n"/>
      <c r="C38" s="1264" t="n"/>
      <c r="P38" s="1265" t="n"/>
      <c r="Q38" s="16" t="n"/>
      <c r="R38" s="16" t="n"/>
      <c r="S38" s="16" t="n"/>
      <c r="T38" s="16" t="n"/>
      <c r="U38" s="16" t="n"/>
      <c r="V38" s="16" t="n"/>
      <c r="W38" s="16" t="n"/>
    </row>
    <row r="39" ht="16.2" customHeight="1" s="876">
      <c r="A39" s="16" t="n"/>
      <c r="B39" s="16" t="n"/>
      <c r="C39" s="1264" t="n"/>
      <c r="P39" s="1265" t="n"/>
      <c r="Q39" s="16" t="n"/>
      <c r="R39" s="16" t="n"/>
      <c r="S39" s="16" t="n"/>
      <c r="T39" s="16" t="n"/>
      <c r="U39" s="16" t="n"/>
      <c r="V39" s="16" t="n"/>
      <c r="W39" s="16" t="n"/>
    </row>
    <row r="40" ht="16.2" customHeight="1" s="876">
      <c r="A40" s="16" t="n"/>
      <c r="B40" s="16" t="n"/>
      <c r="C40" s="1264" t="n"/>
      <c r="P40" s="1265" t="n"/>
      <c r="Q40" s="16" t="n"/>
      <c r="R40" s="16" t="n"/>
      <c r="S40" s="16" t="n"/>
      <c r="T40" s="16" t="n"/>
      <c r="U40" s="16" t="n"/>
      <c r="V40" s="16" t="n"/>
      <c r="W40" s="16" t="n"/>
    </row>
    <row r="41" ht="16.2" customHeight="1" s="876">
      <c r="A41" s="16" t="n"/>
      <c r="B41" s="16" t="n"/>
      <c r="C41" s="1266" t="n"/>
      <c r="D41" s="1267" t="n"/>
      <c r="E41" s="1267" t="n"/>
      <c r="F41" s="1267" t="n"/>
      <c r="G41" s="1267" t="n"/>
      <c r="H41" s="1267" t="n"/>
      <c r="I41" s="1267" t="n"/>
      <c r="J41" s="1267" t="n"/>
      <c r="K41" s="1267" t="n"/>
      <c r="L41" s="1267" t="n"/>
      <c r="M41" s="1267" t="n"/>
      <c r="N41" s="1267" t="n"/>
      <c r="O41" s="1267" t="n"/>
      <c r="P41" s="1268" t="n"/>
      <c r="Q41" s="16" t="n"/>
      <c r="R41" s="16" t="n"/>
      <c r="S41" s="16" t="n"/>
      <c r="T41" s="16" t="n"/>
      <c r="U41" s="16" t="n"/>
      <c r="V41" s="16" t="n"/>
      <c r="W41" s="16" t="n"/>
    </row>
    <row r="42" ht="14.4" customHeight="1" s="876">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row>
    <row r="43" ht="14.4" customHeight="1" s="876">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row>
    <row r="44" ht="14.4" customHeight="1" s="876">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row>
    <row r="45" ht="14.4" customHeight="1" s="87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row>
    <row r="46" ht="14.4" customHeight="1" s="87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row>
    <row r="47" ht="14.4" customHeight="1" s="87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row>
    <row r="48" ht="14.4" customHeight="1" s="87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row>
    <row r="49" ht="14.4" customHeight="1" s="87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row>
    <row r="50" ht="14.4" customHeight="1" s="87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row>
    <row r="51" ht="14.4" customHeight="1" s="87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row>
    <row r="52" ht="14.4" customHeight="1" s="87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row>
    <row r="53" ht="14.4" customHeight="1" s="876">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row>
    <row r="54" ht="14.4" customHeight="1" s="876">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row>
    <row r="55" ht="14.4" customHeight="1" s="876">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row>
    <row r="56" ht="14.4" customHeight="1" s="87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row>
    <row r="57" ht="14.4" customHeight="1" s="876">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row>
    <row r="67" ht="14.4" customHeight="1" s="876">
      <c r="AG67" s="583" t="n"/>
    </row>
  </sheetData>
  <mergeCells count="3">
    <mergeCell ref="M13:P20"/>
    <mergeCell ref="F8:K8"/>
    <mergeCell ref="C22:P41"/>
  </mergeCells>
  <conditionalFormatting sqref="C20:H20">
    <cfRule type="expression" priority="59" dxfId="10">
      <formula>AND(FP.RealTimeToggle="ON",MO.RealTime="ON")</formula>
    </cfRule>
  </conditionalFormatting>
  <dataValidations count="3">
    <dataValidation sqref="H18" showDropDown="0" showInputMessage="1" showErrorMessage="1" allowBlank="1" type="list">
      <formula1>"ON, OFF"</formula1>
    </dataValidation>
    <dataValidation sqref="H16" showDropDown="0" showInputMessage="1" showErrorMessage="1" allowBlank="1"/>
    <dataValidation sqref="H15" showDropDown="0" showInputMessage="1" showErrorMessage="1" allowBlank="1" type="list">
      <formula1>"Bloomberg, Capital IQ, FactSet, Refinitiv"</formula1>
    </dataValidation>
  </dataValidations>
  <hyperlinks>
    <hyperlink xmlns:r="http://schemas.openxmlformats.org/officeDocument/2006/relationships" ref="M7" tooltip="Click to directly email Canalyst support" display="modelsupport@alpha-sense.com" r:id="rId1"/>
    <hyperlink xmlns:r="http://schemas.openxmlformats.org/officeDocument/2006/relationships" ref="N7" tooltip="Click to directly email Canalyst support" display="modelsupport@alpha-sense.com" r:id="rId2"/>
    <hyperlink xmlns:r="http://schemas.openxmlformats.org/officeDocument/2006/relationships" ref="O7" tooltip="Click to directly email Canalyst support" display="modelsupport@alpha-sense.com" r:id="rId3"/>
  </hyperlinks>
  <pageMargins left="0.7" right="0.7" top="0.75" bottom="0.75" header="0.3" footer="0.3"/>
  <pageSetup orientation="portrait" paperSize="1" scale="45"/>
  <drawing xmlns:r="http://schemas.openxmlformats.org/officeDocument/2006/relationships" r:id="rId4"/>
</worksheet>
</file>

<file path=xl/worksheets/sheet2.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cols>
    <col width="25" customWidth="1" style="876" min="1" max="1"/>
    <col width="12" customWidth="1" style="876" min="2" max="2"/>
    <col width="12" customWidth="1" style="876" min="3" max="3"/>
    <col width="12" customWidth="1" style="876" min="4" max="4"/>
    <col width="12" customWidth="1" style="876" min="5" max="5"/>
    <col width="12" customWidth="1" style="876" min="6" max="6"/>
    <col width="12" customWidth="1" style="876" min="7" max="7"/>
    <col width="12" customWidth="1" style="876" min="8" max="8"/>
    <col width="12" customWidth="1" style="876" min="9" max="9"/>
    <col width="12" customWidth="1" style="876" min="10" max="10"/>
  </cols>
  <sheetData>
    <row r="1">
      <c r="A1" s="1269" t="inlineStr">
        <is>
          <t>TSMC DCF Valuation Analysis</t>
        </is>
      </c>
    </row>
    <row r="4">
      <c r="A4" s="1270" t="inlineStr">
        <is>
          <t>Period</t>
        </is>
      </c>
      <c r="F4" s="1270" t="inlineStr">
        <is>
          <t>FY2025</t>
        </is>
      </c>
      <c r="G4" s="1270" t="inlineStr">
        <is>
          <t>FY2026</t>
        </is>
      </c>
      <c r="H4" s="1270" t="inlineStr">
        <is>
          <t>FY2027</t>
        </is>
      </c>
      <c r="I4" s="1270" t="inlineStr">
        <is>
          <t>FY2028</t>
        </is>
      </c>
      <c r="J4" s="1270" t="inlineStr">
        <is>
          <t>FY2029</t>
        </is>
      </c>
    </row>
    <row r="6">
      <c r="A6" s="1271" t="inlineStr">
        <is>
          <t>REVENUE BUILD</t>
        </is>
      </c>
    </row>
    <row r="7">
      <c r="A7" t="inlineStr">
        <is>
          <t>Smartphone Revenue</t>
        </is>
      </c>
      <c r="F7" s="1272">
        <f>Model!L7</f>
        <v/>
      </c>
      <c r="G7" s="1272">
        <f>Model!Q7</f>
        <v/>
      </c>
      <c r="H7" s="1272">
        <f>Model!V7</f>
        <v/>
      </c>
      <c r="I7" s="1272">
        <f>Model!AA7</f>
        <v/>
      </c>
      <c r="J7" s="1272">
        <f>Model!AF7</f>
        <v/>
      </c>
    </row>
    <row r="8">
      <c r="A8" t="inlineStr">
        <is>
          <t>HPC Revenue</t>
        </is>
      </c>
      <c r="F8" s="1272">
        <f>Model!L10</f>
        <v/>
      </c>
      <c r="G8" s="1272">
        <f>Model!Q10</f>
        <v/>
      </c>
      <c r="H8" s="1272">
        <f>Model!V10</f>
        <v/>
      </c>
      <c r="I8" s="1272">
        <f>Model!AA10</f>
        <v/>
      </c>
      <c r="J8" s="1272">
        <f>Model!AF10</f>
        <v/>
      </c>
    </row>
    <row r="9">
      <c r="A9" t="inlineStr">
        <is>
          <t>IoT Revenue</t>
        </is>
      </c>
      <c r="F9" s="1272">
        <f>Model!L13</f>
        <v/>
      </c>
      <c r="G9" s="1272">
        <f>Model!Q13</f>
        <v/>
      </c>
      <c r="H9" s="1272">
        <f>Model!V13</f>
        <v/>
      </c>
      <c r="I9" s="1272">
        <f>Model!AA13</f>
        <v/>
      </c>
      <c r="J9" s="1272">
        <f>Model!AF13</f>
        <v/>
      </c>
    </row>
    <row r="10">
      <c r="A10" t="inlineStr">
        <is>
          <t>Automotive Revenue</t>
        </is>
      </c>
      <c r="F10" s="1272">
        <f>Model!L16</f>
        <v/>
      </c>
      <c r="G10" s="1272">
        <f>Model!Q16</f>
        <v/>
      </c>
      <c r="H10" s="1272">
        <f>Model!V16</f>
        <v/>
      </c>
      <c r="I10" s="1272">
        <f>Model!AA16</f>
        <v/>
      </c>
      <c r="J10" s="1272">
        <f>Model!AF16</f>
        <v/>
      </c>
    </row>
    <row r="11">
      <c r="A11" t="inlineStr">
        <is>
          <t>Digital Consumer Revenue</t>
        </is>
      </c>
      <c r="F11" s="1272">
        <f>Model!L19</f>
        <v/>
      </c>
      <c r="G11" s="1272">
        <f>Model!Q19</f>
        <v/>
      </c>
      <c r="H11" s="1272">
        <f>Model!V19</f>
        <v/>
      </c>
      <c r="I11" s="1272">
        <f>Model!AA19</f>
        <v/>
      </c>
      <c r="J11" s="1272">
        <f>Model!AF19</f>
        <v/>
      </c>
    </row>
    <row r="12">
      <c r="A12" t="inlineStr">
        <is>
          <t>Other Revenue</t>
        </is>
      </c>
      <c r="F12" s="1272">
        <f>Model!L22</f>
        <v/>
      </c>
      <c r="G12" s="1272">
        <f>Model!Q22</f>
        <v/>
      </c>
      <c r="H12" s="1272">
        <f>Model!V22</f>
        <v/>
      </c>
      <c r="I12" s="1272">
        <f>Model!AA22</f>
        <v/>
      </c>
      <c r="J12" s="1272">
        <f>Model!AF22</f>
        <v/>
      </c>
    </row>
    <row r="13">
      <c r="A13" s="1273" t="inlineStr">
        <is>
          <t>Total Revenue</t>
        </is>
      </c>
      <c r="F13">
        <f>SUM(F7:F12)</f>
        <v/>
      </c>
      <c r="G13">
        <f>SUM(G7:G12)</f>
        <v/>
      </c>
      <c r="H13">
        <f>SUM(H7:H12)</f>
        <v/>
      </c>
      <c r="I13">
        <f>SUM(I7:I12)</f>
        <v/>
      </c>
      <c r="J13">
        <f>SUM(J7:J12)</f>
        <v/>
      </c>
    </row>
    <row r="14">
      <c r="A14" t="inlineStr">
        <is>
          <t>Y/Y Growth %</t>
        </is>
      </c>
      <c r="G14">
        <f>G13/F13 - 1</f>
        <v/>
      </c>
      <c r="H14">
        <f>H13/G13 - 1</f>
        <v/>
      </c>
      <c r="I14">
        <f>I13/H13 - 1</f>
        <v/>
      </c>
      <c r="J14">
        <f>J13/I13 - 1</f>
        <v/>
      </c>
    </row>
    <row r="16">
      <c r="A16" s="1271" t="inlineStr">
        <is>
          <t>OPERATING MARGINS</t>
        </is>
      </c>
    </row>
    <row r="17">
      <c r="A17" t="inlineStr">
        <is>
          <t>Gross Margin %</t>
        </is>
      </c>
      <c r="F17" s="1272">
        <f>Model!L38</f>
        <v/>
      </c>
      <c r="G17" s="1272">
        <f>Model!Q38</f>
        <v/>
      </c>
      <c r="H17" s="1272">
        <f>Model!V38</f>
        <v/>
      </c>
      <c r="I17" s="1272">
        <f>Model!AA38</f>
        <v/>
      </c>
      <c r="J17" s="1272">
        <f>Model!AF38</f>
        <v/>
      </c>
    </row>
    <row r="18">
      <c r="A18" t="inlineStr">
        <is>
          <t>Operating Margin %</t>
        </is>
      </c>
      <c r="F18" s="1272">
        <f>Model!L59 / Model!L25</f>
        <v/>
      </c>
      <c r="G18" s="1272">
        <f>Model!Q59 / Model!Q25</f>
        <v/>
      </c>
      <c r="H18" s="1272">
        <f>Model!V59 / Model!V25</f>
        <v/>
      </c>
      <c r="I18" s="1272">
        <f>Model!AA59 / Model!AA25</f>
        <v/>
      </c>
      <c r="J18" s="1272">
        <f>Model!AF59 / Model!AF25</f>
        <v/>
      </c>
    </row>
    <row r="27">
      <c r="A27" s="1271" t="inlineStr">
        <is>
          <t>UFCF BUILD</t>
        </is>
      </c>
    </row>
    <row r="28">
      <c r="A28" t="inlineStr">
        <is>
          <t>Revenue</t>
        </is>
      </c>
      <c r="F28">
        <f>F13</f>
        <v/>
      </c>
      <c r="G28">
        <f>G13</f>
        <v/>
      </c>
      <c r="H28">
        <f>H13</f>
        <v/>
      </c>
      <c r="I28">
        <f>I13</f>
        <v/>
      </c>
      <c r="J28">
        <f>J13</f>
        <v/>
      </c>
    </row>
    <row r="29">
      <c r="A29" t="inlineStr">
        <is>
          <t>Gross Margin %</t>
        </is>
      </c>
      <c r="F29">
        <f>F17</f>
        <v/>
      </c>
      <c r="G29">
        <f>G17</f>
        <v/>
      </c>
      <c r="H29">
        <f>H17</f>
        <v/>
      </c>
      <c r="I29">
        <f>I17</f>
        <v/>
      </c>
      <c r="J29">
        <f>J17</f>
        <v/>
      </c>
    </row>
    <row r="30">
      <c r="A30" t="inlineStr">
        <is>
          <t>Gross Profit</t>
        </is>
      </c>
      <c r="F30">
        <f>F28 * F29</f>
        <v/>
      </c>
      <c r="G30">
        <f>G28 * G29</f>
        <v/>
      </c>
      <c r="H30">
        <f>H28 * H29</f>
        <v/>
      </c>
      <c r="I30">
        <f>I28 * I29</f>
        <v/>
      </c>
      <c r="J30">
        <f>J28 * J29</f>
        <v/>
      </c>
    </row>
    <row r="31">
      <c r="A31" t="inlineStr">
        <is>
          <t>Operating Margin %</t>
        </is>
      </c>
      <c r="F31">
        <f>F18</f>
        <v/>
      </c>
      <c r="G31">
        <f>G18</f>
        <v/>
      </c>
      <c r="H31">
        <f>H18</f>
        <v/>
      </c>
      <c r="I31">
        <f>I18</f>
        <v/>
      </c>
      <c r="J31">
        <f>J18</f>
        <v/>
      </c>
    </row>
    <row r="32">
      <c r="A32" t="inlineStr">
        <is>
          <t>EBIT</t>
        </is>
      </c>
      <c r="F32">
        <f>F28 * F31</f>
        <v/>
      </c>
      <c r="G32">
        <f>G28 * G31</f>
        <v/>
      </c>
      <c r="H32">
        <f>H28 * H31</f>
        <v/>
      </c>
      <c r="I32">
        <f>I28 * I31</f>
        <v/>
      </c>
      <c r="J32">
        <f>J28 * J31</f>
        <v/>
      </c>
    </row>
    <row r="33">
      <c r="A33" t="inlineStr">
        <is>
          <t>Tax Rate %</t>
        </is>
      </c>
      <c r="F33" s="2066" t="n">
        <v>0.15</v>
      </c>
      <c r="G33" s="2066" t="n">
        <v>0.15</v>
      </c>
      <c r="H33" s="2066" t="n">
        <v>0.15</v>
      </c>
      <c r="I33" s="2066" t="n">
        <v>0.15</v>
      </c>
      <c r="J33" s="2066" t="n">
        <v>0.15</v>
      </c>
    </row>
    <row r="34">
      <c r="A34" t="inlineStr">
        <is>
          <t>NOPAT (EBIT × (1-tax))</t>
        </is>
      </c>
      <c r="F34">
        <f>F32 * (1 - F33)</f>
        <v/>
      </c>
      <c r="G34">
        <f>G32 * (1 - G33)</f>
        <v/>
      </c>
      <c r="H34">
        <f>H32 * (1 - H33)</f>
        <v/>
      </c>
      <c r="I34">
        <f>I32 * (1 - I33)</f>
        <v/>
      </c>
      <c r="J34">
        <f>J32 * (1 - J33)</f>
        <v/>
      </c>
    </row>
    <row r="35">
      <c r="A35" t="inlineStr">
        <is>
          <t>D&amp;A</t>
        </is>
      </c>
      <c r="F35" s="1272">
        <f>Model!L72 + Model!L76</f>
        <v/>
      </c>
      <c r="G35" s="1272">
        <f>Model!Q72 + Model!Q76</f>
        <v/>
      </c>
      <c r="H35" s="1272">
        <f>Model!V72 + Model!V76</f>
        <v/>
      </c>
      <c r="I35" s="1272">
        <f>Model!AA72 + Model!AA76</f>
        <v/>
      </c>
      <c r="J35" s="1272">
        <f>Model!AF72 + Model!AF76</f>
        <v/>
      </c>
    </row>
    <row r="36">
      <c r="A36" t="inlineStr">
        <is>
          <t>CapEx</t>
        </is>
      </c>
      <c r="F36" s="1272">
        <f>Model!L86 * 1000</f>
        <v/>
      </c>
      <c r="G36" s="1272">
        <f>Model!Q86 * 1000</f>
        <v/>
      </c>
      <c r="H36" s="1272">
        <f>Model!V86 * 1000</f>
        <v/>
      </c>
      <c r="I36" s="1272">
        <f>Model!AA86 * 1000</f>
        <v/>
      </c>
      <c r="J36" s="1272">
        <f>Model!AF86 * 1000</f>
        <v/>
      </c>
    </row>
    <row r="37">
      <c r="A37" t="inlineStr">
        <is>
          <t>Change in Working Capital</t>
        </is>
      </c>
      <c r="F37">
        <f>F28 * 0.10</f>
        <v/>
      </c>
      <c r="G37">
        <f>G28 * 0.10</f>
        <v/>
      </c>
      <c r="H37">
        <f>H28 * 0.10</f>
        <v/>
      </c>
      <c r="I37">
        <f>I28 * 0.10</f>
        <v/>
      </c>
      <c r="J37">
        <f>J28 * 0.10</f>
        <v/>
      </c>
    </row>
    <row r="38">
      <c r="A38" t="inlineStr">
        <is>
          <t>Unlevered FCF</t>
        </is>
      </c>
      <c r="F38">
        <f>F34 + F35 - F36 - F37</f>
        <v/>
      </c>
      <c r="G38">
        <f>G34 + G35 - G36 - G37</f>
        <v/>
      </c>
      <c r="H38">
        <f>H34 + H35 - H36 - H37</f>
        <v/>
      </c>
      <c r="I38">
        <f>I34 + I35 - I36 - I37</f>
        <v/>
      </c>
      <c r="J38">
        <f>J34 + J35 - J36 - J37</f>
        <v/>
      </c>
    </row>
    <row r="40">
      <c r="A40" s="1271" t="inlineStr">
        <is>
          <t>DISCOUNTING</t>
        </is>
      </c>
    </row>
    <row r="41">
      <c r="A41" t="inlineStr">
        <is>
          <t>WACC %</t>
        </is>
      </c>
      <c r="F41" s="2066" t="n">
        <v>0.09</v>
      </c>
      <c r="G41" s="2066" t="n">
        <v>0.09</v>
      </c>
      <c r="H41" s="2066" t="n">
        <v>0.09</v>
      </c>
      <c r="I41" s="2066" t="n">
        <v>0.09</v>
      </c>
      <c r="J41" s="2066" t="n">
        <v>0.09</v>
      </c>
    </row>
    <row r="42">
      <c r="A42" t="inlineStr">
        <is>
          <t>Discount Factor</t>
        </is>
      </c>
      <c r="F42">
        <f>1 / (1 + F41)^1</f>
        <v/>
      </c>
      <c r="G42">
        <f>1 / (1 + G41)^2</f>
        <v/>
      </c>
      <c r="H42">
        <f>1 / (1 + H41)^3</f>
        <v/>
      </c>
      <c r="I42">
        <f>1 / (1 + I41)^4</f>
        <v/>
      </c>
      <c r="J42">
        <f>1 / (1 + J41)^5</f>
        <v/>
      </c>
    </row>
    <row r="43">
      <c r="A43" t="inlineStr">
        <is>
          <t>PV of UFCF</t>
        </is>
      </c>
      <c r="F43">
        <f>F38 * F42</f>
        <v/>
      </c>
      <c r="G43">
        <f>G38 * G42</f>
        <v/>
      </c>
      <c r="H43">
        <f>H38 * H42</f>
        <v/>
      </c>
      <c r="I43">
        <f>I38 * I42</f>
        <v/>
      </c>
      <c r="J43">
        <f>J38 * J42</f>
        <v/>
      </c>
    </row>
    <row r="45">
      <c r="A45" s="1271" t="inlineStr">
        <is>
          <t>TERMINAL VALUE</t>
        </is>
      </c>
    </row>
    <row r="46">
      <c r="A46" t="inlineStr">
        <is>
          <t>Terminal Growth %</t>
        </is>
      </c>
      <c r="F46" s="2066" t="n">
        <v>0.025</v>
      </c>
    </row>
    <row r="47">
      <c r="A47" t="inlineStr">
        <is>
          <t>Terminal Value</t>
        </is>
      </c>
      <c r="F47">
        <f>F38 * (1 + F46) / (F41 - F46)</f>
        <v/>
      </c>
    </row>
    <row r="48">
      <c r="A48" t="inlineStr">
        <is>
          <t>PV of TV</t>
        </is>
      </c>
      <c r="F48">
        <f>F47 * F42</f>
        <v/>
      </c>
    </row>
    <row r="50">
      <c r="A50" s="1271" t="inlineStr">
        <is>
          <t>VALUATION</t>
        </is>
      </c>
    </row>
    <row r="51">
      <c r="A51" t="inlineStr">
        <is>
          <t>Sum PV UFCF</t>
        </is>
      </c>
      <c r="F51">
        <f>SUM(F43:J43)</f>
        <v/>
      </c>
    </row>
    <row r="52">
      <c r="A52" t="inlineStr">
        <is>
          <t>PV Terminal Value</t>
        </is>
      </c>
      <c r="F52">
        <f>F48</f>
        <v/>
      </c>
    </row>
    <row r="53">
      <c r="A53" t="inlineStr">
        <is>
          <t>Enterprise Value</t>
        </is>
      </c>
      <c r="F53">
        <f>F51 + F52</f>
        <v/>
      </c>
    </row>
    <row r="54">
      <c r="A54" t="inlineStr">
        <is>
          <t>Less: Net Debt</t>
        </is>
      </c>
      <c r="F54">
        <f>Model!L84 - Model!L80</f>
        <v/>
      </c>
    </row>
    <row r="55">
      <c r="A55" t="inlineStr">
        <is>
          <t>Equity Value</t>
        </is>
      </c>
      <c r="F55">
        <f>F53 - F54</f>
        <v/>
      </c>
    </row>
    <row r="56">
      <c r="A56" t="inlineStr">
        <is>
          <t>Shares Outstanding (mm)</t>
        </is>
      </c>
      <c r="F56">
        <f>Model!L500</f>
        <v/>
      </c>
    </row>
    <row r="57">
      <c r="A57" t="inlineStr">
        <is>
          <t>Implied Price</t>
        </is>
      </c>
      <c r="F57">
        <f>F55 / F56</f>
        <v/>
      </c>
    </row>
    <row r="58">
      <c r="A58" t="inlineStr">
        <is>
          <t>Current Price</t>
        </is>
      </c>
      <c r="F58">
        <f>'Front Page'!H20</f>
        <v/>
      </c>
    </row>
    <row r="59">
      <c r="A59" t="inlineStr">
        <is>
          <t>Upside %</t>
        </is>
      </c>
      <c r="F59" s="2066">
        <f>F57 / F58 - 1</f>
        <v/>
      </c>
    </row>
  </sheetData>
  <pageMargins left="0.75" right="0.75" top="1" bottom="1" header="0.5" footer="0.5"/>
</worksheet>
</file>

<file path=xl/worksheets/sheet3.xml><?xml version="1.0" encoding="utf-8"?>
<worksheet xmlns="http://schemas.openxmlformats.org/spreadsheetml/2006/main">
  <sheetPr codeName="Sheet2">
    <outlinePr summaryBelow="1" summaryRight="1"/>
    <pageSetUpPr fitToPage="1"/>
  </sheetPr>
  <dimension ref="A1:CC1106"/>
  <sheetViews>
    <sheetView topLeftCell="A1" zoomScale="85" zoomScaleNormal="85" workbookViewId="0">
      <pane xSplit="2" ySplit="5" topLeftCell="BJ6" activePane="bottomRight" state="frozenSplit"/>
      <selection pane="topLeft" activeCell="A1" sqref="A1"/>
      <selection pane="bottomLeft" activeCell="A6" sqref="A6"/>
      <selection pane="topRight" activeCell="C1" sqref="C1"/>
      <selection pane="bottomRight" activeCell="A1" sqref="A1"/>
    </sheetView>
  </sheetViews>
  <sheetFormatPr baseColWidth="8" defaultColWidth="9.21428571428571" defaultRowHeight="14.4" outlineLevelRow="2"/>
  <cols>
    <col width="65.71428571428569" customWidth="1" style="876" min="1" max="1"/>
    <col width="12.7142857142857" customWidth="1" style="876" min="2" max="7"/>
    <col hidden="1" outlineLevel="1" width="12.7142857142857" customWidth="1" style="876" min="8" max="11"/>
    <col collapsed="1" width="12.7142857142857" customWidth="1" style="876" min="12" max="12"/>
    <col hidden="1" outlineLevel="1" width="12.7142857142857" customWidth="1" style="876" min="13" max="16"/>
    <col collapsed="1" width="12.7142857142857" customWidth="1" style="876" min="17" max="17"/>
    <col hidden="1" outlineLevel="1" width="12.7142857142857" customWidth="1" style="876" min="18" max="21"/>
    <col collapsed="1" width="12.7142857142857" customWidth="1" style="876" min="22" max="22"/>
    <col hidden="1" outlineLevel="1" width="12.7142857142857" customWidth="1" style="876" min="23" max="26"/>
    <col collapsed="1" width="12.7142857142857" customWidth="1" style="876" min="27" max="27"/>
    <col hidden="1" outlineLevel="1" width="12.7142857142857" customWidth="1" style="876" min="28" max="31"/>
    <col collapsed="1" width="12.7142857142857" customWidth="1" style="876" min="32" max="32"/>
    <col hidden="1" outlineLevel="1" width="12.7142857142857" customWidth="1" style="876" min="33" max="36"/>
    <col collapsed="1" width="12.7142857142857" customWidth="1" style="876" min="37" max="37"/>
    <col hidden="1" outlineLevel="1" width="12.7142857142857" customWidth="1" style="876" min="38" max="41"/>
    <col collapsed="1" width="12.7142857142857" customWidth="1" style="876" min="42" max="42"/>
    <col hidden="1" outlineLevel="1" width="12.7142857142857" customWidth="1" style="876" min="43" max="46"/>
    <col collapsed="1" width="12.7142857142857" customWidth="1" style="876" min="47" max="47"/>
    <col hidden="1" outlineLevel="1" width="12.7142857142857" customWidth="1" style="876" min="48" max="51"/>
    <col collapsed="1" width="12.7142857142857" customWidth="1" style="876" min="52" max="52"/>
    <col hidden="1" outlineLevel="1" width="12.7142857142857" customWidth="1" style="876" min="53" max="56"/>
    <col collapsed="1" width="12.7142857142857" customWidth="1" style="876" min="57" max="57"/>
    <col hidden="1" outlineLevel="1" width="12.7142857142857" customWidth="1" style="876" min="58" max="61"/>
    <col collapsed="1" width="12.7142857142857" customWidth="1" style="876" min="62" max="62"/>
    <col outlineLevel="1" width="12.7142857142857" customWidth="1" style="876" min="63" max="66"/>
    <col width="12.7142857142857" customWidth="1" style="876" min="67" max="67"/>
    <col outlineLevel="1" width="12.7142857142857" customWidth="1" style="876" min="68" max="71"/>
    <col width="12.7142857142857" customWidth="1" style="876" min="72" max="72"/>
    <col outlineLevel="1" width="12.7142857142857" customWidth="1" style="876" min="73" max="76"/>
    <col width="12.7142857142857" customWidth="1" style="876" min="77" max="81"/>
    <col width="9.28571428571429" customWidth="1" style="876" min="82" max="16384"/>
  </cols>
  <sheetData>
    <row r="1" ht="31.2" customFormat="1" customHeight="1" s="1275">
      <c r="A1" s="1276" t="inlineStr">
        <is>
          <t>Taiwan Semiconductor Manufacturing Company Ltd.</t>
        </is>
      </c>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8" t="n"/>
      <c r="AH1" s="1278" t="n"/>
      <c r="AI1" s="1278" t="n"/>
      <c r="AJ1" s="1278" t="n"/>
      <c r="AK1" s="1278" t="n"/>
      <c r="AL1" s="1278" t="n"/>
      <c r="AM1" s="1278" t="n"/>
      <c r="AN1" s="1278" t="n"/>
      <c r="AO1" s="1278" t="n"/>
      <c r="AP1" s="1278" t="n"/>
      <c r="AQ1" s="1278" t="n"/>
      <c r="AR1" s="1278" t="n"/>
      <c r="AS1" s="1278" t="n"/>
      <c r="AT1" s="1278" t="n"/>
      <c r="AU1" s="1278" t="n"/>
      <c r="AV1" s="1278" t="n"/>
      <c r="AW1" s="1278" t="n"/>
      <c r="AX1" s="1278" t="n"/>
      <c r="AY1" s="1278" t="n"/>
      <c r="AZ1" s="1278" t="n"/>
      <c r="BA1" s="1278" t="n"/>
      <c r="BB1" s="1278" t="n"/>
      <c r="BC1" s="1278" t="n"/>
      <c r="BD1" s="1278" t="n"/>
      <c r="BE1" s="1278" t="n"/>
      <c r="BF1" s="1278" t="n"/>
      <c r="BG1" s="1278" t="n"/>
      <c r="BH1" s="1278" t="n"/>
      <c r="BI1" s="1278" t="n"/>
      <c r="BJ1" s="1278" t="n"/>
      <c r="BK1" s="1278" t="n"/>
      <c r="BL1" s="1278" t="n"/>
      <c r="BM1" s="1278" t="n"/>
      <c r="BN1" s="1278" t="n"/>
      <c r="BO1" s="1279" t="n"/>
      <c r="BP1" s="1277" t="n"/>
      <c r="BQ1" s="1277" t="n"/>
      <c r="BR1" s="1277" t="n"/>
      <c r="BS1" s="1277" t="n"/>
      <c r="BT1" s="1277" t="n"/>
      <c r="BU1" s="1277" t="n"/>
      <c r="BV1" s="1277" t="n"/>
      <c r="BW1" s="1277" t="n"/>
      <c r="BX1" s="1277" t="n"/>
      <c r="BY1" s="1277" t="n"/>
      <c r="BZ1" s="1277" t="n"/>
      <c r="CA1" s="1277" t="n"/>
      <c r="CB1" s="1277" t="n"/>
      <c r="CC1" s="1280" t="n"/>
    </row>
    <row r="2" ht="14.4" customHeight="1" s="876">
      <c r="A2" s="1281">
        <f>CHOOSE(MO.DataSourceIndex,MO.Ticker.Bloomberg,MO.Ticker.CapIQ,MO.Ticker.FactSet,MO.Ticker.Thomson)</f>
        <v/>
      </c>
      <c r="B2" s="1282" t="n"/>
      <c r="C2" s="1283">
        <f>EOMONTH(C4,-12)</f>
        <v/>
      </c>
      <c r="D2" s="309" t="n"/>
      <c r="E2" s="309" t="n"/>
      <c r="F2" s="309" t="n"/>
      <c r="G2" s="309" t="n"/>
      <c r="H2" s="309" t="n"/>
      <c r="I2" s="309" t="n"/>
      <c r="J2" s="309" t="n"/>
      <c r="K2" s="309" t="n"/>
      <c r="L2" s="309" t="n"/>
      <c r="M2" s="309" t="n"/>
      <c r="N2" s="309" t="n"/>
      <c r="O2" s="309" t="n"/>
      <c r="P2" s="309" t="n"/>
      <c r="Q2" s="309" t="n"/>
      <c r="R2" s="309" t="n"/>
      <c r="S2" s="309" t="n"/>
      <c r="T2" s="309" t="n"/>
      <c r="U2" s="309" t="n"/>
      <c r="V2" s="309" t="n"/>
      <c r="W2" s="309" t="n"/>
      <c r="X2" s="309" t="n"/>
      <c r="Y2" s="309" t="n"/>
      <c r="Z2" s="309" t="n"/>
      <c r="AA2" s="309" t="n"/>
      <c r="AB2" s="309" t="n"/>
      <c r="AC2" s="309" t="n"/>
      <c r="AD2" s="309" t="n"/>
      <c r="AE2" s="309" t="n"/>
      <c r="AF2" s="309" t="n"/>
      <c r="AG2" s="1278" t="n"/>
      <c r="AH2" s="1278" t="n"/>
      <c r="AI2" s="1278" t="n"/>
      <c r="AJ2" s="1278" t="n"/>
      <c r="AK2" s="1278" t="n"/>
      <c r="AL2" s="1278" t="n"/>
      <c r="AM2" s="1278" t="n"/>
      <c r="AN2" s="1278" t="n"/>
      <c r="AO2" s="1278" t="n"/>
      <c r="AP2" s="1278" t="n"/>
      <c r="AQ2" s="1278" t="n"/>
      <c r="AR2" s="1278" t="n"/>
      <c r="AS2" s="1278" t="n"/>
      <c r="AT2" s="1278" t="n"/>
      <c r="AU2" s="1278" t="n"/>
      <c r="AV2" s="1278" t="n"/>
      <c r="AW2" s="1278" t="n"/>
      <c r="AX2" s="1278" t="n"/>
      <c r="AY2" s="1278" t="n"/>
      <c r="AZ2" s="1278" t="n"/>
      <c r="BA2" s="1278" t="n"/>
      <c r="BB2" s="1278" t="n"/>
      <c r="BC2" s="1278" t="n"/>
      <c r="BD2" s="1278" t="n"/>
      <c r="BE2" s="1278" t="n"/>
      <c r="BF2" s="1278" t="n"/>
      <c r="BG2" s="1278" t="n"/>
      <c r="BH2" s="1278" t="n"/>
      <c r="BI2" s="1278" t="n"/>
      <c r="BJ2" s="1278" t="n"/>
      <c r="BK2" s="1278" t="n"/>
      <c r="BL2" s="1278" t="n"/>
      <c r="BM2" s="1278" t="n"/>
      <c r="BN2" s="1278" t="inlineStr">
        <is>
          <t>Partial</t>
        </is>
      </c>
      <c r="BO2" s="1279" t="inlineStr">
        <is>
          <t>Partial</t>
        </is>
      </c>
      <c r="BP2" s="309" t="n"/>
      <c r="BQ2" s="309" t="n"/>
      <c r="BR2" s="309" t="n"/>
      <c r="BS2" s="309" t="n"/>
      <c r="BT2" s="309" t="n"/>
      <c r="BU2" s="309" t="n"/>
      <c r="BV2" s="309" t="n"/>
      <c r="BW2" s="309" t="n"/>
      <c r="BX2" s="309" t="n"/>
      <c r="BY2" s="309" t="n"/>
      <c r="BZ2" s="309" t="n"/>
      <c r="CA2" s="309" t="n"/>
      <c r="CB2" s="309" t="n"/>
      <c r="CC2" s="158" t="n"/>
    </row>
    <row r="3" ht="14.4" customFormat="1" customHeight="1" s="1284">
      <c r="A3" s="1285">
        <f>HP.TradeCurrency</f>
        <v/>
      </c>
      <c r="B3" s="1286">
        <f>IF(MO.RealTime="OFF",MO.LastPriceHardcoded,MO.LastPriceFormula)</f>
        <v/>
      </c>
      <c r="C3" s="999">
        <f>C4-C2</f>
        <v/>
      </c>
      <c r="D3" s="999">
        <f>D4-C4</f>
        <v/>
      </c>
      <c r="E3" s="999">
        <f>E4-D4</f>
        <v/>
      </c>
      <c r="F3" s="999">
        <f>F4-E4</f>
        <v/>
      </c>
      <c r="G3" s="999">
        <f>G4-F4</f>
        <v/>
      </c>
      <c r="H3" s="599">
        <f>H4-G4</f>
        <v/>
      </c>
      <c r="I3" s="599">
        <f>I4-H4</f>
        <v/>
      </c>
      <c r="J3" s="599">
        <f>J4-I4</f>
        <v/>
      </c>
      <c r="K3" s="599">
        <f>K4-J4</f>
        <v/>
      </c>
      <c r="L3" s="999">
        <f>L4-G4</f>
        <v/>
      </c>
      <c r="M3" s="599">
        <f>M4-L4</f>
        <v/>
      </c>
      <c r="N3" s="599">
        <f>N4-M4</f>
        <v/>
      </c>
      <c r="O3" s="599">
        <f>O4-N4</f>
        <v/>
      </c>
      <c r="P3" s="599">
        <f>P4-O4</f>
        <v/>
      </c>
      <c r="Q3" s="999">
        <f>Q4-L4</f>
        <v/>
      </c>
      <c r="R3" s="599">
        <f>R4-Q4</f>
        <v/>
      </c>
      <c r="S3" s="599">
        <f>S4-R4</f>
        <v/>
      </c>
      <c r="T3" s="599">
        <f>T4-S4</f>
        <v/>
      </c>
      <c r="U3" s="599">
        <f>U4-T4</f>
        <v/>
      </c>
      <c r="V3" s="999">
        <f>V4-Q4</f>
        <v/>
      </c>
      <c r="W3" s="599">
        <f>W4-V4</f>
        <v/>
      </c>
      <c r="X3" s="599">
        <f>X4-W4</f>
        <v/>
      </c>
      <c r="Y3" s="599">
        <f>Y4-X4</f>
        <v/>
      </c>
      <c r="Z3" s="599">
        <f>Z4-Y4</f>
        <v/>
      </c>
      <c r="AA3" s="999">
        <f>AA4-V4</f>
        <v/>
      </c>
      <c r="AB3" s="599">
        <f>AB4-AA4</f>
        <v/>
      </c>
      <c r="AC3" s="599">
        <f>AC4-AB4</f>
        <v/>
      </c>
      <c r="AD3" s="599">
        <f>AD4-AC4</f>
        <v/>
      </c>
      <c r="AE3" s="599">
        <f>AE4-AD4</f>
        <v/>
      </c>
      <c r="AF3" s="999">
        <f>AF4-AA4</f>
        <v/>
      </c>
      <c r="AG3" s="599">
        <f>AG4-AF4</f>
        <v/>
      </c>
      <c r="AH3" s="599">
        <f>AH4-AG4</f>
        <v/>
      </c>
      <c r="AI3" s="599">
        <f>AI4-AH4</f>
        <v/>
      </c>
      <c r="AJ3" s="599">
        <f>AJ4-AI4</f>
        <v/>
      </c>
      <c r="AK3" s="999">
        <f>AK4-AF4</f>
        <v/>
      </c>
      <c r="AL3" s="599">
        <f>AL4-AK4</f>
        <v/>
      </c>
      <c r="AM3" s="599">
        <f>AM4-AL4</f>
        <v/>
      </c>
      <c r="AN3" s="599">
        <f>AN4-AM4</f>
        <v/>
      </c>
      <c r="AO3" s="599">
        <f>AO4-AN4</f>
        <v/>
      </c>
      <c r="AP3" s="999">
        <f>AP4-AK4</f>
        <v/>
      </c>
      <c r="AQ3" s="599">
        <f>AQ4-AP4</f>
        <v/>
      </c>
      <c r="AR3" s="599">
        <f>AR4-AQ4</f>
        <v/>
      </c>
      <c r="AS3" s="599">
        <f>AS4-AR4</f>
        <v/>
      </c>
      <c r="AT3" s="599">
        <f>AT4-AS4</f>
        <v/>
      </c>
      <c r="AU3" s="999">
        <f>AU4-AP4</f>
        <v/>
      </c>
      <c r="AV3" s="599">
        <f>AV4-AU4</f>
        <v/>
      </c>
      <c r="AW3" s="599">
        <f>AW4-AV4</f>
        <v/>
      </c>
      <c r="AX3" s="599">
        <f>AX4-AW4</f>
        <v/>
      </c>
      <c r="AY3" s="599">
        <f>AY4-AX4</f>
        <v/>
      </c>
      <c r="AZ3" s="999">
        <f>AZ4-AU4</f>
        <v/>
      </c>
      <c r="BA3" s="599">
        <f>BA4-AZ4</f>
        <v/>
      </c>
      <c r="BB3" s="599">
        <f>BB4-BA4</f>
        <v/>
      </c>
      <c r="BC3" s="599">
        <f>BC4-BB4</f>
        <v/>
      </c>
      <c r="BD3" s="599">
        <f>BD4-BC4</f>
        <v/>
      </c>
      <c r="BE3" s="999">
        <f>BE4-AZ4</f>
        <v/>
      </c>
      <c r="BF3" s="599">
        <f>BF4-BE4</f>
        <v/>
      </c>
      <c r="BG3" s="599">
        <f>BG4-BF4</f>
        <v/>
      </c>
      <c r="BH3" s="599">
        <f>BH4-BG4</f>
        <v/>
      </c>
      <c r="BI3" s="599">
        <f>BI4-BH4</f>
        <v/>
      </c>
      <c r="BJ3" s="999">
        <f>BJ4-BE4</f>
        <v/>
      </c>
      <c r="BK3" s="599">
        <f>BK4-BJ4</f>
        <v/>
      </c>
      <c r="BL3" s="599">
        <f>BL4-BK4</f>
        <v/>
      </c>
      <c r="BM3" s="599">
        <f>BM4-BL4</f>
        <v/>
      </c>
      <c r="BN3" s="599">
        <f>BN4-BM4</f>
        <v/>
      </c>
      <c r="BO3" s="1000">
        <f>BO4-BJ4</f>
        <v/>
      </c>
      <c r="BP3" s="440">
        <f>BP4-BO4</f>
        <v/>
      </c>
      <c r="BQ3" s="440">
        <f>BQ4-BP4</f>
        <v/>
      </c>
      <c r="BR3" s="440">
        <f>BR4-BQ4</f>
        <v/>
      </c>
      <c r="BS3" s="440">
        <f>BS4-BR4</f>
        <v/>
      </c>
      <c r="BT3" s="1001">
        <f>BT4-BO4</f>
        <v/>
      </c>
      <c r="BU3" s="440">
        <f>BU4-BT4</f>
        <v/>
      </c>
      <c r="BV3" s="440">
        <f>BV4-BU4</f>
        <v/>
      </c>
      <c r="BW3" s="440">
        <f>BW4-BV4</f>
        <v/>
      </c>
      <c r="BX3" s="440">
        <f>BX4-BW4</f>
        <v/>
      </c>
      <c r="BY3" s="1001">
        <f>BY4-BT4</f>
        <v/>
      </c>
      <c r="BZ3" s="1001">
        <f>BZ4-BY4</f>
        <v/>
      </c>
      <c r="CA3" s="1001">
        <f>CA4-BZ4</f>
        <v/>
      </c>
      <c r="CB3" s="1001">
        <f>CB4-CA4</f>
        <v/>
      </c>
      <c r="CC3" s="1287" t="n"/>
    </row>
    <row r="4" ht="14.4" customHeight="1" s="876">
      <c r="A4" s="1288">
        <f>FP.DataSourceName</f>
        <v/>
      </c>
      <c r="B4" s="220">
        <f>IF(AND(MO.RealTimeStockPriceToggle,MO.LastPriceFormula&lt;&gt;"N/A"),"ON","OFF")</f>
        <v/>
      </c>
      <c r="C4" s="1002" t="n">
        <v>40178</v>
      </c>
      <c r="D4" s="1003">
        <f>EOMONTH(C4,12)</f>
        <v/>
      </c>
      <c r="E4" s="1003">
        <f>EOMONTH(D4,12)</f>
        <v/>
      </c>
      <c r="F4" s="1003">
        <f>EOMONTH(E4,12)</f>
        <v/>
      </c>
      <c r="G4" s="1003">
        <f>EOMONTH(F4,12)</f>
        <v/>
      </c>
      <c r="H4" s="441">
        <f>EOMONTH(G4,3)</f>
        <v/>
      </c>
      <c r="I4" s="441">
        <f>EOMONTH(H4,3)</f>
        <v/>
      </c>
      <c r="J4" s="441">
        <f>EOMONTH(I4,3)</f>
        <v/>
      </c>
      <c r="K4" s="441">
        <f>EOMONTH(J4,3)</f>
        <v/>
      </c>
      <c r="L4" s="1003">
        <f>K4</f>
        <v/>
      </c>
      <c r="M4" s="441">
        <f>EOMONTH(L4,3)</f>
        <v/>
      </c>
      <c r="N4" s="441">
        <f>EOMONTH(M4,3)</f>
        <v/>
      </c>
      <c r="O4" s="441">
        <f>EOMONTH(N4,3)</f>
        <v/>
      </c>
      <c r="P4" s="441">
        <f>EOMONTH(O4,3)</f>
        <v/>
      </c>
      <c r="Q4" s="1003">
        <f>P4</f>
        <v/>
      </c>
      <c r="R4" s="441">
        <f>EOMONTH(Q4,3)</f>
        <v/>
      </c>
      <c r="S4" s="603">
        <f>EOMONTH(R4,3)</f>
        <v/>
      </c>
      <c r="T4" s="441">
        <f>EOMONTH(S4,3)</f>
        <v/>
      </c>
      <c r="U4" s="441">
        <f>EOMONTH(T4,3)</f>
        <v/>
      </c>
      <c r="V4" s="1003">
        <f>U4</f>
        <v/>
      </c>
      <c r="W4" s="441">
        <f>EOMONTH(V4,3)</f>
        <v/>
      </c>
      <c r="X4" s="603">
        <f>EOMONTH(W4,3)</f>
        <v/>
      </c>
      <c r="Y4" s="603">
        <f>EOMONTH(X4,3)</f>
        <v/>
      </c>
      <c r="Z4" s="441">
        <f>EOMONTH(Y4,3)</f>
        <v/>
      </c>
      <c r="AA4" s="1003">
        <f>Z4</f>
        <v/>
      </c>
      <c r="AB4" s="441">
        <f>EOMONTH(AA4,3)</f>
        <v/>
      </c>
      <c r="AC4" s="603">
        <f>EOMONTH(AB4,3)</f>
        <v/>
      </c>
      <c r="AD4" s="603">
        <f>EOMONTH(AC4,3)</f>
        <v/>
      </c>
      <c r="AE4" s="441">
        <f>EOMONTH(AD4,3)</f>
        <v/>
      </c>
      <c r="AF4" s="1003">
        <f>AE4</f>
        <v/>
      </c>
      <c r="AG4" s="441">
        <f>EOMONTH(AF4,3)</f>
        <v/>
      </c>
      <c r="AH4" s="603">
        <f>EOMONTH(AG4,3)</f>
        <v/>
      </c>
      <c r="AI4" s="603">
        <f>EOMONTH(AH4,3)</f>
        <v/>
      </c>
      <c r="AJ4" s="441">
        <f>EOMONTH(AI4,3)</f>
        <v/>
      </c>
      <c r="AK4" s="1003">
        <f>AJ4</f>
        <v/>
      </c>
      <c r="AL4" s="441">
        <f>EOMONTH(AK4,3)</f>
        <v/>
      </c>
      <c r="AM4" s="603">
        <f>EOMONTH(AL4,3)</f>
        <v/>
      </c>
      <c r="AN4" s="603">
        <f>EOMONTH(AM4,3)</f>
        <v/>
      </c>
      <c r="AO4" s="441">
        <f>EOMONTH(AN4,3)</f>
        <v/>
      </c>
      <c r="AP4" s="1003">
        <f>AO4</f>
        <v/>
      </c>
      <c r="AQ4" s="441">
        <f>EOMONTH(AP4,3)</f>
        <v/>
      </c>
      <c r="AR4" s="603">
        <f>EOMONTH(AQ4,3)</f>
        <v/>
      </c>
      <c r="AS4" s="603">
        <f>EOMONTH(AR4,3)</f>
        <v/>
      </c>
      <c r="AT4" s="441">
        <f>EOMONTH(AS4,3)</f>
        <v/>
      </c>
      <c r="AU4" s="1003">
        <f>AT4</f>
        <v/>
      </c>
      <c r="AV4" s="441">
        <f>EOMONTH(AU4,3)</f>
        <v/>
      </c>
      <c r="AW4" s="603">
        <f>EOMONTH(AV4,3)</f>
        <v/>
      </c>
      <c r="AX4" s="603">
        <f>EOMONTH(AW4,3)</f>
        <v/>
      </c>
      <c r="AY4" s="441">
        <f>EOMONTH(AX4,3)</f>
        <v/>
      </c>
      <c r="AZ4" s="1003">
        <f>AY4</f>
        <v/>
      </c>
      <c r="BA4" s="441">
        <f>EOMONTH(AZ4,3)</f>
        <v/>
      </c>
      <c r="BB4" s="603">
        <f>EOMONTH(BA4,3)</f>
        <v/>
      </c>
      <c r="BC4" s="603">
        <f>EOMONTH(BB4,3)</f>
        <v/>
      </c>
      <c r="BD4" s="441">
        <f>EOMONTH(BC4,3)</f>
        <v/>
      </c>
      <c r="BE4" s="1003">
        <f>BD4</f>
        <v/>
      </c>
      <c r="BF4" s="441">
        <f>EOMONTH(BE4,3)</f>
        <v/>
      </c>
      <c r="BG4" s="603">
        <f>EOMONTH(BF4,3)</f>
        <v/>
      </c>
      <c r="BH4" s="603">
        <f>EOMONTH(BG4,3)</f>
        <v/>
      </c>
      <c r="BI4" s="441">
        <f>EOMONTH(BH4,3)</f>
        <v/>
      </c>
      <c r="BJ4" s="1003">
        <f>BI4</f>
        <v/>
      </c>
      <c r="BK4" s="441">
        <f>EOMONTH(BJ4,3)</f>
        <v/>
      </c>
      <c r="BL4" s="603">
        <f>EOMONTH(BK4,3)</f>
        <v/>
      </c>
      <c r="BM4" s="603">
        <f>EOMONTH(BL4,3)</f>
        <v/>
      </c>
      <c r="BN4" s="441">
        <f>EOMONTH(BM4,3)</f>
        <v/>
      </c>
      <c r="BO4" s="1004">
        <f>BN4</f>
        <v/>
      </c>
      <c r="BP4" s="441">
        <f>EOMONTH(BO4,3)</f>
        <v/>
      </c>
      <c r="BQ4" s="441">
        <f>EOMONTH(BP4,3)</f>
        <v/>
      </c>
      <c r="BR4" s="441">
        <f>EOMONTH(BQ4,3)</f>
        <v/>
      </c>
      <c r="BS4" s="441">
        <f>EOMONTH(BR4,3)</f>
        <v/>
      </c>
      <c r="BT4" s="1003">
        <f>BS4</f>
        <v/>
      </c>
      <c r="BU4" s="441">
        <f>EOMONTH(BT4,3)</f>
        <v/>
      </c>
      <c r="BV4" s="441">
        <f>EOMONTH(BU4,3)</f>
        <v/>
      </c>
      <c r="BW4" s="441">
        <f>EOMONTH(BV4,3)</f>
        <v/>
      </c>
      <c r="BX4" s="441">
        <f>EOMONTH(BW4,3)</f>
        <v/>
      </c>
      <c r="BY4" s="1003">
        <f>BX4</f>
        <v/>
      </c>
      <c r="BZ4" s="1003">
        <f>EOMONTH(BY4,12)</f>
        <v/>
      </c>
      <c r="CA4" s="1003">
        <f>EOMONTH(BZ4,12)</f>
        <v/>
      </c>
      <c r="CB4" s="1003">
        <f>EOMONTH(CA4,12)</f>
        <v/>
      </c>
      <c r="CC4" s="158" t="n"/>
    </row>
    <row r="5" ht="14.4" customHeight="1" s="876">
      <c r="A5" s="1289">
        <f>MO.ReportCurrency</f>
        <v/>
      </c>
      <c r="B5" s="310" t="n"/>
      <c r="C5" s="1005" t="inlineStr">
        <is>
          <t>FY2009</t>
        </is>
      </c>
      <c r="D5" s="1006">
        <f>CONCATENATE("FY",RIGHT(C5,4)+1)</f>
        <v/>
      </c>
      <c r="E5" s="1006">
        <f>CONCATENATE("FY",RIGHT(D5,4)+1)</f>
        <v/>
      </c>
      <c r="F5" s="1006">
        <f>CONCATENATE("FY",RIGHT(E5,4)+1)</f>
        <v/>
      </c>
      <c r="G5" s="1006">
        <f>CONCATENATE("FY",RIGHT(F5,4)+1)</f>
        <v/>
      </c>
      <c r="H5" s="495">
        <f>CONCATENATE("Q1","-",RIGHT(G5,4)+1)</f>
        <v/>
      </c>
      <c r="I5" s="495">
        <f>CONCATENATE("Q2","-",RIGHT(H5,4))</f>
        <v/>
      </c>
      <c r="J5" s="495">
        <f>CONCATENATE("Q3","-",RIGHT(I5,4))</f>
        <v/>
      </c>
      <c r="K5" s="495">
        <f>CONCATENATE("Q4","-",RIGHT(J5,4))</f>
        <v/>
      </c>
      <c r="L5" s="1006">
        <f>CONCATENATE("FY",RIGHT(G5,4)+1)</f>
        <v/>
      </c>
      <c r="M5" s="495">
        <f>CONCATENATE("Q1","-",RIGHT(L5,4)+1)</f>
        <v/>
      </c>
      <c r="N5" s="495">
        <f>CONCATENATE("Q2","-",RIGHT(M5,4))</f>
        <v/>
      </c>
      <c r="O5" s="495">
        <f>CONCATENATE("Q3","-",RIGHT(N5,4))</f>
        <v/>
      </c>
      <c r="P5" s="495">
        <f>CONCATENATE("Q4","-",RIGHT(O5,4))</f>
        <v/>
      </c>
      <c r="Q5" s="1006">
        <f>CONCATENATE("FY",RIGHT(L5,4)+1)</f>
        <v/>
      </c>
      <c r="R5" s="495">
        <f>CONCATENATE("Q1","-",RIGHT(Q5,4)+1)</f>
        <v/>
      </c>
      <c r="S5" s="607">
        <f>CONCATENATE("Q2","-",RIGHT(R5,4))</f>
        <v/>
      </c>
      <c r="T5" s="495">
        <f>CONCATENATE("Q3","-",RIGHT(S5,4))</f>
        <v/>
      </c>
      <c r="U5" s="495">
        <f>CONCATENATE("Q4","-",RIGHT(T5,4))</f>
        <v/>
      </c>
      <c r="V5" s="1006">
        <f>CONCATENATE("FY",RIGHT(Q5,4)+1)</f>
        <v/>
      </c>
      <c r="W5" s="495">
        <f>CONCATENATE("Q1","-",RIGHT(V5,4)+1)</f>
        <v/>
      </c>
      <c r="X5" s="607">
        <f>CONCATENATE("Q2","-",RIGHT(W5,4))</f>
        <v/>
      </c>
      <c r="Y5" s="607">
        <f>CONCATENATE("Q3","-",RIGHT(X5,4))</f>
        <v/>
      </c>
      <c r="Z5" s="495">
        <f>CONCATENATE("Q4","-",RIGHT(Y5,4))</f>
        <v/>
      </c>
      <c r="AA5" s="1006">
        <f>CONCATENATE("FY",RIGHT(V5,4)+1)</f>
        <v/>
      </c>
      <c r="AB5" s="495">
        <f>CONCATENATE("Q1","-",RIGHT(AA5,4)+1)</f>
        <v/>
      </c>
      <c r="AC5" s="607">
        <f>CONCATENATE("Q2","-",RIGHT(AB5,4))</f>
        <v/>
      </c>
      <c r="AD5" s="607">
        <f>CONCATENATE("Q3","-",RIGHT(AC5,4))</f>
        <v/>
      </c>
      <c r="AE5" s="495">
        <f>CONCATENATE("Q4","-",RIGHT(AD5,4))</f>
        <v/>
      </c>
      <c r="AF5" s="1006">
        <f>CONCATENATE("FY",RIGHT(AA5,4)+1)</f>
        <v/>
      </c>
      <c r="AG5" s="495">
        <f>CONCATENATE("Q1","-",RIGHT(AF5,4)+1)</f>
        <v/>
      </c>
      <c r="AH5" s="607">
        <f>CONCATENATE("Q2","-",RIGHT(AG5,4))</f>
        <v/>
      </c>
      <c r="AI5" s="607">
        <f>CONCATENATE("Q3","-",RIGHT(AH5,4))</f>
        <v/>
      </c>
      <c r="AJ5" s="495">
        <f>CONCATENATE("Q4","-",RIGHT(AI5,4))</f>
        <v/>
      </c>
      <c r="AK5" s="1006">
        <f>CONCATENATE("FY",RIGHT(AF5,4)+1)</f>
        <v/>
      </c>
      <c r="AL5" s="495">
        <f>CONCATENATE("Q1","-",RIGHT(AK5,4)+1)</f>
        <v/>
      </c>
      <c r="AM5" s="607">
        <f>CONCATENATE("Q2","-",RIGHT(AL5,4))</f>
        <v/>
      </c>
      <c r="AN5" s="607">
        <f>CONCATENATE("Q3","-",RIGHT(AM5,4))</f>
        <v/>
      </c>
      <c r="AO5" s="495">
        <f>CONCATENATE("Q4","-",RIGHT(AN5,4))</f>
        <v/>
      </c>
      <c r="AP5" s="1006">
        <f>CONCATENATE("FY",RIGHT(AK5,4)+1)</f>
        <v/>
      </c>
      <c r="AQ5" s="495">
        <f>CONCATENATE("Q1","-",RIGHT(AP5,4)+1)</f>
        <v/>
      </c>
      <c r="AR5" s="607">
        <f>CONCATENATE("Q2","-",RIGHT(AQ5,4))</f>
        <v/>
      </c>
      <c r="AS5" s="607">
        <f>CONCATENATE("Q3","-",RIGHT(AR5,4))</f>
        <v/>
      </c>
      <c r="AT5" s="495">
        <f>CONCATENATE("Q4","-",RIGHT(AS5,4))</f>
        <v/>
      </c>
      <c r="AU5" s="1006">
        <f>CONCATENATE("FY",RIGHT(AP5,4)+1)</f>
        <v/>
      </c>
      <c r="AV5" s="495">
        <f>CONCATENATE("Q1","-",RIGHT(AU5,4)+1)</f>
        <v/>
      </c>
      <c r="AW5" s="607">
        <f>CONCATENATE("Q2","-",RIGHT(AV5,4))</f>
        <v/>
      </c>
      <c r="AX5" s="607">
        <f>CONCATENATE("Q3","-",RIGHT(AW5,4))</f>
        <v/>
      </c>
      <c r="AY5" s="495">
        <f>CONCATENATE("Q4","-",RIGHT(AX5,4))</f>
        <v/>
      </c>
      <c r="AZ5" s="1006">
        <f>CONCATENATE("FY",RIGHT(AU5,4)+1)</f>
        <v/>
      </c>
      <c r="BA5" s="495">
        <f>CONCATENATE("Q1","-",RIGHT(AZ5,4)+1)</f>
        <v/>
      </c>
      <c r="BB5" s="607">
        <f>CONCATENATE("Q2","-",RIGHT(BA5,4))</f>
        <v/>
      </c>
      <c r="BC5" s="607">
        <f>CONCATENATE("Q3","-",RIGHT(BB5,4))</f>
        <v/>
      </c>
      <c r="BD5" s="495">
        <f>CONCATENATE("Q4","-",RIGHT(BC5,4))</f>
        <v/>
      </c>
      <c r="BE5" s="1006">
        <f>CONCATENATE("FY",RIGHT(AZ5,4)+1)</f>
        <v/>
      </c>
      <c r="BF5" s="495">
        <f>CONCATENATE("Q1","-",RIGHT(BE5,4)+1)</f>
        <v/>
      </c>
      <c r="BG5" s="607">
        <f>CONCATENATE("Q2","-",RIGHT(BF5,4))</f>
        <v/>
      </c>
      <c r="BH5" s="607">
        <f>CONCATENATE("Q3","-",RIGHT(BG5,4))</f>
        <v/>
      </c>
      <c r="BI5" s="495">
        <f>CONCATENATE("Q4","-",RIGHT(BH5,4))</f>
        <v/>
      </c>
      <c r="BJ5" s="1006">
        <f>CONCATENATE("FY",RIGHT(BE5,4)+1)</f>
        <v/>
      </c>
      <c r="BK5" s="495">
        <f>CONCATENATE("Q1","-",RIGHT(BJ5,4)+1)</f>
        <v/>
      </c>
      <c r="BL5" s="607">
        <f>CONCATENATE("Q2","-",RIGHT(BK5,4))</f>
        <v/>
      </c>
      <c r="BM5" s="607">
        <f>CONCATENATE("Q3","-",RIGHT(BL5,4))</f>
        <v/>
      </c>
      <c r="BN5" s="495">
        <f>CONCATENATE("Q4","-",RIGHT(BM5,4))</f>
        <v/>
      </c>
      <c r="BO5" s="1007">
        <f>CONCATENATE("FY",RIGHT(BJ5,4)+1)</f>
        <v/>
      </c>
      <c r="BP5" s="495">
        <f>CONCATENATE("Q1","-",RIGHT(BO5,4)+1)</f>
        <v/>
      </c>
      <c r="BQ5" s="495">
        <f>CONCATENATE("Q2","-",RIGHT(BP5,4))</f>
        <v/>
      </c>
      <c r="BR5" s="495">
        <f>CONCATENATE("Q3","-",RIGHT(BQ5,4))</f>
        <v/>
      </c>
      <c r="BS5" s="495">
        <f>CONCATENATE("Q4","-",RIGHT(BR5,4))</f>
        <v/>
      </c>
      <c r="BT5" s="1006">
        <f>CONCATENATE("FY",RIGHT(BO5,4)+1)</f>
        <v/>
      </c>
      <c r="BU5" s="495">
        <f>CONCATENATE("Q1","-",RIGHT(BT5,4)+1)</f>
        <v/>
      </c>
      <c r="BV5" s="495">
        <f>CONCATENATE("Q2","-",RIGHT(BU5,4))</f>
        <v/>
      </c>
      <c r="BW5" s="495">
        <f>CONCATENATE("Q3","-",RIGHT(BV5,4))</f>
        <v/>
      </c>
      <c r="BX5" s="495">
        <f>CONCATENATE("Q4","-",RIGHT(BW5,4))</f>
        <v/>
      </c>
      <c r="BY5" s="1006">
        <f>CONCATENATE("FY",RIGHT(BT5,4)+1)</f>
        <v/>
      </c>
      <c r="BZ5" s="1006">
        <f>CONCATENATE("FY",RIGHT(BY5,4)+1)</f>
        <v/>
      </c>
      <c r="CA5" s="1006">
        <f>CONCATENATE("FY",RIGHT(BZ5,4)+1)</f>
        <v/>
      </c>
      <c r="CB5" s="1006">
        <f>CONCATENATE("FY",RIGHT(CA5,4)+1)</f>
        <v/>
      </c>
      <c r="CC5" s="158" t="n"/>
    </row>
    <row r="6" ht="14.4" customFormat="1" customHeight="1" s="1290">
      <c r="A6" s="1291" t="inlineStr">
        <is>
          <t>Revenue Build</t>
        </is>
      </c>
      <c r="B6" s="1292" t="n"/>
      <c r="C6" s="1292" t="n"/>
      <c r="D6" s="1292" t="n"/>
      <c r="E6" s="1292" t="n"/>
      <c r="F6" s="1292" t="n"/>
      <c r="G6" s="1292" t="n"/>
      <c r="H6" s="1292" t="n"/>
      <c r="I6" s="1292" t="n"/>
      <c r="J6" s="1292" t="n"/>
      <c r="K6" s="1292" t="n"/>
      <c r="L6" s="1292" t="n"/>
      <c r="M6" s="1292" t="n"/>
      <c r="N6" s="1292" t="n"/>
      <c r="O6" s="1292" t="n"/>
      <c r="P6" s="1292" t="n"/>
      <c r="Q6" s="1292" t="n"/>
      <c r="R6" s="1292" t="n"/>
      <c r="S6" s="1292" t="n"/>
      <c r="T6" s="1292" t="n"/>
      <c r="U6" s="1292" t="n"/>
      <c r="V6" s="1292" t="n"/>
      <c r="W6" s="1292" t="n"/>
      <c r="X6" s="1292" t="n"/>
      <c r="Y6" s="1292" t="n"/>
      <c r="Z6" s="1292" t="n"/>
      <c r="AA6" s="1292" t="n"/>
      <c r="AB6" s="1292" t="n"/>
      <c r="AC6" s="1292" t="n"/>
      <c r="AD6" s="1292" t="n"/>
      <c r="AE6" s="1292" t="n"/>
      <c r="AF6" s="1292" t="n"/>
      <c r="AG6" s="1292" t="n"/>
      <c r="AH6" s="1292" t="n"/>
      <c r="AI6" s="1292" t="n"/>
      <c r="AJ6" s="1292" t="n"/>
      <c r="AK6" s="1292" t="n"/>
      <c r="AL6" s="1292" t="n"/>
      <c r="AM6" s="1292" t="n"/>
      <c r="AN6" s="1292" t="n"/>
      <c r="AO6" s="1292" t="n"/>
      <c r="AP6" s="1292" t="n"/>
      <c r="AQ6" s="1292" t="n"/>
      <c r="AR6" s="1292" t="n"/>
      <c r="AS6" s="1292" t="n"/>
      <c r="AT6" s="1292" t="n"/>
      <c r="AU6" s="1292" t="n"/>
      <c r="AV6" s="1292" t="n"/>
      <c r="AW6" s="1292" t="n"/>
      <c r="AX6" s="1292" t="n"/>
      <c r="AY6" s="1292" t="n"/>
      <c r="AZ6" s="1292" t="n"/>
      <c r="BA6" s="1292" t="n"/>
      <c r="BB6" s="1292" t="n"/>
      <c r="BC6" s="1292" t="n"/>
      <c r="BD6" s="1292" t="n"/>
      <c r="BE6" s="1292" t="n"/>
      <c r="BF6" s="1292" t="n"/>
      <c r="BG6" s="1292" t="n"/>
      <c r="BH6" s="1292" t="n"/>
      <c r="BI6" s="1292" t="n"/>
      <c r="BJ6" s="1292" t="n"/>
      <c r="BK6" s="1292" t="n"/>
      <c r="BL6" s="1292" t="n"/>
      <c r="BM6" s="1292" t="n"/>
      <c r="BN6" s="1292" t="n"/>
      <c r="BO6" s="1293" t="n"/>
      <c r="BP6" s="1292" t="n"/>
      <c r="BQ6" s="1292" t="n"/>
      <c r="BR6" s="1292" t="n"/>
      <c r="BS6" s="1292" t="n"/>
      <c r="BT6" s="1292" t="n"/>
      <c r="BU6" s="1292" t="n"/>
      <c r="BV6" s="1292" t="n"/>
      <c r="BW6" s="1292" t="n"/>
      <c r="BX6" s="1292" t="n"/>
      <c r="BY6" s="1292" t="n"/>
      <c r="BZ6" s="1292" t="n"/>
      <c r="CA6" s="1292" t="n"/>
      <c r="CB6" s="1292" t="n"/>
      <c r="CC6" s="1294" t="n"/>
    </row>
    <row r="7" ht="14.4" customFormat="1" customHeight="1" s="1275">
      <c r="A7" s="1295" t="inlineStr">
        <is>
          <t>Smartphone revenue , mm</t>
        </is>
      </c>
      <c r="B7" s="1296" t="n"/>
      <c r="C7" s="1297" t="n"/>
      <c r="D7" s="1297" t="n"/>
      <c r="E7" s="1297" t="n"/>
      <c r="F7" s="1297" t="n"/>
      <c r="G7" s="1297" t="n"/>
      <c r="H7" s="1277" t="n"/>
      <c r="I7" s="1277" t="n"/>
      <c r="J7" s="1277" t="n"/>
      <c r="K7" s="1277" t="n"/>
      <c r="L7" s="1297" t="n"/>
      <c r="M7" s="1277" t="n"/>
      <c r="N7" s="1277" t="n"/>
      <c r="O7" s="1277" t="n"/>
      <c r="P7" s="1277" t="n"/>
      <c r="Q7" s="1297" t="n"/>
      <c r="R7" s="1277" t="n"/>
      <c r="S7" s="1277" t="n"/>
      <c r="T7" s="1277" t="n"/>
      <c r="U7" s="1277" t="n"/>
      <c r="V7" s="1297" t="n"/>
      <c r="W7" s="1277" t="n"/>
      <c r="X7" s="1277" t="n"/>
      <c r="Y7" s="1277" t="n"/>
      <c r="Z7" s="1277" t="n"/>
      <c r="AA7" s="1297" t="n"/>
      <c r="AB7" s="1298" t="n">
        <v>113267.915</v>
      </c>
      <c r="AC7" s="1298" t="n">
        <v>82753.245</v>
      </c>
      <c r="AD7" s="1298" t="n">
        <v>117666.462</v>
      </c>
      <c r="AE7" s="1280">
        <f>AF7-SUM(AB7,AC7,AD7)</f>
        <v/>
      </c>
      <c r="AF7" s="1299" t="n">
        <v>466452.28</v>
      </c>
      <c r="AG7" s="1298" t="n">
        <v>103210.269</v>
      </c>
      <c r="AH7" s="1298" t="n">
        <v>108860.866</v>
      </c>
      <c r="AI7" s="1298" t="n">
        <v>144301.2</v>
      </c>
      <c r="AJ7" s="1280">
        <f>AK7-SUM(AG7,AH7,AI7)</f>
        <v/>
      </c>
      <c r="AK7" s="1299" t="n">
        <v>523612.863</v>
      </c>
      <c r="AL7" s="1298" t="n">
        <v>151931.277</v>
      </c>
      <c r="AM7" s="1298" t="n">
        <v>145843.876</v>
      </c>
      <c r="AN7" s="1298" t="n">
        <v>163491.238</v>
      </c>
      <c r="AO7" s="1280">
        <f>AP7-SUM(AL7,AM7,AN7)</f>
        <v/>
      </c>
      <c r="AP7" s="1299" t="n">
        <v>645303.613</v>
      </c>
      <c r="AQ7" s="1298" t="n">
        <v>163207.797</v>
      </c>
      <c r="AR7" s="1298" t="n">
        <v>157744.895</v>
      </c>
      <c r="AS7" s="1298" t="n">
        <v>180649.835</v>
      </c>
      <c r="AT7" s="1280">
        <f>AU7-SUM(AQ7,AR7,AS7)</f>
        <v/>
      </c>
      <c r="AU7" s="1299" t="n">
        <v>695091.191</v>
      </c>
      <c r="AV7" s="1298" t="n">
        <v>195999.894</v>
      </c>
      <c r="AW7" s="1298" t="n">
        <v>201555.759</v>
      </c>
      <c r="AX7" s="1298" t="n">
        <v>251069.572</v>
      </c>
      <c r="AY7" s="1280">
        <f>AZ7-SUM(AV7,AW7,AX7)</f>
        <v/>
      </c>
      <c r="AZ7" s="1299" t="n">
        <v>888879.25</v>
      </c>
      <c r="BA7" s="1298" t="n">
        <v>174372.275</v>
      </c>
      <c r="BB7" s="1298" t="n">
        <v>159366.872</v>
      </c>
      <c r="BC7" s="1298" t="n">
        <v>212001.177</v>
      </c>
      <c r="BD7" s="1280">
        <f>BE7-SUM(BA7,BB7,BC7)</f>
        <v/>
      </c>
      <c r="BE7" s="1299" t="n">
        <v>814914.287</v>
      </c>
      <c r="BF7" s="1298" t="n">
        <v>225032.139</v>
      </c>
      <c r="BG7" s="1298" t="n">
        <v>222543.37</v>
      </c>
      <c r="BH7" s="1298" t="n">
        <v>257495.611</v>
      </c>
      <c r="BI7" s="1280">
        <f>BJ7-SUM(BF7,BG7,BH7)</f>
        <v/>
      </c>
      <c r="BJ7" s="1299" t="n">
        <v>1005130.484</v>
      </c>
      <c r="BK7" s="1298" t="n">
        <v>233611.388</v>
      </c>
      <c r="BL7" s="1298" t="n">
        <v>249959.546</v>
      </c>
      <c r="BM7" s="1298" t="n">
        <v>296745.654</v>
      </c>
      <c r="BN7" s="1280">
        <f>BN25*0.32</f>
        <v/>
      </c>
      <c r="BO7" s="1300">
        <f>SUM(BK7,BL7,BM7,BN7)</f>
        <v/>
      </c>
      <c r="BP7" s="1301">
        <f>BK7*(1+BP9)</f>
        <v/>
      </c>
      <c r="BQ7" s="1277">
        <f>BL7*(1+BQ9)</f>
        <v/>
      </c>
      <c r="BR7" s="1277">
        <f>BM7*(1+BR9)</f>
        <v/>
      </c>
      <c r="BS7" s="1277">
        <f>BN7*(1+BS9)</f>
        <v/>
      </c>
      <c r="BT7" s="1297">
        <f>SUM(BP7,BQ7,BR7,BS7)</f>
        <v/>
      </c>
      <c r="BU7" s="1301">
        <f>BP7*(1+BU9)</f>
        <v/>
      </c>
      <c r="BV7" s="1277">
        <f>BQ7*(1+BV9)</f>
        <v/>
      </c>
      <c r="BW7" s="1277">
        <f>BR7*(1+BW9)</f>
        <v/>
      </c>
      <c r="BX7" s="1277">
        <f>BS7*(1+BX9)</f>
        <v/>
      </c>
      <c r="BY7" s="1297">
        <f>SUM(BU7,BV7,BW7,BX7)</f>
        <v/>
      </c>
      <c r="BZ7" s="1297">
        <f>BY7*(1+BZ9)</f>
        <v/>
      </c>
      <c r="CA7" s="1297">
        <f>BZ7*(1+CA9)</f>
        <v/>
      </c>
      <c r="CB7" s="1297">
        <f>CA7*(1+CB9)</f>
        <v/>
      </c>
      <c r="CC7" s="1280" t="n"/>
    </row>
    <row r="8" ht="14.4" customFormat="1" customHeight="1" s="1302">
      <c r="A8" s="1303" t="inlineStr">
        <is>
          <t>Q/Q Smartphone revenue growth, %</t>
        </is>
      </c>
      <c r="B8" s="1304" t="n"/>
      <c r="C8" s="1305" t="n"/>
      <c r="D8" s="1305" t="n"/>
      <c r="E8" s="1305" t="n"/>
      <c r="F8" s="1305" t="n"/>
      <c r="G8" s="1305" t="n"/>
      <c r="H8" s="1306" t="n"/>
      <c r="I8" s="1306" t="n"/>
      <c r="J8" s="1306" t="n"/>
      <c r="K8" s="1306" t="n"/>
      <c r="L8" s="1305" t="n"/>
      <c r="M8" s="1306" t="n"/>
      <c r="N8" s="1306" t="n"/>
      <c r="O8" s="1306" t="n"/>
      <c r="P8" s="1306" t="n"/>
      <c r="Q8" s="1305" t="n"/>
      <c r="R8" s="1306" t="n"/>
      <c r="S8" s="1306" t="n"/>
      <c r="T8" s="1306" t="n"/>
      <c r="U8" s="1306" t="n"/>
      <c r="V8" s="1305" t="n"/>
      <c r="W8" s="1306" t="n"/>
      <c r="X8" s="1306" t="n"/>
      <c r="Y8" s="1306" t="n"/>
      <c r="Z8" s="1306" t="n"/>
      <c r="AA8" s="1305" t="n"/>
      <c r="AB8" s="1306" t="n"/>
      <c r="AC8" s="1307">
        <f>AC7/AB7-1</f>
        <v/>
      </c>
      <c r="AD8" s="1307">
        <f>AD7/AC7-1</f>
        <v/>
      </c>
      <c r="AE8" s="1307">
        <f>AE7/AD7-1</f>
        <v/>
      </c>
      <c r="AF8" s="1305" t="n"/>
      <c r="AG8" s="1307">
        <f>AG7/AE7-1</f>
        <v/>
      </c>
      <c r="AH8" s="1307">
        <f>AH7/AG7-1</f>
        <v/>
      </c>
      <c r="AI8" s="1307">
        <f>AI7/AH7-1</f>
        <v/>
      </c>
      <c r="AJ8" s="1307">
        <f>AJ7/AI7-1</f>
        <v/>
      </c>
      <c r="AK8" s="1305" t="n"/>
      <c r="AL8" s="1307">
        <f>AL7/AJ7-1</f>
        <v/>
      </c>
      <c r="AM8" s="1307">
        <f>AM7/AL7-1</f>
        <v/>
      </c>
      <c r="AN8" s="1307">
        <f>AN7/AM7-1</f>
        <v/>
      </c>
      <c r="AO8" s="1307">
        <f>AO7/AN7-1</f>
        <v/>
      </c>
      <c r="AP8" s="1305" t="n"/>
      <c r="AQ8" s="1307">
        <f>AQ7/AO7-1</f>
        <v/>
      </c>
      <c r="AR8" s="1307">
        <f>AR7/AQ7-1</f>
        <v/>
      </c>
      <c r="AS8" s="1307">
        <f>AS7/AR7-1</f>
        <v/>
      </c>
      <c r="AT8" s="1307">
        <f>AT7/AS7-1</f>
        <v/>
      </c>
      <c r="AU8" s="1305" t="n"/>
      <c r="AV8" s="1307">
        <f>AV7/AT7-1</f>
        <v/>
      </c>
      <c r="AW8" s="1307">
        <f>AW7/AV7-1</f>
        <v/>
      </c>
      <c r="AX8" s="1307">
        <f>AX7/AW7-1</f>
        <v/>
      </c>
      <c r="AY8" s="1307">
        <f>AY7/AX7-1</f>
        <v/>
      </c>
      <c r="AZ8" s="1305" t="n"/>
      <c r="BA8" s="1307">
        <f>BA7/AY7-1</f>
        <v/>
      </c>
      <c r="BB8" s="1307">
        <f>BB7/BA7-1</f>
        <v/>
      </c>
      <c r="BC8" s="1306">
        <f>BC7/BB7-1</f>
        <v/>
      </c>
      <c r="BD8" s="1307">
        <f>BD7/BC7-1</f>
        <v/>
      </c>
      <c r="BE8" s="1305" t="n"/>
      <c r="BF8" s="1306">
        <f>BF7/BD7-1</f>
        <v/>
      </c>
      <c r="BG8" s="1306">
        <f>BG7/BF7-1</f>
        <v/>
      </c>
      <c r="BH8" s="1306">
        <f>BH7/BG7-1</f>
        <v/>
      </c>
      <c r="BI8" s="1307">
        <f>BI7/BH7-1</f>
        <v/>
      </c>
      <c r="BJ8" s="1305" t="n"/>
      <c r="BK8" s="1306">
        <f>BK7/BI7-1</f>
        <v/>
      </c>
      <c r="BL8" s="1306">
        <f>BL7/BK7-1</f>
        <v/>
      </c>
      <c r="BM8" s="1306">
        <f>BM7/BL7-1</f>
        <v/>
      </c>
      <c r="BN8" s="1307">
        <f>BN7/BM7-1</f>
        <v/>
      </c>
      <c r="BO8" s="1308" t="n"/>
      <c r="BP8" s="1309">
        <f>BP7/BN7-1</f>
        <v/>
      </c>
      <c r="BQ8" s="1306">
        <f>BQ7/BP7-1</f>
        <v/>
      </c>
      <c r="BR8" s="1306">
        <f>BR7/BQ7-1</f>
        <v/>
      </c>
      <c r="BS8" s="1306">
        <f>BS7/BR7-1</f>
        <v/>
      </c>
      <c r="BT8" s="1305" t="n"/>
      <c r="BU8" s="1309">
        <f>BU7/BS7-1</f>
        <v/>
      </c>
      <c r="BV8" s="1306">
        <f>BV7/BU7-1</f>
        <v/>
      </c>
      <c r="BW8" s="1306">
        <f>BW7/BV7-1</f>
        <v/>
      </c>
      <c r="BX8" s="1306">
        <f>BX7/BW7-1</f>
        <v/>
      </c>
      <c r="BY8" s="1305" t="n"/>
      <c r="BZ8" s="1305" t="n"/>
      <c r="CA8" s="1305" t="n"/>
      <c r="CB8" s="1305" t="n"/>
      <c r="CC8" s="1307" t="n"/>
    </row>
    <row r="9" ht="14.4" customFormat="1" customHeight="1" s="1302">
      <c r="A9" s="1303" t="inlineStr">
        <is>
          <t>Y/Y Smartphone revenue growth, %</t>
        </is>
      </c>
      <c r="B9" s="1310" t="n"/>
      <c r="C9" s="1311" t="n"/>
      <c r="D9" s="1311" t="n"/>
      <c r="E9" s="1311" t="n"/>
      <c r="F9" s="1311" t="n"/>
      <c r="G9" s="1311" t="n"/>
      <c r="H9" s="1312" t="n"/>
      <c r="I9" s="1312" t="n"/>
      <c r="J9" s="1312" t="n"/>
      <c r="K9" s="1312" t="n"/>
      <c r="L9" s="1311" t="n"/>
      <c r="M9" s="1312" t="n"/>
      <c r="N9" s="1312" t="n"/>
      <c r="O9" s="1312" t="n"/>
      <c r="P9" s="1312" t="n"/>
      <c r="Q9" s="1311" t="n"/>
      <c r="R9" s="1312" t="n"/>
      <c r="S9" s="1312" t="n"/>
      <c r="T9" s="1312" t="n"/>
      <c r="U9" s="1312" t="n"/>
      <c r="V9" s="1311" t="n"/>
      <c r="W9" s="1312" t="n"/>
      <c r="X9" s="1312" t="n"/>
      <c r="Y9" s="1312" t="n"/>
      <c r="Z9" s="1312" t="n"/>
      <c r="AA9" s="1311" t="n"/>
      <c r="AB9" s="1312" t="n"/>
      <c r="AC9" s="1312" t="n"/>
      <c r="AD9" s="1312" t="n"/>
      <c r="AE9" s="1312" t="n"/>
      <c r="AF9" s="1311" t="n"/>
      <c r="AG9" s="1312">
        <f>AG7/AB7-1</f>
        <v/>
      </c>
      <c r="AH9" s="1312">
        <f>AH7/AC7-1</f>
        <v/>
      </c>
      <c r="AI9" s="1312">
        <f>AI7/AD7-1</f>
        <v/>
      </c>
      <c r="AJ9" s="1312">
        <f>AJ7/AE7-1</f>
        <v/>
      </c>
      <c r="AK9" s="1311">
        <f>AK7/AF7-1</f>
        <v/>
      </c>
      <c r="AL9" s="1312">
        <f>AL7/AG7-1</f>
        <v/>
      </c>
      <c r="AM9" s="1312">
        <f>AM7/AH7-1</f>
        <v/>
      </c>
      <c r="AN9" s="1312">
        <f>AN7/AI7-1</f>
        <v/>
      </c>
      <c r="AO9" s="1312">
        <f>AO7/AJ7-1</f>
        <v/>
      </c>
      <c r="AP9" s="1311">
        <f>AP7/AK7-1</f>
        <v/>
      </c>
      <c r="AQ9" s="1312">
        <f>AQ7/AL7-1</f>
        <v/>
      </c>
      <c r="AR9" s="1312">
        <f>AR7/AM7-1</f>
        <v/>
      </c>
      <c r="AS9" s="1312">
        <f>AS7/AN7-1</f>
        <v/>
      </c>
      <c r="AT9" s="1312">
        <f>AT7/AO7-1</f>
        <v/>
      </c>
      <c r="AU9" s="1311">
        <f>AU7/AP7-1</f>
        <v/>
      </c>
      <c r="AV9" s="1312">
        <f>AV7/AQ7-1</f>
        <v/>
      </c>
      <c r="AW9" s="1312">
        <f>AW7/AR7-1</f>
        <v/>
      </c>
      <c r="AX9" s="1312">
        <f>AX7/AS7-1</f>
        <v/>
      </c>
      <c r="AY9" s="1312">
        <f>AY7/AT7-1</f>
        <v/>
      </c>
      <c r="AZ9" s="1311">
        <f>AZ7/AU7-1</f>
        <v/>
      </c>
      <c r="BA9" s="1312">
        <f>BA7/AV7-1</f>
        <v/>
      </c>
      <c r="BB9" s="1312">
        <f>BB7/AW7-1</f>
        <v/>
      </c>
      <c r="BC9" s="1312">
        <f>BC7/AX7-1</f>
        <v/>
      </c>
      <c r="BD9" s="1312">
        <f>BD7/AY7-1</f>
        <v/>
      </c>
      <c r="BE9" s="1311">
        <f>BE7/AZ7-1</f>
        <v/>
      </c>
      <c r="BF9" s="1312">
        <f>BF7/BA7-1</f>
        <v/>
      </c>
      <c r="BG9" s="1312">
        <f>BG7/BB7-1</f>
        <v/>
      </c>
      <c r="BH9" s="1312">
        <f>BH7/BC7-1</f>
        <v/>
      </c>
      <c r="BI9" s="1312">
        <f>BI7/BD7-1</f>
        <v/>
      </c>
      <c r="BJ9" s="1311">
        <f>BJ7/BE7-1</f>
        <v/>
      </c>
      <c r="BK9" s="1312">
        <f>BK7/BF7-1</f>
        <v/>
      </c>
      <c r="BL9" s="1312">
        <f>BL7/BG7-1</f>
        <v/>
      </c>
      <c r="BM9" s="1312">
        <f>BM7/BH7-1</f>
        <v/>
      </c>
      <c r="BN9" s="1312">
        <f>BN7/BI7-1</f>
        <v/>
      </c>
      <c r="BO9" s="1313">
        <f>BO7/BJ7-1</f>
        <v/>
      </c>
      <c r="BP9" s="1314" t="n">
        <v>0.15</v>
      </c>
      <c r="BQ9" s="1314" t="n">
        <v>0.05</v>
      </c>
      <c r="BR9" s="1314" t="n">
        <v>0.191</v>
      </c>
      <c r="BS9" s="1314" t="n">
        <v>0.2</v>
      </c>
      <c r="BT9" s="1311">
        <f>BT7/BO7-1</f>
        <v/>
      </c>
      <c r="BU9" s="1314" t="n">
        <v>0.1</v>
      </c>
      <c r="BV9" s="1314" t="n">
        <v>0.05</v>
      </c>
      <c r="BW9" s="1314" t="n">
        <v>0.191</v>
      </c>
      <c r="BX9" s="1314" t="n">
        <v>0.2</v>
      </c>
      <c r="BY9" s="1311">
        <f>BY7/BT7-1</f>
        <v/>
      </c>
      <c r="BZ9" s="1315" t="n">
        <v>0.2</v>
      </c>
      <c r="CA9" s="1315" t="n">
        <v>0.1</v>
      </c>
      <c r="CB9" s="1315" t="n">
        <v>0.1</v>
      </c>
      <c r="CC9" s="1307" t="n"/>
    </row>
    <row r="10" ht="14.4" customFormat="1" customHeight="1" s="1275">
      <c r="A10" s="1295" t="inlineStr">
        <is>
          <t>High performance computing revenue , mm</t>
        </is>
      </c>
      <c r="B10" s="1296" t="n"/>
      <c r="C10" s="1297" t="n"/>
      <c r="D10" s="1297" t="n"/>
      <c r="E10" s="1297" t="n"/>
      <c r="F10" s="1297" t="n"/>
      <c r="G10" s="1297" t="n"/>
      <c r="H10" s="1277" t="n"/>
      <c r="I10" s="1277" t="n"/>
      <c r="J10" s="1277" t="n"/>
      <c r="K10" s="1277" t="n"/>
      <c r="L10" s="1297" t="n"/>
      <c r="M10" s="1277" t="n"/>
      <c r="N10" s="1277" t="n"/>
      <c r="O10" s="1277" t="n"/>
      <c r="P10" s="1277" t="n"/>
      <c r="Q10" s="1297" t="n"/>
      <c r="R10" s="1277" t="n"/>
      <c r="S10" s="1277" t="n"/>
      <c r="T10" s="1277" t="n"/>
      <c r="U10" s="1277" t="n"/>
      <c r="V10" s="1297" t="n"/>
      <c r="W10" s="1277" t="n"/>
      <c r="X10" s="1277" t="n"/>
      <c r="Y10" s="1277" t="n"/>
      <c r="Z10" s="1277" t="n"/>
      <c r="AA10" s="1297" t="n"/>
      <c r="AB10" s="1298" t="n">
        <v>78988.359</v>
      </c>
      <c r="AC10" s="1298" t="n">
        <v>93089.33900000001</v>
      </c>
      <c r="AD10" s="1298" t="n">
        <v>84945.14599999999</v>
      </c>
      <c r="AE10" s="1280">
        <f>AF10-SUM(AB10,AC10,AD10)</f>
        <v/>
      </c>
      <c r="AF10" s="1299" t="n">
        <v>341910.195</v>
      </c>
      <c r="AG10" s="1298" t="n">
        <v>62824.973</v>
      </c>
      <c r="AH10" s="1298" t="n">
        <v>77376.963</v>
      </c>
      <c r="AI10" s="1298" t="n">
        <v>85300.705</v>
      </c>
      <c r="AJ10" s="1280">
        <f>AK10-SUM(AG10,AH10,AI10)</f>
        <v/>
      </c>
      <c r="AK10" s="1299" t="n">
        <v>315822.311</v>
      </c>
      <c r="AL10" s="1298" t="n">
        <v>92993.61</v>
      </c>
      <c r="AM10" s="1298" t="n">
        <v>104115.544</v>
      </c>
      <c r="AN10" s="1298" t="n">
        <v>130404.093</v>
      </c>
      <c r="AO10" s="1280">
        <f>AP10-SUM(AL10,AM10,AN10)</f>
        <v/>
      </c>
      <c r="AP10" s="1299" t="n">
        <v>439809.984</v>
      </c>
      <c r="AQ10" s="1298" t="n">
        <v>127843.387</v>
      </c>
      <c r="AR10" s="1298" t="n">
        <v>143391.014</v>
      </c>
      <c r="AS10" s="1298" t="n">
        <v>155629.734</v>
      </c>
      <c r="AT10" s="1280">
        <f>AU10-SUM(AQ10,AR10,AS10)</f>
        <v/>
      </c>
      <c r="AU10" s="1299" t="n">
        <v>587780.144</v>
      </c>
      <c r="AV10" s="1298" t="n">
        <v>202245.162</v>
      </c>
      <c r="AW10" s="1298" t="n">
        <v>228940.67</v>
      </c>
      <c r="AX10" s="1298" t="n">
        <v>238237.286</v>
      </c>
      <c r="AY10" s="1280">
        <f>AZ10-SUM(AV10,AW10,AX10)</f>
        <v/>
      </c>
      <c r="AZ10" s="1299" t="n">
        <v>932383.7290000001</v>
      </c>
      <c r="BA10" s="1298" t="n">
        <v>225532.034</v>
      </c>
      <c r="BB10" s="1298" t="n">
        <v>214359.34</v>
      </c>
      <c r="BC10" s="1298" t="n">
        <v>227816.587</v>
      </c>
      <c r="BD10" s="1280">
        <f>BE10-SUM(BA10,BB10,BC10)</f>
        <v/>
      </c>
      <c r="BE10" s="1299" t="n">
        <v>934768.625</v>
      </c>
      <c r="BF10" s="1298" t="n">
        <v>274772.974</v>
      </c>
      <c r="BG10" s="1298" t="n">
        <v>351392.53</v>
      </c>
      <c r="BH10" s="1298" t="n">
        <v>389309.409</v>
      </c>
      <c r="BI10" s="1280">
        <f>BJ10-SUM(BF10,BG10,BH10)</f>
        <v/>
      </c>
      <c r="BJ10" s="1299" t="n">
        <v>1476890.566</v>
      </c>
      <c r="BK10" s="1298" t="n">
        <v>493223.146</v>
      </c>
      <c r="BL10" s="1298" t="n">
        <v>561155.353</v>
      </c>
      <c r="BM10" s="1298" t="n">
        <v>558592.346</v>
      </c>
      <c r="BN10" s="1280">
        <f>BN25*0.55</f>
        <v/>
      </c>
      <c r="BO10" s="1300">
        <f>SUM(BK10,BL10,BM10,BN10)</f>
        <v/>
      </c>
      <c r="BP10" s="1301">
        <f>BK10*(1+BP12)</f>
        <v/>
      </c>
      <c r="BQ10" s="1277">
        <f>BL10*(1+BQ12)</f>
        <v/>
      </c>
      <c r="BR10" s="1277">
        <f>BM10*(1+BR12)</f>
        <v/>
      </c>
      <c r="BS10" s="1277">
        <f>BN10*(1+BS12)</f>
        <v/>
      </c>
      <c r="BT10" s="1297">
        <f>SUM(BP10,BQ10,BR10,BS10)</f>
        <v/>
      </c>
      <c r="BU10" s="1301">
        <f>BP10*(1+BU12)</f>
        <v/>
      </c>
      <c r="BV10" s="1277">
        <f>BQ10*(1+BV12)</f>
        <v/>
      </c>
      <c r="BW10" s="1277">
        <f>BR10*(1+BW12)</f>
        <v/>
      </c>
      <c r="BX10" s="1277">
        <f>BS10*(1+BX12)</f>
        <v/>
      </c>
      <c r="BY10" s="1297">
        <f>SUM(BU10,BV10,BW10,BX10)</f>
        <v/>
      </c>
      <c r="BZ10" s="1297">
        <f>BY10*(1+BZ12)</f>
        <v/>
      </c>
      <c r="CA10" s="1297">
        <f>BZ10*(1+CA12)</f>
        <v/>
      </c>
      <c r="CB10" s="1297">
        <f>CA10*(1+CB12)</f>
        <v/>
      </c>
      <c r="CC10" s="1280" t="n"/>
    </row>
    <row r="11" ht="14.4" customFormat="1" customHeight="1" s="1302">
      <c r="A11" s="1303" t="inlineStr">
        <is>
          <t>Q/Q High performance computing revenue growth, %</t>
        </is>
      </c>
      <c r="B11" s="1304" t="n"/>
      <c r="C11" s="1305" t="n"/>
      <c r="D11" s="1305" t="n"/>
      <c r="E11" s="1305" t="n"/>
      <c r="F11" s="1305" t="n"/>
      <c r="G11" s="1305" t="n"/>
      <c r="H11" s="1306" t="n"/>
      <c r="I11" s="1306" t="n"/>
      <c r="J11" s="1306" t="n"/>
      <c r="K11" s="1306" t="n"/>
      <c r="L11" s="1305" t="n"/>
      <c r="M11" s="1306" t="n"/>
      <c r="N11" s="1306" t="n"/>
      <c r="O11" s="1306" t="n"/>
      <c r="P11" s="1306" t="n"/>
      <c r="Q11" s="1305" t="n"/>
      <c r="R11" s="1306" t="n"/>
      <c r="S11" s="1306" t="n"/>
      <c r="T11" s="1306" t="n"/>
      <c r="U11" s="1306" t="n"/>
      <c r="V11" s="1305" t="n"/>
      <c r="W11" s="1306" t="n"/>
      <c r="X11" s="1306" t="n"/>
      <c r="Y11" s="1306" t="n"/>
      <c r="Z11" s="1306" t="n"/>
      <c r="AA11" s="1305" t="n"/>
      <c r="AB11" s="1306" t="n"/>
      <c r="AC11" s="1307">
        <f>AC10/AB10-1</f>
        <v/>
      </c>
      <c r="AD11" s="1307">
        <f>AD10/AC10-1</f>
        <v/>
      </c>
      <c r="AE11" s="1307">
        <f>AE10/AD10-1</f>
        <v/>
      </c>
      <c r="AF11" s="1305" t="n"/>
      <c r="AG11" s="1307">
        <f>AG10/AE10-1</f>
        <v/>
      </c>
      <c r="AH11" s="1307">
        <f>AH10/AG10-1</f>
        <v/>
      </c>
      <c r="AI11" s="1307">
        <f>AI10/AH10-1</f>
        <v/>
      </c>
      <c r="AJ11" s="1307">
        <f>AJ10/AI10-1</f>
        <v/>
      </c>
      <c r="AK11" s="1305" t="n"/>
      <c r="AL11" s="1307">
        <f>AL10/AJ10-1</f>
        <v/>
      </c>
      <c r="AM11" s="1307">
        <f>AM10/AL10-1</f>
        <v/>
      </c>
      <c r="AN11" s="1307">
        <f>AN10/AM10-1</f>
        <v/>
      </c>
      <c r="AO11" s="1307">
        <f>AO10/AN10-1</f>
        <v/>
      </c>
      <c r="AP11" s="1305" t="n"/>
      <c r="AQ11" s="1307">
        <f>AQ10/AO10-1</f>
        <v/>
      </c>
      <c r="AR11" s="1307">
        <f>AR10/AQ10-1</f>
        <v/>
      </c>
      <c r="AS11" s="1307">
        <f>AS10/AR10-1</f>
        <v/>
      </c>
      <c r="AT11" s="1307">
        <f>AT10/AS10-1</f>
        <v/>
      </c>
      <c r="AU11" s="1305" t="n"/>
      <c r="AV11" s="1307">
        <f>AV10/AT10-1</f>
        <v/>
      </c>
      <c r="AW11" s="1307">
        <f>AW10/AV10-1</f>
        <v/>
      </c>
      <c r="AX11" s="1307">
        <f>AX10/AW10-1</f>
        <v/>
      </c>
      <c r="AY11" s="1307">
        <f>AY10/AX10-1</f>
        <v/>
      </c>
      <c r="AZ11" s="1305" t="n"/>
      <c r="BA11" s="1307">
        <f>BA10/AY10-1</f>
        <v/>
      </c>
      <c r="BB11" s="1307">
        <f>BB10/BA10-1</f>
        <v/>
      </c>
      <c r="BC11" s="1306">
        <f>BC10/BB10-1</f>
        <v/>
      </c>
      <c r="BD11" s="1307">
        <f>BD10/BC10-1</f>
        <v/>
      </c>
      <c r="BE11" s="1305" t="n"/>
      <c r="BF11" s="1306">
        <f>BF10/BD10-1</f>
        <v/>
      </c>
      <c r="BG11" s="1306">
        <f>BG10/BF10-1</f>
        <v/>
      </c>
      <c r="BH11" s="1306">
        <f>BH10/BG10-1</f>
        <v/>
      </c>
      <c r="BI11" s="1307">
        <f>BI10/BH10-1</f>
        <v/>
      </c>
      <c r="BJ11" s="1305" t="n"/>
      <c r="BK11" s="1306">
        <f>BK10/BI10-1</f>
        <v/>
      </c>
      <c r="BL11" s="1306">
        <f>BL10/BK10-1</f>
        <v/>
      </c>
      <c r="BM11" s="1306">
        <f>BM10/BL10-1</f>
        <v/>
      </c>
      <c r="BN11" s="1307">
        <f>BN10/BM10-1</f>
        <v/>
      </c>
      <c r="BO11" s="1308" t="n"/>
      <c r="BP11" s="1309">
        <f>BP10/BN10-1</f>
        <v/>
      </c>
      <c r="BQ11" s="1306">
        <f>BQ10/BP10-1</f>
        <v/>
      </c>
      <c r="BR11" s="1306">
        <f>BR10/BQ10-1</f>
        <v/>
      </c>
      <c r="BS11" s="1306">
        <f>BS10/BR10-1</f>
        <v/>
      </c>
      <c r="BT11" s="1305" t="n"/>
      <c r="BU11" s="1309">
        <f>BU10/BS10-1</f>
        <v/>
      </c>
      <c r="BV11" s="1306">
        <f>BV10/BU10-1</f>
        <v/>
      </c>
      <c r="BW11" s="1306">
        <f>BW10/BV10-1</f>
        <v/>
      </c>
      <c r="BX11" s="1306">
        <f>BX10/BW10-1</f>
        <v/>
      </c>
      <c r="BY11" s="1305" t="n"/>
      <c r="BZ11" s="1305" t="n"/>
      <c r="CA11" s="1305" t="n"/>
      <c r="CB11" s="1305" t="n"/>
      <c r="CC11" s="1307" t="n"/>
    </row>
    <row r="12" ht="14.4" customFormat="1" customHeight="1" s="1302">
      <c r="A12" s="1303" t="inlineStr">
        <is>
          <t>Y/Y High performance computing revenue growth, %</t>
        </is>
      </c>
      <c r="B12" s="1310" t="n"/>
      <c r="C12" s="1311" t="n"/>
      <c r="D12" s="1311" t="n"/>
      <c r="E12" s="1311" t="n"/>
      <c r="F12" s="1311" t="n"/>
      <c r="G12" s="1311" t="n"/>
      <c r="H12" s="1312" t="n"/>
      <c r="I12" s="1312" t="n"/>
      <c r="J12" s="1312" t="n"/>
      <c r="K12" s="1312" t="n"/>
      <c r="L12" s="1311" t="n"/>
      <c r="M12" s="1312" t="n"/>
      <c r="N12" s="1312" t="n"/>
      <c r="O12" s="1312" t="n"/>
      <c r="P12" s="1312" t="n"/>
      <c r="Q12" s="1311" t="n"/>
      <c r="R12" s="1312" t="n"/>
      <c r="S12" s="1312" t="n"/>
      <c r="T12" s="1312" t="n"/>
      <c r="U12" s="1312" t="n"/>
      <c r="V12" s="1311" t="n"/>
      <c r="W12" s="1312" t="n"/>
      <c r="X12" s="1312" t="n"/>
      <c r="Y12" s="1312" t="n"/>
      <c r="Z12" s="1312" t="n"/>
      <c r="AA12" s="1311" t="n"/>
      <c r="AB12" s="1312" t="n"/>
      <c r="AC12" s="1312" t="n"/>
      <c r="AD12" s="1312" t="n"/>
      <c r="AE12" s="1312" t="n"/>
      <c r="AF12" s="1311" t="n"/>
      <c r="AG12" s="1312">
        <f>AG10/AB10-1</f>
        <v/>
      </c>
      <c r="AH12" s="1312">
        <f>AH10/AC10-1</f>
        <v/>
      </c>
      <c r="AI12" s="1312">
        <f>AI10/AD10-1</f>
        <v/>
      </c>
      <c r="AJ12" s="1312">
        <f>AJ10/AE10-1</f>
        <v/>
      </c>
      <c r="AK12" s="1311">
        <f>AK10/AF10-1</f>
        <v/>
      </c>
      <c r="AL12" s="1312">
        <f>AL10/AG10-1</f>
        <v/>
      </c>
      <c r="AM12" s="1312">
        <f>AM10/AH10-1</f>
        <v/>
      </c>
      <c r="AN12" s="1312">
        <f>AN10/AI10-1</f>
        <v/>
      </c>
      <c r="AO12" s="1312">
        <f>AO10/AJ10-1</f>
        <v/>
      </c>
      <c r="AP12" s="1311">
        <f>AP10/AK10-1</f>
        <v/>
      </c>
      <c r="AQ12" s="1312">
        <f>AQ10/AL10-1</f>
        <v/>
      </c>
      <c r="AR12" s="1312">
        <f>AR10/AM10-1</f>
        <v/>
      </c>
      <c r="AS12" s="1312">
        <f>AS10/AN10-1</f>
        <v/>
      </c>
      <c r="AT12" s="1312">
        <f>AT10/AO10-1</f>
        <v/>
      </c>
      <c r="AU12" s="1311">
        <f>AU10/AP10-1</f>
        <v/>
      </c>
      <c r="AV12" s="1312">
        <f>AV10/AQ10-1</f>
        <v/>
      </c>
      <c r="AW12" s="1312">
        <f>AW10/AR10-1</f>
        <v/>
      </c>
      <c r="AX12" s="1312">
        <f>AX10/AS10-1</f>
        <v/>
      </c>
      <c r="AY12" s="1312">
        <f>AY10/AT10-1</f>
        <v/>
      </c>
      <c r="AZ12" s="1311">
        <f>AZ10/AU10-1</f>
        <v/>
      </c>
      <c r="BA12" s="1312">
        <f>BA10/AV10-1</f>
        <v/>
      </c>
      <c r="BB12" s="1312">
        <f>BB10/AW10-1</f>
        <v/>
      </c>
      <c r="BC12" s="1312">
        <f>BC10/AX10-1</f>
        <v/>
      </c>
      <c r="BD12" s="1312">
        <f>BD10/AY10-1</f>
        <v/>
      </c>
      <c r="BE12" s="1311">
        <f>BE10/AZ10-1</f>
        <v/>
      </c>
      <c r="BF12" s="1312">
        <f>BF10/BA10-1</f>
        <v/>
      </c>
      <c r="BG12" s="1312">
        <f>BG10/BB10-1</f>
        <v/>
      </c>
      <c r="BH12" s="1312">
        <f>BH10/BC10-1</f>
        <v/>
      </c>
      <c r="BI12" s="1312">
        <f>BI10/BD10-1</f>
        <v/>
      </c>
      <c r="BJ12" s="1311">
        <f>BJ10/BE10-1</f>
        <v/>
      </c>
      <c r="BK12" s="1312">
        <f>BK10/BF10-1</f>
        <v/>
      </c>
      <c r="BL12" s="1312">
        <f>BL10/BG10-1</f>
        <v/>
      </c>
      <c r="BM12" s="1312">
        <f>BM10/BH10-1</f>
        <v/>
      </c>
      <c r="BN12" s="1312">
        <f>BN10/BI10-1</f>
        <v/>
      </c>
      <c r="BO12" s="1313">
        <f>BO10/BJ10-1</f>
        <v/>
      </c>
      <c r="BP12" s="1314" t="n">
        <v>0.4</v>
      </c>
      <c r="BQ12" s="1314" t="n">
        <v>0.05</v>
      </c>
      <c r="BR12" s="1314" t="n">
        <v>0.23</v>
      </c>
      <c r="BS12" s="1314" t="n">
        <v>0.26</v>
      </c>
      <c r="BT12" s="1311">
        <f>BT10/BO10-1</f>
        <v/>
      </c>
      <c r="BU12" s="1314" t="n">
        <v>0.1</v>
      </c>
      <c r="BV12" s="1314" t="n">
        <v>0.05</v>
      </c>
      <c r="BW12" s="1314" t="n">
        <v>0.23</v>
      </c>
      <c r="BX12" s="1314" t="n">
        <v>0.26</v>
      </c>
      <c r="BY12" s="1311">
        <f>BY10/BT10-1</f>
        <v/>
      </c>
      <c r="BZ12" s="1315" t="n">
        <v>0.05</v>
      </c>
      <c r="CA12" s="1315" t="n">
        <v>0.12</v>
      </c>
      <c r="CB12" s="1315" t="n">
        <v>0.12</v>
      </c>
      <c r="CC12" s="1307" t="n"/>
    </row>
    <row r="13" ht="14.4" customFormat="1" customHeight="1" s="1275">
      <c r="A13" s="1295" t="inlineStr">
        <is>
          <t>Internet of things revenue , mm</t>
        </is>
      </c>
      <c r="B13" s="1296" t="n"/>
      <c r="C13" s="1297" t="n"/>
      <c r="D13" s="1297" t="n"/>
      <c r="E13" s="1297" t="n"/>
      <c r="F13" s="1297" t="n"/>
      <c r="G13" s="1297" t="n"/>
      <c r="H13" s="1277" t="n"/>
      <c r="I13" s="1277" t="n"/>
      <c r="J13" s="1277" t="n"/>
      <c r="K13" s="1277" t="n"/>
      <c r="L13" s="1297" t="n"/>
      <c r="M13" s="1277" t="n"/>
      <c r="N13" s="1277" t="n"/>
      <c r="O13" s="1277" t="n"/>
      <c r="P13" s="1277" t="n"/>
      <c r="Q13" s="1297" t="n"/>
      <c r="R13" s="1277" t="n"/>
      <c r="S13" s="1277" t="n"/>
      <c r="T13" s="1277" t="n"/>
      <c r="U13" s="1277" t="n"/>
      <c r="V13" s="1297" t="n"/>
      <c r="W13" s="1277" t="n"/>
      <c r="X13" s="1277" t="n"/>
      <c r="Y13" s="1277" t="n"/>
      <c r="Z13" s="1277" t="n"/>
      <c r="AA13" s="1297" t="n"/>
      <c r="AB13" s="1298" t="n">
        <v>15379.027</v>
      </c>
      <c r="AC13" s="1298" t="n">
        <v>15747.791</v>
      </c>
      <c r="AD13" s="1298" t="n">
        <v>17015.261</v>
      </c>
      <c r="AE13" s="1280">
        <f>AF13-SUM(AB13,AC13,AD13)</f>
        <v/>
      </c>
      <c r="AF13" s="1299" t="n">
        <v>65091.314</v>
      </c>
      <c r="AG13" s="1298" t="n">
        <v>16717.625</v>
      </c>
      <c r="AH13" s="1298" t="n">
        <v>19150.847</v>
      </c>
      <c r="AI13" s="1298" t="n">
        <v>25790.65</v>
      </c>
      <c r="AJ13" s="1280">
        <f>AK13-SUM(AG13,AH13,AI13)</f>
        <v/>
      </c>
      <c r="AK13" s="1299" t="n">
        <v>86342.70699999999</v>
      </c>
      <c r="AL13" s="1298" t="n">
        <v>26595.813</v>
      </c>
      <c r="AM13" s="1298" t="n">
        <v>25265.823</v>
      </c>
      <c r="AN13" s="1298" t="n">
        <v>31201.283</v>
      </c>
      <c r="AO13" s="1280">
        <f>AP13-SUM(AL13,AM13,AN13)</f>
        <v/>
      </c>
      <c r="AP13" s="1299" t="n">
        <v>110355.188</v>
      </c>
      <c r="AQ13" s="1298" t="n">
        <v>30122.731</v>
      </c>
      <c r="AR13" s="1298" t="n">
        <v>29391.787</v>
      </c>
      <c r="AS13" s="1298" t="n">
        <v>36282.241</v>
      </c>
      <c r="AT13" s="1280">
        <f>AU13-SUM(AQ13,AR13,AS13)</f>
        <v/>
      </c>
      <c r="AU13" s="1299" t="n">
        <v>133005.979</v>
      </c>
      <c r="AV13" s="1298" t="n">
        <v>39045.775</v>
      </c>
      <c r="AW13" s="1298" t="n">
        <v>44648.551</v>
      </c>
      <c r="AX13" s="1298" t="n">
        <v>59410.567</v>
      </c>
      <c r="AY13" s="1280">
        <f>AZ13-SUM(AV13,AW13,AX13)</f>
        <v/>
      </c>
      <c r="AZ13" s="1299" t="n">
        <v>196114.987</v>
      </c>
      <c r="BA13" s="1298" t="n">
        <v>42720.43</v>
      </c>
      <c r="BB13" s="1298" t="n">
        <v>38168.913</v>
      </c>
      <c r="BC13" s="1298" t="n">
        <v>47409.811</v>
      </c>
      <c r="BD13" s="1280">
        <f>BE13-SUM(BA13,BB13,BC13)</f>
        <v/>
      </c>
      <c r="BE13" s="1299" t="n">
        <v>161916.543</v>
      </c>
      <c r="BF13" s="1298" t="n">
        <v>35320.95</v>
      </c>
      <c r="BG13" s="1298" t="n">
        <v>37346.267</v>
      </c>
      <c r="BH13" s="1298" t="n">
        <v>50255.327</v>
      </c>
      <c r="BI13" s="1280">
        <f>BJ13-SUM(BF13,BG13,BH13)</f>
        <v/>
      </c>
      <c r="BJ13" s="1299" t="n">
        <v>165516.214</v>
      </c>
      <c r="BK13" s="1298" t="n">
        <v>38723.19</v>
      </c>
      <c r="BL13" s="1298" t="n">
        <v>44298.398</v>
      </c>
      <c r="BM13" s="1298" t="n">
        <v>53250.285</v>
      </c>
      <c r="BN13" s="1280">
        <f>BN25*0.05</f>
        <v/>
      </c>
      <c r="BO13" s="1300">
        <f>SUM(BK13,BL13,BM13,BN13)</f>
        <v/>
      </c>
      <c r="BP13" s="1301">
        <f>BK13*(1+BP15)</f>
        <v/>
      </c>
      <c r="BQ13" s="1277">
        <f>BL13*(1+BQ15)</f>
        <v/>
      </c>
      <c r="BR13" s="1277">
        <f>BM13*(1+BR15)</f>
        <v/>
      </c>
      <c r="BS13" s="1277">
        <f>BN13*(1+BS15)</f>
        <v/>
      </c>
      <c r="BT13" s="1297">
        <f>SUM(BP13,BQ13,BR13,BS13)</f>
        <v/>
      </c>
      <c r="BU13" s="1301">
        <f>BP13*(1+BU15)</f>
        <v/>
      </c>
      <c r="BV13" s="1277">
        <f>BQ13*(1+BV15)</f>
        <v/>
      </c>
      <c r="BW13" s="1277">
        <f>BR13*(1+BW15)</f>
        <v/>
      </c>
      <c r="BX13" s="1277">
        <f>BS13*(1+BX15)</f>
        <v/>
      </c>
      <c r="BY13" s="1297">
        <f>SUM(BU13,BV13,BW13,BX13)</f>
        <v/>
      </c>
      <c r="BZ13" s="1297">
        <f>BY13*(1+BZ15)</f>
        <v/>
      </c>
      <c r="CA13" s="1297">
        <f>BZ13*(1+CA15)</f>
        <v/>
      </c>
      <c r="CB13" s="1297">
        <f>CA13*(1+CB15)</f>
        <v/>
      </c>
      <c r="CC13" s="1280" t="n"/>
    </row>
    <row r="14" ht="14.4" customFormat="1" customHeight="1" s="1302">
      <c r="A14" s="1303" t="inlineStr">
        <is>
          <t>Q/Q Internet of things revenue growth, %</t>
        </is>
      </c>
      <c r="B14" s="1304" t="n"/>
      <c r="C14" s="1305" t="n"/>
      <c r="D14" s="1305" t="n"/>
      <c r="E14" s="1305" t="n"/>
      <c r="F14" s="1305" t="n"/>
      <c r="G14" s="1305" t="n"/>
      <c r="H14" s="1306" t="n"/>
      <c r="I14" s="1306" t="n"/>
      <c r="J14" s="1306" t="n"/>
      <c r="K14" s="1306" t="n"/>
      <c r="L14" s="1305" t="n"/>
      <c r="M14" s="1306" t="n"/>
      <c r="N14" s="1306" t="n"/>
      <c r="O14" s="1306" t="n"/>
      <c r="P14" s="1306" t="n"/>
      <c r="Q14" s="1305" t="n"/>
      <c r="R14" s="1306" t="n"/>
      <c r="S14" s="1306" t="n"/>
      <c r="T14" s="1306" t="n"/>
      <c r="U14" s="1306" t="n"/>
      <c r="V14" s="1305" t="n"/>
      <c r="W14" s="1306" t="n"/>
      <c r="X14" s="1306" t="n"/>
      <c r="Y14" s="1306" t="n"/>
      <c r="Z14" s="1306" t="n"/>
      <c r="AA14" s="1305" t="n"/>
      <c r="AB14" s="1306" t="n"/>
      <c r="AC14" s="1307">
        <f>AC13/AB13-1</f>
        <v/>
      </c>
      <c r="AD14" s="1307">
        <f>AD13/AC13-1</f>
        <v/>
      </c>
      <c r="AE14" s="1307">
        <f>AE13/AD13-1</f>
        <v/>
      </c>
      <c r="AF14" s="1305" t="n"/>
      <c r="AG14" s="1307">
        <f>AG13/AE13-1</f>
        <v/>
      </c>
      <c r="AH14" s="1307">
        <f>AH13/AG13-1</f>
        <v/>
      </c>
      <c r="AI14" s="1307">
        <f>AI13/AH13-1</f>
        <v/>
      </c>
      <c r="AJ14" s="1307">
        <f>AJ13/AI13-1</f>
        <v/>
      </c>
      <c r="AK14" s="1305" t="n"/>
      <c r="AL14" s="1307">
        <f>AL13/AJ13-1</f>
        <v/>
      </c>
      <c r="AM14" s="1307">
        <f>AM13/AL13-1</f>
        <v/>
      </c>
      <c r="AN14" s="1307">
        <f>AN13/AM13-1</f>
        <v/>
      </c>
      <c r="AO14" s="1307">
        <f>AO13/AN13-1</f>
        <v/>
      </c>
      <c r="AP14" s="1305" t="n"/>
      <c r="AQ14" s="1307">
        <f>AQ13/AO13-1</f>
        <v/>
      </c>
      <c r="AR14" s="1307">
        <f>AR13/AQ13-1</f>
        <v/>
      </c>
      <c r="AS14" s="1307">
        <f>AS13/AR13-1</f>
        <v/>
      </c>
      <c r="AT14" s="1307">
        <f>AT13/AS13-1</f>
        <v/>
      </c>
      <c r="AU14" s="1305" t="n"/>
      <c r="AV14" s="1307">
        <f>AV13/AT13-1</f>
        <v/>
      </c>
      <c r="AW14" s="1307">
        <f>AW13/AV13-1</f>
        <v/>
      </c>
      <c r="AX14" s="1307">
        <f>AX13/AW13-1</f>
        <v/>
      </c>
      <c r="AY14" s="1307">
        <f>AY13/AX13-1</f>
        <v/>
      </c>
      <c r="AZ14" s="1305" t="n"/>
      <c r="BA14" s="1307">
        <f>BA13/AY13-1</f>
        <v/>
      </c>
      <c r="BB14" s="1307">
        <f>BB13/BA13-1</f>
        <v/>
      </c>
      <c r="BC14" s="1306">
        <f>BC13/BB13-1</f>
        <v/>
      </c>
      <c r="BD14" s="1307">
        <f>BD13/BC13-1</f>
        <v/>
      </c>
      <c r="BE14" s="1305" t="n"/>
      <c r="BF14" s="1306">
        <f>BF13/BD13-1</f>
        <v/>
      </c>
      <c r="BG14" s="1306">
        <f>BG13/BF13-1</f>
        <v/>
      </c>
      <c r="BH14" s="1306">
        <f>BH13/BG13-1</f>
        <v/>
      </c>
      <c r="BI14" s="1307">
        <f>BI13/BH13-1</f>
        <v/>
      </c>
      <c r="BJ14" s="1305" t="n"/>
      <c r="BK14" s="1306">
        <f>BK13/BI13-1</f>
        <v/>
      </c>
      <c r="BL14" s="1306">
        <f>BL13/BK13-1</f>
        <v/>
      </c>
      <c r="BM14" s="1306">
        <f>BM13/BL13-1</f>
        <v/>
      </c>
      <c r="BN14" s="1307">
        <f>BN13/BM13-1</f>
        <v/>
      </c>
      <c r="BO14" s="1308" t="n"/>
      <c r="BP14" s="1309">
        <f>BP13/BN13-1</f>
        <v/>
      </c>
      <c r="BQ14" s="1306">
        <f>BQ13/BP13-1</f>
        <v/>
      </c>
      <c r="BR14" s="1306">
        <f>BR13/BQ13-1</f>
        <v/>
      </c>
      <c r="BS14" s="1306">
        <f>BS13/BR13-1</f>
        <v/>
      </c>
      <c r="BT14" s="1305" t="n"/>
      <c r="BU14" s="1309">
        <f>BU13/BS13-1</f>
        <v/>
      </c>
      <c r="BV14" s="1306">
        <f>BV13/BU13-1</f>
        <v/>
      </c>
      <c r="BW14" s="1306">
        <f>BW13/BV13-1</f>
        <v/>
      </c>
      <c r="BX14" s="1306">
        <f>BX13/BW13-1</f>
        <v/>
      </c>
      <c r="BY14" s="1305" t="n"/>
      <c r="BZ14" s="1305" t="n"/>
      <c r="CA14" s="1305" t="n"/>
      <c r="CB14" s="1305" t="n"/>
      <c r="CC14" s="1307" t="n"/>
    </row>
    <row r="15" ht="14.4" customFormat="1" customHeight="1" s="1302">
      <c r="A15" s="1303" t="inlineStr">
        <is>
          <t>Y/Y Internet of things revenue growth, %</t>
        </is>
      </c>
      <c r="B15" s="1310" t="n"/>
      <c r="C15" s="1311" t="n"/>
      <c r="D15" s="1311" t="n"/>
      <c r="E15" s="1311" t="n"/>
      <c r="F15" s="1311" t="n"/>
      <c r="G15" s="1311" t="n"/>
      <c r="H15" s="1312" t="n"/>
      <c r="I15" s="1312" t="n"/>
      <c r="J15" s="1312" t="n"/>
      <c r="K15" s="1312" t="n"/>
      <c r="L15" s="1311" t="n"/>
      <c r="M15" s="1312" t="n"/>
      <c r="N15" s="1312" t="n"/>
      <c r="O15" s="1312" t="n"/>
      <c r="P15" s="1312" t="n"/>
      <c r="Q15" s="1311" t="n"/>
      <c r="R15" s="1312" t="n"/>
      <c r="S15" s="1312" t="n"/>
      <c r="T15" s="1312" t="n"/>
      <c r="U15" s="1312" t="n"/>
      <c r="V15" s="1311" t="n"/>
      <c r="W15" s="1312" t="n"/>
      <c r="X15" s="1312" t="n"/>
      <c r="Y15" s="1312" t="n"/>
      <c r="Z15" s="1312" t="n"/>
      <c r="AA15" s="1311" t="n"/>
      <c r="AB15" s="1312" t="n"/>
      <c r="AC15" s="1312" t="n"/>
      <c r="AD15" s="1312" t="n"/>
      <c r="AE15" s="1312" t="n"/>
      <c r="AF15" s="1311" t="n"/>
      <c r="AG15" s="1312">
        <f>AG13/AB13-1</f>
        <v/>
      </c>
      <c r="AH15" s="1312">
        <f>AH13/AC13-1</f>
        <v/>
      </c>
      <c r="AI15" s="1312">
        <f>AI13/AD13-1</f>
        <v/>
      </c>
      <c r="AJ15" s="1312">
        <f>AJ13/AE13-1</f>
        <v/>
      </c>
      <c r="AK15" s="1311">
        <f>AK13/AF13-1</f>
        <v/>
      </c>
      <c r="AL15" s="1312">
        <f>AL13/AG13-1</f>
        <v/>
      </c>
      <c r="AM15" s="1312">
        <f>AM13/AH13-1</f>
        <v/>
      </c>
      <c r="AN15" s="1312">
        <f>AN13/AI13-1</f>
        <v/>
      </c>
      <c r="AO15" s="1312">
        <f>AO13/AJ13-1</f>
        <v/>
      </c>
      <c r="AP15" s="1311">
        <f>AP13/AK13-1</f>
        <v/>
      </c>
      <c r="AQ15" s="1312">
        <f>AQ13/AL13-1</f>
        <v/>
      </c>
      <c r="AR15" s="1312">
        <f>AR13/AM13-1</f>
        <v/>
      </c>
      <c r="AS15" s="1312">
        <f>AS13/AN13-1</f>
        <v/>
      </c>
      <c r="AT15" s="1312">
        <f>AT13/AO13-1</f>
        <v/>
      </c>
      <c r="AU15" s="1311">
        <f>AU13/AP13-1</f>
        <v/>
      </c>
      <c r="AV15" s="1312">
        <f>AV13/AQ13-1</f>
        <v/>
      </c>
      <c r="AW15" s="1312">
        <f>AW13/AR13-1</f>
        <v/>
      </c>
      <c r="AX15" s="1312">
        <f>AX13/AS13-1</f>
        <v/>
      </c>
      <c r="AY15" s="1312">
        <f>AY13/AT13-1</f>
        <v/>
      </c>
      <c r="AZ15" s="1311">
        <f>AZ13/AU13-1</f>
        <v/>
      </c>
      <c r="BA15" s="1312">
        <f>BA13/AV13-1</f>
        <v/>
      </c>
      <c r="BB15" s="1312">
        <f>BB13/AW13-1</f>
        <v/>
      </c>
      <c r="BC15" s="1312">
        <f>BC13/AX13-1</f>
        <v/>
      </c>
      <c r="BD15" s="1312">
        <f>BD13/AY13-1</f>
        <v/>
      </c>
      <c r="BE15" s="1311">
        <f>BE13/AZ13-1</f>
        <v/>
      </c>
      <c r="BF15" s="1312">
        <f>BF13/BA13-1</f>
        <v/>
      </c>
      <c r="BG15" s="1312">
        <f>BG13/BB13-1</f>
        <v/>
      </c>
      <c r="BH15" s="1312">
        <f>BH13/BC13-1</f>
        <v/>
      </c>
      <c r="BI15" s="1312">
        <f>BI13/BD13-1</f>
        <v/>
      </c>
      <c r="BJ15" s="1311">
        <f>BJ13/BE13-1</f>
        <v/>
      </c>
      <c r="BK15" s="1312">
        <f>BK13/BF13-1</f>
        <v/>
      </c>
      <c r="BL15" s="1312">
        <f>BL13/BG13-1</f>
        <v/>
      </c>
      <c r="BM15" s="1312">
        <f>BM13/BH13-1</f>
        <v/>
      </c>
      <c r="BN15" s="1312">
        <f>BN13/BI13-1</f>
        <v/>
      </c>
      <c r="BO15" s="1313">
        <f>BO13/BJ13-1</f>
        <v/>
      </c>
      <c r="BP15" s="1314" t="n">
        <v>0.25</v>
      </c>
      <c r="BQ15" s="1314" t="n">
        <v>0.3</v>
      </c>
      <c r="BR15" s="1314" t="n">
        <v>0.3</v>
      </c>
      <c r="BS15" s="1314" t="n">
        <v>0.35</v>
      </c>
      <c r="BT15" s="1311">
        <f>BT13/BO13-1</f>
        <v/>
      </c>
      <c r="BU15" s="1314" t="n">
        <v>0.15</v>
      </c>
      <c r="BV15" s="1314" t="n">
        <v>0.3</v>
      </c>
      <c r="BW15" s="1314" t="n">
        <v>0.3</v>
      </c>
      <c r="BX15" s="1314" t="n">
        <v>0.35</v>
      </c>
      <c r="BY15" s="1311">
        <f>BY13/BT13-1</f>
        <v/>
      </c>
      <c r="BZ15" s="1315" t="n">
        <v>0.05</v>
      </c>
      <c r="CA15" s="1315" t="n">
        <v>0.1</v>
      </c>
      <c r="CB15" s="1315" t="n">
        <v>0.1</v>
      </c>
      <c r="CC15" s="1307" t="n"/>
    </row>
    <row r="16" ht="14.4" customFormat="1" customHeight="1" s="1275">
      <c r="A16" s="1295" t="inlineStr">
        <is>
          <t>Automotive revenue , mm</t>
        </is>
      </c>
      <c r="B16" s="1296" t="n"/>
      <c r="C16" s="1297" t="n"/>
      <c r="D16" s="1297" t="n"/>
      <c r="E16" s="1297" t="n"/>
      <c r="F16" s="1297" t="n"/>
      <c r="G16" s="1297" t="n"/>
      <c r="H16" s="1277" t="n"/>
      <c r="I16" s="1277" t="n"/>
      <c r="J16" s="1277" t="n"/>
      <c r="K16" s="1277" t="n"/>
      <c r="L16" s="1297" t="n"/>
      <c r="M16" s="1277" t="n"/>
      <c r="N16" s="1277" t="n"/>
      <c r="O16" s="1277" t="n"/>
      <c r="P16" s="1277" t="n"/>
      <c r="Q16" s="1297" t="n"/>
      <c r="R16" s="1277" t="n"/>
      <c r="S16" s="1277" t="n"/>
      <c r="T16" s="1277" t="n"/>
      <c r="U16" s="1277" t="n"/>
      <c r="V16" s="1297" t="n"/>
      <c r="W16" s="1277" t="n"/>
      <c r="X16" s="1277" t="n"/>
      <c r="Y16" s="1277" t="n"/>
      <c r="Z16" s="1277" t="n"/>
      <c r="AA16" s="1297" t="n"/>
      <c r="AB16" s="1298" t="n">
        <v>12907.788</v>
      </c>
      <c r="AC16" s="1298" t="n">
        <v>13285.974</v>
      </c>
      <c r="AD16" s="1298" t="n">
        <v>13288.092</v>
      </c>
      <c r="AE16" s="1280">
        <f>AF16-SUM(AB16,AC16,AD16)</f>
        <v/>
      </c>
      <c r="AF16" s="1299" t="n">
        <v>51709.787</v>
      </c>
      <c r="AG16" s="1298" t="n">
        <v>10626.515</v>
      </c>
      <c r="AH16" s="1298" t="n">
        <v>10960.006</v>
      </c>
      <c r="AI16" s="1298" t="n">
        <v>13143.575</v>
      </c>
      <c r="AJ16" s="1280">
        <f>AK16-SUM(AG16,AH16,AI16)</f>
        <v/>
      </c>
      <c r="AK16" s="1299" t="n">
        <v>47914.518</v>
      </c>
      <c r="AL16" s="1298" t="n">
        <v>13061.727</v>
      </c>
      <c r="AM16" s="1298" t="n">
        <v>11392.379</v>
      </c>
      <c r="AN16" s="1298" t="n">
        <v>8791.105</v>
      </c>
      <c r="AO16" s="1280">
        <f>AP16-SUM(AL16,AM16,AN16)</f>
        <v/>
      </c>
      <c r="AP16" s="1299" t="n">
        <v>44367.562</v>
      </c>
      <c r="AQ16" s="1298" t="n">
        <v>14605.54</v>
      </c>
      <c r="AR16" s="1298" t="n">
        <v>16395.914</v>
      </c>
      <c r="AS16" s="1298" t="n">
        <v>17186.114</v>
      </c>
      <c r="AT16" s="1280">
        <f>AU16-SUM(AQ16,AR16,AS16)</f>
        <v/>
      </c>
      <c r="AU16" s="1299" t="n">
        <v>67076.353</v>
      </c>
      <c r="AV16" s="1298" t="n">
        <v>23731.218</v>
      </c>
      <c r="AW16" s="1298" t="n">
        <v>27041.397</v>
      </c>
      <c r="AX16" s="1298" t="n">
        <v>31203.686</v>
      </c>
      <c r="AY16" s="1280">
        <f>AZ16-SUM(AV16,AW16,AX16)</f>
        <v/>
      </c>
      <c r="AZ16" s="1299" t="n">
        <v>116380.987</v>
      </c>
      <c r="BA16" s="1298" t="n">
        <v>36022.65</v>
      </c>
      <c r="BB16" s="1298" t="n">
        <v>37275.507</v>
      </c>
      <c r="BC16" s="1298" t="n">
        <v>28338.188</v>
      </c>
      <c r="BD16" s="1280">
        <f>BE16-SUM(BA16,BB16,BC16)</f>
        <v/>
      </c>
      <c r="BE16" s="1299" t="n">
        <v>133654.276</v>
      </c>
      <c r="BF16" s="1298" t="n">
        <v>32136.633</v>
      </c>
      <c r="BG16" s="1298" t="n">
        <v>33747.863</v>
      </c>
      <c r="BH16" s="1298" t="n">
        <v>35671.522</v>
      </c>
      <c r="BI16" s="1280">
        <f>BJ16-SUM(BF16,BG16,BH16)</f>
        <v/>
      </c>
      <c r="BJ16" s="1299" t="n">
        <v>139323.096</v>
      </c>
      <c r="BK16" s="1298" t="n">
        <v>43028.245</v>
      </c>
      <c r="BL16" s="1298" t="n">
        <v>43029.218</v>
      </c>
      <c r="BM16" s="1298" t="n">
        <v>50586.157</v>
      </c>
      <c r="BN16" s="1280">
        <f>BN25*0.05</f>
        <v/>
      </c>
      <c r="BO16" s="1300">
        <f>SUM(BK16,BL16,BM16,BN16)</f>
        <v/>
      </c>
      <c r="BP16" s="1277">
        <f>BK16*(1+BP18)</f>
        <v/>
      </c>
      <c r="BQ16" s="1277">
        <f>BL16*(1+BQ18)</f>
        <v/>
      </c>
      <c r="BR16" s="1277">
        <f>BM16*(1+BR18)</f>
        <v/>
      </c>
      <c r="BS16" s="1277">
        <f>BN16*(1+BS18)</f>
        <v/>
      </c>
      <c r="BT16" s="1297">
        <f>SUM(BP16,BQ16,BR16,BS16)</f>
        <v/>
      </c>
      <c r="BU16" s="1277">
        <f>BP16*(1+BU18)</f>
        <v/>
      </c>
      <c r="BV16" s="1277">
        <f>BQ16*(1+BV18)</f>
        <v/>
      </c>
      <c r="BW16" s="1277">
        <f>BR16*(1+BW18)</f>
        <v/>
      </c>
      <c r="BX16" s="1277">
        <f>BS16*(1+BX18)</f>
        <v/>
      </c>
      <c r="BY16" s="1297">
        <f>SUM(BU16,BV16,BW16,BX16)</f>
        <v/>
      </c>
      <c r="BZ16" s="1297">
        <f>BY16*(1+BZ18)</f>
        <v/>
      </c>
      <c r="CA16" s="1297">
        <f>BZ16*(1+CA18)</f>
        <v/>
      </c>
      <c r="CB16" s="1297">
        <f>CA16*(1+CB18)</f>
        <v/>
      </c>
      <c r="CC16" s="1280" t="n"/>
    </row>
    <row r="17" ht="14.4" customFormat="1" customHeight="1" s="1302">
      <c r="A17" s="1303" t="inlineStr">
        <is>
          <t>Q/Q Automotive revenue growth, %</t>
        </is>
      </c>
      <c r="B17" s="1304" t="n"/>
      <c r="C17" s="1305" t="n"/>
      <c r="D17" s="1305" t="n"/>
      <c r="E17" s="1305" t="n"/>
      <c r="F17" s="1305" t="n"/>
      <c r="G17" s="1305" t="n"/>
      <c r="H17" s="1306" t="n"/>
      <c r="I17" s="1306" t="n"/>
      <c r="J17" s="1306" t="n"/>
      <c r="K17" s="1306" t="n"/>
      <c r="L17" s="1305" t="n"/>
      <c r="M17" s="1306" t="n"/>
      <c r="N17" s="1306" t="n"/>
      <c r="O17" s="1306" t="n"/>
      <c r="P17" s="1306" t="n"/>
      <c r="Q17" s="1305" t="n"/>
      <c r="R17" s="1306" t="n"/>
      <c r="S17" s="1306" t="n"/>
      <c r="T17" s="1306" t="n"/>
      <c r="U17" s="1306" t="n"/>
      <c r="V17" s="1305" t="n"/>
      <c r="W17" s="1306" t="n"/>
      <c r="X17" s="1306" t="n"/>
      <c r="Y17" s="1306" t="n"/>
      <c r="Z17" s="1306" t="n"/>
      <c r="AA17" s="1305" t="n"/>
      <c r="AB17" s="1306" t="n"/>
      <c r="AC17" s="1307">
        <f>AC16/AB16-1</f>
        <v/>
      </c>
      <c r="AD17" s="1307">
        <f>AD16/AC16-1</f>
        <v/>
      </c>
      <c r="AE17" s="1307">
        <f>AE16/AD16-1</f>
        <v/>
      </c>
      <c r="AF17" s="1305" t="n"/>
      <c r="AG17" s="1307">
        <f>AG16/AE16-1</f>
        <v/>
      </c>
      <c r="AH17" s="1307">
        <f>AH16/AG16-1</f>
        <v/>
      </c>
      <c r="AI17" s="1307">
        <f>AI16/AH16-1</f>
        <v/>
      </c>
      <c r="AJ17" s="1307">
        <f>AJ16/AI16-1</f>
        <v/>
      </c>
      <c r="AK17" s="1305" t="n"/>
      <c r="AL17" s="1307">
        <f>AL16/AJ16-1</f>
        <v/>
      </c>
      <c r="AM17" s="1307">
        <f>AM16/AL16-1</f>
        <v/>
      </c>
      <c r="AN17" s="1307">
        <f>AN16/AM16-1</f>
        <v/>
      </c>
      <c r="AO17" s="1307">
        <f>AO16/AN16-1</f>
        <v/>
      </c>
      <c r="AP17" s="1305" t="n"/>
      <c r="AQ17" s="1307">
        <f>AQ16/AO16-1</f>
        <v/>
      </c>
      <c r="AR17" s="1307">
        <f>AR16/AQ16-1</f>
        <v/>
      </c>
      <c r="AS17" s="1307">
        <f>AS16/AR16-1</f>
        <v/>
      </c>
      <c r="AT17" s="1307">
        <f>AT16/AS16-1</f>
        <v/>
      </c>
      <c r="AU17" s="1305" t="n"/>
      <c r="AV17" s="1307">
        <f>AV16/AT16-1</f>
        <v/>
      </c>
      <c r="AW17" s="1307">
        <f>AW16/AV16-1</f>
        <v/>
      </c>
      <c r="AX17" s="1307">
        <f>AX16/AW16-1</f>
        <v/>
      </c>
      <c r="AY17" s="1307">
        <f>AY16/AX16-1</f>
        <v/>
      </c>
      <c r="AZ17" s="1305" t="n"/>
      <c r="BA17" s="1307">
        <f>BA16/AY16-1</f>
        <v/>
      </c>
      <c r="BB17" s="1307">
        <f>BB16/BA16-1</f>
        <v/>
      </c>
      <c r="BC17" s="1306">
        <f>BC16/BB16-1</f>
        <v/>
      </c>
      <c r="BD17" s="1307">
        <f>BD16/BC16-1</f>
        <v/>
      </c>
      <c r="BE17" s="1305" t="n"/>
      <c r="BF17" s="1306">
        <f>BF16/BD16-1</f>
        <v/>
      </c>
      <c r="BG17" s="1306">
        <f>BG16/BF16-1</f>
        <v/>
      </c>
      <c r="BH17" s="1306">
        <f>BH16/BG16-1</f>
        <v/>
      </c>
      <c r="BI17" s="1307">
        <f>BI16/BH16-1</f>
        <v/>
      </c>
      <c r="BJ17" s="1305" t="n"/>
      <c r="BK17" s="1306">
        <f>BK16/BI16-1</f>
        <v/>
      </c>
      <c r="BL17" s="1306">
        <f>BL16/BK16-1</f>
        <v/>
      </c>
      <c r="BM17" s="1306">
        <f>BM16/BL16-1</f>
        <v/>
      </c>
      <c r="BN17" s="1307">
        <f>BN16/BM16-1</f>
        <v/>
      </c>
      <c r="BO17" s="1308" t="n"/>
      <c r="BP17" s="1306">
        <f>BP16/BN16-1</f>
        <v/>
      </c>
      <c r="BQ17" s="1306">
        <f>BQ16/BP16-1</f>
        <v/>
      </c>
      <c r="BR17" s="1306">
        <f>BR16/BQ16-1</f>
        <v/>
      </c>
      <c r="BS17" s="1306">
        <f>BS16/BR16-1</f>
        <v/>
      </c>
      <c r="BT17" s="1305" t="n"/>
      <c r="BU17" s="1306">
        <f>BU16/BS16-1</f>
        <v/>
      </c>
      <c r="BV17" s="1306">
        <f>BV16/BU16-1</f>
        <v/>
      </c>
      <c r="BW17" s="1306">
        <f>BW16/BV16-1</f>
        <v/>
      </c>
      <c r="BX17" s="1306">
        <f>BX16/BW16-1</f>
        <v/>
      </c>
      <c r="BY17" s="1305" t="n"/>
      <c r="BZ17" s="1305" t="n"/>
      <c r="CA17" s="1305" t="n"/>
      <c r="CB17" s="1305" t="n"/>
      <c r="CC17" s="1307" t="n"/>
    </row>
    <row r="18" ht="14.4" customFormat="1" customHeight="1" s="1302">
      <c r="A18" s="1303" t="inlineStr">
        <is>
          <t>Y/Y Automotive revenue growth, %</t>
        </is>
      </c>
      <c r="B18" s="1310" t="n"/>
      <c r="C18" s="1311" t="n"/>
      <c r="D18" s="1311" t="n"/>
      <c r="E18" s="1311" t="n"/>
      <c r="F18" s="1311" t="n"/>
      <c r="G18" s="1311" t="n"/>
      <c r="H18" s="1312" t="n"/>
      <c r="I18" s="1312" t="n"/>
      <c r="J18" s="1312" t="n"/>
      <c r="K18" s="1312" t="n"/>
      <c r="L18" s="1311" t="n"/>
      <c r="M18" s="1312" t="n"/>
      <c r="N18" s="1312" t="n"/>
      <c r="O18" s="1312" t="n"/>
      <c r="P18" s="1312" t="n"/>
      <c r="Q18" s="1311" t="n"/>
      <c r="R18" s="1312" t="n"/>
      <c r="S18" s="1312" t="n"/>
      <c r="T18" s="1312" t="n"/>
      <c r="U18" s="1312" t="n"/>
      <c r="V18" s="1311" t="n"/>
      <c r="W18" s="1312" t="n"/>
      <c r="X18" s="1312" t="n"/>
      <c r="Y18" s="1312" t="n"/>
      <c r="Z18" s="1312" t="n"/>
      <c r="AA18" s="1311" t="n"/>
      <c r="AB18" s="1312" t="n"/>
      <c r="AC18" s="1312" t="n"/>
      <c r="AD18" s="1312" t="n"/>
      <c r="AE18" s="1312" t="n"/>
      <c r="AF18" s="1311" t="n"/>
      <c r="AG18" s="1312">
        <f>AG16/AB16-1</f>
        <v/>
      </c>
      <c r="AH18" s="1312">
        <f>AH16/AC16-1</f>
        <v/>
      </c>
      <c r="AI18" s="1312">
        <f>AI16/AD16-1</f>
        <v/>
      </c>
      <c r="AJ18" s="1312">
        <f>AJ16/AE16-1</f>
        <v/>
      </c>
      <c r="AK18" s="1311">
        <f>AK16/AF16-1</f>
        <v/>
      </c>
      <c r="AL18" s="1312">
        <f>AL16/AG16-1</f>
        <v/>
      </c>
      <c r="AM18" s="1312">
        <f>AM16/AH16-1</f>
        <v/>
      </c>
      <c r="AN18" s="1312">
        <f>AN16/AI16-1</f>
        <v/>
      </c>
      <c r="AO18" s="1312">
        <f>AO16/AJ16-1</f>
        <v/>
      </c>
      <c r="AP18" s="1311">
        <f>AP16/AK16-1</f>
        <v/>
      </c>
      <c r="AQ18" s="1312">
        <f>AQ16/AL16-1</f>
        <v/>
      </c>
      <c r="AR18" s="1312">
        <f>AR16/AM16-1</f>
        <v/>
      </c>
      <c r="AS18" s="1312">
        <f>AS16/AN16-1</f>
        <v/>
      </c>
      <c r="AT18" s="1312">
        <f>AT16/AO16-1</f>
        <v/>
      </c>
      <c r="AU18" s="1311">
        <f>AU16/AP16-1</f>
        <v/>
      </c>
      <c r="AV18" s="1312">
        <f>AV16/AQ16-1</f>
        <v/>
      </c>
      <c r="AW18" s="1312">
        <f>AW16/AR16-1</f>
        <v/>
      </c>
      <c r="AX18" s="1312">
        <f>AX16/AS16-1</f>
        <v/>
      </c>
      <c r="AY18" s="1312">
        <f>AY16/AT16-1</f>
        <v/>
      </c>
      <c r="AZ18" s="1311">
        <f>AZ16/AU16-1</f>
        <v/>
      </c>
      <c r="BA18" s="1312">
        <f>BA16/AV16-1</f>
        <v/>
      </c>
      <c r="BB18" s="1312">
        <f>BB16/AW16-1</f>
        <v/>
      </c>
      <c r="BC18" s="1312">
        <f>BC16/AX16-1</f>
        <v/>
      </c>
      <c r="BD18" s="1312">
        <f>BD16/AY16-1</f>
        <v/>
      </c>
      <c r="BE18" s="1311">
        <f>BE16/AZ16-1</f>
        <v/>
      </c>
      <c r="BF18" s="1312">
        <f>BF16/BA16-1</f>
        <v/>
      </c>
      <c r="BG18" s="1312">
        <f>BG16/BB16-1</f>
        <v/>
      </c>
      <c r="BH18" s="1312">
        <f>BH16/BC16-1</f>
        <v/>
      </c>
      <c r="BI18" s="1312">
        <f>BI16/BD16-1</f>
        <v/>
      </c>
      <c r="BJ18" s="1311">
        <f>BJ16/BE16-1</f>
        <v/>
      </c>
      <c r="BK18" s="1312">
        <f>BK16/BF16-1</f>
        <v/>
      </c>
      <c r="BL18" s="1312">
        <f>BL16/BG16-1</f>
        <v/>
      </c>
      <c r="BM18" s="1312">
        <f>BM16/BH16-1</f>
        <v/>
      </c>
      <c r="BN18" s="1312">
        <f>BN16/BI16-1</f>
        <v/>
      </c>
      <c r="BO18" s="1313">
        <f>BO16/BJ16-1</f>
        <v/>
      </c>
      <c r="BP18" s="1314" t="n">
        <v>0.4</v>
      </c>
      <c r="BQ18" s="1314" t="n">
        <v>0.3</v>
      </c>
      <c r="BR18" s="1314" t="n">
        <v>0.3</v>
      </c>
      <c r="BS18" s="1314" t="n">
        <v>0.3</v>
      </c>
      <c r="BT18" s="1311">
        <f>BT16/BO16-1</f>
        <v/>
      </c>
      <c r="BU18" s="1314" t="n">
        <v>0.15</v>
      </c>
      <c r="BV18" s="1314" t="n">
        <v>0.3</v>
      </c>
      <c r="BW18" s="1314" t="n">
        <v>0.3</v>
      </c>
      <c r="BX18" s="1314" t="n">
        <v>0.3</v>
      </c>
      <c r="BY18" s="1311">
        <f>BY16/BT16-1</f>
        <v/>
      </c>
      <c r="BZ18" s="1315" t="n">
        <v>0.05</v>
      </c>
      <c r="CA18" s="1315" t="n">
        <v>0.1</v>
      </c>
      <c r="CB18" s="1315" t="n">
        <v>0.1</v>
      </c>
      <c r="CC18" s="1307" t="n"/>
    </row>
    <row r="19" ht="14.4" customFormat="1" customHeight="1" s="1275">
      <c r="A19" s="1295" t="inlineStr">
        <is>
          <t>Digital consumer electronics revenue , mm</t>
        </is>
      </c>
      <c r="B19" s="1296" t="n"/>
      <c r="C19" s="1297" t="n"/>
      <c r="D19" s="1297" t="n"/>
      <c r="E19" s="1297" t="n"/>
      <c r="F19" s="1297" t="n"/>
      <c r="G19" s="1297" t="n"/>
      <c r="H19" s="1277" t="n"/>
      <c r="I19" s="1277" t="n"/>
      <c r="J19" s="1277" t="n"/>
      <c r="K19" s="1277" t="n"/>
      <c r="L19" s="1297" t="n"/>
      <c r="M19" s="1277" t="n"/>
      <c r="N19" s="1277" t="n"/>
      <c r="O19" s="1277" t="n"/>
      <c r="P19" s="1277" t="n"/>
      <c r="Q19" s="1297" t="n"/>
      <c r="R19" s="1277" t="n"/>
      <c r="S19" s="1277" t="n"/>
      <c r="T19" s="1277" t="n"/>
      <c r="U19" s="1277" t="n"/>
      <c r="V19" s="1297" t="n"/>
      <c r="W19" s="1277" t="n"/>
      <c r="X19" s="1277" t="n"/>
      <c r="Y19" s="1277" t="n"/>
      <c r="Z19" s="1277" t="n"/>
      <c r="AA19" s="1297" t="n"/>
      <c r="AB19" s="1298" t="n">
        <v>15723.792</v>
      </c>
      <c r="AC19" s="1298" t="n">
        <v>15511.894</v>
      </c>
      <c r="AD19" s="1298" t="n">
        <v>14829.678</v>
      </c>
      <c r="AE19" s="1280">
        <f>AF19-SUM(AB19,AC19,AD19)</f>
        <v/>
      </c>
      <c r="AF19" s="1299" t="n">
        <v>58470.179</v>
      </c>
      <c r="AG19" s="1298" t="n">
        <v>14627.749</v>
      </c>
      <c r="AH19" s="1298" t="n">
        <v>14183.705</v>
      </c>
      <c r="AI19" s="1298" t="n">
        <v>14078.762</v>
      </c>
      <c r="AJ19" s="1280">
        <f>AK19-SUM(AG19,AH19,AI19)</f>
        <v/>
      </c>
      <c r="AK19" s="1299" t="n">
        <v>53733.395</v>
      </c>
      <c r="AL19" s="1298" t="n">
        <v>15577.838</v>
      </c>
      <c r="AM19" s="1298" t="n">
        <v>14213.141</v>
      </c>
      <c r="AN19" s="1298" t="n">
        <v>10820.057</v>
      </c>
      <c r="AO19" s="1280">
        <f>AP19-SUM(AL19,AM19,AN19)</f>
        <v/>
      </c>
      <c r="AP19" s="1299" t="n">
        <v>54555.665</v>
      </c>
      <c r="AQ19" s="1298" t="n">
        <v>15414.085</v>
      </c>
      <c r="AR19" s="1298" t="n">
        <v>13540.616</v>
      </c>
      <c r="AS19" s="1298" t="n">
        <v>13204.541</v>
      </c>
      <c r="AT19" s="1280">
        <f>AU19-SUM(AQ19,AR19,AS19)</f>
        <v/>
      </c>
      <c r="AU19" s="1299" t="n">
        <v>55577.223</v>
      </c>
      <c r="AV19" s="1298" t="n">
        <v>14478.836</v>
      </c>
      <c r="AW19" s="1298" t="n">
        <v>15245.696</v>
      </c>
      <c r="AX19" s="1298" t="n">
        <v>14900.562</v>
      </c>
      <c r="AY19" s="1280">
        <f>AZ19-SUM(AV19,AW19,AX19)</f>
        <v/>
      </c>
      <c r="AZ19" s="1299" t="n">
        <v>56158.772</v>
      </c>
      <c r="BA19" s="1298" t="n">
        <v>10929.154</v>
      </c>
      <c r="BB19" s="1298" t="n">
        <v>13657.809</v>
      </c>
      <c r="BC19" s="1298" t="n">
        <v>13570.337</v>
      </c>
      <c r="BD19" s="1280">
        <f>BE19-SUM(BA19,BB19,BC19)</f>
        <v/>
      </c>
      <c r="BE19" s="1299" t="n">
        <v>46999.803</v>
      </c>
      <c r="BF19" s="1298" t="n">
        <v>11737.785</v>
      </c>
      <c r="BG19" s="1298" t="n">
        <v>14119.376</v>
      </c>
      <c r="BH19" s="1298" t="n">
        <v>11404.721</v>
      </c>
      <c r="BI19" s="1280">
        <f>BJ19-SUM(BF19,BG19,BH19)</f>
        <v/>
      </c>
      <c r="BJ19" s="1299" t="n">
        <v>47960.415</v>
      </c>
      <c r="BK19" s="1298" t="n">
        <v>11552.466</v>
      </c>
      <c r="BL19" s="1298" t="n">
        <v>14997.583</v>
      </c>
      <c r="BM19" s="1298" t="n">
        <v>12023.942</v>
      </c>
      <c r="BN19" s="1280">
        <f>BN25*0.01</f>
        <v/>
      </c>
      <c r="BO19" s="1300">
        <f>SUM(BK19,BL19,BM19,BN19)</f>
        <v/>
      </c>
      <c r="BP19" s="1277">
        <f>BK19*(1+BP21)</f>
        <v/>
      </c>
      <c r="BQ19" s="1277">
        <f>BL19*(1+BQ21)</f>
        <v/>
      </c>
      <c r="BR19" s="1277">
        <f>BM19*(1+BR21)</f>
        <v/>
      </c>
      <c r="BS19" s="1277">
        <f>BN19*(1+BS21)</f>
        <v/>
      </c>
      <c r="BT19" s="1297">
        <f>SUM(BP19,BQ19,BR19,BS19)</f>
        <v/>
      </c>
      <c r="BU19" s="1277">
        <f>BP19*(1+BU21)</f>
        <v/>
      </c>
      <c r="BV19" s="1277">
        <f>BQ19*(1+BV21)</f>
        <v/>
      </c>
      <c r="BW19" s="1277">
        <f>BR19*(1+BW21)</f>
        <v/>
      </c>
      <c r="BX19" s="1277">
        <f>BS19*(1+BX21)</f>
        <v/>
      </c>
      <c r="BY19" s="1297">
        <f>SUM(BU19,BV19,BW19,BX19)</f>
        <v/>
      </c>
      <c r="BZ19" s="1297">
        <f>BY19*(1+BZ21)</f>
        <v/>
      </c>
      <c r="CA19" s="1297">
        <f>BZ19*(1+CA21)</f>
        <v/>
      </c>
      <c r="CB19" s="1297">
        <f>CA19*(1+CB21)</f>
        <v/>
      </c>
      <c r="CC19" s="1280" t="n"/>
    </row>
    <row r="20" ht="14.4" customFormat="1" customHeight="1" s="1302">
      <c r="A20" s="1303" t="inlineStr">
        <is>
          <t>Q/Q Digital consumer electronics revenue growth, %</t>
        </is>
      </c>
      <c r="B20" s="1304" t="n"/>
      <c r="C20" s="1305" t="n"/>
      <c r="D20" s="1305" t="n"/>
      <c r="E20" s="1305" t="n"/>
      <c r="F20" s="1305" t="n"/>
      <c r="G20" s="1305" t="n"/>
      <c r="H20" s="1306" t="n"/>
      <c r="I20" s="1306" t="n"/>
      <c r="J20" s="1306" t="n"/>
      <c r="K20" s="1306" t="n"/>
      <c r="L20" s="1305" t="n"/>
      <c r="M20" s="1306" t="n"/>
      <c r="N20" s="1306" t="n"/>
      <c r="O20" s="1306" t="n"/>
      <c r="P20" s="1306" t="n"/>
      <c r="Q20" s="1305" t="n"/>
      <c r="R20" s="1306" t="n"/>
      <c r="S20" s="1306" t="n"/>
      <c r="T20" s="1306" t="n"/>
      <c r="U20" s="1306" t="n"/>
      <c r="V20" s="1305" t="n"/>
      <c r="W20" s="1306" t="n"/>
      <c r="X20" s="1306" t="n"/>
      <c r="Y20" s="1306" t="n"/>
      <c r="Z20" s="1306" t="n"/>
      <c r="AA20" s="1305" t="n"/>
      <c r="AB20" s="1306" t="n"/>
      <c r="AC20" s="1307">
        <f>AC19/AB19-1</f>
        <v/>
      </c>
      <c r="AD20" s="1307">
        <f>AD19/AC19-1</f>
        <v/>
      </c>
      <c r="AE20" s="1307">
        <f>AE19/AD19-1</f>
        <v/>
      </c>
      <c r="AF20" s="1305" t="n"/>
      <c r="AG20" s="1307">
        <f>AG19/AE19-1</f>
        <v/>
      </c>
      <c r="AH20" s="1307">
        <f>AH19/AG19-1</f>
        <v/>
      </c>
      <c r="AI20" s="1307">
        <f>AI19/AH19-1</f>
        <v/>
      </c>
      <c r="AJ20" s="1307">
        <f>AJ19/AI19-1</f>
        <v/>
      </c>
      <c r="AK20" s="1305" t="n"/>
      <c r="AL20" s="1307">
        <f>AL19/AJ19-1</f>
        <v/>
      </c>
      <c r="AM20" s="1307">
        <f>AM19/AL19-1</f>
        <v/>
      </c>
      <c r="AN20" s="1307">
        <f>AN19/AM19-1</f>
        <v/>
      </c>
      <c r="AO20" s="1307">
        <f>AO19/AN19-1</f>
        <v/>
      </c>
      <c r="AP20" s="1305" t="n"/>
      <c r="AQ20" s="1307">
        <f>AQ19/AO19-1</f>
        <v/>
      </c>
      <c r="AR20" s="1307">
        <f>AR19/AQ19-1</f>
        <v/>
      </c>
      <c r="AS20" s="1307">
        <f>AS19/AR19-1</f>
        <v/>
      </c>
      <c r="AT20" s="1307">
        <f>AT19/AS19-1</f>
        <v/>
      </c>
      <c r="AU20" s="1305" t="n"/>
      <c r="AV20" s="1307">
        <f>AV19/AT19-1</f>
        <v/>
      </c>
      <c r="AW20" s="1307">
        <f>AW19/AV19-1</f>
        <v/>
      </c>
      <c r="AX20" s="1307">
        <f>AX19/AW19-1</f>
        <v/>
      </c>
      <c r="AY20" s="1307">
        <f>AY19/AX19-1</f>
        <v/>
      </c>
      <c r="AZ20" s="1305" t="n"/>
      <c r="BA20" s="1307">
        <f>BA19/AY19-1</f>
        <v/>
      </c>
      <c r="BB20" s="1307">
        <f>BB19/BA19-1</f>
        <v/>
      </c>
      <c r="BC20" s="1306">
        <f>BC19/BB19-1</f>
        <v/>
      </c>
      <c r="BD20" s="1307">
        <f>BD19/BC19-1</f>
        <v/>
      </c>
      <c r="BE20" s="1305" t="n"/>
      <c r="BF20" s="1306">
        <f>BF19/BD19-1</f>
        <v/>
      </c>
      <c r="BG20" s="1306">
        <f>BG19/BF19-1</f>
        <v/>
      </c>
      <c r="BH20" s="1306">
        <f>BH19/BG19-1</f>
        <v/>
      </c>
      <c r="BI20" s="1307">
        <f>BI19/BH19-1</f>
        <v/>
      </c>
      <c r="BJ20" s="1305" t="n"/>
      <c r="BK20" s="1306">
        <f>BK19/BI19-1</f>
        <v/>
      </c>
      <c r="BL20" s="1306">
        <f>BL19/BK19-1</f>
        <v/>
      </c>
      <c r="BM20" s="1306">
        <f>BM19/BL19-1</f>
        <v/>
      </c>
      <c r="BN20" s="1307">
        <f>BN19/BM19-1</f>
        <v/>
      </c>
      <c r="BO20" s="1308" t="n"/>
      <c r="BP20" s="1306">
        <f>BP19/BN19-1</f>
        <v/>
      </c>
      <c r="BQ20" s="1306">
        <f>BQ19/BP19-1</f>
        <v/>
      </c>
      <c r="BR20" s="1306">
        <f>BR19/BQ19-1</f>
        <v/>
      </c>
      <c r="BS20" s="1306">
        <f>BS19/BR19-1</f>
        <v/>
      </c>
      <c r="BT20" s="1305" t="n"/>
      <c r="BU20" s="1306">
        <f>BU19/BS19-1</f>
        <v/>
      </c>
      <c r="BV20" s="1306">
        <f>BV19/BU19-1</f>
        <v/>
      </c>
      <c r="BW20" s="1306">
        <f>BW19/BV19-1</f>
        <v/>
      </c>
      <c r="BX20" s="1306">
        <f>BX19/BW19-1</f>
        <v/>
      </c>
      <c r="BY20" s="1305" t="n"/>
      <c r="BZ20" s="1305" t="n"/>
      <c r="CA20" s="1305" t="n"/>
      <c r="CB20" s="1305" t="n"/>
      <c r="CC20" s="1307" t="n"/>
    </row>
    <row r="21" ht="14.4" customFormat="1" customHeight="1" s="1302">
      <c r="A21" s="1303" t="inlineStr">
        <is>
          <t>Y/Y Digital consumer electronics revenue growth, %</t>
        </is>
      </c>
      <c r="B21" s="1310" t="n"/>
      <c r="C21" s="1311" t="n"/>
      <c r="D21" s="1311" t="n"/>
      <c r="E21" s="1311" t="n"/>
      <c r="F21" s="1311" t="n"/>
      <c r="G21" s="1311" t="n"/>
      <c r="H21" s="1312" t="n"/>
      <c r="I21" s="1312" t="n"/>
      <c r="J21" s="1312" t="n"/>
      <c r="K21" s="1312" t="n"/>
      <c r="L21" s="1311" t="n"/>
      <c r="M21" s="1312" t="n"/>
      <c r="N21" s="1312" t="n"/>
      <c r="O21" s="1312" t="n"/>
      <c r="P21" s="1312" t="n"/>
      <c r="Q21" s="1311" t="n"/>
      <c r="R21" s="1312" t="n"/>
      <c r="S21" s="1312" t="n"/>
      <c r="T21" s="1312" t="n"/>
      <c r="U21" s="1312" t="n"/>
      <c r="V21" s="1311" t="n"/>
      <c r="W21" s="1312" t="n"/>
      <c r="X21" s="1312" t="n"/>
      <c r="Y21" s="1312" t="n"/>
      <c r="Z21" s="1312" t="n"/>
      <c r="AA21" s="1311" t="n"/>
      <c r="AB21" s="1312" t="n"/>
      <c r="AC21" s="1312" t="n"/>
      <c r="AD21" s="1312" t="n"/>
      <c r="AE21" s="1312" t="n"/>
      <c r="AF21" s="1311" t="n"/>
      <c r="AG21" s="1312">
        <f>AG19/AB19-1</f>
        <v/>
      </c>
      <c r="AH21" s="1312">
        <f>AH19/AC19-1</f>
        <v/>
      </c>
      <c r="AI21" s="1312">
        <f>AI19/AD19-1</f>
        <v/>
      </c>
      <c r="AJ21" s="1312">
        <f>AJ19/AE19-1</f>
        <v/>
      </c>
      <c r="AK21" s="1311">
        <f>AK19/AF19-1</f>
        <v/>
      </c>
      <c r="AL21" s="1312">
        <f>AL19/AG19-1</f>
        <v/>
      </c>
      <c r="AM21" s="1312">
        <f>AM19/AH19-1</f>
        <v/>
      </c>
      <c r="AN21" s="1312">
        <f>AN19/AI19-1</f>
        <v/>
      </c>
      <c r="AO21" s="1312">
        <f>AO19/AJ19-1</f>
        <v/>
      </c>
      <c r="AP21" s="1311">
        <f>AP19/AK19-1</f>
        <v/>
      </c>
      <c r="AQ21" s="1312">
        <f>AQ19/AL19-1</f>
        <v/>
      </c>
      <c r="AR21" s="1312">
        <f>AR19/AM19-1</f>
        <v/>
      </c>
      <c r="AS21" s="1312">
        <f>AS19/AN19-1</f>
        <v/>
      </c>
      <c r="AT21" s="1312">
        <f>AT19/AO19-1</f>
        <v/>
      </c>
      <c r="AU21" s="1311">
        <f>AU19/AP19-1</f>
        <v/>
      </c>
      <c r="AV21" s="1312">
        <f>AV19/AQ19-1</f>
        <v/>
      </c>
      <c r="AW21" s="1312">
        <f>AW19/AR19-1</f>
        <v/>
      </c>
      <c r="AX21" s="1312">
        <f>AX19/AS19-1</f>
        <v/>
      </c>
      <c r="AY21" s="1312">
        <f>AY19/AT19-1</f>
        <v/>
      </c>
      <c r="AZ21" s="1311">
        <f>AZ19/AU19-1</f>
        <v/>
      </c>
      <c r="BA21" s="1312">
        <f>BA19/AV19-1</f>
        <v/>
      </c>
      <c r="BB21" s="1312">
        <f>BB19/AW19-1</f>
        <v/>
      </c>
      <c r="BC21" s="1312">
        <f>BC19/AX19-1</f>
        <v/>
      </c>
      <c r="BD21" s="1312">
        <f>BD19/AY19-1</f>
        <v/>
      </c>
      <c r="BE21" s="1311">
        <f>BE19/AZ19-1</f>
        <v/>
      </c>
      <c r="BF21" s="1312">
        <f>BF19/BA19-1</f>
        <v/>
      </c>
      <c r="BG21" s="1312">
        <f>BG19/BB19-1</f>
        <v/>
      </c>
      <c r="BH21" s="1312">
        <f>BH19/BC19-1</f>
        <v/>
      </c>
      <c r="BI21" s="1312">
        <f>BI19/BD19-1</f>
        <v/>
      </c>
      <c r="BJ21" s="1311">
        <f>BJ19/BE19-1</f>
        <v/>
      </c>
      <c r="BK21" s="1312">
        <f>BK19/BF19-1</f>
        <v/>
      </c>
      <c r="BL21" s="1312">
        <f>BL19/BG19-1</f>
        <v/>
      </c>
      <c r="BM21" s="1312">
        <f>BM19/BH19-1</f>
        <v/>
      </c>
      <c r="BN21" s="1312">
        <f>BN19/BI19-1</f>
        <v/>
      </c>
      <c r="BO21" s="1313">
        <f>BO19/BJ19-1</f>
        <v/>
      </c>
      <c r="BP21" s="1314" t="n">
        <v>0.25</v>
      </c>
      <c r="BQ21" s="1314" t="n">
        <v>0.2</v>
      </c>
      <c r="BR21" s="1314" t="n">
        <v>0.2</v>
      </c>
      <c r="BS21" s="1314" t="n">
        <v>0.2</v>
      </c>
      <c r="BT21" s="1311">
        <f>BT19/BO19-1</f>
        <v/>
      </c>
      <c r="BU21" s="1314" t="n">
        <v>0.2</v>
      </c>
      <c r="BV21" s="1314" t="n">
        <v>0.2</v>
      </c>
      <c r="BW21" s="1314" t="n">
        <v>0.2</v>
      </c>
      <c r="BX21" s="1314" t="n">
        <v>0.2</v>
      </c>
      <c r="BY21" s="1311">
        <f>BY19/BT19-1</f>
        <v/>
      </c>
      <c r="BZ21" s="1315" t="n">
        <v>0.05</v>
      </c>
      <c r="CA21" s="1315" t="n">
        <v>0.1</v>
      </c>
      <c r="CB21" s="1315" t="n">
        <v>0.1</v>
      </c>
      <c r="CC21" s="1307" t="n"/>
    </row>
    <row r="22" ht="14.4" customFormat="1" customHeight="1" s="1275">
      <c r="A22" s="1295" t="inlineStr">
        <is>
          <t>Other revenue , mm</t>
        </is>
      </c>
      <c r="B22" s="1296" t="n"/>
      <c r="C22" s="1297" t="n"/>
      <c r="D22" s="1297" t="n"/>
      <c r="E22" s="1297" t="n"/>
      <c r="F22" s="1297" t="n"/>
      <c r="G22" s="1297" t="n"/>
      <c r="H22" s="1277" t="n"/>
      <c r="I22" s="1277" t="n"/>
      <c r="J22" s="1277" t="n"/>
      <c r="K22" s="1277" t="n"/>
      <c r="L22" s="1297" t="n"/>
      <c r="M22" s="1277" t="n"/>
      <c r="N22" s="1277" t="n"/>
      <c r="O22" s="1277" t="n"/>
      <c r="P22" s="1277" t="n"/>
      <c r="Q22" s="1297" t="n"/>
      <c r="R22" s="1277" t="n"/>
      <c r="S22" s="1277" t="n"/>
      <c r="T22" s="1277" t="n"/>
      <c r="U22" s="1277" t="n"/>
      <c r="V22" s="1297" t="n"/>
      <c r="W22" s="1277" t="n"/>
      <c r="X22" s="1277" t="n"/>
      <c r="Y22" s="1277" t="n"/>
      <c r="Z22" s="1277" t="n"/>
      <c r="AA22" s="1297" t="n"/>
      <c r="AB22" s="1298" t="n">
        <v>11811.79</v>
      </c>
      <c r="AC22" s="1298" t="n">
        <v>12888.568</v>
      </c>
      <c r="AD22" s="1298" t="n">
        <v>12603.243</v>
      </c>
      <c r="AE22" s="1280">
        <f>AF22-SUM(AB22,AC22,AD22)</f>
        <v/>
      </c>
      <c r="AF22" s="1299" t="n">
        <v>47839.802</v>
      </c>
      <c r="AG22" s="1298" t="n">
        <v>10697.338</v>
      </c>
      <c r="AH22" s="1298" t="n">
        <v>10466.088</v>
      </c>
      <c r="AI22" s="1298" t="n">
        <v>10430.547</v>
      </c>
      <c r="AJ22" s="1280">
        <f>AK22-SUM(AG22,AH22,AI22)</f>
        <v/>
      </c>
      <c r="AK22" s="1299" t="n">
        <v>42559.654</v>
      </c>
      <c r="AL22" s="1298" t="n">
        <v>10436.918</v>
      </c>
      <c r="AM22" s="1298" t="n">
        <v>9867.603999999999</v>
      </c>
      <c r="AN22" s="1298" t="n">
        <v>11718.428</v>
      </c>
      <c r="AO22" s="1280">
        <f>AP22-SUM(AL22,AM22,AN22)</f>
        <v/>
      </c>
      <c r="AP22" s="1299" t="n">
        <v>44862.799</v>
      </c>
      <c r="AQ22" s="1298" t="n">
        <v>11216.69</v>
      </c>
      <c r="AR22" s="1298" t="n">
        <v>11680.896</v>
      </c>
      <c r="AS22" s="1298" t="n">
        <v>11717.914</v>
      </c>
      <c r="AT22" s="1280">
        <f>AU22-SUM(AQ22,AR22,AS22)</f>
        <v/>
      </c>
      <c r="AU22" s="1299" t="n">
        <v>48884.147</v>
      </c>
      <c r="AV22" s="1298" t="n">
        <v>15574.988</v>
      </c>
      <c r="AW22" s="1298" t="n">
        <v>16708.735</v>
      </c>
      <c r="AX22" s="1298" t="n">
        <v>18321.07</v>
      </c>
      <c r="AY22" s="1280">
        <f>AZ22-SUM(AV22,AW22,AX22)</f>
        <v/>
      </c>
      <c r="AZ22" s="1299" t="n">
        <v>73973.567</v>
      </c>
      <c r="BA22" s="1298" t="n">
        <v>19056.43</v>
      </c>
      <c r="BB22" s="1298" t="n">
        <v>18012.813</v>
      </c>
      <c r="BC22" s="1298" t="n">
        <v>17596.658</v>
      </c>
      <c r="BD22" s="1280">
        <f>BE22-SUM(BA22,BB22,BC22)</f>
        <v/>
      </c>
      <c r="BE22" s="1299" t="n">
        <v>69482.307</v>
      </c>
      <c r="BF22" s="1298" t="n">
        <v>13643.72</v>
      </c>
      <c r="BG22" s="1298" t="n">
        <v>14360.771</v>
      </c>
      <c r="BH22" s="1298" t="n">
        <v>15555.553</v>
      </c>
      <c r="BI22" s="1280">
        <f>BJ22-SUM(BF22,BG22,BH22)</f>
        <v/>
      </c>
      <c r="BJ22" s="1299" t="n">
        <v>59486.924</v>
      </c>
      <c r="BK22" s="1298" t="n">
        <v>19115.229</v>
      </c>
      <c r="BL22" s="1298" t="n">
        <v>20351.771</v>
      </c>
      <c r="BM22" s="1298" t="n">
        <v>18719.934</v>
      </c>
      <c r="BN22" s="1280">
        <f>BN25*0.02</f>
        <v/>
      </c>
      <c r="BO22" s="1300">
        <f>SUM(BK22,BL22,BM22,BN22)</f>
        <v/>
      </c>
      <c r="BP22" s="1277">
        <f>BK22*(1+BP24)</f>
        <v/>
      </c>
      <c r="BQ22" s="1277">
        <f>BL22*(1+BQ24)</f>
        <v/>
      </c>
      <c r="BR22" s="1277">
        <f>BM22*(1+BR24)</f>
        <v/>
      </c>
      <c r="BS22" s="1277">
        <f>BN22*(1+BS24)</f>
        <v/>
      </c>
      <c r="BT22" s="1297">
        <f>SUM(BP22,BQ22,BR22,BS22)</f>
        <v/>
      </c>
      <c r="BU22" s="1277">
        <f>BP22*(1+BU24)</f>
        <v/>
      </c>
      <c r="BV22" s="1277">
        <f>BQ22*(1+BV24)</f>
        <v/>
      </c>
      <c r="BW22" s="1277">
        <f>BR22*(1+BW24)</f>
        <v/>
      </c>
      <c r="BX22" s="1277">
        <f>BS22*(1+BX24)</f>
        <v/>
      </c>
      <c r="BY22" s="1297">
        <f>SUM(BU22,BV22,BW22,BX22)</f>
        <v/>
      </c>
      <c r="BZ22" s="1297">
        <f>BY22*(1+BZ24)</f>
        <v/>
      </c>
      <c r="CA22" s="1297">
        <f>BZ22*(1+CA24)</f>
        <v/>
      </c>
      <c r="CB22" s="1297">
        <f>CA22*(1+CB24)</f>
        <v/>
      </c>
      <c r="CC22" s="1280" t="n"/>
    </row>
    <row r="23" ht="14.4" customFormat="1" customHeight="1" s="1302">
      <c r="A23" s="1303" t="inlineStr">
        <is>
          <t>Q/Q Other revenue growth, %</t>
        </is>
      </c>
      <c r="B23" s="1304" t="n"/>
      <c r="C23" s="1305" t="n"/>
      <c r="D23" s="1305" t="n"/>
      <c r="E23" s="1305" t="n"/>
      <c r="F23" s="1305" t="n"/>
      <c r="G23" s="1305" t="n"/>
      <c r="H23" s="1306" t="n"/>
      <c r="I23" s="1306" t="n"/>
      <c r="J23" s="1306" t="n"/>
      <c r="K23" s="1306" t="n"/>
      <c r="L23" s="1305" t="n"/>
      <c r="M23" s="1306" t="n"/>
      <c r="N23" s="1306" t="n"/>
      <c r="O23" s="1306" t="n"/>
      <c r="P23" s="1306" t="n"/>
      <c r="Q23" s="1305" t="n"/>
      <c r="R23" s="1306" t="n"/>
      <c r="S23" s="1306" t="n"/>
      <c r="T23" s="1306" t="n"/>
      <c r="U23" s="1306" t="n"/>
      <c r="V23" s="1305" t="n"/>
      <c r="W23" s="1306" t="n"/>
      <c r="X23" s="1306" t="n"/>
      <c r="Y23" s="1306" t="n"/>
      <c r="Z23" s="1306" t="n"/>
      <c r="AA23" s="1305" t="n"/>
      <c r="AB23" s="1306" t="n"/>
      <c r="AC23" s="1307">
        <f>AC22/AB22-1</f>
        <v/>
      </c>
      <c r="AD23" s="1307">
        <f>AD22/AC22-1</f>
        <v/>
      </c>
      <c r="AE23" s="1307">
        <f>AE22/AD22-1</f>
        <v/>
      </c>
      <c r="AF23" s="1305" t="n"/>
      <c r="AG23" s="1307">
        <f>AG22/AE22-1</f>
        <v/>
      </c>
      <c r="AH23" s="1307">
        <f>AH22/AG22-1</f>
        <v/>
      </c>
      <c r="AI23" s="1307">
        <f>AI22/AH22-1</f>
        <v/>
      </c>
      <c r="AJ23" s="1307">
        <f>AJ22/AI22-1</f>
        <v/>
      </c>
      <c r="AK23" s="1305" t="n"/>
      <c r="AL23" s="1307">
        <f>AL22/AJ22-1</f>
        <v/>
      </c>
      <c r="AM23" s="1307">
        <f>AM22/AL22-1</f>
        <v/>
      </c>
      <c r="AN23" s="1307">
        <f>AN22/AM22-1</f>
        <v/>
      </c>
      <c r="AO23" s="1307">
        <f>AO22/AN22-1</f>
        <v/>
      </c>
      <c r="AP23" s="1305" t="n"/>
      <c r="AQ23" s="1307">
        <f>AQ22/AO22-1</f>
        <v/>
      </c>
      <c r="AR23" s="1307">
        <f>AR22/AQ22-1</f>
        <v/>
      </c>
      <c r="AS23" s="1307">
        <f>AS22/AR22-1</f>
        <v/>
      </c>
      <c r="AT23" s="1307">
        <f>AT22/AS22-1</f>
        <v/>
      </c>
      <c r="AU23" s="1305" t="n"/>
      <c r="AV23" s="1307">
        <f>AV22/AT22-1</f>
        <v/>
      </c>
      <c r="AW23" s="1307">
        <f>AW22/AV22-1</f>
        <v/>
      </c>
      <c r="AX23" s="1307">
        <f>AX22/AW22-1</f>
        <v/>
      </c>
      <c r="AY23" s="1307">
        <f>AY22/AX22-1</f>
        <v/>
      </c>
      <c r="AZ23" s="1305" t="n"/>
      <c r="BA23" s="1307">
        <f>BA22/AY22-1</f>
        <v/>
      </c>
      <c r="BB23" s="1307">
        <f>BB22/BA22-1</f>
        <v/>
      </c>
      <c r="BC23" s="1306">
        <f>BC22/BB22-1</f>
        <v/>
      </c>
      <c r="BD23" s="1307">
        <f>BD22/BC22-1</f>
        <v/>
      </c>
      <c r="BE23" s="1305" t="n"/>
      <c r="BF23" s="1306">
        <f>BF22/BD22-1</f>
        <v/>
      </c>
      <c r="BG23" s="1307">
        <f>BG22/BF22-1</f>
        <v/>
      </c>
      <c r="BH23" s="1306">
        <f>BH22/BG22-1</f>
        <v/>
      </c>
      <c r="BI23" s="1307">
        <f>BI22/BH22-1</f>
        <v/>
      </c>
      <c r="BJ23" s="1305" t="n"/>
      <c r="BK23" s="1306">
        <f>BK22/BI22-1</f>
        <v/>
      </c>
      <c r="BL23" s="1307">
        <f>BL22/BK22-1</f>
        <v/>
      </c>
      <c r="BM23" s="1306">
        <f>BM22/BL22-1</f>
        <v/>
      </c>
      <c r="BN23" s="1307">
        <f>BN22/BM22-1</f>
        <v/>
      </c>
      <c r="BO23" s="1308" t="n"/>
      <c r="BP23" s="1306">
        <f>BP22/BN22-1</f>
        <v/>
      </c>
      <c r="BQ23" s="1306">
        <f>BQ22/BP22-1</f>
        <v/>
      </c>
      <c r="BR23" s="1306">
        <f>BR22/BQ22-1</f>
        <v/>
      </c>
      <c r="BS23" s="1306">
        <f>BS22/BR22-1</f>
        <v/>
      </c>
      <c r="BT23" s="1305" t="n"/>
      <c r="BU23" s="1306">
        <f>BU22/BS22-1</f>
        <v/>
      </c>
      <c r="BV23" s="1306">
        <f>BV22/BU22-1</f>
        <v/>
      </c>
      <c r="BW23" s="1306">
        <f>BW22/BV22-1</f>
        <v/>
      </c>
      <c r="BX23" s="1306">
        <f>BX22/BW22-1</f>
        <v/>
      </c>
      <c r="BY23" s="1305" t="n"/>
      <c r="BZ23" s="1305" t="n"/>
      <c r="CA23" s="1305" t="n"/>
      <c r="CB23" s="1305" t="n"/>
      <c r="CC23" s="1307" t="n"/>
    </row>
    <row r="24" ht="14.4" customFormat="1" customHeight="1" s="1302">
      <c r="A24" s="1316" t="inlineStr">
        <is>
          <t>Y/Y Other revenue growth, %</t>
        </is>
      </c>
      <c r="B24" s="1317" t="n"/>
      <c r="C24" s="1318" t="n"/>
      <c r="D24" s="1318" t="n"/>
      <c r="E24" s="1318" t="n"/>
      <c r="F24" s="1318" t="n"/>
      <c r="G24" s="1318" t="n"/>
      <c r="H24" s="1319" t="n"/>
      <c r="I24" s="1319" t="n"/>
      <c r="J24" s="1319" t="n"/>
      <c r="K24" s="1319" t="n"/>
      <c r="L24" s="1318" t="n"/>
      <c r="M24" s="1319" t="n"/>
      <c r="N24" s="1319" t="n"/>
      <c r="O24" s="1319" t="n"/>
      <c r="P24" s="1319" t="n"/>
      <c r="Q24" s="1318" t="n"/>
      <c r="R24" s="1319" t="n"/>
      <c r="S24" s="1319" t="n"/>
      <c r="T24" s="1319" t="n"/>
      <c r="U24" s="1319" t="n"/>
      <c r="V24" s="1318" t="n"/>
      <c r="W24" s="1319" t="n"/>
      <c r="X24" s="1319" t="n"/>
      <c r="Y24" s="1319" t="n"/>
      <c r="Z24" s="1319" t="n"/>
      <c r="AA24" s="1318" t="n"/>
      <c r="AB24" s="1319" t="n"/>
      <c r="AC24" s="1319" t="n"/>
      <c r="AD24" s="1319" t="n"/>
      <c r="AE24" s="1319" t="n"/>
      <c r="AF24" s="1318" t="n"/>
      <c r="AG24" s="1319">
        <f>AG22/AB22-1</f>
        <v/>
      </c>
      <c r="AH24" s="1319">
        <f>AH22/AC22-1</f>
        <v/>
      </c>
      <c r="AI24" s="1319">
        <f>AI22/AD22-1</f>
        <v/>
      </c>
      <c r="AJ24" s="1319">
        <f>AJ22/AE22-1</f>
        <v/>
      </c>
      <c r="AK24" s="1318">
        <f>AK22/AF22-1</f>
        <v/>
      </c>
      <c r="AL24" s="1319">
        <f>AL22/AG22-1</f>
        <v/>
      </c>
      <c r="AM24" s="1319">
        <f>AM22/AH22-1</f>
        <v/>
      </c>
      <c r="AN24" s="1319">
        <f>AN22/AI22-1</f>
        <v/>
      </c>
      <c r="AO24" s="1319">
        <f>AO22/AJ22-1</f>
        <v/>
      </c>
      <c r="AP24" s="1318">
        <f>AP22/AK22-1</f>
        <v/>
      </c>
      <c r="AQ24" s="1319">
        <f>AQ22/AL22-1</f>
        <v/>
      </c>
      <c r="AR24" s="1319">
        <f>AR22/AM22-1</f>
        <v/>
      </c>
      <c r="AS24" s="1319">
        <f>AS22/AN22-1</f>
        <v/>
      </c>
      <c r="AT24" s="1319">
        <f>AT22/AO22-1</f>
        <v/>
      </c>
      <c r="AU24" s="1318">
        <f>AU22/AP22-1</f>
        <v/>
      </c>
      <c r="AV24" s="1319">
        <f>AV22/AQ22-1</f>
        <v/>
      </c>
      <c r="AW24" s="1319">
        <f>AW22/AR22-1</f>
        <v/>
      </c>
      <c r="AX24" s="1319">
        <f>AX22/AS22-1</f>
        <v/>
      </c>
      <c r="AY24" s="1319">
        <f>AY22/AT22-1</f>
        <v/>
      </c>
      <c r="AZ24" s="1318">
        <f>AZ22/AU22-1</f>
        <v/>
      </c>
      <c r="BA24" s="1319">
        <f>BA22/AV22-1</f>
        <v/>
      </c>
      <c r="BB24" s="1319">
        <f>BB22/AW22-1</f>
        <v/>
      </c>
      <c r="BC24" s="1319">
        <f>BC22/AX22-1</f>
        <v/>
      </c>
      <c r="BD24" s="1319">
        <f>BD22/AY22-1</f>
        <v/>
      </c>
      <c r="BE24" s="1318">
        <f>BE22/AZ22-1</f>
        <v/>
      </c>
      <c r="BF24" s="1319">
        <f>BF22/BA22-1</f>
        <v/>
      </c>
      <c r="BG24" s="1319">
        <f>BG22/BB22-1</f>
        <v/>
      </c>
      <c r="BH24" s="1319">
        <f>BH22/BC22-1</f>
        <v/>
      </c>
      <c r="BI24" s="1319">
        <f>BI22/BD22-1</f>
        <v/>
      </c>
      <c r="BJ24" s="1318">
        <f>BJ22/BE22-1</f>
        <v/>
      </c>
      <c r="BK24" s="1319">
        <f>BK22/BF22-1</f>
        <v/>
      </c>
      <c r="BL24" s="1319">
        <f>BL22/BG22-1</f>
        <v/>
      </c>
      <c r="BM24" s="1319">
        <f>BM22/BH22-1</f>
        <v/>
      </c>
      <c r="BN24" s="1319">
        <f>BN22/BI22-1</f>
        <v/>
      </c>
      <c r="BO24" s="1320">
        <f>BO22/BJ22-1</f>
        <v/>
      </c>
      <c r="BP24" s="1321" t="n">
        <v>0.3</v>
      </c>
      <c r="BQ24" s="1321" t="n">
        <v>0.1</v>
      </c>
      <c r="BR24" s="1321" t="n">
        <v>0.1</v>
      </c>
      <c r="BS24" s="1321" t="n">
        <v>0.1</v>
      </c>
      <c r="BT24" s="1318">
        <f>BT22/BO22-1</f>
        <v/>
      </c>
      <c r="BU24" s="1321" t="n">
        <v>0.1</v>
      </c>
      <c r="BV24" s="1321" t="n">
        <v>0.1</v>
      </c>
      <c r="BW24" s="1321" t="n">
        <v>0.1</v>
      </c>
      <c r="BX24" s="1321" t="n">
        <v>0.1</v>
      </c>
      <c r="BY24" s="1318">
        <f>BY22/BT22-1</f>
        <v/>
      </c>
      <c r="BZ24" s="1322" t="n">
        <v>0.05</v>
      </c>
      <c r="CA24" s="1322" t="n">
        <v>0.05</v>
      </c>
      <c r="CB24" s="1322" t="n">
        <v>0.05</v>
      </c>
      <c r="CC24" s="1307" t="n"/>
    </row>
    <row r="25" ht="14.4" customFormat="1" customHeight="1" s="1323">
      <c r="A25" s="1324" t="inlineStr">
        <is>
          <t>Total Revenue, mm</t>
        </is>
      </c>
      <c r="B25" s="1325" t="n"/>
      <c r="C25" s="1326" t="n"/>
      <c r="D25" s="1326" t="n"/>
      <c r="E25" s="1326" t="n"/>
      <c r="F25" s="1326" t="n"/>
      <c r="G25" s="1326" t="n"/>
      <c r="H25" s="1327" t="n"/>
      <c r="I25" s="1327" t="n"/>
      <c r="J25" s="1327" t="n"/>
      <c r="K25" s="1327" t="n"/>
      <c r="L25" s="1326" t="n"/>
      <c r="M25" s="1327" t="n"/>
      <c r="N25" s="1327" t="n"/>
      <c r="O25" s="1327" t="n"/>
      <c r="P25" s="1327" t="n"/>
      <c r="Q25" s="1326" t="n"/>
      <c r="R25" s="1327" t="n"/>
      <c r="S25" s="1327" t="n"/>
      <c r="T25" s="1327" t="n"/>
      <c r="U25" s="1327" t="n"/>
      <c r="V25" s="1326" t="n"/>
      <c r="W25" s="1327" t="n"/>
      <c r="X25" s="1327" t="n"/>
      <c r="Y25" s="1327" t="n"/>
      <c r="Z25" s="1327" t="n"/>
      <c r="AA25" s="1326" t="n"/>
      <c r="AB25" s="1328">
        <f>AB7+AB10+AB13+AB16+AB19+AB22</f>
        <v/>
      </c>
      <c r="AC25" s="1328">
        <f>AC7+AC10+AC13+AC16+AC19+AC22</f>
        <v/>
      </c>
      <c r="AD25" s="1328">
        <f>AD7+AD10+AD13+AD16+AD19+AD22</f>
        <v/>
      </c>
      <c r="AE25" s="1328">
        <f>AE7+AE10+AE13+AE16+AE19+AE22</f>
        <v/>
      </c>
      <c r="AF25" s="1329">
        <f>AF7+AF10+AF13+AF16+AF19+AF22</f>
        <v/>
      </c>
      <c r="AG25" s="1328">
        <f>AG7+AG10+AG13+AG16+AG19+AG22</f>
        <v/>
      </c>
      <c r="AH25" s="1328">
        <f>AH7+AH10+AH13+AH16+AH19+AH22</f>
        <v/>
      </c>
      <c r="AI25" s="1328">
        <f>AI7+AI10+AI13+AI16+AI19+AI22</f>
        <v/>
      </c>
      <c r="AJ25" s="1328">
        <f>AJ7+AJ10+AJ13+AJ16+AJ19+AJ22</f>
        <v/>
      </c>
      <c r="AK25" s="1329">
        <f>AK7+AK10+AK13+AK16+AK19+AK22</f>
        <v/>
      </c>
      <c r="AL25" s="1328">
        <f>AL7+AL10+AL13+AL16+AL19+AL22</f>
        <v/>
      </c>
      <c r="AM25" s="1328">
        <f>AM7+AM10+AM13+AM16+AM19+AM22</f>
        <v/>
      </c>
      <c r="AN25" s="1328">
        <f>AN7+AN10+AN13+AN16+AN19+AN22</f>
        <v/>
      </c>
      <c r="AO25" s="1328">
        <f>AO7+AO10+AO13+AO16+AO19+AO22</f>
        <v/>
      </c>
      <c r="AP25" s="1329">
        <f>AP7+AP10+AP13+AP16+AP19+AP22</f>
        <v/>
      </c>
      <c r="AQ25" s="1328">
        <f>AQ7+AQ10+AQ13+AQ16+AQ19+AQ22</f>
        <v/>
      </c>
      <c r="AR25" s="1328">
        <f>AR7+AR10+AR13+AR16+AR19+AR22</f>
        <v/>
      </c>
      <c r="AS25" s="1328">
        <f>AS7+AS10+AS13+AS16+AS19+AS22</f>
        <v/>
      </c>
      <c r="AT25" s="1328">
        <f>AT7+AT10+AT13+AT16+AT19+AT22</f>
        <v/>
      </c>
      <c r="AU25" s="1329">
        <f>AU7+AU10+AU13+AU16+AU19+AU22</f>
        <v/>
      </c>
      <c r="AV25" s="1328">
        <f>AV7+AV10+AV13+AV16+AV19+AV22</f>
        <v/>
      </c>
      <c r="AW25" s="1328">
        <f>AW7+AW10+AW13+AW16+AW19+AW22</f>
        <v/>
      </c>
      <c r="AX25" s="1328">
        <f>AX7+AX10+AX13+AX16+AX19+AX22</f>
        <v/>
      </c>
      <c r="AY25" s="1328">
        <f>AY7+AY10+AY13+AY16+AY19+AY22</f>
        <v/>
      </c>
      <c r="AZ25" s="1329">
        <f>AZ7+AZ10+AZ13+AZ16+AZ19+AZ22</f>
        <v/>
      </c>
      <c r="BA25" s="1328">
        <f>BA7+BA10+BA13+BA16+BA19+BA22</f>
        <v/>
      </c>
      <c r="BB25" s="1328">
        <f>BB7+BB10+BB13+BB16+BB19+BB22</f>
        <v/>
      </c>
      <c r="BC25" s="1327">
        <f>BC7+BC10+BC13+BC16+BC19+BC22</f>
        <v/>
      </c>
      <c r="BD25" s="1328">
        <f>BD7+BD10+BD13+BD16+BD19+BD22</f>
        <v/>
      </c>
      <c r="BE25" s="1329">
        <f>BE7+BE10+BE13+BE16+BE19+BE22</f>
        <v/>
      </c>
      <c r="BF25" s="1327">
        <f>BF7+BF10+BF13+BF16+BF19+BF22</f>
        <v/>
      </c>
      <c r="BG25" s="1328">
        <f>BG7+BG10+BG13+BG16+BG19+BG22</f>
        <v/>
      </c>
      <c r="BH25" s="1327">
        <f>BH7+BH10+BH13+BH16+BH19+BH22</f>
        <v/>
      </c>
      <c r="BI25" s="1328">
        <f>BI7+BI10+BI13+BI16+BI19+BI22</f>
        <v/>
      </c>
      <c r="BJ25" s="1329">
        <f>BJ7+BJ10+BJ13+BJ16+BJ19+BJ22</f>
        <v/>
      </c>
      <c r="BK25" s="1327">
        <f>BK7+BK10+BK13+BK16+BK19+BK22</f>
        <v/>
      </c>
      <c r="BL25" s="1328">
        <f>BL7+BL10+BL13+BL16+BL19+BL22</f>
        <v/>
      </c>
      <c r="BM25" s="1327">
        <f>BM369</f>
        <v/>
      </c>
      <c r="BN25" s="1328">
        <f>BN322</f>
        <v/>
      </c>
      <c r="BO25" s="1330">
        <f>BO322</f>
        <v/>
      </c>
      <c r="BP25" s="1327">
        <f>BP7+BP10+BP13+BP16+BP19+BP22</f>
        <v/>
      </c>
      <c r="BQ25" s="1327">
        <f>BQ7+BQ10+BQ13+BQ16+BQ19+BQ22</f>
        <v/>
      </c>
      <c r="BR25" s="1327">
        <f>BR7+BR10+BR13+BR16+BR19+BR22</f>
        <v/>
      </c>
      <c r="BS25" s="1327">
        <f>BS7+BS10+BS13+BS16+BS19+BS22</f>
        <v/>
      </c>
      <c r="BT25" s="1326">
        <f>BT7+BT10+BT13+BT16+BT19+BT22</f>
        <v/>
      </c>
      <c r="BU25" s="1327">
        <f>BU7+BU10+BU13+BU16+BU19+BU22</f>
        <v/>
      </c>
      <c r="BV25" s="1327">
        <f>BV7+BV10+BV13+BV16+BV19+BV22</f>
        <v/>
      </c>
      <c r="BW25" s="1327">
        <f>BW7+BW10+BW13+BW16+BW19+BW22</f>
        <v/>
      </c>
      <c r="BX25" s="1327">
        <f>BX7+BX10+BX13+BX16+BX19+BX22</f>
        <v/>
      </c>
      <c r="BY25" s="1326">
        <f>BY7+BY10+BY13+BY16+BY19+BY22</f>
        <v/>
      </c>
      <c r="BZ25" s="1326">
        <f>BZ7+BZ10+BZ13+BZ16+BZ19+BZ22</f>
        <v/>
      </c>
      <c r="CA25" s="1326">
        <f>CA7+CA10+CA13+CA16+CA19+CA22</f>
        <v/>
      </c>
      <c r="CB25" s="1326">
        <f>CB7+CB10+CB13+CB16+CB19+CB22</f>
        <v/>
      </c>
      <c r="CC25" s="1331" t="n"/>
    </row>
    <row r="26" ht="14.4" customFormat="1" customHeight="1" s="1332">
      <c r="A26" s="1333">
        <f>A370</f>
        <v/>
      </c>
      <c r="B26" s="1334" t="n"/>
      <c r="C26" s="1335" t="n"/>
      <c r="D26" s="1335" t="n"/>
      <c r="E26" s="1335" t="n"/>
      <c r="F26" s="1335" t="n"/>
      <c r="G26" s="1335" t="n"/>
      <c r="H26" s="1336" t="n"/>
      <c r="I26" s="1336" t="n"/>
      <c r="J26" s="1336" t="n"/>
      <c r="K26" s="1336" t="n"/>
      <c r="L26" s="1335" t="n"/>
      <c r="M26" s="1336" t="n"/>
      <c r="N26" s="1336" t="n"/>
      <c r="O26" s="1336" t="n"/>
      <c r="P26" s="1336" t="n"/>
      <c r="Q26" s="1335" t="n"/>
      <c r="R26" s="1336" t="n"/>
      <c r="S26" s="1336" t="n"/>
      <c r="T26" s="1336" t="n"/>
      <c r="U26" s="1336" t="n"/>
      <c r="V26" s="1335" t="n"/>
      <c r="W26" s="1336" t="n"/>
      <c r="X26" s="1336" t="n"/>
      <c r="Y26" s="1336" t="n"/>
      <c r="Z26" s="1336" t="n"/>
      <c r="AA26" s="1335" t="n"/>
      <c r="AB26" s="1336" t="n"/>
      <c r="AC26" s="1336" t="n"/>
      <c r="AD26" s="1336" t="n"/>
      <c r="AE26" s="1336" t="n"/>
      <c r="AF26" s="1335" t="n"/>
      <c r="AG26" s="1336" t="n"/>
      <c r="AH26" s="1336" t="n"/>
      <c r="AI26" s="1336" t="n"/>
      <c r="AJ26" s="1336" t="n"/>
      <c r="AK26" s="1335" t="n"/>
      <c r="AL26" s="1336" t="n"/>
      <c r="AM26" s="1336" t="n"/>
      <c r="AN26" s="1336" t="n"/>
      <c r="AO26" s="1336" t="n"/>
      <c r="AP26" s="1335" t="n"/>
      <c r="AQ26" s="1336" t="n"/>
      <c r="AR26" s="1336" t="n"/>
      <c r="AS26" s="1336" t="n"/>
      <c r="AT26" s="1336" t="n"/>
      <c r="AU26" s="1335" t="n"/>
      <c r="AV26" s="1336" t="n"/>
      <c r="AW26" s="1336" t="n"/>
      <c r="AX26" s="1336" t="n"/>
      <c r="AY26" s="1336" t="n"/>
      <c r="AZ26" s="1335" t="n"/>
      <c r="BA26" s="1336" t="n"/>
      <c r="BB26" s="1336" t="n"/>
      <c r="BC26" s="1336" t="n"/>
      <c r="BD26" s="1336" t="n"/>
      <c r="BE26" s="1335" t="n"/>
      <c r="BF26" s="1336" t="n"/>
      <c r="BG26" s="1336" t="n"/>
      <c r="BH26" s="1336" t="n"/>
      <c r="BI26" s="1336" t="n"/>
      <c r="BJ26" s="1335" t="n"/>
      <c r="BK26" s="1336" t="n"/>
      <c r="BL26" s="1336" t="n"/>
      <c r="BM26" s="1336" t="n"/>
      <c r="BN26" s="1336" t="n"/>
      <c r="BO26" s="1337" t="n"/>
      <c r="BP26" s="1338">
        <f>BP370</f>
        <v/>
      </c>
      <c r="BQ26" s="1338">
        <f>BQ370</f>
        <v/>
      </c>
      <c r="BR26" s="1338">
        <f>BR370</f>
        <v/>
      </c>
      <c r="BS26" s="1338">
        <f>BS370</f>
        <v/>
      </c>
      <c r="BT26" s="1339">
        <f>BT370</f>
        <v/>
      </c>
      <c r="BU26" s="1338">
        <f>BU370</f>
        <v/>
      </c>
      <c r="BV26" s="1338">
        <f>BV370</f>
        <v/>
      </c>
      <c r="BW26" s="1338">
        <f>BW370</f>
        <v/>
      </c>
      <c r="BX26" s="1338">
        <f>BX370</f>
        <v/>
      </c>
      <c r="BY26" s="1339">
        <f>BY370</f>
        <v/>
      </c>
      <c r="BZ26" s="1339">
        <f>BZ370</f>
        <v/>
      </c>
      <c r="CA26" s="1339">
        <f>CA370</f>
        <v/>
      </c>
      <c r="CB26" s="1339">
        <f>CB370</f>
        <v/>
      </c>
      <c r="CC26" s="1340" t="n"/>
    </row>
    <row r="27" ht="14.4" customFormat="1" customHeight="1" s="1302">
      <c r="A27" s="1341" t="inlineStr">
        <is>
          <t>Q/Q Total revenue growth, %</t>
        </is>
      </c>
      <c r="B27" s="1304" t="n"/>
      <c r="C27" s="1305" t="n"/>
      <c r="D27" s="1305" t="n"/>
      <c r="E27" s="1305" t="n"/>
      <c r="F27" s="1305" t="n"/>
      <c r="G27" s="1305" t="n"/>
      <c r="H27" s="1306" t="n"/>
      <c r="I27" s="1306" t="n"/>
      <c r="J27" s="1306" t="n"/>
      <c r="K27" s="1306" t="n"/>
      <c r="L27" s="1305" t="n"/>
      <c r="M27" s="1306" t="n"/>
      <c r="N27" s="1306" t="n"/>
      <c r="O27" s="1306" t="n"/>
      <c r="P27" s="1306" t="n"/>
      <c r="Q27" s="1305" t="n"/>
      <c r="R27" s="1306" t="n"/>
      <c r="S27" s="1306" t="n"/>
      <c r="T27" s="1306" t="n"/>
      <c r="U27" s="1306" t="n"/>
      <c r="V27" s="1305" t="n"/>
      <c r="W27" s="1306" t="n"/>
      <c r="X27" s="1306" t="n"/>
      <c r="Y27" s="1306" t="n"/>
      <c r="Z27" s="1306" t="n"/>
      <c r="AA27" s="1305" t="n"/>
      <c r="AB27" s="1306" t="n"/>
      <c r="AC27" s="1307">
        <f>AC25/AB25-1</f>
        <v/>
      </c>
      <c r="AD27" s="1307">
        <f>AD25/AC25-1</f>
        <v/>
      </c>
      <c r="AE27" s="1307">
        <f>AE25/AD25-1</f>
        <v/>
      </c>
      <c r="AF27" s="1305" t="n"/>
      <c r="AG27" s="1307">
        <f>AG25/AE25-1</f>
        <v/>
      </c>
      <c r="AH27" s="1307">
        <f>AH25/AG25-1</f>
        <v/>
      </c>
      <c r="AI27" s="1307">
        <f>AI25/AH25-1</f>
        <v/>
      </c>
      <c r="AJ27" s="1307">
        <f>AJ25/AI25-1</f>
        <v/>
      </c>
      <c r="AK27" s="1305" t="n"/>
      <c r="AL27" s="1307">
        <f>AL25/AJ25-1</f>
        <v/>
      </c>
      <c r="AM27" s="1307">
        <f>AM25/AL25-1</f>
        <v/>
      </c>
      <c r="AN27" s="1307">
        <f>AN25/AM25-1</f>
        <v/>
      </c>
      <c r="AO27" s="1307">
        <f>AO25/AN25-1</f>
        <v/>
      </c>
      <c r="AP27" s="1305" t="n"/>
      <c r="AQ27" s="1307">
        <f>AQ25/AO25-1</f>
        <v/>
      </c>
      <c r="AR27" s="1307">
        <f>AR25/AQ25-1</f>
        <v/>
      </c>
      <c r="AS27" s="1307">
        <f>AS25/AR25-1</f>
        <v/>
      </c>
      <c r="AT27" s="1307">
        <f>AT25/AS25-1</f>
        <v/>
      </c>
      <c r="AU27" s="1305" t="n"/>
      <c r="AV27" s="1307">
        <f>AV25/AT25-1</f>
        <v/>
      </c>
      <c r="AW27" s="1307">
        <f>AW25/AV25-1</f>
        <v/>
      </c>
      <c r="AX27" s="1307">
        <f>AX25/AW25-1</f>
        <v/>
      </c>
      <c r="AY27" s="1307">
        <f>AY25/AX25-1</f>
        <v/>
      </c>
      <c r="AZ27" s="1305" t="n"/>
      <c r="BA27" s="1307">
        <f>BA25/AY25-1</f>
        <v/>
      </c>
      <c r="BB27" s="1307">
        <f>BB25/BA25-1</f>
        <v/>
      </c>
      <c r="BC27" s="1306">
        <f>BC25/BB25-1</f>
        <v/>
      </c>
      <c r="BD27" s="1307">
        <f>BD25/BC25-1</f>
        <v/>
      </c>
      <c r="BE27" s="1305" t="n"/>
      <c r="BF27" s="1307">
        <f>BF25/BD25-1</f>
        <v/>
      </c>
      <c r="BG27" s="1307">
        <f>BG25/BF25-1</f>
        <v/>
      </c>
      <c r="BH27" s="1306">
        <f>BH25/BG25-1</f>
        <v/>
      </c>
      <c r="BI27" s="1307">
        <f>BI25/BH25-1</f>
        <v/>
      </c>
      <c r="BJ27" s="1305" t="n"/>
      <c r="BK27" s="1307">
        <f>BK25/BI25-1</f>
        <v/>
      </c>
      <c r="BL27" s="1307">
        <f>BL25/BK25-1</f>
        <v/>
      </c>
      <c r="BM27" s="1306">
        <f>BM25/BL25-1</f>
        <v/>
      </c>
      <c r="BN27" s="1307">
        <f>BN25/BM25-1</f>
        <v/>
      </c>
      <c r="BO27" s="1308" t="n"/>
      <c r="BP27" s="1306">
        <f>BP25/BN25-1</f>
        <v/>
      </c>
      <c r="BQ27" s="1306">
        <f>BQ25/BP25-1</f>
        <v/>
      </c>
      <c r="BR27" s="1306">
        <f>BR25/BQ25-1</f>
        <v/>
      </c>
      <c r="BS27" s="1306">
        <f>BS25/BR25-1</f>
        <v/>
      </c>
      <c r="BT27" s="1305" t="n"/>
      <c r="BU27" s="1306">
        <f>BU25/BS25-1</f>
        <v/>
      </c>
      <c r="BV27" s="1306">
        <f>BV25/BU25-1</f>
        <v/>
      </c>
      <c r="BW27" s="1306">
        <f>BW25/BV25-1</f>
        <v/>
      </c>
      <c r="BX27" s="1306">
        <f>BX25/BW25-1</f>
        <v/>
      </c>
      <c r="BY27" s="1305" t="n"/>
      <c r="BZ27" s="1305" t="n"/>
      <c r="CA27" s="1305" t="n"/>
      <c r="CB27" s="1305" t="n"/>
      <c r="CC27" s="1307" t="n"/>
    </row>
    <row r="28" ht="14.4" customFormat="1" customHeight="1" s="1302">
      <c r="A28" s="1342" t="inlineStr">
        <is>
          <t>Y/Y Total Revenue Growth, %</t>
        </is>
      </c>
      <c r="B28" s="1310" t="n"/>
      <c r="C28" s="1311">
        <f>C$369/333158-1</f>
        <v/>
      </c>
      <c r="D28" s="1311">
        <f>D369/C369-1</f>
        <v/>
      </c>
      <c r="E28" s="1311">
        <f>E369/D369-1</f>
        <v/>
      </c>
      <c r="F28" s="1311">
        <f>F369/E369-1</f>
        <v/>
      </c>
      <c r="G28" s="1311">
        <f>G369/F369-1</f>
        <v/>
      </c>
      <c r="H28" s="1312">
        <f>H$369/132755-1</f>
        <v/>
      </c>
      <c r="I28" s="1312">
        <f>I$369/155886-1</f>
        <v/>
      </c>
      <c r="J28" s="1312">
        <f>J$369/162577-1</f>
        <v/>
      </c>
      <c r="K28" s="1312">
        <f>K$369/145806-1</f>
        <v/>
      </c>
      <c r="L28" s="1311">
        <f>L369/G369-1</f>
        <v/>
      </c>
      <c r="M28" s="1312">
        <f>M369/H369-1</f>
        <v/>
      </c>
      <c r="N28" s="1312">
        <f>N369/I369-1</f>
        <v/>
      </c>
      <c r="O28" s="1312">
        <f>O369/J369-1</f>
        <v/>
      </c>
      <c r="P28" s="1312">
        <f>P369/K369-1</f>
        <v/>
      </c>
      <c r="Q28" s="1311">
        <f>Q369/L369-1</f>
        <v/>
      </c>
      <c r="R28" s="1312">
        <f>R369/M369-1</f>
        <v/>
      </c>
      <c r="S28" s="1312">
        <f>S369/N369-1</f>
        <v/>
      </c>
      <c r="T28" s="1312">
        <f>T369/O369-1</f>
        <v/>
      </c>
      <c r="U28" s="1312">
        <f>U369/P369-1</f>
        <v/>
      </c>
      <c r="V28" s="1311">
        <f>V369/Q369-1</f>
        <v/>
      </c>
      <c r="W28" s="1312">
        <f>W369/R369-1</f>
        <v/>
      </c>
      <c r="X28" s="1312">
        <f>X369/S369-1</f>
        <v/>
      </c>
      <c r="Y28" s="1312">
        <f>Y369/T369-1</f>
        <v/>
      </c>
      <c r="Z28" s="1312">
        <f>Z369/U369-1</f>
        <v/>
      </c>
      <c r="AA28" s="1311">
        <f>AA369/V369-1</f>
        <v/>
      </c>
      <c r="AB28" s="1312">
        <f>AB369/W369-1</f>
        <v/>
      </c>
      <c r="AC28" s="1312">
        <f>AC369/X369-1</f>
        <v/>
      </c>
      <c r="AD28" s="1312">
        <f>AD369/Y369-1</f>
        <v/>
      </c>
      <c r="AE28" s="1312">
        <f>AE369/Z369-1</f>
        <v/>
      </c>
      <c r="AF28" s="1311">
        <f>AF369/AA369-1</f>
        <v/>
      </c>
      <c r="AG28" s="1312">
        <f>AG369/AB369-1</f>
        <v/>
      </c>
      <c r="AH28" s="1312">
        <f>AH369/AC369-1</f>
        <v/>
      </c>
      <c r="AI28" s="1312">
        <f>AI369/AD369-1</f>
        <v/>
      </c>
      <c r="AJ28" s="1312">
        <f>AJ369/AE369-1</f>
        <v/>
      </c>
      <c r="AK28" s="1311">
        <f>AK369/AF369-1</f>
        <v/>
      </c>
      <c r="AL28" s="1312">
        <f>AL369/AG369-1</f>
        <v/>
      </c>
      <c r="AM28" s="1312">
        <f>AM369/AH369-1</f>
        <v/>
      </c>
      <c r="AN28" s="1312">
        <f>AN369/AI369-1</f>
        <v/>
      </c>
      <c r="AO28" s="1312">
        <f>AO369/AJ369-1</f>
        <v/>
      </c>
      <c r="AP28" s="1311">
        <f>AP369/AK369-1</f>
        <v/>
      </c>
      <c r="AQ28" s="1312">
        <f>AQ369/AL369-1</f>
        <v/>
      </c>
      <c r="AR28" s="1312">
        <f>AR369/AM369-1</f>
        <v/>
      </c>
      <c r="AS28" s="1312">
        <f>AS369/AN369-1</f>
        <v/>
      </c>
      <c r="AT28" s="1312">
        <f>AT369/AO369-1</f>
        <v/>
      </c>
      <c r="AU28" s="1311">
        <f>AU369/AP369-1</f>
        <v/>
      </c>
      <c r="AV28" s="1312">
        <f>AV369/AQ369-1</f>
        <v/>
      </c>
      <c r="AW28" s="1312">
        <f>AW369/AR369-1</f>
        <v/>
      </c>
      <c r="AX28" s="1312">
        <f>AX369/AS369-1</f>
        <v/>
      </c>
      <c r="AY28" s="1312">
        <f>AY369/AT369-1</f>
        <v/>
      </c>
      <c r="AZ28" s="1311">
        <f>AZ369/AU369-1</f>
        <v/>
      </c>
      <c r="BA28" s="1312">
        <f>BA369/AV369-1</f>
        <v/>
      </c>
      <c r="BB28" s="1312">
        <f>BB369/AW369-1</f>
        <v/>
      </c>
      <c r="BC28" s="1312">
        <f>BC369/AX369-1</f>
        <v/>
      </c>
      <c r="BD28" s="1312">
        <f>BD369/AY369-1</f>
        <v/>
      </c>
      <c r="BE28" s="1311">
        <f>BE369/AZ369-1</f>
        <v/>
      </c>
      <c r="BF28" s="1312">
        <f>BF369/BA369-1</f>
        <v/>
      </c>
      <c r="BG28" s="1312">
        <f>BG369/BB369-1</f>
        <v/>
      </c>
      <c r="BH28" s="1312">
        <f>BH369/BC369-1</f>
        <v/>
      </c>
      <c r="BI28" s="1312">
        <f>BI369/BD369-1</f>
        <v/>
      </c>
      <c r="BJ28" s="1311">
        <f>BJ369/BE369-1</f>
        <v/>
      </c>
      <c r="BK28" s="1312">
        <f>BK369/BF369-1</f>
        <v/>
      </c>
      <c r="BL28" s="1312">
        <f>BL369/BG369-1</f>
        <v/>
      </c>
      <c r="BM28" s="1312">
        <f>BM369/BH369-1</f>
        <v/>
      </c>
      <c r="BN28" s="1312">
        <f>BN369/BI369-1</f>
        <v/>
      </c>
      <c r="BO28" s="1313">
        <f>BO369/BJ369-1</f>
        <v/>
      </c>
      <c r="BP28" s="1312">
        <f>BP369/BK369-1</f>
        <v/>
      </c>
      <c r="BQ28" s="1312">
        <f>BQ369/BL369-1</f>
        <v/>
      </c>
      <c r="BR28" s="1312">
        <f>BR369/BM369-1</f>
        <v/>
      </c>
      <c r="BS28" s="1312">
        <f>BS369/BN369-1</f>
        <v/>
      </c>
      <c r="BT28" s="1311">
        <f>BT369/BO369-1</f>
        <v/>
      </c>
      <c r="BU28" s="1312">
        <f>BU369/BP369-1</f>
        <v/>
      </c>
      <c r="BV28" s="1312">
        <f>BV369/BQ369-1</f>
        <v/>
      </c>
      <c r="BW28" s="1312">
        <f>BW369/BR369-1</f>
        <v/>
      </c>
      <c r="BX28" s="1312">
        <f>BX369/BS369-1</f>
        <v/>
      </c>
      <c r="BY28" s="1311">
        <f>BY369/BT369-1</f>
        <v/>
      </c>
      <c r="BZ28" s="1311">
        <f>BZ369/BY369-1</f>
        <v/>
      </c>
      <c r="CA28" s="1311">
        <f>CA369/BZ369-1</f>
        <v/>
      </c>
      <c r="CB28" s="1311">
        <f>CB369/CA369-1</f>
        <v/>
      </c>
      <c r="CC28" s="1307" t="n"/>
    </row>
    <row r="29" ht="14.4" customFormat="1" customHeight="1" s="1302">
      <c r="A29" s="1342" t="n"/>
      <c r="B29" s="1310" t="n"/>
      <c r="C29" s="1311" t="n"/>
      <c r="D29" s="1311" t="n"/>
      <c r="E29" s="1311" t="n"/>
      <c r="F29" s="1311" t="n"/>
      <c r="G29" s="1311" t="n"/>
      <c r="H29" s="1312" t="n"/>
      <c r="I29" s="1312" t="n"/>
      <c r="J29" s="1312" t="n"/>
      <c r="K29" s="1312" t="n"/>
      <c r="L29" s="1311" t="n"/>
      <c r="M29" s="1312" t="n"/>
      <c r="N29" s="1312" t="n"/>
      <c r="O29" s="1312" t="n"/>
      <c r="P29" s="1312" t="n"/>
      <c r="Q29" s="1311" t="n"/>
      <c r="R29" s="1312" t="n"/>
      <c r="S29" s="1312" t="n"/>
      <c r="T29" s="1312" t="n"/>
      <c r="U29" s="1312" t="n"/>
      <c r="V29" s="1311" t="n"/>
      <c r="W29" s="1312" t="n"/>
      <c r="X29" s="1312" t="n"/>
      <c r="Y29" s="1312" t="n"/>
      <c r="Z29" s="1312" t="n"/>
      <c r="AA29" s="1311" t="n"/>
      <c r="AB29" s="1312" t="n"/>
      <c r="AC29" s="1312" t="n"/>
      <c r="AD29" s="1312" t="n"/>
      <c r="AE29" s="1312" t="n"/>
      <c r="AF29" s="1311" t="n"/>
      <c r="AG29" s="1312" t="n"/>
      <c r="AH29" s="1312" t="n"/>
      <c r="AI29" s="1312" t="n"/>
      <c r="AJ29" s="1312" t="n"/>
      <c r="AK29" s="1311" t="n"/>
      <c r="AL29" s="1312" t="n"/>
      <c r="AM29" s="1312" t="n"/>
      <c r="AN29" s="1312" t="n"/>
      <c r="AO29" s="1312" t="n"/>
      <c r="AP29" s="1311" t="n"/>
      <c r="AQ29" s="1312" t="n"/>
      <c r="AR29" s="1312" t="n"/>
      <c r="AS29" s="1312" t="n"/>
      <c r="AT29" s="1312" t="n"/>
      <c r="AU29" s="1311" t="n"/>
      <c r="AV29" s="1312" t="n"/>
      <c r="AW29" s="1312" t="n"/>
      <c r="AX29" s="1312" t="n"/>
      <c r="AY29" s="1312" t="n"/>
      <c r="AZ29" s="1311" t="n"/>
      <c r="BA29" s="1312" t="n"/>
      <c r="BB29" s="1312" t="n"/>
      <c r="BC29" s="1312" t="n"/>
      <c r="BD29" s="1312" t="n"/>
      <c r="BE29" s="1311" t="n"/>
      <c r="BF29" s="1312" t="n"/>
      <c r="BG29" s="1312" t="n"/>
      <c r="BH29" s="1312" t="n"/>
      <c r="BI29" s="1312" t="n"/>
      <c r="BJ29" s="1311" t="n"/>
      <c r="BK29" s="1312" t="n"/>
      <c r="BL29" s="1312" t="n"/>
      <c r="BM29" s="1312" t="n"/>
      <c r="BN29" s="1312" t="n"/>
      <c r="BO29" s="1313" t="n"/>
      <c r="BP29" s="1312" t="n"/>
      <c r="BQ29" s="1312" t="n"/>
      <c r="BR29" s="1312" t="n"/>
      <c r="BS29" s="1312" t="n"/>
      <c r="BT29" s="1311" t="n"/>
      <c r="BU29" s="1312" t="n"/>
      <c r="BV29" s="1312" t="n"/>
      <c r="BW29" s="1312" t="n"/>
      <c r="BX29" s="1312" t="n"/>
      <c r="BY29" s="1311" t="n"/>
      <c r="BZ29" s="1311" t="n"/>
      <c r="CA29" s="1311" t="n"/>
      <c r="CB29" s="1311" t="n"/>
      <c r="CC29" s="1307" t="n"/>
    </row>
    <row r="30" ht="14.4" customFormat="1" customHeight="1" s="1323">
      <c r="A30" s="1343" t="inlineStr">
        <is>
          <t>Consolidated revenue in USD (Calculated), mm USD</t>
        </is>
      </c>
      <c r="B30" s="1344" t="n"/>
      <c r="C30" s="1345">
        <f>C322/C257</f>
        <v/>
      </c>
      <c r="D30" s="1345">
        <f>D322/D257</f>
        <v/>
      </c>
      <c r="E30" s="1345">
        <f>E322/E257</f>
        <v/>
      </c>
      <c r="F30" s="1345">
        <f>F322/F257</f>
        <v/>
      </c>
      <c r="G30" s="1345">
        <f>G322/G257</f>
        <v/>
      </c>
      <c r="H30" s="1346">
        <f>H322/H257</f>
        <v/>
      </c>
      <c r="I30" s="1346">
        <f>I322/I257</f>
        <v/>
      </c>
      <c r="J30" s="1346">
        <f>J322/J257</f>
        <v/>
      </c>
      <c r="K30" s="1346">
        <f>K322/K257</f>
        <v/>
      </c>
      <c r="L30" s="1345">
        <f>SUM(H30,I30,J30,K30)</f>
        <v/>
      </c>
      <c r="M30" s="1346">
        <f>M322/M257</f>
        <v/>
      </c>
      <c r="N30" s="1346">
        <f>N322/N257</f>
        <v/>
      </c>
      <c r="O30" s="1346">
        <f>O322/O257</f>
        <v/>
      </c>
      <c r="P30" s="1346">
        <f>P322/P257</f>
        <v/>
      </c>
      <c r="Q30" s="1345">
        <f>SUM(M30,N30,O30,P30)</f>
        <v/>
      </c>
      <c r="R30" s="1346">
        <f>R322/R257</f>
        <v/>
      </c>
      <c r="S30" s="1346">
        <f>S322/S257</f>
        <v/>
      </c>
      <c r="T30" s="1346">
        <f>T322/T257</f>
        <v/>
      </c>
      <c r="U30" s="1346">
        <f>U322/U257</f>
        <v/>
      </c>
      <c r="V30" s="1345">
        <f>SUM(R30,S30,T30,U30)</f>
        <v/>
      </c>
      <c r="W30" s="1346">
        <f>W322/W257</f>
        <v/>
      </c>
      <c r="X30" s="1346">
        <f>X322/X257</f>
        <v/>
      </c>
      <c r="Y30" s="1346">
        <f>Y322/Y257</f>
        <v/>
      </c>
      <c r="Z30" s="1346">
        <f>Z322/Z257</f>
        <v/>
      </c>
      <c r="AA30" s="1345">
        <f>SUM(W30,X30,Y30,Z30)</f>
        <v/>
      </c>
      <c r="AB30" s="1346">
        <f>AB322/AB257</f>
        <v/>
      </c>
      <c r="AC30" s="1346">
        <f>AC322/AC257</f>
        <v/>
      </c>
      <c r="AD30" s="1346">
        <f>AD322/AD257</f>
        <v/>
      </c>
      <c r="AE30" s="1346">
        <f>AE322/AE257</f>
        <v/>
      </c>
      <c r="AF30" s="1345">
        <f>SUM(AB30,AC30,AD30,AE30)</f>
        <v/>
      </c>
      <c r="AG30" s="1346">
        <f>AG322/AG257</f>
        <v/>
      </c>
      <c r="AH30" s="1346">
        <f>AH322/AH257</f>
        <v/>
      </c>
      <c r="AI30" s="1346">
        <f>AI322/AI257</f>
        <v/>
      </c>
      <c r="AJ30" s="1346">
        <f>AJ322/AJ257</f>
        <v/>
      </c>
      <c r="AK30" s="1345">
        <f>SUM(AG30,AH30,AI30,AJ30)</f>
        <v/>
      </c>
      <c r="AL30" s="1346">
        <f>AL322/AL257</f>
        <v/>
      </c>
      <c r="AM30" s="1346">
        <f>AM322/AM257</f>
        <v/>
      </c>
      <c r="AN30" s="1346">
        <f>AN322/AN257</f>
        <v/>
      </c>
      <c r="AO30" s="1346">
        <f>AO322/AO257</f>
        <v/>
      </c>
      <c r="AP30" s="1345">
        <f>SUM(AL30,AM30,AN30,AO30)</f>
        <v/>
      </c>
      <c r="AQ30" s="1346">
        <f>AQ322/AQ257</f>
        <v/>
      </c>
      <c r="AR30" s="1346">
        <f>AR322/AR257</f>
        <v/>
      </c>
      <c r="AS30" s="1346">
        <f>AS322/AS257</f>
        <v/>
      </c>
      <c r="AT30" s="1346">
        <f>AT322/AT257</f>
        <v/>
      </c>
      <c r="AU30" s="1345">
        <f>SUM(AQ30,AR30,AS30,AT30)</f>
        <v/>
      </c>
      <c r="AV30" s="1346">
        <f>AV322/AV257</f>
        <v/>
      </c>
      <c r="AW30" s="1346">
        <f>AW322/AW257</f>
        <v/>
      </c>
      <c r="AX30" s="1346">
        <f>AX322/AX257</f>
        <v/>
      </c>
      <c r="AY30" s="1346">
        <f>AY322/AY257</f>
        <v/>
      </c>
      <c r="AZ30" s="1345">
        <f>SUM(AV30,AW30,AX30,AY30)</f>
        <v/>
      </c>
      <c r="BA30" s="1346">
        <f>BA322/BA257</f>
        <v/>
      </c>
      <c r="BB30" s="1346">
        <f>BB322/BB257</f>
        <v/>
      </c>
      <c r="BC30" s="1346">
        <f>BC322/BC257</f>
        <v/>
      </c>
      <c r="BD30" s="1346">
        <f>BD322/BD257</f>
        <v/>
      </c>
      <c r="BE30" s="1345">
        <f>SUM(BA30,BB30,BC30,BD30)</f>
        <v/>
      </c>
      <c r="BF30" s="1346">
        <f>BF322/BF257</f>
        <v/>
      </c>
      <c r="BG30" s="1346">
        <f>BG322/BG257</f>
        <v/>
      </c>
      <c r="BH30" s="1346">
        <f>BH322/BH257</f>
        <v/>
      </c>
      <c r="BI30" s="1346">
        <f>BI322/BI257</f>
        <v/>
      </c>
      <c r="BJ30" s="1345">
        <f>SUM(BF30,BG30,BH30,BI30)</f>
        <v/>
      </c>
      <c r="BK30" s="1346">
        <f>BK322/BK257</f>
        <v/>
      </c>
      <c r="BL30" s="1346">
        <f>BL322/BL257</f>
        <v/>
      </c>
      <c r="BM30" s="1346">
        <f>BM322/BM257</f>
        <v/>
      </c>
      <c r="BN30" s="1346">
        <f>BN322/BN257</f>
        <v/>
      </c>
      <c r="BO30" s="1347">
        <f>SUM(BK30,BL30,BM30,BN30)</f>
        <v/>
      </c>
      <c r="BP30" s="1346" t="n"/>
      <c r="BQ30" s="1346" t="n"/>
      <c r="BR30" s="1346" t="n"/>
      <c r="BS30" s="1346" t="n"/>
      <c r="BT30" s="1345" t="n"/>
      <c r="BU30" s="1346" t="n"/>
      <c r="BV30" s="1346" t="n"/>
      <c r="BW30" s="1346" t="n"/>
      <c r="BX30" s="1346" t="n"/>
      <c r="BY30" s="1345" t="n"/>
      <c r="BZ30" s="1345" t="n"/>
      <c r="CA30" s="1345" t="n"/>
      <c r="CB30" s="1345" t="n"/>
      <c r="CC30" s="1331" t="n"/>
    </row>
    <row r="31" ht="14.4" customFormat="1" customHeight="1" s="1323">
      <c r="A31" s="1343" t="inlineStr">
        <is>
          <t>Consolidated revenue in USD (Reported), mm USD</t>
        </is>
      </c>
      <c r="B31" s="1344" t="n"/>
      <c r="C31" s="1348" t="n">
        <v>8998</v>
      </c>
      <c r="D31" s="1348" t="n">
        <v>13322</v>
      </c>
      <c r="E31" s="1348" t="n">
        <v>14543</v>
      </c>
      <c r="F31" s="1348" t="n">
        <v>17116</v>
      </c>
      <c r="G31" s="1348" t="n">
        <v>20111</v>
      </c>
      <c r="H31" s="1349" t="n">
        <v>4900</v>
      </c>
      <c r="I31" s="1349" t="n">
        <v>6076</v>
      </c>
      <c r="J31" s="1349" t="n">
        <v>6968</v>
      </c>
      <c r="K31" s="1349" t="n">
        <v>7228</v>
      </c>
      <c r="L31" s="1348" t="n">
        <v>25173</v>
      </c>
      <c r="M31" s="1349" t="n">
        <v>7041</v>
      </c>
      <c r="N31" s="1349" t="n">
        <v>6661</v>
      </c>
      <c r="O31" s="1349" t="n">
        <v>6665</v>
      </c>
      <c r="P31" s="1349" t="n">
        <v>6238</v>
      </c>
      <c r="Q31" s="1348" t="n">
        <v>26606</v>
      </c>
      <c r="R31" s="1349" t="n">
        <v>6141</v>
      </c>
      <c r="S31" s="1349" t="n">
        <v>6843</v>
      </c>
      <c r="T31" s="1349" t="n">
        <v>8197</v>
      </c>
      <c r="U31" s="1349" t="n">
        <v>8253</v>
      </c>
      <c r="V31" s="1345">
        <f>SUM(R31,S31,T31,U31)</f>
        <v/>
      </c>
      <c r="W31" s="1349" t="n">
        <v>7507</v>
      </c>
      <c r="X31" s="1349" t="n">
        <v>7061</v>
      </c>
      <c r="Y31" s="1349" t="n">
        <v>8324</v>
      </c>
      <c r="Z31" s="1349" t="n">
        <v>9213</v>
      </c>
      <c r="AA31" s="1345">
        <f>SUM(W31,X31,Y31,Z31)</f>
        <v/>
      </c>
      <c r="AB31" s="1349" t="n">
        <v>8459</v>
      </c>
      <c r="AC31" s="1349" t="n">
        <v>7853</v>
      </c>
      <c r="AD31" s="1349" t="n">
        <v>8486</v>
      </c>
      <c r="AE31" s="1349" t="n">
        <v>9398</v>
      </c>
      <c r="AF31" s="1345">
        <f>SUM(AB31,AC31,AD31,AE31)</f>
        <v/>
      </c>
      <c r="AG31" s="1349" t="n">
        <v>7096</v>
      </c>
      <c r="AH31" s="1349" t="n">
        <v>7746</v>
      </c>
      <c r="AI31" s="1349" t="n">
        <v>9396</v>
      </c>
      <c r="AJ31" s="1349" t="n">
        <v>10394</v>
      </c>
      <c r="AK31" s="1345">
        <f>SUM(AG31,AH31,AI31,AJ31)</f>
        <v/>
      </c>
      <c r="AL31" s="1349" t="n">
        <v>10306</v>
      </c>
      <c r="AM31" s="1349" t="n">
        <v>10385</v>
      </c>
      <c r="AN31" s="1349" t="n">
        <v>12138</v>
      </c>
      <c r="AO31" s="1349" t="n">
        <v>12676</v>
      </c>
      <c r="AP31" s="1345">
        <f>SUM(AL31,AM31,AN31,AO31)</f>
        <v/>
      </c>
      <c r="AQ31" s="1349" t="n">
        <v>12919</v>
      </c>
      <c r="AR31" s="1349" t="n">
        <v>13289</v>
      </c>
      <c r="AS31" s="1349" t="n">
        <v>14878</v>
      </c>
      <c r="AT31" s="1349" t="n">
        <v>15736</v>
      </c>
      <c r="AU31" s="1345">
        <f>SUM(AQ31,AR31,AS31,AT31)</f>
        <v/>
      </c>
      <c r="AV31" s="1349" t="n">
        <v>17567</v>
      </c>
      <c r="AW31" s="1349" t="n">
        <v>18158</v>
      </c>
      <c r="AX31" s="1349" t="n">
        <v>20225</v>
      </c>
      <c r="AY31" s="1349" t="n">
        <v>19931</v>
      </c>
      <c r="AZ31" s="1345">
        <f>SUM(AV31,AW31,AX31,AY31)</f>
        <v/>
      </c>
      <c r="BA31" s="1349" t="n">
        <v>16719</v>
      </c>
      <c r="BB31" s="1349" t="n">
        <v>15677</v>
      </c>
      <c r="BC31" s="1349" t="n">
        <v>17278</v>
      </c>
      <c r="BD31" s="1349" t="n">
        <v>19624</v>
      </c>
      <c r="BE31" s="1345">
        <f>SUM(BA31,BB31,BC31,BD31)</f>
        <v/>
      </c>
      <c r="BF31" s="1349" t="n">
        <v>18873</v>
      </c>
      <c r="BG31" s="1349" t="n">
        <v>20822</v>
      </c>
      <c r="BH31" s="1349" t="n">
        <v>23504</v>
      </c>
      <c r="BI31" s="1349" t="n">
        <v>26884</v>
      </c>
      <c r="BJ31" s="1345">
        <f>SUM(BF31,BG31,BH31,BI31)</f>
        <v/>
      </c>
      <c r="BK31" s="1349" t="n">
        <v>25526</v>
      </c>
      <c r="BL31" s="1349" t="n">
        <v>30070</v>
      </c>
      <c r="BM31" s="1349" t="n">
        <v>33097</v>
      </c>
      <c r="BN31" s="1349" t="n">
        <v>33731</v>
      </c>
      <c r="BO31" s="1347">
        <f>SUM(BK31,BL31,BM31,BN31)</f>
        <v/>
      </c>
      <c r="BP31" s="1346" t="n"/>
      <c r="BQ31" s="1346" t="n"/>
      <c r="BR31" s="1346" t="n"/>
      <c r="BS31" s="1346" t="n"/>
      <c r="BT31" s="1345" t="n"/>
      <c r="BU31" s="1346" t="n"/>
      <c r="BV31" s="1346" t="n"/>
      <c r="BW31" s="1346" t="n"/>
      <c r="BX31" s="1346" t="n"/>
      <c r="BY31" s="1345" t="n"/>
      <c r="BZ31" s="1345" t="n"/>
      <c r="CA31" s="1345" t="n"/>
      <c r="CB31" s="1345" t="n"/>
      <c r="CC31" s="1331" t="n"/>
    </row>
    <row r="32" ht="14.4" customFormat="1" customHeight="1" s="1350">
      <c r="A32" s="1351" t="n"/>
      <c r="B32" s="1352" t="n"/>
      <c r="C32" s="1353" t="n"/>
      <c r="D32" s="1353" t="n"/>
      <c r="E32" s="1353" t="n"/>
      <c r="F32" s="1353" t="n"/>
      <c r="G32" s="1353" t="n"/>
      <c r="H32" s="1354" t="n"/>
      <c r="I32" s="1354" t="n"/>
      <c r="J32" s="1354" t="n"/>
      <c r="K32" s="1354" t="n"/>
      <c r="L32" s="1353" t="n"/>
      <c r="M32" s="1354" t="n"/>
      <c r="N32" s="1354" t="n"/>
      <c r="O32" s="1354" t="n"/>
      <c r="P32" s="1354" t="n"/>
      <c r="Q32" s="1353" t="n"/>
      <c r="R32" s="1354" t="n"/>
      <c r="S32" s="1354" t="n"/>
      <c r="T32" s="1354" t="n"/>
      <c r="U32" s="1354" t="n"/>
      <c r="V32" s="1353" t="n"/>
      <c r="W32" s="1354" t="n"/>
      <c r="X32" s="1354" t="n"/>
      <c r="Y32" s="1354" t="n"/>
      <c r="Z32" s="1354" t="n"/>
      <c r="AA32" s="1353" t="n"/>
      <c r="AB32" s="1354" t="n"/>
      <c r="AC32" s="1354" t="n"/>
      <c r="AD32" s="1354" t="n"/>
      <c r="AE32" s="1354" t="n"/>
      <c r="AF32" s="1353" t="n"/>
      <c r="AG32" s="1354" t="n"/>
      <c r="AH32" s="1354" t="n"/>
      <c r="AI32" s="1354" t="n"/>
      <c r="AJ32" s="1354" t="n"/>
      <c r="AK32" s="1353" t="n"/>
      <c r="AL32" s="1354" t="n"/>
      <c r="AM32" s="1354" t="n"/>
      <c r="AN32" s="1354" t="n"/>
      <c r="AO32" s="1354" t="n"/>
      <c r="AP32" s="1353" t="n"/>
      <c r="AQ32" s="1354" t="n"/>
      <c r="AR32" s="1354" t="n"/>
      <c r="AS32" s="1354" t="n"/>
      <c r="AT32" s="1354" t="n"/>
      <c r="AU32" s="1353" t="n"/>
      <c r="AV32" s="1354" t="n"/>
      <c r="AW32" s="1354" t="n"/>
      <c r="AX32" s="1354" t="n"/>
      <c r="AY32" s="1354" t="n"/>
      <c r="AZ32" s="1353" t="n"/>
      <c r="BA32" s="1354" t="n"/>
      <c r="BB32" s="1354" t="n"/>
      <c r="BC32" s="1354" t="n"/>
      <c r="BD32" s="1354" t="n"/>
      <c r="BE32" s="1353" t="n"/>
      <c r="BF32" s="1354" t="n"/>
      <c r="BG32" s="1354" t="n"/>
      <c r="BH32" s="1354" t="n"/>
      <c r="BI32" s="1354" t="n"/>
      <c r="BJ32" s="1353" t="n"/>
      <c r="BK32" s="1354" t="n"/>
      <c r="BL32" s="1354" t="n"/>
      <c r="BM32" s="1354" t="n"/>
      <c r="BN32" s="1354" t="n"/>
      <c r="BO32" s="1355" t="n"/>
      <c r="BP32" s="1354" t="n"/>
      <c r="BQ32" s="1354" t="n"/>
      <c r="BR32" s="1354" t="n"/>
      <c r="BS32" s="1354" t="n"/>
      <c r="BT32" s="1353" t="n"/>
      <c r="BU32" s="1354" t="n"/>
      <c r="BV32" s="1354" t="n"/>
      <c r="BW32" s="1354" t="n"/>
      <c r="BX32" s="1354" t="n"/>
      <c r="BY32" s="1353" t="n"/>
      <c r="BZ32" s="1353" t="n"/>
      <c r="CA32" s="1353" t="n"/>
      <c r="CB32" s="1353" t="n"/>
      <c r="CC32" s="1356" t="n"/>
    </row>
    <row r="33" ht="14.4" customFormat="1" customHeight="1" s="1275">
      <c r="A33" s="1357" t="inlineStr">
        <is>
          <t>Operating Expense Forecasting</t>
        </is>
      </c>
      <c r="B33" s="1358" t="n"/>
      <c r="C33" s="1358" t="n"/>
      <c r="D33" s="1358" t="n"/>
      <c r="E33" s="1358" t="n"/>
      <c r="F33" s="1358" t="n"/>
      <c r="G33" s="1358" t="n"/>
      <c r="H33" s="1358" t="n"/>
      <c r="I33" s="1358" t="n"/>
      <c r="J33" s="1358" t="n"/>
      <c r="K33" s="1358" t="n"/>
      <c r="L33" s="1358" t="n"/>
      <c r="M33" s="1358" t="n"/>
      <c r="N33" s="1358" t="n"/>
      <c r="O33" s="1358" t="n"/>
      <c r="P33" s="1358" t="n"/>
      <c r="Q33" s="1358" t="n"/>
      <c r="R33" s="1358" t="n"/>
      <c r="S33" s="1358" t="n"/>
      <c r="T33" s="1358" t="n"/>
      <c r="U33" s="1358" t="n"/>
      <c r="V33" s="1358" t="n"/>
      <c r="W33" s="1358" t="n"/>
      <c r="X33" s="1358" t="n"/>
      <c r="Y33" s="1358" t="n"/>
      <c r="Z33" s="1358" t="n"/>
      <c r="AA33" s="1358" t="n"/>
      <c r="AB33" s="1358" t="n"/>
      <c r="AC33" s="1358" t="n"/>
      <c r="AD33" s="1358" t="n"/>
      <c r="AE33" s="1358" t="n"/>
      <c r="AF33" s="1358" t="n"/>
      <c r="AG33" s="1358" t="n"/>
      <c r="AH33" s="1358" t="n"/>
      <c r="AI33" s="1358" t="n"/>
      <c r="AJ33" s="1358" t="n"/>
      <c r="AK33" s="1358" t="n"/>
      <c r="AL33" s="1358" t="n"/>
      <c r="AM33" s="1358" t="n"/>
      <c r="AN33" s="1358" t="n"/>
      <c r="AO33" s="1358" t="n"/>
      <c r="AP33" s="1358" t="n"/>
      <c r="AQ33" s="1358" t="n"/>
      <c r="AR33" s="1358" t="n"/>
      <c r="AS33" s="1358" t="n"/>
      <c r="AT33" s="1358" t="n"/>
      <c r="AU33" s="1358" t="n"/>
      <c r="AV33" s="1358" t="n"/>
      <c r="AW33" s="1358" t="n"/>
      <c r="AX33" s="1358" t="n"/>
      <c r="AY33" s="1358" t="n"/>
      <c r="AZ33" s="1358" t="n"/>
      <c r="BA33" s="1358" t="n"/>
      <c r="BB33" s="1358" t="n"/>
      <c r="BC33" s="1358" t="n"/>
      <c r="BD33" s="1358" t="n"/>
      <c r="BE33" s="1358" t="n"/>
      <c r="BF33" s="1358" t="n"/>
      <c r="BG33" s="1358" t="n"/>
      <c r="BH33" s="1358" t="n"/>
      <c r="BI33" s="1358" t="n"/>
      <c r="BJ33" s="1358" t="n"/>
      <c r="BK33" s="1358" t="n"/>
      <c r="BL33" s="1358" t="n"/>
      <c r="BM33" s="1358" t="n"/>
      <c r="BN33" s="1358" t="n"/>
      <c r="BO33" s="1359" t="n"/>
      <c r="BP33" s="1358" t="n"/>
      <c r="BQ33" s="1358" t="n"/>
      <c r="BR33" s="1358" t="n"/>
      <c r="BS33" s="1358" t="n"/>
      <c r="BT33" s="1358" t="n"/>
      <c r="BU33" s="1358" t="n"/>
      <c r="BV33" s="1358" t="n"/>
      <c r="BW33" s="1358" t="n"/>
      <c r="BX33" s="1358" t="n"/>
      <c r="BY33" s="1358" t="n"/>
      <c r="BZ33" s="1358" t="n"/>
      <c r="CA33" s="1358" t="n"/>
      <c r="CB33" s="1358" t="n"/>
      <c r="CC33" s="1280" t="n"/>
    </row>
    <row r="34" hidden="1" outlineLevel="1" ht="14.4" customFormat="1" customHeight="1" s="1323">
      <c r="A34" s="1360" t="inlineStr">
        <is>
          <t>Revenue, mm</t>
        </is>
      </c>
      <c r="B34" s="1361" t="n"/>
      <c r="C34" s="1345">
        <f>C369</f>
        <v/>
      </c>
      <c r="D34" s="1345">
        <f>D369</f>
        <v/>
      </c>
      <c r="E34" s="1345">
        <f>E369</f>
        <v/>
      </c>
      <c r="F34" s="1345">
        <f>F369</f>
        <v/>
      </c>
      <c r="G34" s="1345">
        <f>G369</f>
        <v/>
      </c>
      <c r="H34" s="1346">
        <f>H369</f>
        <v/>
      </c>
      <c r="I34" s="1346">
        <f>I369</f>
        <v/>
      </c>
      <c r="J34" s="1346">
        <f>J369</f>
        <v/>
      </c>
      <c r="K34" s="1346">
        <f>K369</f>
        <v/>
      </c>
      <c r="L34" s="1345">
        <f>L369</f>
        <v/>
      </c>
      <c r="M34" s="1346">
        <f>M369</f>
        <v/>
      </c>
      <c r="N34" s="1346">
        <f>N369</f>
        <v/>
      </c>
      <c r="O34" s="1346">
        <f>O369</f>
        <v/>
      </c>
      <c r="P34" s="1346">
        <f>P369</f>
        <v/>
      </c>
      <c r="Q34" s="1345">
        <f>Q369</f>
        <v/>
      </c>
      <c r="R34" s="1346">
        <f>R369</f>
        <v/>
      </c>
      <c r="S34" s="1346">
        <f>S369</f>
        <v/>
      </c>
      <c r="T34" s="1346">
        <f>T369</f>
        <v/>
      </c>
      <c r="U34" s="1346">
        <f>U369</f>
        <v/>
      </c>
      <c r="V34" s="1345">
        <f>V369</f>
        <v/>
      </c>
      <c r="W34" s="1346">
        <f>W369</f>
        <v/>
      </c>
      <c r="X34" s="1346">
        <f>X369</f>
        <v/>
      </c>
      <c r="Y34" s="1346">
        <f>Y369</f>
        <v/>
      </c>
      <c r="Z34" s="1346">
        <f>Z369</f>
        <v/>
      </c>
      <c r="AA34" s="1345">
        <f>AA369</f>
        <v/>
      </c>
      <c r="AB34" s="1346">
        <f>AB369</f>
        <v/>
      </c>
      <c r="AC34" s="1346">
        <f>AC369</f>
        <v/>
      </c>
      <c r="AD34" s="1346">
        <f>AD369</f>
        <v/>
      </c>
      <c r="AE34" s="1346">
        <f>AE369</f>
        <v/>
      </c>
      <c r="AF34" s="1345">
        <f>AF369</f>
        <v/>
      </c>
      <c r="AG34" s="1346">
        <f>AG369</f>
        <v/>
      </c>
      <c r="AH34" s="1346">
        <f>AH369</f>
        <v/>
      </c>
      <c r="AI34" s="1346">
        <f>AI369</f>
        <v/>
      </c>
      <c r="AJ34" s="1346">
        <f>AJ369</f>
        <v/>
      </c>
      <c r="AK34" s="1345">
        <f>AK369</f>
        <v/>
      </c>
      <c r="AL34" s="1346">
        <f>AL369</f>
        <v/>
      </c>
      <c r="AM34" s="1346">
        <f>AM369</f>
        <v/>
      </c>
      <c r="AN34" s="1346">
        <f>AN369</f>
        <v/>
      </c>
      <c r="AO34" s="1346">
        <f>AO369</f>
        <v/>
      </c>
      <c r="AP34" s="1345">
        <f>AP369</f>
        <v/>
      </c>
      <c r="AQ34" s="1346">
        <f>AQ369</f>
        <v/>
      </c>
      <c r="AR34" s="1346">
        <f>AR369</f>
        <v/>
      </c>
      <c r="AS34" s="1346">
        <f>AS369</f>
        <v/>
      </c>
      <c r="AT34" s="1346">
        <f>AT369</f>
        <v/>
      </c>
      <c r="AU34" s="1345">
        <f>AU369</f>
        <v/>
      </c>
      <c r="AV34" s="1346">
        <f>AV369</f>
        <v/>
      </c>
      <c r="AW34" s="1346">
        <f>AW369</f>
        <v/>
      </c>
      <c r="AX34" s="1346">
        <f>AX369</f>
        <v/>
      </c>
      <c r="AY34" s="1346">
        <f>AY369</f>
        <v/>
      </c>
      <c r="AZ34" s="1345">
        <f>AZ369</f>
        <v/>
      </c>
      <c r="BA34" s="1346">
        <f>BA369</f>
        <v/>
      </c>
      <c r="BB34" s="1346">
        <f>BB369</f>
        <v/>
      </c>
      <c r="BC34" s="1346">
        <f>BC369</f>
        <v/>
      </c>
      <c r="BD34" s="1346">
        <f>BD369</f>
        <v/>
      </c>
      <c r="BE34" s="1345">
        <f>BE369</f>
        <v/>
      </c>
      <c r="BF34" s="1346">
        <f>BF369</f>
        <v/>
      </c>
      <c r="BG34" s="1346">
        <f>BG369</f>
        <v/>
      </c>
      <c r="BH34" s="1346">
        <f>BH369</f>
        <v/>
      </c>
      <c r="BI34" s="1346">
        <f>BI369</f>
        <v/>
      </c>
      <c r="BJ34" s="1345">
        <f>BJ369</f>
        <v/>
      </c>
      <c r="BK34" s="1346">
        <f>BK369</f>
        <v/>
      </c>
      <c r="BL34" s="1346">
        <f>BL369</f>
        <v/>
      </c>
      <c r="BM34" s="1346">
        <f>BM369</f>
        <v/>
      </c>
      <c r="BN34" s="1346">
        <f>BN369</f>
        <v/>
      </c>
      <c r="BO34" s="1347">
        <f>BO369</f>
        <v/>
      </c>
      <c r="BP34" s="1346">
        <f>BP25</f>
        <v/>
      </c>
      <c r="BQ34" s="1346">
        <f>BQ25</f>
        <v/>
      </c>
      <c r="BR34" s="1346">
        <f>BR25</f>
        <v/>
      </c>
      <c r="BS34" s="1346">
        <f>BS25</f>
        <v/>
      </c>
      <c r="BT34" s="1345">
        <f>BT25</f>
        <v/>
      </c>
      <c r="BU34" s="1346">
        <f>BU25</f>
        <v/>
      </c>
      <c r="BV34" s="1346">
        <f>BV25</f>
        <v/>
      </c>
      <c r="BW34" s="1346">
        <f>BW25</f>
        <v/>
      </c>
      <c r="BX34" s="1346">
        <f>BX25</f>
        <v/>
      </c>
      <c r="BY34" s="1345">
        <f>BY25</f>
        <v/>
      </c>
      <c r="BZ34" s="1345">
        <f>BZ25</f>
        <v/>
      </c>
      <c r="CA34" s="1345">
        <f>CA25</f>
        <v/>
      </c>
      <c r="CB34" s="1345">
        <f>CB25</f>
        <v/>
      </c>
      <c r="CC34" s="1331" t="n"/>
    </row>
    <row r="35" hidden="1" outlineLevel="1" ht="14.4" customFormat="1" customHeight="1" s="1275">
      <c r="A35" s="1362" t="inlineStr">
        <is>
          <t>COGS, mm</t>
        </is>
      </c>
      <c r="B35" s="1363" t="n"/>
      <c r="C35" s="1364">
        <f>C34-C36</f>
        <v/>
      </c>
      <c r="D35" s="1364">
        <f>D34-D36</f>
        <v/>
      </c>
      <c r="E35" s="1364">
        <f>E34-E36</f>
        <v/>
      </c>
      <c r="F35" s="1364">
        <f>F34-F36</f>
        <v/>
      </c>
      <c r="G35" s="1364">
        <f>G34-G36</f>
        <v/>
      </c>
      <c r="H35" s="1365">
        <f>H34-H36</f>
        <v/>
      </c>
      <c r="I35" s="1365">
        <f>I34-I36</f>
        <v/>
      </c>
      <c r="J35" s="1365">
        <f>J34-J36</f>
        <v/>
      </c>
      <c r="K35" s="1365">
        <f>K34-K36</f>
        <v/>
      </c>
      <c r="L35" s="1364">
        <f>L34-L36</f>
        <v/>
      </c>
      <c r="M35" s="1365">
        <f>M34-M36</f>
        <v/>
      </c>
      <c r="N35" s="1365">
        <f>N34-N36</f>
        <v/>
      </c>
      <c r="O35" s="1365">
        <f>O34-O36</f>
        <v/>
      </c>
      <c r="P35" s="1365">
        <f>P34-P36</f>
        <v/>
      </c>
      <c r="Q35" s="1364">
        <f>Q34-Q36</f>
        <v/>
      </c>
      <c r="R35" s="1365">
        <f>R34-R36</f>
        <v/>
      </c>
      <c r="S35" s="1365">
        <f>S34-S36</f>
        <v/>
      </c>
      <c r="T35" s="1365">
        <f>T34-T36</f>
        <v/>
      </c>
      <c r="U35" s="1365">
        <f>U34-U36</f>
        <v/>
      </c>
      <c r="V35" s="1364">
        <f>V34-V36</f>
        <v/>
      </c>
      <c r="W35" s="1365">
        <f>W34-W36</f>
        <v/>
      </c>
      <c r="X35" s="1365">
        <f>X34-X36</f>
        <v/>
      </c>
      <c r="Y35" s="1365">
        <f>Y34-Y36</f>
        <v/>
      </c>
      <c r="Z35" s="1365">
        <f>Z34-Z36</f>
        <v/>
      </c>
      <c r="AA35" s="1364">
        <f>AA34-AA36</f>
        <v/>
      </c>
      <c r="AB35" s="1365">
        <f>AB34-AB36</f>
        <v/>
      </c>
      <c r="AC35" s="1365">
        <f>AC34-AC36</f>
        <v/>
      </c>
      <c r="AD35" s="1365">
        <f>AD34-AD36</f>
        <v/>
      </c>
      <c r="AE35" s="1365">
        <f>AE34-AE36</f>
        <v/>
      </c>
      <c r="AF35" s="1364">
        <f>AF34-AF36</f>
        <v/>
      </c>
      <c r="AG35" s="1365">
        <f>AG34-AG36</f>
        <v/>
      </c>
      <c r="AH35" s="1365">
        <f>AH34-AH36</f>
        <v/>
      </c>
      <c r="AI35" s="1365">
        <f>AI34-AI36</f>
        <v/>
      </c>
      <c r="AJ35" s="1365">
        <f>AJ34-AJ36</f>
        <v/>
      </c>
      <c r="AK35" s="1364">
        <f>AK34-AK36</f>
        <v/>
      </c>
      <c r="AL35" s="1365">
        <f>AL34-AL36</f>
        <v/>
      </c>
      <c r="AM35" s="1365">
        <f>AM34-AM36</f>
        <v/>
      </c>
      <c r="AN35" s="1365">
        <f>AN34-AN36</f>
        <v/>
      </c>
      <c r="AO35" s="1365">
        <f>AO34-AO36</f>
        <v/>
      </c>
      <c r="AP35" s="1364">
        <f>AP34-AP36</f>
        <v/>
      </c>
      <c r="AQ35" s="1365">
        <f>AQ34-AQ36</f>
        <v/>
      </c>
      <c r="AR35" s="1365">
        <f>AR34-AR36</f>
        <v/>
      </c>
      <c r="AS35" s="1365">
        <f>AS34-AS36</f>
        <v/>
      </c>
      <c r="AT35" s="1365">
        <f>AT34-AT36</f>
        <v/>
      </c>
      <c r="AU35" s="1364">
        <f>AU34-AU36</f>
        <v/>
      </c>
      <c r="AV35" s="1365">
        <f>AV34-AV36</f>
        <v/>
      </c>
      <c r="AW35" s="1365">
        <f>AW34-AW36</f>
        <v/>
      </c>
      <c r="AX35" s="1365">
        <f>AX34-AX36</f>
        <v/>
      </c>
      <c r="AY35" s="1365">
        <f>AY34-AY36</f>
        <v/>
      </c>
      <c r="AZ35" s="1364">
        <f>AZ34-AZ36</f>
        <v/>
      </c>
      <c r="BA35" s="1365">
        <f>BA34-BA36</f>
        <v/>
      </c>
      <c r="BB35" s="1365">
        <f>BB34-BB36</f>
        <v/>
      </c>
      <c r="BC35" s="1365">
        <f>BC34-BC36</f>
        <v/>
      </c>
      <c r="BD35" s="1365">
        <f>BD34-BD36</f>
        <v/>
      </c>
      <c r="BE35" s="1364">
        <f>BE34-BE36</f>
        <v/>
      </c>
      <c r="BF35" s="1365">
        <f>BF34-BF36</f>
        <v/>
      </c>
      <c r="BG35" s="1365">
        <f>BG34-BG36</f>
        <v/>
      </c>
      <c r="BH35" s="1365">
        <f>BH34-BH36</f>
        <v/>
      </c>
      <c r="BI35" s="1365">
        <f>BI34-BI36</f>
        <v/>
      </c>
      <c r="BJ35" s="1364">
        <f>BJ34-BJ36</f>
        <v/>
      </c>
      <c r="BK35" s="1365">
        <f>BK34-BK36</f>
        <v/>
      </c>
      <c r="BL35" s="1365">
        <f>BL34-BL36</f>
        <v/>
      </c>
      <c r="BM35" s="1365">
        <f>BM34-BM36</f>
        <v/>
      </c>
      <c r="BN35" s="1365">
        <f>BN34-BN36</f>
        <v/>
      </c>
      <c r="BO35" s="1366">
        <f>BO34-BO36</f>
        <v/>
      </c>
      <c r="BP35" s="1365">
        <f>BP34-BP36</f>
        <v/>
      </c>
      <c r="BQ35" s="1365">
        <f>BQ34-BQ36</f>
        <v/>
      </c>
      <c r="BR35" s="1365">
        <f>BR34-BR36</f>
        <v/>
      </c>
      <c r="BS35" s="1365">
        <f>BS34-BS36</f>
        <v/>
      </c>
      <c r="BT35" s="1364">
        <f>BT34-BT36</f>
        <v/>
      </c>
      <c r="BU35" s="1365">
        <f>BU34-BU36</f>
        <v/>
      </c>
      <c r="BV35" s="1365">
        <f>BV34-BV36</f>
        <v/>
      </c>
      <c r="BW35" s="1365">
        <f>BW34-BW36</f>
        <v/>
      </c>
      <c r="BX35" s="1365">
        <f>BX34-BX36</f>
        <v/>
      </c>
      <c r="BY35" s="1364">
        <f>BY34-BY36</f>
        <v/>
      </c>
      <c r="BZ35" s="1364">
        <f>BZ34-BZ36</f>
        <v/>
      </c>
      <c r="CA35" s="1364">
        <f>CA34-CA36</f>
        <v/>
      </c>
      <c r="CB35" s="1364">
        <f>CB34-CB36</f>
        <v/>
      </c>
      <c r="CC35" s="1280" t="n"/>
    </row>
    <row r="36" collapsed="1" ht="14.4" customFormat="1" customHeight="1" s="1323">
      <c r="A36" s="1360" t="inlineStr">
        <is>
          <t>Gross Profit, mm</t>
        </is>
      </c>
      <c r="B36" s="1361" t="n"/>
      <c r="C36" s="1345">
        <f>C373</f>
        <v/>
      </c>
      <c r="D36" s="1345">
        <f>D373</f>
        <v/>
      </c>
      <c r="E36" s="1345">
        <f>E373</f>
        <v/>
      </c>
      <c r="F36" s="1345">
        <f>F373</f>
        <v/>
      </c>
      <c r="G36" s="1345">
        <f>G373</f>
        <v/>
      </c>
      <c r="H36" s="1346">
        <f>H373</f>
        <v/>
      </c>
      <c r="I36" s="1346">
        <f>I373</f>
        <v/>
      </c>
      <c r="J36" s="1346">
        <f>J373</f>
        <v/>
      </c>
      <c r="K36" s="1346">
        <f>K373</f>
        <v/>
      </c>
      <c r="L36" s="1345">
        <f>L373</f>
        <v/>
      </c>
      <c r="M36" s="1346">
        <f>M373</f>
        <v/>
      </c>
      <c r="N36" s="1346">
        <f>N373</f>
        <v/>
      </c>
      <c r="O36" s="1346">
        <f>O373</f>
        <v/>
      </c>
      <c r="P36" s="1346">
        <f>P373</f>
        <v/>
      </c>
      <c r="Q36" s="1345">
        <f>Q373</f>
        <v/>
      </c>
      <c r="R36" s="1346">
        <f>R373</f>
        <v/>
      </c>
      <c r="S36" s="1346">
        <f>S373</f>
        <v/>
      </c>
      <c r="T36" s="1346">
        <f>T373</f>
        <v/>
      </c>
      <c r="U36" s="1346">
        <f>U373</f>
        <v/>
      </c>
      <c r="V36" s="1345">
        <f>V373</f>
        <v/>
      </c>
      <c r="W36" s="1346">
        <f>W373</f>
        <v/>
      </c>
      <c r="X36" s="1346">
        <f>X373</f>
        <v/>
      </c>
      <c r="Y36" s="1346">
        <f>Y373</f>
        <v/>
      </c>
      <c r="Z36" s="1346">
        <f>Z373</f>
        <v/>
      </c>
      <c r="AA36" s="1345">
        <f>AA373</f>
        <v/>
      </c>
      <c r="AB36" s="1346">
        <f>AB373</f>
        <v/>
      </c>
      <c r="AC36" s="1346">
        <f>AC373</f>
        <v/>
      </c>
      <c r="AD36" s="1346">
        <f>AD373</f>
        <v/>
      </c>
      <c r="AE36" s="1346">
        <f>AE373</f>
        <v/>
      </c>
      <c r="AF36" s="1345">
        <f>AF373</f>
        <v/>
      </c>
      <c r="AG36" s="1346">
        <f>AG373</f>
        <v/>
      </c>
      <c r="AH36" s="1346">
        <f>AH373</f>
        <v/>
      </c>
      <c r="AI36" s="1346">
        <f>AI373</f>
        <v/>
      </c>
      <c r="AJ36" s="1346">
        <f>AJ373</f>
        <v/>
      </c>
      <c r="AK36" s="1345">
        <f>AK373</f>
        <v/>
      </c>
      <c r="AL36" s="1346">
        <f>AL373</f>
        <v/>
      </c>
      <c r="AM36" s="1346">
        <f>AM373</f>
        <v/>
      </c>
      <c r="AN36" s="1346">
        <f>AN373</f>
        <v/>
      </c>
      <c r="AO36" s="1346">
        <f>AO373</f>
        <v/>
      </c>
      <c r="AP36" s="1345">
        <f>AP373</f>
        <v/>
      </c>
      <c r="AQ36" s="1346">
        <f>AQ373</f>
        <v/>
      </c>
      <c r="AR36" s="1346">
        <f>AR373</f>
        <v/>
      </c>
      <c r="AS36" s="1346">
        <f>AS373</f>
        <v/>
      </c>
      <c r="AT36" s="1346">
        <f>AT373</f>
        <v/>
      </c>
      <c r="AU36" s="1345">
        <f>AU373</f>
        <v/>
      </c>
      <c r="AV36" s="1346">
        <f>AV373</f>
        <v/>
      </c>
      <c r="AW36" s="1346">
        <f>AW373</f>
        <v/>
      </c>
      <c r="AX36" s="1346">
        <f>AX373</f>
        <v/>
      </c>
      <c r="AY36" s="1346">
        <f>AY373</f>
        <v/>
      </c>
      <c r="AZ36" s="1345">
        <f>AZ373</f>
        <v/>
      </c>
      <c r="BA36" s="1346">
        <f>BA373</f>
        <v/>
      </c>
      <c r="BB36" s="1346">
        <f>BB373</f>
        <v/>
      </c>
      <c r="BC36" s="1346">
        <f>BC373</f>
        <v/>
      </c>
      <c r="BD36" s="1346">
        <f>BD373</f>
        <v/>
      </c>
      <c r="BE36" s="1345">
        <f>BE373</f>
        <v/>
      </c>
      <c r="BF36" s="1346">
        <f>BF373</f>
        <v/>
      </c>
      <c r="BG36" s="1346">
        <f>BG373</f>
        <v/>
      </c>
      <c r="BH36" s="1346">
        <f>BH373</f>
        <v/>
      </c>
      <c r="BI36" s="1346">
        <f>BI373</f>
        <v/>
      </c>
      <c r="BJ36" s="1345">
        <f>BJ373</f>
        <v/>
      </c>
      <c r="BK36" s="1346">
        <f>BK373</f>
        <v/>
      </c>
      <c r="BL36" s="1346">
        <f>BL373</f>
        <v/>
      </c>
      <c r="BM36" s="1346">
        <f>BM373</f>
        <v/>
      </c>
      <c r="BN36" s="1346">
        <f>BN373</f>
        <v/>
      </c>
      <c r="BO36" s="1347">
        <f>BO373</f>
        <v/>
      </c>
      <c r="BP36" s="1346">
        <f>BP34*BP38</f>
        <v/>
      </c>
      <c r="BQ36" s="1346">
        <f>BQ34*BQ38</f>
        <v/>
      </c>
      <c r="BR36" s="1346">
        <f>BR34*BR38</f>
        <v/>
      </c>
      <c r="BS36" s="1346">
        <f>BS34*BS38</f>
        <v/>
      </c>
      <c r="BT36" s="1345">
        <f>BS36+BR36+BQ36+BP36</f>
        <v/>
      </c>
      <c r="BU36" s="1346">
        <f>BU34*BU38</f>
        <v/>
      </c>
      <c r="BV36" s="1346">
        <f>BV34*BV38</f>
        <v/>
      </c>
      <c r="BW36" s="1346">
        <f>BW34*BW38</f>
        <v/>
      </c>
      <c r="BX36" s="1346">
        <f>BX34*BX38</f>
        <v/>
      </c>
      <c r="BY36" s="1345">
        <f>BX36+BW36+BV36+BU36</f>
        <v/>
      </c>
      <c r="BZ36" s="1345">
        <f>BZ34*BZ38</f>
        <v/>
      </c>
      <c r="CA36" s="1345">
        <f>CA34*CA38</f>
        <v/>
      </c>
      <c r="CB36" s="1345">
        <f>CB34*CB38</f>
        <v/>
      </c>
      <c r="CC36" s="1331" t="n"/>
    </row>
    <row r="37" ht="14.4" customFormat="1" customHeight="1" s="1302">
      <c r="A37" s="1342" t="inlineStr">
        <is>
          <t>Y/Y growth in Gross profit, %</t>
        </is>
      </c>
      <c r="B37" s="1304" t="n"/>
      <c r="C37" s="1305" t="n"/>
      <c r="D37" s="1305">
        <f>D36/C36-1</f>
        <v/>
      </c>
      <c r="E37" s="1305">
        <f>E36/D36-1</f>
        <v/>
      </c>
      <c r="F37" s="1305">
        <f>F36/E36-1</f>
        <v/>
      </c>
      <c r="G37" s="1305">
        <f>G36/F36-1</f>
        <v/>
      </c>
      <c r="H37" s="1306" t="n"/>
      <c r="I37" s="1306" t="n"/>
      <c r="J37" s="1306" t="n"/>
      <c r="K37" s="1306" t="n"/>
      <c r="L37" s="1305">
        <f>L36/G36-1</f>
        <v/>
      </c>
      <c r="M37" s="1306">
        <f>M36/H36-1</f>
        <v/>
      </c>
      <c r="N37" s="1306">
        <f>N36/I36-1</f>
        <v/>
      </c>
      <c r="O37" s="1306">
        <f>O36/J36-1</f>
        <v/>
      </c>
      <c r="P37" s="1306">
        <f>P36/K36-1</f>
        <v/>
      </c>
      <c r="Q37" s="1305">
        <f>Q36/L36-1</f>
        <v/>
      </c>
      <c r="R37" s="1306">
        <f>R36/M36-1</f>
        <v/>
      </c>
      <c r="S37" s="1306">
        <f>S36/N36-1</f>
        <v/>
      </c>
      <c r="T37" s="1306">
        <f>T36/O36-1</f>
        <v/>
      </c>
      <c r="U37" s="1306">
        <f>U36/P36-1</f>
        <v/>
      </c>
      <c r="V37" s="1305">
        <f>V36/Q36-1</f>
        <v/>
      </c>
      <c r="W37" s="1306">
        <f>W36/R36-1</f>
        <v/>
      </c>
      <c r="X37" s="1306">
        <f>X36/S36-1</f>
        <v/>
      </c>
      <c r="Y37" s="1306">
        <f>Y36/T36-1</f>
        <v/>
      </c>
      <c r="Z37" s="1306">
        <f>Z36/U36-1</f>
        <v/>
      </c>
      <c r="AA37" s="1305">
        <f>AA36/V36-1</f>
        <v/>
      </c>
      <c r="AB37" s="1306">
        <f>AB36/W36-1</f>
        <v/>
      </c>
      <c r="AC37" s="1306">
        <f>AC36/X36-1</f>
        <v/>
      </c>
      <c r="AD37" s="1306">
        <f>AD36/Y36-1</f>
        <v/>
      </c>
      <c r="AE37" s="1306">
        <f>AE36/Z36-1</f>
        <v/>
      </c>
      <c r="AF37" s="1305">
        <f>AF36/AA36-1</f>
        <v/>
      </c>
      <c r="AG37" s="1306">
        <f>AG36/AB36-1</f>
        <v/>
      </c>
      <c r="AH37" s="1306">
        <f>AH36/AC36-1</f>
        <v/>
      </c>
      <c r="AI37" s="1306">
        <f>AI36/AD36-1</f>
        <v/>
      </c>
      <c r="AJ37" s="1306">
        <f>AJ36/AE36-1</f>
        <v/>
      </c>
      <c r="AK37" s="1305">
        <f>AK36/AF36-1</f>
        <v/>
      </c>
      <c r="AL37" s="1306">
        <f>AL36/AG36-1</f>
        <v/>
      </c>
      <c r="AM37" s="1306">
        <f>AM36/AH36-1</f>
        <v/>
      </c>
      <c r="AN37" s="1306">
        <f>AN36/AI36-1</f>
        <v/>
      </c>
      <c r="AO37" s="1306">
        <f>AO36/AJ36-1</f>
        <v/>
      </c>
      <c r="AP37" s="1305">
        <f>AP36/AK36-1</f>
        <v/>
      </c>
      <c r="AQ37" s="1306">
        <f>AQ36/AL36-1</f>
        <v/>
      </c>
      <c r="AR37" s="1306">
        <f>AR36/AM36-1</f>
        <v/>
      </c>
      <c r="AS37" s="1306">
        <f>AS36/AN36-1</f>
        <v/>
      </c>
      <c r="AT37" s="1306">
        <f>AT36/AO36-1</f>
        <v/>
      </c>
      <c r="AU37" s="1305">
        <f>AU36/AP36-1</f>
        <v/>
      </c>
      <c r="AV37" s="1306">
        <f>AV36/AQ36-1</f>
        <v/>
      </c>
      <c r="AW37" s="1306">
        <f>AW36/AR36-1</f>
        <v/>
      </c>
      <c r="AX37" s="1306">
        <f>AX36/AS36-1</f>
        <v/>
      </c>
      <c r="AY37" s="1306">
        <f>AY36/AT36-1</f>
        <v/>
      </c>
      <c r="AZ37" s="1305">
        <f>AZ36/AU36-1</f>
        <v/>
      </c>
      <c r="BA37" s="1306">
        <f>BA36/AV36-1</f>
        <v/>
      </c>
      <c r="BB37" s="1306">
        <f>BB36/AW36-1</f>
        <v/>
      </c>
      <c r="BC37" s="1306">
        <f>BC36/AX36-1</f>
        <v/>
      </c>
      <c r="BD37" s="1306">
        <f>BD36/AY36-1</f>
        <v/>
      </c>
      <c r="BE37" s="1305">
        <f>BE36/AZ36-1</f>
        <v/>
      </c>
      <c r="BF37" s="1306">
        <f>BF36/BA36-1</f>
        <v/>
      </c>
      <c r="BG37" s="1306">
        <f>BG36/BB36-1</f>
        <v/>
      </c>
      <c r="BH37" s="1306">
        <f>BH36/BC36-1</f>
        <v/>
      </c>
      <c r="BI37" s="1306">
        <f>BI36/BD36-1</f>
        <v/>
      </c>
      <c r="BJ37" s="1305">
        <f>BJ36/BE36-1</f>
        <v/>
      </c>
      <c r="BK37" s="1306">
        <f>BK36/BF36-1</f>
        <v/>
      </c>
      <c r="BL37" s="1306">
        <f>BL36/BG36-1</f>
        <v/>
      </c>
      <c r="BM37" s="1306">
        <f>BM36/BH36-1</f>
        <v/>
      </c>
      <c r="BN37" s="1306">
        <f>BN36/BI36-1</f>
        <v/>
      </c>
      <c r="BO37" s="1308">
        <f>BO36/BJ36-1</f>
        <v/>
      </c>
      <c r="BP37" s="1306">
        <f>BP36/BK36-1</f>
        <v/>
      </c>
      <c r="BQ37" s="1306">
        <f>BQ36/BL36-1</f>
        <v/>
      </c>
      <c r="BR37" s="1306">
        <f>BR36/BM36-1</f>
        <v/>
      </c>
      <c r="BS37" s="1306">
        <f>BS36/BN36-1</f>
        <v/>
      </c>
      <c r="BT37" s="1305">
        <f>BT36/BO36-1</f>
        <v/>
      </c>
      <c r="BU37" s="1306">
        <f>BU36/BP36-1</f>
        <v/>
      </c>
      <c r="BV37" s="1306">
        <f>BV36/BQ36-1</f>
        <v/>
      </c>
      <c r="BW37" s="1306">
        <f>BW36/BR36-1</f>
        <v/>
      </c>
      <c r="BX37" s="1306">
        <f>BX36/BS36-1</f>
        <v/>
      </c>
      <c r="BY37" s="1305">
        <f>BY36/BT36-1</f>
        <v/>
      </c>
      <c r="BZ37" s="1305">
        <f>BZ36/BY36-1</f>
        <v/>
      </c>
      <c r="CA37" s="1305">
        <f>CA36/BZ36-1</f>
        <v/>
      </c>
      <c r="CB37" s="1305">
        <f>CB36/CA36-1</f>
        <v/>
      </c>
      <c r="CC37" s="1307" t="n"/>
    </row>
    <row r="38" ht="14.4" customFormat="1" customHeight="1" s="1290">
      <c r="A38" s="1367" t="inlineStr">
        <is>
          <t>Gross Margin, %</t>
        </is>
      </c>
      <c r="B38" s="1368" t="n"/>
      <c r="C38" s="1369">
        <f>C36/C34</f>
        <v/>
      </c>
      <c r="D38" s="1369">
        <f>D36/D34</f>
        <v/>
      </c>
      <c r="E38" s="1369">
        <f>E36/E34</f>
        <v/>
      </c>
      <c r="F38" s="1369">
        <f>F36/F34</f>
        <v/>
      </c>
      <c r="G38" s="1369">
        <f>G36/G34</f>
        <v/>
      </c>
      <c r="H38" s="1370">
        <f>H36/H34</f>
        <v/>
      </c>
      <c r="I38" s="1370">
        <f>I36/I34</f>
        <v/>
      </c>
      <c r="J38" s="1370">
        <f>J36/J34</f>
        <v/>
      </c>
      <c r="K38" s="1370">
        <f>K36/K34</f>
        <v/>
      </c>
      <c r="L38" s="1369">
        <f>L36/L34</f>
        <v/>
      </c>
      <c r="M38" s="1370">
        <f>M36/M34</f>
        <v/>
      </c>
      <c r="N38" s="1370">
        <f>N36/N34</f>
        <v/>
      </c>
      <c r="O38" s="1370">
        <f>O36/O34</f>
        <v/>
      </c>
      <c r="P38" s="1370">
        <f>P36/P34</f>
        <v/>
      </c>
      <c r="Q38" s="1369">
        <f>Q36/Q34</f>
        <v/>
      </c>
      <c r="R38" s="1370">
        <f>R36/R34</f>
        <v/>
      </c>
      <c r="S38" s="1370">
        <f>S36/S34</f>
        <v/>
      </c>
      <c r="T38" s="1370">
        <f>T36/T34</f>
        <v/>
      </c>
      <c r="U38" s="1370">
        <f>U36/U34</f>
        <v/>
      </c>
      <c r="V38" s="1369">
        <f>V36/V34</f>
        <v/>
      </c>
      <c r="W38" s="1370">
        <f>W36/W34</f>
        <v/>
      </c>
      <c r="X38" s="1370">
        <f>X36/X34</f>
        <v/>
      </c>
      <c r="Y38" s="1370">
        <f>Y36/Y34</f>
        <v/>
      </c>
      <c r="Z38" s="1370">
        <f>Z36/Z34</f>
        <v/>
      </c>
      <c r="AA38" s="1369">
        <f>AA36/AA34</f>
        <v/>
      </c>
      <c r="AB38" s="1370">
        <f>AB36/AB34</f>
        <v/>
      </c>
      <c r="AC38" s="1370">
        <f>AC36/AC34</f>
        <v/>
      </c>
      <c r="AD38" s="1370">
        <f>AD36/AD34</f>
        <v/>
      </c>
      <c r="AE38" s="1370">
        <f>AE36/AE34</f>
        <v/>
      </c>
      <c r="AF38" s="1369">
        <f>AF36/AF34</f>
        <v/>
      </c>
      <c r="AG38" s="1370">
        <f>AG36/AG34</f>
        <v/>
      </c>
      <c r="AH38" s="1370">
        <f>AH36/AH34</f>
        <v/>
      </c>
      <c r="AI38" s="1370">
        <f>AI36/AI34</f>
        <v/>
      </c>
      <c r="AJ38" s="1370">
        <f>AJ36/AJ34</f>
        <v/>
      </c>
      <c r="AK38" s="1369">
        <f>AK36/AK34</f>
        <v/>
      </c>
      <c r="AL38" s="1370">
        <f>AL36/AL34</f>
        <v/>
      </c>
      <c r="AM38" s="1370">
        <f>AM36/AM34</f>
        <v/>
      </c>
      <c r="AN38" s="1370">
        <f>AN36/AN34</f>
        <v/>
      </c>
      <c r="AO38" s="1370">
        <f>AO36/AO34</f>
        <v/>
      </c>
      <c r="AP38" s="1369">
        <f>AP36/AP34</f>
        <v/>
      </c>
      <c r="AQ38" s="1370">
        <f>AQ36/AQ34</f>
        <v/>
      </c>
      <c r="AR38" s="1370">
        <f>AR36/AR34</f>
        <v/>
      </c>
      <c r="AS38" s="1370">
        <f>AS36/AS34</f>
        <v/>
      </c>
      <c r="AT38" s="1370">
        <f>AT36/AT34</f>
        <v/>
      </c>
      <c r="AU38" s="1369">
        <f>AU36/AU34</f>
        <v/>
      </c>
      <c r="AV38" s="1370">
        <f>AV36/AV34</f>
        <v/>
      </c>
      <c r="AW38" s="1370">
        <f>AW36/AW34</f>
        <v/>
      </c>
      <c r="AX38" s="1370">
        <f>AX36/AX34</f>
        <v/>
      </c>
      <c r="AY38" s="1370">
        <f>AY36/AY34</f>
        <v/>
      </c>
      <c r="AZ38" s="1369">
        <f>AZ36/AZ34</f>
        <v/>
      </c>
      <c r="BA38" s="1370">
        <f>BA36/BA34</f>
        <v/>
      </c>
      <c r="BB38" s="1370">
        <f>BB36/BB34</f>
        <v/>
      </c>
      <c r="BC38" s="1370">
        <f>BC36/BC34</f>
        <v/>
      </c>
      <c r="BD38" s="1370">
        <f>BD36/BD34</f>
        <v/>
      </c>
      <c r="BE38" s="1369">
        <f>BE36/BE34</f>
        <v/>
      </c>
      <c r="BF38" s="1370">
        <f>BF36/BF34</f>
        <v/>
      </c>
      <c r="BG38" s="1370">
        <f>BG36/BG34</f>
        <v/>
      </c>
      <c r="BH38" s="1370">
        <f>BH36/BH34</f>
        <v/>
      </c>
      <c r="BI38" s="1370">
        <f>BI36/BI34</f>
        <v/>
      </c>
      <c r="BJ38" s="1369">
        <f>BJ36/BJ34</f>
        <v/>
      </c>
      <c r="BK38" s="1370">
        <f>BK36/BK34</f>
        <v/>
      </c>
      <c r="BL38" s="1370">
        <f>BL36/BL34</f>
        <v/>
      </c>
      <c r="BM38" s="1370">
        <f>BM36/BM34</f>
        <v/>
      </c>
      <c r="BN38" s="1370">
        <f>BN36/BN34</f>
        <v/>
      </c>
      <c r="BO38" s="1371">
        <f>BO36/BO34</f>
        <v/>
      </c>
      <c r="BP38" s="1370">
        <f>BK38+BP40/10000</f>
        <v/>
      </c>
      <c r="BQ38" s="1370">
        <f>BL38+BQ40/10000</f>
        <v/>
      </c>
      <c r="BR38" s="1370">
        <f>BM38+BR40/10000</f>
        <v/>
      </c>
      <c r="BS38" s="1370">
        <f>BN38+BS40/10000</f>
        <v/>
      </c>
      <c r="BT38" s="1369">
        <f>BT36/BT34</f>
        <v/>
      </c>
      <c r="BU38" s="1370">
        <f>BP38+BU40/10000</f>
        <v/>
      </c>
      <c r="BV38" s="1370">
        <f>BQ38+BV40/10000</f>
        <v/>
      </c>
      <c r="BW38" s="1370">
        <f>BR38+BW40/10000</f>
        <v/>
      </c>
      <c r="BX38" s="1370">
        <f>BS38+BX40/10000</f>
        <v/>
      </c>
      <c r="BY38" s="1369">
        <f>BY36/BY34</f>
        <v/>
      </c>
      <c r="BZ38" s="1369">
        <f>BY38+BZ40/10000</f>
        <v/>
      </c>
      <c r="CA38" s="1369">
        <f>BZ38+CA40/10000</f>
        <v/>
      </c>
      <c r="CB38" s="1369">
        <f>CA38+CB40/10000</f>
        <v/>
      </c>
      <c r="CC38" s="1294" t="n"/>
    </row>
    <row r="39" ht="14.4" customFormat="1" customHeight="1" s="1302">
      <c r="A39" s="1372" t="inlineStr">
        <is>
          <t>Consensus Estimates - Gross Margin, %</t>
        </is>
      </c>
      <c r="B39" s="1304" t="n"/>
      <c r="C39" s="1305" t="n"/>
      <c r="D39" s="1305" t="n"/>
      <c r="E39" s="1305" t="n"/>
      <c r="F39" s="1305" t="n"/>
      <c r="G39" s="1305" t="n"/>
      <c r="H39" s="1306" t="n"/>
      <c r="I39" s="1306" t="n"/>
      <c r="J39" s="1306" t="n"/>
      <c r="K39" s="1306" t="n"/>
      <c r="L39" s="1305" t="n"/>
      <c r="M39" s="1306" t="n"/>
      <c r="N39" s="1306" t="n"/>
      <c r="O39" s="1306" t="n"/>
      <c r="P39" s="1306" t="n"/>
      <c r="Q39" s="1305" t="n"/>
      <c r="R39" s="1306" t="n"/>
      <c r="S39" s="1306" t="n"/>
      <c r="T39" s="1306" t="n"/>
      <c r="U39" s="1306" t="n"/>
      <c r="V39" s="1305" t="n"/>
      <c r="W39" s="1306" t="n"/>
      <c r="X39" s="1306" t="n"/>
      <c r="Y39" s="1306" t="n"/>
      <c r="Z39" s="1306" t="n"/>
      <c r="AA39" s="1305" t="n"/>
      <c r="AB39" s="1306" t="n"/>
      <c r="AC39" s="1306" t="n"/>
      <c r="AD39" s="1306" t="n"/>
      <c r="AE39" s="1306" t="n"/>
      <c r="AF39" s="1305" t="n"/>
      <c r="AG39" s="1306" t="n"/>
      <c r="AH39" s="1306" t="n"/>
      <c r="AI39" s="1306" t="n"/>
      <c r="AJ39" s="1306" t="n"/>
      <c r="AK39" s="1305" t="n"/>
      <c r="AL39" s="1306" t="n"/>
      <c r="AM39" s="1306" t="n"/>
      <c r="AN39" s="1306" t="n"/>
      <c r="AO39" s="1306" t="n"/>
      <c r="AP39" s="1305" t="n"/>
      <c r="AQ39" s="1306" t="n"/>
      <c r="AR39" s="1306" t="n"/>
      <c r="AS39" s="1306" t="n"/>
      <c r="AT39" s="1306" t="n"/>
      <c r="AU39" s="1305" t="n"/>
      <c r="AV39" s="1306" t="n"/>
      <c r="AW39" s="1306" t="n"/>
      <c r="AX39" s="1306" t="n"/>
      <c r="AY39" s="1306" t="n"/>
      <c r="AZ39" s="1305" t="n"/>
      <c r="BA39" s="1306" t="n"/>
      <c r="BB39" s="1306" t="n"/>
      <c r="BC39" s="1306" t="n"/>
      <c r="BD39" s="1306" t="n"/>
      <c r="BE39" s="1305" t="n"/>
      <c r="BF39" s="1306" t="n"/>
      <c r="BG39" s="1306" t="n"/>
      <c r="BH39" s="1306" t="n"/>
      <c r="BI39" s="1306" t="n"/>
      <c r="BJ39" s="1305" t="n"/>
      <c r="BK39" s="1306" t="n"/>
      <c r="BL39" s="1306" t="n"/>
      <c r="BM39" s="1306" t="n"/>
      <c r="BN39" s="1306" t="n"/>
      <c r="BO39" s="1308" t="n"/>
      <c r="BP39" s="1312">
        <f>BP304</f>
        <v/>
      </c>
      <c r="BQ39" s="1312">
        <f>BQ304</f>
        <v/>
      </c>
      <c r="BR39" s="1312">
        <f>BR304</f>
        <v/>
      </c>
      <c r="BS39" s="1312">
        <f>BS304</f>
        <v/>
      </c>
      <c r="BT39" s="1311">
        <f>BT304</f>
        <v/>
      </c>
      <c r="BU39" s="1312">
        <f>BU304</f>
        <v/>
      </c>
      <c r="BV39" s="1312">
        <f>BV304</f>
        <v/>
      </c>
      <c r="BW39" s="1312">
        <f>BW304</f>
        <v/>
      </c>
      <c r="BX39" s="1312">
        <f>BX304</f>
        <v/>
      </c>
      <c r="BY39" s="1311">
        <f>BY304</f>
        <v/>
      </c>
      <c r="BZ39" s="1311">
        <f>BZ304</f>
        <v/>
      </c>
      <c r="CA39" s="1311">
        <f>CA304</f>
        <v/>
      </c>
      <c r="CB39" s="1311">
        <f>CB304</f>
        <v/>
      </c>
      <c r="CC39" s="1307" t="n"/>
    </row>
    <row r="40" ht="14.4" customFormat="1" customHeight="1" s="1373">
      <c r="A40" s="1374" t="inlineStr">
        <is>
          <t>Y/Y improvement in Gross Margin, bps</t>
        </is>
      </c>
      <c r="B40" s="1375" t="n"/>
      <c r="C40" s="1376" t="n"/>
      <c r="D40" s="1376">
        <f>(D38-C38)*10000</f>
        <v/>
      </c>
      <c r="E40" s="1376">
        <f>(E38-D38)*10000</f>
        <v/>
      </c>
      <c r="F40" s="1376">
        <f>(F38-E38)*10000</f>
        <v/>
      </c>
      <c r="G40" s="1376">
        <f>(G38-F38)*10000</f>
        <v/>
      </c>
      <c r="H40" s="1278" t="n"/>
      <c r="I40" s="1278" t="n"/>
      <c r="J40" s="1278" t="n"/>
      <c r="K40" s="1278" t="n"/>
      <c r="L40" s="1376">
        <f>(L38-G38)*10000</f>
        <v/>
      </c>
      <c r="M40" s="1278">
        <f>(M38-H38)*10000</f>
        <v/>
      </c>
      <c r="N40" s="1278">
        <f>(N38-I38)*10000</f>
        <v/>
      </c>
      <c r="O40" s="1278">
        <f>(O38-J38)*10000</f>
        <v/>
      </c>
      <c r="P40" s="1278">
        <f>(P38-K38)*10000</f>
        <v/>
      </c>
      <c r="Q40" s="1376">
        <f>(Q38-L38)*10000</f>
        <v/>
      </c>
      <c r="R40" s="1278">
        <f>(R38-M38)*10000</f>
        <v/>
      </c>
      <c r="S40" s="1278">
        <f>(S38-N38)*10000</f>
        <v/>
      </c>
      <c r="T40" s="1278">
        <f>(T38-O38)*10000</f>
        <v/>
      </c>
      <c r="U40" s="1278">
        <f>(U38-P38)*10000</f>
        <v/>
      </c>
      <c r="V40" s="1376">
        <f>(V38-Q38)*10000</f>
        <v/>
      </c>
      <c r="W40" s="1278">
        <f>(W38-R38)*10000</f>
        <v/>
      </c>
      <c r="X40" s="1278">
        <f>(X38-S38)*10000</f>
        <v/>
      </c>
      <c r="Y40" s="1278">
        <f>(Y38-T38)*10000</f>
        <v/>
      </c>
      <c r="Z40" s="1278">
        <f>(Z38-U38)*10000</f>
        <v/>
      </c>
      <c r="AA40" s="1376">
        <f>(AA38-V38)*10000</f>
        <v/>
      </c>
      <c r="AB40" s="1278">
        <f>(AB38-W38)*10000</f>
        <v/>
      </c>
      <c r="AC40" s="1278">
        <f>(AC38-X38)*10000</f>
        <v/>
      </c>
      <c r="AD40" s="1278">
        <f>(AD38-Y38)*10000</f>
        <v/>
      </c>
      <c r="AE40" s="1278">
        <f>(AE38-Z38)*10000</f>
        <v/>
      </c>
      <c r="AF40" s="1376">
        <f>(AF38-AA38)*10000</f>
        <v/>
      </c>
      <c r="AG40" s="1278">
        <f>(AG38-AB38)*10000</f>
        <v/>
      </c>
      <c r="AH40" s="1278">
        <f>(AH38-AC38)*10000</f>
        <v/>
      </c>
      <c r="AI40" s="1278">
        <f>(AI38-AD38)*10000</f>
        <v/>
      </c>
      <c r="AJ40" s="1278">
        <f>(AJ38-AE38)*10000</f>
        <v/>
      </c>
      <c r="AK40" s="1376">
        <f>(AK38-AF38)*10000</f>
        <v/>
      </c>
      <c r="AL40" s="1278">
        <f>(AL38-AG38)*10000</f>
        <v/>
      </c>
      <c r="AM40" s="1278">
        <f>(AM38-AH38)*10000</f>
        <v/>
      </c>
      <c r="AN40" s="1278">
        <f>(AN38-AI38)*10000</f>
        <v/>
      </c>
      <c r="AO40" s="1278">
        <f>(AO38-AJ38)*10000</f>
        <v/>
      </c>
      <c r="AP40" s="1376">
        <f>(AP38-AK38)*10000</f>
        <v/>
      </c>
      <c r="AQ40" s="1278">
        <f>(AQ38-AL38)*10000</f>
        <v/>
      </c>
      <c r="AR40" s="1278">
        <f>(AR38-AM38)*10000</f>
        <v/>
      </c>
      <c r="AS40" s="1278">
        <f>(AS38-AN38)*10000</f>
        <v/>
      </c>
      <c r="AT40" s="1278">
        <f>(AT38-AO38)*10000</f>
        <v/>
      </c>
      <c r="AU40" s="1376">
        <f>(AU38-AP38)*10000</f>
        <v/>
      </c>
      <c r="AV40" s="1278">
        <f>(AV38-AQ38)*10000</f>
        <v/>
      </c>
      <c r="AW40" s="1278">
        <f>(AW38-AR38)*10000</f>
        <v/>
      </c>
      <c r="AX40" s="1278">
        <f>(AX38-AS38)*10000</f>
        <v/>
      </c>
      <c r="AY40" s="1278">
        <f>(AY38-AT38)*10000</f>
        <v/>
      </c>
      <c r="AZ40" s="1376">
        <f>(AZ38-AU38)*10000</f>
        <v/>
      </c>
      <c r="BA40" s="1278">
        <f>(BA38-AV38)*10000</f>
        <v/>
      </c>
      <c r="BB40" s="1278">
        <f>(BB38-AW38)*10000</f>
        <v/>
      </c>
      <c r="BC40" s="1278">
        <f>(BC38-AX38)*10000</f>
        <v/>
      </c>
      <c r="BD40" s="1278">
        <f>(BD38-AY38)*10000</f>
        <v/>
      </c>
      <c r="BE40" s="1376">
        <f>(BE38-AZ38)*10000</f>
        <v/>
      </c>
      <c r="BF40" s="1278">
        <f>(BF38-BA38)*10000</f>
        <v/>
      </c>
      <c r="BG40" s="1278">
        <f>(BG38-BB38)*10000</f>
        <v/>
      </c>
      <c r="BH40" s="1278">
        <f>(BH38-BC38)*10000</f>
        <v/>
      </c>
      <c r="BI40" s="1278">
        <f>(BI38-BD38)*10000</f>
        <v/>
      </c>
      <c r="BJ40" s="1376">
        <f>(BJ38-BE38)*10000</f>
        <v/>
      </c>
      <c r="BK40" s="1278">
        <f>(BK38-BF38)*10000</f>
        <v/>
      </c>
      <c r="BL40" s="1278">
        <f>(BL38-BG38)*10000</f>
        <v/>
      </c>
      <c r="BM40" s="1278">
        <f>(BM38-BH38)*10000</f>
        <v/>
      </c>
      <c r="BN40" s="1278">
        <f>(BN38-BI38)*10000</f>
        <v/>
      </c>
      <c r="BO40" s="1377">
        <f>(BO38-BJ38)*10000</f>
        <v/>
      </c>
      <c r="BP40" s="1378" t="n">
        <v>520</v>
      </c>
      <c r="BQ40" s="1378" t="n">
        <v>0</v>
      </c>
      <c r="BR40" s="1378" t="n">
        <v>0</v>
      </c>
      <c r="BS40" s="1378" t="n">
        <v>0</v>
      </c>
      <c r="BT40" s="1376">
        <f>(BT38-BO38)*10000</f>
        <v/>
      </c>
      <c r="BU40" s="1378" t="n">
        <v>0</v>
      </c>
      <c r="BV40" s="1378" t="n">
        <v>0</v>
      </c>
      <c r="BW40" s="1378" t="n">
        <v>0</v>
      </c>
      <c r="BX40" s="1378" t="n">
        <v>0</v>
      </c>
      <c r="BY40" s="1376">
        <f>(BY38-BT38)*10000</f>
        <v/>
      </c>
      <c r="BZ40" s="1379" t="n">
        <v>0</v>
      </c>
      <c r="CA40" s="1379" t="n">
        <v>0</v>
      </c>
      <c r="CB40" s="1379" t="n">
        <v>0</v>
      </c>
      <c r="CC40" s="1380" t="n"/>
    </row>
    <row r="41" ht="14.4" customFormat="1" customHeight="1" s="1275">
      <c r="A41" s="1381" t="n"/>
      <c r="B41" s="1296" t="n"/>
      <c r="C41" s="1297" t="n"/>
      <c r="D41" s="1297" t="n"/>
      <c r="E41" s="1297" t="n"/>
      <c r="F41" s="1297" t="n"/>
      <c r="G41" s="1297" t="n"/>
      <c r="H41" s="1277" t="n"/>
      <c r="I41" s="1277" t="n"/>
      <c r="J41" s="1277" t="n"/>
      <c r="K41" s="1277" t="n"/>
      <c r="L41" s="1297" t="n"/>
      <c r="M41" s="1277" t="n"/>
      <c r="N41" s="1277" t="n"/>
      <c r="O41" s="1277" t="n"/>
      <c r="P41" s="1277" t="n"/>
      <c r="Q41" s="1297" t="n"/>
      <c r="R41" s="1277" t="n"/>
      <c r="S41" s="1277" t="n"/>
      <c r="T41" s="1277" t="n"/>
      <c r="U41" s="1277" t="n"/>
      <c r="V41" s="1297" t="n"/>
      <c r="W41" s="1277" t="n"/>
      <c r="X41" s="1277" t="n"/>
      <c r="Y41" s="1277" t="n"/>
      <c r="Z41" s="1277" t="n"/>
      <c r="AA41" s="1297" t="n"/>
      <c r="AB41" s="1277" t="n"/>
      <c r="AC41" s="1277" t="n"/>
      <c r="AD41" s="1277" t="n"/>
      <c r="AE41" s="1277" t="n"/>
      <c r="AF41" s="1297" t="n"/>
      <c r="AG41" s="1277" t="n"/>
      <c r="AH41" s="1277" t="n"/>
      <c r="AI41" s="1277" t="n"/>
      <c r="AJ41" s="1277" t="n"/>
      <c r="AK41" s="1297" t="n"/>
      <c r="AL41" s="1277" t="n"/>
      <c r="AM41" s="1277" t="n"/>
      <c r="AN41" s="1277" t="n"/>
      <c r="AO41" s="1277" t="n"/>
      <c r="AP41" s="1297" t="n"/>
      <c r="AQ41" s="1277" t="n"/>
      <c r="AR41" s="1277" t="n"/>
      <c r="AS41" s="1277" t="n"/>
      <c r="AT41" s="1277" t="n"/>
      <c r="AU41" s="1297" t="n"/>
      <c r="AV41" s="1277" t="n"/>
      <c r="AW41" s="1277" t="n"/>
      <c r="AX41" s="1277" t="n"/>
      <c r="AY41" s="1277" t="n"/>
      <c r="AZ41" s="1297" t="n"/>
      <c r="BA41" s="1277" t="n"/>
      <c r="BB41" s="1277" t="n"/>
      <c r="BC41" s="1277" t="n"/>
      <c r="BD41" s="1277" t="n"/>
      <c r="BE41" s="1297" t="n"/>
      <c r="BF41" s="1277" t="n"/>
      <c r="BG41" s="1277" t="n"/>
      <c r="BH41" s="1277" t="n"/>
      <c r="BI41" s="1277" t="n"/>
      <c r="BJ41" s="1297" t="n"/>
      <c r="BK41" s="1277" t="n"/>
      <c r="BL41" s="1277" t="n"/>
      <c r="BM41" s="1277" t="n"/>
      <c r="BN41" s="1277" t="n"/>
      <c r="BO41" s="1382" t="n"/>
      <c r="BP41" s="1277" t="n"/>
      <c r="BQ41" s="1277" t="n"/>
      <c r="BR41" s="1277" t="n"/>
      <c r="BS41" s="1277" t="n"/>
      <c r="BT41" s="1297" t="n"/>
      <c r="BU41" s="1277" t="n"/>
      <c r="BV41" s="1277" t="n"/>
      <c r="BW41" s="1277" t="n"/>
      <c r="BX41" s="1277" t="n"/>
      <c r="BY41" s="1297" t="n"/>
      <c r="BZ41" s="1297" t="n"/>
      <c r="CA41" s="1297" t="n"/>
      <c r="CB41" s="1297" t="n"/>
      <c r="CC41" s="1280" t="n"/>
    </row>
    <row r="42" ht="14.4" customFormat="1" customHeight="1" s="1275">
      <c r="A42" s="1383" t="inlineStr">
        <is>
          <t>R&amp;D Expense, mm</t>
        </is>
      </c>
      <c r="B42" s="1296" t="n"/>
      <c r="C42" s="1297">
        <f>C375</f>
        <v/>
      </c>
      <c r="D42" s="1297">
        <f>D375</f>
        <v/>
      </c>
      <c r="E42" s="1297">
        <f>E375</f>
        <v/>
      </c>
      <c r="F42" s="1297">
        <f>F375</f>
        <v/>
      </c>
      <c r="G42" s="1297">
        <f>G375</f>
        <v/>
      </c>
      <c r="H42" s="1277">
        <f>H375</f>
        <v/>
      </c>
      <c r="I42" s="1277">
        <f>I375</f>
        <v/>
      </c>
      <c r="J42" s="1277">
        <f>J375</f>
        <v/>
      </c>
      <c r="K42" s="1277">
        <f>K375</f>
        <v/>
      </c>
      <c r="L42" s="1297">
        <f>L375</f>
        <v/>
      </c>
      <c r="M42" s="1277">
        <f>M375</f>
        <v/>
      </c>
      <c r="N42" s="1277">
        <f>N375</f>
        <v/>
      </c>
      <c r="O42" s="1277">
        <f>O375</f>
        <v/>
      </c>
      <c r="P42" s="1277">
        <f>P375</f>
        <v/>
      </c>
      <c r="Q42" s="1297">
        <f>Q375</f>
        <v/>
      </c>
      <c r="R42" s="1277">
        <f>R375</f>
        <v/>
      </c>
      <c r="S42" s="1277">
        <f>S375</f>
        <v/>
      </c>
      <c r="T42" s="1277">
        <f>T375</f>
        <v/>
      </c>
      <c r="U42" s="1277">
        <f>U375</f>
        <v/>
      </c>
      <c r="V42" s="1297">
        <f>V375</f>
        <v/>
      </c>
      <c r="W42" s="1277">
        <f>W375</f>
        <v/>
      </c>
      <c r="X42" s="1277">
        <f>X375</f>
        <v/>
      </c>
      <c r="Y42" s="1277">
        <f>Y375</f>
        <v/>
      </c>
      <c r="Z42" s="1277">
        <f>Z375</f>
        <v/>
      </c>
      <c r="AA42" s="1297">
        <f>AA375</f>
        <v/>
      </c>
      <c r="AB42" s="1277">
        <f>AB375</f>
        <v/>
      </c>
      <c r="AC42" s="1277">
        <f>AC375</f>
        <v/>
      </c>
      <c r="AD42" s="1277">
        <f>AD375</f>
        <v/>
      </c>
      <c r="AE42" s="1277">
        <f>AE375</f>
        <v/>
      </c>
      <c r="AF42" s="1297">
        <f>AF375</f>
        <v/>
      </c>
      <c r="AG42" s="1277">
        <f>AG375</f>
        <v/>
      </c>
      <c r="AH42" s="1277">
        <f>AH375</f>
        <v/>
      </c>
      <c r="AI42" s="1277">
        <f>AI375</f>
        <v/>
      </c>
      <c r="AJ42" s="1277">
        <f>AJ375</f>
        <v/>
      </c>
      <c r="AK42" s="1297">
        <f>AK375</f>
        <v/>
      </c>
      <c r="AL42" s="1277">
        <f>AL375</f>
        <v/>
      </c>
      <c r="AM42" s="1277">
        <f>AM375</f>
        <v/>
      </c>
      <c r="AN42" s="1277">
        <f>AN375</f>
        <v/>
      </c>
      <c r="AO42" s="1277">
        <f>AO375</f>
        <v/>
      </c>
      <c r="AP42" s="1297">
        <f>AP375</f>
        <v/>
      </c>
      <c r="AQ42" s="1277">
        <f>AQ375</f>
        <v/>
      </c>
      <c r="AR42" s="1277">
        <f>AR375</f>
        <v/>
      </c>
      <c r="AS42" s="1277">
        <f>AS375</f>
        <v/>
      </c>
      <c r="AT42" s="1277">
        <f>AT375</f>
        <v/>
      </c>
      <c r="AU42" s="1297">
        <f>AU375</f>
        <v/>
      </c>
      <c r="AV42" s="1277">
        <f>AV375</f>
        <v/>
      </c>
      <c r="AW42" s="1277">
        <f>AW375</f>
        <v/>
      </c>
      <c r="AX42" s="1277">
        <f>AX375</f>
        <v/>
      </c>
      <c r="AY42" s="1277">
        <f>AY375</f>
        <v/>
      </c>
      <c r="AZ42" s="1297">
        <f>AZ375</f>
        <v/>
      </c>
      <c r="BA42" s="1277">
        <f>BA375</f>
        <v/>
      </c>
      <c r="BB42" s="1277">
        <f>BB375</f>
        <v/>
      </c>
      <c r="BC42" s="1277">
        <f>BC375</f>
        <v/>
      </c>
      <c r="BD42" s="1277">
        <f>BD375</f>
        <v/>
      </c>
      <c r="BE42" s="1297">
        <f>BE375</f>
        <v/>
      </c>
      <c r="BF42" s="1277">
        <f>BF375</f>
        <v/>
      </c>
      <c r="BG42" s="1277">
        <f>BG375</f>
        <v/>
      </c>
      <c r="BH42" s="1277">
        <f>BH375</f>
        <v/>
      </c>
      <c r="BI42" s="1277">
        <f>BI375</f>
        <v/>
      </c>
      <c r="BJ42" s="1297">
        <f>BJ375</f>
        <v/>
      </c>
      <c r="BK42" s="1277">
        <f>BK375</f>
        <v/>
      </c>
      <c r="BL42" s="1277">
        <f>BL375</f>
        <v/>
      </c>
      <c r="BM42" s="1277">
        <f>BM375</f>
        <v/>
      </c>
      <c r="BN42" s="1277">
        <f>BN375</f>
        <v/>
      </c>
      <c r="BO42" s="1382">
        <f>BO375</f>
        <v/>
      </c>
      <c r="BP42" s="1277">
        <f>BP34*BP44</f>
        <v/>
      </c>
      <c r="BQ42" s="1277">
        <f>BQ34*BQ44</f>
        <v/>
      </c>
      <c r="BR42" s="1277">
        <f>BR34*BR44</f>
        <v/>
      </c>
      <c r="BS42" s="1277">
        <f>BS34*BS44</f>
        <v/>
      </c>
      <c r="BT42" s="1297">
        <f>BS42+BR42+BQ42+BP42</f>
        <v/>
      </c>
      <c r="BU42" s="1277">
        <f>BU34*BU44</f>
        <v/>
      </c>
      <c r="BV42" s="1277">
        <f>BV34*BV44</f>
        <v/>
      </c>
      <c r="BW42" s="1277">
        <f>BW34*BW44</f>
        <v/>
      </c>
      <c r="BX42" s="1277">
        <f>BX34*BX44</f>
        <v/>
      </c>
      <c r="BY42" s="1297">
        <f>BX42+BW42+BV42+BU42</f>
        <v/>
      </c>
      <c r="BZ42" s="1297">
        <f>BZ34*BZ44</f>
        <v/>
      </c>
      <c r="CA42" s="1297">
        <f>CA34*CA44</f>
        <v/>
      </c>
      <c r="CB42" s="1297">
        <f>CB34*CB44</f>
        <v/>
      </c>
      <c r="CC42" s="1280" t="n"/>
    </row>
    <row r="43" ht="14.4" customFormat="1" customHeight="1" s="1302">
      <c r="A43" s="1342" t="inlineStr">
        <is>
          <t>Y/Y growth in R&amp;D expense, %</t>
        </is>
      </c>
      <c r="B43" s="1304" t="n"/>
      <c r="C43" s="1305" t="n"/>
      <c r="D43" s="1305">
        <f>D42/C42-1</f>
        <v/>
      </c>
      <c r="E43" s="1305">
        <f>E42/D42-1</f>
        <v/>
      </c>
      <c r="F43" s="1305">
        <f>F42/E42-1</f>
        <v/>
      </c>
      <c r="G43" s="1305">
        <f>G42/F42-1</f>
        <v/>
      </c>
      <c r="H43" s="1306">
        <f>H42/C42-1</f>
        <v/>
      </c>
      <c r="I43" s="1306">
        <f>I42/D42-1</f>
        <v/>
      </c>
      <c r="J43" s="1306">
        <f>J42/E42-1</f>
        <v/>
      </c>
      <c r="K43" s="1306">
        <f>K42/F42-1</f>
        <v/>
      </c>
      <c r="L43" s="1305">
        <f>L42/G42-1</f>
        <v/>
      </c>
      <c r="M43" s="1306">
        <f>M42/H42-1</f>
        <v/>
      </c>
      <c r="N43" s="1306">
        <f>N42/I42-1</f>
        <v/>
      </c>
      <c r="O43" s="1306">
        <f>O42/J42-1</f>
        <v/>
      </c>
      <c r="P43" s="1306">
        <f>P42/K42-1</f>
        <v/>
      </c>
      <c r="Q43" s="1305">
        <f>Q42/L42-1</f>
        <v/>
      </c>
      <c r="R43" s="1306">
        <f>R42/M42-1</f>
        <v/>
      </c>
      <c r="S43" s="1306">
        <f>S42/N42-1</f>
        <v/>
      </c>
      <c r="T43" s="1306">
        <f>T42/O42-1</f>
        <v/>
      </c>
      <c r="U43" s="1306">
        <f>U42/P42-1</f>
        <v/>
      </c>
      <c r="V43" s="1305">
        <f>V42/Q42-1</f>
        <v/>
      </c>
      <c r="W43" s="1306">
        <f>W42/R42-1</f>
        <v/>
      </c>
      <c r="X43" s="1306">
        <f>X42/S42-1</f>
        <v/>
      </c>
      <c r="Y43" s="1306">
        <f>Y42/T42-1</f>
        <v/>
      </c>
      <c r="Z43" s="1306">
        <f>Z42/U42-1</f>
        <v/>
      </c>
      <c r="AA43" s="1305">
        <f>AA42/V42-1</f>
        <v/>
      </c>
      <c r="AB43" s="1306">
        <f>AB42/W42-1</f>
        <v/>
      </c>
      <c r="AC43" s="1306">
        <f>AC42/X42-1</f>
        <v/>
      </c>
      <c r="AD43" s="1306">
        <f>AD42/Y42-1</f>
        <v/>
      </c>
      <c r="AE43" s="1306">
        <f>AE42/Z42-1</f>
        <v/>
      </c>
      <c r="AF43" s="1305">
        <f>AF42/AA42-1</f>
        <v/>
      </c>
      <c r="AG43" s="1306">
        <f>AG42/AB42-1</f>
        <v/>
      </c>
      <c r="AH43" s="1306">
        <f>AH42/AC42-1</f>
        <v/>
      </c>
      <c r="AI43" s="1306">
        <f>AI42/AD42-1</f>
        <v/>
      </c>
      <c r="AJ43" s="1306">
        <f>AJ42/AE42-1</f>
        <v/>
      </c>
      <c r="AK43" s="1305">
        <f>AK42/AF42-1</f>
        <v/>
      </c>
      <c r="AL43" s="1306">
        <f>AL42/AG42-1</f>
        <v/>
      </c>
      <c r="AM43" s="1306">
        <f>AM42/AH42-1</f>
        <v/>
      </c>
      <c r="AN43" s="1306">
        <f>AN42/AI42-1</f>
        <v/>
      </c>
      <c r="AO43" s="1306">
        <f>AO42/AJ42-1</f>
        <v/>
      </c>
      <c r="AP43" s="1305">
        <f>AP42/AK42-1</f>
        <v/>
      </c>
      <c r="AQ43" s="1306">
        <f>AQ42/AL42-1</f>
        <v/>
      </c>
      <c r="AR43" s="1306">
        <f>AR42/AM42-1</f>
        <v/>
      </c>
      <c r="AS43" s="1306">
        <f>AS42/AN42-1</f>
        <v/>
      </c>
      <c r="AT43" s="1306">
        <f>AT42/AO42-1</f>
        <v/>
      </c>
      <c r="AU43" s="1305">
        <f>AU42/AP42-1</f>
        <v/>
      </c>
      <c r="AV43" s="1306">
        <f>AV42/AQ42-1</f>
        <v/>
      </c>
      <c r="AW43" s="1306">
        <f>AW42/AR42-1</f>
        <v/>
      </c>
      <c r="AX43" s="1306">
        <f>AX42/AS42-1</f>
        <v/>
      </c>
      <c r="AY43" s="1306">
        <f>AY42/AT42-1</f>
        <v/>
      </c>
      <c r="AZ43" s="1305">
        <f>AZ42/AU42-1</f>
        <v/>
      </c>
      <c r="BA43" s="1306">
        <f>BA42/AV42-1</f>
        <v/>
      </c>
      <c r="BB43" s="1306">
        <f>BB42/AW42-1</f>
        <v/>
      </c>
      <c r="BC43" s="1306">
        <f>BC42/AX42-1</f>
        <v/>
      </c>
      <c r="BD43" s="1306">
        <f>BD42/AY42-1</f>
        <v/>
      </c>
      <c r="BE43" s="1305">
        <f>BE42/AZ42-1</f>
        <v/>
      </c>
      <c r="BF43" s="1306">
        <f>BF42/BA42-1</f>
        <v/>
      </c>
      <c r="BG43" s="1306">
        <f>BG42/BB42-1</f>
        <v/>
      </c>
      <c r="BH43" s="1306">
        <f>BH42/BC42-1</f>
        <v/>
      </c>
      <c r="BI43" s="1306">
        <f>BI42/BD42-1</f>
        <v/>
      </c>
      <c r="BJ43" s="1305">
        <f>BJ42/BE42-1</f>
        <v/>
      </c>
      <c r="BK43" s="1306">
        <f>BK42/BF42-1</f>
        <v/>
      </c>
      <c r="BL43" s="1306">
        <f>BL42/BG42-1</f>
        <v/>
      </c>
      <c r="BM43" s="1306">
        <f>BM42/BH42-1</f>
        <v/>
      </c>
      <c r="BN43" s="1306">
        <f>BN42/BI42-1</f>
        <v/>
      </c>
      <c r="BO43" s="1308">
        <f>BO42/BJ42-1</f>
        <v/>
      </c>
      <c r="BP43" s="1306">
        <f>BP42/BK42-1</f>
        <v/>
      </c>
      <c r="BQ43" s="1306">
        <f>BQ42/BL42-1</f>
        <v/>
      </c>
      <c r="BR43" s="1306">
        <f>BR42/BM42-1</f>
        <v/>
      </c>
      <c r="BS43" s="1306">
        <f>BS42/BN42-1</f>
        <v/>
      </c>
      <c r="BT43" s="1305">
        <f>BT42/BO42-1</f>
        <v/>
      </c>
      <c r="BU43" s="1306">
        <f>BU42/BP42-1</f>
        <v/>
      </c>
      <c r="BV43" s="1306">
        <f>BV42/BQ42-1</f>
        <v/>
      </c>
      <c r="BW43" s="1306">
        <f>BW42/BR42-1</f>
        <v/>
      </c>
      <c r="BX43" s="1306">
        <f>BX42/BS42-1</f>
        <v/>
      </c>
      <c r="BY43" s="1305">
        <f>BY42/BT42-1</f>
        <v/>
      </c>
      <c r="BZ43" s="1305">
        <f>BZ42/BY42-1</f>
        <v/>
      </c>
      <c r="CA43" s="1305">
        <f>CA42/BZ42-1</f>
        <v/>
      </c>
      <c r="CB43" s="1305">
        <f>CB42/CA42-1</f>
        <v/>
      </c>
      <c r="CC43" s="1307" t="n"/>
    </row>
    <row r="44" ht="14.4" customFormat="1" customHeight="1" s="1290">
      <c r="A44" s="1367" t="inlineStr">
        <is>
          <t>R&amp;D Margin, %</t>
        </is>
      </c>
      <c r="B44" s="1368" t="n"/>
      <c r="C44" s="1369">
        <f>C42/C34</f>
        <v/>
      </c>
      <c r="D44" s="1369">
        <f>D42/D34</f>
        <v/>
      </c>
      <c r="E44" s="1369">
        <f>E42/E34</f>
        <v/>
      </c>
      <c r="F44" s="1369">
        <f>F42/F34</f>
        <v/>
      </c>
      <c r="G44" s="1369">
        <f>G42/G34</f>
        <v/>
      </c>
      <c r="H44" s="1370">
        <f>H42/H34</f>
        <v/>
      </c>
      <c r="I44" s="1370">
        <f>I42/I34</f>
        <v/>
      </c>
      <c r="J44" s="1370">
        <f>J42/J34</f>
        <v/>
      </c>
      <c r="K44" s="1370">
        <f>K42/K34</f>
        <v/>
      </c>
      <c r="L44" s="1369">
        <f>L42/L34</f>
        <v/>
      </c>
      <c r="M44" s="1370">
        <f>M42/M34</f>
        <v/>
      </c>
      <c r="N44" s="1370">
        <f>N42/N34</f>
        <v/>
      </c>
      <c r="O44" s="1370">
        <f>O42/O34</f>
        <v/>
      </c>
      <c r="P44" s="1370">
        <f>P42/P34</f>
        <v/>
      </c>
      <c r="Q44" s="1369">
        <f>Q42/Q34</f>
        <v/>
      </c>
      <c r="R44" s="1370">
        <f>R42/R34</f>
        <v/>
      </c>
      <c r="S44" s="1370">
        <f>S42/S34</f>
        <v/>
      </c>
      <c r="T44" s="1370">
        <f>T42/T34</f>
        <v/>
      </c>
      <c r="U44" s="1370">
        <f>U42/U34</f>
        <v/>
      </c>
      <c r="V44" s="1369">
        <f>V42/V34</f>
        <v/>
      </c>
      <c r="W44" s="1370">
        <f>W42/W34</f>
        <v/>
      </c>
      <c r="X44" s="1370">
        <f>X42/X34</f>
        <v/>
      </c>
      <c r="Y44" s="1370">
        <f>Y42/Y34</f>
        <v/>
      </c>
      <c r="Z44" s="1370">
        <f>Z42/Z34</f>
        <v/>
      </c>
      <c r="AA44" s="1369">
        <f>AA42/AA34</f>
        <v/>
      </c>
      <c r="AB44" s="1370">
        <f>AB42/AB34</f>
        <v/>
      </c>
      <c r="AC44" s="1370">
        <f>AC42/AC34</f>
        <v/>
      </c>
      <c r="AD44" s="1370">
        <f>AD42/AD34</f>
        <v/>
      </c>
      <c r="AE44" s="1370">
        <f>AE42/AE34</f>
        <v/>
      </c>
      <c r="AF44" s="1369">
        <f>AF42/AF34</f>
        <v/>
      </c>
      <c r="AG44" s="1370">
        <f>AG42/AG34</f>
        <v/>
      </c>
      <c r="AH44" s="1370">
        <f>AH42/AH34</f>
        <v/>
      </c>
      <c r="AI44" s="1370">
        <f>AI42/AI34</f>
        <v/>
      </c>
      <c r="AJ44" s="1370">
        <f>AJ42/AJ34</f>
        <v/>
      </c>
      <c r="AK44" s="1369">
        <f>AK42/AK34</f>
        <v/>
      </c>
      <c r="AL44" s="1370">
        <f>AL42/AL34</f>
        <v/>
      </c>
      <c r="AM44" s="1370">
        <f>AM42/AM34</f>
        <v/>
      </c>
      <c r="AN44" s="1370">
        <f>AN42/AN34</f>
        <v/>
      </c>
      <c r="AO44" s="1370">
        <f>AO42/AO34</f>
        <v/>
      </c>
      <c r="AP44" s="1369">
        <f>AP42/AP34</f>
        <v/>
      </c>
      <c r="AQ44" s="1370">
        <f>AQ42/AQ34</f>
        <v/>
      </c>
      <c r="AR44" s="1370">
        <f>AR42/AR34</f>
        <v/>
      </c>
      <c r="AS44" s="1370">
        <f>AS42/AS34</f>
        <v/>
      </c>
      <c r="AT44" s="1370">
        <f>AT42/AT34</f>
        <v/>
      </c>
      <c r="AU44" s="1369">
        <f>AU42/AU34</f>
        <v/>
      </c>
      <c r="AV44" s="1370">
        <f>AV42/AV34</f>
        <v/>
      </c>
      <c r="AW44" s="1370">
        <f>AW42/AW34</f>
        <v/>
      </c>
      <c r="AX44" s="1370">
        <f>AX42/AX34</f>
        <v/>
      </c>
      <c r="AY44" s="1370">
        <f>AY42/AY34</f>
        <v/>
      </c>
      <c r="AZ44" s="1369">
        <f>AZ42/AZ34</f>
        <v/>
      </c>
      <c r="BA44" s="1370">
        <f>BA42/BA34</f>
        <v/>
      </c>
      <c r="BB44" s="1370">
        <f>BB42/BB34</f>
        <v/>
      </c>
      <c r="BC44" s="1370">
        <f>BC42/BC34</f>
        <v/>
      </c>
      <c r="BD44" s="1370">
        <f>BD42/BD34</f>
        <v/>
      </c>
      <c r="BE44" s="1369">
        <f>BE42/BE34</f>
        <v/>
      </c>
      <c r="BF44" s="1370">
        <f>BF42/BF34</f>
        <v/>
      </c>
      <c r="BG44" s="1370">
        <f>BG42/BG34</f>
        <v/>
      </c>
      <c r="BH44" s="1370">
        <f>BH42/BH34</f>
        <v/>
      </c>
      <c r="BI44" s="1370">
        <f>BI42/BI34</f>
        <v/>
      </c>
      <c r="BJ44" s="1369">
        <f>BJ42/BJ34</f>
        <v/>
      </c>
      <c r="BK44" s="1370">
        <f>BK42/BK34</f>
        <v/>
      </c>
      <c r="BL44" s="1370">
        <f>BL42/BL34</f>
        <v/>
      </c>
      <c r="BM44" s="1370">
        <f>BM42/BM34</f>
        <v/>
      </c>
      <c r="BN44" s="1370">
        <f>BN42/BN34</f>
        <v/>
      </c>
      <c r="BO44" s="1371">
        <f>BO42/BO34</f>
        <v/>
      </c>
      <c r="BP44" s="1370">
        <f>BK44-BP45/10000</f>
        <v/>
      </c>
      <c r="BQ44" s="1370">
        <f>BL44-BQ45/10000</f>
        <v/>
      </c>
      <c r="BR44" s="1370">
        <f>BM44-BR45/10000</f>
        <v/>
      </c>
      <c r="BS44" s="1370">
        <f>BN44-BS45/10000</f>
        <v/>
      </c>
      <c r="BT44" s="1369">
        <f>BT42/BT34</f>
        <v/>
      </c>
      <c r="BU44" s="1370">
        <f>BP44-BU45/10000</f>
        <v/>
      </c>
      <c r="BV44" s="1370">
        <f>BQ44-BV45/10000</f>
        <v/>
      </c>
      <c r="BW44" s="1370">
        <f>BR44-BW45/10000</f>
        <v/>
      </c>
      <c r="BX44" s="1370">
        <f>BS44-BX45/10000</f>
        <v/>
      </c>
      <c r="BY44" s="1369">
        <f>BY42/BY34</f>
        <v/>
      </c>
      <c r="BZ44" s="1369">
        <f>BY44-BZ45/10000</f>
        <v/>
      </c>
      <c r="CA44" s="1369">
        <f>BZ44-CA45/10000</f>
        <v/>
      </c>
      <c r="CB44" s="1369">
        <f>CA44-CB45/10000</f>
        <v/>
      </c>
      <c r="CC44" s="1294" t="n"/>
    </row>
    <row r="45" ht="14.4" customFormat="1" customHeight="1" s="1373">
      <c r="A45" s="1374" t="inlineStr">
        <is>
          <t>Y/Y improvement in R&amp;D Margin, bps</t>
        </is>
      </c>
      <c r="B45" s="1375" t="n"/>
      <c r="C45" s="1376" t="n"/>
      <c r="D45" s="1376">
        <f>-(D44-C44)*10000</f>
        <v/>
      </c>
      <c r="E45" s="1376">
        <f>-(E44-D44)*10000</f>
        <v/>
      </c>
      <c r="F45" s="1376">
        <f>-(F44-E44)*10000</f>
        <v/>
      </c>
      <c r="G45" s="1376">
        <f>-(G44-F44)*10000</f>
        <v/>
      </c>
      <c r="H45" s="1278">
        <f>-(H44-C44)*10000</f>
        <v/>
      </c>
      <c r="I45" s="1278">
        <f>-(I44-D44)*10000</f>
        <v/>
      </c>
      <c r="J45" s="1278">
        <f>-(J44-E44)*10000</f>
        <v/>
      </c>
      <c r="K45" s="1278">
        <f>-(K44-F44)*10000</f>
        <v/>
      </c>
      <c r="L45" s="1376">
        <f>-(L44-G44)*10000</f>
        <v/>
      </c>
      <c r="M45" s="1278">
        <f>-(M44-H44)*10000</f>
        <v/>
      </c>
      <c r="N45" s="1278">
        <f>-(N44-I44)*10000</f>
        <v/>
      </c>
      <c r="O45" s="1278">
        <f>-(O44-J44)*10000</f>
        <v/>
      </c>
      <c r="P45" s="1278">
        <f>-(P44-K44)*10000</f>
        <v/>
      </c>
      <c r="Q45" s="1376">
        <f>-(Q44-L44)*10000</f>
        <v/>
      </c>
      <c r="R45" s="1278">
        <f>-(R44-M44)*10000</f>
        <v/>
      </c>
      <c r="S45" s="1278">
        <f>-(S44-N44)*10000</f>
        <v/>
      </c>
      <c r="T45" s="1278">
        <f>-(T44-O44)*10000</f>
        <v/>
      </c>
      <c r="U45" s="1278">
        <f>-(U44-P44)*10000</f>
        <v/>
      </c>
      <c r="V45" s="1376">
        <f>-(V44-Q44)*10000</f>
        <v/>
      </c>
      <c r="W45" s="1278">
        <f>-(W44-R44)*10000</f>
        <v/>
      </c>
      <c r="X45" s="1278">
        <f>-(X44-S44)*10000</f>
        <v/>
      </c>
      <c r="Y45" s="1278">
        <f>-(Y44-T44)*10000</f>
        <v/>
      </c>
      <c r="Z45" s="1278">
        <f>-(Z44-U44)*10000</f>
        <v/>
      </c>
      <c r="AA45" s="1376">
        <f>-(AA44-V44)*10000</f>
        <v/>
      </c>
      <c r="AB45" s="1278">
        <f>-(AB44-W44)*10000</f>
        <v/>
      </c>
      <c r="AC45" s="1278">
        <f>-(AC44-X44)*10000</f>
        <v/>
      </c>
      <c r="AD45" s="1278">
        <f>-(AD44-Y44)*10000</f>
        <v/>
      </c>
      <c r="AE45" s="1278">
        <f>-(AE44-Z44)*10000</f>
        <v/>
      </c>
      <c r="AF45" s="1376">
        <f>-(AF44-AA44)*10000</f>
        <v/>
      </c>
      <c r="AG45" s="1278">
        <f>-(AG44-AB44)*10000</f>
        <v/>
      </c>
      <c r="AH45" s="1278">
        <f>-(AH44-AC44)*10000</f>
        <v/>
      </c>
      <c r="AI45" s="1278">
        <f>-(AI44-AD44)*10000</f>
        <v/>
      </c>
      <c r="AJ45" s="1278">
        <f>-(AJ44-AE44)*10000</f>
        <v/>
      </c>
      <c r="AK45" s="1376">
        <f>-(AK44-AF44)*10000</f>
        <v/>
      </c>
      <c r="AL45" s="1278">
        <f>-(AL44-AG44)*10000</f>
        <v/>
      </c>
      <c r="AM45" s="1278">
        <f>-(AM44-AH44)*10000</f>
        <v/>
      </c>
      <c r="AN45" s="1278">
        <f>-(AN44-AI44)*10000</f>
        <v/>
      </c>
      <c r="AO45" s="1278">
        <f>-(AO44-AJ44)*10000</f>
        <v/>
      </c>
      <c r="AP45" s="1376">
        <f>-(AP44-AK44)*10000</f>
        <v/>
      </c>
      <c r="AQ45" s="1278">
        <f>-(AQ44-AL44)*10000</f>
        <v/>
      </c>
      <c r="AR45" s="1278">
        <f>-(AR44-AM44)*10000</f>
        <v/>
      </c>
      <c r="AS45" s="1278">
        <f>-(AS44-AN44)*10000</f>
        <v/>
      </c>
      <c r="AT45" s="1278">
        <f>-(AT44-AO44)*10000</f>
        <v/>
      </c>
      <c r="AU45" s="1376">
        <f>-(AU44-AP44)*10000</f>
        <v/>
      </c>
      <c r="AV45" s="1278">
        <f>-(AV44-AQ44)*10000</f>
        <v/>
      </c>
      <c r="AW45" s="1278">
        <f>-(AW44-AR44)*10000</f>
        <v/>
      </c>
      <c r="AX45" s="1278">
        <f>-(AX44-AS44)*10000</f>
        <v/>
      </c>
      <c r="AY45" s="1278">
        <f>-(AY44-AT44)*10000</f>
        <v/>
      </c>
      <c r="AZ45" s="1376">
        <f>-(AZ44-AU44)*10000</f>
        <v/>
      </c>
      <c r="BA45" s="1278">
        <f>-(BA44-AV44)*10000</f>
        <v/>
      </c>
      <c r="BB45" s="1278">
        <f>-(BB44-AW44)*10000</f>
        <v/>
      </c>
      <c r="BC45" s="1278">
        <f>-(BC44-AX44)*10000</f>
        <v/>
      </c>
      <c r="BD45" s="1278">
        <f>-(BD44-AY44)*10000</f>
        <v/>
      </c>
      <c r="BE45" s="1376">
        <f>-(BE44-AZ44)*10000</f>
        <v/>
      </c>
      <c r="BF45" s="1278">
        <f>-(BF44-BA44)*10000</f>
        <v/>
      </c>
      <c r="BG45" s="1278">
        <f>-(BG44-BB44)*10000</f>
        <v/>
      </c>
      <c r="BH45" s="1278">
        <f>-(BH44-BC44)*10000</f>
        <v/>
      </c>
      <c r="BI45" s="1278">
        <f>-(BI44-BD44)*10000</f>
        <v/>
      </c>
      <c r="BJ45" s="1376">
        <f>-(BJ44-BE44)*10000</f>
        <v/>
      </c>
      <c r="BK45" s="1278">
        <f>-(BK44-BF44)*10000</f>
        <v/>
      </c>
      <c r="BL45" s="1278">
        <f>-(BL44-BG44)*10000</f>
        <v/>
      </c>
      <c r="BM45" s="1278">
        <f>-(BM44-BH44)*10000</f>
        <v/>
      </c>
      <c r="BN45" s="1278">
        <f>-(BN44-BI44)*10000</f>
        <v/>
      </c>
      <c r="BO45" s="1377">
        <f>-(BO44-BJ44)*10000</f>
        <v/>
      </c>
      <c r="BP45" s="1378" t="n">
        <v>80</v>
      </c>
      <c r="BQ45" s="1378" t="n">
        <v>0</v>
      </c>
      <c r="BR45" s="1378" t="n">
        <v>0</v>
      </c>
      <c r="BS45" s="1378" t="n">
        <v>0</v>
      </c>
      <c r="BT45" s="1376">
        <f>-(BT44-BO44)*10000</f>
        <v/>
      </c>
      <c r="BU45" s="1378" t="n">
        <v>0</v>
      </c>
      <c r="BV45" s="1378" t="n">
        <v>0</v>
      </c>
      <c r="BW45" s="1378" t="n">
        <v>0</v>
      </c>
      <c r="BX45" s="1378" t="n">
        <v>0</v>
      </c>
      <c r="BY45" s="1376">
        <f>-(BY44-BT44)*10000</f>
        <v/>
      </c>
      <c r="BZ45" s="1379" t="n">
        <v>0</v>
      </c>
      <c r="CA45" s="1379" t="n">
        <v>0</v>
      </c>
      <c r="CB45" s="1379" t="n">
        <v>0</v>
      </c>
      <c r="CC45" s="1380" t="n"/>
    </row>
    <row r="46" ht="14.4" customFormat="1" customHeight="1" s="1275">
      <c r="A46" s="1381" t="n"/>
      <c r="B46" s="1296" t="n"/>
      <c r="C46" s="1297" t="n"/>
      <c r="D46" s="1297" t="n"/>
      <c r="E46" s="1297" t="n"/>
      <c r="F46" s="1297" t="n"/>
      <c r="G46" s="1297" t="n"/>
      <c r="H46" s="1277" t="n"/>
      <c r="I46" s="1277" t="n"/>
      <c r="J46" s="1277" t="n"/>
      <c r="K46" s="1277" t="n"/>
      <c r="L46" s="1297" t="n"/>
      <c r="M46" s="1277" t="n"/>
      <c r="N46" s="1277" t="n"/>
      <c r="O46" s="1277" t="n"/>
      <c r="P46" s="1277" t="n"/>
      <c r="Q46" s="1297" t="n"/>
      <c r="R46" s="1277" t="n"/>
      <c r="S46" s="1277" t="n"/>
      <c r="T46" s="1277" t="n"/>
      <c r="U46" s="1277" t="n"/>
      <c r="V46" s="1297" t="n"/>
      <c r="W46" s="1277" t="n"/>
      <c r="X46" s="1277" t="n"/>
      <c r="Y46" s="1277" t="n"/>
      <c r="Z46" s="1277" t="n"/>
      <c r="AA46" s="1297" t="n"/>
      <c r="AB46" s="1277" t="n"/>
      <c r="AC46" s="1277" t="n"/>
      <c r="AD46" s="1277" t="n"/>
      <c r="AE46" s="1277" t="n"/>
      <c r="AF46" s="1297" t="n"/>
      <c r="AG46" s="1277" t="n"/>
      <c r="AH46" s="1277" t="n"/>
      <c r="AI46" s="1277" t="n"/>
      <c r="AJ46" s="1277" t="n"/>
      <c r="AK46" s="1297" t="n"/>
      <c r="AL46" s="1277" t="n"/>
      <c r="AM46" s="1277" t="n"/>
      <c r="AN46" s="1277" t="n"/>
      <c r="AO46" s="1277" t="n"/>
      <c r="AP46" s="1297" t="n"/>
      <c r="AQ46" s="1277" t="n"/>
      <c r="AR46" s="1277" t="n"/>
      <c r="AS46" s="1277" t="n"/>
      <c r="AT46" s="1277" t="n"/>
      <c r="AU46" s="1297" t="n"/>
      <c r="AV46" s="1277" t="n"/>
      <c r="AW46" s="1277" t="n"/>
      <c r="AX46" s="1277" t="n"/>
      <c r="AY46" s="1277" t="n"/>
      <c r="AZ46" s="1297" t="n"/>
      <c r="BA46" s="1277" t="n"/>
      <c r="BB46" s="1277" t="n"/>
      <c r="BC46" s="1277" t="n"/>
      <c r="BD46" s="1277" t="n"/>
      <c r="BE46" s="1297" t="n"/>
      <c r="BF46" s="1277" t="n"/>
      <c r="BG46" s="1277" t="n"/>
      <c r="BH46" s="1277" t="n"/>
      <c r="BI46" s="1277" t="n"/>
      <c r="BJ46" s="1297" t="n"/>
      <c r="BK46" s="1277" t="n"/>
      <c r="BL46" s="1277" t="n"/>
      <c r="BM46" s="1277" t="n"/>
      <c r="BN46" s="1277" t="n"/>
      <c r="BO46" s="1382" t="n"/>
      <c r="BP46" s="1277" t="n"/>
      <c r="BQ46" s="1277" t="n"/>
      <c r="BR46" s="1277" t="n"/>
      <c r="BS46" s="1277" t="n"/>
      <c r="BT46" s="1297" t="n"/>
      <c r="BU46" s="1277" t="n"/>
      <c r="BV46" s="1277" t="n"/>
      <c r="BW46" s="1277" t="n"/>
      <c r="BX46" s="1277" t="n"/>
      <c r="BY46" s="1297" t="n"/>
      <c r="BZ46" s="1297" t="n"/>
      <c r="CA46" s="1297" t="n"/>
      <c r="CB46" s="1297" t="n"/>
      <c r="CC46" s="1280" t="n"/>
    </row>
    <row r="47" ht="14.4" customFormat="1" customHeight="1" s="1275">
      <c r="A47" s="1383" t="inlineStr">
        <is>
          <t>G&amp;A Expense, mm</t>
        </is>
      </c>
      <c r="B47" s="1296" t="n"/>
      <c r="C47" s="1297">
        <f>C376</f>
        <v/>
      </c>
      <c r="D47" s="1297">
        <f>D376</f>
        <v/>
      </c>
      <c r="E47" s="1297">
        <f>E376</f>
        <v/>
      </c>
      <c r="F47" s="1297">
        <f>F376</f>
        <v/>
      </c>
      <c r="G47" s="1297">
        <f>G376</f>
        <v/>
      </c>
      <c r="H47" s="1277">
        <f>H376</f>
        <v/>
      </c>
      <c r="I47" s="1277">
        <f>I376</f>
        <v/>
      </c>
      <c r="J47" s="1277">
        <f>J376</f>
        <v/>
      </c>
      <c r="K47" s="1277">
        <f>K376</f>
        <v/>
      </c>
      <c r="L47" s="1297">
        <f>L376</f>
        <v/>
      </c>
      <c r="M47" s="1277">
        <f>M376</f>
        <v/>
      </c>
      <c r="N47" s="1277">
        <f>N376</f>
        <v/>
      </c>
      <c r="O47" s="1277">
        <f>O376</f>
        <v/>
      </c>
      <c r="P47" s="1277">
        <f>P376</f>
        <v/>
      </c>
      <c r="Q47" s="1297">
        <f>Q376</f>
        <v/>
      </c>
      <c r="R47" s="1277">
        <f>R376</f>
        <v/>
      </c>
      <c r="S47" s="1277">
        <f>S376</f>
        <v/>
      </c>
      <c r="T47" s="1277">
        <f>T376</f>
        <v/>
      </c>
      <c r="U47" s="1277">
        <f>U376</f>
        <v/>
      </c>
      <c r="V47" s="1297">
        <f>V376</f>
        <v/>
      </c>
      <c r="W47" s="1277">
        <f>W376</f>
        <v/>
      </c>
      <c r="X47" s="1277">
        <f>X376</f>
        <v/>
      </c>
      <c r="Y47" s="1277">
        <f>Y376</f>
        <v/>
      </c>
      <c r="Z47" s="1277">
        <f>Z376</f>
        <v/>
      </c>
      <c r="AA47" s="1297">
        <f>AA376</f>
        <v/>
      </c>
      <c r="AB47" s="1277">
        <f>AB376</f>
        <v/>
      </c>
      <c r="AC47" s="1277">
        <f>AC376</f>
        <v/>
      </c>
      <c r="AD47" s="1277">
        <f>AD376</f>
        <v/>
      </c>
      <c r="AE47" s="1277">
        <f>AE376</f>
        <v/>
      </c>
      <c r="AF47" s="1297">
        <f>AF376</f>
        <v/>
      </c>
      <c r="AG47" s="1277">
        <f>AG376</f>
        <v/>
      </c>
      <c r="AH47" s="1277">
        <f>AH376</f>
        <v/>
      </c>
      <c r="AI47" s="1277">
        <f>AI376</f>
        <v/>
      </c>
      <c r="AJ47" s="1277">
        <f>AJ376</f>
        <v/>
      </c>
      <c r="AK47" s="1297">
        <f>AK376</f>
        <v/>
      </c>
      <c r="AL47" s="1277">
        <f>AL376</f>
        <v/>
      </c>
      <c r="AM47" s="1277">
        <f>AM376</f>
        <v/>
      </c>
      <c r="AN47" s="1277">
        <f>AN376</f>
        <v/>
      </c>
      <c r="AO47" s="1277">
        <f>AO376</f>
        <v/>
      </c>
      <c r="AP47" s="1297">
        <f>AP376</f>
        <v/>
      </c>
      <c r="AQ47" s="1277">
        <f>AQ376</f>
        <v/>
      </c>
      <c r="AR47" s="1277">
        <f>AR376</f>
        <v/>
      </c>
      <c r="AS47" s="1277">
        <f>AS376</f>
        <v/>
      </c>
      <c r="AT47" s="1277">
        <f>AT376</f>
        <v/>
      </c>
      <c r="AU47" s="1297">
        <f>AU376</f>
        <v/>
      </c>
      <c r="AV47" s="1277">
        <f>AV376</f>
        <v/>
      </c>
      <c r="AW47" s="1277">
        <f>AW376</f>
        <v/>
      </c>
      <c r="AX47" s="1277">
        <f>AX376</f>
        <v/>
      </c>
      <c r="AY47" s="1277">
        <f>AY376</f>
        <v/>
      </c>
      <c r="AZ47" s="1297">
        <f>AZ376</f>
        <v/>
      </c>
      <c r="BA47" s="1277">
        <f>BA376</f>
        <v/>
      </c>
      <c r="BB47" s="1277">
        <f>BB376</f>
        <v/>
      </c>
      <c r="BC47" s="1277">
        <f>BC376</f>
        <v/>
      </c>
      <c r="BD47" s="1277">
        <f>BD376</f>
        <v/>
      </c>
      <c r="BE47" s="1297">
        <f>BE376</f>
        <v/>
      </c>
      <c r="BF47" s="1277">
        <f>BF376</f>
        <v/>
      </c>
      <c r="BG47" s="1277">
        <f>BG376</f>
        <v/>
      </c>
      <c r="BH47" s="1277">
        <f>BH376</f>
        <v/>
      </c>
      <c r="BI47" s="1277">
        <f>BI376</f>
        <v/>
      </c>
      <c r="BJ47" s="1297">
        <f>BJ376</f>
        <v/>
      </c>
      <c r="BK47" s="1277">
        <f>BK376</f>
        <v/>
      </c>
      <c r="BL47" s="1277">
        <f>BL376</f>
        <v/>
      </c>
      <c r="BM47" s="1277">
        <f>BM376</f>
        <v/>
      </c>
      <c r="BN47" s="1277">
        <f>BN376</f>
        <v/>
      </c>
      <c r="BO47" s="1382">
        <f>BO376</f>
        <v/>
      </c>
      <c r="BP47" s="1277">
        <f>BP34*BP49</f>
        <v/>
      </c>
      <c r="BQ47" s="1277">
        <f>BQ34*BQ49</f>
        <v/>
      </c>
      <c r="BR47" s="1277">
        <f>BR34*BR49</f>
        <v/>
      </c>
      <c r="BS47" s="1277">
        <f>BS34*BS49</f>
        <v/>
      </c>
      <c r="BT47" s="1297">
        <f>BS47+BR47+BQ47+BP47</f>
        <v/>
      </c>
      <c r="BU47" s="1277">
        <f>BU34*BU49</f>
        <v/>
      </c>
      <c r="BV47" s="1277">
        <f>BV34*BV49</f>
        <v/>
      </c>
      <c r="BW47" s="1277">
        <f>BW34*BW49</f>
        <v/>
      </c>
      <c r="BX47" s="1277">
        <f>BX34*BX49</f>
        <v/>
      </c>
      <c r="BY47" s="1297">
        <f>BX47+BW47+BV47+BU47</f>
        <v/>
      </c>
      <c r="BZ47" s="1297">
        <f>BZ34*BZ49</f>
        <v/>
      </c>
      <c r="CA47" s="1297">
        <f>CA34*CA49</f>
        <v/>
      </c>
      <c r="CB47" s="1297">
        <f>CB34*CB49</f>
        <v/>
      </c>
      <c r="CC47" s="1280" t="n"/>
    </row>
    <row r="48" ht="14.4" customFormat="1" customHeight="1" s="1302">
      <c r="A48" s="1342" t="inlineStr">
        <is>
          <t>Y/Y growth in G&amp;A expense, %</t>
        </is>
      </c>
      <c r="B48" s="1304" t="n"/>
      <c r="C48" s="1305" t="n"/>
      <c r="D48" s="1305">
        <f>D47/C47-1</f>
        <v/>
      </c>
      <c r="E48" s="1305">
        <f>E47/D47-1</f>
        <v/>
      </c>
      <c r="F48" s="1305">
        <f>F47/E47-1</f>
        <v/>
      </c>
      <c r="G48" s="1305">
        <f>G47/F47-1</f>
        <v/>
      </c>
      <c r="H48" s="1306">
        <f>H47/C47-1</f>
        <v/>
      </c>
      <c r="I48" s="1306">
        <f>I47/D47-1</f>
        <v/>
      </c>
      <c r="J48" s="1306">
        <f>J47/E47-1</f>
        <v/>
      </c>
      <c r="K48" s="1306">
        <f>K47/F47-1</f>
        <v/>
      </c>
      <c r="L48" s="1305">
        <f>L47/G47-1</f>
        <v/>
      </c>
      <c r="M48" s="1306">
        <f>M47/H47-1</f>
        <v/>
      </c>
      <c r="N48" s="1306">
        <f>N47/I47-1</f>
        <v/>
      </c>
      <c r="O48" s="1306">
        <f>O47/J47-1</f>
        <v/>
      </c>
      <c r="P48" s="1306">
        <f>P47/K47-1</f>
        <v/>
      </c>
      <c r="Q48" s="1305">
        <f>Q47/L47-1</f>
        <v/>
      </c>
      <c r="R48" s="1306">
        <f>R47/M47-1</f>
        <v/>
      </c>
      <c r="S48" s="1306">
        <f>S47/N47-1</f>
        <v/>
      </c>
      <c r="T48" s="1306">
        <f>T47/O47-1</f>
        <v/>
      </c>
      <c r="U48" s="1306">
        <f>U47/P47-1</f>
        <v/>
      </c>
      <c r="V48" s="1305">
        <f>V47/Q47-1</f>
        <v/>
      </c>
      <c r="W48" s="1306">
        <f>W47/R47-1</f>
        <v/>
      </c>
      <c r="X48" s="1306">
        <f>X47/S47-1</f>
        <v/>
      </c>
      <c r="Y48" s="1306">
        <f>Y47/T47-1</f>
        <v/>
      </c>
      <c r="Z48" s="1306">
        <f>Z47/U47-1</f>
        <v/>
      </c>
      <c r="AA48" s="1305">
        <f>AA47/V47-1</f>
        <v/>
      </c>
      <c r="AB48" s="1306">
        <f>AB47/W47-1</f>
        <v/>
      </c>
      <c r="AC48" s="1306">
        <f>AC47/X47-1</f>
        <v/>
      </c>
      <c r="AD48" s="1306">
        <f>AD47/Y47-1</f>
        <v/>
      </c>
      <c r="AE48" s="1306">
        <f>AE47/Z47-1</f>
        <v/>
      </c>
      <c r="AF48" s="1305">
        <f>AF47/AA47-1</f>
        <v/>
      </c>
      <c r="AG48" s="1306">
        <f>AG47/AB47-1</f>
        <v/>
      </c>
      <c r="AH48" s="1306">
        <f>AH47/AC47-1</f>
        <v/>
      </c>
      <c r="AI48" s="1306">
        <f>AI47/AD47-1</f>
        <v/>
      </c>
      <c r="AJ48" s="1306">
        <f>AJ47/AE47-1</f>
        <v/>
      </c>
      <c r="AK48" s="1305">
        <f>AK47/AF47-1</f>
        <v/>
      </c>
      <c r="AL48" s="1306">
        <f>AL47/AG47-1</f>
        <v/>
      </c>
      <c r="AM48" s="1306">
        <f>AM47/AH47-1</f>
        <v/>
      </c>
      <c r="AN48" s="1306">
        <f>AN47/AI47-1</f>
        <v/>
      </c>
      <c r="AO48" s="1306">
        <f>AO47/AJ47-1</f>
        <v/>
      </c>
      <c r="AP48" s="1305">
        <f>AP47/AK47-1</f>
        <v/>
      </c>
      <c r="AQ48" s="1306">
        <f>AQ47/AL47-1</f>
        <v/>
      </c>
      <c r="AR48" s="1306">
        <f>AR47/AM47-1</f>
        <v/>
      </c>
      <c r="AS48" s="1306">
        <f>AS47/AN47-1</f>
        <v/>
      </c>
      <c r="AT48" s="1306">
        <f>AT47/AO47-1</f>
        <v/>
      </c>
      <c r="AU48" s="1305">
        <f>AU47/AP47-1</f>
        <v/>
      </c>
      <c r="AV48" s="1306">
        <f>AV47/AQ47-1</f>
        <v/>
      </c>
      <c r="AW48" s="1306">
        <f>AW47/AR47-1</f>
        <v/>
      </c>
      <c r="AX48" s="1306">
        <f>AX47/AS47-1</f>
        <v/>
      </c>
      <c r="AY48" s="1306">
        <f>AY47/AT47-1</f>
        <v/>
      </c>
      <c r="AZ48" s="1305">
        <f>AZ47/AU47-1</f>
        <v/>
      </c>
      <c r="BA48" s="1306">
        <f>BA47/AV47-1</f>
        <v/>
      </c>
      <c r="BB48" s="1306">
        <f>BB47/AW47-1</f>
        <v/>
      </c>
      <c r="BC48" s="1306">
        <f>BC47/AX47-1</f>
        <v/>
      </c>
      <c r="BD48" s="1306">
        <f>BD47/AY47-1</f>
        <v/>
      </c>
      <c r="BE48" s="1305">
        <f>BE47/AZ47-1</f>
        <v/>
      </c>
      <c r="BF48" s="1306">
        <f>BF47/BA47-1</f>
        <v/>
      </c>
      <c r="BG48" s="1306">
        <f>BG47/BB47-1</f>
        <v/>
      </c>
      <c r="BH48" s="1306">
        <f>BH47/BC47-1</f>
        <v/>
      </c>
      <c r="BI48" s="1306">
        <f>BI47/BD47-1</f>
        <v/>
      </c>
      <c r="BJ48" s="1305">
        <f>BJ47/BE47-1</f>
        <v/>
      </c>
      <c r="BK48" s="1306">
        <f>BK47/BF47-1</f>
        <v/>
      </c>
      <c r="BL48" s="1306">
        <f>BL47/BG47-1</f>
        <v/>
      </c>
      <c r="BM48" s="1306">
        <f>BM47/BH47-1</f>
        <v/>
      </c>
      <c r="BN48" s="1306">
        <f>BN47/BI47-1</f>
        <v/>
      </c>
      <c r="BO48" s="1308">
        <f>BO47/BJ47-1</f>
        <v/>
      </c>
      <c r="BP48" s="1306">
        <f>BP47/BK47-1</f>
        <v/>
      </c>
      <c r="BQ48" s="1306">
        <f>BQ47/BL47-1</f>
        <v/>
      </c>
      <c r="BR48" s="1306">
        <f>BR47/BM47-1</f>
        <v/>
      </c>
      <c r="BS48" s="1306">
        <f>BS47/BN47-1</f>
        <v/>
      </c>
      <c r="BT48" s="1305">
        <f>BT47/BO47-1</f>
        <v/>
      </c>
      <c r="BU48" s="1306">
        <f>BU47/BP47-1</f>
        <v/>
      </c>
      <c r="BV48" s="1306">
        <f>BV47/BQ47-1</f>
        <v/>
      </c>
      <c r="BW48" s="1306">
        <f>BW47/BR47-1</f>
        <v/>
      </c>
      <c r="BX48" s="1306">
        <f>BX47/BS47-1</f>
        <v/>
      </c>
      <c r="BY48" s="1305">
        <f>BY47/BT47-1</f>
        <v/>
      </c>
      <c r="BZ48" s="1305">
        <f>BZ47/BY47-1</f>
        <v/>
      </c>
      <c r="CA48" s="1305">
        <f>CA47/BZ47-1</f>
        <v/>
      </c>
      <c r="CB48" s="1305">
        <f>CB47/CA47-1</f>
        <v/>
      </c>
      <c r="CC48" s="1307" t="n"/>
    </row>
    <row r="49" ht="14.4" customFormat="1" customHeight="1" s="1290">
      <c r="A49" s="1367" t="inlineStr">
        <is>
          <t>G&amp;A Margin, %</t>
        </is>
      </c>
      <c r="B49" s="1368" t="n"/>
      <c r="C49" s="1369">
        <f>C47/C34</f>
        <v/>
      </c>
      <c r="D49" s="1369">
        <f>D47/D34</f>
        <v/>
      </c>
      <c r="E49" s="1369">
        <f>E47/E34</f>
        <v/>
      </c>
      <c r="F49" s="1369">
        <f>F47/F34</f>
        <v/>
      </c>
      <c r="G49" s="1369">
        <f>G47/G34</f>
        <v/>
      </c>
      <c r="H49" s="1370">
        <f>H47/H34</f>
        <v/>
      </c>
      <c r="I49" s="1370">
        <f>I47/I34</f>
        <v/>
      </c>
      <c r="J49" s="1370">
        <f>J47/J34</f>
        <v/>
      </c>
      <c r="K49" s="1370">
        <f>K47/K34</f>
        <v/>
      </c>
      <c r="L49" s="1369">
        <f>L47/L34</f>
        <v/>
      </c>
      <c r="M49" s="1370">
        <f>M47/M34</f>
        <v/>
      </c>
      <c r="N49" s="1370">
        <f>N47/N34</f>
        <v/>
      </c>
      <c r="O49" s="1370">
        <f>O47/O34</f>
        <v/>
      </c>
      <c r="P49" s="1370">
        <f>P47/P34</f>
        <v/>
      </c>
      <c r="Q49" s="1369">
        <f>Q47/Q34</f>
        <v/>
      </c>
      <c r="R49" s="1370">
        <f>R47/R34</f>
        <v/>
      </c>
      <c r="S49" s="1370">
        <f>S47/S34</f>
        <v/>
      </c>
      <c r="T49" s="1370">
        <f>T47/T34</f>
        <v/>
      </c>
      <c r="U49" s="1370">
        <f>U47/U34</f>
        <v/>
      </c>
      <c r="V49" s="1369">
        <f>V47/V34</f>
        <v/>
      </c>
      <c r="W49" s="1370">
        <f>W47/W34</f>
        <v/>
      </c>
      <c r="X49" s="1370">
        <f>X47/X34</f>
        <v/>
      </c>
      <c r="Y49" s="1370">
        <f>Y47/Y34</f>
        <v/>
      </c>
      <c r="Z49" s="1370">
        <f>Z47/Z34</f>
        <v/>
      </c>
      <c r="AA49" s="1369">
        <f>AA47/AA34</f>
        <v/>
      </c>
      <c r="AB49" s="1370">
        <f>AB47/AB34</f>
        <v/>
      </c>
      <c r="AC49" s="1370">
        <f>AC47/AC34</f>
        <v/>
      </c>
      <c r="AD49" s="1370">
        <f>AD47/AD34</f>
        <v/>
      </c>
      <c r="AE49" s="1370">
        <f>AE47/AE34</f>
        <v/>
      </c>
      <c r="AF49" s="1369">
        <f>AF47/AF34</f>
        <v/>
      </c>
      <c r="AG49" s="1370">
        <f>AG47/AG34</f>
        <v/>
      </c>
      <c r="AH49" s="1370">
        <f>AH47/AH34</f>
        <v/>
      </c>
      <c r="AI49" s="1370">
        <f>AI47/AI34</f>
        <v/>
      </c>
      <c r="AJ49" s="1370">
        <f>AJ47/AJ34</f>
        <v/>
      </c>
      <c r="AK49" s="1369">
        <f>AK47/AK34</f>
        <v/>
      </c>
      <c r="AL49" s="1370">
        <f>AL47/AL34</f>
        <v/>
      </c>
      <c r="AM49" s="1370">
        <f>AM47/AM34</f>
        <v/>
      </c>
      <c r="AN49" s="1370">
        <f>AN47/AN34</f>
        <v/>
      </c>
      <c r="AO49" s="1370">
        <f>AO47/AO34</f>
        <v/>
      </c>
      <c r="AP49" s="1369">
        <f>AP47/AP34</f>
        <v/>
      </c>
      <c r="AQ49" s="1370">
        <f>AQ47/AQ34</f>
        <v/>
      </c>
      <c r="AR49" s="1370">
        <f>AR47/AR34</f>
        <v/>
      </c>
      <c r="AS49" s="1370">
        <f>AS47/AS34</f>
        <v/>
      </c>
      <c r="AT49" s="1370">
        <f>AT47/AT34</f>
        <v/>
      </c>
      <c r="AU49" s="1369">
        <f>AU47/AU34</f>
        <v/>
      </c>
      <c r="AV49" s="1370">
        <f>AV47/AV34</f>
        <v/>
      </c>
      <c r="AW49" s="1370">
        <f>AW47/AW34</f>
        <v/>
      </c>
      <c r="AX49" s="1370">
        <f>AX47/AX34</f>
        <v/>
      </c>
      <c r="AY49" s="1370">
        <f>AY47/AY34</f>
        <v/>
      </c>
      <c r="AZ49" s="1369">
        <f>AZ47/AZ34</f>
        <v/>
      </c>
      <c r="BA49" s="1370">
        <f>BA47/BA34</f>
        <v/>
      </c>
      <c r="BB49" s="1370">
        <f>BB47/BB34</f>
        <v/>
      </c>
      <c r="BC49" s="1370">
        <f>BC47/BC34</f>
        <v/>
      </c>
      <c r="BD49" s="1370">
        <f>BD47/BD34</f>
        <v/>
      </c>
      <c r="BE49" s="1369">
        <f>BE47/BE34</f>
        <v/>
      </c>
      <c r="BF49" s="1370">
        <f>BF47/BF34</f>
        <v/>
      </c>
      <c r="BG49" s="1370">
        <f>BG47/BG34</f>
        <v/>
      </c>
      <c r="BH49" s="1370">
        <f>BH47/BH34</f>
        <v/>
      </c>
      <c r="BI49" s="1370">
        <f>BI47/BI34</f>
        <v/>
      </c>
      <c r="BJ49" s="1369">
        <f>BJ47/BJ34</f>
        <v/>
      </c>
      <c r="BK49" s="1370">
        <f>BK47/BK34</f>
        <v/>
      </c>
      <c r="BL49" s="1370">
        <f>BL47/BL34</f>
        <v/>
      </c>
      <c r="BM49" s="1370">
        <f>BM47/BM34</f>
        <v/>
      </c>
      <c r="BN49" s="1370">
        <f>BN47/BN34</f>
        <v/>
      </c>
      <c r="BO49" s="1371">
        <f>BO47/BO34</f>
        <v/>
      </c>
      <c r="BP49" s="1370">
        <f>BK49-BP50/10000</f>
        <v/>
      </c>
      <c r="BQ49" s="1370">
        <f>BL49-BQ50/10000</f>
        <v/>
      </c>
      <c r="BR49" s="1370">
        <f>BM49-BR50/10000</f>
        <v/>
      </c>
      <c r="BS49" s="1370">
        <f>BN49-BS50/10000</f>
        <v/>
      </c>
      <c r="BT49" s="1369">
        <f>BT47/BT34</f>
        <v/>
      </c>
      <c r="BU49" s="1370">
        <f>BP49-BU50/10000</f>
        <v/>
      </c>
      <c r="BV49" s="1370">
        <f>BQ49-BV50/10000</f>
        <v/>
      </c>
      <c r="BW49" s="1370">
        <f>BR49-BW50/10000</f>
        <v/>
      </c>
      <c r="BX49" s="1370">
        <f>BS49-BX50/10000</f>
        <v/>
      </c>
      <c r="BY49" s="1369">
        <f>BY47/BY34</f>
        <v/>
      </c>
      <c r="BZ49" s="1369">
        <f>BY49-BZ50/10000</f>
        <v/>
      </c>
      <c r="CA49" s="1369">
        <f>BZ49-CA50/10000</f>
        <v/>
      </c>
      <c r="CB49" s="1369">
        <f>CA49-CB50/10000</f>
        <v/>
      </c>
      <c r="CC49" s="1294" t="n"/>
    </row>
    <row r="50" ht="14.4" customFormat="1" customHeight="1" s="1373">
      <c r="A50" s="1374" t="inlineStr">
        <is>
          <t>Y/Y improvement in G&amp;A Margin, bps</t>
        </is>
      </c>
      <c r="B50" s="1375" t="n"/>
      <c r="C50" s="1376" t="n"/>
      <c r="D50" s="1376">
        <f>-(D49-C49)*10000</f>
        <v/>
      </c>
      <c r="E50" s="1376">
        <f>-(E49-D49)*10000</f>
        <v/>
      </c>
      <c r="F50" s="1376">
        <f>-(F49-E49)*10000</f>
        <v/>
      </c>
      <c r="G50" s="1376">
        <f>-(G49-F49)*10000</f>
        <v/>
      </c>
      <c r="H50" s="1278">
        <f>-(H49-C49)*10000</f>
        <v/>
      </c>
      <c r="I50" s="1278">
        <f>-(I49-D49)*10000</f>
        <v/>
      </c>
      <c r="J50" s="1278">
        <f>-(J49-E49)*10000</f>
        <v/>
      </c>
      <c r="K50" s="1278">
        <f>-(K49-F49)*10000</f>
        <v/>
      </c>
      <c r="L50" s="1376">
        <f>-(L49-G49)*10000</f>
        <v/>
      </c>
      <c r="M50" s="1278">
        <f>-(M49-H49)*10000</f>
        <v/>
      </c>
      <c r="N50" s="1278">
        <f>-(N49-I49)*10000</f>
        <v/>
      </c>
      <c r="O50" s="1278">
        <f>-(O49-J49)*10000</f>
        <v/>
      </c>
      <c r="P50" s="1278">
        <f>-(P49-K49)*10000</f>
        <v/>
      </c>
      <c r="Q50" s="1376">
        <f>-(Q49-L49)*10000</f>
        <v/>
      </c>
      <c r="R50" s="1278">
        <f>-(R49-M49)*10000</f>
        <v/>
      </c>
      <c r="S50" s="1278">
        <f>-(S49-N49)*10000</f>
        <v/>
      </c>
      <c r="T50" s="1278">
        <f>-(T49-O49)*10000</f>
        <v/>
      </c>
      <c r="U50" s="1278">
        <f>-(U49-P49)*10000</f>
        <v/>
      </c>
      <c r="V50" s="1376">
        <f>-(V49-Q49)*10000</f>
        <v/>
      </c>
      <c r="W50" s="1278">
        <f>-(W49-R49)*10000</f>
        <v/>
      </c>
      <c r="X50" s="1278">
        <f>-(X49-S49)*10000</f>
        <v/>
      </c>
      <c r="Y50" s="1278">
        <f>-(Y49-T49)*10000</f>
        <v/>
      </c>
      <c r="Z50" s="1278">
        <f>-(Z49-U49)*10000</f>
        <v/>
      </c>
      <c r="AA50" s="1376">
        <f>-(AA49-V49)*10000</f>
        <v/>
      </c>
      <c r="AB50" s="1278">
        <f>-(AB49-W49)*10000</f>
        <v/>
      </c>
      <c r="AC50" s="1278">
        <f>-(AC49-X49)*10000</f>
        <v/>
      </c>
      <c r="AD50" s="1278">
        <f>-(AD49-Y49)*10000</f>
        <v/>
      </c>
      <c r="AE50" s="1278">
        <f>-(AE49-Z49)*10000</f>
        <v/>
      </c>
      <c r="AF50" s="1376">
        <f>-(AF49-AA49)*10000</f>
        <v/>
      </c>
      <c r="AG50" s="1278">
        <f>-(AG49-AB49)*10000</f>
        <v/>
      </c>
      <c r="AH50" s="1278">
        <f>-(AH49-AC49)*10000</f>
        <v/>
      </c>
      <c r="AI50" s="1278">
        <f>-(AI49-AD49)*10000</f>
        <v/>
      </c>
      <c r="AJ50" s="1278">
        <f>-(AJ49-AE49)*10000</f>
        <v/>
      </c>
      <c r="AK50" s="1376">
        <f>-(AK49-AF49)*10000</f>
        <v/>
      </c>
      <c r="AL50" s="1278">
        <f>-(AL49-AG49)*10000</f>
        <v/>
      </c>
      <c r="AM50" s="1278">
        <f>-(AM49-AH49)*10000</f>
        <v/>
      </c>
      <c r="AN50" s="1278">
        <f>-(AN49-AI49)*10000</f>
        <v/>
      </c>
      <c r="AO50" s="1278">
        <f>-(AO49-AJ49)*10000</f>
        <v/>
      </c>
      <c r="AP50" s="1376">
        <f>-(AP49-AK49)*10000</f>
        <v/>
      </c>
      <c r="AQ50" s="1278">
        <f>-(AQ49-AL49)*10000</f>
        <v/>
      </c>
      <c r="AR50" s="1278">
        <f>-(AR49-AM49)*10000</f>
        <v/>
      </c>
      <c r="AS50" s="1278">
        <f>-(AS49-AN49)*10000</f>
        <v/>
      </c>
      <c r="AT50" s="1278">
        <f>-(AT49-AO49)*10000</f>
        <v/>
      </c>
      <c r="AU50" s="1376">
        <f>-(AU49-AP49)*10000</f>
        <v/>
      </c>
      <c r="AV50" s="1278">
        <f>-(AV49-AQ49)*10000</f>
        <v/>
      </c>
      <c r="AW50" s="1278">
        <f>-(AW49-AR49)*10000</f>
        <v/>
      </c>
      <c r="AX50" s="1278">
        <f>-(AX49-AS49)*10000</f>
        <v/>
      </c>
      <c r="AY50" s="1278">
        <f>-(AY49-AT49)*10000</f>
        <v/>
      </c>
      <c r="AZ50" s="1376">
        <f>-(AZ49-AU49)*10000</f>
        <v/>
      </c>
      <c r="BA50" s="1278">
        <f>-(BA49-AV49)*10000</f>
        <v/>
      </c>
      <c r="BB50" s="1278">
        <f>-(BB49-AW49)*10000</f>
        <v/>
      </c>
      <c r="BC50" s="1278">
        <f>-(BC49-AX49)*10000</f>
        <v/>
      </c>
      <c r="BD50" s="1278">
        <f>-(BD49-AY49)*10000</f>
        <v/>
      </c>
      <c r="BE50" s="1376">
        <f>-(BE49-AZ49)*10000</f>
        <v/>
      </c>
      <c r="BF50" s="1278">
        <f>-(BF49-BA49)*10000</f>
        <v/>
      </c>
      <c r="BG50" s="1278">
        <f>-(BG49-BB49)*10000</f>
        <v/>
      </c>
      <c r="BH50" s="1278">
        <f>-(BH49-BC49)*10000</f>
        <v/>
      </c>
      <c r="BI50" s="1278">
        <f>-(BI49-BD49)*10000</f>
        <v/>
      </c>
      <c r="BJ50" s="1376">
        <f>-(BJ49-BE49)*10000</f>
        <v/>
      </c>
      <c r="BK50" s="1278">
        <f>-(BK49-BF49)*10000</f>
        <v/>
      </c>
      <c r="BL50" s="1278">
        <f>-(BL49-BG49)*10000</f>
        <v/>
      </c>
      <c r="BM50" s="1278">
        <f>-(BM49-BH49)*10000</f>
        <v/>
      </c>
      <c r="BN50" s="1278">
        <f>-(BN49-BI49)*10000</f>
        <v/>
      </c>
      <c r="BO50" s="1377">
        <f>-(BO49-BJ49)*10000</f>
        <v/>
      </c>
      <c r="BP50" s="1378" t="n">
        <v>0</v>
      </c>
      <c r="BQ50" s="1378" t="n">
        <v>0</v>
      </c>
      <c r="BR50" s="1378" t="n">
        <v>0</v>
      </c>
      <c r="BS50" s="1378" t="n">
        <v>0</v>
      </c>
      <c r="BT50" s="1376">
        <f>-(BT49-BO49)*10000</f>
        <v/>
      </c>
      <c r="BU50" s="1378" t="n">
        <v>0</v>
      </c>
      <c r="BV50" s="1378" t="n">
        <v>0</v>
      </c>
      <c r="BW50" s="1378" t="n">
        <v>0</v>
      </c>
      <c r="BX50" s="1378" t="n">
        <v>0</v>
      </c>
      <c r="BY50" s="1376">
        <f>-(BY49-BT49)*10000</f>
        <v/>
      </c>
      <c r="BZ50" s="1379" t="n">
        <v>0</v>
      </c>
      <c r="CA50" s="1379" t="n">
        <v>0</v>
      </c>
      <c r="CB50" s="1379" t="n">
        <v>0</v>
      </c>
      <c r="CC50" s="1380" t="n"/>
    </row>
    <row r="51" ht="14.4" customFormat="1" customHeight="1" s="1275">
      <c r="A51" s="1381" t="n"/>
      <c r="B51" s="1296" t="n"/>
      <c r="C51" s="1297" t="n"/>
      <c r="D51" s="1297" t="n"/>
      <c r="E51" s="1297" t="n"/>
      <c r="F51" s="1297" t="n"/>
      <c r="G51" s="1297" t="n"/>
      <c r="H51" s="1277" t="n"/>
      <c r="I51" s="1277" t="n"/>
      <c r="J51" s="1277" t="n"/>
      <c r="K51" s="1277" t="n"/>
      <c r="L51" s="1297" t="n"/>
      <c r="M51" s="1277" t="n"/>
      <c r="N51" s="1277" t="n"/>
      <c r="O51" s="1277" t="n"/>
      <c r="P51" s="1277" t="n"/>
      <c r="Q51" s="1297" t="n"/>
      <c r="R51" s="1277" t="n"/>
      <c r="S51" s="1277" t="n"/>
      <c r="T51" s="1277" t="n"/>
      <c r="U51" s="1277" t="n"/>
      <c r="V51" s="1297" t="n"/>
      <c r="W51" s="1277" t="n"/>
      <c r="X51" s="1277" t="n"/>
      <c r="Y51" s="1277" t="n"/>
      <c r="Z51" s="1277" t="n"/>
      <c r="AA51" s="1297" t="n"/>
      <c r="AB51" s="1277" t="n"/>
      <c r="AC51" s="1277" t="n"/>
      <c r="AD51" s="1277" t="n"/>
      <c r="AE51" s="1277" t="n"/>
      <c r="AF51" s="1297" t="n"/>
      <c r="AG51" s="1277" t="n"/>
      <c r="AH51" s="1277" t="n"/>
      <c r="AI51" s="1277" t="n"/>
      <c r="AJ51" s="1277" t="n"/>
      <c r="AK51" s="1297" t="n"/>
      <c r="AL51" s="1277" t="n"/>
      <c r="AM51" s="1277" t="n"/>
      <c r="AN51" s="1277" t="n"/>
      <c r="AO51" s="1277" t="n"/>
      <c r="AP51" s="1297" t="n"/>
      <c r="AQ51" s="1277" t="n"/>
      <c r="AR51" s="1277" t="n"/>
      <c r="AS51" s="1277" t="n"/>
      <c r="AT51" s="1277" t="n"/>
      <c r="AU51" s="1297" t="n"/>
      <c r="AV51" s="1277" t="n"/>
      <c r="AW51" s="1277" t="n"/>
      <c r="AX51" s="1277" t="n"/>
      <c r="AY51" s="1277" t="n"/>
      <c r="AZ51" s="1297" t="n"/>
      <c r="BA51" s="1277" t="n"/>
      <c r="BB51" s="1277" t="n"/>
      <c r="BC51" s="1277" t="n"/>
      <c r="BD51" s="1277" t="n"/>
      <c r="BE51" s="1297" t="n"/>
      <c r="BF51" s="1277" t="n"/>
      <c r="BG51" s="1277" t="n"/>
      <c r="BH51" s="1277" t="n"/>
      <c r="BI51" s="1277" t="n"/>
      <c r="BJ51" s="1297" t="n"/>
      <c r="BK51" s="1277" t="n"/>
      <c r="BL51" s="1277" t="n"/>
      <c r="BM51" s="1277" t="n"/>
      <c r="BN51" s="1277" t="n"/>
      <c r="BO51" s="1382" t="n"/>
      <c r="BP51" s="1277" t="n"/>
      <c r="BQ51" s="1277" t="n"/>
      <c r="BR51" s="1277" t="n"/>
      <c r="BS51" s="1277" t="n"/>
      <c r="BT51" s="1297" t="n"/>
      <c r="BU51" s="1277" t="n"/>
      <c r="BV51" s="1277" t="n"/>
      <c r="BW51" s="1277" t="n"/>
      <c r="BX51" s="1277" t="n"/>
      <c r="BY51" s="1297" t="n"/>
      <c r="BZ51" s="1297" t="n"/>
      <c r="CA51" s="1297" t="n"/>
      <c r="CB51" s="1297" t="n"/>
      <c r="CC51" s="1280" t="n"/>
    </row>
    <row r="52" ht="14.4" customFormat="1" customHeight="1" s="1275">
      <c r="A52" s="1383" t="inlineStr">
        <is>
          <t>S&amp;M Expense, mm</t>
        </is>
      </c>
      <c r="B52" s="1296" t="n"/>
      <c r="C52" s="1297">
        <f>C377</f>
        <v/>
      </c>
      <c r="D52" s="1297">
        <f>D377</f>
        <v/>
      </c>
      <c r="E52" s="1297">
        <f>E377</f>
        <v/>
      </c>
      <c r="F52" s="1297">
        <f>F377</f>
        <v/>
      </c>
      <c r="G52" s="1297">
        <f>G377</f>
        <v/>
      </c>
      <c r="H52" s="1277">
        <f>H377</f>
        <v/>
      </c>
      <c r="I52" s="1277">
        <f>I377</f>
        <v/>
      </c>
      <c r="J52" s="1277">
        <f>J377</f>
        <v/>
      </c>
      <c r="K52" s="1277">
        <f>K377</f>
        <v/>
      </c>
      <c r="L52" s="1297">
        <f>L377</f>
        <v/>
      </c>
      <c r="M52" s="1277">
        <f>M377</f>
        <v/>
      </c>
      <c r="N52" s="1277">
        <f>N377</f>
        <v/>
      </c>
      <c r="O52" s="1277">
        <f>O377</f>
        <v/>
      </c>
      <c r="P52" s="1277">
        <f>P377</f>
        <v/>
      </c>
      <c r="Q52" s="1297">
        <f>Q377</f>
        <v/>
      </c>
      <c r="R52" s="1277">
        <f>R377</f>
        <v/>
      </c>
      <c r="S52" s="1277">
        <f>S377</f>
        <v/>
      </c>
      <c r="T52" s="1277">
        <f>T377</f>
        <v/>
      </c>
      <c r="U52" s="1277">
        <f>U377</f>
        <v/>
      </c>
      <c r="V52" s="1297">
        <f>V377</f>
        <v/>
      </c>
      <c r="W52" s="1277">
        <f>W377</f>
        <v/>
      </c>
      <c r="X52" s="1277">
        <f>X377</f>
        <v/>
      </c>
      <c r="Y52" s="1277">
        <f>Y377</f>
        <v/>
      </c>
      <c r="Z52" s="1277">
        <f>Z377</f>
        <v/>
      </c>
      <c r="AA52" s="1297">
        <f>AA377</f>
        <v/>
      </c>
      <c r="AB52" s="1277">
        <f>AB377</f>
        <v/>
      </c>
      <c r="AC52" s="1277">
        <f>AC377</f>
        <v/>
      </c>
      <c r="AD52" s="1277">
        <f>AD377</f>
        <v/>
      </c>
      <c r="AE52" s="1277">
        <f>AE377</f>
        <v/>
      </c>
      <c r="AF52" s="1297">
        <f>AF377</f>
        <v/>
      </c>
      <c r="AG52" s="1277">
        <f>AG377</f>
        <v/>
      </c>
      <c r="AH52" s="1277">
        <f>AH377</f>
        <v/>
      </c>
      <c r="AI52" s="1277">
        <f>AI377</f>
        <v/>
      </c>
      <c r="AJ52" s="1277">
        <f>AJ377</f>
        <v/>
      </c>
      <c r="AK52" s="1297">
        <f>AK377</f>
        <v/>
      </c>
      <c r="AL52" s="1277">
        <f>AL377</f>
        <v/>
      </c>
      <c r="AM52" s="1277">
        <f>AM377</f>
        <v/>
      </c>
      <c r="AN52" s="1277">
        <f>AN377</f>
        <v/>
      </c>
      <c r="AO52" s="1277">
        <f>AO377</f>
        <v/>
      </c>
      <c r="AP52" s="1297">
        <f>AP377</f>
        <v/>
      </c>
      <c r="AQ52" s="1277">
        <f>AQ377</f>
        <v/>
      </c>
      <c r="AR52" s="1277">
        <f>AR377</f>
        <v/>
      </c>
      <c r="AS52" s="1277">
        <f>AS377</f>
        <v/>
      </c>
      <c r="AT52" s="1277">
        <f>AT377</f>
        <v/>
      </c>
      <c r="AU52" s="1297">
        <f>AU377</f>
        <v/>
      </c>
      <c r="AV52" s="1277">
        <f>AV377</f>
        <v/>
      </c>
      <c r="AW52" s="1277">
        <f>AW377</f>
        <v/>
      </c>
      <c r="AX52" s="1277">
        <f>AX377</f>
        <v/>
      </c>
      <c r="AY52" s="1277">
        <f>AY377</f>
        <v/>
      </c>
      <c r="AZ52" s="1297">
        <f>AZ377</f>
        <v/>
      </c>
      <c r="BA52" s="1277">
        <f>BA377</f>
        <v/>
      </c>
      <c r="BB52" s="1277">
        <f>BB377</f>
        <v/>
      </c>
      <c r="BC52" s="1277">
        <f>BC377</f>
        <v/>
      </c>
      <c r="BD52" s="1277">
        <f>BD377</f>
        <v/>
      </c>
      <c r="BE52" s="1297">
        <f>BE377</f>
        <v/>
      </c>
      <c r="BF52" s="1277">
        <f>BF377</f>
        <v/>
      </c>
      <c r="BG52" s="1277">
        <f>BG377</f>
        <v/>
      </c>
      <c r="BH52" s="1277">
        <f>BH377</f>
        <v/>
      </c>
      <c r="BI52" s="1277">
        <f>BI377</f>
        <v/>
      </c>
      <c r="BJ52" s="1297">
        <f>BJ377</f>
        <v/>
      </c>
      <c r="BK52" s="1277">
        <f>BK377</f>
        <v/>
      </c>
      <c r="BL52" s="1277">
        <f>BL377</f>
        <v/>
      </c>
      <c r="BM52" s="1277">
        <f>BM377</f>
        <v/>
      </c>
      <c r="BN52" s="1277">
        <f>BN377</f>
        <v/>
      </c>
      <c r="BO52" s="1382">
        <f>BO377</f>
        <v/>
      </c>
      <c r="BP52" s="1277">
        <f>BP34*BP54</f>
        <v/>
      </c>
      <c r="BQ52" s="1277">
        <f>BQ34*BQ54</f>
        <v/>
      </c>
      <c r="BR52" s="1277">
        <f>BR34*BR54</f>
        <v/>
      </c>
      <c r="BS52" s="1277">
        <f>BS34*BS54</f>
        <v/>
      </c>
      <c r="BT52" s="1297">
        <f>BS52+BR52+BQ52+BP52</f>
        <v/>
      </c>
      <c r="BU52" s="1277">
        <f>BU34*BU54</f>
        <v/>
      </c>
      <c r="BV52" s="1277">
        <f>BV34*BV54</f>
        <v/>
      </c>
      <c r="BW52" s="1277">
        <f>BW34*BW54</f>
        <v/>
      </c>
      <c r="BX52" s="1277">
        <f>BX34*BX54</f>
        <v/>
      </c>
      <c r="BY52" s="1297">
        <f>BX52+BW52+BV52+BU52</f>
        <v/>
      </c>
      <c r="BZ52" s="1297">
        <f>BZ34*BZ54</f>
        <v/>
      </c>
      <c r="CA52" s="1297">
        <f>CA34*CA54</f>
        <v/>
      </c>
      <c r="CB52" s="1297">
        <f>CB34*CB54</f>
        <v/>
      </c>
      <c r="CC52" s="1280" t="n"/>
    </row>
    <row r="53" ht="14.4" customFormat="1" customHeight="1" s="1275">
      <c r="A53" s="1342" t="inlineStr">
        <is>
          <t>Y/Y growth in S&amp;M expense, %</t>
        </is>
      </c>
      <c r="B53" s="1296" t="n"/>
      <c r="C53" s="1305" t="n"/>
      <c r="D53" s="1305">
        <f>D52/C52-1</f>
        <v/>
      </c>
      <c r="E53" s="1305">
        <f>E52/D52-1</f>
        <v/>
      </c>
      <c r="F53" s="1305">
        <f>F52/E52-1</f>
        <v/>
      </c>
      <c r="G53" s="1305">
        <f>G52/F52-1</f>
        <v/>
      </c>
      <c r="H53" s="1306">
        <f>H52/C52-1</f>
        <v/>
      </c>
      <c r="I53" s="1306">
        <f>I52/D52-1</f>
        <v/>
      </c>
      <c r="J53" s="1306">
        <f>J52/E52-1</f>
        <v/>
      </c>
      <c r="K53" s="1306">
        <f>K52/F52-1</f>
        <v/>
      </c>
      <c r="L53" s="1305">
        <f>L52/G52-1</f>
        <v/>
      </c>
      <c r="M53" s="1306">
        <f>M52/H52-1</f>
        <v/>
      </c>
      <c r="N53" s="1306">
        <f>N52/I52-1</f>
        <v/>
      </c>
      <c r="O53" s="1306">
        <f>O52/J52-1</f>
        <v/>
      </c>
      <c r="P53" s="1306">
        <f>P52/K52-1</f>
        <v/>
      </c>
      <c r="Q53" s="1305">
        <f>Q52/L52-1</f>
        <v/>
      </c>
      <c r="R53" s="1306">
        <f>R52/M52-1</f>
        <v/>
      </c>
      <c r="S53" s="1306">
        <f>S52/N52-1</f>
        <v/>
      </c>
      <c r="T53" s="1306">
        <f>T52/O52-1</f>
        <v/>
      </c>
      <c r="U53" s="1306">
        <f>U52/P52-1</f>
        <v/>
      </c>
      <c r="V53" s="1305">
        <f>V52/Q52-1</f>
        <v/>
      </c>
      <c r="W53" s="1306">
        <f>W52/R52-1</f>
        <v/>
      </c>
      <c r="X53" s="1306">
        <f>X52/S52-1</f>
        <v/>
      </c>
      <c r="Y53" s="1306">
        <f>Y52/T52-1</f>
        <v/>
      </c>
      <c r="Z53" s="1306">
        <f>Z52/U52-1</f>
        <v/>
      </c>
      <c r="AA53" s="1305">
        <f>AA52/V52-1</f>
        <v/>
      </c>
      <c r="AB53" s="1306">
        <f>AB52/W52-1</f>
        <v/>
      </c>
      <c r="AC53" s="1306">
        <f>AC52/X52-1</f>
        <v/>
      </c>
      <c r="AD53" s="1306">
        <f>AD52/Y52-1</f>
        <v/>
      </c>
      <c r="AE53" s="1306">
        <f>AE52/Z52-1</f>
        <v/>
      </c>
      <c r="AF53" s="1305">
        <f>AF52/AA52-1</f>
        <v/>
      </c>
      <c r="AG53" s="1306">
        <f>AG52/AB52-1</f>
        <v/>
      </c>
      <c r="AH53" s="1306">
        <f>AH52/AC52-1</f>
        <v/>
      </c>
      <c r="AI53" s="1306">
        <f>AI52/AD52-1</f>
        <v/>
      </c>
      <c r="AJ53" s="1306">
        <f>AJ52/AE52-1</f>
        <v/>
      </c>
      <c r="AK53" s="1305">
        <f>AK52/AF52-1</f>
        <v/>
      </c>
      <c r="AL53" s="1306">
        <f>AL52/AG52-1</f>
        <v/>
      </c>
      <c r="AM53" s="1306">
        <f>AM52/AH52-1</f>
        <v/>
      </c>
      <c r="AN53" s="1306">
        <f>AN52/AI52-1</f>
        <v/>
      </c>
      <c r="AO53" s="1306">
        <f>AO52/AJ52-1</f>
        <v/>
      </c>
      <c r="AP53" s="1305">
        <f>AP52/AK52-1</f>
        <v/>
      </c>
      <c r="AQ53" s="1306">
        <f>AQ52/AL52-1</f>
        <v/>
      </c>
      <c r="AR53" s="1306">
        <f>AR52/AM52-1</f>
        <v/>
      </c>
      <c r="AS53" s="1306">
        <f>AS52/AN52-1</f>
        <v/>
      </c>
      <c r="AT53" s="1306">
        <f>AT52/AO52-1</f>
        <v/>
      </c>
      <c r="AU53" s="1305">
        <f>AU52/AP52-1</f>
        <v/>
      </c>
      <c r="AV53" s="1306">
        <f>AV52/AQ52-1</f>
        <v/>
      </c>
      <c r="AW53" s="1306">
        <f>AW52/AR52-1</f>
        <v/>
      </c>
      <c r="AX53" s="1306">
        <f>AX52/AS52-1</f>
        <v/>
      </c>
      <c r="AY53" s="1306">
        <f>AY52/AT52-1</f>
        <v/>
      </c>
      <c r="AZ53" s="1305">
        <f>AZ52/AU52-1</f>
        <v/>
      </c>
      <c r="BA53" s="1306">
        <f>BA52/AV52-1</f>
        <v/>
      </c>
      <c r="BB53" s="1306">
        <f>BB52/AW52-1</f>
        <v/>
      </c>
      <c r="BC53" s="1306">
        <f>BC52/AX52-1</f>
        <v/>
      </c>
      <c r="BD53" s="1306">
        <f>BD52/AY52-1</f>
        <v/>
      </c>
      <c r="BE53" s="1305">
        <f>BE52/AZ52-1</f>
        <v/>
      </c>
      <c r="BF53" s="1306">
        <f>BF52/BA52-1</f>
        <v/>
      </c>
      <c r="BG53" s="1306">
        <f>BG52/BB52-1</f>
        <v/>
      </c>
      <c r="BH53" s="1306">
        <f>BH52/BC52-1</f>
        <v/>
      </c>
      <c r="BI53" s="1306">
        <f>BI52/BD52-1</f>
        <v/>
      </c>
      <c r="BJ53" s="1305">
        <f>BJ52/BE52-1</f>
        <v/>
      </c>
      <c r="BK53" s="1306">
        <f>BK52/BF52-1</f>
        <v/>
      </c>
      <c r="BL53" s="1306">
        <f>BL52/BG52-1</f>
        <v/>
      </c>
      <c r="BM53" s="1306">
        <f>BM52/BH52-1</f>
        <v/>
      </c>
      <c r="BN53" s="1306">
        <f>BN52/BI52-1</f>
        <v/>
      </c>
      <c r="BO53" s="1308">
        <f>BO52/BJ52-1</f>
        <v/>
      </c>
      <c r="BP53" s="1306">
        <f>BP52/BK52-1</f>
        <v/>
      </c>
      <c r="BQ53" s="1306">
        <f>BQ52/BL52-1</f>
        <v/>
      </c>
      <c r="BR53" s="1306">
        <f>BR52/BM52-1</f>
        <v/>
      </c>
      <c r="BS53" s="1306">
        <f>BS52/BN52-1</f>
        <v/>
      </c>
      <c r="BT53" s="1305">
        <f>BT52/BO52-1</f>
        <v/>
      </c>
      <c r="BU53" s="1306">
        <f>BU52/BP52-1</f>
        <v/>
      </c>
      <c r="BV53" s="1306">
        <f>BV52/BQ52-1</f>
        <v/>
      </c>
      <c r="BW53" s="1306">
        <f>BW52/BR52-1</f>
        <v/>
      </c>
      <c r="BX53" s="1306">
        <f>BX52/BS52-1</f>
        <v/>
      </c>
      <c r="BY53" s="1305">
        <f>BY52/BT52-1</f>
        <v/>
      </c>
      <c r="BZ53" s="1305">
        <f>BZ52/BY52-1</f>
        <v/>
      </c>
      <c r="CA53" s="1305">
        <f>CA52/BZ52-1</f>
        <v/>
      </c>
      <c r="CB53" s="1305">
        <f>CB52/CA52-1</f>
        <v/>
      </c>
      <c r="CC53" s="1280" t="n"/>
    </row>
    <row r="54" ht="14.4" customFormat="1" customHeight="1" s="1275">
      <c r="A54" s="1367" t="inlineStr">
        <is>
          <t>S&amp;M Margin, %</t>
        </is>
      </c>
      <c r="B54" s="1296" t="n"/>
      <c r="C54" s="1369">
        <f>C52/C34</f>
        <v/>
      </c>
      <c r="D54" s="1369">
        <f>D52/D34</f>
        <v/>
      </c>
      <c r="E54" s="1369">
        <f>E52/E34</f>
        <v/>
      </c>
      <c r="F54" s="1369">
        <f>F52/F34</f>
        <v/>
      </c>
      <c r="G54" s="1369">
        <f>G52/G34</f>
        <v/>
      </c>
      <c r="H54" s="1370">
        <f>H52/H34</f>
        <v/>
      </c>
      <c r="I54" s="1370">
        <f>I52/I34</f>
        <v/>
      </c>
      <c r="J54" s="1370">
        <f>J52/J34</f>
        <v/>
      </c>
      <c r="K54" s="1370">
        <f>K52/K34</f>
        <v/>
      </c>
      <c r="L54" s="1369">
        <f>L52/L34</f>
        <v/>
      </c>
      <c r="M54" s="1370">
        <f>M52/M34</f>
        <v/>
      </c>
      <c r="N54" s="1370">
        <f>N52/N34</f>
        <v/>
      </c>
      <c r="O54" s="1370">
        <f>O52/O34</f>
        <v/>
      </c>
      <c r="P54" s="1370">
        <f>P52/P34</f>
        <v/>
      </c>
      <c r="Q54" s="1369">
        <f>Q52/Q34</f>
        <v/>
      </c>
      <c r="R54" s="1370">
        <f>R52/R34</f>
        <v/>
      </c>
      <c r="S54" s="1370">
        <f>S52/S34</f>
        <v/>
      </c>
      <c r="T54" s="1370">
        <f>T52/T34</f>
        <v/>
      </c>
      <c r="U54" s="1370">
        <f>U52/U34</f>
        <v/>
      </c>
      <c r="V54" s="1369">
        <f>V52/V34</f>
        <v/>
      </c>
      <c r="W54" s="1370">
        <f>W52/W34</f>
        <v/>
      </c>
      <c r="X54" s="1370">
        <f>X52/X34</f>
        <v/>
      </c>
      <c r="Y54" s="1370">
        <f>Y52/Y34</f>
        <v/>
      </c>
      <c r="Z54" s="1370">
        <f>Z52/Z34</f>
        <v/>
      </c>
      <c r="AA54" s="1369">
        <f>AA52/AA34</f>
        <v/>
      </c>
      <c r="AB54" s="1370">
        <f>AB52/AB34</f>
        <v/>
      </c>
      <c r="AC54" s="1370">
        <f>AC52/AC34</f>
        <v/>
      </c>
      <c r="AD54" s="1370">
        <f>AD52/AD34</f>
        <v/>
      </c>
      <c r="AE54" s="1370">
        <f>AE52/AE34</f>
        <v/>
      </c>
      <c r="AF54" s="1369">
        <f>AF52/AF34</f>
        <v/>
      </c>
      <c r="AG54" s="1370">
        <f>AG52/AG34</f>
        <v/>
      </c>
      <c r="AH54" s="1370">
        <f>AH52/AH34</f>
        <v/>
      </c>
      <c r="AI54" s="1370">
        <f>AI52/AI34</f>
        <v/>
      </c>
      <c r="AJ54" s="1370">
        <f>AJ52/AJ34</f>
        <v/>
      </c>
      <c r="AK54" s="1369">
        <f>AK52/AK34</f>
        <v/>
      </c>
      <c r="AL54" s="1370">
        <f>AL52/AL34</f>
        <v/>
      </c>
      <c r="AM54" s="1370">
        <f>AM52/AM34</f>
        <v/>
      </c>
      <c r="AN54" s="1370">
        <f>AN52/AN34</f>
        <v/>
      </c>
      <c r="AO54" s="1370">
        <f>AO52/AO34</f>
        <v/>
      </c>
      <c r="AP54" s="1369">
        <f>AP52/AP34</f>
        <v/>
      </c>
      <c r="AQ54" s="1370">
        <f>AQ52/AQ34</f>
        <v/>
      </c>
      <c r="AR54" s="1370">
        <f>AR52/AR34</f>
        <v/>
      </c>
      <c r="AS54" s="1370">
        <f>AS52/AS34</f>
        <v/>
      </c>
      <c r="AT54" s="1370">
        <f>AT52/AT34</f>
        <v/>
      </c>
      <c r="AU54" s="1369">
        <f>AU52/AU34</f>
        <v/>
      </c>
      <c r="AV54" s="1370">
        <f>AV52/AV34</f>
        <v/>
      </c>
      <c r="AW54" s="1370">
        <f>AW52/AW34</f>
        <v/>
      </c>
      <c r="AX54" s="1370">
        <f>AX52/AX34</f>
        <v/>
      </c>
      <c r="AY54" s="1370">
        <f>AY52/AY34</f>
        <v/>
      </c>
      <c r="AZ54" s="1369">
        <f>AZ52/AZ34</f>
        <v/>
      </c>
      <c r="BA54" s="1370">
        <f>BA52/BA34</f>
        <v/>
      </c>
      <c r="BB54" s="1370">
        <f>BB52/BB34</f>
        <v/>
      </c>
      <c r="BC54" s="1370">
        <f>BC52/BC34</f>
        <v/>
      </c>
      <c r="BD54" s="1370">
        <f>BD52/BD34</f>
        <v/>
      </c>
      <c r="BE54" s="1369">
        <f>BE52/BE34</f>
        <v/>
      </c>
      <c r="BF54" s="1370">
        <f>BF52/BF34</f>
        <v/>
      </c>
      <c r="BG54" s="1370">
        <f>BG52/BG34</f>
        <v/>
      </c>
      <c r="BH54" s="1370">
        <f>BH52/BH34</f>
        <v/>
      </c>
      <c r="BI54" s="1370">
        <f>BI52/BI34</f>
        <v/>
      </c>
      <c r="BJ54" s="1369">
        <f>BJ52/BJ34</f>
        <v/>
      </c>
      <c r="BK54" s="1370">
        <f>BK52/BK34</f>
        <v/>
      </c>
      <c r="BL54" s="1370">
        <f>BL52/BL34</f>
        <v/>
      </c>
      <c r="BM54" s="1370">
        <f>BM52/BM34</f>
        <v/>
      </c>
      <c r="BN54" s="1370">
        <f>BN52/BN34</f>
        <v/>
      </c>
      <c r="BO54" s="1371">
        <f>BO52/BO34</f>
        <v/>
      </c>
      <c r="BP54" s="1370">
        <f>BK54-BP55/10000</f>
        <v/>
      </c>
      <c r="BQ54" s="1370">
        <f>BL54-BQ55/10000</f>
        <v/>
      </c>
      <c r="BR54" s="1370">
        <f>BM54-BR55/10000</f>
        <v/>
      </c>
      <c r="BS54" s="1370">
        <f>BN54-BS55/10000</f>
        <v/>
      </c>
      <c r="BT54" s="1369">
        <f>BT52/BT34</f>
        <v/>
      </c>
      <c r="BU54" s="1370">
        <f>BP54-BU55/10000</f>
        <v/>
      </c>
      <c r="BV54" s="1370">
        <f>BQ54-BV55/10000</f>
        <v/>
      </c>
      <c r="BW54" s="1370">
        <f>BR54-BW55/10000</f>
        <v/>
      </c>
      <c r="BX54" s="1370">
        <f>BS54-BX55/10000</f>
        <v/>
      </c>
      <c r="BY54" s="1369">
        <f>BY52/BY34</f>
        <v/>
      </c>
      <c r="BZ54" s="1369">
        <f>BY54-BZ55/10000</f>
        <v/>
      </c>
      <c r="CA54" s="1369">
        <f>BZ54-CA55/10000</f>
        <v/>
      </c>
      <c r="CB54" s="1369">
        <f>CA54-CB55/10000</f>
        <v/>
      </c>
      <c r="CC54" s="1280" t="n"/>
    </row>
    <row r="55" ht="14.4" customFormat="1" customHeight="1" s="1373">
      <c r="A55" s="1374" t="inlineStr">
        <is>
          <t>Y/Y improvement in S&amp;M Margin, bps</t>
        </is>
      </c>
      <c r="B55" s="1375" t="n"/>
      <c r="C55" s="1376" t="n"/>
      <c r="D55" s="1376">
        <f>-(D54-C54)*10000</f>
        <v/>
      </c>
      <c r="E55" s="1376">
        <f>-(E54-D54)*10000</f>
        <v/>
      </c>
      <c r="F55" s="1376">
        <f>-(F54-E54)*10000</f>
        <v/>
      </c>
      <c r="G55" s="1376">
        <f>-(G54-F54)*10000</f>
        <v/>
      </c>
      <c r="H55" s="1278">
        <f>-(H54-C54)*10000</f>
        <v/>
      </c>
      <c r="I55" s="1278">
        <f>-(I54-D54)*10000</f>
        <v/>
      </c>
      <c r="J55" s="1278">
        <f>-(J54-E54)*10000</f>
        <v/>
      </c>
      <c r="K55" s="1278">
        <f>-(K54-F54)*10000</f>
        <v/>
      </c>
      <c r="L55" s="1376">
        <f>-(L54-G54)*10000</f>
        <v/>
      </c>
      <c r="M55" s="1278">
        <f>-(M54-H54)*10000</f>
        <v/>
      </c>
      <c r="N55" s="1278">
        <f>-(N54-I54)*10000</f>
        <v/>
      </c>
      <c r="O55" s="1278">
        <f>-(O54-J54)*10000</f>
        <v/>
      </c>
      <c r="P55" s="1278">
        <f>-(P54-K54)*10000</f>
        <v/>
      </c>
      <c r="Q55" s="1376">
        <f>-(Q54-L54)*10000</f>
        <v/>
      </c>
      <c r="R55" s="1278">
        <f>-(R54-M54)*10000</f>
        <v/>
      </c>
      <c r="S55" s="1278">
        <f>-(S54-N54)*10000</f>
        <v/>
      </c>
      <c r="T55" s="1278">
        <f>-(T54-O54)*10000</f>
        <v/>
      </c>
      <c r="U55" s="1278">
        <f>-(U54-P54)*10000</f>
        <v/>
      </c>
      <c r="V55" s="1376">
        <f>-(V54-Q54)*10000</f>
        <v/>
      </c>
      <c r="W55" s="1278">
        <f>-(W54-R54)*10000</f>
        <v/>
      </c>
      <c r="X55" s="1278">
        <f>-(X54-S54)*10000</f>
        <v/>
      </c>
      <c r="Y55" s="1278">
        <f>-(Y54-T54)*10000</f>
        <v/>
      </c>
      <c r="Z55" s="1278">
        <f>-(Z54-U54)*10000</f>
        <v/>
      </c>
      <c r="AA55" s="1376">
        <f>-(AA54-V54)*10000</f>
        <v/>
      </c>
      <c r="AB55" s="1278">
        <f>-(AB54-W54)*10000</f>
        <v/>
      </c>
      <c r="AC55" s="1278">
        <f>-(AC54-X54)*10000</f>
        <v/>
      </c>
      <c r="AD55" s="1278">
        <f>-(AD54-Y54)*10000</f>
        <v/>
      </c>
      <c r="AE55" s="1278">
        <f>-(AE54-Z54)*10000</f>
        <v/>
      </c>
      <c r="AF55" s="1376">
        <f>-(AF54-AA54)*10000</f>
        <v/>
      </c>
      <c r="AG55" s="1278">
        <f>-(AG54-AB54)*10000</f>
        <v/>
      </c>
      <c r="AH55" s="1278">
        <f>-(AH54-AC54)*10000</f>
        <v/>
      </c>
      <c r="AI55" s="1278">
        <f>-(AI54-AD54)*10000</f>
        <v/>
      </c>
      <c r="AJ55" s="1278">
        <f>-(AJ54-AE54)*10000</f>
        <v/>
      </c>
      <c r="AK55" s="1376">
        <f>-(AK54-AF54)*10000</f>
        <v/>
      </c>
      <c r="AL55" s="1278">
        <f>-(AL54-AG54)*10000</f>
        <v/>
      </c>
      <c r="AM55" s="1278">
        <f>-(AM54-AH54)*10000</f>
        <v/>
      </c>
      <c r="AN55" s="1278">
        <f>-(AN54-AI54)*10000</f>
        <v/>
      </c>
      <c r="AO55" s="1278">
        <f>-(AO54-AJ54)*10000</f>
        <v/>
      </c>
      <c r="AP55" s="1376">
        <f>-(AP54-AK54)*10000</f>
        <v/>
      </c>
      <c r="AQ55" s="1278">
        <f>-(AQ54-AL54)*10000</f>
        <v/>
      </c>
      <c r="AR55" s="1278">
        <f>-(AR54-AM54)*10000</f>
        <v/>
      </c>
      <c r="AS55" s="1278">
        <f>-(AS54-AN54)*10000</f>
        <v/>
      </c>
      <c r="AT55" s="1278">
        <f>-(AT54-AO54)*10000</f>
        <v/>
      </c>
      <c r="AU55" s="1376">
        <f>-(AU54-AP54)*10000</f>
        <v/>
      </c>
      <c r="AV55" s="1278">
        <f>-(AV54-AQ54)*10000</f>
        <v/>
      </c>
      <c r="AW55" s="1278">
        <f>-(AW54-AR54)*10000</f>
        <v/>
      </c>
      <c r="AX55" s="1278">
        <f>-(AX54-AS54)*10000</f>
        <v/>
      </c>
      <c r="AY55" s="1278">
        <f>-(AY54-AT54)*10000</f>
        <v/>
      </c>
      <c r="AZ55" s="1376">
        <f>-(AZ54-AU54)*10000</f>
        <v/>
      </c>
      <c r="BA55" s="1278">
        <f>-(BA54-AV54)*10000</f>
        <v/>
      </c>
      <c r="BB55" s="1278">
        <f>-(BB54-AW54)*10000</f>
        <v/>
      </c>
      <c r="BC55" s="1278">
        <f>-(BC54-AX54)*10000</f>
        <v/>
      </c>
      <c r="BD55" s="1278">
        <f>-(BD54-AY54)*10000</f>
        <v/>
      </c>
      <c r="BE55" s="1376">
        <f>-(BE54-AZ54)*10000</f>
        <v/>
      </c>
      <c r="BF55" s="1278">
        <f>-(BF54-BA54)*10000</f>
        <v/>
      </c>
      <c r="BG55" s="1278">
        <f>-(BG54-BB54)*10000</f>
        <v/>
      </c>
      <c r="BH55" s="1278">
        <f>-(BH54-BC54)*10000</f>
        <v/>
      </c>
      <c r="BI55" s="1278">
        <f>-(BI54-BD54)*10000</f>
        <v/>
      </c>
      <c r="BJ55" s="1376">
        <f>-(BJ54-BE54)*10000</f>
        <v/>
      </c>
      <c r="BK55" s="1278">
        <f>-(BK54-BF54)*10000</f>
        <v/>
      </c>
      <c r="BL55" s="1278">
        <f>-(BL54-BG54)*10000</f>
        <v/>
      </c>
      <c r="BM55" s="1278">
        <f>-(BM54-BH54)*10000</f>
        <v/>
      </c>
      <c r="BN55" s="1278">
        <f>-(BN54-BI54)*10000</f>
        <v/>
      </c>
      <c r="BO55" s="1377">
        <f>-(BO54-BJ54)*10000</f>
        <v/>
      </c>
      <c r="BP55" s="1378" t="n">
        <v>0</v>
      </c>
      <c r="BQ55" s="1378" t="n">
        <v>0</v>
      </c>
      <c r="BR55" s="1378" t="n">
        <v>0</v>
      </c>
      <c r="BS55" s="1378" t="n">
        <v>0</v>
      </c>
      <c r="BT55" s="1376">
        <f>-(BT54-BO54)*10000</f>
        <v/>
      </c>
      <c r="BU55" s="1378" t="n">
        <v>0</v>
      </c>
      <c r="BV55" s="1378" t="n">
        <v>0</v>
      </c>
      <c r="BW55" s="1378" t="n">
        <v>0</v>
      </c>
      <c r="BX55" s="1378" t="n">
        <v>0</v>
      </c>
      <c r="BY55" s="1376">
        <f>-(BY54-BT54)*10000</f>
        <v/>
      </c>
      <c r="BZ55" s="1379" t="n">
        <v>0</v>
      </c>
      <c r="CA55" s="1379" t="n">
        <v>0</v>
      </c>
      <c r="CB55" s="1379" t="n">
        <v>0</v>
      </c>
      <c r="CC55" s="1380" t="n"/>
    </row>
    <row r="56" ht="14.4" customFormat="1" customHeight="1" s="1275">
      <c r="A56" s="1384" t="n"/>
      <c r="B56" s="1296" t="n"/>
      <c r="C56" s="1297" t="n"/>
      <c r="D56" s="1297" t="n"/>
      <c r="E56" s="1297" t="n"/>
      <c r="F56" s="1297" t="n"/>
      <c r="G56" s="1297" t="n"/>
      <c r="H56" s="1277" t="n"/>
      <c r="I56" s="1277" t="n"/>
      <c r="J56" s="1277" t="n"/>
      <c r="K56" s="1277" t="n"/>
      <c r="L56" s="1297" t="n"/>
      <c r="M56" s="1277" t="n"/>
      <c r="N56" s="1277" t="n"/>
      <c r="O56" s="1277" t="n"/>
      <c r="P56" s="1277" t="n"/>
      <c r="Q56" s="1297" t="n"/>
      <c r="R56" s="1277" t="n"/>
      <c r="S56" s="1277" t="n"/>
      <c r="T56" s="1277" t="n"/>
      <c r="U56" s="1277" t="n"/>
      <c r="V56" s="1297" t="n"/>
      <c r="W56" s="1277" t="n"/>
      <c r="X56" s="1277" t="n"/>
      <c r="Y56" s="1277" t="n"/>
      <c r="Z56" s="1277" t="n"/>
      <c r="AA56" s="1297" t="n"/>
      <c r="AB56" s="1277" t="n"/>
      <c r="AC56" s="1277" t="n"/>
      <c r="AD56" s="1277" t="n"/>
      <c r="AE56" s="1277" t="n"/>
      <c r="AF56" s="1297" t="n"/>
      <c r="AG56" s="1277" t="n"/>
      <c r="AH56" s="1277" t="n"/>
      <c r="AI56" s="1277" t="n"/>
      <c r="AJ56" s="1277" t="n"/>
      <c r="AK56" s="1297" t="n"/>
      <c r="AL56" s="1277" t="n"/>
      <c r="AM56" s="1277" t="n"/>
      <c r="AN56" s="1277" t="n"/>
      <c r="AO56" s="1277" t="n"/>
      <c r="AP56" s="1297" t="n"/>
      <c r="AQ56" s="1277" t="n"/>
      <c r="AR56" s="1277" t="n"/>
      <c r="AS56" s="1277" t="n"/>
      <c r="AT56" s="1277" t="n"/>
      <c r="AU56" s="1297" t="n"/>
      <c r="AV56" s="1277" t="n"/>
      <c r="AW56" s="1277" t="n"/>
      <c r="AX56" s="1277" t="n"/>
      <c r="AY56" s="1277" t="n"/>
      <c r="AZ56" s="1297" t="n"/>
      <c r="BA56" s="1277" t="n"/>
      <c r="BB56" s="1277" t="n"/>
      <c r="BC56" s="1277" t="n"/>
      <c r="BD56" s="1277" t="n"/>
      <c r="BE56" s="1297" t="n"/>
      <c r="BF56" s="1277" t="n"/>
      <c r="BG56" s="1277" t="n"/>
      <c r="BH56" s="1277" t="n"/>
      <c r="BI56" s="1277" t="n"/>
      <c r="BJ56" s="1297" t="n"/>
      <c r="BK56" s="1277" t="n"/>
      <c r="BL56" s="1277" t="n"/>
      <c r="BM56" s="1277" t="n"/>
      <c r="BN56" s="1277" t="n"/>
      <c r="BO56" s="1382" t="n"/>
      <c r="BP56" s="1277" t="n"/>
      <c r="BQ56" s="1277" t="n"/>
      <c r="BR56" s="1277" t="n"/>
      <c r="BS56" s="1277" t="n"/>
      <c r="BT56" s="1297" t="n"/>
      <c r="BU56" s="1277" t="n"/>
      <c r="BV56" s="1277" t="n"/>
      <c r="BW56" s="1277" t="n"/>
      <c r="BX56" s="1277" t="n"/>
      <c r="BY56" s="1297" t="n"/>
      <c r="BZ56" s="1297" t="n"/>
      <c r="CA56" s="1297" t="n"/>
      <c r="CB56" s="1297" t="n"/>
      <c r="CC56" s="1280" t="n"/>
    </row>
    <row r="57" ht="14.4" customFormat="1" customHeight="1" s="1275">
      <c r="A57" s="1383" t="inlineStr">
        <is>
          <t>Other Expense, mm</t>
        </is>
      </c>
      <c r="B57" s="1296" t="n"/>
      <c r="C57" s="1297">
        <f>C379</f>
        <v/>
      </c>
      <c r="D57" s="1297">
        <f>D379</f>
        <v/>
      </c>
      <c r="E57" s="1297">
        <f>E379</f>
        <v/>
      </c>
      <c r="F57" s="1297">
        <f>F379</f>
        <v/>
      </c>
      <c r="G57" s="1297">
        <f>G379</f>
        <v/>
      </c>
      <c r="H57" s="1277">
        <f>H379</f>
        <v/>
      </c>
      <c r="I57" s="1277">
        <f>I379</f>
        <v/>
      </c>
      <c r="J57" s="1277">
        <f>J379</f>
        <v/>
      </c>
      <c r="K57" s="1277">
        <f>K379</f>
        <v/>
      </c>
      <c r="L57" s="1297">
        <f>L379</f>
        <v/>
      </c>
      <c r="M57" s="1277">
        <f>M379</f>
        <v/>
      </c>
      <c r="N57" s="1277">
        <f>N379</f>
        <v/>
      </c>
      <c r="O57" s="1277">
        <f>O379</f>
        <v/>
      </c>
      <c r="P57" s="1277">
        <f>P379</f>
        <v/>
      </c>
      <c r="Q57" s="1297">
        <f>Q379</f>
        <v/>
      </c>
      <c r="R57" s="1277">
        <f>R379</f>
        <v/>
      </c>
      <c r="S57" s="1277">
        <f>S379</f>
        <v/>
      </c>
      <c r="T57" s="1277">
        <f>T379</f>
        <v/>
      </c>
      <c r="U57" s="1277">
        <f>U379</f>
        <v/>
      </c>
      <c r="V57" s="1297">
        <f>V379</f>
        <v/>
      </c>
      <c r="W57" s="1277">
        <f>W379</f>
        <v/>
      </c>
      <c r="X57" s="1277">
        <f>X379</f>
        <v/>
      </c>
      <c r="Y57" s="1277">
        <f>Y379</f>
        <v/>
      </c>
      <c r="Z57" s="1277">
        <f>Z379</f>
        <v/>
      </c>
      <c r="AA57" s="1297">
        <f>AA379</f>
        <v/>
      </c>
      <c r="AB57" s="1277">
        <f>AB379</f>
        <v/>
      </c>
      <c r="AC57" s="1277">
        <f>AC379</f>
        <v/>
      </c>
      <c r="AD57" s="1277">
        <f>AD379</f>
        <v/>
      </c>
      <c r="AE57" s="1277">
        <f>AE379</f>
        <v/>
      </c>
      <c r="AF57" s="1297">
        <f>AF379</f>
        <v/>
      </c>
      <c r="AG57" s="1277">
        <f>AG379</f>
        <v/>
      </c>
      <c r="AH57" s="1277">
        <f>AH379</f>
        <v/>
      </c>
      <c r="AI57" s="1277">
        <f>AI379</f>
        <v/>
      </c>
      <c r="AJ57" s="1277">
        <f>AJ379</f>
        <v/>
      </c>
      <c r="AK57" s="1297">
        <f>AK379</f>
        <v/>
      </c>
      <c r="AL57" s="1277">
        <f>AL379</f>
        <v/>
      </c>
      <c r="AM57" s="1277">
        <f>AM379</f>
        <v/>
      </c>
      <c r="AN57" s="1277">
        <f>AN379</f>
        <v/>
      </c>
      <c r="AO57" s="1277">
        <f>AO379</f>
        <v/>
      </c>
      <c r="AP57" s="1297">
        <f>AP379</f>
        <v/>
      </c>
      <c r="AQ57" s="1277">
        <f>AQ379</f>
        <v/>
      </c>
      <c r="AR57" s="1277">
        <f>AR379</f>
        <v/>
      </c>
      <c r="AS57" s="1277">
        <f>AS379</f>
        <v/>
      </c>
      <c r="AT57" s="1277">
        <f>AT379</f>
        <v/>
      </c>
      <c r="AU57" s="1297">
        <f>AU379</f>
        <v/>
      </c>
      <c r="AV57" s="1277">
        <f>AV379</f>
        <v/>
      </c>
      <c r="AW57" s="1277">
        <f>AW379</f>
        <v/>
      </c>
      <c r="AX57" s="1277">
        <f>AX379</f>
        <v/>
      </c>
      <c r="AY57" s="1277">
        <f>AY379</f>
        <v/>
      </c>
      <c r="AZ57" s="1297">
        <f>AZ379</f>
        <v/>
      </c>
      <c r="BA57" s="1277">
        <f>BA379</f>
        <v/>
      </c>
      <c r="BB57" s="1277">
        <f>BB379</f>
        <v/>
      </c>
      <c r="BC57" s="1277">
        <f>BC379</f>
        <v/>
      </c>
      <c r="BD57" s="1277">
        <f>BD379</f>
        <v/>
      </c>
      <c r="BE57" s="1297">
        <f>BE379</f>
        <v/>
      </c>
      <c r="BF57" s="1277">
        <f>BF379</f>
        <v/>
      </c>
      <c r="BG57" s="1277">
        <f>BG379</f>
        <v/>
      </c>
      <c r="BH57" s="1277">
        <f>BH379</f>
        <v/>
      </c>
      <c r="BI57" s="1277">
        <f>BI379</f>
        <v/>
      </c>
      <c r="BJ57" s="1297">
        <f>BJ379</f>
        <v/>
      </c>
      <c r="BK57" s="1277">
        <f>BK379</f>
        <v/>
      </c>
      <c r="BL57" s="1277">
        <f>BL379</f>
        <v/>
      </c>
      <c r="BM57" s="1277">
        <f>BM379</f>
        <v/>
      </c>
      <c r="BN57" s="1277">
        <f>BN379</f>
        <v/>
      </c>
      <c r="BO57" s="1382">
        <f>BO379</f>
        <v/>
      </c>
      <c r="BP57" s="1298" t="n">
        <v>0</v>
      </c>
      <c r="BQ57" s="1298" t="n">
        <v>0</v>
      </c>
      <c r="BR57" s="1298" t="n">
        <v>0</v>
      </c>
      <c r="BS57" s="1298" t="n">
        <v>0</v>
      </c>
      <c r="BT57" s="1297">
        <f>BS57+BR57+BQ57+BP57</f>
        <v/>
      </c>
      <c r="BU57" s="1298" t="n">
        <v>0</v>
      </c>
      <c r="BV57" s="1298" t="n">
        <v>0</v>
      </c>
      <c r="BW57" s="1298" t="n">
        <v>0</v>
      </c>
      <c r="BX57" s="1298" t="n">
        <v>0</v>
      </c>
      <c r="BY57" s="1297">
        <f>BX57+BW57+BV57+BU57</f>
        <v/>
      </c>
      <c r="BZ57" s="1299" t="n">
        <v>0</v>
      </c>
      <c r="CA57" s="1299" t="n">
        <v>0</v>
      </c>
      <c r="CB57" s="1299" t="n">
        <v>0</v>
      </c>
      <c r="CC57" s="1280" t="n"/>
    </row>
    <row r="58" ht="14.4" customFormat="1" customHeight="1" s="1275">
      <c r="A58" s="1384" t="n"/>
      <c r="B58" s="1296" t="n"/>
      <c r="C58" s="1297" t="n"/>
      <c r="D58" s="1297" t="n"/>
      <c r="E58" s="1297" t="n"/>
      <c r="F58" s="1297" t="n"/>
      <c r="G58" s="1297" t="n"/>
      <c r="H58" s="1277" t="n"/>
      <c r="I58" s="1277" t="n"/>
      <c r="J58" s="1277" t="n"/>
      <c r="K58" s="1277" t="n"/>
      <c r="L58" s="1297" t="n"/>
      <c r="M58" s="1277" t="n"/>
      <c r="N58" s="1277" t="n"/>
      <c r="O58" s="1277" t="n"/>
      <c r="P58" s="1277" t="n"/>
      <c r="Q58" s="1297" t="n"/>
      <c r="R58" s="1277" t="n"/>
      <c r="S58" s="1277" t="n"/>
      <c r="T58" s="1277" t="n"/>
      <c r="U58" s="1277" t="n"/>
      <c r="V58" s="1297" t="n"/>
      <c r="W58" s="1277" t="n"/>
      <c r="X58" s="1277" t="n"/>
      <c r="Y58" s="1277" t="n"/>
      <c r="Z58" s="1277" t="n"/>
      <c r="AA58" s="1297" t="n"/>
      <c r="AB58" s="1277" t="n"/>
      <c r="AC58" s="1277" t="n"/>
      <c r="AD58" s="1277" t="n"/>
      <c r="AE58" s="1277" t="n"/>
      <c r="AF58" s="1297" t="n"/>
      <c r="AG58" s="1277" t="n"/>
      <c r="AH58" s="1277" t="n"/>
      <c r="AI58" s="1277" t="n"/>
      <c r="AJ58" s="1277" t="n"/>
      <c r="AK58" s="1297" t="n"/>
      <c r="AL58" s="1277" t="n"/>
      <c r="AM58" s="1277" t="n"/>
      <c r="AN58" s="1277" t="n"/>
      <c r="AO58" s="1277" t="n"/>
      <c r="AP58" s="1297" t="n"/>
      <c r="AQ58" s="1277" t="n"/>
      <c r="AR58" s="1277" t="n"/>
      <c r="AS58" s="1277" t="n"/>
      <c r="AT58" s="1277" t="n"/>
      <c r="AU58" s="1297" t="n"/>
      <c r="AV58" s="1277" t="n"/>
      <c r="AW58" s="1277" t="n"/>
      <c r="AX58" s="1277" t="n"/>
      <c r="AY58" s="1277" t="n"/>
      <c r="AZ58" s="1297" t="n"/>
      <c r="BA58" s="1277" t="n"/>
      <c r="BB58" s="1277" t="n"/>
      <c r="BC58" s="1277" t="n"/>
      <c r="BD58" s="1277" t="n"/>
      <c r="BE58" s="1297" t="n"/>
      <c r="BF58" s="1277" t="n"/>
      <c r="BG58" s="1277" t="n"/>
      <c r="BH58" s="1277" t="n"/>
      <c r="BI58" s="1277" t="n"/>
      <c r="BJ58" s="1297" t="n"/>
      <c r="BK58" s="1277" t="n"/>
      <c r="BL58" s="1277" t="n"/>
      <c r="BM58" s="1277" t="n"/>
      <c r="BN58" s="1277" t="n"/>
      <c r="BO58" s="1382" t="n"/>
      <c r="BP58" s="1277" t="n"/>
      <c r="BQ58" s="1277" t="n"/>
      <c r="BR58" s="1277" t="n"/>
      <c r="BS58" s="1277" t="n"/>
      <c r="BT58" s="1297" t="n"/>
      <c r="BU58" s="1277" t="n"/>
      <c r="BV58" s="1277" t="n"/>
      <c r="BW58" s="1277" t="n"/>
      <c r="BX58" s="1277" t="n"/>
      <c r="BY58" s="1297" t="n"/>
      <c r="BZ58" s="1297" t="n"/>
      <c r="CA58" s="1297" t="n"/>
      <c r="CB58" s="1297" t="n"/>
      <c r="CC58" s="1280" t="n"/>
    </row>
    <row r="59" ht="14.4" customFormat="1" customHeight="1" s="1323">
      <c r="A59" s="1385" t="inlineStr">
        <is>
          <t>EBIT, mm</t>
        </is>
      </c>
      <c r="B59" s="1325" t="n"/>
      <c r="C59" s="1326">
        <f>C36-C42-C47-C52-C57</f>
        <v/>
      </c>
      <c r="D59" s="1326">
        <f>D36-D42-D47-D52-D57</f>
        <v/>
      </c>
      <c r="E59" s="1326">
        <f>E36-E42-E47-E52-E57</f>
        <v/>
      </c>
      <c r="F59" s="1326">
        <f>F36-F42-F47-F52-F57</f>
        <v/>
      </c>
      <c r="G59" s="1326">
        <f>G36-G42-G47-G52-G57</f>
        <v/>
      </c>
      <c r="H59" s="1327">
        <f>H36-H42-H47-H52-H57</f>
        <v/>
      </c>
      <c r="I59" s="1327">
        <f>I36-I42-I47-I52-I57</f>
        <v/>
      </c>
      <c r="J59" s="1327">
        <f>J36-J42-J47-J52-J57</f>
        <v/>
      </c>
      <c r="K59" s="1327">
        <f>K36-K42-K47-K52-K57</f>
        <v/>
      </c>
      <c r="L59" s="1326">
        <f>L36-L42-L47-L52-L57</f>
        <v/>
      </c>
      <c r="M59" s="1327">
        <f>M36-M42-M47-M52-M57</f>
        <v/>
      </c>
      <c r="N59" s="1327">
        <f>N36-N42-N47-N52-N57</f>
        <v/>
      </c>
      <c r="O59" s="1327">
        <f>O36-O42-O47-O52-O57</f>
        <v/>
      </c>
      <c r="P59" s="1327">
        <f>P36-P42-P47-P52-P57</f>
        <v/>
      </c>
      <c r="Q59" s="1326">
        <f>Q36-Q42-Q47-Q52-Q57</f>
        <v/>
      </c>
      <c r="R59" s="1327">
        <f>R36-R42-R47-R52-R57</f>
        <v/>
      </c>
      <c r="S59" s="1327">
        <f>S36-S42-S47-S52-S57</f>
        <v/>
      </c>
      <c r="T59" s="1327">
        <f>T36-T42-T47-T52-T57</f>
        <v/>
      </c>
      <c r="U59" s="1327">
        <f>U36-U42-U47-U52-U57</f>
        <v/>
      </c>
      <c r="V59" s="1326">
        <f>V36-V42-V47-V52-V57</f>
        <v/>
      </c>
      <c r="W59" s="1327">
        <f>W36-W42-W47-W52-W57</f>
        <v/>
      </c>
      <c r="X59" s="1327">
        <f>X36-X42-X47-X52-X57</f>
        <v/>
      </c>
      <c r="Y59" s="1327">
        <f>Y36-Y42-Y47-Y52-Y57</f>
        <v/>
      </c>
      <c r="Z59" s="1327">
        <f>Z36-Z42-Z47-Z52-Z57</f>
        <v/>
      </c>
      <c r="AA59" s="1326">
        <f>AA36-AA42-AA47-AA52-AA57</f>
        <v/>
      </c>
      <c r="AB59" s="1327">
        <f>AB36-AB42-AB47-AB52-AB57</f>
        <v/>
      </c>
      <c r="AC59" s="1327">
        <f>AC36-AC42-AC47-AC52-AC57</f>
        <v/>
      </c>
      <c r="AD59" s="1327">
        <f>AD36-AD42-AD47-AD52-AD57</f>
        <v/>
      </c>
      <c r="AE59" s="1327">
        <f>AE36-AE42-AE47-AE52-AE57</f>
        <v/>
      </c>
      <c r="AF59" s="1326">
        <f>AF36-AF42-AF47-AF52-AF57</f>
        <v/>
      </c>
      <c r="AG59" s="1327">
        <f>AG36-AG42-AG47-AG52-AG57</f>
        <v/>
      </c>
      <c r="AH59" s="1327">
        <f>AH36-AH42-AH47-AH52-AH57</f>
        <v/>
      </c>
      <c r="AI59" s="1327">
        <f>AI36-AI42-AI47-AI52-AI57</f>
        <v/>
      </c>
      <c r="AJ59" s="1327">
        <f>AJ36-AJ42-AJ47-AJ52-AJ57</f>
        <v/>
      </c>
      <c r="AK59" s="1326">
        <f>AK36-AK42-AK47-AK52-AK57</f>
        <v/>
      </c>
      <c r="AL59" s="1327">
        <f>AL36-AL42-AL47-AL52-AL57</f>
        <v/>
      </c>
      <c r="AM59" s="1327">
        <f>AM36-AM42-AM47-AM52-AM57</f>
        <v/>
      </c>
      <c r="AN59" s="1327">
        <f>AN36-AN42-AN47-AN52-AN57</f>
        <v/>
      </c>
      <c r="AO59" s="1327">
        <f>AO36-AO42-AO47-AO52-AO57</f>
        <v/>
      </c>
      <c r="AP59" s="1326">
        <f>AP36-AP42-AP47-AP52-AP57</f>
        <v/>
      </c>
      <c r="AQ59" s="1327">
        <f>AQ36-AQ42-AQ47-AQ52-AQ57</f>
        <v/>
      </c>
      <c r="AR59" s="1327">
        <f>AR36-AR42-AR47-AR52-AR57</f>
        <v/>
      </c>
      <c r="AS59" s="1327">
        <f>AS36-AS42-AS47-AS52-AS57</f>
        <v/>
      </c>
      <c r="AT59" s="1327">
        <f>AT36-AT42-AT47-AT52-AT57</f>
        <v/>
      </c>
      <c r="AU59" s="1326">
        <f>AU36-AU42-AU47-AU52-AU57</f>
        <v/>
      </c>
      <c r="AV59" s="1327">
        <f>AV36-AV42-AV47-AV52-AV57</f>
        <v/>
      </c>
      <c r="AW59" s="1327">
        <f>AW36-AW42-AW47-AW52-AW57</f>
        <v/>
      </c>
      <c r="AX59" s="1327">
        <f>AX36-AX42-AX47-AX52-AX57</f>
        <v/>
      </c>
      <c r="AY59" s="1327">
        <f>AY36-AY42-AY47-AY52-AY57</f>
        <v/>
      </c>
      <c r="AZ59" s="1326">
        <f>AZ36-AZ42-AZ47-AZ52-AZ57</f>
        <v/>
      </c>
      <c r="BA59" s="1327">
        <f>BA36-BA42-BA47-BA52-BA57</f>
        <v/>
      </c>
      <c r="BB59" s="1327">
        <f>BB36-BB42-BB47-BB52-BB57</f>
        <v/>
      </c>
      <c r="BC59" s="1327">
        <f>BC36-BC42-BC47-BC52-BC57</f>
        <v/>
      </c>
      <c r="BD59" s="1327">
        <f>BD36-BD42-BD47-BD52-BD57</f>
        <v/>
      </c>
      <c r="BE59" s="1326">
        <f>BE36-BE42-BE47-BE52-BE57</f>
        <v/>
      </c>
      <c r="BF59" s="1327">
        <f>BF36-BF42-BF47-BF52-BF57</f>
        <v/>
      </c>
      <c r="BG59" s="1327">
        <f>BG36-BG42-BG47-BG52-BG57</f>
        <v/>
      </c>
      <c r="BH59" s="1327">
        <f>BH36-BH42-BH47-BH52-BH57</f>
        <v/>
      </c>
      <c r="BI59" s="1327">
        <f>BI36-BI42-BI47-BI52-BI57</f>
        <v/>
      </c>
      <c r="BJ59" s="1326">
        <f>BJ36-BJ42-BJ47-BJ52-BJ57</f>
        <v/>
      </c>
      <c r="BK59" s="1327">
        <f>BK36-BK42-BK47-BK52-BK57</f>
        <v/>
      </c>
      <c r="BL59" s="1327">
        <f>BL36-BL42-BL47-BL52-BL57</f>
        <v/>
      </c>
      <c r="BM59" s="1327">
        <f>BM36-BM42-BM47-BM52-BM57</f>
        <v/>
      </c>
      <c r="BN59" s="1327">
        <f>BN36-BN42-BN47-BN52-BN57</f>
        <v/>
      </c>
      <c r="BO59" s="1386">
        <f>BO36-BO42-BO47-BO52-BO57</f>
        <v/>
      </c>
      <c r="BP59" s="1327">
        <f>BP36-BP42-BP47-BP52-BP57</f>
        <v/>
      </c>
      <c r="BQ59" s="1327">
        <f>BQ36-BQ42-BQ47-BQ52-BQ57</f>
        <v/>
      </c>
      <c r="BR59" s="1327">
        <f>BR36-BR42-BR47-BR52-BR57</f>
        <v/>
      </c>
      <c r="BS59" s="1327">
        <f>BS36-BS42-BS47-BS52-BS57</f>
        <v/>
      </c>
      <c r="BT59" s="1326">
        <f>BT36-BT42-BT47-BT52-BT57</f>
        <v/>
      </c>
      <c r="BU59" s="1327">
        <f>BU36-BU42-BU47-BU52-BU57</f>
        <v/>
      </c>
      <c r="BV59" s="1327">
        <f>BV36-BV42-BV47-BV52-BV57</f>
        <v/>
      </c>
      <c r="BW59" s="1327">
        <f>BW36-BW42-BW47-BW52-BW57</f>
        <v/>
      </c>
      <c r="BX59" s="1327">
        <f>BX36-BX42-BX47-BX52-BX57</f>
        <v/>
      </c>
      <c r="BY59" s="1326">
        <f>BY36-BY42-BY47-BY52-BY57</f>
        <v/>
      </c>
      <c r="BZ59" s="1326">
        <f>BZ36-BZ42-BZ47-BZ52-BZ57</f>
        <v/>
      </c>
      <c r="CA59" s="1326">
        <f>CA36-CA42-CA47-CA52-CA57</f>
        <v/>
      </c>
      <c r="CB59" s="1326">
        <f>CB36-CB42-CB47-CB52-CB57</f>
        <v/>
      </c>
      <c r="CC59" s="1331" t="n"/>
    </row>
    <row r="60" ht="14.4" customFormat="1" customHeight="1" s="1302">
      <c r="A60" s="1342" t="inlineStr">
        <is>
          <t>Y/Y growth in EBIT, %</t>
        </is>
      </c>
      <c r="B60" s="1304" t="n"/>
      <c r="C60" s="1305" t="n"/>
      <c r="D60" s="1305">
        <f>D59/C59-1</f>
        <v/>
      </c>
      <c r="E60" s="1305">
        <f>E59/D59-1</f>
        <v/>
      </c>
      <c r="F60" s="1305">
        <f>F59/E59-1</f>
        <v/>
      </c>
      <c r="G60" s="1305">
        <f>G59/F59-1</f>
        <v/>
      </c>
      <c r="H60" s="1306" t="n"/>
      <c r="I60" s="1306" t="n"/>
      <c r="J60" s="1306" t="n"/>
      <c r="K60" s="1306" t="n"/>
      <c r="L60" s="1305">
        <f>L59/G59-1</f>
        <v/>
      </c>
      <c r="M60" s="1306">
        <f>M59/H59-1</f>
        <v/>
      </c>
      <c r="N60" s="1306">
        <f>N59/I59-1</f>
        <v/>
      </c>
      <c r="O60" s="1306">
        <f>O59/J59-1</f>
        <v/>
      </c>
      <c r="P60" s="1306">
        <f>P59/K59-1</f>
        <v/>
      </c>
      <c r="Q60" s="1305">
        <f>Q59/L59-1</f>
        <v/>
      </c>
      <c r="R60" s="1306">
        <f>R59/M59-1</f>
        <v/>
      </c>
      <c r="S60" s="1306">
        <f>S59/N59-1</f>
        <v/>
      </c>
      <c r="T60" s="1306">
        <f>T59/O59-1</f>
        <v/>
      </c>
      <c r="U60" s="1306">
        <f>U59/P59-1</f>
        <v/>
      </c>
      <c r="V60" s="1305">
        <f>V59/Q59-1</f>
        <v/>
      </c>
      <c r="W60" s="1306">
        <f>W59/R59-1</f>
        <v/>
      </c>
      <c r="X60" s="1306">
        <f>X59/S59-1</f>
        <v/>
      </c>
      <c r="Y60" s="1306">
        <f>Y59/T59-1</f>
        <v/>
      </c>
      <c r="Z60" s="1306">
        <f>Z59/U59-1</f>
        <v/>
      </c>
      <c r="AA60" s="1305">
        <f>AA59/V59-1</f>
        <v/>
      </c>
      <c r="AB60" s="1306">
        <f>AB59/W59-1</f>
        <v/>
      </c>
      <c r="AC60" s="1306">
        <f>AC59/X59-1</f>
        <v/>
      </c>
      <c r="AD60" s="1306">
        <f>AD59/Y59-1</f>
        <v/>
      </c>
      <c r="AE60" s="1306">
        <f>AE59/Z59-1</f>
        <v/>
      </c>
      <c r="AF60" s="1305">
        <f>AF59/AA59-1</f>
        <v/>
      </c>
      <c r="AG60" s="1306">
        <f>AG59/AB59-1</f>
        <v/>
      </c>
      <c r="AH60" s="1306">
        <f>AH59/AC59-1</f>
        <v/>
      </c>
      <c r="AI60" s="1306">
        <f>AI59/AD59-1</f>
        <v/>
      </c>
      <c r="AJ60" s="1306">
        <f>AJ59/AE59-1</f>
        <v/>
      </c>
      <c r="AK60" s="1305">
        <f>AK59/AF59-1</f>
        <v/>
      </c>
      <c r="AL60" s="1306">
        <f>AL59/AG59-1</f>
        <v/>
      </c>
      <c r="AM60" s="1306">
        <f>AM59/AH59-1</f>
        <v/>
      </c>
      <c r="AN60" s="1306">
        <f>AN59/AI59-1</f>
        <v/>
      </c>
      <c r="AO60" s="1306">
        <f>AO59/AJ59-1</f>
        <v/>
      </c>
      <c r="AP60" s="1305">
        <f>AP59/AK59-1</f>
        <v/>
      </c>
      <c r="AQ60" s="1306">
        <f>AQ59/AL59-1</f>
        <v/>
      </c>
      <c r="AR60" s="1306">
        <f>AR59/AM59-1</f>
        <v/>
      </c>
      <c r="AS60" s="1306">
        <f>AS59/AN59-1</f>
        <v/>
      </c>
      <c r="AT60" s="1306">
        <f>AT59/AO59-1</f>
        <v/>
      </c>
      <c r="AU60" s="1305">
        <f>AU59/AP59-1</f>
        <v/>
      </c>
      <c r="AV60" s="1306">
        <f>AV59/AQ59-1</f>
        <v/>
      </c>
      <c r="AW60" s="1306">
        <f>AW59/AR59-1</f>
        <v/>
      </c>
      <c r="AX60" s="1306">
        <f>AX59/AS59-1</f>
        <v/>
      </c>
      <c r="AY60" s="1306">
        <f>AY59/AT59-1</f>
        <v/>
      </c>
      <c r="AZ60" s="1305">
        <f>AZ59/AU59-1</f>
        <v/>
      </c>
      <c r="BA60" s="1306">
        <f>BA59/AV59-1</f>
        <v/>
      </c>
      <c r="BB60" s="1306">
        <f>BB59/AW59-1</f>
        <v/>
      </c>
      <c r="BC60" s="1306">
        <f>BC59/AX59-1</f>
        <v/>
      </c>
      <c r="BD60" s="1306">
        <f>BD59/AY59-1</f>
        <v/>
      </c>
      <c r="BE60" s="1305">
        <f>BE59/AZ59-1</f>
        <v/>
      </c>
      <c r="BF60" s="1306">
        <f>BF59/BA59-1</f>
        <v/>
      </c>
      <c r="BG60" s="1306">
        <f>BG59/BB59-1</f>
        <v/>
      </c>
      <c r="BH60" s="1306">
        <f>BH59/BC59-1</f>
        <v/>
      </c>
      <c r="BI60" s="1306">
        <f>BI59/BD59-1</f>
        <v/>
      </c>
      <c r="BJ60" s="1305">
        <f>BJ59/BE59-1</f>
        <v/>
      </c>
      <c r="BK60" s="1306">
        <f>BK59/BF59-1</f>
        <v/>
      </c>
      <c r="BL60" s="1306">
        <f>BL59/BG59-1</f>
        <v/>
      </c>
      <c r="BM60" s="1306">
        <f>BM59/BH59-1</f>
        <v/>
      </c>
      <c r="BN60" s="1306">
        <f>BN59/BI59-1</f>
        <v/>
      </c>
      <c r="BO60" s="1308">
        <f>BO59/BJ59-1</f>
        <v/>
      </c>
      <c r="BP60" s="1306">
        <f>BP59/BK59-1</f>
        <v/>
      </c>
      <c r="BQ60" s="1306">
        <f>BQ59/BL59-1</f>
        <v/>
      </c>
      <c r="BR60" s="1306">
        <f>BR59/BM59-1</f>
        <v/>
      </c>
      <c r="BS60" s="1306">
        <f>BS59/BN59-1</f>
        <v/>
      </c>
      <c r="BT60" s="1305">
        <f>BT59/BO59-1</f>
        <v/>
      </c>
      <c r="BU60" s="1306">
        <f>BU59/BP59-1</f>
        <v/>
      </c>
      <c r="BV60" s="1306">
        <f>BV59/BQ59-1</f>
        <v/>
      </c>
      <c r="BW60" s="1306">
        <f>BW59/BR59-1</f>
        <v/>
      </c>
      <c r="BX60" s="1306">
        <f>BX59/BS59-1</f>
        <v/>
      </c>
      <c r="BY60" s="1305">
        <f>BY59/BT59-1</f>
        <v/>
      </c>
      <c r="BZ60" s="1305">
        <f>BZ59/BY59-1</f>
        <v/>
      </c>
      <c r="CA60" s="1305">
        <f>CA59/BZ59-1</f>
        <v/>
      </c>
      <c r="CB60" s="1305">
        <f>CB59/CA59-1</f>
        <v/>
      </c>
      <c r="CC60" s="1307" t="n"/>
    </row>
    <row r="61" ht="14.4" customFormat="1" customHeight="1" s="1290">
      <c r="A61" s="1367" t="inlineStr">
        <is>
          <t>EBIT Margin, %</t>
        </is>
      </c>
      <c r="B61" s="1368" t="n"/>
      <c r="C61" s="1369">
        <f>C59/C34</f>
        <v/>
      </c>
      <c r="D61" s="1369">
        <f>D59/D34</f>
        <v/>
      </c>
      <c r="E61" s="1369">
        <f>E59/E34</f>
        <v/>
      </c>
      <c r="F61" s="1369">
        <f>F59/F34</f>
        <v/>
      </c>
      <c r="G61" s="1369">
        <f>G59/G34</f>
        <v/>
      </c>
      <c r="H61" s="1370">
        <f>H59/H34</f>
        <v/>
      </c>
      <c r="I61" s="1370">
        <f>I59/I34</f>
        <v/>
      </c>
      <c r="J61" s="1370">
        <f>J59/J34</f>
        <v/>
      </c>
      <c r="K61" s="1370">
        <f>K59/K34</f>
        <v/>
      </c>
      <c r="L61" s="1369">
        <f>L59/L34</f>
        <v/>
      </c>
      <c r="M61" s="1370">
        <f>M59/M34</f>
        <v/>
      </c>
      <c r="N61" s="1370">
        <f>N59/N34</f>
        <v/>
      </c>
      <c r="O61" s="1370">
        <f>O59/O34</f>
        <v/>
      </c>
      <c r="P61" s="1370">
        <f>P59/P34</f>
        <v/>
      </c>
      <c r="Q61" s="1369">
        <f>Q59/Q34</f>
        <v/>
      </c>
      <c r="R61" s="1370">
        <f>R59/R34</f>
        <v/>
      </c>
      <c r="S61" s="1370">
        <f>S59/S34</f>
        <v/>
      </c>
      <c r="T61" s="1370">
        <f>T59/T34</f>
        <v/>
      </c>
      <c r="U61" s="1370">
        <f>U59/U34</f>
        <v/>
      </c>
      <c r="V61" s="1369">
        <f>V59/V34</f>
        <v/>
      </c>
      <c r="W61" s="1370">
        <f>W59/W34</f>
        <v/>
      </c>
      <c r="X61" s="1370">
        <f>X59/X34</f>
        <v/>
      </c>
      <c r="Y61" s="1370">
        <f>Y59/Y34</f>
        <v/>
      </c>
      <c r="Z61" s="1370">
        <f>Z59/Z34</f>
        <v/>
      </c>
      <c r="AA61" s="1369">
        <f>AA59/AA34</f>
        <v/>
      </c>
      <c r="AB61" s="1370">
        <f>AB59/AB34</f>
        <v/>
      </c>
      <c r="AC61" s="1370">
        <f>AC59/AC34</f>
        <v/>
      </c>
      <c r="AD61" s="1370">
        <f>AD59/AD34</f>
        <v/>
      </c>
      <c r="AE61" s="1370">
        <f>AE59/AE34</f>
        <v/>
      </c>
      <c r="AF61" s="1369">
        <f>AF59/AF34</f>
        <v/>
      </c>
      <c r="AG61" s="1370">
        <f>AG59/AG34</f>
        <v/>
      </c>
      <c r="AH61" s="1370">
        <f>AH59/AH34</f>
        <v/>
      </c>
      <c r="AI61" s="1370">
        <f>AI59/AI34</f>
        <v/>
      </c>
      <c r="AJ61" s="1370">
        <f>AJ59/AJ34</f>
        <v/>
      </c>
      <c r="AK61" s="1369">
        <f>AK59/AK34</f>
        <v/>
      </c>
      <c r="AL61" s="1370">
        <f>AL59/AL34</f>
        <v/>
      </c>
      <c r="AM61" s="1370">
        <f>AM59/AM34</f>
        <v/>
      </c>
      <c r="AN61" s="1370">
        <f>AN59/AN34</f>
        <v/>
      </c>
      <c r="AO61" s="1370">
        <f>AO59/AO34</f>
        <v/>
      </c>
      <c r="AP61" s="1369">
        <f>AP59/AP34</f>
        <v/>
      </c>
      <c r="AQ61" s="1370">
        <f>AQ59/AQ34</f>
        <v/>
      </c>
      <c r="AR61" s="1370">
        <f>AR59/AR34</f>
        <v/>
      </c>
      <c r="AS61" s="1370">
        <f>AS59/AS34</f>
        <v/>
      </c>
      <c r="AT61" s="1370">
        <f>AT59/AT34</f>
        <v/>
      </c>
      <c r="AU61" s="1369">
        <f>AU59/AU34</f>
        <v/>
      </c>
      <c r="AV61" s="1370">
        <f>AV59/AV34</f>
        <v/>
      </c>
      <c r="AW61" s="1370">
        <f>AW59/AW34</f>
        <v/>
      </c>
      <c r="AX61" s="1370">
        <f>AX59/AX34</f>
        <v/>
      </c>
      <c r="AY61" s="1370">
        <f>AY59/AY34</f>
        <v/>
      </c>
      <c r="AZ61" s="1369">
        <f>AZ59/AZ34</f>
        <v/>
      </c>
      <c r="BA61" s="1370">
        <f>BA59/BA34</f>
        <v/>
      </c>
      <c r="BB61" s="1370">
        <f>BB59/BB34</f>
        <v/>
      </c>
      <c r="BC61" s="1370">
        <f>BC59/BC34</f>
        <v/>
      </c>
      <c r="BD61" s="1370">
        <f>BD59/BD34</f>
        <v/>
      </c>
      <c r="BE61" s="1369">
        <f>BE59/BE34</f>
        <v/>
      </c>
      <c r="BF61" s="1370">
        <f>BF59/BF34</f>
        <v/>
      </c>
      <c r="BG61" s="1370">
        <f>BG59/BG34</f>
        <v/>
      </c>
      <c r="BH61" s="1370">
        <f>BH59/BH34</f>
        <v/>
      </c>
      <c r="BI61" s="1370">
        <f>BI59/BI34</f>
        <v/>
      </c>
      <c r="BJ61" s="1369">
        <f>BJ59/BJ34</f>
        <v/>
      </c>
      <c r="BK61" s="1370">
        <f>BK59/BK34</f>
        <v/>
      </c>
      <c r="BL61" s="1370">
        <f>BL59/BL34</f>
        <v/>
      </c>
      <c r="BM61" s="1370">
        <f>BM59/BM34</f>
        <v/>
      </c>
      <c r="BN61" s="1370">
        <f>BN59/BN34</f>
        <v/>
      </c>
      <c r="BO61" s="1371">
        <f>BO59/BO34</f>
        <v/>
      </c>
      <c r="BP61" s="1370">
        <f>BP59/BP34</f>
        <v/>
      </c>
      <c r="BQ61" s="1370">
        <f>BQ59/BQ34</f>
        <v/>
      </c>
      <c r="BR61" s="1370">
        <f>BR59/BR34</f>
        <v/>
      </c>
      <c r="BS61" s="1370">
        <f>BS59/BS34</f>
        <v/>
      </c>
      <c r="BT61" s="1369">
        <f>BT59/BT34</f>
        <v/>
      </c>
      <c r="BU61" s="1370">
        <f>BU59/BU34</f>
        <v/>
      </c>
      <c r="BV61" s="1370">
        <f>BV59/BV34</f>
        <v/>
      </c>
      <c r="BW61" s="1370">
        <f>BW59/BW34</f>
        <v/>
      </c>
      <c r="BX61" s="1370">
        <f>BX59/BX34</f>
        <v/>
      </c>
      <c r="BY61" s="1369">
        <f>BY59/BY34</f>
        <v/>
      </c>
      <c r="BZ61" s="1369">
        <f>BZ59/BZ34</f>
        <v/>
      </c>
      <c r="CA61" s="1369">
        <f>CA59/CA34</f>
        <v/>
      </c>
      <c r="CB61" s="1369">
        <f>CB59/CB34</f>
        <v/>
      </c>
      <c r="CC61" s="1294" t="n"/>
    </row>
    <row r="62" ht="14.4" customFormat="1" customHeight="1" s="1373">
      <c r="A62" s="1374" t="inlineStr">
        <is>
          <t>Y/Y improvement in EBIT Margin, bps</t>
        </is>
      </c>
      <c r="B62" s="1375" t="n"/>
      <c r="C62" s="1376" t="n"/>
      <c r="D62" s="1376">
        <f>(D61-C61)*10000</f>
        <v/>
      </c>
      <c r="E62" s="1376">
        <f>(E61-D61)*10000</f>
        <v/>
      </c>
      <c r="F62" s="1376">
        <f>(F61-E61)*10000</f>
        <v/>
      </c>
      <c r="G62" s="1376">
        <f>(G61-F61)*10000</f>
        <v/>
      </c>
      <c r="H62" s="1278" t="n"/>
      <c r="I62" s="1278" t="n"/>
      <c r="J62" s="1278" t="n"/>
      <c r="K62" s="1278" t="n"/>
      <c r="L62" s="1376">
        <f>(L61-G61)*10000</f>
        <v/>
      </c>
      <c r="M62" s="1278">
        <f>(M61-H61)*10000</f>
        <v/>
      </c>
      <c r="N62" s="1278">
        <f>(N61-I61)*10000</f>
        <v/>
      </c>
      <c r="O62" s="1278">
        <f>(O61-J61)*10000</f>
        <v/>
      </c>
      <c r="P62" s="1278">
        <f>(P61-K61)*10000</f>
        <v/>
      </c>
      <c r="Q62" s="1376">
        <f>(Q61-L61)*10000</f>
        <v/>
      </c>
      <c r="R62" s="1278">
        <f>(R61-M61)*10000</f>
        <v/>
      </c>
      <c r="S62" s="1278">
        <f>(S61-N61)*10000</f>
        <v/>
      </c>
      <c r="T62" s="1278">
        <f>(T61-O61)*10000</f>
        <v/>
      </c>
      <c r="U62" s="1278">
        <f>(U61-P61)*10000</f>
        <v/>
      </c>
      <c r="V62" s="1376">
        <f>(V61-Q61)*10000</f>
        <v/>
      </c>
      <c r="W62" s="1278">
        <f>(W61-R61)*10000</f>
        <v/>
      </c>
      <c r="X62" s="1278">
        <f>(X61-S61)*10000</f>
        <v/>
      </c>
      <c r="Y62" s="1278">
        <f>(Y61-T61)*10000</f>
        <v/>
      </c>
      <c r="Z62" s="1278">
        <f>(Z61-U61)*10000</f>
        <v/>
      </c>
      <c r="AA62" s="1376">
        <f>(AA61-V61)*10000</f>
        <v/>
      </c>
      <c r="AB62" s="1278">
        <f>(AB61-W61)*10000</f>
        <v/>
      </c>
      <c r="AC62" s="1278">
        <f>(AC61-X61)*10000</f>
        <v/>
      </c>
      <c r="AD62" s="1278">
        <f>(AD61-Y61)*10000</f>
        <v/>
      </c>
      <c r="AE62" s="1278">
        <f>(AE61-Z61)*10000</f>
        <v/>
      </c>
      <c r="AF62" s="1376">
        <f>(AF61-AA61)*10000</f>
        <v/>
      </c>
      <c r="AG62" s="1278">
        <f>(AG61-AB61)*10000</f>
        <v/>
      </c>
      <c r="AH62" s="1278">
        <f>(AH61-AC61)*10000</f>
        <v/>
      </c>
      <c r="AI62" s="1278">
        <f>(AI61-AD61)*10000</f>
        <v/>
      </c>
      <c r="AJ62" s="1278">
        <f>(AJ61-AE61)*10000</f>
        <v/>
      </c>
      <c r="AK62" s="1376">
        <f>(AK61-AF61)*10000</f>
        <v/>
      </c>
      <c r="AL62" s="1278">
        <f>(AL61-AG61)*10000</f>
        <v/>
      </c>
      <c r="AM62" s="1278">
        <f>(AM61-AH61)*10000</f>
        <v/>
      </c>
      <c r="AN62" s="1278">
        <f>(AN61-AI61)*10000</f>
        <v/>
      </c>
      <c r="AO62" s="1278">
        <f>(AO61-AJ61)*10000</f>
        <v/>
      </c>
      <c r="AP62" s="1376">
        <f>(AP61-AK61)*10000</f>
        <v/>
      </c>
      <c r="AQ62" s="1278">
        <f>(AQ61-AL61)*10000</f>
        <v/>
      </c>
      <c r="AR62" s="1278">
        <f>(AR61-AM61)*10000</f>
        <v/>
      </c>
      <c r="AS62" s="1278">
        <f>(AS61-AN61)*10000</f>
        <v/>
      </c>
      <c r="AT62" s="1278">
        <f>(AT61-AO61)*10000</f>
        <v/>
      </c>
      <c r="AU62" s="1376">
        <f>(AU61-AP61)*10000</f>
        <v/>
      </c>
      <c r="AV62" s="1278">
        <f>(AV61-AQ61)*10000</f>
        <v/>
      </c>
      <c r="AW62" s="1278">
        <f>(AW61-AR61)*10000</f>
        <v/>
      </c>
      <c r="AX62" s="1278">
        <f>(AX61-AS61)*10000</f>
        <v/>
      </c>
      <c r="AY62" s="1278">
        <f>(AY61-AT61)*10000</f>
        <v/>
      </c>
      <c r="AZ62" s="1376">
        <f>(AZ61-AU61)*10000</f>
        <v/>
      </c>
      <c r="BA62" s="1278">
        <f>(BA61-AV61)*10000</f>
        <v/>
      </c>
      <c r="BB62" s="1278">
        <f>(BB61-AW61)*10000</f>
        <v/>
      </c>
      <c r="BC62" s="1278">
        <f>(BC61-AX61)*10000</f>
        <v/>
      </c>
      <c r="BD62" s="1278">
        <f>(BD61-AY61)*10000</f>
        <v/>
      </c>
      <c r="BE62" s="1376">
        <f>(BE61-AZ61)*10000</f>
        <v/>
      </c>
      <c r="BF62" s="1278">
        <f>(BF61-BA61)*10000</f>
        <v/>
      </c>
      <c r="BG62" s="1278">
        <f>(BG61-BB61)*10000</f>
        <v/>
      </c>
      <c r="BH62" s="1278">
        <f>(BH61-BC61)*10000</f>
        <v/>
      </c>
      <c r="BI62" s="1278">
        <f>(BI61-BD61)*10000</f>
        <v/>
      </c>
      <c r="BJ62" s="1376">
        <f>(BJ61-BE61)*10000</f>
        <v/>
      </c>
      <c r="BK62" s="1278">
        <f>(BK61-BF61)*10000</f>
        <v/>
      </c>
      <c r="BL62" s="1278">
        <f>(BL61-BG61)*10000</f>
        <v/>
      </c>
      <c r="BM62" s="1278">
        <f>(BM61-BH61)*10000</f>
        <v/>
      </c>
      <c r="BN62" s="1278">
        <f>(BN61-BI61)*10000</f>
        <v/>
      </c>
      <c r="BO62" s="1377">
        <f>(BO61-BJ61)*10000</f>
        <v/>
      </c>
      <c r="BP62" s="1278">
        <f>(BP61-BK61)*10000</f>
        <v/>
      </c>
      <c r="BQ62" s="1278">
        <f>(BQ61-BL61)*10000</f>
        <v/>
      </c>
      <c r="BR62" s="1278">
        <f>(BR61-BM61)*10000</f>
        <v/>
      </c>
      <c r="BS62" s="1278">
        <f>(BS61-BN61)*10000</f>
        <v/>
      </c>
      <c r="BT62" s="1376">
        <f>(BT61-BO61)*10000</f>
        <v/>
      </c>
      <c r="BU62" s="1278">
        <f>(BU61-BP61)*10000</f>
        <v/>
      </c>
      <c r="BV62" s="1278">
        <f>(BV61-BQ61)*10000</f>
        <v/>
      </c>
      <c r="BW62" s="1278">
        <f>(BW61-BR61)*10000</f>
        <v/>
      </c>
      <c r="BX62" s="1278">
        <f>(BX61-BS61)*10000</f>
        <v/>
      </c>
      <c r="BY62" s="1376">
        <f>(BY61-BT61)*10000</f>
        <v/>
      </c>
      <c r="BZ62" s="1376">
        <f>(BZ61-BY61)*10000</f>
        <v/>
      </c>
      <c r="CA62" s="1376">
        <f>(CA61-BZ61)*10000</f>
        <v/>
      </c>
      <c r="CB62" s="1376">
        <f>(CB61-CA61)*10000</f>
        <v/>
      </c>
      <c r="CC62" s="1380" t="n"/>
    </row>
    <row r="63" ht="14.4" customFormat="1" customHeight="1" s="1323">
      <c r="A63" s="1344" t="n"/>
      <c r="B63" s="1361" t="n"/>
      <c r="C63" s="1345" t="n"/>
      <c r="D63" s="1345" t="n"/>
      <c r="E63" s="1345" t="n"/>
      <c r="F63" s="1345" t="n"/>
      <c r="G63" s="1345" t="n"/>
      <c r="H63" s="1346" t="n"/>
      <c r="I63" s="1346" t="n"/>
      <c r="J63" s="1346" t="n"/>
      <c r="K63" s="1346" t="n"/>
      <c r="L63" s="1345" t="n"/>
      <c r="M63" s="1346" t="n"/>
      <c r="N63" s="1346" t="n"/>
      <c r="O63" s="1346" t="n"/>
      <c r="P63" s="1346" t="n"/>
      <c r="Q63" s="1345" t="n"/>
      <c r="R63" s="1346" t="n"/>
      <c r="S63" s="1346" t="n"/>
      <c r="T63" s="1346" t="n"/>
      <c r="U63" s="1346" t="n"/>
      <c r="V63" s="1345" t="n"/>
      <c r="W63" s="1346" t="n"/>
      <c r="X63" s="1346" t="n"/>
      <c r="Y63" s="1346" t="n"/>
      <c r="Z63" s="1346" t="n"/>
      <c r="AA63" s="1345" t="n"/>
      <c r="AB63" s="1346" t="n"/>
      <c r="AC63" s="1346" t="n"/>
      <c r="AD63" s="1346" t="n"/>
      <c r="AE63" s="1346" t="n"/>
      <c r="AF63" s="1345" t="n"/>
      <c r="AG63" s="1346" t="n"/>
      <c r="AH63" s="1346" t="n"/>
      <c r="AI63" s="1346" t="n"/>
      <c r="AJ63" s="1346" t="n"/>
      <c r="AK63" s="1345" t="n"/>
      <c r="AL63" s="1346" t="n"/>
      <c r="AM63" s="1346" t="n"/>
      <c r="AN63" s="1346" t="n"/>
      <c r="AO63" s="1346" t="n"/>
      <c r="AP63" s="1345" t="n"/>
      <c r="AQ63" s="1346" t="n"/>
      <c r="AR63" s="1346" t="n"/>
      <c r="AS63" s="1346" t="n"/>
      <c r="AT63" s="1346" t="n"/>
      <c r="AU63" s="1345" t="n"/>
      <c r="AV63" s="1346" t="n"/>
      <c r="AW63" s="1346" t="n"/>
      <c r="AX63" s="1346" t="n"/>
      <c r="AY63" s="1346" t="n"/>
      <c r="AZ63" s="1345" t="n"/>
      <c r="BA63" s="1346" t="n"/>
      <c r="BB63" s="1346" t="n"/>
      <c r="BC63" s="1346" t="n"/>
      <c r="BD63" s="1346" t="n"/>
      <c r="BE63" s="1345" t="n"/>
      <c r="BF63" s="1346" t="n"/>
      <c r="BG63" s="1346" t="n"/>
      <c r="BH63" s="1346" t="n"/>
      <c r="BI63" s="1346" t="n"/>
      <c r="BJ63" s="1345" t="n"/>
      <c r="BK63" s="1346" t="n"/>
      <c r="BL63" s="1346" t="n"/>
      <c r="BM63" s="1346" t="n"/>
      <c r="BN63" s="1346" t="n"/>
      <c r="BO63" s="1347" t="n"/>
      <c r="BP63" s="1346" t="n"/>
      <c r="BQ63" s="1346" t="n"/>
      <c r="BR63" s="1346" t="n"/>
      <c r="BS63" s="1346" t="n"/>
      <c r="BT63" s="1345" t="n"/>
      <c r="BU63" s="1346" t="n"/>
      <c r="BV63" s="1346" t="n"/>
      <c r="BW63" s="1346" t="n"/>
      <c r="BX63" s="1346" t="n"/>
      <c r="BY63" s="1345" t="n"/>
      <c r="BZ63" s="1345" t="n"/>
      <c r="CA63" s="1345" t="n"/>
      <c r="CB63" s="1345" t="n"/>
      <c r="CC63" s="1331" t="n"/>
    </row>
    <row r="64" ht="14.4" customFormat="1" customHeight="1" s="1275">
      <c r="A64" s="1357" t="inlineStr">
        <is>
          <t>D&amp;A Breakdown (FS)</t>
        </is>
      </c>
      <c r="B64" s="1358" t="n"/>
      <c r="C64" s="1358" t="n"/>
      <c r="D64" s="1358" t="n"/>
      <c r="E64" s="1358" t="n"/>
      <c r="F64" s="1358" t="n"/>
      <c r="G64" s="1358" t="n"/>
      <c r="H64" s="1358" t="n"/>
      <c r="I64" s="1358" t="n"/>
      <c r="J64" s="1358" t="n"/>
      <c r="K64" s="1358" t="n"/>
      <c r="L64" s="1358" t="n"/>
      <c r="M64" s="1358" t="n"/>
      <c r="N64" s="1358" t="n"/>
      <c r="O64" s="1358" t="n"/>
      <c r="P64" s="1358" t="n"/>
      <c r="Q64" s="1358" t="n"/>
      <c r="R64" s="1358" t="n"/>
      <c r="S64" s="1358" t="n"/>
      <c r="T64" s="1358" t="n"/>
      <c r="U64" s="1358" t="n"/>
      <c r="V64" s="1358" t="n"/>
      <c r="W64" s="1358" t="n"/>
      <c r="X64" s="1358" t="n"/>
      <c r="Y64" s="1358" t="n"/>
      <c r="Z64" s="1358" t="n"/>
      <c r="AA64" s="1358" t="n"/>
      <c r="AB64" s="1358" t="n"/>
      <c r="AC64" s="1358" t="n"/>
      <c r="AD64" s="1358" t="n"/>
      <c r="AE64" s="1358" t="n"/>
      <c r="AF64" s="1358" t="n"/>
      <c r="AG64" s="1358" t="n"/>
      <c r="AH64" s="1358" t="n"/>
      <c r="AI64" s="1358" t="n"/>
      <c r="AJ64" s="1358" t="n"/>
      <c r="AK64" s="1358" t="n"/>
      <c r="AL64" s="1358" t="n"/>
      <c r="AM64" s="1358" t="n"/>
      <c r="AN64" s="1358" t="n"/>
      <c r="AO64" s="1358" t="n"/>
      <c r="AP64" s="1358" t="n"/>
      <c r="AQ64" s="1358" t="n"/>
      <c r="AR64" s="1358" t="n"/>
      <c r="AS64" s="1358" t="n"/>
      <c r="AT64" s="1358" t="n"/>
      <c r="AU64" s="1358" t="n"/>
      <c r="AV64" s="1358" t="n"/>
      <c r="AW64" s="1358" t="n"/>
      <c r="AX64" s="1358" t="n"/>
      <c r="AY64" s="1358" t="n"/>
      <c r="AZ64" s="1358" t="n"/>
      <c r="BA64" s="1358" t="n"/>
      <c r="BB64" s="1358" t="n"/>
      <c r="BC64" s="1358" t="n"/>
      <c r="BD64" s="1358" t="n"/>
      <c r="BE64" s="1358" t="n"/>
      <c r="BF64" s="1358" t="n"/>
      <c r="BG64" s="1358" t="n"/>
      <c r="BH64" s="1358" t="n"/>
      <c r="BI64" s="1358" t="n"/>
      <c r="BJ64" s="1358" t="n"/>
      <c r="BK64" s="1358" t="n"/>
      <c r="BL64" s="1358" t="n"/>
      <c r="BM64" s="1358" t="n"/>
      <c r="BN64" s="1358" t="n"/>
      <c r="BO64" s="1359" t="n"/>
      <c r="BP64" s="1358" t="n"/>
      <c r="BQ64" s="1358" t="n"/>
      <c r="BR64" s="1358" t="n"/>
      <c r="BS64" s="1358" t="n"/>
      <c r="BT64" s="1358" t="n"/>
      <c r="BU64" s="1358" t="n"/>
      <c r="BV64" s="1358" t="n"/>
      <c r="BW64" s="1358" t="n"/>
      <c r="BX64" s="1358" t="n"/>
      <c r="BY64" s="1358" t="n"/>
      <c r="BZ64" s="1358" t="n"/>
      <c r="CA64" s="1358" t="n"/>
      <c r="CB64" s="1358" t="n"/>
      <c r="CC64" s="1280" t="n"/>
    </row>
    <row r="65" hidden="1" outlineLevel="1" ht="14.4" customFormat="1" customHeight="1" s="1275">
      <c r="A65" s="1384" t="inlineStr">
        <is>
          <t>Depreciation - Cost of revenue, mm</t>
        </is>
      </c>
      <c r="B65" s="1387" t="n"/>
      <c r="C65" s="1299" t="n">
        <v>74482.133</v>
      </c>
      <c r="D65" s="1299" t="n">
        <v>80123.895</v>
      </c>
      <c r="E65" s="1299" t="n">
        <v>98065.992</v>
      </c>
      <c r="F65" s="1299" t="n">
        <v>118313.581</v>
      </c>
      <c r="G65" s="1299" t="n">
        <v>141002.263</v>
      </c>
      <c r="H65" s="1298" t="n">
        <v>37457.425</v>
      </c>
      <c r="I65" s="1298" t="n">
        <v>41804.816</v>
      </c>
      <c r="J65" s="1298" t="n">
        <v>52193.345</v>
      </c>
      <c r="K65" s="1277">
        <f>L65-SUM(H65,I65,J65)</f>
        <v/>
      </c>
      <c r="L65" s="1299" t="n">
        <v>183750.945</v>
      </c>
      <c r="M65" s="1298" t="n">
        <v>51041.714</v>
      </c>
      <c r="N65" s="1298" t="n">
        <v>50147.268</v>
      </c>
      <c r="O65" s="1298" t="n">
        <v>51504.491</v>
      </c>
      <c r="P65" s="1277">
        <f>Q65-SUM(M65,N65,O65)</f>
        <v/>
      </c>
      <c r="Q65" s="1299" t="n">
        <v>204126.243</v>
      </c>
      <c r="R65" s="1298" t="n">
        <v>50829.281</v>
      </c>
      <c r="S65" s="1298" t="n">
        <v>50255.557</v>
      </c>
      <c r="T65" s="1298" t="n">
        <v>51260.197</v>
      </c>
      <c r="U65" s="1277">
        <f>V65-SUM(R65,S65,T65)</f>
        <v/>
      </c>
      <c r="V65" s="1299" t="n">
        <v>203476.848</v>
      </c>
      <c r="W65" s="1298" t="n">
        <v>54492.962</v>
      </c>
      <c r="X65" s="1298" t="n">
        <v>52169.204</v>
      </c>
      <c r="Y65" s="1298" t="n">
        <v>65040.285</v>
      </c>
      <c r="Z65" s="1277">
        <f>AA65-SUM(W65,X65,Y65)</f>
        <v/>
      </c>
      <c r="AA65" s="1299" t="n">
        <v>235985.189</v>
      </c>
      <c r="AB65" s="1298" t="n">
        <v>64798.902</v>
      </c>
      <c r="AC65" s="1298" t="n">
        <v>64558.463</v>
      </c>
      <c r="AD65" s="1298" t="n">
        <v>66715.027</v>
      </c>
      <c r="AE65" s="1277">
        <f>AF65-SUM(AB65,AC65,AD65)</f>
        <v/>
      </c>
      <c r="AF65" s="1299" t="n">
        <v>264804.741</v>
      </c>
      <c r="AG65" s="1298" t="n">
        <v>69934.17600000001</v>
      </c>
      <c r="AH65" s="1298" t="n">
        <v>67257.072</v>
      </c>
      <c r="AI65" s="1298" t="n">
        <v>59338.43</v>
      </c>
      <c r="AJ65" s="1277">
        <f>AK65-SUM(AG65,AH65,AI65)</f>
        <v/>
      </c>
      <c r="AK65" s="1299" t="n">
        <v>256530.964</v>
      </c>
      <c r="AL65" s="1298" t="n">
        <v>60839.984</v>
      </c>
      <c r="AM65" s="1298" t="n">
        <v>62604.362</v>
      </c>
      <c r="AN65" s="1298" t="n">
        <v>86576.054</v>
      </c>
      <c r="AO65" s="1277">
        <f>AP65-SUM(AL65,AM65,AN65)</f>
        <v/>
      </c>
      <c r="AP65" s="1299" t="n">
        <v>299311.405</v>
      </c>
      <c r="AQ65" s="1298" t="n">
        <v>92234.075</v>
      </c>
      <c r="AR65" s="1298" t="n">
        <v>94713.022</v>
      </c>
      <c r="AS65" s="1298" t="n">
        <v>97830.855</v>
      </c>
      <c r="AT65" s="1277">
        <f>AU65-SUM(AQ65,AR65,AS65)</f>
        <v/>
      </c>
      <c r="AU65" s="1299" t="n">
        <v>386103.923</v>
      </c>
      <c r="AV65" s="1298" t="n">
        <v>101657.688</v>
      </c>
      <c r="AW65" s="1298" t="n">
        <v>103802.522</v>
      </c>
      <c r="AX65" s="1298" t="n">
        <v>95904.327</v>
      </c>
      <c r="AY65" s="1277">
        <f>AZ65-SUM(AV65,AW65,AX65)</f>
        <v/>
      </c>
      <c r="AZ65" s="1299" t="n">
        <v>399638.755</v>
      </c>
      <c r="BA65" s="1298" t="n">
        <v>100833.822</v>
      </c>
      <c r="BB65" s="1298" t="n">
        <v>114113.023</v>
      </c>
      <c r="BC65" s="1298" t="n">
        <v>137203.831</v>
      </c>
      <c r="BD65" s="1277">
        <f>BE65-SUM(BA65,BB65,BC65)</f>
        <v/>
      </c>
      <c r="BE65" s="1299" t="n">
        <v>492827.379</v>
      </c>
      <c r="BF65" s="1298" t="n">
        <v>148662.639</v>
      </c>
      <c r="BG65" s="1298" t="n">
        <v>153957.487</v>
      </c>
      <c r="BH65" s="1298" t="n">
        <v>156176.635</v>
      </c>
      <c r="BI65" s="1277">
        <f>BJ65-SUM(BF65,BG65,BH65)</f>
        <v/>
      </c>
      <c r="BJ65" s="1299" t="n">
        <v>616390.4080000001</v>
      </c>
      <c r="BK65" s="1298" t="n">
        <v>161648.245</v>
      </c>
      <c r="BL65" s="1298" t="n">
        <v>175806.058</v>
      </c>
      <c r="BM65" s="1298" t="n">
        <v>150797.509</v>
      </c>
      <c r="BN65" s="1277">
        <f>BN68-BN67-BN66</f>
        <v/>
      </c>
      <c r="BO65" s="1382">
        <f>SUM(BK65,BL65,BM65,BN65)</f>
        <v/>
      </c>
      <c r="BP65" s="1277" t="n"/>
      <c r="BQ65" s="1277" t="n"/>
      <c r="BR65" s="1277" t="n"/>
      <c r="BS65" s="1277" t="n"/>
      <c r="BT65" s="1297" t="n"/>
      <c r="BU65" s="1277" t="n"/>
      <c r="BV65" s="1277" t="n"/>
      <c r="BW65" s="1277" t="n"/>
      <c r="BX65" s="1277" t="n"/>
      <c r="BY65" s="1297" t="n"/>
      <c r="BZ65" s="1297" t="n"/>
      <c r="CA65" s="1297" t="n"/>
      <c r="CB65" s="1297" t="n"/>
      <c r="CC65" s="1280" t="n"/>
    </row>
    <row r="66" hidden="1" outlineLevel="1" ht="14.4" customFormat="1" customHeight="1" s="1275">
      <c r="A66" s="1384" t="inlineStr">
        <is>
          <t>Depreciation - Operating Expense, mm</t>
        </is>
      </c>
      <c r="B66" s="1387" t="n"/>
      <c r="C66" s="1299" t="n">
        <v>4180.237</v>
      </c>
      <c r="D66" s="1299" t="n">
        <v>5427.488</v>
      </c>
      <c r="E66" s="1299" t="n">
        <v>7261.159</v>
      </c>
      <c r="F66" s="1299" t="n">
        <v>10848.277</v>
      </c>
      <c r="G66" s="1299" t="n">
        <v>12952.464</v>
      </c>
      <c r="H66" s="1298" t="n">
        <v>3522.295</v>
      </c>
      <c r="I66" s="1298" t="n">
        <v>3541.464</v>
      </c>
      <c r="J66" s="1298" t="n">
        <v>3381.809</v>
      </c>
      <c r="K66" s="1277">
        <f>L66-SUM(H66,I66,J66)</f>
        <v/>
      </c>
      <c r="L66" s="1299" t="n">
        <v>13869.354</v>
      </c>
      <c r="M66" s="1298" t="n">
        <v>3658.291</v>
      </c>
      <c r="N66" s="1298" t="n">
        <v>3685.08</v>
      </c>
      <c r="O66" s="1298" t="n">
        <v>3828.916</v>
      </c>
      <c r="P66" s="1277">
        <f>Q66-SUM(M66,N66,O66)</f>
        <v/>
      </c>
      <c r="Q66" s="1299" t="n">
        <v>15152.174</v>
      </c>
      <c r="R66" s="1298" t="n">
        <v>4115.03</v>
      </c>
      <c r="S66" s="1298" t="n">
        <v>4140.384</v>
      </c>
      <c r="T66" s="1298" t="n">
        <v>4046.009</v>
      </c>
      <c r="U66" s="1277">
        <f>V66-SUM(R66,S66,T66)</f>
        <v/>
      </c>
      <c r="V66" s="1299" t="n">
        <v>16583.067</v>
      </c>
      <c r="W66" s="1298" t="n">
        <v>4634.177</v>
      </c>
      <c r="X66" s="1298" t="n">
        <v>4790.33</v>
      </c>
      <c r="Y66" s="1298" t="n">
        <v>4974.403</v>
      </c>
      <c r="Z66" s="1277">
        <f>AA66-SUM(W66,X66,Y66)</f>
        <v/>
      </c>
      <c r="AA66" s="1299" t="n">
        <v>19746.263</v>
      </c>
      <c r="AB66" s="1298" t="n">
        <v>5652.531</v>
      </c>
      <c r="AC66" s="1298" t="n">
        <v>5786.785</v>
      </c>
      <c r="AD66" s="1298" t="n">
        <v>5784.173</v>
      </c>
      <c r="AE66" s="1277">
        <f>AF66-SUM(AB66,AC66,AD66)</f>
        <v/>
      </c>
      <c r="AF66" s="1299" t="n">
        <v>23292.299</v>
      </c>
      <c r="AG66" s="1298" t="n">
        <v>6252.169</v>
      </c>
      <c r="AH66" s="1298" t="n">
        <v>6441.494</v>
      </c>
      <c r="AI66" s="1298" t="n">
        <v>6033.031</v>
      </c>
      <c r="AJ66" s="1277">
        <f>AK66-SUM(AG66,AH66,AI66)</f>
        <v/>
      </c>
      <c r="AK66" s="1299" t="n">
        <v>24856.701</v>
      </c>
      <c r="AL66" s="1298" t="n">
        <v>6237.895</v>
      </c>
      <c r="AM66" s="1298" t="n">
        <v>6371.65</v>
      </c>
      <c r="AN66" s="1298" t="n">
        <v>6245.834</v>
      </c>
      <c r="AO66" s="1277">
        <f>AP66-SUM(AL66,AM66,AN66)</f>
        <v/>
      </c>
      <c r="AP66" s="1299" t="n">
        <v>25191.358</v>
      </c>
      <c r="AQ66" s="1298" t="n">
        <v>6666.175</v>
      </c>
      <c r="AR66" s="1298" t="n">
        <v>6949.727</v>
      </c>
      <c r="AS66" s="1298" t="n">
        <v>7057.572</v>
      </c>
      <c r="AT66" s="1277">
        <f>AU66-SUM(AQ66,AR66,AS66)</f>
        <v/>
      </c>
      <c r="AU66" s="1299" t="n">
        <v>27936.211</v>
      </c>
      <c r="AV66" s="1298" t="n">
        <v>7276.382</v>
      </c>
      <c r="AW66" s="1298" t="n">
        <v>7236.218</v>
      </c>
      <c r="AX66" s="1298" t="n">
        <v>7239.604</v>
      </c>
      <c r="AY66" s="1277">
        <f>AZ66-SUM(AV66,AW66,AX66)</f>
        <v/>
      </c>
      <c r="AZ66" s="1299" t="n">
        <v>28850.463</v>
      </c>
      <c r="BA66" s="1298" t="n">
        <v>7247.386</v>
      </c>
      <c r="BB66" s="1298" t="n">
        <v>7529.817</v>
      </c>
      <c r="BC66" s="1298" t="n">
        <v>7722.319</v>
      </c>
      <c r="BD66" s="1277">
        <f>BE66-SUM(BA66,BB66,BC66)</f>
        <v/>
      </c>
      <c r="BE66" s="1299" t="n">
        <v>30097.805</v>
      </c>
      <c r="BF66" s="1298" t="n">
        <v>8026.174</v>
      </c>
      <c r="BG66" s="1298" t="n">
        <v>8963.535</v>
      </c>
      <c r="BH66" s="1298" t="n">
        <v>9730.876</v>
      </c>
      <c r="BI66" s="1277">
        <f>BJ66-SUM(BF66,BG66,BH66)</f>
        <v/>
      </c>
      <c r="BJ66" s="1299" t="n">
        <v>37190.415</v>
      </c>
      <c r="BK66" s="1298" t="n">
        <v>11351.218</v>
      </c>
      <c r="BL66" s="1298" t="n">
        <v>10190.757</v>
      </c>
      <c r="BM66" s="1298" t="n">
        <v>9874.777</v>
      </c>
      <c r="BN66" s="1298" t="n">
        <v>9500</v>
      </c>
      <c r="BO66" s="1382">
        <f>SUM(BK66,BL66,BM66,BN66)</f>
        <v/>
      </c>
      <c r="BP66" s="1277" t="n"/>
      <c r="BQ66" s="1277" t="n"/>
      <c r="BR66" s="1277" t="n"/>
      <c r="BS66" s="1277" t="n"/>
      <c r="BT66" s="1297" t="n"/>
      <c r="BU66" s="1277" t="n"/>
      <c r="BV66" s="1277" t="n"/>
      <c r="BW66" s="1277" t="n"/>
      <c r="BX66" s="1277" t="n"/>
      <c r="BY66" s="1297" t="n"/>
      <c r="BZ66" s="1297" t="n"/>
      <c r="CA66" s="1297" t="n"/>
      <c r="CB66" s="1297" t="n"/>
      <c r="CC66" s="1280" t="n"/>
    </row>
    <row r="67" hidden="1" outlineLevel="1" ht="14.4" customFormat="1" customHeight="1" s="1275">
      <c r="A67" s="1388" t="inlineStr">
        <is>
          <t>Depreciation - Other operating expense, mm</t>
        </is>
      </c>
      <c r="B67" s="1389" t="n"/>
      <c r="C67" s="1390" t="n">
        <v>22.00300000001153</v>
      </c>
      <c r="D67" s="1390" t="n">
        <v>22.00400000000127</v>
      </c>
      <c r="E67" s="1390" t="n">
        <v>16.79999999999563</v>
      </c>
      <c r="F67" s="1390" t="n">
        <v>6.656</v>
      </c>
      <c r="G67" s="1390" t="n">
        <v>25.12</v>
      </c>
      <c r="H67" s="1391" t="n">
        <v>6.222</v>
      </c>
      <c r="I67" s="1391" t="n">
        <v>6.221</v>
      </c>
      <c r="J67" s="1391" t="n">
        <v>6.222</v>
      </c>
      <c r="K67" s="1365">
        <f>L67-SUM(H67,I67,J67)</f>
        <v/>
      </c>
      <c r="L67" s="1390" t="n">
        <v>24.887</v>
      </c>
      <c r="M67" s="1391" t="n">
        <v>6.222</v>
      </c>
      <c r="N67" s="1391" t="n">
        <v>6.221</v>
      </c>
      <c r="O67" s="1391" t="n">
        <v>6.222</v>
      </c>
      <c r="P67" s="1365">
        <f>Q67-SUM(M67,N67,O67)</f>
        <v/>
      </c>
      <c r="Q67" s="1390" t="n">
        <v>24.952</v>
      </c>
      <c r="R67" s="1391" t="n">
        <v>6.418</v>
      </c>
      <c r="S67" s="1391" t="n">
        <v>6.222</v>
      </c>
      <c r="T67" s="1391" t="n">
        <v>6.221</v>
      </c>
      <c r="U67" s="1365">
        <f>V67-SUM(R67,S67,T67)</f>
        <v/>
      </c>
      <c r="V67" s="1390" t="n">
        <v>25.083</v>
      </c>
      <c r="W67" s="1391" t="n">
        <v>6.222</v>
      </c>
      <c r="X67" s="1391" t="n">
        <v>6.221</v>
      </c>
      <c r="Y67" s="1391" t="n">
        <v>18.14</v>
      </c>
      <c r="Z67" s="1365">
        <f>AA67-SUM(W67,X67,Y67)</f>
        <v/>
      </c>
      <c r="AA67" s="1390" t="n">
        <v>64.51000000000001</v>
      </c>
      <c r="AB67" s="1391" t="n">
        <v>10.853</v>
      </c>
      <c r="AC67" s="1391" t="n">
        <v>6.222</v>
      </c>
      <c r="AD67" s="1391" t="n">
        <v>5.994</v>
      </c>
      <c r="AE67" s="1365">
        <f>AF67-SUM(AB67,AC67,AD67)</f>
        <v/>
      </c>
      <c r="AF67" s="1390" t="n">
        <v>27.857</v>
      </c>
      <c r="AG67" s="1391" t="n">
        <v>6.123</v>
      </c>
      <c r="AH67" s="1391" t="n">
        <v>6.014</v>
      </c>
      <c r="AI67" s="1391" t="n">
        <v>6.015</v>
      </c>
      <c r="AJ67" s="1365">
        <f>AK67-SUM(AG67,AH67,AI67)</f>
        <v/>
      </c>
      <c r="AK67" s="1390" t="n">
        <v>24.167</v>
      </c>
      <c r="AL67" s="1391" t="n">
        <v>5.862</v>
      </c>
      <c r="AM67" s="1391" t="n">
        <v>5.556</v>
      </c>
      <c r="AN67" s="1391" t="n">
        <v>3.049</v>
      </c>
      <c r="AO67" s="1365">
        <f>AP67-SUM(AL67,AM67,AN67)</f>
        <v/>
      </c>
      <c r="AP67" s="1390" t="n">
        <v>35.68</v>
      </c>
      <c r="AQ67" s="1391" t="n">
        <v>72.617</v>
      </c>
      <c r="AR67" s="1391" t="n">
        <v>61.437</v>
      </c>
      <c r="AS67" s="1391" t="n">
        <v>13.317</v>
      </c>
      <c r="AT67" s="1365">
        <f>AU67-SUM(AQ67,AR67,AS67)</f>
        <v/>
      </c>
      <c r="AU67" s="1390" t="n">
        <v>147.566</v>
      </c>
      <c r="AV67" s="1391" t="n">
        <v>0.195</v>
      </c>
      <c r="AW67" s="1391" t="n">
        <v>1.995</v>
      </c>
      <c r="AX67" s="1391" t="n">
        <v>3.288</v>
      </c>
      <c r="AY67" s="1365">
        <f>AZ67-SUM(AV67,AW67,AX67)</f>
        <v/>
      </c>
      <c r="AZ67" s="1390" t="n">
        <v>8.961</v>
      </c>
      <c r="BA67" s="1391" t="n">
        <v>2.168</v>
      </c>
      <c r="BB67" s="1391" t="n">
        <v>1.121</v>
      </c>
      <c r="BC67" s="1391" t="n">
        <v>0.68</v>
      </c>
      <c r="BD67" s="1365">
        <f>BE67-SUM(BA67,BB67,BC67)</f>
        <v/>
      </c>
      <c r="BE67" s="1390" t="n">
        <v>7.487</v>
      </c>
      <c r="BF67" s="1391" t="n">
        <v>8.288</v>
      </c>
      <c r="BG67" s="1391" t="n">
        <v>8.288</v>
      </c>
      <c r="BH67" s="1391" t="n">
        <v>7.624</v>
      </c>
      <c r="BI67" s="1365">
        <f>BJ67-SUM(BF67,BG67,BH67)</f>
        <v/>
      </c>
      <c r="BJ67" s="1390" t="n">
        <v>29.663</v>
      </c>
      <c r="BK67" s="1391" t="n">
        <v>5.464</v>
      </c>
      <c r="BL67" s="1391" t="n">
        <v>10.452</v>
      </c>
      <c r="BM67" s="1391" t="n">
        <v>20.227</v>
      </c>
      <c r="BN67" s="1391" t="n">
        <v>10</v>
      </c>
      <c r="BO67" s="1366">
        <f>SUM(BK67,BL67,BM67,BN67)</f>
        <v/>
      </c>
      <c r="BP67" s="1365" t="n"/>
      <c r="BQ67" s="1365" t="n"/>
      <c r="BR67" s="1365" t="n"/>
      <c r="BS67" s="1365" t="n"/>
      <c r="BT67" s="1364" t="n"/>
      <c r="BU67" s="1365" t="n"/>
      <c r="BV67" s="1365" t="n"/>
      <c r="BW67" s="1365" t="n"/>
      <c r="BX67" s="1365" t="n"/>
      <c r="BY67" s="1364" t="n"/>
      <c r="BZ67" s="1364" t="n"/>
      <c r="CA67" s="1364" t="n"/>
      <c r="CB67" s="1364" t="n"/>
      <c r="CC67" s="1280" t="n"/>
    </row>
    <row r="68" hidden="1" outlineLevel="1" ht="14.4" customFormat="1" customHeight="1" s="1323">
      <c r="A68" s="1392" t="inlineStr">
        <is>
          <t>Total Depreciation, mm</t>
        </is>
      </c>
      <c r="B68" s="1393" t="n"/>
      <c r="C68" s="1326">
        <f>SUM(C65:C67)</f>
        <v/>
      </c>
      <c r="D68" s="1326">
        <f>SUM(D65:D67)</f>
        <v/>
      </c>
      <c r="E68" s="1326">
        <f>SUM(E65:E67)</f>
        <v/>
      </c>
      <c r="F68" s="1326">
        <f>SUM(F65:F67)</f>
        <v/>
      </c>
      <c r="G68" s="1326">
        <f>SUM(G65:G67)</f>
        <v/>
      </c>
      <c r="H68" s="1327">
        <f>SUM(H65:H67)</f>
        <v/>
      </c>
      <c r="I68" s="1327">
        <f>SUM(I65:I67)</f>
        <v/>
      </c>
      <c r="J68" s="1327">
        <f>SUM(J65:J67)</f>
        <v/>
      </c>
      <c r="K68" s="1327">
        <f>SUM(K65:K67)</f>
        <v/>
      </c>
      <c r="L68" s="1326">
        <f>SUM(L65:L67)</f>
        <v/>
      </c>
      <c r="M68" s="1327">
        <f>SUM(M65:M67)</f>
        <v/>
      </c>
      <c r="N68" s="1327">
        <f>SUM(N65:N67)</f>
        <v/>
      </c>
      <c r="O68" s="1327">
        <f>SUM(O65:O67)</f>
        <v/>
      </c>
      <c r="P68" s="1327">
        <f>SUM(P65:P67)</f>
        <v/>
      </c>
      <c r="Q68" s="1326">
        <f>SUM(Q65:Q67)</f>
        <v/>
      </c>
      <c r="R68" s="1327">
        <f>SUM(R65:R67)</f>
        <v/>
      </c>
      <c r="S68" s="1327">
        <f>SUM(S65:S67)</f>
        <v/>
      </c>
      <c r="T68" s="1327">
        <f>SUM(T65:T67)</f>
        <v/>
      </c>
      <c r="U68" s="1327">
        <f>SUM(U65:U67)</f>
        <v/>
      </c>
      <c r="V68" s="1326">
        <f>SUM(V65:V67)</f>
        <v/>
      </c>
      <c r="W68" s="1327">
        <f>SUM(W65:W67)</f>
        <v/>
      </c>
      <c r="X68" s="1327">
        <f>SUM(X65:X67)</f>
        <v/>
      </c>
      <c r="Y68" s="1327">
        <f>SUM(Y65:Y67)</f>
        <v/>
      </c>
      <c r="Z68" s="1327">
        <f>SUM(Z65:Z67)</f>
        <v/>
      </c>
      <c r="AA68" s="1326">
        <f>SUM(AA65:AA67)</f>
        <v/>
      </c>
      <c r="AB68" s="1327">
        <f>SUM(AB65:AB67)</f>
        <v/>
      </c>
      <c r="AC68" s="1327">
        <f>SUM(AC65:AC67)</f>
        <v/>
      </c>
      <c r="AD68" s="1327">
        <f>SUM(AD65:AD67)</f>
        <v/>
      </c>
      <c r="AE68" s="1327">
        <f>SUM(AE65:AE67)</f>
        <v/>
      </c>
      <c r="AF68" s="1326">
        <f>SUM(AF65:AF67)</f>
        <v/>
      </c>
      <c r="AG68" s="1327">
        <f>SUM(AG65:AG67)</f>
        <v/>
      </c>
      <c r="AH68" s="1327">
        <f>SUM(AH65:AH67)</f>
        <v/>
      </c>
      <c r="AI68" s="1327">
        <f>SUM(AI65:AI67)</f>
        <v/>
      </c>
      <c r="AJ68" s="1327">
        <f>SUM(AJ65:AJ67)</f>
        <v/>
      </c>
      <c r="AK68" s="1326">
        <f>SUM(AK65:AK67)</f>
        <v/>
      </c>
      <c r="AL68" s="1327">
        <f>SUM(AL65:AL67)</f>
        <v/>
      </c>
      <c r="AM68" s="1327">
        <f>SUM(AM65:AM67)</f>
        <v/>
      </c>
      <c r="AN68" s="1327">
        <f>SUM(AN65:AN67)</f>
        <v/>
      </c>
      <c r="AO68" s="1327">
        <f>SUM(AO65:AO67)</f>
        <v/>
      </c>
      <c r="AP68" s="1326">
        <f>SUM(AP65:AP67)</f>
        <v/>
      </c>
      <c r="AQ68" s="1327">
        <f>SUM(AQ65:AQ67)</f>
        <v/>
      </c>
      <c r="AR68" s="1327">
        <f>SUM(AR65:AR67)</f>
        <v/>
      </c>
      <c r="AS68" s="1328">
        <f>SUM(AS65:AS67)</f>
        <v/>
      </c>
      <c r="AT68" s="1327">
        <f>SUM(AT65:AT67)</f>
        <v/>
      </c>
      <c r="AU68" s="1329">
        <f>SUM(AU65:AU67)</f>
        <v/>
      </c>
      <c r="AV68" s="1327">
        <f>SUM(AV65:AV67)</f>
        <v/>
      </c>
      <c r="AW68" s="1327">
        <f>SUM(AW65:AW67)</f>
        <v/>
      </c>
      <c r="AX68" s="1328">
        <f>SUM(AX65:AX67)</f>
        <v/>
      </c>
      <c r="AY68" s="1327">
        <f>SUM(AY65:AY67)</f>
        <v/>
      </c>
      <c r="AZ68" s="1329">
        <f>SUM(AZ65:AZ67)</f>
        <v/>
      </c>
      <c r="BA68" s="1327">
        <f>SUM(BA65:BA67)</f>
        <v/>
      </c>
      <c r="BB68" s="1327">
        <f>SUM(BB65:BB67)</f>
        <v/>
      </c>
      <c r="BC68" s="1327">
        <f>SUM(BC65:BC67)</f>
        <v/>
      </c>
      <c r="BD68" s="1327">
        <f>SUM(BD65:BD67)</f>
        <v/>
      </c>
      <c r="BE68" s="1329">
        <f>SUM(BE65:BE67)</f>
        <v/>
      </c>
      <c r="BF68" s="1327">
        <f>SUM(BF65:BF67)</f>
        <v/>
      </c>
      <c r="BG68" s="1346">
        <f>SUM(BG65:BG67)</f>
        <v/>
      </c>
      <c r="BH68" s="1346">
        <f>SUM(BH65:BH67)</f>
        <v/>
      </c>
      <c r="BI68" s="1346">
        <f>SUM(BI65:BI67)</f>
        <v/>
      </c>
      <c r="BJ68" s="1329">
        <f>SUM(BJ65:BJ67)</f>
        <v/>
      </c>
      <c r="BK68" s="1327">
        <f>SUM(BK65:BK67)</f>
        <v/>
      </c>
      <c r="BL68" s="1346">
        <f>SUM(BL65:BL67)</f>
        <v/>
      </c>
      <c r="BM68" s="1346">
        <f>BM72</f>
        <v/>
      </c>
      <c r="BN68" s="1346">
        <f>BN677</f>
        <v/>
      </c>
      <c r="BO68" s="1330">
        <f>BO677</f>
        <v/>
      </c>
      <c r="BP68" s="1327" t="n"/>
      <c r="BQ68" s="1327" t="n"/>
      <c r="BR68" s="1327" t="n"/>
      <c r="BS68" s="1327" t="n"/>
      <c r="BT68" s="1326" t="n"/>
      <c r="BU68" s="1327" t="n"/>
      <c r="BV68" s="1327" t="n"/>
      <c r="BW68" s="1327" t="n"/>
      <c r="BX68" s="1327" t="n"/>
      <c r="BY68" s="1326" t="n"/>
      <c r="BZ68" s="1326" t="n"/>
      <c r="CA68" s="1326" t="n"/>
      <c r="CB68" s="1326" t="n"/>
      <c r="CC68" s="1331" t="n"/>
    </row>
    <row r="69" hidden="1" outlineLevel="1" ht="14.4" customFormat="1" customHeight="1" s="1323">
      <c r="A69" s="1344" t="n"/>
      <c r="B69" s="1394" t="n"/>
      <c r="C69" s="1345" t="n"/>
      <c r="D69" s="1345" t="n"/>
      <c r="E69" s="1345" t="n"/>
      <c r="F69" s="1345" t="n"/>
      <c r="G69" s="1345" t="n"/>
      <c r="H69" s="1346" t="n"/>
      <c r="I69" s="1346" t="n"/>
      <c r="J69" s="1346" t="n"/>
      <c r="K69" s="1346" t="n"/>
      <c r="L69" s="1345" t="n"/>
      <c r="M69" s="1346" t="n"/>
      <c r="N69" s="1346" t="n"/>
      <c r="O69" s="1346" t="n"/>
      <c r="P69" s="1346" t="n"/>
      <c r="Q69" s="1345" t="n"/>
      <c r="R69" s="1346" t="n"/>
      <c r="S69" s="1346" t="n"/>
      <c r="T69" s="1346" t="n"/>
      <c r="U69" s="1346" t="n"/>
      <c r="V69" s="1345" t="n"/>
      <c r="W69" s="1346" t="n"/>
      <c r="X69" s="1346" t="n"/>
      <c r="Y69" s="1346" t="n"/>
      <c r="Z69" s="1346" t="n"/>
      <c r="AA69" s="1345" t="n"/>
      <c r="AB69" s="1346" t="n"/>
      <c r="AC69" s="1346" t="n"/>
      <c r="AD69" s="1346" t="n"/>
      <c r="AE69" s="1346" t="n"/>
      <c r="AF69" s="1345" t="n"/>
      <c r="AG69" s="1346" t="n"/>
      <c r="AH69" s="1346" t="n"/>
      <c r="AI69" s="1346" t="n"/>
      <c r="AJ69" s="1346" t="n"/>
      <c r="AK69" s="1345" t="n"/>
      <c r="AL69" s="1346" t="n"/>
      <c r="AM69" s="1346" t="n"/>
      <c r="AN69" s="1346" t="n"/>
      <c r="AO69" s="1346" t="n"/>
      <c r="AP69" s="1345" t="n"/>
      <c r="AQ69" s="1346" t="n"/>
      <c r="AR69" s="1346" t="n"/>
      <c r="AS69" s="1346" t="n"/>
      <c r="AT69" s="1346" t="n"/>
      <c r="AU69" s="1345" t="n"/>
      <c r="AV69" s="1346" t="n"/>
      <c r="AW69" s="1346" t="n"/>
      <c r="AX69" s="1346" t="n"/>
      <c r="AY69" s="1346" t="n"/>
      <c r="AZ69" s="1345" t="n"/>
      <c r="BA69" s="1346" t="n"/>
      <c r="BB69" s="1346" t="n"/>
      <c r="BC69" s="1346" t="n"/>
      <c r="BD69" s="1346" t="n"/>
      <c r="BE69" s="1345" t="n"/>
      <c r="BF69" s="1346" t="n"/>
      <c r="BG69" s="1346" t="n"/>
      <c r="BH69" s="1346" t="n"/>
      <c r="BI69" s="1346" t="n"/>
      <c r="BJ69" s="1345" t="n"/>
      <c r="BK69" s="1346" t="n"/>
      <c r="BL69" s="1346" t="n"/>
      <c r="BM69" s="1346" t="n"/>
      <c r="BN69" s="1346" t="n"/>
      <c r="BO69" s="1347" t="n"/>
      <c r="BP69" s="1346" t="n"/>
      <c r="BQ69" s="1346" t="n"/>
      <c r="BR69" s="1346" t="n"/>
      <c r="BS69" s="1346" t="n"/>
      <c r="BT69" s="1345" t="n"/>
      <c r="BU69" s="1346" t="n"/>
      <c r="BV69" s="1346" t="n"/>
      <c r="BW69" s="1346" t="n"/>
      <c r="BX69" s="1346" t="n"/>
      <c r="BY69" s="1345" t="n"/>
      <c r="BZ69" s="1345" t="n"/>
      <c r="CA69" s="1345" t="n"/>
      <c r="CB69" s="1345" t="n"/>
      <c r="CC69" s="1331" t="n"/>
    </row>
    <row r="70" hidden="1" outlineLevel="1" ht="14.4" customFormat="1" customHeight="1" s="1275">
      <c r="A70" s="1384" t="inlineStr">
        <is>
          <t>Depreciation of right-of-use assets, mm</t>
        </is>
      </c>
      <c r="B70" s="1387" t="n"/>
      <c r="C70" s="1297" t="n"/>
      <c r="D70" s="1297" t="n"/>
      <c r="E70" s="1297" t="n"/>
      <c r="F70" s="1297" t="n"/>
      <c r="G70" s="1297" t="n"/>
      <c r="H70" s="1277" t="n"/>
      <c r="I70" s="1277" t="n"/>
      <c r="J70" s="1277" t="n"/>
      <c r="K70" s="1277" t="n"/>
      <c r="L70" s="1297" t="n"/>
      <c r="M70" s="1277" t="n"/>
      <c r="N70" s="1277" t="n"/>
      <c r="O70" s="1277" t="n"/>
      <c r="P70" s="1277" t="n"/>
      <c r="Q70" s="1297" t="n"/>
      <c r="R70" s="1277" t="n"/>
      <c r="S70" s="1277" t="n"/>
      <c r="T70" s="1277" t="n"/>
      <c r="U70" s="1277" t="n"/>
      <c r="V70" s="1297" t="n"/>
      <c r="W70" s="1277" t="n"/>
      <c r="X70" s="1277" t="n"/>
      <c r="Y70" s="1277" t="n"/>
      <c r="Z70" s="1277" t="n"/>
      <c r="AA70" s="1297" t="n"/>
      <c r="AB70" s="1277" t="n"/>
      <c r="AC70" s="1277" t="n"/>
      <c r="AD70" s="1277" t="n"/>
      <c r="AE70" s="1277" t="n"/>
      <c r="AF70" s="1297" t="n"/>
      <c r="AG70" s="1298" t="n">
        <v>665.867</v>
      </c>
      <c r="AH70" s="1298" t="n">
        <v>646.692</v>
      </c>
      <c r="AI70" s="1298" t="n">
        <v>649.6900000000001</v>
      </c>
      <c r="AJ70" s="1277">
        <f>AK70-AI70-AH70-AG70</f>
        <v/>
      </c>
      <c r="AK70" s="1299" t="n">
        <v>2622.7</v>
      </c>
      <c r="AL70" s="1298" t="n">
        <v>725.766</v>
      </c>
      <c r="AM70" s="1298" t="n">
        <v>752.326</v>
      </c>
      <c r="AN70" s="1298" t="n">
        <v>658.266</v>
      </c>
      <c r="AO70" s="1277">
        <f>AP70-AN70-AM70-AL70</f>
        <v/>
      </c>
      <c r="AP70" s="1299" t="n">
        <v>2681.6</v>
      </c>
      <c r="AQ70" s="1298" t="n">
        <v>604.043</v>
      </c>
      <c r="AR70" s="1298" t="n">
        <v>617.015</v>
      </c>
      <c r="AS70" s="1298" t="n">
        <v>653.803</v>
      </c>
      <c r="AT70" s="1277">
        <f>AU70-AS70-AR70-AQ70</f>
        <v/>
      </c>
      <c r="AU70" s="1299" t="n">
        <v>2556.2</v>
      </c>
      <c r="AV70" s="1298" t="n">
        <v>692.721</v>
      </c>
      <c r="AW70" s="1298" t="n">
        <v>717.963</v>
      </c>
      <c r="AX70" s="1298" t="n">
        <v>824.788</v>
      </c>
      <c r="AY70" s="1277">
        <f>AZ70-AX70-AW70-AV70</f>
        <v/>
      </c>
      <c r="AZ70" s="1299" t="n">
        <v>3073.005</v>
      </c>
      <c r="BA70" s="1298" t="n">
        <v>859.085</v>
      </c>
      <c r="BB70" s="1298" t="n">
        <v>854.817</v>
      </c>
      <c r="BC70" s="1298" t="n">
        <v>881.047</v>
      </c>
      <c r="BD70" s="1277">
        <f>BE70-BC70-BB70-BA70</f>
        <v/>
      </c>
      <c r="BE70" s="1299" t="n">
        <v>3458.968</v>
      </c>
      <c r="BF70" s="1298" t="n">
        <v>974.183</v>
      </c>
      <c r="BG70" s="1298" t="n">
        <v>876.513</v>
      </c>
      <c r="BH70" s="1298" t="n">
        <v>888.29</v>
      </c>
      <c r="BI70" s="1277">
        <f>BJ70-SUM(BF70,BG70,BH70)</f>
        <v/>
      </c>
      <c r="BJ70" s="1299" t="n">
        <v>3679.507</v>
      </c>
      <c r="BK70" s="1298" t="n">
        <v>973.4109999999999</v>
      </c>
      <c r="BL70" s="1298" t="n">
        <v>1022.165</v>
      </c>
      <c r="BM70" s="1298" t="n">
        <v>1113.125</v>
      </c>
      <c r="BN70" s="1298" t="n">
        <v>1000</v>
      </c>
      <c r="BO70" s="1382">
        <f>SUM(BK70,BL70,BM70,BN70)</f>
        <v/>
      </c>
      <c r="BP70" s="1298" t="n">
        <v>800</v>
      </c>
      <c r="BQ70" s="1298" t="n">
        <v>800</v>
      </c>
      <c r="BR70" s="1298" t="n">
        <v>800</v>
      </c>
      <c r="BS70" s="1298" t="n">
        <v>800</v>
      </c>
      <c r="BT70" s="1297">
        <f>BS70+BR70+BQ70+BP70</f>
        <v/>
      </c>
      <c r="BU70" s="1298" t="n">
        <v>800</v>
      </c>
      <c r="BV70" s="1298" t="n">
        <v>800</v>
      </c>
      <c r="BW70" s="1298" t="n">
        <v>800</v>
      </c>
      <c r="BX70" s="1298" t="n">
        <v>800</v>
      </c>
      <c r="BY70" s="1297">
        <f>BX70+BW70+BV70+BU70</f>
        <v/>
      </c>
      <c r="BZ70" s="1299" t="n">
        <v>3200</v>
      </c>
      <c r="CA70" s="1299" t="n">
        <v>3200</v>
      </c>
      <c r="CB70" s="1299" t="n">
        <v>3200</v>
      </c>
      <c r="CC70" s="1280" t="n"/>
    </row>
    <row r="71" hidden="1" outlineLevel="1" ht="14.4" customFormat="1" customHeight="1" s="1275">
      <c r="A71" s="1384" t="inlineStr">
        <is>
          <t>Depreciation of PP&amp;E (calculated), mm</t>
        </is>
      </c>
      <c r="B71" s="1387" t="n"/>
      <c r="C71" s="1297" t="n"/>
      <c r="D71" s="1297" t="n"/>
      <c r="E71" s="1297" t="n"/>
      <c r="F71" s="1297" t="n"/>
      <c r="G71" s="1297" t="n"/>
      <c r="H71" s="1277" t="n"/>
      <c r="I71" s="1277" t="n"/>
      <c r="J71" s="1277" t="n"/>
      <c r="K71" s="1277" t="n"/>
      <c r="L71" s="1297" t="n"/>
      <c r="M71" s="1277" t="n"/>
      <c r="N71" s="1277" t="n"/>
      <c r="O71" s="1277" t="n"/>
      <c r="P71" s="1277" t="n"/>
      <c r="Q71" s="1297" t="n"/>
      <c r="R71" s="1277" t="n"/>
      <c r="S71" s="1277" t="n"/>
      <c r="T71" s="1277" t="n"/>
      <c r="U71" s="1277" t="n"/>
      <c r="V71" s="1297" t="n"/>
      <c r="W71" s="1277" t="n"/>
      <c r="X71" s="1277" t="n"/>
      <c r="Y71" s="1277" t="n"/>
      <c r="Z71" s="1277" t="n"/>
      <c r="AA71" s="1297" t="n"/>
      <c r="AB71" s="1277" t="n"/>
      <c r="AC71" s="1277" t="n"/>
      <c r="AD71" s="1277" t="n"/>
      <c r="AE71" s="1277" t="n"/>
      <c r="AF71" s="1297" t="n"/>
      <c r="AG71" s="1277">
        <f>AG72-AG70</f>
        <v/>
      </c>
      <c r="AH71" s="1277">
        <f>AH72-AH70</f>
        <v/>
      </c>
      <c r="AI71" s="1277">
        <f>AI72-AI70</f>
        <v/>
      </c>
      <c r="AJ71" s="1277">
        <f>AJ72-AJ70</f>
        <v/>
      </c>
      <c r="AK71" s="1297">
        <f>AK72-AK70</f>
        <v/>
      </c>
      <c r="AL71" s="1277">
        <f>AL72-AL70</f>
        <v/>
      </c>
      <c r="AM71" s="1277">
        <f>AM72-AM70</f>
        <v/>
      </c>
      <c r="AN71" s="1277">
        <f>AN72-AN70</f>
        <v/>
      </c>
      <c r="AO71" s="1277">
        <f>AO72-AO70</f>
        <v/>
      </c>
      <c r="AP71" s="1297">
        <f>AP72-AP70</f>
        <v/>
      </c>
      <c r="AQ71" s="1277">
        <f>AQ72-AQ70</f>
        <v/>
      </c>
      <c r="AR71" s="1277">
        <f>AR72-AR70</f>
        <v/>
      </c>
      <c r="AS71" s="1277">
        <f>AS72-AS70</f>
        <v/>
      </c>
      <c r="AT71" s="1277">
        <f>AT72-AT70</f>
        <v/>
      </c>
      <c r="AU71" s="1297">
        <f>AU72-AU70</f>
        <v/>
      </c>
      <c r="AV71" s="1277">
        <f>AV72-AV70</f>
        <v/>
      </c>
      <c r="AW71" s="1277">
        <f>AW72-AW70</f>
        <v/>
      </c>
      <c r="AX71" s="1277">
        <f>AX72-AX70</f>
        <v/>
      </c>
      <c r="AY71" s="1277">
        <f>AY72-AY70</f>
        <v/>
      </c>
      <c r="AZ71" s="1297">
        <f>AZ72-AZ70</f>
        <v/>
      </c>
      <c r="BA71" s="1277">
        <f>BA72-BA70</f>
        <v/>
      </c>
      <c r="BB71" s="1277">
        <f>BB72-BB70</f>
        <v/>
      </c>
      <c r="BC71" s="1277">
        <f>BC72-BC70</f>
        <v/>
      </c>
      <c r="BD71" s="1277">
        <f>BD72-BD70</f>
        <v/>
      </c>
      <c r="BE71" s="1297">
        <f>BE72-BE70</f>
        <v/>
      </c>
      <c r="BF71" s="1277">
        <f>BF72-BF70</f>
        <v/>
      </c>
      <c r="BG71" s="1277">
        <f>BG72-BG70</f>
        <v/>
      </c>
      <c r="BH71" s="1277">
        <f>BH72-BH70</f>
        <v/>
      </c>
      <c r="BI71" s="1277">
        <f>BI72-BI70</f>
        <v/>
      </c>
      <c r="BJ71" s="1297">
        <f>BJ72-BJ70</f>
        <v/>
      </c>
      <c r="BK71" s="1277">
        <f>BK72-BK70</f>
        <v/>
      </c>
      <c r="BL71" s="1277">
        <f>BL72-BL70</f>
        <v/>
      </c>
      <c r="BM71" s="1280">
        <f>BM72-BM70</f>
        <v/>
      </c>
      <c r="BN71" s="1277">
        <f>BN72-BN70</f>
        <v/>
      </c>
      <c r="BO71" s="1382">
        <f>BO72-BO70</f>
        <v/>
      </c>
      <c r="BP71" s="1277">
        <f>-BP836</f>
        <v/>
      </c>
      <c r="BQ71" s="1277">
        <f>-BQ836</f>
        <v/>
      </c>
      <c r="BR71" s="1277">
        <f>-BR836</f>
        <v/>
      </c>
      <c r="BS71" s="1277">
        <f>-BS836</f>
        <v/>
      </c>
      <c r="BT71" s="1297">
        <f>BS71+BR71+BQ71+BP71</f>
        <v/>
      </c>
      <c r="BU71" s="1277">
        <f>-BU836</f>
        <v/>
      </c>
      <c r="BV71" s="1277">
        <f>-BV836</f>
        <v/>
      </c>
      <c r="BW71" s="1277">
        <f>-BW836</f>
        <v/>
      </c>
      <c r="BX71" s="1277">
        <f>-BX836</f>
        <v/>
      </c>
      <c r="BY71" s="1297">
        <f>BX71+BW71+BV71+BU71</f>
        <v/>
      </c>
      <c r="BZ71" s="1297">
        <f>-BZ836</f>
        <v/>
      </c>
      <c r="CA71" s="1297">
        <f>-CA836</f>
        <v/>
      </c>
      <c r="CB71" s="1297">
        <f>-CB836</f>
        <v/>
      </c>
      <c r="CC71" s="1280" t="n"/>
    </row>
    <row r="72" hidden="1" outlineLevel="1" ht="14.4" customFormat="1" customHeight="1" s="1323">
      <c r="A72" s="1392" t="inlineStr">
        <is>
          <t>Total depreciation, mm</t>
        </is>
      </c>
      <c r="B72" s="1393" t="n"/>
      <c r="C72" s="1326" t="n"/>
      <c r="D72" s="1326" t="n"/>
      <c r="E72" s="1326" t="n"/>
      <c r="F72" s="1326" t="n"/>
      <c r="G72" s="1326" t="n"/>
      <c r="H72" s="1327" t="n"/>
      <c r="I72" s="1327" t="n"/>
      <c r="J72" s="1327" t="n"/>
      <c r="K72" s="1327" t="n"/>
      <c r="L72" s="1326" t="n"/>
      <c r="M72" s="1327" t="n"/>
      <c r="N72" s="1327" t="n"/>
      <c r="O72" s="1327" t="n"/>
      <c r="P72" s="1327" t="n"/>
      <c r="Q72" s="1326" t="n"/>
      <c r="R72" s="1327" t="n"/>
      <c r="S72" s="1327" t="n"/>
      <c r="T72" s="1327" t="n"/>
      <c r="U72" s="1327" t="n"/>
      <c r="V72" s="1326" t="n"/>
      <c r="W72" s="1327" t="n"/>
      <c r="X72" s="1327" t="n"/>
      <c r="Y72" s="1327" t="n"/>
      <c r="Z72" s="1327" t="n"/>
      <c r="AA72" s="1326" t="n"/>
      <c r="AB72" s="1327" t="n"/>
      <c r="AC72" s="1327" t="n"/>
      <c r="AD72" s="1327" t="n"/>
      <c r="AE72" s="1327" t="n"/>
      <c r="AF72" s="1326" t="n"/>
      <c r="AG72" s="1327">
        <f>AG677</f>
        <v/>
      </c>
      <c r="AH72" s="1327">
        <f>AH677</f>
        <v/>
      </c>
      <c r="AI72" s="1327">
        <f>AI677</f>
        <v/>
      </c>
      <c r="AJ72" s="1327">
        <f>AJ677</f>
        <v/>
      </c>
      <c r="AK72" s="1326">
        <f>AK677</f>
        <v/>
      </c>
      <c r="AL72" s="1327">
        <f>AL677</f>
        <v/>
      </c>
      <c r="AM72" s="1327">
        <f>AM677</f>
        <v/>
      </c>
      <c r="AN72" s="1327">
        <f>AN677</f>
        <v/>
      </c>
      <c r="AO72" s="1327">
        <f>AO677</f>
        <v/>
      </c>
      <c r="AP72" s="1326">
        <f>AP677</f>
        <v/>
      </c>
      <c r="AQ72" s="1327">
        <f>AQ677</f>
        <v/>
      </c>
      <c r="AR72" s="1327">
        <f>AR677</f>
        <v/>
      </c>
      <c r="AS72" s="1327">
        <f>AS677</f>
        <v/>
      </c>
      <c r="AT72" s="1327">
        <f>AT677</f>
        <v/>
      </c>
      <c r="AU72" s="1326">
        <f>AU677</f>
        <v/>
      </c>
      <c r="AV72" s="1327">
        <f>AV677</f>
        <v/>
      </c>
      <c r="AW72" s="1327">
        <f>AW677</f>
        <v/>
      </c>
      <c r="AX72" s="1327">
        <f>AX677</f>
        <v/>
      </c>
      <c r="AY72" s="1327">
        <f>AY677</f>
        <v/>
      </c>
      <c r="AZ72" s="1326">
        <f>AZ677</f>
        <v/>
      </c>
      <c r="BA72" s="1327">
        <f>BA677</f>
        <v/>
      </c>
      <c r="BB72" s="1327">
        <f>BB677</f>
        <v/>
      </c>
      <c r="BC72" s="1327">
        <f>BC677</f>
        <v/>
      </c>
      <c r="BD72" s="1327">
        <f>BD677</f>
        <v/>
      </c>
      <c r="BE72" s="1326">
        <f>BE677</f>
        <v/>
      </c>
      <c r="BF72" s="1327">
        <f>BF677</f>
        <v/>
      </c>
      <c r="BG72" s="1327">
        <f>BG677</f>
        <v/>
      </c>
      <c r="BH72" s="1327">
        <f>BH677</f>
        <v/>
      </c>
      <c r="BI72" s="1327">
        <f>BI677</f>
        <v/>
      </c>
      <c r="BJ72" s="1326">
        <f>BJ677</f>
        <v/>
      </c>
      <c r="BK72" s="1327">
        <f>BK677</f>
        <v/>
      </c>
      <c r="BL72" s="1327">
        <f>BL677</f>
        <v/>
      </c>
      <c r="BM72" s="1327">
        <f>BM677</f>
        <v/>
      </c>
      <c r="BN72" s="1327">
        <f>BN677</f>
        <v/>
      </c>
      <c r="BO72" s="1386">
        <f>BO677</f>
        <v/>
      </c>
      <c r="BP72" s="1327">
        <f>SUM(BP70:BP71)</f>
        <v/>
      </c>
      <c r="BQ72" s="1327">
        <f>SUM(BQ70:BQ71)</f>
        <v/>
      </c>
      <c r="BR72" s="1327">
        <f>SUM(BR70:BR71)</f>
        <v/>
      </c>
      <c r="BS72" s="1327">
        <f>SUM(BS70:BS71)</f>
        <v/>
      </c>
      <c r="BT72" s="1326">
        <f>SUM(BT70:BT71)</f>
        <v/>
      </c>
      <c r="BU72" s="1327">
        <f>SUM(BU70:BU71)</f>
        <v/>
      </c>
      <c r="BV72" s="1327">
        <f>SUM(BV70:BV71)</f>
        <v/>
      </c>
      <c r="BW72" s="1327">
        <f>SUM(BW70:BW71)</f>
        <v/>
      </c>
      <c r="BX72" s="1327">
        <f>SUM(BX70:BX71)</f>
        <v/>
      </c>
      <c r="BY72" s="1326">
        <f>SUM(BY70:BY71)</f>
        <v/>
      </c>
      <c r="BZ72" s="1326">
        <f>SUM(BZ70:BZ71)</f>
        <v/>
      </c>
      <c r="CA72" s="1326">
        <f>SUM(CA70:CA71)</f>
        <v/>
      </c>
      <c r="CB72" s="1326">
        <f>SUM(CB70:CB71)</f>
        <v/>
      </c>
      <c r="CC72" s="1331" t="n"/>
    </row>
    <row r="73" hidden="1" outlineLevel="1" ht="14.4" customFormat="1" customHeight="1" s="1323">
      <c r="A73" s="1344" t="n"/>
      <c r="B73" s="1394" t="n"/>
      <c r="C73" s="1345" t="n"/>
      <c r="D73" s="1345" t="n"/>
      <c r="E73" s="1345" t="n"/>
      <c r="F73" s="1345" t="n"/>
      <c r="G73" s="1345" t="n"/>
      <c r="H73" s="1346" t="n"/>
      <c r="I73" s="1346" t="n"/>
      <c r="J73" s="1346" t="n"/>
      <c r="K73" s="1346" t="n"/>
      <c r="L73" s="1345" t="n"/>
      <c r="M73" s="1346" t="n"/>
      <c r="N73" s="1346" t="n"/>
      <c r="O73" s="1346" t="n"/>
      <c r="P73" s="1346" t="n"/>
      <c r="Q73" s="1345" t="n"/>
      <c r="R73" s="1346" t="n"/>
      <c r="S73" s="1346" t="n"/>
      <c r="T73" s="1346" t="n"/>
      <c r="U73" s="1346" t="n"/>
      <c r="V73" s="1345" t="n"/>
      <c r="W73" s="1346" t="n"/>
      <c r="X73" s="1346" t="n"/>
      <c r="Y73" s="1346" t="n"/>
      <c r="Z73" s="1346" t="n"/>
      <c r="AA73" s="1345" t="n"/>
      <c r="AB73" s="1346" t="n"/>
      <c r="AC73" s="1346" t="n"/>
      <c r="AD73" s="1346" t="n"/>
      <c r="AE73" s="1346" t="n"/>
      <c r="AF73" s="1345" t="n"/>
      <c r="AG73" s="1346" t="n"/>
      <c r="AH73" s="1346" t="n"/>
      <c r="AI73" s="1346" t="n"/>
      <c r="AJ73" s="1346" t="n"/>
      <c r="AK73" s="1345" t="n"/>
      <c r="AL73" s="1346" t="n"/>
      <c r="AM73" s="1346" t="n"/>
      <c r="AN73" s="1346" t="n"/>
      <c r="AO73" s="1346" t="n"/>
      <c r="AP73" s="1345" t="n"/>
      <c r="AQ73" s="1346" t="n"/>
      <c r="AR73" s="1346" t="n"/>
      <c r="AS73" s="1346" t="n"/>
      <c r="AT73" s="1346" t="n"/>
      <c r="AU73" s="1345" t="n"/>
      <c r="AV73" s="1346" t="n"/>
      <c r="AW73" s="1346" t="n"/>
      <c r="AX73" s="1346" t="n"/>
      <c r="AY73" s="1346" t="n"/>
      <c r="AZ73" s="1345" t="n"/>
      <c r="BA73" s="1346" t="n"/>
      <c r="BB73" s="1346" t="n"/>
      <c r="BC73" s="1346" t="n"/>
      <c r="BD73" s="1346" t="n"/>
      <c r="BE73" s="1345" t="n"/>
      <c r="BF73" s="1346" t="n"/>
      <c r="BG73" s="1346" t="n"/>
      <c r="BH73" s="1346" t="n"/>
      <c r="BI73" s="1346" t="n"/>
      <c r="BJ73" s="1345" t="n"/>
      <c r="BK73" s="1346" t="n"/>
      <c r="BL73" s="1346" t="n"/>
      <c r="BM73" s="1346" t="n"/>
      <c r="BN73" s="1346" t="n"/>
      <c r="BO73" s="1347" t="n"/>
      <c r="BP73" s="1346" t="n"/>
      <c r="BQ73" s="1346" t="n"/>
      <c r="BR73" s="1346" t="n"/>
      <c r="BS73" s="1346" t="n"/>
      <c r="BT73" s="1345" t="n"/>
      <c r="BU73" s="1346" t="n"/>
      <c r="BV73" s="1346" t="n"/>
      <c r="BW73" s="1346" t="n"/>
      <c r="BX73" s="1346" t="n"/>
      <c r="BY73" s="1345" t="n"/>
      <c r="BZ73" s="1345" t="n"/>
      <c r="CA73" s="1345" t="n"/>
      <c r="CB73" s="1345" t="n"/>
      <c r="CC73" s="1331" t="n"/>
    </row>
    <row r="74" hidden="1" outlineLevel="1" ht="14.4" customFormat="1" customHeight="1" s="1275">
      <c r="A74" s="1384" t="inlineStr">
        <is>
          <t>Amortization of intangibles - Cost of revenue, mm</t>
        </is>
      </c>
      <c r="B74" s="1387" t="n"/>
      <c r="C74" s="1299" t="n">
        <v>1259.949</v>
      </c>
      <c r="D74" s="1299" t="n">
        <v>1309.257</v>
      </c>
      <c r="E74" s="1299" t="n">
        <v>1463.405</v>
      </c>
      <c r="F74" s="1299" t="n">
        <v>1344.819</v>
      </c>
      <c r="G74" s="1299" t="n">
        <v>1154.698</v>
      </c>
      <c r="H74" s="1298" t="n">
        <v>333.467</v>
      </c>
      <c r="I74" s="1298" t="n">
        <v>320.331</v>
      </c>
      <c r="J74" s="1298" t="n">
        <v>346.78</v>
      </c>
      <c r="K74" s="1277">
        <f>L74-SUM(H74,I74,J74)</f>
        <v/>
      </c>
      <c r="L74" s="1299" t="n">
        <v>1356.858</v>
      </c>
      <c r="M74" s="1298" t="n">
        <v>407.75</v>
      </c>
      <c r="N74" s="1298" t="n">
        <v>404.092</v>
      </c>
      <c r="O74" s="1298" t="n">
        <v>412.698</v>
      </c>
      <c r="P74" s="1277">
        <f>Q74-SUM(M74,N74,O74)</f>
        <v/>
      </c>
      <c r="Q74" s="1299" t="n">
        <v>1642.051</v>
      </c>
      <c r="R74" s="1298" t="n">
        <v>489.677</v>
      </c>
      <c r="S74" s="1298" t="n">
        <v>491.251</v>
      </c>
      <c r="T74" s="1298" t="n">
        <v>518.837</v>
      </c>
      <c r="U74" s="1277">
        <f>V74-SUM(R74,S74,T74)</f>
        <v/>
      </c>
      <c r="V74" s="1299" t="n">
        <v>2028.492</v>
      </c>
      <c r="W74" s="1298" t="n">
        <v>527.908</v>
      </c>
      <c r="X74" s="1298" t="n">
        <v>514.854</v>
      </c>
      <c r="Y74" s="1298" t="n">
        <v>542.083</v>
      </c>
      <c r="Z74" s="1277">
        <f>AA74-SUM(W74,X74,Y74)</f>
        <v/>
      </c>
      <c r="AA74" s="1299" t="n">
        <v>2135.521</v>
      </c>
      <c r="AB74" s="1298" t="n">
        <v>484.597</v>
      </c>
      <c r="AC74" s="1298" t="n">
        <v>493.629</v>
      </c>
      <c r="AD74" s="1298" t="n">
        <v>492.247</v>
      </c>
      <c r="AE74" s="1277">
        <f>AF74-SUM(AB74,AC74,AD74)</f>
        <v/>
      </c>
      <c r="AF74" s="1299" t="n">
        <v>2073.48</v>
      </c>
      <c r="AG74" s="1298" t="n">
        <v>713.093</v>
      </c>
      <c r="AH74" s="1298" t="n">
        <v>729.526</v>
      </c>
      <c r="AI74" s="1298" t="n">
        <v>786.9589999999999</v>
      </c>
      <c r="AJ74" s="1277">
        <f>AK74-SUM(AG74,AH74,AI74)</f>
        <v/>
      </c>
      <c r="AK74" s="1299" t="n">
        <v>3069.901</v>
      </c>
      <c r="AL74" s="1298" t="n">
        <v>895.398</v>
      </c>
      <c r="AM74" s="1298" t="n">
        <v>1279.576</v>
      </c>
      <c r="AN74" s="1298" t="n">
        <v>1337.967</v>
      </c>
      <c r="AO74" s="1277">
        <f>AP74-SUM(AL74,AM74,AN74)</f>
        <v/>
      </c>
      <c r="AP74" s="1299" t="n">
        <v>4837.728</v>
      </c>
      <c r="AQ74" s="1298" t="n">
        <v>1286.904</v>
      </c>
      <c r="AR74" s="1298" t="n">
        <v>1394.961</v>
      </c>
      <c r="AS74" s="1298" t="n">
        <v>1468.312</v>
      </c>
      <c r="AT74" s="1277">
        <f>AU74-SUM(AQ74,AR74,AS74)</f>
        <v/>
      </c>
      <c r="AU74" s="1299" t="n">
        <v>5574.246</v>
      </c>
      <c r="AV74" s="1298" t="n">
        <v>1502.075</v>
      </c>
      <c r="AW74" s="1298" t="n">
        <v>1509.549</v>
      </c>
      <c r="AX74" s="1298" t="n">
        <v>1536.479</v>
      </c>
      <c r="AY74" s="1277">
        <f>AZ74-SUM(AV74,AW74,AX74)</f>
        <v/>
      </c>
      <c r="AZ74" s="1299" t="n">
        <v>6086.246</v>
      </c>
      <c r="BA74" s="1298" t="n">
        <v>1567.43</v>
      </c>
      <c r="BB74" s="1298" t="n">
        <v>1619.384</v>
      </c>
      <c r="BC74" s="1298" t="n">
        <v>1672.325</v>
      </c>
      <c r="BD74" s="1277">
        <f>BE74-SUM(BA74,BB74,BC74)</f>
        <v/>
      </c>
      <c r="BE74" s="1299" t="n">
        <v>6538.107</v>
      </c>
      <c r="BF74" s="1298" t="n">
        <v>1628.675</v>
      </c>
      <c r="BG74" s="1298" t="n">
        <v>1538.4</v>
      </c>
      <c r="BH74" s="1298" t="n">
        <v>1584.94</v>
      </c>
      <c r="BI74" s="1277">
        <f>BJ74-SUM(BF74,BG74,BH74)</f>
        <v/>
      </c>
      <c r="BJ74" s="1299" t="n">
        <v>6342.31</v>
      </c>
      <c r="BK74" s="1298" t="n">
        <v>1410.729</v>
      </c>
      <c r="BL74" s="1298" t="n">
        <v>1321.247</v>
      </c>
      <c r="BM74" s="1298" t="n">
        <v>1316.056</v>
      </c>
      <c r="BN74" s="1277">
        <f>BN76-BN75</f>
        <v/>
      </c>
      <c r="BO74" s="1382">
        <f>SUM(BK74,BL74,BM74,BN74)</f>
        <v/>
      </c>
      <c r="BP74" s="1277" t="n"/>
      <c r="BQ74" s="1277" t="n"/>
      <c r="BR74" s="1277" t="n"/>
      <c r="BS74" s="1277" t="n"/>
      <c r="BT74" s="1297" t="n"/>
      <c r="BU74" s="1277" t="n"/>
      <c r="BV74" s="1277" t="n"/>
      <c r="BW74" s="1277" t="n"/>
      <c r="BX74" s="1277" t="n"/>
      <c r="BY74" s="1297" t="n"/>
      <c r="BZ74" s="1297" t="n"/>
      <c r="CA74" s="1297" t="n"/>
      <c r="CB74" s="1297" t="n"/>
      <c r="CC74" s="1280" t="n"/>
    </row>
    <row r="75" hidden="1" outlineLevel="1" ht="14.4" customFormat="1" customHeight="1" s="1275">
      <c r="A75" s="1388" t="inlineStr">
        <is>
          <t>Amortization of intangibles - Operating expense, mm</t>
        </is>
      </c>
      <c r="B75" s="1389" t="n"/>
      <c r="C75" s="1390" t="n">
        <v>870.426</v>
      </c>
      <c r="D75" s="1390" t="n">
        <v>927.4589999999999</v>
      </c>
      <c r="E75" s="1390" t="n">
        <v>874.165</v>
      </c>
      <c r="F75" s="1390" t="n">
        <v>835.956</v>
      </c>
      <c r="G75" s="1390" t="n">
        <v>1047.324</v>
      </c>
      <c r="H75" s="1391" t="n">
        <v>302.968</v>
      </c>
      <c r="I75" s="1391" t="n">
        <v>306.282</v>
      </c>
      <c r="J75" s="1391" t="n">
        <v>304.411</v>
      </c>
      <c r="K75" s="1365">
        <f>L75-SUM(H75,I75,J75)</f>
        <v/>
      </c>
      <c r="L75" s="1390" t="n">
        <v>1249.491</v>
      </c>
      <c r="M75" s="1391" t="n">
        <v>364.019</v>
      </c>
      <c r="N75" s="1391" t="n">
        <v>380.446</v>
      </c>
      <c r="O75" s="1391" t="n">
        <v>396.315</v>
      </c>
      <c r="P75" s="1365">
        <f>Q75-SUM(M75,N75,O75)</f>
        <v/>
      </c>
      <c r="Q75" s="1390" t="n">
        <v>1560.149</v>
      </c>
      <c r="R75" s="1391" t="n">
        <v>406.655</v>
      </c>
      <c r="S75" s="1391" t="n">
        <v>381.574</v>
      </c>
      <c r="T75" s="1391" t="n">
        <v>437.53</v>
      </c>
      <c r="U75" s="1365">
        <f>V75-SUM(R75,S75,T75)</f>
        <v/>
      </c>
      <c r="V75" s="1390" t="n">
        <v>1714.914</v>
      </c>
      <c r="W75" s="1391" t="n">
        <v>510.916</v>
      </c>
      <c r="X75" s="1391" t="n">
        <v>511.781</v>
      </c>
      <c r="Y75" s="1391" t="n">
        <v>589.751</v>
      </c>
      <c r="Z75" s="1365">
        <f>AA75-SUM(W75,X75,Y75)</f>
        <v/>
      </c>
      <c r="AA75" s="1390" t="n">
        <v>2211.215</v>
      </c>
      <c r="AB75" s="1391" t="n">
        <v>550.994</v>
      </c>
      <c r="AC75" s="1391" t="n">
        <v>563.585</v>
      </c>
      <c r="AD75" s="1391" t="n">
        <v>612.376</v>
      </c>
      <c r="AE75" s="1365">
        <f>AF75-SUM(AB75,AC75,AD75)</f>
        <v/>
      </c>
      <c r="AF75" s="1390" t="n">
        <v>2347.925</v>
      </c>
      <c r="AG75" s="1391" t="n">
        <v>642.2430000000001</v>
      </c>
      <c r="AH75" s="1391" t="n">
        <v>614.244</v>
      </c>
      <c r="AI75" s="1391" t="n">
        <v>591.867</v>
      </c>
      <c r="AJ75" s="1365">
        <f>AK75-SUM(AG75,AH75,AI75)</f>
        <v/>
      </c>
      <c r="AK75" s="1390" t="n">
        <v>2402.508</v>
      </c>
      <c r="AL75" s="1391" t="n">
        <v>575.338</v>
      </c>
      <c r="AM75" s="1391" t="n">
        <v>614.1079999999999</v>
      </c>
      <c r="AN75" s="1391" t="n">
        <v>570.172</v>
      </c>
      <c r="AO75" s="1365">
        <f>AP75-SUM(AL75,AM75,AN75)</f>
        <v/>
      </c>
      <c r="AP75" s="1390" t="n">
        <v>2348.52</v>
      </c>
      <c r="AQ75" s="1391" t="n">
        <v>640.547</v>
      </c>
      <c r="AR75" s="1391" t="n">
        <v>686.011</v>
      </c>
      <c r="AS75" s="1391" t="n">
        <v>656.707</v>
      </c>
      <c r="AT75" s="1365">
        <f>AU75-SUM(AQ75,AR75,AS75)</f>
        <v/>
      </c>
      <c r="AU75" s="1390" t="n">
        <v>2632.923</v>
      </c>
      <c r="AV75" s="1391" t="n">
        <v>665.723</v>
      </c>
      <c r="AW75" s="1391" t="n">
        <v>674.3630000000001</v>
      </c>
      <c r="AX75" s="1391" t="n">
        <v>661.968</v>
      </c>
      <c r="AY75" s="1365">
        <f>AZ75-SUM(AV75,AW75,AX75)</f>
        <v/>
      </c>
      <c r="AZ75" s="1390" t="n">
        <v>2669.848</v>
      </c>
      <c r="BA75" s="1391" t="n">
        <v>671.835</v>
      </c>
      <c r="BB75" s="1391" t="n">
        <v>676.343</v>
      </c>
      <c r="BC75" s="1391" t="n">
        <v>681.0069999999999</v>
      </c>
      <c r="BD75" s="1365">
        <f>BE75-SUM(BA75,BB75,BC75)</f>
        <v/>
      </c>
      <c r="BE75" s="1390" t="n">
        <v>2720.143</v>
      </c>
      <c r="BF75" s="1391" t="n">
        <v>697.386</v>
      </c>
      <c r="BG75" s="1391" t="n">
        <v>698.884</v>
      </c>
      <c r="BH75" s="1391" t="n">
        <v>728.482</v>
      </c>
      <c r="BI75" s="1365">
        <f>BJ75-SUM(BF75,BG75,BH75)</f>
        <v/>
      </c>
      <c r="BJ75" s="1390" t="n">
        <v>2843.839</v>
      </c>
      <c r="BK75" s="1391" t="n">
        <v>723.423</v>
      </c>
      <c r="BL75" s="1391" t="n">
        <v>729.398</v>
      </c>
      <c r="BM75" s="1391" t="n">
        <v>778.702</v>
      </c>
      <c r="BN75" s="1391" t="n">
        <v>750</v>
      </c>
      <c r="BO75" s="1366">
        <f>SUM(BK75,BL75,BM75,BN75)</f>
        <v/>
      </c>
      <c r="BP75" s="1365" t="n"/>
      <c r="BQ75" s="1365" t="n"/>
      <c r="BR75" s="1365" t="n"/>
      <c r="BS75" s="1365" t="n"/>
      <c r="BT75" s="1364" t="n"/>
      <c r="BU75" s="1365" t="n"/>
      <c r="BV75" s="1365" t="n"/>
      <c r="BW75" s="1365" t="n"/>
      <c r="BX75" s="1365" t="n"/>
      <c r="BY75" s="1364" t="n"/>
      <c r="BZ75" s="1364" t="n"/>
      <c r="CA75" s="1364" t="n"/>
      <c r="CB75" s="1364" t="n"/>
      <c r="CC75" s="1280" t="n"/>
    </row>
    <row r="76" hidden="1" outlineLevel="1" ht="14.4" customFormat="1" customHeight="1" s="1323">
      <c r="A76" s="1392" t="inlineStr">
        <is>
          <t>Total Amortization of intangibles, mm</t>
        </is>
      </c>
      <c r="B76" s="1393" t="n"/>
      <c r="C76" s="1326">
        <f>SUM(C74:C75)</f>
        <v/>
      </c>
      <c r="D76" s="1326">
        <f>SUM(D74:D75)</f>
        <v/>
      </c>
      <c r="E76" s="1326">
        <f>SUM(E74:E75)</f>
        <v/>
      </c>
      <c r="F76" s="1326">
        <f>SUM(F74:F75)</f>
        <v/>
      </c>
      <c r="G76" s="1326">
        <f>SUM(G74:G75)</f>
        <v/>
      </c>
      <c r="H76" s="1327">
        <f>SUM(H74:H75)</f>
        <v/>
      </c>
      <c r="I76" s="1327">
        <f>SUM(I74:I75)</f>
        <v/>
      </c>
      <c r="J76" s="1327">
        <f>SUM(J74:J75)</f>
        <v/>
      </c>
      <c r="K76" s="1327">
        <f>SUM(K74:K75)</f>
        <v/>
      </c>
      <c r="L76" s="1326">
        <f>SUM(L74:L75)</f>
        <v/>
      </c>
      <c r="M76" s="1327">
        <f>SUM(M74:M75)</f>
        <v/>
      </c>
      <c r="N76" s="1327">
        <f>SUM(N74:N75)</f>
        <v/>
      </c>
      <c r="O76" s="1327">
        <f>SUM(O74:O75)</f>
        <v/>
      </c>
      <c r="P76" s="1327">
        <f>SUM(P74:P75)</f>
        <v/>
      </c>
      <c r="Q76" s="1326">
        <f>SUM(Q74:Q75)</f>
        <v/>
      </c>
      <c r="R76" s="1327">
        <f>SUM(R74:R75)</f>
        <v/>
      </c>
      <c r="S76" s="1327">
        <f>SUM(S74:S75)</f>
        <v/>
      </c>
      <c r="T76" s="1327">
        <f>SUM(T74:T75)</f>
        <v/>
      </c>
      <c r="U76" s="1327">
        <f>SUM(U74:U75)</f>
        <v/>
      </c>
      <c r="V76" s="1326">
        <f>SUM(V74:V75)</f>
        <v/>
      </c>
      <c r="W76" s="1327">
        <f>SUM(W74:W75)</f>
        <v/>
      </c>
      <c r="X76" s="1327">
        <f>SUM(X74:X75)</f>
        <v/>
      </c>
      <c r="Y76" s="1327">
        <f>SUM(Y74:Y75)</f>
        <v/>
      </c>
      <c r="Z76" s="1327">
        <f>SUM(Z74:Z75)</f>
        <v/>
      </c>
      <c r="AA76" s="1326">
        <f>SUM(AA74:AA75)</f>
        <v/>
      </c>
      <c r="AB76" s="1327">
        <f>SUM(AB74:AB75)</f>
        <v/>
      </c>
      <c r="AC76" s="1327">
        <f>SUM(AC74:AC75)</f>
        <v/>
      </c>
      <c r="AD76" s="1327">
        <f>SUM(AD74:AD75)</f>
        <v/>
      </c>
      <c r="AE76" s="1327">
        <f>SUM(AE74:AE75)</f>
        <v/>
      </c>
      <c r="AF76" s="1326">
        <f>SUM(AF74:AF75)</f>
        <v/>
      </c>
      <c r="AG76" s="1327">
        <f>SUM(AG74:AG75)</f>
        <v/>
      </c>
      <c r="AH76" s="1327">
        <f>SUM(AH74:AH75)</f>
        <v/>
      </c>
      <c r="AI76" s="1327">
        <f>SUM(AI74:AI75)</f>
        <v/>
      </c>
      <c r="AJ76" s="1327">
        <f>SUM(AJ74:AJ75)</f>
        <v/>
      </c>
      <c r="AK76" s="1326">
        <f>SUM(AK74:AK75)</f>
        <v/>
      </c>
      <c r="AL76" s="1327">
        <f>SUM(AL74:AL75)</f>
        <v/>
      </c>
      <c r="AM76" s="1327">
        <f>SUM(AM74:AM75)</f>
        <v/>
      </c>
      <c r="AN76" s="1327">
        <f>SUM(AN74:AN75)</f>
        <v/>
      </c>
      <c r="AO76" s="1327">
        <f>SUM(AO74:AO75)</f>
        <v/>
      </c>
      <c r="AP76" s="1326">
        <f>SUM(AP74:AP75)</f>
        <v/>
      </c>
      <c r="AQ76" s="1327">
        <f>SUM(AQ74:AQ75)</f>
        <v/>
      </c>
      <c r="AR76" s="1327">
        <f>SUM(AR74:AR75)</f>
        <v/>
      </c>
      <c r="AS76" s="1327">
        <f>SUM(AS74:AS75)</f>
        <v/>
      </c>
      <c r="AT76" s="1327">
        <f>SUM(AT74:AT75)</f>
        <v/>
      </c>
      <c r="AU76" s="1326">
        <f>SUM(AU74:AU75)</f>
        <v/>
      </c>
      <c r="AV76" s="1327">
        <f>SUM(AV74:AV75)</f>
        <v/>
      </c>
      <c r="AW76" s="1327">
        <f>SUM(AW74:AW75)</f>
        <v/>
      </c>
      <c r="AX76" s="1327">
        <f>SUM(AX74:AX75)</f>
        <v/>
      </c>
      <c r="AY76" s="1327">
        <f>SUM(AY74:AY75)</f>
        <v/>
      </c>
      <c r="AZ76" s="1326">
        <f>SUM(AZ74:AZ75)</f>
        <v/>
      </c>
      <c r="BA76" s="1327">
        <f>SUM(BA74:BA75)</f>
        <v/>
      </c>
      <c r="BB76" s="1327">
        <f>SUM(BB74:BB75)</f>
        <v/>
      </c>
      <c r="BC76" s="1327">
        <f>SUM(BC74:BC75)</f>
        <v/>
      </c>
      <c r="BD76" s="1327">
        <f>SUM(BD74:BD75)</f>
        <v/>
      </c>
      <c r="BE76" s="1326">
        <f>SUM(BE74:BE75)</f>
        <v/>
      </c>
      <c r="BF76" s="1327">
        <f>SUM(BF74:BF75)</f>
        <v/>
      </c>
      <c r="BG76" s="1346">
        <f>SUM(BG74:BG75)</f>
        <v/>
      </c>
      <c r="BH76" s="1346">
        <f>SUM(BH74:BH75)</f>
        <v/>
      </c>
      <c r="BI76" s="1327">
        <f>SUM(BI74:BI75)</f>
        <v/>
      </c>
      <c r="BJ76" s="1326">
        <f>SUM(BJ74:BJ75)</f>
        <v/>
      </c>
      <c r="BK76" s="1327">
        <f>SUM(BK74:BK75)</f>
        <v/>
      </c>
      <c r="BL76" s="1346">
        <f>SUM(BL74:BL75)</f>
        <v/>
      </c>
      <c r="BM76" s="1346">
        <f>BM678</f>
        <v/>
      </c>
      <c r="BN76" s="1327">
        <f>BN678</f>
        <v/>
      </c>
      <c r="BO76" s="1386">
        <f>BO678</f>
        <v/>
      </c>
      <c r="BP76" s="1327">
        <f>-BP842</f>
        <v/>
      </c>
      <c r="BQ76" s="1327">
        <f>-BQ842</f>
        <v/>
      </c>
      <c r="BR76" s="1327">
        <f>-BR842</f>
        <v/>
      </c>
      <c r="BS76" s="1327">
        <f>-BS842</f>
        <v/>
      </c>
      <c r="BT76" s="1326">
        <f>-BT842</f>
        <v/>
      </c>
      <c r="BU76" s="1327">
        <f>-BU842</f>
        <v/>
      </c>
      <c r="BV76" s="1327">
        <f>-BV842</f>
        <v/>
      </c>
      <c r="BW76" s="1327">
        <f>-BW842</f>
        <v/>
      </c>
      <c r="BX76" s="1327">
        <f>-BX842</f>
        <v/>
      </c>
      <c r="BY76" s="1326">
        <f>-BY842</f>
        <v/>
      </c>
      <c r="BZ76" s="1326">
        <f>-BZ842</f>
        <v/>
      </c>
      <c r="CA76" s="1326">
        <f>-CA842</f>
        <v/>
      </c>
      <c r="CB76" s="1326">
        <f>-CB842</f>
        <v/>
      </c>
      <c r="CC76" s="1331" t="n"/>
    </row>
    <row r="77" collapsed="1" ht="14.4" customFormat="1" customHeight="1" s="1323">
      <c r="A77" s="1344" t="n"/>
      <c r="B77" s="1361" t="n"/>
      <c r="C77" s="1345" t="n"/>
      <c r="D77" s="1345" t="n"/>
      <c r="E77" s="1345" t="n"/>
      <c r="F77" s="1345" t="n"/>
      <c r="G77" s="1345" t="n"/>
      <c r="H77" s="1346" t="n"/>
      <c r="I77" s="1346" t="n"/>
      <c r="J77" s="1346" t="n"/>
      <c r="K77" s="1346" t="n"/>
      <c r="L77" s="1345" t="n"/>
      <c r="M77" s="1346" t="n"/>
      <c r="N77" s="1346" t="n"/>
      <c r="O77" s="1346" t="n"/>
      <c r="P77" s="1346" t="n"/>
      <c r="Q77" s="1345" t="n"/>
      <c r="R77" s="1346" t="n"/>
      <c r="S77" s="1346" t="n"/>
      <c r="T77" s="1346" t="n"/>
      <c r="U77" s="1346" t="n"/>
      <c r="V77" s="1345" t="n"/>
      <c r="W77" s="1346" t="n"/>
      <c r="X77" s="1346" t="n"/>
      <c r="Y77" s="1346" t="n"/>
      <c r="Z77" s="1346" t="n"/>
      <c r="AA77" s="1345" t="n"/>
      <c r="AB77" s="1346" t="n"/>
      <c r="AC77" s="1346" t="n"/>
      <c r="AD77" s="1346" t="n"/>
      <c r="AE77" s="1346" t="n"/>
      <c r="AF77" s="1345" t="n"/>
      <c r="AG77" s="1346" t="n"/>
      <c r="AH77" s="1346" t="n"/>
      <c r="AI77" s="1346" t="n"/>
      <c r="AJ77" s="1346" t="n"/>
      <c r="AK77" s="1345" t="n"/>
      <c r="AL77" s="1346" t="n"/>
      <c r="AM77" s="1346" t="n"/>
      <c r="AN77" s="1346" t="n"/>
      <c r="AO77" s="1346" t="n"/>
      <c r="AP77" s="1345" t="n"/>
      <c r="AQ77" s="1346" t="n"/>
      <c r="AR77" s="1346" t="n"/>
      <c r="AS77" s="1346" t="n"/>
      <c r="AT77" s="1346" t="n"/>
      <c r="AU77" s="1345" t="n"/>
      <c r="AV77" s="1346" t="n"/>
      <c r="AW77" s="1346" t="n"/>
      <c r="AX77" s="1346" t="n"/>
      <c r="AY77" s="1346" t="n"/>
      <c r="AZ77" s="1345" t="n"/>
      <c r="BA77" s="1346" t="n"/>
      <c r="BB77" s="1346" t="n"/>
      <c r="BC77" s="1346" t="n"/>
      <c r="BD77" s="1346" t="n"/>
      <c r="BE77" s="1345" t="n"/>
      <c r="BF77" s="1346" t="n"/>
      <c r="BG77" s="1346" t="n"/>
      <c r="BH77" s="1346" t="n"/>
      <c r="BI77" s="1346" t="n"/>
      <c r="BJ77" s="1345" t="n"/>
      <c r="BK77" s="1346" t="n"/>
      <c r="BL77" s="1346" t="n"/>
      <c r="BM77" s="1346" t="n"/>
      <c r="BN77" s="1346" t="n"/>
      <c r="BO77" s="1347" t="n"/>
      <c r="BP77" s="1346" t="n"/>
      <c r="BQ77" s="1346" t="n"/>
      <c r="BR77" s="1346" t="n"/>
      <c r="BS77" s="1346" t="n"/>
      <c r="BT77" s="1345" t="n"/>
      <c r="BU77" s="1346" t="n"/>
      <c r="BV77" s="1346" t="n"/>
      <c r="BW77" s="1346" t="n"/>
      <c r="BX77" s="1346" t="n"/>
      <c r="BY77" s="1345" t="n"/>
      <c r="BZ77" s="1345" t="n"/>
      <c r="CA77" s="1345" t="n"/>
      <c r="CB77" s="1345" t="n"/>
      <c r="CC77" s="1331" t="n"/>
    </row>
    <row r="78" ht="14.4" customFormat="1" customHeight="1" s="1275">
      <c r="A78" s="1357" t="inlineStr">
        <is>
          <t>Supplemental Information</t>
        </is>
      </c>
      <c r="B78" s="1358" t="n"/>
      <c r="C78" s="1358" t="n"/>
      <c r="D78" s="1358" t="n"/>
      <c r="E78" s="1358" t="n"/>
      <c r="F78" s="1358" t="n"/>
      <c r="G78" s="1358" t="n"/>
      <c r="H78" s="1358" t="n"/>
      <c r="I78" s="1358" t="n"/>
      <c r="J78" s="1358" t="n"/>
      <c r="K78" s="1358" t="n"/>
      <c r="L78" s="1358" t="n"/>
      <c r="M78" s="1358" t="n"/>
      <c r="N78" s="1358" t="n"/>
      <c r="O78" s="1358" t="n"/>
      <c r="P78" s="1358" t="n"/>
      <c r="Q78" s="1358" t="n"/>
      <c r="R78" s="1358" t="n"/>
      <c r="S78" s="1358" t="n"/>
      <c r="T78" s="1358" t="n"/>
      <c r="U78" s="1358" t="n"/>
      <c r="V78" s="1358" t="n"/>
      <c r="W78" s="1358" t="n"/>
      <c r="X78" s="1358" t="n"/>
      <c r="Y78" s="1358" t="n"/>
      <c r="Z78" s="1358" t="n"/>
      <c r="AA78" s="1358" t="n"/>
      <c r="AB78" s="1358" t="n"/>
      <c r="AC78" s="1358" t="n"/>
      <c r="AD78" s="1358" t="n"/>
      <c r="AE78" s="1358" t="n"/>
      <c r="AF78" s="1358" t="n"/>
      <c r="AG78" s="1358" t="n"/>
      <c r="AH78" s="1358" t="n"/>
      <c r="AI78" s="1358" t="n"/>
      <c r="AJ78" s="1358" t="n"/>
      <c r="AK78" s="1358" t="n"/>
      <c r="AL78" s="1358" t="n"/>
      <c r="AM78" s="1358" t="n"/>
      <c r="AN78" s="1358" t="n"/>
      <c r="AO78" s="1358" t="n"/>
      <c r="AP78" s="1358" t="n"/>
      <c r="AQ78" s="1358" t="n"/>
      <c r="AR78" s="1358" t="n"/>
      <c r="AS78" s="1358" t="n"/>
      <c r="AT78" s="1358" t="n"/>
      <c r="AU78" s="1358" t="n"/>
      <c r="AV78" s="1358" t="n"/>
      <c r="AW78" s="1358" t="n"/>
      <c r="AX78" s="1358" t="n"/>
      <c r="AY78" s="1358" t="n"/>
      <c r="AZ78" s="1358" t="n"/>
      <c r="BA78" s="1358" t="n"/>
      <c r="BB78" s="1358" t="n"/>
      <c r="BC78" s="1358" t="n"/>
      <c r="BD78" s="1358" t="n"/>
      <c r="BE78" s="1358" t="n"/>
      <c r="BF78" s="1358" t="n"/>
      <c r="BG78" s="1358" t="n"/>
      <c r="BH78" s="1358" t="n"/>
      <c r="BI78" s="1358" t="n"/>
      <c r="BJ78" s="1358" t="n"/>
      <c r="BK78" s="1358" t="n"/>
      <c r="BL78" s="1358" t="n"/>
      <c r="BM78" s="1358" t="n"/>
      <c r="BN78" s="1358" t="n"/>
      <c r="BO78" s="1359" t="n"/>
      <c r="BP78" s="1358" t="n"/>
      <c r="BQ78" s="1358" t="n"/>
      <c r="BR78" s="1358" t="n"/>
      <c r="BS78" s="1358" t="n"/>
      <c r="BT78" s="1358" t="n"/>
      <c r="BU78" s="1358" t="n"/>
      <c r="BV78" s="1358" t="n"/>
      <c r="BW78" s="1358" t="n"/>
      <c r="BX78" s="1358" t="n"/>
      <c r="BY78" s="1358" t="n"/>
      <c r="BZ78" s="1358" t="n"/>
      <c r="CA78" s="1358" t="n"/>
      <c r="CB78" s="1358" t="n"/>
      <c r="CC78" s="1280" t="n"/>
    </row>
    <row r="79" hidden="1" outlineLevel="1" ht="14.4" customFormat="1" customHeight="1" s="1275">
      <c r="A79" s="1357" t="inlineStr">
        <is>
          <t>Key Metrics - USD Metrics (FS/SI)</t>
        </is>
      </c>
      <c r="B79" s="1358" t="n"/>
      <c r="C79" s="1358" t="n"/>
      <c r="D79" s="1358" t="n"/>
      <c r="E79" s="1358" t="n"/>
      <c r="F79" s="1358" t="n"/>
      <c r="G79" s="1358" t="n"/>
      <c r="H79" s="1358" t="n"/>
      <c r="I79" s="1358" t="n"/>
      <c r="J79" s="1358" t="n"/>
      <c r="K79" s="1358" t="n"/>
      <c r="L79" s="1358" t="n"/>
      <c r="M79" s="1358" t="n"/>
      <c r="N79" s="1358" t="n"/>
      <c r="O79" s="1358" t="n"/>
      <c r="P79" s="1358" t="n"/>
      <c r="Q79" s="1358" t="n"/>
      <c r="R79" s="1358" t="n"/>
      <c r="S79" s="1358" t="n"/>
      <c r="T79" s="1358" t="n"/>
      <c r="U79" s="1358" t="n"/>
      <c r="V79" s="1358" t="n"/>
      <c r="W79" s="1358" t="n"/>
      <c r="X79" s="1358" t="n"/>
      <c r="Y79" s="1358" t="n"/>
      <c r="Z79" s="1358" t="n"/>
      <c r="AA79" s="1358" t="n"/>
      <c r="AB79" s="1358" t="n"/>
      <c r="AC79" s="1358" t="n"/>
      <c r="AD79" s="1358" t="n"/>
      <c r="AE79" s="1358" t="n"/>
      <c r="AF79" s="1358" t="n"/>
      <c r="AG79" s="1358" t="n"/>
      <c r="AH79" s="1358" t="n"/>
      <c r="AI79" s="1358" t="n"/>
      <c r="AJ79" s="1358" t="n"/>
      <c r="AK79" s="1358" t="n"/>
      <c r="AL79" s="1358" t="n"/>
      <c r="AM79" s="1358" t="n"/>
      <c r="AN79" s="1358" t="n"/>
      <c r="AO79" s="1358" t="n"/>
      <c r="AP79" s="1358" t="n"/>
      <c r="AQ79" s="1358" t="n"/>
      <c r="AR79" s="1358" t="n"/>
      <c r="AS79" s="1358" t="n"/>
      <c r="AT79" s="1358" t="n"/>
      <c r="AU79" s="1358" t="n"/>
      <c r="AV79" s="1358" t="n"/>
      <c r="AW79" s="1358" t="n"/>
      <c r="AX79" s="1358" t="n"/>
      <c r="AY79" s="1358" t="n"/>
      <c r="AZ79" s="1358" t="n"/>
      <c r="BA79" s="1358" t="n"/>
      <c r="BB79" s="1358" t="n"/>
      <c r="BC79" s="1358" t="n"/>
      <c r="BD79" s="1358" t="n"/>
      <c r="BE79" s="1358" t="n"/>
      <c r="BF79" s="1358" t="n"/>
      <c r="BG79" s="1358" t="n"/>
      <c r="BH79" s="1358" t="n"/>
      <c r="BI79" s="1358" t="n"/>
      <c r="BJ79" s="1358" t="n"/>
      <c r="BK79" s="1358" t="n"/>
      <c r="BL79" s="1358" t="n"/>
      <c r="BM79" s="1358" t="n"/>
      <c r="BN79" s="1358" t="n"/>
      <c r="BO79" s="1359" t="n"/>
      <c r="BP79" s="1358" t="n"/>
      <c r="BQ79" s="1358" t="n"/>
      <c r="BR79" s="1358" t="n"/>
      <c r="BS79" s="1358" t="n"/>
      <c r="BT79" s="1358" t="n"/>
      <c r="BU79" s="1358" t="n"/>
      <c r="BV79" s="1358" t="n"/>
      <c r="BW79" s="1358" t="n"/>
      <c r="BX79" s="1358" t="n"/>
      <c r="BY79" s="1358" t="n"/>
      <c r="BZ79" s="1358" t="n"/>
      <c r="CA79" s="1358" t="n"/>
      <c r="CB79" s="1358" t="n"/>
      <c r="CC79" s="1280" t="n"/>
    </row>
    <row r="80" hidden="1" outlineLevel="2" ht="14.4" customFormat="1" customHeight="1" s="1275">
      <c r="A80" s="1383" t="inlineStr">
        <is>
          <t>Net revenue, mm US$</t>
        </is>
      </c>
      <c r="B80" s="1296" t="n"/>
      <c r="C80" s="1297">
        <f>C31</f>
        <v/>
      </c>
      <c r="D80" s="1297">
        <f>D31</f>
        <v/>
      </c>
      <c r="E80" s="1297">
        <f>E31</f>
        <v/>
      </c>
      <c r="F80" s="1297">
        <f>F31</f>
        <v/>
      </c>
      <c r="G80" s="1297">
        <f>G31</f>
        <v/>
      </c>
      <c r="H80" s="1277">
        <f>H31</f>
        <v/>
      </c>
      <c r="I80" s="1277">
        <f>I31</f>
        <v/>
      </c>
      <c r="J80" s="1277">
        <f>J31</f>
        <v/>
      </c>
      <c r="K80" s="1277">
        <f>K31</f>
        <v/>
      </c>
      <c r="L80" s="1297">
        <f>L31</f>
        <v/>
      </c>
      <c r="M80" s="1277">
        <f>M31</f>
        <v/>
      </c>
      <c r="N80" s="1277">
        <f>N31</f>
        <v/>
      </c>
      <c r="O80" s="1277">
        <f>O31</f>
        <v/>
      </c>
      <c r="P80" s="1277">
        <f>P31</f>
        <v/>
      </c>
      <c r="Q80" s="1297">
        <f>Q31</f>
        <v/>
      </c>
      <c r="R80" s="1277">
        <f>R31</f>
        <v/>
      </c>
      <c r="S80" s="1277">
        <f>S31</f>
        <v/>
      </c>
      <c r="T80" s="1277">
        <f>T31</f>
        <v/>
      </c>
      <c r="U80" s="1277">
        <f>U31</f>
        <v/>
      </c>
      <c r="V80" s="1297">
        <f>V31</f>
        <v/>
      </c>
      <c r="W80" s="1277">
        <f>W31</f>
        <v/>
      </c>
      <c r="X80" s="1277">
        <f>X31</f>
        <v/>
      </c>
      <c r="Y80" s="1277">
        <f>Y31</f>
        <v/>
      </c>
      <c r="Z80" s="1277">
        <f>Z31</f>
        <v/>
      </c>
      <c r="AA80" s="1297">
        <f>AA31</f>
        <v/>
      </c>
      <c r="AB80" s="1277">
        <f>AB31</f>
        <v/>
      </c>
      <c r="AC80" s="1277">
        <f>AC31</f>
        <v/>
      </c>
      <c r="AD80" s="1277">
        <f>AD31</f>
        <v/>
      </c>
      <c r="AE80" s="1277">
        <f>AE31</f>
        <v/>
      </c>
      <c r="AF80" s="1297">
        <f>AF31</f>
        <v/>
      </c>
      <c r="AG80" s="1277">
        <f>AG31</f>
        <v/>
      </c>
      <c r="AH80" s="1277">
        <f>AH31</f>
        <v/>
      </c>
      <c r="AI80" s="1277">
        <f>AI31</f>
        <v/>
      </c>
      <c r="AJ80" s="1277">
        <f>AJ31</f>
        <v/>
      </c>
      <c r="AK80" s="1297">
        <f>AK31</f>
        <v/>
      </c>
      <c r="AL80" s="1277">
        <f>AL31</f>
        <v/>
      </c>
      <c r="AM80" s="1277">
        <f>AM31</f>
        <v/>
      </c>
      <c r="AN80" s="1277">
        <f>AN31</f>
        <v/>
      </c>
      <c r="AO80" s="1277">
        <f>AO31</f>
        <v/>
      </c>
      <c r="AP80" s="1297">
        <f>AP31</f>
        <v/>
      </c>
      <c r="AQ80" s="1277">
        <f>AQ31</f>
        <v/>
      </c>
      <c r="AR80" s="1277">
        <f>AR31</f>
        <v/>
      </c>
      <c r="AS80" s="1277">
        <f>AS31</f>
        <v/>
      </c>
      <c r="AT80" s="1277">
        <f>AT31</f>
        <v/>
      </c>
      <c r="AU80" s="1297">
        <f>AU31</f>
        <v/>
      </c>
      <c r="AV80" s="1277">
        <f>AV31</f>
        <v/>
      </c>
      <c r="AW80" s="1277">
        <f>AW31</f>
        <v/>
      </c>
      <c r="AX80" s="1277">
        <f>AX31</f>
        <v/>
      </c>
      <c r="AY80" s="1277">
        <f>AY31</f>
        <v/>
      </c>
      <c r="AZ80" s="1297">
        <f>AZ31</f>
        <v/>
      </c>
      <c r="BA80" s="1277">
        <f>BA31</f>
        <v/>
      </c>
      <c r="BB80" s="1277">
        <f>BB31</f>
        <v/>
      </c>
      <c r="BC80" s="1277">
        <f>BC31</f>
        <v/>
      </c>
      <c r="BD80" s="1277">
        <f>BD31</f>
        <v/>
      </c>
      <c r="BE80" s="1297">
        <f>BE31</f>
        <v/>
      </c>
      <c r="BF80" s="1277">
        <f>BF31</f>
        <v/>
      </c>
      <c r="BG80" s="1277">
        <f>BG31</f>
        <v/>
      </c>
      <c r="BH80" s="1277">
        <f>BH31</f>
        <v/>
      </c>
      <c r="BI80" s="1277">
        <f>BI31</f>
        <v/>
      </c>
      <c r="BJ80" s="1297">
        <f>BJ31</f>
        <v/>
      </c>
      <c r="BK80" s="1277">
        <f>BK31</f>
        <v/>
      </c>
      <c r="BL80" s="1277">
        <f>BL31</f>
        <v/>
      </c>
      <c r="BM80" s="1277">
        <f>BM31</f>
        <v/>
      </c>
      <c r="BN80" s="1277">
        <f>BN31</f>
        <v/>
      </c>
      <c r="BO80" s="1382">
        <f>BO31</f>
        <v/>
      </c>
      <c r="BP80" s="1277" t="n"/>
      <c r="BQ80" s="1277" t="n"/>
      <c r="BR80" s="1277" t="n"/>
      <c r="BS80" s="1277" t="n"/>
      <c r="BT80" s="1297" t="n"/>
      <c r="BU80" s="1277" t="n"/>
      <c r="BV80" s="1277" t="n"/>
      <c r="BW80" s="1277" t="n"/>
      <c r="BX80" s="1277" t="n"/>
      <c r="BY80" s="1297" t="n"/>
      <c r="BZ80" s="1297" t="n"/>
      <c r="CA80" s="1297" t="n"/>
      <c r="CB80" s="1297" t="n"/>
      <c r="CC80" s="1280" t="n"/>
    </row>
    <row r="81" hidden="1" outlineLevel="2" ht="14.4" customFormat="1" customHeight="1" s="1275">
      <c r="A81" s="1383" t="n"/>
      <c r="B81" s="1296" t="n"/>
      <c r="C81" s="1297" t="n"/>
      <c r="D81" s="1297" t="n"/>
      <c r="E81" s="1297" t="n"/>
      <c r="F81" s="1297" t="n"/>
      <c r="G81" s="1297" t="n"/>
      <c r="H81" s="1277" t="n"/>
      <c r="I81" s="1277" t="n"/>
      <c r="J81" s="1277" t="n"/>
      <c r="K81" s="1277" t="n"/>
      <c r="L81" s="1297" t="n"/>
      <c r="M81" s="1277" t="n"/>
      <c r="N81" s="1277" t="n"/>
      <c r="O81" s="1277" t="n"/>
      <c r="P81" s="1277" t="n"/>
      <c r="Q81" s="1297" t="n"/>
      <c r="R81" s="1277" t="n"/>
      <c r="S81" s="1277" t="n"/>
      <c r="T81" s="1277" t="n"/>
      <c r="U81" s="1277" t="n"/>
      <c r="V81" s="1297" t="n"/>
      <c r="W81" s="1277" t="n"/>
      <c r="X81" s="1277" t="n"/>
      <c r="Y81" s="1277" t="n"/>
      <c r="Z81" s="1277" t="n"/>
      <c r="AA81" s="1297" t="n"/>
      <c r="AB81" s="1277" t="n"/>
      <c r="AC81" s="1277" t="n"/>
      <c r="AD81" s="1277" t="n"/>
      <c r="AE81" s="1277" t="n"/>
      <c r="AF81" s="1297" t="n"/>
      <c r="AG81" s="1277" t="n"/>
      <c r="AH81" s="1277" t="n"/>
      <c r="AI81" s="1277" t="n"/>
      <c r="AJ81" s="1277" t="n"/>
      <c r="AK81" s="1297" t="n"/>
      <c r="AL81" s="1277" t="n"/>
      <c r="AM81" s="1277" t="n"/>
      <c r="AN81" s="1277" t="n"/>
      <c r="AO81" s="1277" t="n"/>
      <c r="AP81" s="1297" t="n"/>
      <c r="AQ81" s="1277" t="n"/>
      <c r="AR81" s="1277" t="n"/>
      <c r="AS81" s="1277" t="n"/>
      <c r="AT81" s="1277" t="n"/>
      <c r="AU81" s="1297" t="n"/>
      <c r="AV81" s="1277" t="n"/>
      <c r="AW81" s="1277" t="n"/>
      <c r="AX81" s="1277" t="n"/>
      <c r="AY81" s="1277" t="n"/>
      <c r="AZ81" s="1297" t="n"/>
      <c r="BA81" s="1277" t="n"/>
      <c r="BB81" s="1277" t="n"/>
      <c r="BC81" s="1277" t="n"/>
      <c r="BD81" s="1277" t="n"/>
      <c r="BE81" s="1297" t="n"/>
      <c r="BF81" s="1277" t="n"/>
      <c r="BG81" s="1277" t="n"/>
      <c r="BH81" s="1277" t="n"/>
      <c r="BI81" s="1277" t="n"/>
      <c r="BJ81" s="1297" t="n"/>
      <c r="BK81" s="1277" t="n"/>
      <c r="BL81" s="1277" t="n"/>
      <c r="BM81" s="1277" t="n"/>
      <c r="BN81" s="1277" t="n"/>
      <c r="BO81" s="1382" t="n"/>
      <c r="BP81" s="1277" t="n"/>
      <c r="BQ81" s="1277" t="n"/>
      <c r="BR81" s="1277" t="n"/>
      <c r="BS81" s="1277" t="n"/>
      <c r="BT81" s="1297" t="n"/>
      <c r="BU81" s="1277" t="n"/>
      <c r="BV81" s="1277" t="n"/>
      <c r="BW81" s="1277" t="n"/>
      <c r="BX81" s="1277" t="n"/>
      <c r="BY81" s="1297" t="n"/>
      <c r="BZ81" s="1297" t="n"/>
      <c r="CA81" s="1297" t="n"/>
      <c r="CB81" s="1297" t="n"/>
      <c r="CC81" s="1280" t="n"/>
    </row>
    <row r="82" hidden="1" outlineLevel="2" ht="14.4" customFormat="1" customHeight="1" s="1275">
      <c r="A82" s="1383" t="inlineStr">
        <is>
          <t>Net income(loss) attributable to shareholders of the parent, mm US$</t>
        </is>
      </c>
      <c r="B82" s="1296" t="n"/>
      <c r="C82" s="1299" t="n">
        <v>2714</v>
      </c>
      <c r="D82" s="1299" t="n">
        <v>5132</v>
      </c>
      <c r="E82" s="1299" t="n">
        <v>4570</v>
      </c>
      <c r="F82" s="1299" t="n">
        <v>5618</v>
      </c>
      <c r="G82" s="1299" t="n">
        <v>6338</v>
      </c>
      <c r="H82" s="1298" t="n">
        <v>1583</v>
      </c>
      <c r="I82" s="1298" t="n">
        <v>1982</v>
      </c>
      <c r="J82" s="1298" t="n">
        <v>2544</v>
      </c>
      <c r="K82" s="1298" t="n">
        <v>2599</v>
      </c>
      <c r="L82" s="1297">
        <f>SUM(H82,I82,J82,K82)</f>
        <v/>
      </c>
      <c r="M82" s="1298" t="n">
        <v>2505</v>
      </c>
      <c r="N82" s="1298" t="n">
        <v>2575</v>
      </c>
      <c r="O82" s="1298" t="n">
        <v>2363</v>
      </c>
      <c r="P82" s="1298" t="n">
        <v>2232</v>
      </c>
      <c r="Q82" s="1297">
        <f>SUM(M82,N82,O82,P82)</f>
        <v/>
      </c>
      <c r="R82" s="1298" t="n">
        <v>1955</v>
      </c>
      <c r="S82" s="1298" t="n">
        <v>2237</v>
      </c>
      <c r="T82" s="1298" t="n">
        <v>3045</v>
      </c>
      <c r="U82" s="1298" t="n">
        <v>3154</v>
      </c>
      <c r="V82" s="1297">
        <f>SUM(R82,S82,T82,U82)</f>
        <v/>
      </c>
      <c r="W82" s="1298" t="n">
        <v>2812</v>
      </c>
      <c r="X82" s="1298" t="n">
        <v>2188</v>
      </c>
      <c r="Y82" s="1298" t="n">
        <v>2969</v>
      </c>
      <c r="Z82" s="1298" t="n">
        <v>3295</v>
      </c>
      <c r="AA82" s="1297">
        <f>SUM(W82,X82,Y82,Z82)</f>
        <v/>
      </c>
      <c r="AB82" s="1298" t="n">
        <v>3062</v>
      </c>
      <c r="AC82" s="1298" t="n">
        <v>2434</v>
      </c>
      <c r="AD82" s="1298" t="n">
        <v>2903</v>
      </c>
      <c r="AE82" s="1298" t="n">
        <v>3243</v>
      </c>
      <c r="AF82" s="1297">
        <f>SUM(AB82,AC82,AD82,AE82)</f>
        <v/>
      </c>
      <c r="AG82" s="1298" t="n">
        <v>1992</v>
      </c>
      <c r="AH82" s="1298" t="n">
        <v>2146</v>
      </c>
      <c r="AI82" s="1298" t="n">
        <v>3241</v>
      </c>
      <c r="AJ82" s="1298" t="n">
        <v>3802</v>
      </c>
      <c r="AK82" s="1297">
        <f>SUM(AG82,AH82,AI82,AJ82)</f>
        <v/>
      </c>
      <c r="AL82" s="1298" t="n">
        <v>3882</v>
      </c>
      <c r="AM82" s="1298" t="n">
        <v>4038</v>
      </c>
      <c r="AN82" s="1298" t="n">
        <v>4676</v>
      </c>
      <c r="AO82" s="1298" t="n">
        <v>5006</v>
      </c>
      <c r="AP82" s="1297">
        <f>SUM(AL82,AM82,AN82,AO82)</f>
        <v/>
      </c>
      <c r="AQ82" s="1298" t="n">
        <v>4980</v>
      </c>
      <c r="AR82" s="1298" t="n">
        <v>4798</v>
      </c>
      <c r="AS82" s="1298" t="n">
        <v>5606</v>
      </c>
      <c r="AT82" s="1298" t="n">
        <v>5970</v>
      </c>
      <c r="AU82" s="1297">
        <f>SUM(AQ82,AR82,AS82,AT82)</f>
        <v/>
      </c>
      <c r="AV82" s="1298" t="n">
        <v>7252</v>
      </c>
      <c r="AW82" s="1298" t="n">
        <v>8057</v>
      </c>
      <c r="AX82" s="1298" t="n">
        <v>9265</v>
      </c>
      <c r="AY82" s="1298" t="n">
        <v>9428</v>
      </c>
      <c r="AZ82" s="1297">
        <f>SUM(AV82,AW82,AX82,AY82)</f>
        <v/>
      </c>
      <c r="BA82" s="1298" t="n">
        <v>6804</v>
      </c>
      <c r="BB82" s="1298" t="n">
        <v>5927</v>
      </c>
      <c r="BC82" s="1298" t="n">
        <v>6668</v>
      </c>
      <c r="BD82" s="1298" t="n">
        <v>7489</v>
      </c>
      <c r="BE82" s="1297">
        <f>SUM(BA82,BB82,BC82,BD82)</f>
        <v/>
      </c>
      <c r="BF82" s="1298" t="n">
        <v>7181</v>
      </c>
      <c r="BG82" s="1298" t="n">
        <v>7662</v>
      </c>
      <c r="BH82" s="1298" t="n">
        <v>10063</v>
      </c>
      <c r="BI82" s="1298" t="n">
        <v>11599</v>
      </c>
      <c r="BJ82" s="1297">
        <f>SUM(BF82,BG82,BH82,BI82)</f>
        <v/>
      </c>
      <c r="BK82" s="1298" t="n">
        <v>10997</v>
      </c>
      <c r="BL82" s="1298" t="n">
        <v>12825</v>
      </c>
      <c r="BM82" s="1298" t="n">
        <v>15122</v>
      </c>
      <c r="BN82" s="1298" t="n">
        <v>16307</v>
      </c>
      <c r="BO82" s="1382">
        <f>SUM(BK82,BL82,BM82,BN82)</f>
        <v/>
      </c>
      <c r="BP82" s="1277" t="n"/>
      <c r="BQ82" s="1277" t="n"/>
      <c r="BR82" s="1277" t="n"/>
      <c r="BS82" s="1277" t="n"/>
      <c r="BT82" s="1297" t="n"/>
      <c r="BU82" s="1277" t="n"/>
      <c r="BV82" s="1277" t="n"/>
      <c r="BW82" s="1277" t="n"/>
      <c r="BX82" s="1277" t="n"/>
      <c r="BY82" s="1297" t="n"/>
      <c r="BZ82" s="1297" t="n"/>
      <c r="CA82" s="1297" t="n"/>
      <c r="CB82" s="1297" t="n"/>
      <c r="CC82" s="1280" t="n"/>
    </row>
    <row r="83" hidden="1" outlineLevel="2" ht="14.4" customFormat="1" customHeight="1" s="1395">
      <c r="A83" s="1396" t="inlineStr">
        <is>
          <t>Earnings Per Share - WAD, US$</t>
        </is>
      </c>
      <c r="B83" s="1397" t="n"/>
      <c r="C83" s="1398">
        <f>C$82/C422</f>
        <v/>
      </c>
      <c r="D83" s="1398">
        <f>D$82/D422</f>
        <v/>
      </c>
      <c r="E83" s="1398">
        <f>E$82/E422</f>
        <v/>
      </c>
      <c r="F83" s="1398">
        <f>F$82/F422</f>
        <v/>
      </c>
      <c r="G83" s="1398">
        <f>G$82/G422</f>
        <v/>
      </c>
      <c r="H83" s="1399">
        <f>H$82/H422</f>
        <v/>
      </c>
      <c r="I83" s="1399">
        <f>I$82/I422</f>
        <v/>
      </c>
      <c r="J83" s="1399">
        <f>J$82/J422</f>
        <v/>
      </c>
      <c r="K83" s="1399">
        <f>K$82/K422</f>
        <v/>
      </c>
      <c r="L83" s="1398">
        <f>L$82/L422</f>
        <v/>
      </c>
      <c r="M83" s="1399">
        <f>M$82/M422</f>
        <v/>
      </c>
      <c r="N83" s="1399">
        <f>N$82/N422</f>
        <v/>
      </c>
      <c r="O83" s="1399">
        <f>O$82/O422</f>
        <v/>
      </c>
      <c r="P83" s="1399">
        <f>P$82/P422</f>
        <v/>
      </c>
      <c r="Q83" s="1398">
        <f>Q$82/Q422</f>
        <v/>
      </c>
      <c r="R83" s="1399">
        <f>R$82/R422</f>
        <v/>
      </c>
      <c r="S83" s="1399">
        <f>S$82/S422</f>
        <v/>
      </c>
      <c r="T83" s="1399">
        <f>T$82/T422</f>
        <v/>
      </c>
      <c r="U83" s="1399">
        <f>U$82/U422</f>
        <v/>
      </c>
      <c r="V83" s="1398">
        <f>V$82/V422</f>
        <v/>
      </c>
      <c r="W83" s="1399">
        <f>W$82/W422</f>
        <v/>
      </c>
      <c r="X83" s="1399">
        <f>X$82/X422</f>
        <v/>
      </c>
      <c r="Y83" s="1399">
        <f>Y$82/Y422</f>
        <v/>
      </c>
      <c r="Z83" s="1399">
        <f>Z$82/Z422</f>
        <v/>
      </c>
      <c r="AA83" s="1398">
        <f>AA$82/AA422</f>
        <v/>
      </c>
      <c r="AB83" s="1399">
        <f>AB$82/AB422</f>
        <v/>
      </c>
      <c r="AC83" s="1399">
        <f>AC$82/AC422</f>
        <v/>
      </c>
      <c r="AD83" s="1399">
        <f>AD$82/AD422</f>
        <v/>
      </c>
      <c r="AE83" s="1399">
        <f>AE$82/AE422</f>
        <v/>
      </c>
      <c r="AF83" s="1398">
        <f>AF$82/AF422</f>
        <v/>
      </c>
      <c r="AG83" s="1399">
        <f>AG$82/AG422</f>
        <v/>
      </c>
      <c r="AH83" s="1399">
        <f>AH$82/AH422</f>
        <v/>
      </c>
      <c r="AI83" s="1399">
        <f>AI$82/AI422</f>
        <v/>
      </c>
      <c r="AJ83" s="1399">
        <f>AJ$82/AJ422</f>
        <v/>
      </c>
      <c r="AK83" s="1398">
        <f>AK$82/AK422</f>
        <v/>
      </c>
      <c r="AL83" s="1399">
        <f>AL$82/AL422</f>
        <v/>
      </c>
      <c r="AM83" s="1399">
        <f>AM$82/AM422</f>
        <v/>
      </c>
      <c r="AN83" s="1399">
        <f>AN$82/AN422</f>
        <v/>
      </c>
      <c r="AO83" s="1399">
        <f>AO$82/AO422</f>
        <v/>
      </c>
      <c r="AP83" s="1398">
        <f>AP$82/AP422</f>
        <v/>
      </c>
      <c r="AQ83" s="1399">
        <f>AQ$82/AQ422</f>
        <v/>
      </c>
      <c r="AR83" s="1399">
        <f>AR$82/AR422</f>
        <v/>
      </c>
      <c r="AS83" s="1399">
        <f>AS$82/AS422</f>
        <v/>
      </c>
      <c r="AT83" s="1399">
        <f>AT$82/AT422</f>
        <v/>
      </c>
      <c r="AU83" s="1398">
        <f>AU$82/AU422</f>
        <v/>
      </c>
      <c r="AV83" s="1399">
        <f>AV$82/AV422</f>
        <v/>
      </c>
      <c r="AW83" s="1399">
        <f>AW$82/AW422</f>
        <v/>
      </c>
      <c r="AX83" s="1399">
        <f>AX$82/AX422</f>
        <v/>
      </c>
      <c r="AY83" s="1399">
        <f>AY$82/AY422</f>
        <v/>
      </c>
      <c r="AZ83" s="1398">
        <f>AZ$82/AZ422</f>
        <v/>
      </c>
      <c r="BA83" s="1399">
        <f>BA$82/BA422</f>
        <v/>
      </c>
      <c r="BB83" s="1399">
        <f>BB$82/BB422</f>
        <v/>
      </c>
      <c r="BC83" s="1399">
        <f>BC$82/BC422</f>
        <v/>
      </c>
      <c r="BD83" s="1399">
        <f>BD$82/BD422</f>
        <v/>
      </c>
      <c r="BE83" s="1398">
        <f>BE$82/BE422</f>
        <v/>
      </c>
      <c r="BF83" s="1399">
        <f>BF$82/BF422</f>
        <v/>
      </c>
      <c r="BG83" s="1399">
        <f>BG$82/BG422</f>
        <v/>
      </c>
      <c r="BH83" s="1399">
        <f>BH$82/BH422</f>
        <v/>
      </c>
      <c r="BI83" s="1399">
        <f>BI$82/BI422</f>
        <v/>
      </c>
      <c r="BJ83" s="1398">
        <f>BJ$82/BJ422</f>
        <v/>
      </c>
      <c r="BK83" s="1399">
        <f>BK$82/BK422</f>
        <v/>
      </c>
      <c r="BL83" s="1399">
        <f>BL$82/BL422</f>
        <v/>
      </c>
      <c r="BM83" s="1399">
        <f>BM$82/BM422</f>
        <v/>
      </c>
      <c r="BN83" s="1399">
        <f>BN$82/BN422</f>
        <v/>
      </c>
      <c r="BO83" s="1400">
        <f>BO$82/BO422</f>
        <v/>
      </c>
      <c r="BP83" s="1399" t="n"/>
      <c r="BQ83" s="1399" t="n"/>
      <c r="BR83" s="1399" t="n"/>
      <c r="BS83" s="1399" t="n"/>
      <c r="BT83" s="1398" t="n"/>
      <c r="BU83" s="1399" t="n"/>
      <c r="BV83" s="1399" t="n"/>
      <c r="BW83" s="1399" t="n"/>
      <c r="BX83" s="1399" t="n"/>
      <c r="BY83" s="1398" t="n"/>
      <c r="BZ83" s="1398" t="n"/>
      <c r="CA83" s="1398" t="n"/>
      <c r="CB83" s="1398" t="n"/>
      <c r="CC83" s="1399" t="n"/>
    </row>
    <row r="84" hidden="1" outlineLevel="2" ht="14.4" customFormat="1" customHeight="1" s="1395">
      <c r="A84" s="1396" t="inlineStr">
        <is>
          <t>Earnings Per ADR - WAD, US$</t>
        </is>
      </c>
      <c r="B84" s="1397" t="n"/>
      <c r="C84" s="1398">
        <f>C$82/C426</f>
        <v/>
      </c>
      <c r="D84" s="1398">
        <f>D$82/D426</f>
        <v/>
      </c>
      <c r="E84" s="1398">
        <f>E$82/E426</f>
        <v/>
      </c>
      <c r="F84" s="1398">
        <f>F$82/F426</f>
        <v/>
      </c>
      <c r="G84" s="1398">
        <f>G$82/G426</f>
        <v/>
      </c>
      <c r="H84" s="1399">
        <f>H$82/H426</f>
        <v/>
      </c>
      <c r="I84" s="1399">
        <f>I$82/I426</f>
        <v/>
      </c>
      <c r="J84" s="1399">
        <f>J$82/J426</f>
        <v/>
      </c>
      <c r="K84" s="1399">
        <f>K$82/K426</f>
        <v/>
      </c>
      <c r="L84" s="1398">
        <f>L$82/L426</f>
        <v/>
      </c>
      <c r="M84" s="1399">
        <f>M$82/M426</f>
        <v/>
      </c>
      <c r="N84" s="1399">
        <f>N$82/N426</f>
        <v/>
      </c>
      <c r="O84" s="1399">
        <f>O$82/O426</f>
        <v/>
      </c>
      <c r="P84" s="1399">
        <f>P$82/P426</f>
        <v/>
      </c>
      <c r="Q84" s="1398">
        <f>Q$82/Q426</f>
        <v/>
      </c>
      <c r="R84" s="1399">
        <f>R$82/R426</f>
        <v/>
      </c>
      <c r="S84" s="1399">
        <f>S$82/S426</f>
        <v/>
      </c>
      <c r="T84" s="1399">
        <f>T$82/T426</f>
        <v/>
      </c>
      <c r="U84" s="1399">
        <f>U$82/U426</f>
        <v/>
      </c>
      <c r="V84" s="1398">
        <f>V$82/V426</f>
        <v/>
      </c>
      <c r="W84" s="1399">
        <f>W$82/W426</f>
        <v/>
      </c>
      <c r="X84" s="1399">
        <f>X$82/X426</f>
        <v/>
      </c>
      <c r="Y84" s="1399">
        <f>Y$82/Y426</f>
        <v/>
      </c>
      <c r="Z84" s="1399">
        <f>Z$82/Z426</f>
        <v/>
      </c>
      <c r="AA84" s="1398">
        <f>AA$82/AA426</f>
        <v/>
      </c>
      <c r="AB84" s="1399">
        <f>AB$82/AB426</f>
        <v/>
      </c>
      <c r="AC84" s="1399">
        <f>AC$82/AC426</f>
        <v/>
      </c>
      <c r="AD84" s="1399">
        <f>AD$82/AD426</f>
        <v/>
      </c>
      <c r="AE84" s="1399">
        <f>AE$82/AE426</f>
        <v/>
      </c>
      <c r="AF84" s="1398">
        <f>AF$82/AF426</f>
        <v/>
      </c>
      <c r="AG84" s="1399">
        <f>AG$82/AG426</f>
        <v/>
      </c>
      <c r="AH84" s="1399">
        <f>AH$82/AH426</f>
        <v/>
      </c>
      <c r="AI84" s="1399">
        <f>AI$82/AI426</f>
        <v/>
      </c>
      <c r="AJ84" s="1399">
        <f>AJ$82/AJ426</f>
        <v/>
      </c>
      <c r="AK84" s="1398">
        <f>AK$82/AK426</f>
        <v/>
      </c>
      <c r="AL84" s="1399">
        <f>AL$82/AL426</f>
        <v/>
      </c>
      <c r="AM84" s="1399">
        <f>AM$82/AM426</f>
        <v/>
      </c>
      <c r="AN84" s="1399">
        <f>AN$82/AN426</f>
        <v/>
      </c>
      <c r="AO84" s="1399">
        <f>AO$82/AO426</f>
        <v/>
      </c>
      <c r="AP84" s="1398">
        <f>AP$82/AP426</f>
        <v/>
      </c>
      <c r="AQ84" s="1399">
        <f>AQ$82/AQ426</f>
        <v/>
      </c>
      <c r="AR84" s="1399">
        <f>AR$82/AR426</f>
        <v/>
      </c>
      <c r="AS84" s="1399">
        <f>AS$82/AS426</f>
        <v/>
      </c>
      <c r="AT84" s="1399">
        <f>AT$82/AT426</f>
        <v/>
      </c>
      <c r="AU84" s="1398">
        <f>AU$82/AU426</f>
        <v/>
      </c>
      <c r="AV84" s="1399">
        <f>AV$82/AV426</f>
        <v/>
      </c>
      <c r="AW84" s="1399">
        <f>AW$82/AW426</f>
        <v/>
      </c>
      <c r="AX84" s="1399">
        <f>AX$82/AX426</f>
        <v/>
      </c>
      <c r="AY84" s="1399">
        <f>AY$82/AY426</f>
        <v/>
      </c>
      <c r="AZ84" s="1398">
        <f>AZ$82/AZ426</f>
        <v/>
      </c>
      <c r="BA84" s="1399">
        <f>BA$82/BA426</f>
        <v/>
      </c>
      <c r="BB84" s="1399">
        <f>BB$82/BB426</f>
        <v/>
      </c>
      <c r="BC84" s="1399">
        <f>BC$82/BC426</f>
        <v/>
      </c>
      <c r="BD84" s="1399">
        <f>BD$82/BD426</f>
        <v/>
      </c>
      <c r="BE84" s="1398">
        <f>BE$82/BE426</f>
        <v/>
      </c>
      <c r="BF84" s="1399">
        <f>BF$82/BF426</f>
        <v/>
      </c>
      <c r="BG84" s="1399">
        <f>BG$82/BG426</f>
        <v/>
      </c>
      <c r="BH84" s="1399">
        <f>BH$82/BH426</f>
        <v/>
      </c>
      <c r="BI84" s="1399">
        <f>BI$82/BI426</f>
        <v/>
      </c>
      <c r="BJ84" s="1398">
        <f>BJ$82/BJ426</f>
        <v/>
      </c>
      <c r="BK84" s="1399">
        <f>BK$82/BK426</f>
        <v/>
      </c>
      <c r="BL84" s="1399">
        <f>BL$82/BL426</f>
        <v/>
      </c>
      <c r="BM84" s="1399">
        <f>BM$82/BM426</f>
        <v/>
      </c>
      <c r="BN84" s="1399">
        <f>BN$82/BN426</f>
        <v/>
      </c>
      <c r="BO84" s="1400">
        <f>BO$82/BO426</f>
        <v/>
      </c>
      <c r="BP84" s="1399" t="n"/>
      <c r="BQ84" s="1399" t="n"/>
      <c r="BR84" s="1399" t="n"/>
      <c r="BS84" s="1399" t="n"/>
      <c r="BT84" s="1398" t="n"/>
      <c r="BU84" s="1399" t="n"/>
      <c r="BV84" s="1399" t="n"/>
      <c r="BW84" s="1399" t="n"/>
      <c r="BX84" s="1399" t="n"/>
      <c r="BY84" s="1398" t="n"/>
      <c r="BZ84" s="1398" t="n"/>
      <c r="CA84" s="1398" t="n"/>
      <c r="CB84" s="1398" t="n"/>
      <c r="CC84" s="1399" t="n"/>
    </row>
    <row r="85" hidden="1" outlineLevel="2" ht="14.4" customFormat="1" customHeight="1" s="1275">
      <c r="A85" s="1383" t="n"/>
      <c r="B85" s="1296" t="n"/>
      <c r="C85" s="1297" t="n"/>
      <c r="D85" s="1297" t="n"/>
      <c r="E85" s="1297" t="n"/>
      <c r="F85" s="1297" t="n"/>
      <c r="G85" s="1297" t="n"/>
      <c r="H85" s="1277" t="n"/>
      <c r="I85" s="1277" t="n"/>
      <c r="J85" s="1277" t="n"/>
      <c r="K85" s="1277" t="n"/>
      <c r="L85" s="1297" t="n"/>
      <c r="M85" s="1277" t="n"/>
      <c r="N85" s="1277" t="n"/>
      <c r="O85" s="1277" t="n"/>
      <c r="P85" s="1277" t="n"/>
      <c r="Q85" s="1297" t="n"/>
      <c r="R85" s="1277" t="n"/>
      <c r="S85" s="1277" t="n"/>
      <c r="T85" s="1277" t="n"/>
      <c r="U85" s="1277" t="n"/>
      <c r="V85" s="1297" t="n"/>
      <c r="W85" s="1277" t="n"/>
      <c r="X85" s="1277" t="n"/>
      <c r="Y85" s="1277" t="n"/>
      <c r="Z85" s="1277" t="n"/>
      <c r="AA85" s="1297" t="n"/>
      <c r="AB85" s="1277" t="n"/>
      <c r="AC85" s="1277" t="n"/>
      <c r="AD85" s="1277" t="n"/>
      <c r="AE85" s="1277" t="n"/>
      <c r="AF85" s="1297" t="n"/>
      <c r="AG85" s="1277" t="n"/>
      <c r="AH85" s="1277" t="n"/>
      <c r="AI85" s="1277" t="n"/>
      <c r="AJ85" s="1277" t="n"/>
      <c r="AK85" s="1297" t="n"/>
      <c r="AL85" s="1277" t="n"/>
      <c r="AM85" s="1277" t="n"/>
      <c r="AN85" s="1277" t="n"/>
      <c r="AO85" s="1277" t="n"/>
      <c r="AP85" s="1297" t="n"/>
      <c r="AQ85" s="1277" t="n"/>
      <c r="AR85" s="1277" t="n"/>
      <c r="AS85" s="1277" t="n"/>
      <c r="AT85" s="1277" t="n"/>
      <c r="AU85" s="1297" t="n"/>
      <c r="AV85" s="1277" t="n"/>
      <c r="AW85" s="1277" t="n"/>
      <c r="AX85" s="1277" t="n"/>
      <c r="AY85" s="1277" t="n"/>
      <c r="AZ85" s="1297" t="n"/>
      <c r="BA85" s="1277" t="n"/>
      <c r="BB85" s="1277" t="n"/>
      <c r="BC85" s="1277" t="n"/>
      <c r="BD85" s="1277" t="n"/>
      <c r="BE85" s="1297" t="n"/>
      <c r="BF85" s="1277" t="n"/>
      <c r="BG85" s="1277" t="n"/>
      <c r="BH85" s="1277" t="n"/>
      <c r="BI85" s="1277" t="n"/>
      <c r="BJ85" s="1297" t="n"/>
      <c r="BK85" s="1277" t="n"/>
      <c r="BL85" s="1277" t="n"/>
      <c r="BM85" s="1277" t="n"/>
      <c r="BN85" s="1277" t="n"/>
      <c r="BO85" s="1382" t="n"/>
      <c r="BP85" s="1277" t="n"/>
      <c r="BQ85" s="1277" t="n"/>
      <c r="BR85" s="1277" t="n"/>
      <c r="BS85" s="1277" t="n"/>
      <c r="BT85" s="1297" t="n"/>
      <c r="BU85" s="1277" t="n"/>
      <c r="BV85" s="1277" t="n"/>
      <c r="BW85" s="1277" t="n"/>
      <c r="BX85" s="1277" t="n"/>
      <c r="BY85" s="1297" t="n"/>
      <c r="BZ85" s="1297" t="n"/>
      <c r="CA85" s="1297" t="n"/>
      <c r="CB85" s="1297" t="n"/>
      <c r="CC85" s="1280" t="n"/>
    </row>
    <row r="86" hidden="1" outlineLevel="2" ht="14.4" customFormat="1" customHeight="1" s="886">
      <c r="A86" s="874" t="inlineStr">
        <is>
          <t>Capex, bn US$</t>
        </is>
      </c>
      <c r="B86" s="869" t="n"/>
      <c r="C86" s="1042" t="n">
        <v>2.671</v>
      </c>
      <c r="D86" s="1042" t="n">
        <v>5.936</v>
      </c>
      <c r="E86" s="1042" t="n">
        <v>7.286</v>
      </c>
      <c r="F86" s="1042" t="n">
        <v>8.321999999999999</v>
      </c>
      <c r="G86" s="1042" t="n">
        <v>9.688000000000001</v>
      </c>
      <c r="H86" s="942" t="n">
        <v>3.799</v>
      </c>
      <c r="I86" s="942" t="n">
        <v>2.438</v>
      </c>
      <c r="J86" s="942" t="n">
        <v>1.605</v>
      </c>
      <c r="K86" s="942" t="n">
        <v>1.68</v>
      </c>
      <c r="L86" s="1043">
        <f>SUM(H86,I86,J86,K86)</f>
        <v/>
      </c>
      <c r="M86" s="942" t="n">
        <v>1.55</v>
      </c>
      <c r="N86" s="942" t="n">
        <v>1.742</v>
      </c>
      <c r="O86" s="942" t="n">
        <v>2.214</v>
      </c>
      <c r="P86" s="942" t="n">
        <v>2.617</v>
      </c>
      <c r="Q86" s="1043">
        <f>SUM(M86,N86,O86,P86)</f>
        <v/>
      </c>
      <c r="R86" s="942" t="n">
        <v>1.15</v>
      </c>
      <c r="S86" s="942" t="n">
        <v>2.26</v>
      </c>
      <c r="T86" s="942" t="n">
        <v>3.25</v>
      </c>
      <c r="U86" s="942" t="n">
        <v>3.53</v>
      </c>
      <c r="V86" s="1043">
        <f>SUM(R86,S86,T86,U86)</f>
        <v/>
      </c>
      <c r="W86" s="942" t="n">
        <v>3.29</v>
      </c>
      <c r="X86" s="942" t="n">
        <v>3.47</v>
      </c>
      <c r="Y86" s="942" t="n">
        <v>2.05</v>
      </c>
      <c r="Z86" s="942" t="n">
        <v>2.05</v>
      </c>
      <c r="AA86" s="1043">
        <f>SUM(W86,X86,Y86,Z86)</f>
        <v/>
      </c>
      <c r="AB86" s="942" t="n">
        <v>2.45</v>
      </c>
      <c r="AC86" s="942" t="n">
        <v>2.01</v>
      </c>
      <c r="AD86" s="942" t="n">
        <v>2.28</v>
      </c>
      <c r="AE86" s="942" t="n">
        <v>3.72</v>
      </c>
      <c r="AF86" s="1043">
        <f>SUM(AB86,AC86,AD86,AE86)</f>
        <v/>
      </c>
      <c r="AG86" s="942" t="n">
        <v>2.46</v>
      </c>
      <c r="AH86" s="942" t="n">
        <v>3.75</v>
      </c>
      <c r="AI86" s="942" t="n">
        <v>3.14</v>
      </c>
      <c r="AJ86" s="942" t="n">
        <v>5.55</v>
      </c>
      <c r="AK86" s="1043">
        <f>SUM(AG86,AH86,AI86,AJ86)</f>
        <v/>
      </c>
      <c r="AL86" s="942" t="n">
        <v>6.39</v>
      </c>
      <c r="AM86" s="942" t="n">
        <v>4.24</v>
      </c>
      <c r="AN86" s="942" t="n">
        <v>3.42</v>
      </c>
      <c r="AO86" s="942" t="n">
        <v>3.19</v>
      </c>
      <c r="AP86" s="1043">
        <f>SUM(AL86,AM86,AN86,AO86)</f>
        <v/>
      </c>
      <c r="AQ86" s="942" t="n">
        <v>8.84</v>
      </c>
      <c r="AR86" s="942" t="n">
        <v>5.97</v>
      </c>
      <c r="AS86" s="942" t="n">
        <v>6.77</v>
      </c>
      <c r="AT86" s="942" t="n">
        <v>8.460000000000001</v>
      </c>
      <c r="AU86" s="1043">
        <f>SUM(AQ86,AR86,AS86,AT86)</f>
        <v/>
      </c>
      <c r="AV86" s="942" t="n">
        <v>9.380000000000001</v>
      </c>
      <c r="AW86" s="942" t="n">
        <v>7.34</v>
      </c>
      <c r="AX86" s="942" t="n">
        <v>8.75</v>
      </c>
      <c r="AY86" s="942" t="n">
        <v>10.82</v>
      </c>
      <c r="AZ86" s="1043">
        <f>SUM(AV86,AW86,AX86,AY86)</f>
        <v/>
      </c>
      <c r="BA86" s="942" t="n">
        <v>9.94</v>
      </c>
      <c r="BB86" s="942" t="n">
        <v>8.17</v>
      </c>
      <c r="BC86" s="942" t="n">
        <v>7.1</v>
      </c>
      <c r="BD86" s="942" t="n">
        <v>5.24</v>
      </c>
      <c r="BE86" s="1043">
        <f>SUM(BA86,BB86,BC86,BD86)</f>
        <v/>
      </c>
      <c r="BF86" s="942" t="n">
        <v>5.77</v>
      </c>
      <c r="BG86" s="942" t="n">
        <v>6.36</v>
      </c>
      <c r="BH86" s="942" t="n">
        <v>6.4</v>
      </c>
      <c r="BI86" s="942" t="n">
        <v>11.23</v>
      </c>
      <c r="BJ86" s="1042" t="n">
        <v>29.76</v>
      </c>
      <c r="BK86" s="942" t="n">
        <v>10.06</v>
      </c>
      <c r="BL86" s="942" t="n">
        <v>9.630000000000001</v>
      </c>
      <c r="BM86" s="942" t="n">
        <v>9.699999999999999</v>
      </c>
      <c r="BN86" s="942" t="n">
        <v>11.51</v>
      </c>
      <c r="BO86" s="1044" t="n">
        <v>40.9</v>
      </c>
      <c r="BP86" s="871" t="n"/>
      <c r="BQ86" s="871" t="n"/>
      <c r="BR86" s="871" t="n"/>
      <c r="BS86" s="871" t="n"/>
      <c r="BT86" s="1043" t="n"/>
      <c r="BU86" s="871" t="n"/>
      <c r="BV86" s="871" t="n"/>
      <c r="BW86" s="871" t="n"/>
      <c r="BX86" s="871" t="n"/>
      <c r="BY86" s="1043" t="n"/>
      <c r="BZ86" s="1043" t="n"/>
      <c r="CA86" s="1043" t="n"/>
      <c r="CB86" s="1043" t="n"/>
      <c r="CC86" s="873" t="n"/>
    </row>
    <row r="87" hidden="1" outlineLevel="1" ht="14.4" customFormat="1" customHeight="1" s="1275">
      <c r="A87" s="1383" t="n"/>
      <c r="B87" s="1296" t="n"/>
      <c r="C87" s="1297" t="n"/>
      <c r="D87" s="1297" t="n"/>
      <c r="E87" s="1297" t="n"/>
      <c r="F87" s="1297" t="n"/>
      <c r="G87" s="1297" t="n"/>
      <c r="H87" s="1277" t="n"/>
      <c r="I87" s="1277" t="n"/>
      <c r="J87" s="1277" t="n"/>
      <c r="K87" s="1277" t="n"/>
      <c r="L87" s="1297" t="n"/>
      <c r="M87" s="1277" t="n"/>
      <c r="N87" s="1277" t="n"/>
      <c r="O87" s="1277" t="n"/>
      <c r="P87" s="1277" t="n"/>
      <c r="Q87" s="1297" t="n"/>
      <c r="R87" s="1277" t="n"/>
      <c r="S87" s="1277" t="n"/>
      <c r="T87" s="1277" t="n"/>
      <c r="U87" s="1277" t="n"/>
      <c r="V87" s="1297" t="n"/>
      <c r="W87" s="1277" t="n"/>
      <c r="X87" s="1277" t="n"/>
      <c r="Y87" s="1277" t="n"/>
      <c r="Z87" s="1277" t="n"/>
      <c r="AA87" s="1297" t="n"/>
      <c r="AB87" s="1277" t="n"/>
      <c r="AC87" s="1277" t="n"/>
      <c r="AD87" s="1277" t="n"/>
      <c r="AE87" s="1277" t="n"/>
      <c r="AF87" s="1297" t="n"/>
      <c r="AG87" s="1277" t="n"/>
      <c r="AH87" s="1277" t="n"/>
      <c r="AI87" s="1277" t="n"/>
      <c r="AJ87" s="1277" t="n"/>
      <c r="AK87" s="1297" t="n"/>
      <c r="AL87" s="1277" t="n"/>
      <c r="AM87" s="1277" t="n"/>
      <c r="AN87" s="1277" t="n"/>
      <c r="AO87" s="1277" t="n"/>
      <c r="AP87" s="1297" t="n"/>
      <c r="AQ87" s="1277" t="n"/>
      <c r="AR87" s="1277" t="n"/>
      <c r="AS87" s="1277" t="n"/>
      <c r="AT87" s="1277" t="n"/>
      <c r="AU87" s="1297" t="n"/>
      <c r="AV87" s="1277" t="n"/>
      <c r="AW87" s="1277" t="n"/>
      <c r="AX87" s="1277" t="n"/>
      <c r="AY87" s="1277" t="n"/>
      <c r="AZ87" s="1297" t="n"/>
      <c r="BA87" s="1277" t="n"/>
      <c r="BB87" s="1277" t="n"/>
      <c r="BC87" s="1277" t="n"/>
      <c r="BD87" s="1277" t="n"/>
      <c r="BE87" s="1297" t="n"/>
      <c r="BF87" s="1277" t="n"/>
      <c r="BG87" s="1277" t="n"/>
      <c r="BH87" s="1277" t="n"/>
      <c r="BI87" s="1277" t="n"/>
      <c r="BJ87" s="1297" t="n"/>
      <c r="BK87" s="1277" t="n"/>
      <c r="BL87" s="1277" t="n"/>
      <c r="BM87" s="1277" t="n"/>
      <c r="BN87" s="1277" t="n"/>
      <c r="BO87" s="1382" t="n"/>
      <c r="BP87" s="1277" t="n"/>
      <c r="BQ87" s="1277" t="n"/>
      <c r="BR87" s="1277" t="n"/>
      <c r="BS87" s="1277" t="n"/>
      <c r="BT87" s="1297" t="n"/>
      <c r="BU87" s="1277" t="n"/>
      <c r="BV87" s="1277" t="n"/>
      <c r="BW87" s="1277" t="n"/>
      <c r="BX87" s="1277" t="n"/>
      <c r="BY87" s="1297" t="n"/>
      <c r="BZ87" s="1297" t="n"/>
      <c r="CA87" s="1297" t="n"/>
      <c r="CB87" s="1297" t="n"/>
      <c r="CC87" s="1280" t="n"/>
    </row>
    <row r="88" hidden="1" outlineLevel="1" ht="14.4" customFormat="1" customHeight="1" s="1275">
      <c r="A88" s="1357" t="inlineStr">
        <is>
          <t>Key Metrics - Revenue Breakdown by Process Node (FS/IR/SI)</t>
        </is>
      </c>
      <c r="B88" s="1358" t="n"/>
      <c r="C88" s="1358" t="n"/>
      <c r="D88" s="1358" t="n"/>
      <c r="E88" s="1358" t="n"/>
      <c r="F88" s="1358" t="n"/>
      <c r="G88" s="1358" t="n"/>
      <c r="H88" s="1358" t="n"/>
      <c r="I88" s="1358" t="n"/>
      <c r="J88" s="1358" t="n"/>
      <c r="K88" s="1358" t="n"/>
      <c r="L88" s="1358" t="n"/>
      <c r="M88" s="1358" t="n"/>
      <c r="N88" s="1358" t="n"/>
      <c r="O88" s="1358" t="n"/>
      <c r="P88" s="1358" t="n"/>
      <c r="Q88" s="1358" t="n"/>
      <c r="R88" s="1358" t="n"/>
      <c r="S88" s="1358" t="n"/>
      <c r="T88" s="1358" t="n"/>
      <c r="U88" s="1358" t="n"/>
      <c r="V88" s="1358" t="n"/>
      <c r="W88" s="1358" t="n"/>
      <c r="X88" s="1358" t="n"/>
      <c r="Y88" s="1358" t="n"/>
      <c r="Z88" s="1358" t="n"/>
      <c r="AA88" s="1358" t="n"/>
      <c r="AB88" s="1358" t="n"/>
      <c r="AC88" s="1358" t="n"/>
      <c r="AD88" s="1358" t="n"/>
      <c r="AE88" s="1358" t="n"/>
      <c r="AF88" s="1358" t="n"/>
      <c r="AG88" s="1358" t="n"/>
      <c r="AH88" s="1358" t="n"/>
      <c r="AI88" s="1358" t="n"/>
      <c r="AJ88" s="1358" t="n"/>
      <c r="AK88" s="1358" t="n"/>
      <c r="AL88" s="1358" t="n"/>
      <c r="AM88" s="1358" t="n"/>
      <c r="AN88" s="1358" t="n"/>
      <c r="AO88" s="1358" t="n"/>
      <c r="AP88" s="1358" t="n"/>
      <c r="AQ88" s="1358" t="n"/>
      <c r="AR88" s="1358" t="n"/>
      <c r="AS88" s="1358" t="n"/>
      <c r="AT88" s="1358" t="n"/>
      <c r="AU88" s="1358" t="n"/>
      <c r="AV88" s="1358" t="n"/>
      <c r="AW88" s="1358" t="n"/>
      <c r="AX88" s="1358" t="n"/>
      <c r="AY88" s="1358" t="n"/>
      <c r="AZ88" s="1358" t="n"/>
      <c r="BA88" s="1358" t="n"/>
      <c r="BB88" s="1358" t="n"/>
      <c r="BC88" s="1358" t="n"/>
      <c r="BD88" s="1358" t="n"/>
      <c r="BE88" s="1358" t="n"/>
      <c r="BF88" s="1358" t="n"/>
      <c r="BG88" s="1358" t="n"/>
      <c r="BH88" s="1358" t="n"/>
      <c r="BI88" s="1358" t="n"/>
      <c r="BJ88" s="1358" t="n"/>
      <c r="BK88" s="1358" t="n"/>
      <c r="BL88" s="1358" t="n"/>
      <c r="BM88" s="1358" t="n"/>
      <c r="BN88" s="1358" t="n"/>
      <c r="BO88" s="1359" t="n"/>
      <c r="BP88" s="1358" t="n"/>
      <c r="BQ88" s="1358" t="n"/>
      <c r="BR88" s="1358" t="n"/>
      <c r="BS88" s="1358" t="n"/>
      <c r="BT88" s="1358" t="n"/>
      <c r="BU88" s="1358" t="n"/>
      <c r="BV88" s="1358" t="n"/>
      <c r="BW88" s="1358" t="n"/>
      <c r="BX88" s="1358" t="n"/>
      <c r="BY88" s="1358" t="n"/>
      <c r="BZ88" s="1358" t="n"/>
      <c r="CA88" s="1358" t="n"/>
      <c r="CB88" s="1358" t="n"/>
      <c r="CC88" s="1280" t="n"/>
    </row>
    <row r="89" hidden="1" outlineLevel="2" ht="14.4" customFormat="1" customHeight="1" s="1290">
      <c r="A89" s="1401" t="inlineStr">
        <is>
          <t>3-nanometer revenue contribution, %</t>
        </is>
      </c>
      <c r="B89" s="1368" t="n"/>
      <c r="C89" s="1369" t="n"/>
      <c r="D89" s="1369" t="n"/>
      <c r="E89" s="1369" t="n"/>
      <c r="F89" s="1369" t="n"/>
      <c r="G89" s="1369" t="n"/>
      <c r="H89" s="1370" t="n"/>
      <c r="I89" s="1370" t="n"/>
      <c r="J89" s="1370" t="n"/>
      <c r="K89" s="1370" t="n"/>
      <c r="L89" s="1369" t="n"/>
      <c r="M89" s="1370" t="n"/>
      <c r="N89" s="1370" t="n"/>
      <c r="O89" s="1370" t="n"/>
      <c r="P89" s="1370" t="n"/>
      <c r="Q89" s="1369" t="n"/>
      <c r="R89" s="1370" t="n"/>
      <c r="S89" s="1370" t="n"/>
      <c r="T89" s="1370" t="n"/>
      <c r="U89" s="1370" t="n"/>
      <c r="V89" s="1369" t="n"/>
      <c r="W89" s="1370" t="n"/>
      <c r="X89" s="1370" t="n"/>
      <c r="Y89" s="1370" t="n"/>
      <c r="Z89" s="1370" t="n"/>
      <c r="AA89" s="1369" t="n"/>
      <c r="AB89" s="1370" t="n"/>
      <c r="AC89" s="1370" t="n"/>
      <c r="AD89" s="1370" t="n"/>
      <c r="AE89" s="1370" t="n"/>
      <c r="AF89" s="1369" t="n"/>
      <c r="AG89" s="1370" t="n"/>
      <c r="AH89" s="1370" t="n"/>
      <c r="AI89" s="1370" t="n"/>
      <c r="AJ89" s="1370" t="n"/>
      <c r="AK89" s="1369" t="n"/>
      <c r="AL89" s="1370" t="n"/>
      <c r="AM89" s="1370" t="n"/>
      <c r="AN89" s="1370" t="n"/>
      <c r="AO89" s="1370" t="n"/>
      <c r="AP89" s="1369" t="n"/>
      <c r="AQ89" s="1370" t="n"/>
      <c r="AR89" s="1370" t="n"/>
      <c r="AS89" s="1370" t="n"/>
      <c r="AT89" s="1370" t="n"/>
      <c r="AU89" s="1369" t="n"/>
      <c r="AV89" s="1370" t="n"/>
      <c r="AW89" s="1370" t="n"/>
      <c r="AX89" s="1370" t="n"/>
      <c r="AY89" s="1370" t="n"/>
      <c r="AZ89" s="1369" t="n"/>
      <c r="BA89" s="1370" t="n"/>
      <c r="BB89" s="1370">
        <f>BB105/BB$119</f>
        <v/>
      </c>
      <c r="BC89" s="1370">
        <f>BC105/BC$119</f>
        <v/>
      </c>
      <c r="BD89" s="1370">
        <f>BD105/BD$119</f>
        <v/>
      </c>
      <c r="BE89" s="1369">
        <f>BE105/BE$119</f>
        <v/>
      </c>
      <c r="BF89" s="1370">
        <f>BF105/BF$119</f>
        <v/>
      </c>
      <c r="BG89" s="1370">
        <f>BG105/BG$119</f>
        <v/>
      </c>
      <c r="BH89" s="1370">
        <f>BH105/BH$119</f>
        <v/>
      </c>
      <c r="BI89" s="1370">
        <f>BI105/BI$119</f>
        <v/>
      </c>
      <c r="BJ89" s="1369">
        <f>BJ105/BJ$119</f>
        <v/>
      </c>
      <c r="BK89" s="1370">
        <f>BK105/BK$119</f>
        <v/>
      </c>
      <c r="BL89" s="1370">
        <f>BL105/BL$119</f>
        <v/>
      </c>
      <c r="BM89" s="1370">
        <f>BM105/BM$119</f>
        <v/>
      </c>
      <c r="BN89" s="1402" t="n">
        <v>0.28</v>
      </c>
      <c r="BO89" s="1371">
        <f>BO105/BO$119</f>
        <v/>
      </c>
      <c r="BP89" s="1370" t="n"/>
      <c r="BQ89" s="1370" t="n"/>
      <c r="BR89" s="1370" t="n"/>
      <c r="BS89" s="1370" t="n"/>
      <c r="BT89" s="1369" t="n"/>
      <c r="BU89" s="1370" t="n"/>
      <c r="BV89" s="1370" t="n"/>
      <c r="BW89" s="1370" t="n"/>
      <c r="BX89" s="1370" t="n"/>
      <c r="BY89" s="1369" t="n"/>
      <c r="BZ89" s="1369" t="n"/>
      <c r="CA89" s="1369" t="n"/>
      <c r="CB89" s="1369" t="n"/>
      <c r="CC89" s="1294" t="n"/>
    </row>
    <row r="90" hidden="1" outlineLevel="2" ht="14.4" customFormat="1" customHeight="1" s="1290">
      <c r="A90" s="1401" t="inlineStr">
        <is>
          <t>5-nanometer revenue contribution, %</t>
        </is>
      </c>
      <c r="B90" s="1368" t="n"/>
      <c r="C90" s="1369" t="n"/>
      <c r="D90" s="1369" t="n"/>
      <c r="E90" s="1369" t="n"/>
      <c r="F90" s="1369" t="n"/>
      <c r="G90" s="1369" t="n"/>
      <c r="H90" s="1370" t="n"/>
      <c r="I90" s="1370" t="n"/>
      <c r="J90" s="1370" t="n"/>
      <c r="K90" s="1370" t="n"/>
      <c r="L90" s="1369" t="n"/>
      <c r="M90" s="1370" t="n"/>
      <c r="N90" s="1370" t="n"/>
      <c r="O90" s="1370" t="n"/>
      <c r="P90" s="1370" t="n"/>
      <c r="Q90" s="1369" t="n"/>
      <c r="R90" s="1370" t="n"/>
      <c r="S90" s="1370" t="n"/>
      <c r="T90" s="1370" t="n"/>
      <c r="U90" s="1370" t="n"/>
      <c r="V90" s="1369" t="n"/>
      <c r="W90" s="1370" t="n"/>
      <c r="X90" s="1370" t="n"/>
      <c r="Y90" s="1370" t="n"/>
      <c r="Z90" s="1370" t="n"/>
      <c r="AA90" s="1369" t="n"/>
      <c r="AB90" s="1370" t="n"/>
      <c r="AC90" s="1370" t="n"/>
      <c r="AD90" s="1370" t="n"/>
      <c r="AE90" s="1370" t="n"/>
      <c r="AF90" s="1369" t="n"/>
      <c r="AG90" s="1370" t="n"/>
      <c r="AH90" s="1370" t="n"/>
      <c r="AI90" s="1370" t="n"/>
      <c r="AJ90" s="1370" t="n"/>
      <c r="AK90" s="1369" t="n"/>
      <c r="AL90" s="1370" t="n"/>
      <c r="AM90" s="1370" t="n"/>
      <c r="AN90" s="1294">
        <f>AN106/AN$119</f>
        <v/>
      </c>
      <c r="AO90" s="1294">
        <f>AO106/AO$119</f>
        <v/>
      </c>
      <c r="AP90" s="1403">
        <f>AP106/AP$119</f>
        <v/>
      </c>
      <c r="AQ90" s="1370">
        <f>AQ106/AQ$119</f>
        <v/>
      </c>
      <c r="AR90" s="1370">
        <f>AR106/AR$119</f>
        <v/>
      </c>
      <c r="AS90" s="1294">
        <f>AS106/AS$119</f>
        <v/>
      </c>
      <c r="AT90" s="1294">
        <f>AT106/AT$119</f>
        <v/>
      </c>
      <c r="AU90" s="1403">
        <f>AU106/AU$119</f>
        <v/>
      </c>
      <c r="AV90" s="1370">
        <f>AV106/AV$119</f>
        <v/>
      </c>
      <c r="AW90" s="1370">
        <f>AW106/AW$119</f>
        <v/>
      </c>
      <c r="AX90" s="1294">
        <f>AX106/AX$119</f>
        <v/>
      </c>
      <c r="AY90" s="1294">
        <f>AY106/AY$119</f>
        <v/>
      </c>
      <c r="AZ90" s="1403">
        <f>AZ106/AZ$119</f>
        <v/>
      </c>
      <c r="BA90" s="1370">
        <f>BA106/BA$119</f>
        <v/>
      </c>
      <c r="BB90" s="1370">
        <f>BB106/BB$119</f>
        <v/>
      </c>
      <c r="BC90" s="1294">
        <f>BC106/BC$119</f>
        <v/>
      </c>
      <c r="BD90" s="1294">
        <f>BD106/BD$119</f>
        <v/>
      </c>
      <c r="BE90" s="1403">
        <f>BE106/BE$119</f>
        <v/>
      </c>
      <c r="BF90" s="1370">
        <f>BF106/BF$119</f>
        <v/>
      </c>
      <c r="BG90" s="1370">
        <f>BG106/BG$119</f>
        <v/>
      </c>
      <c r="BH90" s="1294">
        <f>BH106/BH$119</f>
        <v/>
      </c>
      <c r="BI90" s="1294">
        <f>BI106/BI$119</f>
        <v/>
      </c>
      <c r="BJ90" s="1403">
        <f>BJ106/BJ$119</f>
        <v/>
      </c>
      <c r="BK90" s="1370">
        <f>BK106/BK$119</f>
        <v/>
      </c>
      <c r="BL90" s="1370">
        <f>BL106/BL$119</f>
        <v/>
      </c>
      <c r="BM90" s="1370">
        <f>BM106/BM$119</f>
        <v/>
      </c>
      <c r="BN90" s="1402" t="n">
        <v>0.35</v>
      </c>
      <c r="BO90" s="1404">
        <f>BO106/BO$119</f>
        <v/>
      </c>
      <c r="BP90" s="1370" t="n"/>
      <c r="BQ90" s="1370" t="n"/>
      <c r="BR90" s="1370" t="n"/>
      <c r="BS90" s="1370" t="n"/>
      <c r="BT90" s="1369" t="n"/>
      <c r="BU90" s="1370" t="n"/>
      <c r="BV90" s="1370" t="n"/>
      <c r="BW90" s="1370" t="n"/>
      <c r="BX90" s="1370" t="n"/>
      <c r="BY90" s="1369" t="n"/>
      <c r="BZ90" s="1369" t="n"/>
      <c r="CA90" s="1369" t="n"/>
      <c r="CB90" s="1369" t="n"/>
      <c r="CC90" s="1294" t="n"/>
    </row>
    <row r="91" hidden="1" outlineLevel="2" ht="14.4" customFormat="1" customHeight="1" s="1290">
      <c r="A91" s="1401" t="inlineStr">
        <is>
          <t>7-nanometer revenue contribution, %</t>
        </is>
      </c>
      <c r="B91" s="1368" t="n"/>
      <c r="C91" s="1369" t="n"/>
      <c r="D91" s="1369" t="n"/>
      <c r="E91" s="1369" t="n"/>
      <c r="F91" s="1369" t="n"/>
      <c r="G91" s="1369" t="n"/>
      <c r="H91" s="1402" t="inlineStr">
        <is>
          <t>-</t>
        </is>
      </c>
      <c r="I91" s="1402" t="inlineStr">
        <is>
          <t>-</t>
        </is>
      </c>
      <c r="J91" s="1402" t="inlineStr">
        <is>
          <t>-</t>
        </is>
      </c>
      <c r="K91" s="1402" t="inlineStr">
        <is>
          <t>-</t>
        </is>
      </c>
      <c r="L91" s="1369" t="n"/>
      <c r="M91" s="1402" t="inlineStr">
        <is>
          <t>-</t>
        </is>
      </c>
      <c r="N91" s="1402" t="inlineStr">
        <is>
          <t>-</t>
        </is>
      </c>
      <c r="O91" s="1402" t="inlineStr">
        <is>
          <t>-</t>
        </is>
      </c>
      <c r="P91" s="1402" t="inlineStr">
        <is>
          <t>-</t>
        </is>
      </c>
      <c r="Q91" s="1369" t="n"/>
      <c r="R91" s="1402" t="inlineStr">
        <is>
          <t>-</t>
        </is>
      </c>
      <c r="S91" s="1402" t="inlineStr">
        <is>
          <t>-</t>
        </is>
      </c>
      <c r="T91" s="1402" t="inlineStr">
        <is>
          <t>-</t>
        </is>
      </c>
      <c r="U91" s="1402" t="inlineStr">
        <is>
          <t>-</t>
        </is>
      </c>
      <c r="V91" s="1369" t="n"/>
      <c r="W91" s="1402" t="inlineStr">
        <is>
          <t>-</t>
        </is>
      </c>
      <c r="X91" s="1402" t="inlineStr">
        <is>
          <t>-</t>
        </is>
      </c>
      <c r="Y91" s="1402" t="inlineStr">
        <is>
          <t>-</t>
        </is>
      </c>
      <c r="Z91" s="1402" t="inlineStr">
        <is>
          <t>-</t>
        </is>
      </c>
      <c r="AA91" s="1369" t="n"/>
      <c r="AB91" s="1294">
        <f>AB107/AB$119</f>
        <v/>
      </c>
      <c r="AC91" s="1294">
        <f>AC107/AC$119</f>
        <v/>
      </c>
      <c r="AD91" s="1294">
        <f>AD107/AD$119</f>
        <v/>
      </c>
      <c r="AE91" s="1294">
        <f>AE107/AE$119</f>
        <v/>
      </c>
      <c r="AF91" s="1403">
        <f>AF107/AF$119</f>
        <v/>
      </c>
      <c r="AG91" s="1294">
        <f>AG107/AG$119</f>
        <v/>
      </c>
      <c r="AH91" s="1294">
        <f>AH107/AH$119</f>
        <v/>
      </c>
      <c r="AI91" s="1294">
        <f>AI107/AI$119</f>
        <v/>
      </c>
      <c r="AJ91" s="1294">
        <f>AJ107/AJ$119</f>
        <v/>
      </c>
      <c r="AK91" s="1403">
        <f>AK107/AK$119</f>
        <v/>
      </c>
      <c r="AL91" s="1294">
        <f>AL107/AL$119</f>
        <v/>
      </c>
      <c r="AM91" s="1294">
        <f>AM107/AM$119</f>
        <v/>
      </c>
      <c r="AN91" s="1294">
        <f>AN107/AN$119</f>
        <v/>
      </c>
      <c r="AO91" s="1294">
        <f>AO107/AO$119</f>
        <v/>
      </c>
      <c r="AP91" s="1403">
        <f>AP107/AP$119</f>
        <v/>
      </c>
      <c r="AQ91" s="1294">
        <f>AQ107/AQ$119</f>
        <v/>
      </c>
      <c r="AR91" s="1294">
        <f>AR107/AR$119</f>
        <v/>
      </c>
      <c r="AS91" s="1294">
        <f>AS107/AS$119</f>
        <v/>
      </c>
      <c r="AT91" s="1294">
        <f>AT107/AT$119</f>
        <v/>
      </c>
      <c r="AU91" s="1403">
        <f>AU107/AU$119</f>
        <v/>
      </c>
      <c r="AV91" s="1294">
        <f>AV107/AV$119</f>
        <v/>
      </c>
      <c r="AW91" s="1294">
        <f>AW107/AW$119</f>
        <v/>
      </c>
      <c r="AX91" s="1294">
        <f>AX107/AX$119</f>
        <v/>
      </c>
      <c r="AY91" s="1294">
        <f>AY107/AY$119</f>
        <v/>
      </c>
      <c r="AZ91" s="1403">
        <f>AZ107/AZ$119</f>
        <v/>
      </c>
      <c r="BA91" s="1294">
        <f>BA107/BA$119</f>
        <v/>
      </c>
      <c r="BB91" s="1294">
        <f>BB107/BB$119</f>
        <v/>
      </c>
      <c r="BC91" s="1294">
        <f>BC107/BC$119</f>
        <v/>
      </c>
      <c r="BD91" s="1294">
        <f>BD107/BD$119</f>
        <v/>
      </c>
      <c r="BE91" s="1403">
        <f>BE107/BE$119</f>
        <v/>
      </c>
      <c r="BF91" s="1370">
        <f>BF107/BF$119</f>
        <v/>
      </c>
      <c r="BG91" s="1370">
        <f>BG107/BG$119</f>
        <v/>
      </c>
      <c r="BH91" s="1294">
        <f>BH107/BH$119</f>
        <v/>
      </c>
      <c r="BI91" s="1294">
        <f>BI107/BI$119</f>
        <v/>
      </c>
      <c r="BJ91" s="1403">
        <f>BJ107/BJ$119</f>
        <v/>
      </c>
      <c r="BK91" s="1370">
        <f>BK107/BK$119</f>
        <v/>
      </c>
      <c r="BL91" s="1370">
        <f>BL107/BL$119</f>
        <v/>
      </c>
      <c r="BM91" s="1370">
        <f>BM107/BM$119</f>
        <v/>
      </c>
      <c r="BN91" s="1402" t="n">
        <v>0.14</v>
      </c>
      <c r="BO91" s="1404">
        <f>BO107/BO$119</f>
        <v/>
      </c>
      <c r="BP91" s="1370" t="n"/>
      <c r="BQ91" s="1370" t="n"/>
      <c r="BR91" s="1370" t="n"/>
      <c r="BS91" s="1370" t="n"/>
      <c r="BT91" s="1369" t="n"/>
      <c r="BU91" s="1370" t="n"/>
      <c r="BV91" s="1370" t="n"/>
      <c r="BW91" s="1370" t="n"/>
      <c r="BX91" s="1370" t="n"/>
      <c r="BY91" s="1369" t="n"/>
      <c r="BZ91" s="1369" t="n"/>
      <c r="CA91" s="1369" t="n"/>
      <c r="CB91" s="1369" t="n"/>
      <c r="CC91" s="1294" t="n"/>
    </row>
    <row r="92" hidden="1" outlineLevel="2" ht="14.4" customFormat="1" customHeight="1" s="1290">
      <c r="A92" s="1401" t="inlineStr">
        <is>
          <t>10-nanometer revenue contribution, %</t>
        </is>
      </c>
      <c r="B92" s="1368" t="n"/>
      <c r="C92" s="1369" t="n"/>
      <c r="D92" s="1369" t="n"/>
      <c r="E92" s="1369" t="n"/>
      <c r="F92" s="1369" t="n"/>
      <c r="G92" s="1369" t="n"/>
      <c r="H92" s="1402" t="inlineStr">
        <is>
          <t>-</t>
        </is>
      </c>
      <c r="I92" s="1402" t="inlineStr">
        <is>
          <t>-</t>
        </is>
      </c>
      <c r="J92" s="1402" t="inlineStr">
        <is>
          <t>-</t>
        </is>
      </c>
      <c r="K92" s="1402" t="inlineStr">
        <is>
          <t>-</t>
        </is>
      </c>
      <c r="L92" s="1369" t="n"/>
      <c r="M92" s="1402" t="inlineStr">
        <is>
          <t>-</t>
        </is>
      </c>
      <c r="N92" s="1402" t="inlineStr">
        <is>
          <t>-</t>
        </is>
      </c>
      <c r="O92" s="1402" t="inlineStr">
        <is>
          <t>-</t>
        </is>
      </c>
      <c r="P92" s="1402" t="inlineStr">
        <is>
          <t>-</t>
        </is>
      </c>
      <c r="Q92" s="1369" t="n"/>
      <c r="R92" s="1402" t="inlineStr">
        <is>
          <t>-</t>
        </is>
      </c>
      <c r="S92" s="1402" t="inlineStr">
        <is>
          <t>-</t>
        </is>
      </c>
      <c r="T92" s="1402" t="inlineStr">
        <is>
          <t>-</t>
        </is>
      </c>
      <c r="U92" s="1402" t="inlineStr">
        <is>
          <t>-</t>
        </is>
      </c>
      <c r="V92" s="1369" t="n"/>
      <c r="W92" s="1402" t="inlineStr">
        <is>
          <t>-</t>
        </is>
      </c>
      <c r="X92" s="1402" t="n">
        <v>0.01</v>
      </c>
      <c r="Y92" s="1402" t="n">
        <v>0.1</v>
      </c>
      <c r="Z92" s="1402" t="n">
        <v>0.25</v>
      </c>
      <c r="AA92" s="1405" t="n">
        <v>0.1</v>
      </c>
      <c r="AB92" s="1294">
        <f>AB108/AB$119</f>
        <v/>
      </c>
      <c r="AC92" s="1294">
        <f>AC108/AC$119</f>
        <v/>
      </c>
      <c r="AD92" s="1294">
        <f>AD108/AD$119</f>
        <v/>
      </c>
      <c r="AE92" s="1294">
        <f>AE108/AE$119</f>
        <v/>
      </c>
      <c r="AF92" s="1403">
        <f>AF108/AF$119</f>
        <v/>
      </c>
      <c r="AG92" s="1294">
        <f>AG108/AG$119</f>
        <v/>
      </c>
      <c r="AH92" s="1294">
        <f>AH108/AH$119</f>
        <v/>
      </c>
      <c r="AI92" s="1294">
        <f>AI108/AI$119</f>
        <v/>
      </c>
      <c r="AJ92" s="1294">
        <f>AJ108/AJ$119</f>
        <v/>
      </c>
      <c r="AK92" s="1403">
        <f>AK108/AK$119</f>
        <v/>
      </c>
      <c r="AL92" s="1294">
        <f>AL108/AL$119</f>
        <v/>
      </c>
      <c r="AM92" s="1294">
        <f>AM108/AM$119</f>
        <v/>
      </c>
      <c r="AN92" s="1294">
        <f>AN108/AN$119</f>
        <v/>
      </c>
      <c r="AO92" s="1294">
        <f>AO108/AO$119</f>
        <v/>
      </c>
      <c r="AP92" s="1403">
        <f>AP108/AP$119</f>
        <v/>
      </c>
      <c r="AQ92" s="1294">
        <f>AQ108/AQ$119</f>
        <v/>
      </c>
      <c r="AR92" s="1294">
        <f>AR108/AR$119</f>
        <v/>
      </c>
      <c r="AS92" s="1294">
        <f>AS108/AS$119</f>
        <v/>
      </c>
      <c r="AT92" s="1294">
        <f>AT108/AT$119</f>
        <v/>
      </c>
      <c r="AU92" s="1403">
        <f>AU108/AU$119</f>
        <v/>
      </c>
      <c r="AV92" s="1294">
        <f>AV108/AV$119</f>
        <v/>
      </c>
      <c r="AW92" s="1370">
        <f>AW108/AW$119</f>
        <v/>
      </c>
      <c r="AX92" s="1294">
        <f>AX108/AX$119</f>
        <v/>
      </c>
      <c r="AY92" s="1294">
        <f>AY108/AY$119</f>
        <v/>
      </c>
      <c r="AZ92" s="1403">
        <f>AZ108/AZ$119</f>
        <v/>
      </c>
      <c r="BA92" s="1294">
        <f>BA108/BA$119</f>
        <v/>
      </c>
      <c r="BB92" s="1370">
        <f>BB108/BB$119</f>
        <v/>
      </c>
      <c r="BC92" s="1370">
        <f>BC108/BC$119</f>
        <v/>
      </c>
      <c r="BD92" s="1294">
        <f>BD108/BD$119</f>
        <v/>
      </c>
      <c r="BE92" s="1403">
        <f>BE108/BE$119</f>
        <v/>
      </c>
      <c r="BF92" s="1370">
        <f>BF108/BF$119</f>
        <v/>
      </c>
      <c r="BG92" s="1370">
        <f>BG108/BG$119</f>
        <v/>
      </c>
      <c r="BH92" s="1370">
        <f>BH108/BH$119</f>
        <v/>
      </c>
      <c r="BI92" s="1370">
        <f>BI108/BI$119</f>
        <v/>
      </c>
      <c r="BJ92" s="1403">
        <f>BJ108/BJ$119</f>
        <v/>
      </c>
      <c r="BK92" s="1370">
        <f>BK108/BK$119</f>
        <v/>
      </c>
      <c r="BL92" s="1370">
        <f>BL108/BL$119</f>
        <v/>
      </c>
      <c r="BM92" s="1370">
        <f>BM108/BM$119</f>
        <v/>
      </c>
      <c r="BN92" s="1402" t="n">
        <v>0</v>
      </c>
      <c r="BO92" s="1404">
        <f>BO108/BO$119</f>
        <v/>
      </c>
      <c r="BP92" s="1370" t="n"/>
      <c r="BQ92" s="1370" t="n"/>
      <c r="BR92" s="1370" t="n"/>
      <c r="BS92" s="1370" t="n"/>
      <c r="BT92" s="1369" t="n"/>
      <c r="BU92" s="1370" t="n"/>
      <c r="BV92" s="1370" t="n"/>
      <c r="BW92" s="1370" t="n"/>
      <c r="BX92" s="1370" t="n"/>
      <c r="BY92" s="1369" t="n"/>
      <c r="BZ92" s="1369" t="n"/>
      <c r="CA92" s="1369" t="n"/>
      <c r="CB92" s="1369" t="n"/>
      <c r="CC92" s="1294" t="n"/>
    </row>
    <row r="93" hidden="1" outlineLevel="2" ht="14.4" customFormat="1" customHeight="1" s="1290">
      <c r="A93" s="1406" t="inlineStr">
        <is>
          <t>16-nanometer revenue contribution, %</t>
        </is>
      </c>
      <c r="B93" s="1368" t="n"/>
      <c r="C93" s="1369" t="n"/>
      <c r="D93" s="1369" t="n"/>
      <c r="E93" s="1369" t="n"/>
      <c r="F93" s="1369" t="n"/>
      <c r="G93" s="1369" t="n"/>
      <c r="H93" s="1370" t="n"/>
      <c r="I93" s="1370" t="n"/>
      <c r="J93" s="1370" t="n"/>
      <c r="K93" s="1370" t="n"/>
      <c r="L93" s="1369" t="n"/>
      <c r="M93" s="1370" t="n"/>
      <c r="N93" s="1370" t="n"/>
      <c r="O93" s="1370" t="n"/>
      <c r="P93" s="1370" t="n"/>
      <c r="Q93" s="1369" t="n"/>
      <c r="R93" s="1370" t="n"/>
      <c r="S93" s="1370" t="n"/>
      <c r="T93" s="1370" t="n"/>
      <c r="U93" s="1370" t="n"/>
      <c r="V93" s="1369" t="n"/>
      <c r="W93" s="1370" t="n"/>
      <c r="X93" s="1370" t="n"/>
      <c r="Y93" s="1370" t="n"/>
      <c r="Z93" s="1370" t="n"/>
      <c r="AA93" s="1369" t="n"/>
      <c r="AB93" s="1370" t="n"/>
      <c r="AC93" s="1370" t="n"/>
      <c r="AD93" s="1370" t="n"/>
      <c r="AE93" s="1370" t="n"/>
      <c r="AF93" s="1369" t="n"/>
      <c r="AG93" s="1370" t="n"/>
      <c r="AH93" s="1370" t="n"/>
      <c r="AI93" s="1370" t="n"/>
      <c r="AJ93" s="1370" t="n"/>
      <c r="AK93" s="1369" t="n"/>
      <c r="AL93" s="1370" t="n"/>
      <c r="AM93" s="1370" t="n"/>
      <c r="AN93" s="1370" t="n"/>
      <c r="AO93" s="1370" t="n"/>
      <c r="AP93" s="1369" t="n"/>
      <c r="AQ93" s="1294">
        <f>AQ109/AQ$119</f>
        <v/>
      </c>
      <c r="AR93" s="1294">
        <f>AR109/AR$119</f>
        <v/>
      </c>
      <c r="AS93" s="1294">
        <f>AS109/AS$119</f>
        <v/>
      </c>
      <c r="AT93" s="1294">
        <f>AT109/AT$119</f>
        <v/>
      </c>
      <c r="AU93" s="1403">
        <f>AU109/AU$119</f>
        <v/>
      </c>
      <c r="AV93" s="1294">
        <f>AV109/AV$119</f>
        <v/>
      </c>
      <c r="AW93" s="1294">
        <f>AW109/AW$119</f>
        <v/>
      </c>
      <c r="AX93" s="1294">
        <f>AX109/AX$119</f>
        <v/>
      </c>
      <c r="AY93" s="1294">
        <f>AY109/AY$119</f>
        <v/>
      </c>
      <c r="AZ93" s="1403">
        <f>AZ109/AZ$119</f>
        <v/>
      </c>
      <c r="BA93" s="1294">
        <f>BA109/BA$119</f>
        <v/>
      </c>
      <c r="BB93" s="1294">
        <f>BB109/BB$119</f>
        <v/>
      </c>
      <c r="BC93" s="1294">
        <f>BC109/BC$119</f>
        <v/>
      </c>
      <c r="BD93" s="1294">
        <f>BD109/BD$119</f>
        <v/>
      </c>
      <c r="BE93" s="1403">
        <f>BE109/BE$119</f>
        <v/>
      </c>
      <c r="BF93" s="1370">
        <f>BF109/BF$119</f>
        <v/>
      </c>
      <c r="BG93" s="1370">
        <f>BG109/BG$119</f>
        <v/>
      </c>
      <c r="BH93" s="1294">
        <f>BH109/BH$119</f>
        <v/>
      </c>
      <c r="BI93" s="1294">
        <f>BI109/BI$119</f>
        <v/>
      </c>
      <c r="BJ93" s="1403">
        <f>BJ109/BJ$119</f>
        <v/>
      </c>
      <c r="BK93" s="1370">
        <f>BK109/BK$119</f>
        <v/>
      </c>
      <c r="BL93" s="1370">
        <f>BL109/BL$119</f>
        <v/>
      </c>
      <c r="BM93" s="1370">
        <f>BM109/BM$119</f>
        <v/>
      </c>
      <c r="BN93" s="1402" t="n">
        <v>0.058</v>
      </c>
      <c r="BO93" s="1404">
        <f>BO109/BO$119</f>
        <v/>
      </c>
      <c r="BP93" s="1370" t="n"/>
      <c r="BQ93" s="1370" t="n"/>
      <c r="BR93" s="1370" t="n"/>
      <c r="BS93" s="1370" t="n"/>
      <c r="BT93" s="1369" t="n"/>
      <c r="BU93" s="1370" t="n"/>
      <c r="BV93" s="1370" t="n"/>
      <c r="BW93" s="1370" t="n"/>
      <c r="BX93" s="1370" t="n"/>
      <c r="BY93" s="1369" t="n"/>
      <c r="BZ93" s="1369" t="n"/>
      <c r="CA93" s="1369" t="n"/>
      <c r="CB93" s="1369" t="n"/>
      <c r="CC93" s="1294" t="n"/>
    </row>
    <row r="94" hidden="1" outlineLevel="2" ht="14.4" customFormat="1" customHeight="1" s="1290">
      <c r="A94" s="1407" t="inlineStr">
        <is>
          <t>20-nanometer revenue contribution, %</t>
        </is>
      </c>
      <c r="B94" s="1408" t="n"/>
      <c r="C94" s="1409" t="n"/>
      <c r="D94" s="1409" t="n"/>
      <c r="E94" s="1409" t="n"/>
      <c r="F94" s="1409" t="n"/>
      <c r="G94" s="1409" t="n"/>
      <c r="H94" s="1410" t="n"/>
      <c r="I94" s="1410" t="n"/>
      <c r="J94" s="1410" t="n"/>
      <c r="K94" s="1410" t="n"/>
      <c r="L94" s="1409" t="n"/>
      <c r="M94" s="1410" t="n"/>
      <c r="N94" s="1410" t="n"/>
      <c r="O94" s="1410" t="n"/>
      <c r="P94" s="1410" t="n"/>
      <c r="Q94" s="1409" t="n"/>
      <c r="R94" s="1410" t="n"/>
      <c r="S94" s="1410" t="n"/>
      <c r="T94" s="1410" t="n"/>
      <c r="U94" s="1410" t="n"/>
      <c r="V94" s="1409" t="n"/>
      <c r="W94" s="1410" t="n"/>
      <c r="X94" s="1410" t="n"/>
      <c r="Y94" s="1410" t="n"/>
      <c r="Z94" s="1410" t="n"/>
      <c r="AA94" s="1409" t="n"/>
      <c r="AB94" s="1410" t="n"/>
      <c r="AC94" s="1410" t="n"/>
      <c r="AD94" s="1410" t="n"/>
      <c r="AE94" s="1410" t="n"/>
      <c r="AF94" s="1409" t="n"/>
      <c r="AG94" s="1410" t="n"/>
      <c r="AH94" s="1410" t="n"/>
      <c r="AI94" s="1410" t="n"/>
      <c r="AJ94" s="1410" t="n"/>
      <c r="AK94" s="1409" t="n"/>
      <c r="AL94" s="1410" t="n"/>
      <c r="AM94" s="1410" t="n"/>
      <c r="AN94" s="1410" t="n"/>
      <c r="AO94" s="1410" t="n"/>
      <c r="AP94" s="1409" t="n"/>
      <c r="AQ94" s="1411">
        <f>AQ110/AQ$119</f>
        <v/>
      </c>
      <c r="AR94" s="1411">
        <f>AR110/AR$119</f>
        <v/>
      </c>
      <c r="AS94" s="1411">
        <f>AS110/AS$119</f>
        <v/>
      </c>
      <c r="AT94" s="1411">
        <f>AT110/AT$119</f>
        <v/>
      </c>
      <c r="AU94" s="1412">
        <f>AU110/AU$119</f>
        <v/>
      </c>
      <c r="AV94" s="1411">
        <f>AV110/AV$119</f>
        <v/>
      </c>
      <c r="AW94" s="1410">
        <f>AW110/AW$119</f>
        <v/>
      </c>
      <c r="AX94" s="1411">
        <f>AX110/AX$119</f>
        <v/>
      </c>
      <c r="AY94" s="1411">
        <f>AY110/AY$119</f>
        <v/>
      </c>
      <c r="AZ94" s="1412">
        <f>AZ110/AZ$119</f>
        <v/>
      </c>
      <c r="BA94" s="1411">
        <f>BA110/BA$119</f>
        <v/>
      </c>
      <c r="BB94" s="1410">
        <f>BB110/BB$119</f>
        <v/>
      </c>
      <c r="BC94" s="1411">
        <f>BC110/BC$119</f>
        <v/>
      </c>
      <c r="BD94" s="1411">
        <f>BD110/BD$119</f>
        <v/>
      </c>
      <c r="BE94" s="1412">
        <f>BE110/BE$119</f>
        <v/>
      </c>
      <c r="BF94" s="1410">
        <f>BF110/BF$119</f>
        <v/>
      </c>
      <c r="BG94" s="1410">
        <f>BG110/BG$119</f>
        <v/>
      </c>
      <c r="BH94" s="1411">
        <f>BH110/BH$119</f>
        <v/>
      </c>
      <c r="BI94" s="1411">
        <f>BI110/BI$119</f>
        <v/>
      </c>
      <c r="BJ94" s="1412">
        <f>BJ110/BJ$119</f>
        <v/>
      </c>
      <c r="BK94" s="1410">
        <f>BK110/BK$119</f>
        <v/>
      </c>
      <c r="BL94" s="1410">
        <f>BL110/BL$119</f>
        <v/>
      </c>
      <c r="BM94" s="1410">
        <f>BM110/BM$119</f>
        <v/>
      </c>
      <c r="BN94" s="1413" t="n">
        <v>0.002</v>
      </c>
      <c r="BO94" s="1414">
        <f>BO110/BO$119</f>
        <v/>
      </c>
      <c r="BP94" s="1410" t="n"/>
      <c r="BQ94" s="1410" t="n"/>
      <c r="BR94" s="1410" t="n"/>
      <c r="BS94" s="1410" t="n"/>
      <c r="BT94" s="1409" t="n"/>
      <c r="BU94" s="1410" t="n"/>
      <c r="BV94" s="1410" t="n"/>
      <c r="BW94" s="1410" t="n"/>
      <c r="BX94" s="1410" t="n"/>
      <c r="BY94" s="1409" t="n"/>
      <c r="BZ94" s="1409" t="n"/>
      <c r="CA94" s="1409" t="n"/>
      <c r="CB94" s="1409" t="n"/>
      <c r="CC94" s="1294" t="n"/>
    </row>
    <row r="95" hidden="1" outlineLevel="2" ht="14.4" customFormat="1" customHeight="1" s="1290">
      <c r="A95" s="1401" t="inlineStr">
        <is>
          <t>16/20-nanometer revenue contribution, %</t>
        </is>
      </c>
      <c r="B95" s="1368" t="n"/>
      <c r="C95" s="1369" t="n"/>
      <c r="D95" s="1369" t="n"/>
      <c r="E95" s="1369" t="n"/>
      <c r="F95" s="1369" t="n"/>
      <c r="G95" s="1369" t="n"/>
      <c r="H95" s="1402" t="inlineStr">
        <is>
          <t>-</t>
        </is>
      </c>
      <c r="I95" s="1402" t="inlineStr">
        <is>
          <t>-</t>
        </is>
      </c>
      <c r="J95" s="1402" t="n">
        <v>0.09</v>
      </c>
      <c r="K95" s="1402" t="n">
        <v>0.21</v>
      </c>
      <c r="L95" s="1405" t="n">
        <v>0.09</v>
      </c>
      <c r="M95" s="1402" t="n">
        <v>0.16</v>
      </c>
      <c r="N95" s="1402" t="n">
        <v>0.2</v>
      </c>
      <c r="O95" s="1402" t="n">
        <v>0.21</v>
      </c>
      <c r="P95" s="1402" t="n">
        <v>0.24</v>
      </c>
      <c r="Q95" s="1405" t="n">
        <v>0.2</v>
      </c>
      <c r="R95" s="1402" t="n">
        <v>0.23</v>
      </c>
      <c r="S95" s="1402" t="n">
        <v>0.23</v>
      </c>
      <c r="T95" s="1402" t="n">
        <v>0.31</v>
      </c>
      <c r="U95" s="1402" t="n">
        <v>0.33</v>
      </c>
      <c r="V95" s="1405" t="n">
        <v>0.28</v>
      </c>
      <c r="W95" s="1402" t="n">
        <v>0.31</v>
      </c>
      <c r="X95" s="1402" t="n">
        <v>0.26</v>
      </c>
      <c r="Y95" s="1402" t="n">
        <v>0.24</v>
      </c>
      <c r="Z95" s="1402" t="n">
        <v>0.2</v>
      </c>
      <c r="AA95" s="1405" t="n">
        <v>0.25</v>
      </c>
      <c r="AB95" s="1294">
        <f>AB109/AB$119</f>
        <v/>
      </c>
      <c r="AC95" s="1294">
        <f>AC109/AC$119</f>
        <v/>
      </c>
      <c r="AD95" s="1294">
        <f>AD109/AD$119</f>
        <v/>
      </c>
      <c r="AE95" s="1294">
        <f>AE109/AE$119</f>
        <v/>
      </c>
      <c r="AF95" s="1403">
        <f>AF109/AF$119</f>
        <v/>
      </c>
      <c r="AG95" s="1294">
        <f>AG109/AG$119</f>
        <v/>
      </c>
      <c r="AH95" s="1294">
        <f>AH109/AH$119</f>
        <v/>
      </c>
      <c r="AI95" s="1294">
        <f>AI109/AI$119</f>
        <v/>
      </c>
      <c r="AJ95" s="1294">
        <f>AJ109/AJ$119</f>
        <v/>
      </c>
      <c r="AK95" s="1403">
        <f>AK109/AK$119</f>
        <v/>
      </c>
      <c r="AL95" s="1294">
        <f>AL109/AL$119</f>
        <v/>
      </c>
      <c r="AM95" s="1294">
        <f>AM109/AM$119</f>
        <v/>
      </c>
      <c r="AN95" s="1294">
        <f>AN109/AN$119</f>
        <v/>
      </c>
      <c r="AO95" s="1294">
        <f>AO109/AO$119</f>
        <v/>
      </c>
      <c r="AP95" s="1403">
        <f>AP109/AP$119</f>
        <v/>
      </c>
      <c r="AQ95" s="1294">
        <f>AQ111/AQ$119</f>
        <v/>
      </c>
      <c r="AR95" s="1294">
        <f>AR111/AR$119</f>
        <v/>
      </c>
      <c r="AS95" s="1294">
        <f>AS111/AS$119</f>
        <v/>
      </c>
      <c r="AT95" s="1294">
        <f>AT111/AT$119</f>
        <v/>
      </c>
      <c r="AU95" s="1403">
        <f>AU111/AU$119</f>
        <v/>
      </c>
      <c r="AV95" s="1294">
        <f>AV111/AV$119</f>
        <v/>
      </c>
      <c r="AW95" s="1294">
        <f>AW111/AW$119</f>
        <v/>
      </c>
      <c r="AX95" s="1294">
        <f>AX111/AX$119</f>
        <v/>
      </c>
      <c r="AY95" s="1294">
        <f>AY111/AY$119</f>
        <v/>
      </c>
      <c r="AZ95" s="1403">
        <f>AZ111/AZ$119</f>
        <v/>
      </c>
      <c r="BA95" s="1294">
        <f>BA111/BA$119</f>
        <v/>
      </c>
      <c r="BB95" s="1294">
        <f>BB111/BB$119</f>
        <v/>
      </c>
      <c r="BC95" s="1294">
        <f>BC111/BC$119</f>
        <v/>
      </c>
      <c r="BD95" s="1294">
        <f>BD111/BD$119</f>
        <v/>
      </c>
      <c r="BE95" s="1403">
        <f>BE111/BE$119</f>
        <v/>
      </c>
      <c r="BF95" s="1370">
        <f>BF111/BF$119</f>
        <v/>
      </c>
      <c r="BG95" s="1294">
        <f>BG111/BG$119</f>
        <v/>
      </c>
      <c r="BH95" s="1294">
        <f>BH111/BH$119</f>
        <v/>
      </c>
      <c r="BI95" s="1294">
        <f>BI111/BI$119</f>
        <v/>
      </c>
      <c r="BJ95" s="1403">
        <f>BJ111/BJ$119</f>
        <v/>
      </c>
      <c r="BK95" s="1370">
        <f>BK111/BK$119</f>
        <v/>
      </c>
      <c r="BL95" s="1370">
        <f>BL111/BL$119</f>
        <v/>
      </c>
      <c r="BM95" s="1370">
        <f>BM111/BM$119</f>
        <v/>
      </c>
      <c r="BN95" s="1294">
        <f>BN111/BN$119</f>
        <v/>
      </c>
      <c r="BO95" s="1404">
        <f>BO111/BO$119</f>
        <v/>
      </c>
      <c r="BP95" s="1370" t="n"/>
      <c r="BQ95" s="1370" t="n"/>
      <c r="BR95" s="1370" t="n"/>
      <c r="BS95" s="1370" t="n"/>
      <c r="BT95" s="1369" t="n"/>
      <c r="BU95" s="1370" t="n"/>
      <c r="BV95" s="1370" t="n"/>
      <c r="BW95" s="1370" t="n"/>
      <c r="BX95" s="1370" t="n"/>
      <c r="BY95" s="1369" t="n"/>
      <c r="BZ95" s="1369" t="n"/>
      <c r="CA95" s="1369" t="n"/>
      <c r="CB95" s="1369" t="n"/>
      <c r="CC95" s="1294" t="n"/>
    </row>
    <row r="96" hidden="1" outlineLevel="2" ht="14.4" customFormat="1" customHeight="1" s="1290">
      <c r="A96" s="1401" t="inlineStr">
        <is>
          <t>28-nanometer revenue contribution, %</t>
        </is>
      </c>
      <c r="B96" s="1368" t="n"/>
      <c r="C96" s="1369" t="n"/>
      <c r="D96" s="1369" t="n"/>
      <c r="E96" s="1405" t="n">
        <v>0.01</v>
      </c>
      <c r="F96" s="1405" t="n">
        <v>0.12</v>
      </c>
      <c r="G96" s="1405" t="n">
        <v>0.3</v>
      </c>
      <c r="H96" s="1402" t="n">
        <v>0.34</v>
      </c>
      <c r="I96" s="1402" t="n">
        <v>0.37</v>
      </c>
      <c r="J96" s="1402" t="n">
        <v>0.34</v>
      </c>
      <c r="K96" s="1402" t="n">
        <v>0.3</v>
      </c>
      <c r="L96" s="1405" t="n">
        <v>0.33</v>
      </c>
      <c r="M96" s="1402" t="n">
        <v>0.3</v>
      </c>
      <c r="N96" s="1402" t="n">
        <v>0.27</v>
      </c>
      <c r="O96" s="1402" t="n">
        <v>0.27</v>
      </c>
      <c r="P96" s="1402" t="n">
        <v>0.25</v>
      </c>
      <c r="Q96" s="1405" t="n">
        <v>0.28</v>
      </c>
      <c r="R96" s="1402" t="n">
        <v>0.3</v>
      </c>
      <c r="S96" s="1402" t="n">
        <v>0.28</v>
      </c>
      <c r="T96" s="1402" t="n">
        <v>0.24</v>
      </c>
      <c r="U96" s="1402" t="n">
        <v>0.24</v>
      </c>
      <c r="V96" s="1405" t="n">
        <v>0.26</v>
      </c>
      <c r="W96" s="1402" t="n">
        <v>0.25</v>
      </c>
      <c r="X96" s="1402" t="n">
        <v>0.27</v>
      </c>
      <c r="Y96" s="1402" t="n">
        <v>0.23</v>
      </c>
      <c r="Z96" s="1402" t="n">
        <v>0.18</v>
      </c>
      <c r="AA96" s="1405" t="n">
        <v>0.23</v>
      </c>
      <c r="AB96" s="1294">
        <f>AB112/AB$119</f>
        <v/>
      </c>
      <c r="AC96" s="1294">
        <f>AC112/AC$119</f>
        <v/>
      </c>
      <c r="AD96" s="1294">
        <f>AD112/AD$119</f>
        <v/>
      </c>
      <c r="AE96" s="1294">
        <f>AE112/AE$119</f>
        <v/>
      </c>
      <c r="AF96" s="1403">
        <f>AF112/AF$119</f>
        <v/>
      </c>
      <c r="AG96" s="1294">
        <f>AG112/AG$119</f>
        <v/>
      </c>
      <c r="AH96" s="1294">
        <f>AH112/AH$119</f>
        <v/>
      </c>
      <c r="AI96" s="1294">
        <f>AI112/AI$119</f>
        <v/>
      </c>
      <c r="AJ96" s="1294">
        <f>AJ112/AJ$119</f>
        <v/>
      </c>
      <c r="AK96" s="1403">
        <f>AK112/AK$119</f>
        <v/>
      </c>
      <c r="AL96" s="1294">
        <f>AL112/AL$119</f>
        <v/>
      </c>
      <c r="AM96" s="1294">
        <f>AM112/AM$119</f>
        <v/>
      </c>
      <c r="AN96" s="1294">
        <f>AN112/AN$119</f>
        <v/>
      </c>
      <c r="AO96" s="1294">
        <f>AO112/AO$119</f>
        <v/>
      </c>
      <c r="AP96" s="1403">
        <f>AP112/AP$119</f>
        <v/>
      </c>
      <c r="AQ96" s="1294">
        <f>AQ112/AQ$119</f>
        <v/>
      </c>
      <c r="AR96" s="1294">
        <f>AR112/AR$119</f>
        <v/>
      </c>
      <c r="AS96" s="1294">
        <f>AS112/AS$119</f>
        <v/>
      </c>
      <c r="AT96" s="1294">
        <f>AT112/AT$119</f>
        <v/>
      </c>
      <c r="AU96" s="1403">
        <f>AU112/AU$119</f>
        <v/>
      </c>
      <c r="AV96" s="1294">
        <f>AV112/AV$119</f>
        <v/>
      </c>
      <c r="AW96" s="1294">
        <f>AW112/AW$119</f>
        <v/>
      </c>
      <c r="AX96" s="1294">
        <f>AX112/AX$119</f>
        <v/>
      </c>
      <c r="AY96" s="1294">
        <f>AY112/AY$119</f>
        <v/>
      </c>
      <c r="AZ96" s="1403">
        <f>AZ112/AZ$119</f>
        <v/>
      </c>
      <c r="BA96" s="1294">
        <f>BA112/BA$119</f>
        <v/>
      </c>
      <c r="BB96" s="1294">
        <f>BB112/BB$119</f>
        <v/>
      </c>
      <c r="BC96" s="1294">
        <f>BC112/BC$119</f>
        <v/>
      </c>
      <c r="BD96" s="1294">
        <f>BD112/BD$119</f>
        <v/>
      </c>
      <c r="BE96" s="1403">
        <f>BE112/BE$119</f>
        <v/>
      </c>
      <c r="BF96" s="1370">
        <f>BF112/BF$119</f>
        <v/>
      </c>
      <c r="BG96" s="1370">
        <f>BG112/BG$119</f>
        <v/>
      </c>
      <c r="BH96" s="1294">
        <f>BH112/BH$119</f>
        <v/>
      </c>
      <c r="BI96" s="1294">
        <f>BI112/BI$119</f>
        <v/>
      </c>
      <c r="BJ96" s="1403">
        <f>BJ112/BJ$119</f>
        <v/>
      </c>
      <c r="BK96" s="1370">
        <f>BK112/BK$119</f>
        <v/>
      </c>
      <c r="BL96" s="1370">
        <f>BL112/BL$119</f>
        <v/>
      </c>
      <c r="BM96" s="1370">
        <f>BM112/BM$119</f>
        <v/>
      </c>
      <c r="BN96" s="1402" t="n">
        <v>0.06</v>
      </c>
      <c r="BO96" s="1404">
        <f>BO112/BO$119</f>
        <v/>
      </c>
      <c r="BP96" s="1370" t="n"/>
      <c r="BQ96" s="1370" t="n"/>
      <c r="BR96" s="1370" t="n"/>
      <c r="BS96" s="1370" t="n"/>
      <c r="BT96" s="1369" t="n"/>
      <c r="BU96" s="1370" t="n"/>
      <c r="BV96" s="1370" t="n"/>
      <c r="BW96" s="1370" t="n"/>
      <c r="BX96" s="1370" t="n"/>
      <c r="BY96" s="1369" t="n"/>
      <c r="BZ96" s="1369" t="n"/>
      <c r="CA96" s="1369" t="n"/>
      <c r="CB96" s="1369" t="n"/>
      <c r="CC96" s="1294" t="n"/>
    </row>
    <row r="97" hidden="1" outlineLevel="2" ht="14.4" customFormat="1" customHeight="1" s="1290">
      <c r="A97" s="1401" t="inlineStr">
        <is>
          <t>40/45-nanometer revenue contribution, %</t>
        </is>
      </c>
      <c r="B97" s="1368" t="n"/>
      <c r="C97" s="1405" t="n">
        <v>0.04</v>
      </c>
      <c r="D97" s="1405" t="n">
        <v>0.17</v>
      </c>
      <c r="E97" s="1405" t="n">
        <v>0.26</v>
      </c>
      <c r="F97" s="1405" t="n">
        <v>0.27</v>
      </c>
      <c r="G97" s="1405" t="n">
        <v>0.2</v>
      </c>
      <c r="H97" s="1402" t="n">
        <v>0.21</v>
      </c>
      <c r="I97" s="1402" t="n">
        <v>0.19</v>
      </c>
      <c r="J97" s="1402" t="n">
        <v>0.17</v>
      </c>
      <c r="K97" s="1402" t="n">
        <v>0.13</v>
      </c>
      <c r="L97" s="1405" t="n">
        <v>0.16</v>
      </c>
      <c r="M97" s="1402" t="n">
        <v>0.15</v>
      </c>
      <c r="N97" s="1402" t="n">
        <v>0.14</v>
      </c>
      <c r="O97" s="1402" t="n">
        <v>0.14</v>
      </c>
      <c r="P97" s="1402" t="n">
        <v>0.14</v>
      </c>
      <c r="Q97" s="1405" t="n">
        <v>0.14</v>
      </c>
      <c r="R97" s="1402" t="n">
        <v>0.14</v>
      </c>
      <c r="S97" s="1402" t="n">
        <v>0.15</v>
      </c>
      <c r="T97" s="1402" t="n">
        <v>0.13</v>
      </c>
      <c r="U97" s="1402" t="n">
        <v>0.12</v>
      </c>
      <c r="V97" s="1405" t="n">
        <v>0.14</v>
      </c>
      <c r="W97" s="1402" t="n">
        <v>0.13</v>
      </c>
      <c r="X97" s="1402" t="n">
        <v>0.13</v>
      </c>
      <c r="Y97" s="1402" t="n">
        <v>0.12</v>
      </c>
      <c r="Z97" s="1402" t="n">
        <v>0.1</v>
      </c>
      <c r="AA97" s="1405" t="n">
        <v>0.12</v>
      </c>
      <c r="AB97" s="1294">
        <f>AB113/AB$119</f>
        <v/>
      </c>
      <c r="AC97" s="1294">
        <f>AC113/AC$119</f>
        <v/>
      </c>
      <c r="AD97" s="1294">
        <f>AD113/AD$119</f>
        <v/>
      </c>
      <c r="AE97" s="1294">
        <f>AE113/AE$119</f>
        <v/>
      </c>
      <c r="AF97" s="1403">
        <f>AF113/AF$119</f>
        <v/>
      </c>
      <c r="AG97" s="1294">
        <f>AG113/AG$119</f>
        <v/>
      </c>
      <c r="AH97" s="1294">
        <f>AH113/AH$119</f>
        <v/>
      </c>
      <c r="AI97" s="1294">
        <f>AI113/AI$119</f>
        <v/>
      </c>
      <c r="AJ97" s="1294">
        <f>AJ113/AJ$119</f>
        <v/>
      </c>
      <c r="AK97" s="1403">
        <f>AK113/AK$119</f>
        <v/>
      </c>
      <c r="AL97" s="1294">
        <f>AL113/AL$119</f>
        <v/>
      </c>
      <c r="AM97" s="1294">
        <f>AM113/AM$119</f>
        <v/>
      </c>
      <c r="AN97" s="1294">
        <f>AN113/AN$119</f>
        <v/>
      </c>
      <c r="AO97" s="1294">
        <f>AO113/AO$119</f>
        <v/>
      </c>
      <c r="AP97" s="1403">
        <f>AP113/AP$119</f>
        <v/>
      </c>
      <c r="AQ97" s="1294">
        <f>AQ113/AQ$119</f>
        <v/>
      </c>
      <c r="AR97" s="1294">
        <f>AR113/AR$119</f>
        <v/>
      </c>
      <c r="AS97" s="1294">
        <f>AS113/AS$119</f>
        <v/>
      </c>
      <c r="AT97" s="1294">
        <f>AT113/AT$119</f>
        <v/>
      </c>
      <c r="AU97" s="1403">
        <f>AU113/AU$119</f>
        <v/>
      </c>
      <c r="AV97" s="1294">
        <f>AV113/AV$119</f>
        <v/>
      </c>
      <c r="AW97" s="1294">
        <f>AW113/AW$119</f>
        <v/>
      </c>
      <c r="AX97" s="1294">
        <f>AX113/AX$119</f>
        <v/>
      </c>
      <c r="AY97" s="1294">
        <f>AY113/AY$119</f>
        <v/>
      </c>
      <c r="AZ97" s="1403">
        <f>AZ113/AZ$119</f>
        <v/>
      </c>
      <c r="BA97" s="1294">
        <f>BA113/BA$119</f>
        <v/>
      </c>
      <c r="BB97" s="1294">
        <f>BB113/BB$119</f>
        <v/>
      </c>
      <c r="BC97" s="1294">
        <f>BC113/BC$119</f>
        <v/>
      </c>
      <c r="BD97" s="1294">
        <f>BD113/BD$119</f>
        <v/>
      </c>
      <c r="BE97" s="1403">
        <f>BE113/BE$119</f>
        <v/>
      </c>
      <c r="BF97" s="1370">
        <f>BF113/BF$119</f>
        <v/>
      </c>
      <c r="BG97" s="1370">
        <f>BG113/BG$119</f>
        <v/>
      </c>
      <c r="BH97" s="1294">
        <f>BH113/BH$119</f>
        <v/>
      </c>
      <c r="BI97" s="1294">
        <f>BI113/BI$119</f>
        <v/>
      </c>
      <c r="BJ97" s="1403">
        <f>BJ113/BJ$119</f>
        <v/>
      </c>
      <c r="BK97" s="1370">
        <f>BK113/BK$119</f>
        <v/>
      </c>
      <c r="BL97" s="1370">
        <f>BL113/BL$119</f>
        <v/>
      </c>
      <c r="BM97" s="1370">
        <f>BM113/BM$119</f>
        <v/>
      </c>
      <c r="BN97" s="1402" t="n">
        <v>0.03</v>
      </c>
      <c r="BO97" s="1404">
        <f>BO113/BO$119</f>
        <v/>
      </c>
      <c r="BP97" s="1370" t="n"/>
      <c r="BQ97" s="1370" t="n"/>
      <c r="BR97" s="1370" t="n"/>
      <c r="BS97" s="1370" t="n"/>
      <c r="BT97" s="1369" t="n"/>
      <c r="BU97" s="1370" t="n"/>
      <c r="BV97" s="1370" t="n"/>
      <c r="BW97" s="1370" t="n"/>
      <c r="BX97" s="1370" t="n"/>
      <c r="BY97" s="1369" t="n"/>
      <c r="BZ97" s="1369" t="n"/>
      <c r="CA97" s="1369" t="n"/>
      <c r="CB97" s="1369" t="n"/>
      <c r="CC97" s="1294" t="n"/>
    </row>
    <row r="98" hidden="1" outlineLevel="2" ht="14.4" customFormat="1" customHeight="1" s="1290">
      <c r="A98" s="1401" t="inlineStr">
        <is>
          <t>65-nanometer revenue contribution, %</t>
        </is>
      </c>
      <c r="B98" s="1368" t="n"/>
      <c r="C98" s="1405" t="n">
        <v>0.29</v>
      </c>
      <c r="D98" s="1405" t="n">
        <v>0.29</v>
      </c>
      <c r="E98" s="1405" t="n">
        <v>0.29</v>
      </c>
      <c r="F98" s="1405" t="n">
        <v>0.23</v>
      </c>
      <c r="G98" s="1405" t="n">
        <v>0.16</v>
      </c>
      <c r="H98" s="1402" t="n">
        <v>0.16</v>
      </c>
      <c r="I98" s="1402" t="n">
        <v>0.15</v>
      </c>
      <c r="J98" s="1402" t="n">
        <v>0.13</v>
      </c>
      <c r="K98" s="1402" t="n">
        <v>0.11</v>
      </c>
      <c r="L98" s="1405" t="n">
        <v>0.14</v>
      </c>
      <c r="M98" s="1402" t="n">
        <v>0.12</v>
      </c>
      <c r="N98" s="1402" t="n">
        <v>0.11</v>
      </c>
      <c r="O98" s="1402" t="n">
        <v>0.11</v>
      </c>
      <c r="P98" s="1402" t="n">
        <v>0.11</v>
      </c>
      <c r="Q98" s="1405" t="n">
        <v>0.12</v>
      </c>
      <c r="R98" s="1402" t="n">
        <v>0.1</v>
      </c>
      <c r="S98" s="1402" t="n">
        <v>0.12</v>
      </c>
      <c r="T98" s="1402" t="n">
        <v>0.11</v>
      </c>
      <c r="U98" s="1402" t="n">
        <v>0.11</v>
      </c>
      <c r="V98" s="1405" t="n">
        <v>0.11</v>
      </c>
      <c r="W98" s="1402" t="n">
        <v>0.11</v>
      </c>
      <c r="X98" s="1402" t="n">
        <v>0.1</v>
      </c>
      <c r="Y98" s="1402" t="n">
        <v>0.1</v>
      </c>
      <c r="Z98" s="1402" t="n">
        <v>0.09</v>
      </c>
      <c r="AA98" s="1405" t="n">
        <v>0.1</v>
      </c>
      <c r="AB98" s="1294">
        <f>AB114/AB$119</f>
        <v/>
      </c>
      <c r="AC98" s="1294">
        <f>AC114/AC$119</f>
        <v/>
      </c>
      <c r="AD98" s="1294">
        <f>AD114/AD$119</f>
        <v/>
      </c>
      <c r="AE98" s="1294">
        <f>AE114/AE$119</f>
        <v/>
      </c>
      <c r="AF98" s="1403">
        <f>AF114/AF$119</f>
        <v/>
      </c>
      <c r="AG98" s="1294">
        <f>AG114/AG$119</f>
        <v/>
      </c>
      <c r="AH98" s="1294">
        <f>AH114/AH$119</f>
        <v/>
      </c>
      <c r="AI98" s="1294">
        <f>AI114/AI$119</f>
        <v/>
      </c>
      <c r="AJ98" s="1294">
        <f>AJ114/AJ$119</f>
        <v/>
      </c>
      <c r="AK98" s="1403">
        <f>AK114/AK$119</f>
        <v/>
      </c>
      <c r="AL98" s="1294">
        <f>AL114/AL$119</f>
        <v/>
      </c>
      <c r="AM98" s="1294">
        <f>AM114/AM$119</f>
        <v/>
      </c>
      <c r="AN98" s="1294">
        <f>AN114/AN$119</f>
        <v/>
      </c>
      <c r="AO98" s="1294">
        <f>AO114/AO$119</f>
        <v/>
      </c>
      <c r="AP98" s="1403">
        <f>AP114/AP$119</f>
        <v/>
      </c>
      <c r="AQ98" s="1294">
        <f>AQ114/AQ$119</f>
        <v/>
      </c>
      <c r="AR98" s="1294">
        <f>AR114/AR$119</f>
        <v/>
      </c>
      <c r="AS98" s="1294">
        <f>AS114/AS$119</f>
        <v/>
      </c>
      <c r="AT98" s="1294">
        <f>AT114/AT$119</f>
        <v/>
      </c>
      <c r="AU98" s="1403">
        <f>AU114/AU$119</f>
        <v/>
      </c>
      <c r="AV98" s="1294">
        <f>AV114/AV$119</f>
        <v/>
      </c>
      <c r="AW98" s="1294">
        <f>AW114/AW$119</f>
        <v/>
      </c>
      <c r="AX98" s="1294">
        <f>AX114/AX$119</f>
        <v/>
      </c>
      <c r="AY98" s="1294">
        <f>AY114/AY$119</f>
        <v/>
      </c>
      <c r="AZ98" s="1403">
        <f>AZ114/AZ$119</f>
        <v/>
      </c>
      <c r="BA98" s="1294">
        <f>BA114/BA$119</f>
        <v/>
      </c>
      <c r="BB98" s="1294">
        <f>BB114/BB$119</f>
        <v/>
      </c>
      <c r="BC98" s="1294">
        <f>BC114/BC$119</f>
        <v/>
      </c>
      <c r="BD98" s="1294">
        <f>BD114/BD$119</f>
        <v/>
      </c>
      <c r="BE98" s="1403">
        <f>BE114/BE$119</f>
        <v/>
      </c>
      <c r="BF98" s="1370">
        <f>BF114/BF$119</f>
        <v/>
      </c>
      <c r="BG98" s="1370">
        <f>BG114/BG$119</f>
        <v/>
      </c>
      <c r="BH98" s="1294">
        <f>BH114/BH$119</f>
        <v/>
      </c>
      <c r="BI98" s="1294">
        <f>BI114/BI$119</f>
        <v/>
      </c>
      <c r="BJ98" s="1403">
        <f>BJ114/BJ$119</f>
        <v/>
      </c>
      <c r="BK98" s="1370">
        <f>BK114/BK$119</f>
        <v/>
      </c>
      <c r="BL98" s="1370">
        <f>BL114/BL$119</f>
        <v/>
      </c>
      <c r="BM98" s="1370">
        <f>BM114/BM$119</f>
        <v/>
      </c>
      <c r="BN98" s="1402" t="n">
        <v>0.04</v>
      </c>
      <c r="BO98" s="1404">
        <f>BO114/BO$119</f>
        <v/>
      </c>
      <c r="BP98" s="1370" t="n"/>
      <c r="BQ98" s="1370" t="n"/>
      <c r="BR98" s="1370" t="n"/>
      <c r="BS98" s="1370" t="n"/>
      <c r="BT98" s="1369" t="n"/>
      <c r="BU98" s="1370" t="n"/>
      <c r="BV98" s="1370" t="n"/>
      <c r="BW98" s="1370" t="n"/>
      <c r="BX98" s="1370" t="n"/>
      <c r="BY98" s="1369" t="n"/>
      <c r="BZ98" s="1369" t="n"/>
      <c r="CA98" s="1369" t="n"/>
      <c r="CB98" s="1369" t="n"/>
      <c r="CC98" s="1294" t="n"/>
    </row>
    <row r="99" hidden="1" outlineLevel="2" ht="14.4" customFormat="1" customHeight="1" s="1290">
      <c r="A99" s="1401" t="inlineStr">
        <is>
          <t>90-nanometer revenue contribution, %</t>
        </is>
      </c>
      <c r="B99" s="1368" t="n"/>
      <c r="C99" s="1405" t="n">
        <v>0.2</v>
      </c>
      <c r="D99" s="1405" t="n">
        <v>0.14</v>
      </c>
      <c r="E99" s="1405" t="n">
        <v>0.09</v>
      </c>
      <c r="F99" s="1405" t="n">
        <v>0.09</v>
      </c>
      <c r="G99" s="1405" t="n">
        <v>0.08</v>
      </c>
      <c r="H99" s="1402" t="n">
        <v>0.07000000000000001</v>
      </c>
      <c r="I99" s="1402" t="n">
        <v>0.07000000000000001</v>
      </c>
      <c r="J99" s="1402" t="n">
        <v>0.06</v>
      </c>
      <c r="K99" s="1402" t="n">
        <v>0.06</v>
      </c>
      <c r="L99" s="1405" t="n">
        <v>0.07000000000000001</v>
      </c>
      <c r="M99" s="1402" t="n">
        <v>0.07000000000000001</v>
      </c>
      <c r="N99" s="1402" t="n">
        <v>0.07000000000000001</v>
      </c>
      <c r="O99" s="1402" t="n">
        <v>0.08</v>
      </c>
      <c r="P99" s="1402" t="n">
        <v>0.07000000000000001</v>
      </c>
      <c r="Q99" s="1405" t="n">
        <v>0.07000000000000001</v>
      </c>
      <c r="R99" s="1402" t="n">
        <v>0.06</v>
      </c>
      <c r="S99" s="1402" t="n">
        <v>0.05</v>
      </c>
      <c r="T99" s="1402" t="n">
        <v>0.05</v>
      </c>
      <c r="U99" s="1402" t="n">
        <v>0.05</v>
      </c>
      <c r="V99" s="1405" t="n">
        <v>0.05</v>
      </c>
      <c r="W99" s="1402" t="n">
        <v>0.04</v>
      </c>
      <c r="X99" s="1402" t="n">
        <v>0.05</v>
      </c>
      <c r="Y99" s="1402" t="n">
        <v>0.05</v>
      </c>
      <c r="Z99" s="1402" t="n">
        <v>0.04</v>
      </c>
      <c r="AA99" s="1405" t="n">
        <v>0.04</v>
      </c>
      <c r="AB99" s="1294">
        <f>AB115/AB$119</f>
        <v/>
      </c>
      <c r="AC99" s="1294">
        <f>AC115/AC$119</f>
        <v/>
      </c>
      <c r="AD99" s="1294">
        <f>AD115/AD$119</f>
        <v/>
      </c>
      <c r="AE99" s="1294">
        <f>AE115/AE$119</f>
        <v/>
      </c>
      <c r="AF99" s="1403">
        <f>AF115/AF$119</f>
        <v/>
      </c>
      <c r="AG99" s="1294">
        <f>AG115/AG$119</f>
        <v/>
      </c>
      <c r="AH99" s="1294">
        <f>AH115/AH$119</f>
        <v/>
      </c>
      <c r="AI99" s="1294">
        <f>AI115/AI$119</f>
        <v/>
      </c>
      <c r="AJ99" s="1294">
        <f>AJ115/AJ$119</f>
        <v/>
      </c>
      <c r="AK99" s="1403">
        <f>AK115/AK$119</f>
        <v/>
      </c>
      <c r="AL99" s="1294">
        <f>AL115/AL$119</f>
        <v/>
      </c>
      <c r="AM99" s="1294">
        <f>AM115/AM$119</f>
        <v/>
      </c>
      <c r="AN99" s="1294">
        <f>AN115/AN$119</f>
        <v/>
      </c>
      <c r="AO99" s="1294">
        <f>AO115/AO$119</f>
        <v/>
      </c>
      <c r="AP99" s="1403">
        <f>AP115/AP$119</f>
        <v/>
      </c>
      <c r="AQ99" s="1294">
        <f>AQ115/AQ$119</f>
        <v/>
      </c>
      <c r="AR99" s="1294">
        <f>AR115/AR$119</f>
        <v/>
      </c>
      <c r="AS99" s="1294">
        <f>AS115/AS$119</f>
        <v/>
      </c>
      <c r="AT99" s="1294">
        <f>AT115/AT$119</f>
        <v/>
      </c>
      <c r="AU99" s="1403">
        <f>AU115/AU$119</f>
        <v/>
      </c>
      <c r="AV99" s="1294">
        <f>AV115/AV$119</f>
        <v/>
      </c>
      <c r="AW99" s="1294">
        <f>AW115/AW$119</f>
        <v/>
      </c>
      <c r="AX99" s="1294">
        <f>AX115/AX$119</f>
        <v/>
      </c>
      <c r="AY99" s="1294">
        <f>AY115/AY$119</f>
        <v/>
      </c>
      <c r="AZ99" s="1403">
        <f>AZ115/AZ$119</f>
        <v/>
      </c>
      <c r="BA99" s="1294">
        <f>BA115/BA$119</f>
        <v/>
      </c>
      <c r="BB99" s="1294">
        <f>BB115/BB$119</f>
        <v/>
      </c>
      <c r="BC99" s="1294">
        <f>BC115/BC$119</f>
        <v/>
      </c>
      <c r="BD99" s="1294">
        <f>BD115/BD$119</f>
        <v/>
      </c>
      <c r="BE99" s="1403">
        <f>BE115/BE$119</f>
        <v/>
      </c>
      <c r="BF99" s="1370">
        <f>BF115/BF$119</f>
        <v/>
      </c>
      <c r="BG99" s="1370">
        <f>BG115/BG$119</f>
        <v/>
      </c>
      <c r="BH99" s="1294">
        <f>BH115/BH$119</f>
        <v/>
      </c>
      <c r="BI99" s="1294">
        <f>BI115/BI$119</f>
        <v/>
      </c>
      <c r="BJ99" s="1403">
        <f>BJ115/BJ$119</f>
        <v/>
      </c>
      <c r="BK99" s="1370">
        <f>BK115/BK$119</f>
        <v/>
      </c>
      <c r="BL99" s="1370">
        <f>BL115/BL$119</f>
        <v/>
      </c>
      <c r="BM99" s="1370">
        <f>BM115/BM$119</f>
        <v/>
      </c>
      <c r="BN99" s="1402" t="n">
        <v>0.01</v>
      </c>
      <c r="BO99" s="1404">
        <f>BO115/BO$119</f>
        <v/>
      </c>
      <c r="BP99" s="1370" t="n"/>
      <c r="BQ99" s="1370" t="n"/>
      <c r="BR99" s="1370" t="n"/>
      <c r="BS99" s="1370" t="n"/>
      <c r="BT99" s="1369" t="n"/>
      <c r="BU99" s="1370" t="n"/>
      <c r="BV99" s="1370" t="n"/>
      <c r="BW99" s="1370" t="n"/>
      <c r="BX99" s="1370" t="n"/>
      <c r="BY99" s="1369" t="n"/>
      <c r="BZ99" s="1369" t="n"/>
      <c r="CA99" s="1369" t="n"/>
      <c r="CB99" s="1369" t="n"/>
      <c r="CC99" s="1294" t="n"/>
    </row>
    <row r="100" hidden="1" outlineLevel="2" ht="14.4" customFormat="1" customHeight="1" s="1290">
      <c r="A100" s="1401" t="inlineStr">
        <is>
          <t>0.11/0.13 micron revenue contribution, %</t>
        </is>
      </c>
      <c r="B100" s="1368" t="n"/>
      <c r="C100" s="1405" t="n">
        <v>0.14</v>
      </c>
      <c r="D100" s="1405" t="n">
        <v>0.12</v>
      </c>
      <c r="E100" s="1405" t="n">
        <v>0.08</v>
      </c>
      <c r="F100" s="1405" t="n">
        <v>0.06</v>
      </c>
      <c r="G100" s="1405" t="n">
        <v>0.04</v>
      </c>
      <c r="H100" s="1402" t="n">
        <v>0.03</v>
      </c>
      <c r="I100" s="1402" t="n">
        <v>0.03</v>
      </c>
      <c r="J100" s="1402" t="n">
        <v>0.03</v>
      </c>
      <c r="K100" s="1402" t="n">
        <v>0.02</v>
      </c>
      <c r="L100" s="1405" t="n">
        <v>0.03</v>
      </c>
      <c r="M100" s="1402" t="n">
        <v>0.02</v>
      </c>
      <c r="N100" s="1402" t="n">
        <v>0.03</v>
      </c>
      <c r="O100" s="1402" t="n">
        <v>0.02</v>
      </c>
      <c r="P100" s="1402" t="n">
        <v>0.03</v>
      </c>
      <c r="Q100" s="1405" t="n">
        <v>0.02</v>
      </c>
      <c r="R100" s="1402" t="n">
        <v>0.02</v>
      </c>
      <c r="S100" s="1402" t="n">
        <v>0.02</v>
      </c>
      <c r="T100" s="1402" t="n">
        <v>0.03</v>
      </c>
      <c r="U100" s="1402" t="n">
        <v>0.02</v>
      </c>
      <c r="V100" s="1405" t="n">
        <v>0.02</v>
      </c>
      <c r="W100" s="1402" t="n">
        <v>0.02</v>
      </c>
      <c r="X100" s="1402" t="n">
        <v>0.03</v>
      </c>
      <c r="Y100" s="1402" t="n">
        <v>0.03</v>
      </c>
      <c r="Z100" s="1402" t="n">
        <v>0.02</v>
      </c>
      <c r="AA100" s="1405" t="n">
        <v>0.03</v>
      </c>
      <c r="AB100" s="1294">
        <f>AB116/AB$119</f>
        <v/>
      </c>
      <c r="AC100" s="1294">
        <f>AC116/AC$119</f>
        <v/>
      </c>
      <c r="AD100" s="1294">
        <f>AD116/AD$119</f>
        <v/>
      </c>
      <c r="AE100" s="1294">
        <f>AE116/AE$119</f>
        <v/>
      </c>
      <c r="AF100" s="1403">
        <f>AF116/AF$119</f>
        <v/>
      </c>
      <c r="AG100" s="1294">
        <f>AG116/AG$119</f>
        <v/>
      </c>
      <c r="AH100" s="1294">
        <f>AH116/AH$119</f>
        <v/>
      </c>
      <c r="AI100" s="1294">
        <f>AI116/AI$119</f>
        <v/>
      </c>
      <c r="AJ100" s="1294">
        <f>AJ116/AJ$119</f>
        <v/>
      </c>
      <c r="AK100" s="1403">
        <f>AK116/AK$119</f>
        <v/>
      </c>
      <c r="AL100" s="1294">
        <f>AL116/AL$119</f>
        <v/>
      </c>
      <c r="AM100" s="1294">
        <f>AM116/AM$119</f>
        <v/>
      </c>
      <c r="AN100" s="1294">
        <f>AN116/AN$119</f>
        <v/>
      </c>
      <c r="AO100" s="1294">
        <f>AO116/AO$119</f>
        <v/>
      </c>
      <c r="AP100" s="1403">
        <f>AP116/AP$119</f>
        <v/>
      </c>
      <c r="AQ100" s="1294">
        <f>AQ116/AQ$119</f>
        <v/>
      </c>
      <c r="AR100" s="1294">
        <f>AR116/AR$119</f>
        <v/>
      </c>
      <c r="AS100" s="1294">
        <f>AS116/AS$119</f>
        <v/>
      </c>
      <c r="AT100" s="1294">
        <f>AT116/AT$119</f>
        <v/>
      </c>
      <c r="AU100" s="1403">
        <f>AU116/AU$119</f>
        <v/>
      </c>
      <c r="AV100" s="1294">
        <f>AV116/AV$119</f>
        <v/>
      </c>
      <c r="AW100" s="1294">
        <f>AW116/AW$119</f>
        <v/>
      </c>
      <c r="AX100" s="1294">
        <f>AX116/AX$119</f>
        <v/>
      </c>
      <c r="AY100" s="1294">
        <f>AY116/AY$119</f>
        <v/>
      </c>
      <c r="AZ100" s="1403">
        <f>AZ116/AZ$119</f>
        <v/>
      </c>
      <c r="BA100" s="1294">
        <f>BA116/BA$119</f>
        <v/>
      </c>
      <c r="BB100" s="1294">
        <f>BB116/BB$119</f>
        <v/>
      </c>
      <c r="BC100" s="1294">
        <f>BC116/BC$119</f>
        <v/>
      </c>
      <c r="BD100" s="1294">
        <f>BD116/BD$119</f>
        <v/>
      </c>
      <c r="BE100" s="1403">
        <f>BE116/BE$119</f>
        <v/>
      </c>
      <c r="BF100" s="1370">
        <f>BF116/BF$119</f>
        <v/>
      </c>
      <c r="BG100" s="1370">
        <f>BG116/BG$119</f>
        <v/>
      </c>
      <c r="BH100" s="1294">
        <f>BH116/BH$119</f>
        <v/>
      </c>
      <c r="BI100" s="1294">
        <f>BI116/BI$119</f>
        <v/>
      </c>
      <c r="BJ100" s="1403">
        <f>BJ116/BJ$119</f>
        <v/>
      </c>
      <c r="BK100" s="1370">
        <f>BK116/BK$119</f>
        <v/>
      </c>
      <c r="BL100" s="1370">
        <f>BL116/BL$119</f>
        <v/>
      </c>
      <c r="BM100" s="1370">
        <f>BM116/BM$119</f>
        <v/>
      </c>
      <c r="BN100" s="1402" t="n">
        <v>0.01</v>
      </c>
      <c r="BO100" s="1404">
        <f>BO116/BO$119</f>
        <v/>
      </c>
      <c r="BP100" s="1370" t="n"/>
      <c r="BQ100" s="1370" t="n"/>
      <c r="BR100" s="1370" t="n"/>
      <c r="BS100" s="1370" t="n"/>
      <c r="BT100" s="1369" t="n"/>
      <c r="BU100" s="1370" t="n"/>
      <c r="BV100" s="1370" t="n"/>
      <c r="BW100" s="1370" t="n"/>
      <c r="BX100" s="1370" t="n"/>
      <c r="BY100" s="1369" t="n"/>
      <c r="BZ100" s="1369" t="n"/>
      <c r="CA100" s="1369" t="n"/>
      <c r="CB100" s="1369" t="n"/>
      <c r="CC100" s="1294" t="n"/>
    </row>
    <row r="101" hidden="1" outlineLevel="2" ht="14.4" customFormat="1" customHeight="1" s="1290">
      <c r="A101" s="1401" t="inlineStr">
        <is>
          <t>0.15/0.18 micron revenue contribution, %</t>
        </is>
      </c>
      <c r="B101" s="1368" t="n"/>
      <c r="C101" s="1405" t="n">
        <v>0.21</v>
      </c>
      <c r="D101" s="1405" t="n">
        <v>0.17</v>
      </c>
      <c r="E101" s="1405" t="n">
        <v>0.18</v>
      </c>
      <c r="F101" s="1405" t="n">
        <v>0.15</v>
      </c>
      <c r="G101" s="1405" t="n">
        <v>0.16</v>
      </c>
      <c r="H101" s="1402" t="n">
        <v>0.14</v>
      </c>
      <c r="I101" s="1402" t="n">
        <v>0.14</v>
      </c>
      <c r="J101" s="1402" t="n">
        <v>0.13</v>
      </c>
      <c r="K101" s="1402" t="n">
        <v>0.12</v>
      </c>
      <c r="L101" s="1405" t="n">
        <v>0.13</v>
      </c>
      <c r="M101" s="1402" t="n">
        <v>0.13</v>
      </c>
      <c r="N101" s="1402" t="n">
        <v>0.13</v>
      </c>
      <c r="O101" s="1402" t="n">
        <v>0.12</v>
      </c>
      <c r="P101" s="1402" t="n">
        <v>0.11</v>
      </c>
      <c r="Q101" s="1405" t="n">
        <v>0.12</v>
      </c>
      <c r="R101" s="1402" t="n">
        <v>0.11</v>
      </c>
      <c r="S101" s="1402" t="n">
        <v>0.11</v>
      </c>
      <c r="T101" s="1402" t="n">
        <v>0.09</v>
      </c>
      <c r="U101" s="1402" t="n">
        <v>0.1</v>
      </c>
      <c r="V101" s="1405" t="n">
        <v>0.1</v>
      </c>
      <c r="W101" s="1402" t="n">
        <v>0.11</v>
      </c>
      <c r="X101" s="1402" t="n">
        <v>0.11</v>
      </c>
      <c r="Y101" s="1402" t="n">
        <v>0.1</v>
      </c>
      <c r="Z101" s="1402" t="n">
        <v>0.09</v>
      </c>
      <c r="AA101" s="1405" t="n">
        <v>0.1</v>
      </c>
      <c r="AB101" s="1294">
        <f>AB117/AB$119</f>
        <v/>
      </c>
      <c r="AC101" s="1294">
        <f>AC117/AC$119</f>
        <v/>
      </c>
      <c r="AD101" s="1294">
        <f>AD117/AD$119</f>
        <v/>
      </c>
      <c r="AE101" s="1294">
        <f>AE117/AE$119</f>
        <v/>
      </c>
      <c r="AF101" s="1403">
        <f>AF117/AF$119</f>
        <v/>
      </c>
      <c r="AG101" s="1294">
        <f>AG117/AG$119</f>
        <v/>
      </c>
      <c r="AH101" s="1294">
        <f>AH117/AH$119</f>
        <v/>
      </c>
      <c r="AI101" s="1294">
        <f>AI117/AI$119</f>
        <v/>
      </c>
      <c r="AJ101" s="1294">
        <f>AJ117/AJ$119</f>
        <v/>
      </c>
      <c r="AK101" s="1403">
        <f>AK117/AK$119</f>
        <v/>
      </c>
      <c r="AL101" s="1294">
        <f>AL117/AL$119</f>
        <v/>
      </c>
      <c r="AM101" s="1294">
        <f>AM117/AM$119</f>
        <v/>
      </c>
      <c r="AN101" s="1294">
        <f>AN117/AN$119</f>
        <v/>
      </c>
      <c r="AO101" s="1294">
        <f>AO117/AO$119</f>
        <v/>
      </c>
      <c r="AP101" s="1403">
        <f>AP117/AP$119</f>
        <v/>
      </c>
      <c r="AQ101" s="1294">
        <f>AQ117/AQ$119</f>
        <v/>
      </c>
      <c r="AR101" s="1294">
        <f>AR117/AR$119</f>
        <v/>
      </c>
      <c r="AS101" s="1294">
        <f>AS117/AS$119</f>
        <v/>
      </c>
      <c r="AT101" s="1294">
        <f>AT117/AT$119</f>
        <v/>
      </c>
      <c r="AU101" s="1403">
        <f>AU117/AU$119</f>
        <v/>
      </c>
      <c r="AV101" s="1294">
        <f>AV117/AV$119</f>
        <v/>
      </c>
      <c r="AW101" s="1294">
        <f>AW117/AW$119</f>
        <v/>
      </c>
      <c r="AX101" s="1294">
        <f>AX117/AX$119</f>
        <v/>
      </c>
      <c r="AY101" s="1294">
        <f>AY117/AY$119</f>
        <v/>
      </c>
      <c r="AZ101" s="1403">
        <f>AZ117/AZ$119</f>
        <v/>
      </c>
      <c r="BA101" s="1294">
        <f>BA117/BA$119</f>
        <v/>
      </c>
      <c r="BB101" s="1294">
        <f>BB117/BB$119</f>
        <v/>
      </c>
      <c r="BC101" s="1294">
        <f>BC117/BC$119</f>
        <v/>
      </c>
      <c r="BD101" s="1294">
        <f>BD117/BD$119</f>
        <v/>
      </c>
      <c r="BE101" s="1403">
        <f>BE117/BE$119</f>
        <v/>
      </c>
      <c r="BF101" s="1370">
        <f>BF117/BF$119</f>
        <v/>
      </c>
      <c r="BG101" s="1370">
        <f>BG117/BG$119</f>
        <v/>
      </c>
      <c r="BH101" s="1294">
        <f>BH117/BH$119</f>
        <v/>
      </c>
      <c r="BI101" s="1294">
        <f>BI117/BI$119</f>
        <v/>
      </c>
      <c r="BJ101" s="1403">
        <f>BJ117/BJ$119</f>
        <v/>
      </c>
      <c r="BK101" s="1370">
        <f>BK117/BK$119</f>
        <v/>
      </c>
      <c r="BL101" s="1370">
        <f>BL117/BL$119</f>
        <v/>
      </c>
      <c r="BM101" s="1370">
        <f>BM117/BM$119</f>
        <v/>
      </c>
      <c r="BN101" s="1402" t="n">
        <v>0.02</v>
      </c>
      <c r="BO101" s="1404">
        <f>BO117/BO$119</f>
        <v/>
      </c>
      <c r="BP101" s="1370" t="n"/>
      <c r="BQ101" s="1370" t="n"/>
      <c r="BR101" s="1370" t="n"/>
      <c r="BS101" s="1370" t="n"/>
      <c r="BT101" s="1369" t="n"/>
      <c r="BU101" s="1370" t="n"/>
      <c r="BV101" s="1370" t="n"/>
      <c r="BW101" s="1370" t="n"/>
      <c r="BX101" s="1370" t="n"/>
      <c r="BY101" s="1369" t="n"/>
      <c r="BZ101" s="1369" t="n"/>
      <c r="CA101" s="1369" t="n"/>
      <c r="CB101" s="1369" t="n"/>
      <c r="CC101" s="1294" t="n"/>
    </row>
    <row r="102" hidden="1" outlineLevel="2" ht="14.4" customFormat="1" customHeight="1" s="1290">
      <c r="A102" s="1415" t="inlineStr">
        <is>
          <t>0.25 micron and above revenue contribution, %</t>
        </is>
      </c>
      <c r="B102" s="1408" t="n"/>
      <c r="C102" s="1416" t="n">
        <v>0.12</v>
      </c>
      <c r="D102" s="1416" t="n">
        <v>0.11</v>
      </c>
      <c r="E102" s="1416" t="n">
        <v>0.09</v>
      </c>
      <c r="F102" s="1416" t="n">
        <v>0.08</v>
      </c>
      <c r="G102" s="1416" t="n">
        <v>0.06</v>
      </c>
      <c r="H102" s="1413" t="n">
        <v>0.05</v>
      </c>
      <c r="I102" s="1413" t="n">
        <v>0.05</v>
      </c>
      <c r="J102" s="1413" t="n">
        <v>0.05</v>
      </c>
      <c r="K102" s="1413" t="n">
        <v>0.05</v>
      </c>
      <c r="L102" s="1416" t="n">
        <v>0.05</v>
      </c>
      <c r="M102" s="1413" t="n">
        <v>0.05</v>
      </c>
      <c r="N102" s="1413" t="n">
        <v>0.05</v>
      </c>
      <c r="O102" s="1413" t="n">
        <v>0.05</v>
      </c>
      <c r="P102" s="1413" t="n">
        <v>0.05</v>
      </c>
      <c r="Q102" s="1416" t="n">
        <v>0.05</v>
      </c>
      <c r="R102" s="1413" t="n">
        <v>0.04</v>
      </c>
      <c r="S102" s="1413" t="n">
        <v>0.04</v>
      </c>
      <c r="T102" s="1413" t="n">
        <v>0.04</v>
      </c>
      <c r="U102" s="1413" t="n">
        <v>0.03</v>
      </c>
      <c r="V102" s="1416" t="n">
        <v>0.04</v>
      </c>
      <c r="W102" s="1413" t="n">
        <v>0.03</v>
      </c>
      <c r="X102" s="1413" t="n">
        <v>0.04</v>
      </c>
      <c r="Y102" s="1413" t="n">
        <v>0.03</v>
      </c>
      <c r="Z102" s="1413" t="n">
        <v>0.03</v>
      </c>
      <c r="AA102" s="1416" t="n">
        <v>0.03</v>
      </c>
      <c r="AB102" s="1411">
        <f>AB118/AB$119</f>
        <v/>
      </c>
      <c r="AC102" s="1411">
        <f>AC118/AC$119</f>
        <v/>
      </c>
      <c r="AD102" s="1411">
        <f>AD118/AD$119</f>
        <v/>
      </c>
      <c r="AE102" s="1411">
        <f>AE118/AE$119</f>
        <v/>
      </c>
      <c r="AF102" s="1412">
        <f>AF118/AF$119</f>
        <v/>
      </c>
      <c r="AG102" s="1411">
        <f>AG118/AG$119</f>
        <v/>
      </c>
      <c r="AH102" s="1411">
        <f>AH118/AH$119</f>
        <v/>
      </c>
      <c r="AI102" s="1411">
        <f>AI118/AI$119</f>
        <v/>
      </c>
      <c r="AJ102" s="1411">
        <f>AJ118/AJ$119</f>
        <v/>
      </c>
      <c r="AK102" s="1412">
        <f>AK118/AK$119</f>
        <v/>
      </c>
      <c r="AL102" s="1411">
        <f>AL118/AL$119</f>
        <v/>
      </c>
      <c r="AM102" s="1411">
        <f>AM118/AM$119</f>
        <v/>
      </c>
      <c r="AN102" s="1411">
        <f>AN118/AN$119</f>
        <v/>
      </c>
      <c r="AO102" s="1411">
        <f>AO118/AO$119</f>
        <v/>
      </c>
      <c r="AP102" s="1412">
        <f>AP118/AP$119</f>
        <v/>
      </c>
      <c r="AQ102" s="1411">
        <f>AQ118/AQ$119</f>
        <v/>
      </c>
      <c r="AR102" s="1411">
        <f>AR118/AR$119</f>
        <v/>
      </c>
      <c r="AS102" s="1411">
        <f>AS118/AS$119</f>
        <v/>
      </c>
      <c r="AT102" s="1411">
        <f>AT118/AT$119</f>
        <v/>
      </c>
      <c r="AU102" s="1412">
        <f>AU118/AU$119</f>
        <v/>
      </c>
      <c r="AV102" s="1411">
        <f>AV118/AV$119</f>
        <v/>
      </c>
      <c r="AW102" s="1411">
        <f>AW118/AW$119</f>
        <v/>
      </c>
      <c r="AX102" s="1411">
        <f>AX118/AX$119</f>
        <v/>
      </c>
      <c r="AY102" s="1411">
        <f>AY118/AY$119</f>
        <v/>
      </c>
      <c r="AZ102" s="1412">
        <f>AZ118/AZ$119</f>
        <v/>
      </c>
      <c r="BA102" s="1411">
        <f>BA118/BA$119</f>
        <v/>
      </c>
      <c r="BB102" s="1411">
        <f>BB118/BB$119</f>
        <v/>
      </c>
      <c r="BC102" s="1411">
        <f>BC118/BC$119</f>
        <v/>
      </c>
      <c r="BD102" s="1411">
        <f>BD118/BD$119</f>
        <v/>
      </c>
      <c r="BE102" s="1412">
        <f>BE118/BE$119</f>
        <v/>
      </c>
      <c r="BF102" s="1410">
        <f>BF118/BF$119</f>
        <v/>
      </c>
      <c r="BG102" s="1410">
        <f>BG118/BG$119</f>
        <v/>
      </c>
      <c r="BH102" s="1411">
        <f>BH118/BH$119</f>
        <v/>
      </c>
      <c r="BI102" s="1411">
        <f>BI118/BI$119</f>
        <v/>
      </c>
      <c r="BJ102" s="1412">
        <f>BJ118/BJ$119</f>
        <v/>
      </c>
      <c r="BK102" s="1410">
        <f>BK118/BK$119</f>
        <v/>
      </c>
      <c r="BL102" s="1410">
        <f>BL118/BL$119</f>
        <v/>
      </c>
      <c r="BM102" s="1410">
        <f>BM118/BM$119</f>
        <v/>
      </c>
      <c r="BN102" s="1413" t="n">
        <v>0</v>
      </c>
      <c r="BO102" s="1414">
        <f>BO118/BO$119</f>
        <v/>
      </c>
      <c r="BP102" s="1410" t="n"/>
      <c r="BQ102" s="1410" t="n"/>
      <c r="BR102" s="1410" t="n"/>
      <c r="BS102" s="1410" t="n"/>
      <c r="BT102" s="1409" t="n"/>
      <c r="BU102" s="1410" t="n"/>
      <c r="BV102" s="1410" t="n"/>
      <c r="BW102" s="1410" t="n"/>
      <c r="BX102" s="1410" t="n"/>
      <c r="BY102" s="1409" t="n"/>
      <c r="BZ102" s="1409" t="n"/>
      <c r="CA102" s="1409" t="n"/>
      <c r="CB102" s="1409" t="n"/>
      <c r="CC102" s="1294" t="n"/>
    </row>
    <row r="103" hidden="1" outlineLevel="2" ht="14.4" customFormat="1" customHeight="1" s="1350">
      <c r="A103" s="1417" t="inlineStr">
        <is>
          <t>Total wafer revenue, %</t>
        </is>
      </c>
      <c r="B103" s="1418" t="n"/>
      <c r="C103" s="1419">
        <f>SUM(C90:C92)+SUM(C95:C102)</f>
        <v/>
      </c>
      <c r="D103" s="1419">
        <f>SUM(D90:D92)+SUM(D95:D102)</f>
        <v/>
      </c>
      <c r="E103" s="1419">
        <f>SUM(E90:E92)+SUM(E95:E102)</f>
        <v/>
      </c>
      <c r="F103" s="1419">
        <f>SUM(F90:F92)+SUM(F95:F102)</f>
        <v/>
      </c>
      <c r="G103" s="1419">
        <f>SUM(G90:G92)+SUM(G95:G102)</f>
        <v/>
      </c>
      <c r="H103" s="1420">
        <f>SUM(H90:H92)+SUM(H95:H102)</f>
        <v/>
      </c>
      <c r="I103" s="1420">
        <f>SUM(I90:I92)+SUM(I95:I102)</f>
        <v/>
      </c>
      <c r="J103" s="1420">
        <f>SUM(J90:J92)+SUM(J95:J102)</f>
        <v/>
      </c>
      <c r="K103" s="1420">
        <f>SUM(K90:K92)+SUM(K95:K102)</f>
        <v/>
      </c>
      <c r="L103" s="1419">
        <f>SUM(L90:L92)+SUM(L95:L102)</f>
        <v/>
      </c>
      <c r="M103" s="1420">
        <f>SUM(M90:M92)+SUM(M95:M102)</f>
        <v/>
      </c>
      <c r="N103" s="1420">
        <f>SUM(N90:N92)+SUM(N95:N102)</f>
        <v/>
      </c>
      <c r="O103" s="1420">
        <f>SUM(O90:O92)+SUM(O95:O102)</f>
        <v/>
      </c>
      <c r="P103" s="1420">
        <f>SUM(P90:P92)+SUM(P95:P102)</f>
        <v/>
      </c>
      <c r="Q103" s="1419">
        <f>SUM(Q90:Q92)+SUM(Q95:Q102)</f>
        <v/>
      </c>
      <c r="R103" s="1420">
        <f>SUM(R90:R92)+SUM(R95:R102)</f>
        <v/>
      </c>
      <c r="S103" s="1420">
        <f>SUM(S90:S92)+SUM(S95:S102)</f>
        <v/>
      </c>
      <c r="T103" s="1420">
        <f>SUM(T90:T92)+SUM(T95:T102)</f>
        <v/>
      </c>
      <c r="U103" s="1420">
        <f>SUM(U90:U92)+SUM(U95:U102)</f>
        <v/>
      </c>
      <c r="V103" s="1419">
        <f>SUM(V90:V92)+SUM(V95:V102)</f>
        <v/>
      </c>
      <c r="W103" s="1420">
        <f>SUM(W90:W92)+SUM(W95:W102)</f>
        <v/>
      </c>
      <c r="X103" s="1420">
        <f>SUM(X90:X92)+SUM(X95:X102)</f>
        <v/>
      </c>
      <c r="Y103" s="1420">
        <f>SUM(Y90:Y92)+SUM(Y95:Y102)</f>
        <v/>
      </c>
      <c r="Z103" s="1420">
        <f>SUM(Z90:Z92)+SUM(Z95:Z102)</f>
        <v/>
      </c>
      <c r="AA103" s="1419">
        <f>SUM(AA90:AA92)+SUM(AA95:AA102)</f>
        <v/>
      </c>
      <c r="AB103" s="1420">
        <f>SUM(AB90:AB92)+SUM(AB95:AB102)</f>
        <v/>
      </c>
      <c r="AC103" s="1420">
        <f>SUM(AC90:AC92)+SUM(AC95:AC102)</f>
        <v/>
      </c>
      <c r="AD103" s="1420">
        <f>SUM(AD90:AD92)+SUM(AD95:AD102)</f>
        <v/>
      </c>
      <c r="AE103" s="1420">
        <f>SUM(AE90:AE92)+SUM(AE95:AE102)</f>
        <v/>
      </c>
      <c r="AF103" s="1419">
        <f>SUM(AF90:AF92)+SUM(AF95:AF102)</f>
        <v/>
      </c>
      <c r="AG103" s="1420">
        <f>SUM(AG90:AG92)+SUM(AG95:AG102)</f>
        <v/>
      </c>
      <c r="AH103" s="1420">
        <f>SUM(AH90:AH92)+SUM(AH95:AH102)</f>
        <v/>
      </c>
      <c r="AI103" s="1420">
        <f>SUM(AI90:AI92)+SUM(AI95:AI102)</f>
        <v/>
      </c>
      <c r="AJ103" s="1420">
        <f>SUM(AJ90:AJ92)+SUM(AJ95:AJ102)</f>
        <v/>
      </c>
      <c r="AK103" s="1419">
        <f>SUM(AK90:AK92)+SUM(AK95:AK102)</f>
        <v/>
      </c>
      <c r="AL103" s="1420">
        <f>SUM(AL90:AL92)+SUM(AL95:AL102)</f>
        <v/>
      </c>
      <c r="AM103" s="1420">
        <f>SUM(AM90:AM92)+SUM(AM95:AM102)</f>
        <v/>
      </c>
      <c r="AN103" s="1420">
        <f>SUM(AN90:AN92)+SUM(AN95:AN102)</f>
        <v/>
      </c>
      <c r="AO103" s="1420">
        <f>SUM(AO90:AO92)+SUM(AO95:AO102)</f>
        <v/>
      </c>
      <c r="AP103" s="1419">
        <f>SUM(AP90:AP92)+SUM(AP95:AP102)</f>
        <v/>
      </c>
      <c r="AQ103" s="1420">
        <f>SUM(AQ89:AQ92)+SUM(AQ95:AQ102)</f>
        <v/>
      </c>
      <c r="AR103" s="1420">
        <f>SUM(AR89:AR92)+SUM(AR95:AR102)</f>
        <v/>
      </c>
      <c r="AS103" s="1420">
        <f>SUM(AS89:AS92)+SUM(AS95:AS102)</f>
        <v/>
      </c>
      <c r="AT103" s="1420">
        <f>SUM(AT89:AT92)+SUM(AT95:AT102)</f>
        <v/>
      </c>
      <c r="AU103" s="1419">
        <f>SUM(AU89:AU92)+SUM(AU95:AU102)</f>
        <v/>
      </c>
      <c r="AV103" s="1420">
        <f>SUM(AV89:AV92)+SUM(AV95:AV102)</f>
        <v/>
      </c>
      <c r="AW103" s="1420">
        <f>SUM(AW89:AW92)+SUM(AW95:AW102)</f>
        <v/>
      </c>
      <c r="AX103" s="1420">
        <f>SUM(AX89:AX92)+SUM(AX95:AX102)</f>
        <v/>
      </c>
      <c r="AY103" s="1420">
        <f>SUM(AY89:AY92)+SUM(AY95:AY102)</f>
        <v/>
      </c>
      <c r="AZ103" s="1419">
        <f>SUM(AZ89:AZ92)+SUM(AZ95:AZ102)</f>
        <v/>
      </c>
      <c r="BA103" s="1420">
        <f>SUM(BA89:BA92)+SUM(BA95:BA102)</f>
        <v/>
      </c>
      <c r="BB103" s="1420">
        <f>SUM(BB89:BB92)+SUM(BB95:BB102)</f>
        <v/>
      </c>
      <c r="BC103" s="1420">
        <f>SUM(BC89:BC92)+SUM(BC95:BC102)</f>
        <v/>
      </c>
      <c r="BD103" s="1420">
        <f>SUM(BD89:BD92)+SUM(BD95:BD102)</f>
        <v/>
      </c>
      <c r="BE103" s="1419">
        <f>SUM(BE89:BE92)+SUM(BE95:BE102)</f>
        <v/>
      </c>
      <c r="BF103" s="1421">
        <f>SUM(BF89:BF92)+SUM(BF95:BF102)</f>
        <v/>
      </c>
      <c r="BG103" s="1420">
        <f>SUM(BG89:BG92)+SUM(BG95:BG102)</f>
        <v/>
      </c>
      <c r="BH103" s="1420">
        <f>SUM(BH89:BH92)+SUM(BH95:BH102)</f>
        <v/>
      </c>
      <c r="BI103" s="1420">
        <f>SUM(BI89:BI92)+SUM(BI95:BI102)</f>
        <v/>
      </c>
      <c r="BJ103" s="1419">
        <f>SUM(BJ89:BJ92)+SUM(BJ95:BJ102)</f>
        <v/>
      </c>
      <c r="BK103" s="1421">
        <f>SUM(BK89:BK92)+SUM(BK95:BK102)</f>
        <v/>
      </c>
      <c r="BL103" s="1420">
        <f>SUM(BL89:BL92)+SUM(BL95:BL102)</f>
        <v/>
      </c>
      <c r="BM103" s="1420">
        <f>SUM(BM89:BM92)+SUM(BM95:BM102)</f>
        <v/>
      </c>
      <c r="BN103" s="1420">
        <f>SUM(BN89:BN92)+SUM(BN95:BN102)</f>
        <v/>
      </c>
      <c r="BO103" s="1422">
        <f>SUM(BO89:BO92)+SUM(BO95:BO102)</f>
        <v/>
      </c>
      <c r="BP103" s="1421" t="n"/>
      <c r="BQ103" s="1421" t="n"/>
      <c r="BR103" s="1421" t="n"/>
      <c r="BS103" s="1421" t="n"/>
      <c r="BT103" s="1423" t="n"/>
      <c r="BU103" s="1421" t="n"/>
      <c r="BV103" s="1421" t="n"/>
      <c r="BW103" s="1421" t="n"/>
      <c r="BX103" s="1421" t="n"/>
      <c r="BY103" s="1423" t="n"/>
      <c r="BZ103" s="1423" t="n"/>
      <c r="CA103" s="1423" t="n"/>
      <c r="CB103" s="1423" t="n"/>
      <c r="CC103" s="1356" t="n"/>
    </row>
    <row r="104" hidden="1" outlineLevel="2" ht="14.4" customFormat="1" customHeight="1" s="1350">
      <c r="A104" s="1351" t="n"/>
      <c r="B104" s="1352" t="n"/>
      <c r="C104" s="1353" t="n"/>
      <c r="D104" s="1353" t="n"/>
      <c r="E104" s="1353" t="n"/>
      <c r="F104" s="1353" t="n"/>
      <c r="G104" s="1353" t="n"/>
      <c r="H104" s="1354" t="n"/>
      <c r="I104" s="1354" t="n"/>
      <c r="J104" s="1354" t="n"/>
      <c r="K104" s="1354" t="n"/>
      <c r="L104" s="1353" t="n"/>
      <c r="M104" s="1354" t="n"/>
      <c r="N104" s="1354" t="n"/>
      <c r="O104" s="1354" t="n"/>
      <c r="P104" s="1354" t="n"/>
      <c r="Q104" s="1353" t="n"/>
      <c r="R104" s="1354" t="n"/>
      <c r="S104" s="1354" t="n"/>
      <c r="T104" s="1354" t="n"/>
      <c r="U104" s="1354" t="n"/>
      <c r="V104" s="1353" t="n"/>
      <c r="W104" s="1354" t="n"/>
      <c r="X104" s="1354" t="n"/>
      <c r="Y104" s="1354" t="n"/>
      <c r="Z104" s="1354" t="n"/>
      <c r="AA104" s="1353" t="n"/>
      <c r="AB104" s="1354" t="n"/>
      <c r="AC104" s="1354" t="n"/>
      <c r="AD104" s="1354" t="n"/>
      <c r="AE104" s="1354" t="n"/>
      <c r="AF104" s="1353" t="n"/>
      <c r="AG104" s="1354" t="n"/>
      <c r="AH104" s="1354" t="n"/>
      <c r="AI104" s="1354" t="n"/>
      <c r="AJ104" s="1354" t="n"/>
      <c r="AK104" s="1353" t="n"/>
      <c r="AL104" s="1354" t="n"/>
      <c r="AM104" s="1354" t="n"/>
      <c r="AN104" s="1354" t="n"/>
      <c r="AO104" s="1354" t="n"/>
      <c r="AP104" s="1353" t="n"/>
      <c r="AQ104" s="1354" t="n"/>
      <c r="AR104" s="1354" t="n"/>
      <c r="AS104" s="1354" t="n"/>
      <c r="AT104" s="1354" t="n"/>
      <c r="AU104" s="1353" t="n"/>
      <c r="AV104" s="1354" t="n"/>
      <c r="AW104" s="1354" t="n"/>
      <c r="AX104" s="1354" t="n"/>
      <c r="AY104" s="1354" t="n"/>
      <c r="AZ104" s="1353" t="n"/>
      <c r="BA104" s="1354" t="n"/>
      <c r="BB104" s="1354" t="n"/>
      <c r="BC104" s="1354" t="n"/>
      <c r="BD104" s="1354" t="n"/>
      <c r="BE104" s="1353" t="n"/>
      <c r="BF104" s="1354" t="n"/>
      <c r="BG104" s="1354" t="n"/>
      <c r="BH104" s="1354" t="n"/>
      <c r="BI104" s="1354" t="n"/>
      <c r="BJ104" s="1353" t="n"/>
      <c r="BK104" s="1354" t="n"/>
      <c r="BL104" s="1354" t="n"/>
      <c r="BM104" s="1354" t="n"/>
      <c r="BN104" s="1354" t="n"/>
      <c r="BO104" s="1355" t="n"/>
      <c r="BP104" s="1354" t="n"/>
      <c r="BQ104" s="1354" t="n"/>
      <c r="BR104" s="1354" t="n"/>
      <c r="BS104" s="1354" t="n"/>
      <c r="BT104" s="1353" t="n"/>
      <c r="BU104" s="1354" t="n"/>
      <c r="BV104" s="1354" t="n"/>
      <c r="BW104" s="1354" t="n"/>
      <c r="BX104" s="1354" t="n"/>
      <c r="BY104" s="1353" t="n"/>
      <c r="BZ104" s="1353" t="n"/>
      <c r="CA104" s="1353" t="n"/>
      <c r="CB104" s="1353" t="n"/>
      <c r="CC104" s="1356" t="n"/>
    </row>
    <row r="105" hidden="1" outlineLevel="2" ht="14.4" customFormat="1" customHeight="1" s="1275">
      <c r="A105" s="1384" t="inlineStr">
        <is>
          <t>3-nanometer revenue, mm</t>
        </is>
      </c>
      <c r="B105" s="1296" t="n"/>
      <c r="C105" s="1297" t="n"/>
      <c r="D105" s="1297" t="n"/>
      <c r="E105" s="1297" t="n"/>
      <c r="F105" s="1297" t="n"/>
      <c r="G105" s="1297" t="n"/>
      <c r="H105" s="1277" t="n"/>
      <c r="I105" s="1277" t="n"/>
      <c r="J105" s="1277" t="n"/>
      <c r="K105" s="1277" t="n"/>
      <c r="L105" s="1297" t="n"/>
      <c r="M105" s="1277" t="n"/>
      <c r="N105" s="1277" t="n"/>
      <c r="O105" s="1277" t="n"/>
      <c r="P105" s="1277" t="n"/>
      <c r="Q105" s="1297" t="n"/>
      <c r="R105" s="1277" t="n"/>
      <c r="S105" s="1277" t="n"/>
      <c r="T105" s="1277" t="n"/>
      <c r="U105" s="1277" t="n"/>
      <c r="V105" s="1297" t="n"/>
      <c r="W105" s="1277" t="n"/>
      <c r="X105" s="1277" t="n"/>
      <c r="Y105" s="1277" t="n"/>
      <c r="Z105" s="1277" t="n"/>
      <c r="AA105" s="1297" t="n"/>
      <c r="AB105" s="1277" t="n"/>
      <c r="AC105" s="1277" t="n"/>
      <c r="AD105" s="1277" t="n"/>
      <c r="AE105" s="1277" t="n"/>
      <c r="AF105" s="1297" t="n"/>
      <c r="AG105" s="1277" t="n"/>
      <c r="AH105" s="1277" t="n"/>
      <c r="AI105" s="1277" t="n"/>
      <c r="AJ105" s="1277" t="n"/>
      <c r="AK105" s="1297" t="n"/>
      <c r="AL105" s="1277" t="n"/>
      <c r="AM105" s="1277" t="n"/>
      <c r="AN105" s="1277" t="n"/>
      <c r="AO105" s="1277" t="n"/>
      <c r="AP105" s="1297" t="n"/>
      <c r="AQ105" s="1277" t="n"/>
      <c r="AR105" s="1277" t="n"/>
      <c r="AS105" s="1277" t="n"/>
      <c r="AT105" s="1277" t="n"/>
      <c r="AU105" s="1297" t="n"/>
      <c r="AV105" s="1277" t="n"/>
      <c r="AW105" s="1277" t="n"/>
      <c r="AX105" s="1277" t="n"/>
      <c r="AY105" s="1277" t="n"/>
      <c r="AZ105" s="1297" t="n"/>
      <c r="BA105" s="1277" t="n"/>
      <c r="BB105" s="1298" t="n">
        <v>483.71</v>
      </c>
      <c r="BC105" s="1298" t="n">
        <v>28994.752</v>
      </c>
      <c r="BD105" s="1277">
        <f>BE105-SUM(BA105,BB105,BC105)</f>
        <v/>
      </c>
      <c r="BE105" s="1299" t="n">
        <v>108045.275</v>
      </c>
      <c r="BF105" s="1298" t="n">
        <v>45448.96</v>
      </c>
      <c r="BG105" s="1298" t="n">
        <v>90111.25999999999</v>
      </c>
      <c r="BH105" s="1298" t="n">
        <v>129922.709</v>
      </c>
      <c r="BI105" s="1277">
        <f>BJ105-SUM(BF105,BG105,BH105)</f>
        <v/>
      </c>
      <c r="BJ105" s="1299" t="n">
        <v>459530.166</v>
      </c>
      <c r="BK105" s="1298" t="n">
        <v>160180.187</v>
      </c>
      <c r="BL105" s="1298" t="n">
        <v>187252.107</v>
      </c>
      <c r="BM105" s="1298" t="n">
        <v>198608.328</v>
      </c>
      <c r="BN105" s="1277">
        <f>BN$119*BN89</f>
        <v/>
      </c>
      <c r="BO105" s="1382">
        <f>SUM(BK105,BL105,BM105,BN105)</f>
        <v/>
      </c>
      <c r="BP105" s="1277" t="n"/>
      <c r="BQ105" s="1277" t="n"/>
      <c r="BR105" s="1277" t="n"/>
      <c r="BS105" s="1277" t="n"/>
      <c r="BT105" s="1297" t="n"/>
      <c r="BU105" s="1277" t="n"/>
      <c r="BV105" s="1277" t="n"/>
      <c r="BW105" s="1277" t="n"/>
      <c r="BX105" s="1277" t="n"/>
      <c r="BY105" s="1297" t="n"/>
      <c r="BZ105" s="1297" t="n"/>
      <c r="CA105" s="1297" t="n"/>
      <c r="CB105" s="1297" t="n"/>
      <c r="CC105" s="1280" t="n"/>
    </row>
    <row r="106" hidden="1" outlineLevel="2" ht="14.4" customFormat="1" customHeight="1" s="1275">
      <c r="A106" s="1384" t="inlineStr">
        <is>
          <t>5-nanometer revenue, mm</t>
        </is>
      </c>
      <c r="B106" s="1296" t="n"/>
      <c r="C106" s="1297" t="n"/>
      <c r="D106" s="1297" t="n"/>
      <c r="E106" s="1297" t="n"/>
      <c r="F106" s="1297" t="n"/>
      <c r="G106" s="1297" t="n"/>
      <c r="H106" s="1277" t="n"/>
      <c r="I106" s="1277" t="n"/>
      <c r="J106" s="1277" t="n"/>
      <c r="K106" s="1277" t="n"/>
      <c r="L106" s="1297" t="n"/>
      <c r="M106" s="1277" t="n"/>
      <c r="N106" s="1277" t="n"/>
      <c r="O106" s="1277" t="n"/>
      <c r="P106" s="1277" t="n"/>
      <c r="Q106" s="1297" t="n"/>
      <c r="R106" s="1277" t="n"/>
      <c r="S106" s="1277" t="n"/>
      <c r="T106" s="1277" t="n"/>
      <c r="U106" s="1277" t="n"/>
      <c r="V106" s="1297" t="n"/>
      <c r="W106" s="1277" t="n"/>
      <c r="X106" s="1277" t="n"/>
      <c r="Y106" s="1277" t="n"/>
      <c r="Z106" s="1277" t="n"/>
      <c r="AA106" s="1297" t="n"/>
      <c r="AB106" s="1277" t="n"/>
      <c r="AC106" s="1277" t="n"/>
      <c r="AD106" s="1277" t="n"/>
      <c r="AE106" s="1277" t="n"/>
      <c r="AF106" s="1297" t="n"/>
      <c r="AG106" s="1277" t="n"/>
      <c r="AH106" s="1277" t="n"/>
      <c r="AI106" s="1277" t="n"/>
      <c r="AJ106" s="1277" t="n"/>
      <c r="AK106" s="1297" t="n"/>
      <c r="AL106" s="1277" t="n"/>
      <c r="AM106" s="1277" t="n"/>
      <c r="AN106" s="1298" t="n">
        <v>25829.998</v>
      </c>
      <c r="AO106" s="1277">
        <f>AP106-SUM(AL106,AM106,AN106)</f>
        <v/>
      </c>
      <c r="AP106" s="1299" t="n">
        <v>90934.485</v>
      </c>
      <c r="AQ106" s="1298" t="n">
        <v>45613.201</v>
      </c>
      <c r="AR106" s="1298" t="n">
        <v>61189.745</v>
      </c>
      <c r="AS106" s="1298" t="n">
        <v>66930.524</v>
      </c>
      <c r="AT106" s="1277">
        <f>AU106-SUM(AQ106,AR106,AS106)</f>
        <v/>
      </c>
      <c r="AU106" s="1299" t="n">
        <v>262327.365</v>
      </c>
      <c r="AV106" s="1298" t="n">
        <v>86291.78999999999</v>
      </c>
      <c r="AW106" s="1298" t="n">
        <v>100729.723</v>
      </c>
      <c r="AX106" s="1298" t="n">
        <v>148812.933</v>
      </c>
      <c r="AY106" s="1277">
        <f>AZ106-SUM(AV106,AW106,AX106)</f>
        <v/>
      </c>
      <c r="AZ106" s="1299" t="n">
        <v>508689.881</v>
      </c>
      <c r="BA106" s="1298" t="n">
        <v>139295.477</v>
      </c>
      <c r="BB106" s="1298" t="n">
        <v>127824.564</v>
      </c>
      <c r="BC106" s="1298" t="n">
        <v>173185.785</v>
      </c>
      <c r="BD106" s="1277">
        <f>BE106-SUM(BA106,BB106,BC106)</f>
        <v/>
      </c>
      <c r="BE106" s="1299" t="n">
        <v>629300.387</v>
      </c>
      <c r="BF106" s="1298" t="n">
        <v>190695.754</v>
      </c>
      <c r="BG106" s="1298" t="n">
        <v>209567.531</v>
      </c>
      <c r="BH106" s="1298" t="n">
        <v>205265.439</v>
      </c>
      <c r="BI106" s="1277">
        <f>BJ106-SUM(BF106,BG106,BH106)</f>
        <v/>
      </c>
      <c r="BJ106" s="1299" t="n">
        <v>861318.861</v>
      </c>
      <c r="BK106" s="1298" t="n">
        <v>254408.255</v>
      </c>
      <c r="BL106" s="1298" t="n">
        <v>289669.221</v>
      </c>
      <c r="BM106" s="1298" t="n">
        <v>323170.791</v>
      </c>
      <c r="BN106" s="1277">
        <f>BN$119*BN90</f>
        <v/>
      </c>
      <c r="BO106" s="1382">
        <f>SUM(BK106,BL106,BM106,BN106)</f>
        <v/>
      </c>
      <c r="BP106" s="1277" t="n"/>
      <c r="BQ106" s="1277" t="n"/>
      <c r="BR106" s="1277" t="n"/>
      <c r="BS106" s="1277" t="n"/>
      <c r="BT106" s="1297" t="n"/>
      <c r="BU106" s="1277" t="n"/>
      <c r="BV106" s="1277" t="n"/>
      <c r="BW106" s="1277" t="n"/>
      <c r="BX106" s="1277" t="n"/>
      <c r="BY106" s="1297" t="n"/>
      <c r="BZ106" s="1297" t="n"/>
      <c r="CA106" s="1297" t="n"/>
      <c r="CB106" s="1297" t="n"/>
      <c r="CC106" s="1280" t="n"/>
    </row>
    <row r="107" hidden="1" outlineLevel="2" ht="14.4" customFormat="1" customHeight="1" s="1275">
      <c r="A107" s="1384" t="inlineStr">
        <is>
          <t>7-nanometer revenue, mm</t>
        </is>
      </c>
      <c r="B107" s="1296" t="n"/>
      <c r="C107" s="1297">
        <f>C91*C$119</f>
        <v/>
      </c>
      <c r="D107" s="1297">
        <f>D91*D$119</f>
        <v/>
      </c>
      <c r="E107" s="1297">
        <f>E91*E$119</f>
        <v/>
      </c>
      <c r="F107" s="1297">
        <f>F91*F$119</f>
        <v/>
      </c>
      <c r="G107" s="1297">
        <f>G91*G$119</f>
        <v/>
      </c>
      <c r="H107" s="1277" t="n"/>
      <c r="I107" s="1277" t="n"/>
      <c r="J107" s="1277" t="n"/>
      <c r="K107" s="1277" t="n"/>
      <c r="L107" s="1297">
        <f>L91*L$119</f>
        <v/>
      </c>
      <c r="M107" s="1277" t="n"/>
      <c r="N107" s="1277" t="n"/>
      <c r="O107" s="1277" t="n"/>
      <c r="P107" s="1277" t="n"/>
      <c r="Q107" s="1297">
        <f>Q91*Q$119</f>
        <v/>
      </c>
      <c r="R107" s="1277" t="n"/>
      <c r="S107" s="1277" t="n"/>
      <c r="T107" s="1277" t="n"/>
      <c r="U107" s="1277" t="n"/>
      <c r="V107" s="1297" t="n"/>
      <c r="W107" s="1277" t="n"/>
      <c r="X107" s="1277" t="n"/>
      <c r="Y107" s="1277" t="n"/>
      <c r="Z107" s="1277" t="n"/>
      <c r="AA107" s="1297">
        <f>AA91*AA$119</f>
        <v/>
      </c>
      <c r="AB107" s="1277" t="n"/>
      <c r="AC107" s="1298" t="n">
        <v>913.283</v>
      </c>
      <c r="AD107" s="1298" t="n">
        <v>25336.977</v>
      </c>
      <c r="AE107" s="1277">
        <f>AF107-SUM(AB107,AC107,AD107)</f>
        <v/>
      </c>
      <c r="AF107" s="1299" t="n">
        <v>81680.746</v>
      </c>
      <c r="AG107" s="1298" t="n">
        <v>42208.718</v>
      </c>
      <c r="AH107" s="1298" t="n">
        <v>43852.62</v>
      </c>
      <c r="AI107" s="1298" t="n">
        <v>68541.89200000001</v>
      </c>
      <c r="AJ107" s="1277">
        <f>AK107-SUM(AG107,AH107,AI107)</f>
        <v/>
      </c>
      <c r="AK107" s="1299" t="n">
        <v>249548.139</v>
      </c>
      <c r="AL107" s="1298" t="n">
        <v>95707.564</v>
      </c>
      <c r="AM107" s="1298" t="n">
        <v>100229.077</v>
      </c>
      <c r="AN107" s="1298" t="n">
        <v>109428.962</v>
      </c>
      <c r="AO107" s="1277">
        <f>AP107-SUM(AL107,AM107,AN107)</f>
        <v/>
      </c>
      <c r="AP107" s="1299" t="n">
        <v>394836.964</v>
      </c>
      <c r="AQ107" s="1298" t="n">
        <v>111021.375</v>
      </c>
      <c r="AR107" s="1298" t="n">
        <v>101327.247</v>
      </c>
      <c r="AS107" s="1298" t="n">
        <v>122606.053</v>
      </c>
      <c r="AT107" s="1277">
        <f>AU107-SUM(AQ107,AR107,AS107)</f>
        <v/>
      </c>
      <c r="AU107" s="1299" t="n">
        <v>440383.1</v>
      </c>
      <c r="AV107" s="1298" t="n">
        <v>132325.105</v>
      </c>
      <c r="AW107" s="1298" t="n">
        <v>142919.242</v>
      </c>
      <c r="AX107" s="1298" t="n">
        <v>142152.179</v>
      </c>
      <c r="AY107" s="1277">
        <f>AZ107-SUM(AV107,AW107,AX107)</f>
        <v/>
      </c>
      <c r="AZ107" s="1299" t="n">
        <v>535153.763</v>
      </c>
      <c r="BA107" s="1298" t="n">
        <v>88841.656</v>
      </c>
      <c r="BB107" s="1298" t="n">
        <v>97189.205</v>
      </c>
      <c r="BC107" s="1298" t="n">
        <v>78277.122</v>
      </c>
      <c r="BD107" s="1277">
        <f>BE107-SUM(BA107,BB107,BC107)</f>
        <v/>
      </c>
      <c r="BE107" s="1299" t="n">
        <v>357247.365</v>
      </c>
      <c r="BF107" s="1298">
        <f>100388.853+0.734</f>
        <v/>
      </c>
      <c r="BG107" s="1298" t="n">
        <v>101106.641</v>
      </c>
      <c r="BH107" s="1298" t="n">
        <v>110118.632</v>
      </c>
      <c r="BI107" s="1277">
        <f>BJ107-SUM(BF107,BG107,BH107)</f>
        <v/>
      </c>
      <c r="BJ107" s="1299" t="n">
        <v>416790.303</v>
      </c>
      <c r="BK107" s="1298" t="n">
        <v>108196.547</v>
      </c>
      <c r="BL107" s="1298" t="n">
        <v>109051.362</v>
      </c>
      <c r="BM107" s="1298" t="n">
        <v>117257.604</v>
      </c>
      <c r="BN107" s="1277">
        <f>BN$119*BN91</f>
        <v/>
      </c>
      <c r="BO107" s="1382">
        <f>SUM(BK107,BL107,BM107,BN107)</f>
        <v/>
      </c>
      <c r="BP107" s="1277" t="n"/>
      <c r="BQ107" s="1277" t="n"/>
      <c r="BR107" s="1277" t="n"/>
      <c r="BS107" s="1277" t="n"/>
      <c r="BT107" s="1297" t="n"/>
      <c r="BU107" s="1277" t="n"/>
      <c r="BV107" s="1277" t="n"/>
      <c r="BW107" s="1277" t="n"/>
      <c r="BX107" s="1277" t="n"/>
      <c r="BY107" s="1297" t="n"/>
      <c r="BZ107" s="1297" t="n"/>
      <c r="CA107" s="1297" t="n"/>
      <c r="CB107" s="1297" t="n"/>
      <c r="CC107" s="1280" t="n"/>
    </row>
    <row r="108" hidden="1" outlineLevel="2" ht="14.4" customFormat="1" customHeight="1" s="1275">
      <c r="A108" s="1384" t="inlineStr">
        <is>
          <t>10-nanometer revenue, mm</t>
        </is>
      </c>
      <c r="B108" s="1296" t="n"/>
      <c r="C108" s="1297">
        <f>C92*C$119</f>
        <v/>
      </c>
      <c r="D108" s="1297">
        <f>D92*D$119</f>
        <v/>
      </c>
      <c r="E108" s="1297">
        <f>E92*E$119</f>
        <v/>
      </c>
      <c r="F108" s="1297">
        <f>F92*F$119</f>
        <v/>
      </c>
      <c r="G108" s="1297">
        <f>G92*G$119</f>
        <v/>
      </c>
      <c r="H108" s="1277" t="n"/>
      <c r="I108" s="1277" t="n"/>
      <c r="J108" s="1277" t="n"/>
      <c r="K108" s="1277" t="n"/>
      <c r="L108" s="1297">
        <f>L92*L$119</f>
        <v/>
      </c>
      <c r="M108" s="1277" t="n"/>
      <c r="N108" s="1277" t="n"/>
      <c r="O108" s="1277" t="n"/>
      <c r="P108" s="1277" t="n"/>
      <c r="Q108" s="1297">
        <f>Q92*Q$119</f>
        <v/>
      </c>
      <c r="R108" s="1277" t="n"/>
      <c r="S108" s="1277" t="n"/>
      <c r="T108" s="1277" t="n"/>
      <c r="U108" s="1277" t="n"/>
      <c r="V108" s="1297">
        <f>V92*V$119</f>
        <v/>
      </c>
      <c r="W108" s="1277" t="n"/>
      <c r="X108" s="1277" t="n"/>
      <c r="Y108" s="1277" t="n"/>
      <c r="Z108" s="1277" t="n"/>
      <c r="AA108" s="1297">
        <f>AA92*AA$119</f>
        <v/>
      </c>
      <c r="AB108" s="1298" t="n">
        <v>40853.554</v>
      </c>
      <c r="AC108" s="1298" t="n">
        <v>26873.324</v>
      </c>
      <c r="AD108" s="1298" t="n">
        <v>13476.325</v>
      </c>
      <c r="AE108" s="1277">
        <f>AF108-SUM(AB108,AC108,AD108)</f>
        <v/>
      </c>
      <c r="AF108" s="1299" t="n">
        <v>96989.486</v>
      </c>
      <c r="AG108" s="1298" t="n">
        <v>6981.206</v>
      </c>
      <c r="AH108" s="1298" t="n">
        <v>6957.387</v>
      </c>
      <c r="AI108" s="1298" t="n">
        <v>5077.177</v>
      </c>
      <c r="AJ108" s="1277">
        <f>AK108-SUM(AG108,AH108,AI108)</f>
        <v/>
      </c>
      <c r="AK108" s="1299" t="n">
        <v>23266.355</v>
      </c>
      <c r="AL108" s="1298" t="n">
        <v>1279.497</v>
      </c>
      <c r="AM108" s="1298" t="n">
        <v>724.04</v>
      </c>
      <c r="AN108" s="1298" t="n">
        <v>766.811</v>
      </c>
      <c r="AO108" s="1277">
        <f>AP108-SUM(AL108,AM108,AN108)</f>
        <v/>
      </c>
      <c r="AP108" s="1299" t="n">
        <v>3403.151</v>
      </c>
      <c r="AQ108" s="1298" t="n">
        <v>457.038</v>
      </c>
      <c r="AR108" s="1298" t="n">
        <v>171.448</v>
      </c>
      <c r="AS108" s="1298" t="n">
        <v>14.701</v>
      </c>
      <c r="AT108" s="1277">
        <f>AU108-SUM(AQ108,AR108,AS108)</f>
        <v/>
      </c>
      <c r="AU108" s="1299" t="n">
        <v>659.989</v>
      </c>
      <c r="AV108" s="1298" t="n">
        <v>3.145</v>
      </c>
      <c r="AW108" s="1298" t="n">
        <v>10.212</v>
      </c>
      <c r="AX108" s="1298" t="n">
        <v>4.48</v>
      </c>
      <c r="AY108" s="1277">
        <f>AZ108-SUM(AV108,AW108,AX108)</f>
        <v/>
      </c>
      <c r="AZ108" s="1299" t="n">
        <v>24.871</v>
      </c>
      <c r="BA108" s="1298" t="n">
        <v>11.515</v>
      </c>
      <c r="BB108" s="1298" t="n">
        <v>5.386</v>
      </c>
      <c r="BC108" s="1298" t="n">
        <v>3.5</v>
      </c>
      <c r="BD108" s="1277">
        <f>BE108-SUM(BA108,BB108,BC108)</f>
        <v/>
      </c>
      <c r="BE108" s="1299" t="n">
        <v>23.332</v>
      </c>
      <c r="BF108" s="1277" t="n"/>
      <c r="BG108" s="1277" t="n"/>
      <c r="BH108" s="1277" t="n"/>
      <c r="BI108" s="1277" t="n"/>
      <c r="BJ108" s="1297" t="n"/>
      <c r="BK108" s="1277" t="n"/>
      <c r="BL108" s="1277" t="n"/>
      <c r="BM108" s="1277" t="n"/>
      <c r="BN108" s="1277">
        <f>BN$119*BN92</f>
        <v/>
      </c>
      <c r="BO108" s="1382">
        <f>SUM(BK108,BL108,BM108,BN108)</f>
        <v/>
      </c>
      <c r="BP108" s="1277" t="n"/>
      <c r="BQ108" s="1277" t="n"/>
      <c r="BR108" s="1277" t="n"/>
      <c r="BS108" s="1277" t="n"/>
      <c r="BT108" s="1297" t="n"/>
      <c r="BU108" s="1277" t="n"/>
      <c r="BV108" s="1277" t="n"/>
      <c r="BW108" s="1277" t="n"/>
      <c r="BX108" s="1277" t="n"/>
      <c r="BY108" s="1297" t="n"/>
      <c r="BZ108" s="1297" t="n"/>
      <c r="CA108" s="1297" t="n"/>
      <c r="CB108" s="1297" t="n"/>
      <c r="CC108" s="1280" t="n"/>
    </row>
    <row r="109" hidden="1" outlineLevel="2" ht="14.4" customFormat="1" customHeight="1" s="1424">
      <c r="A109" s="1425" t="inlineStr">
        <is>
          <t>16-nanometer revenue, mm</t>
        </is>
      </c>
      <c r="B109" s="1426" t="n"/>
      <c r="C109" s="1427">
        <f>C95*C$119</f>
        <v/>
      </c>
      <c r="D109" s="1427">
        <f>D95*D$119</f>
        <v/>
      </c>
      <c r="E109" s="1427">
        <f>E95*E$119</f>
        <v/>
      </c>
      <c r="F109" s="1427">
        <f>F95*F$119</f>
        <v/>
      </c>
      <c r="G109" s="1427">
        <f>G95*G$119</f>
        <v/>
      </c>
      <c r="H109" s="1384" t="n"/>
      <c r="I109" s="1384" t="n"/>
      <c r="J109" s="1384" t="n"/>
      <c r="K109" s="1384" t="n"/>
      <c r="L109" s="1427">
        <f>L95*L$119</f>
        <v/>
      </c>
      <c r="M109" s="1384" t="n"/>
      <c r="N109" s="1384" t="n"/>
      <c r="O109" s="1384" t="n"/>
      <c r="P109" s="1384" t="n"/>
      <c r="Q109" s="1427">
        <f>Q95*Q$119</f>
        <v/>
      </c>
      <c r="R109" s="1384" t="n"/>
      <c r="S109" s="1384" t="n"/>
      <c r="T109" s="1384" t="n"/>
      <c r="U109" s="1384" t="n"/>
      <c r="V109" s="1427">
        <f>V95*V$119</f>
        <v/>
      </c>
      <c r="W109" s="1384" t="n"/>
      <c r="X109" s="1384" t="n"/>
      <c r="Y109" s="1384" t="n"/>
      <c r="Z109" s="1384" t="n"/>
      <c r="AA109" s="1427">
        <f>AA95*AA$119</f>
        <v/>
      </c>
      <c r="AB109" s="1428" t="n">
        <v>47322.891</v>
      </c>
      <c r="AC109" s="1428" t="n">
        <v>53330.347</v>
      </c>
      <c r="AD109" s="1428" t="n">
        <v>58294.618</v>
      </c>
      <c r="AE109" s="1384">
        <f>AF109-SUM(AB109,AC109,AD109)</f>
        <v/>
      </c>
      <c r="AF109" s="1429" t="n">
        <v>210989.033</v>
      </c>
      <c r="AG109" s="1428">
        <f>30049.7+2763.835</f>
        <v/>
      </c>
      <c r="AH109" s="1428">
        <f>48069.217+2740.789</f>
        <v/>
      </c>
      <c r="AI109" s="1428">
        <f>54833.514+2030.871</f>
        <v/>
      </c>
      <c r="AJ109" s="1384">
        <f>AK109-SUM(AG109,AH109,AI109)</f>
        <v/>
      </c>
      <c r="AK109" s="1429">
        <f>186700.858+9535.831</f>
        <v/>
      </c>
      <c r="AL109" s="1428">
        <f>51419.279+1852.768</f>
        <v/>
      </c>
      <c r="AM109" s="1428">
        <f>48709.06+2243.613</f>
        <v/>
      </c>
      <c r="AN109" s="1428">
        <f>55726.975+2415.743</f>
        <v/>
      </c>
      <c r="AO109" s="1384">
        <f>AP109-SUM(AL109,AM109,AN109)</f>
        <v/>
      </c>
      <c r="AP109" s="1429">
        <f>197959.003+8450.865</f>
        <v/>
      </c>
      <c r="AQ109" s="1428" t="n">
        <v>45307.582</v>
      </c>
      <c r="AR109" s="1428" t="n">
        <v>45342.157</v>
      </c>
      <c r="AS109" s="1428" t="n">
        <v>48812.969</v>
      </c>
      <c r="AT109" s="1384">
        <f>AU109-SUM(AQ109,AR109,AS109)</f>
        <v/>
      </c>
      <c r="AU109" s="1429" t="n">
        <v>191058.94</v>
      </c>
      <c r="AV109" s="1428" t="n">
        <v>60867.539</v>
      </c>
      <c r="AW109" s="1428" t="n">
        <v>64478.129</v>
      </c>
      <c r="AX109" s="1428" t="n">
        <v>66299.632</v>
      </c>
      <c r="AY109" s="1384">
        <f>AZ109-SUM(AV109,AW109,AX109)</f>
        <v/>
      </c>
      <c r="AZ109" s="1429" t="n">
        <v>258544.274</v>
      </c>
      <c r="BA109" s="1298" t="n">
        <v>57616.256</v>
      </c>
      <c r="BB109" s="1428" t="n">
        <v>44651.154</v>
      </c>
      <c r="BC109" s="1428" t="n">
        <v>44470.242</v>
      </c>
      <c r="BD109" s="1384">
        <f>BE109-SUM(BA109,BB109,BC109)</f>
        <v/>
      </c>
      <c r="BE109" s="1429" t="n">
        <v>191306.073</v>
      </c>
      <c r="BF109" s="1298" t="n">
        <v>48472.211</v>
      </c>
      <c r="BG109" s="1428" t="n">
        <v>52681.064</v>
      </c>
      <c r="BH109" s="1428" t="n">
        <v>50836.959</v>
      </c>
      <c r="BI109" s="1384">
        <f>BJ109-SUM(BF109,BG109,BH109)</f>
        <v/>
      </c>
      <c r="BJ109" s="1429" t="n">
        <v>202383.718</v>
      </c>
      <c r="BK109" s="1298" t="n">
        <v>47336.847</v>
      </c>
      <c r="BL109" s="1428" t="n">
        <v>56317.381</v>
      </c>
      <c r="BM109" s="1428" t="n">
        <v>57307.151</v>
      </c>
      <c r="BN109" s="1384">
        <f>BN$119*BN93</f>
        <v/>
      </c>
      <c r="BO109" s="1430">
        <f>SUM(BK109,BL109,BM109,BN109)</f>
        <v/>
      </c>
      <c r="BP109" s="1384" t="n"/>
      <c r="BQ109" s="1384" t="n"/>
      <c r="BR109" s="1384" t="n"/>
      <c r="BS109" s="1384" t="n"/>
      <c r="BT109" s="1427" t="n"/>
      <c r="BU109" s="1384" t="n"/>
      <c r="BV109" s="1384" t="n"/>
      <c r="BW109" s="1384" t="n"/>
      <c r="BX109" s="1384" t="n"/>
      <c r="BY109" s="1427" t="n"/>
      <c r="BZ109" s="1427" t="n"/>
      <c r="CA109" s="1427" t="n"/>
      <c r="CB109" s="1427" t="n"/>
      <c r="CC109" s="1295" t="n"/>
    </row>
    <row r="110" hidden="1" outlineLevel="2" ht="14.4" customFormat="1" customHeight="1" s="1424">
      <c r="A110" s="1431" t="inlineStr">
        <is>
          <t>20-nanometer revenue, mm</t>
        </is>
      </c>
      <c r="B110" s="1432" t="n"/>
      <c r="C110" s="1433" t="n"/>
      <c r="D110" s="1433" t="n"/>
      <c r="E110" s="1433" t="n"/>
      <c r="F110" s="1433" t="n"/>
      <c r="G110" s="1433" t="n"/>
      <c r="H110" s="1388" t="n"/>
      <c r="I110" s="1388" t="n"/>
      <c r="J110" s="1388" t="n"/>
      <c r="K110" s="1388" t="n"/>
      <c r="L110" s="1433" t="n"/>
      <c r="M110" s="1388" t="n"/>
      <c r="N110" s="1388" t="n"/>
      <c r="O110" s="1388" t="n"/>
      <c r="P110" s="1388" t="n"/>
      <c r="Q110" s="1433" t="n"/>
      <c r="R110" s="1388" t="n"/>
      <c r="S110" s="1388" t="n"/>
      <c r="T110" s="1388" t="n"/>
      <c r="U110" s="1388" t="n"/>
      <c r="V110" s="1433" t="n"/>
      <c r="W110" s="1388" t="n"/>
      <c r="X110" s="1388" t="n"/>
      <c r="Y110" s="1388" t="n"/>
      <c r="Z110" s="1388" t="n"/>
      <c r="AA110" s="1433" t="n"/>
      <c r="AB110" s="1388" t="n"/>
      <c r="AC110" s="1388" t="n"/>
      <c r="AD110" s="1388" t="n"/>
      <c r="AE110" s="1388" t="n"/>
      <c r="AF110" s="1433" t="n"/>
      <c r="AG110" s="1388" t="n"/>
      <c r="AH110" s="1388" t="n"/>
      <c r="AI110" s="1388" t="n"/>
      <c r="AJ110" s="1388" t="n"/>
      <c r="AK110" s="1433" t="n"/>
      <c r="AL110" s="1388" t="n"/>
      <c r="AM110" s="1388" t="n"/>
      <c r="AN110" s="1388" t="n"/>
      <c r="AO110" s="1388" t="n"/>
      <c r="AP110" s="1433" t="n"/>
      <c r="AQ110" s="1434" t="n">
        <v>1201.403</v>
      </c>
      <c r="AR110" s="1434" t="n">
        <v>1329.397</v>
      </c>
      <c r="AS110" s="1434" t="n">
        <v>1203.472</v>
      </c>
      <c r="AT110" s="1388">
        <f>AU110-SUM(AQ110,AR110,AS110)</f>
        <v/>
      </c>
      <c r="AU110" s="1435" t="n">
        <v>5668.752</v>
      </c>
      <c r="AV110" s="1434" t="n">
        <v>2154.465</v>
      </c>
      <c r="AW110" s="1434" t="n">
        <v>2129.924</v>
      </c>
      <c r="AX110" s="1434" t="n">
        <v>2124.614</v>
      </c>
      <c r="AY110" s="1388">
        <f>AZ110-SUM(AV110,AW110,AX110)</f>
        <v/>
      </c>
      <c r="AZ110" s="1435" t="n">
        <v>8853.290999999999</v>
      </c>
      <c r="BA110" s="1434" t="n">
        <v>3121.459</v>
      </c>
      <c r="BB110" s="1434" t="n">
        <v>2800.296</v>
      </c>
      <c r="BC110" s="1434" t="n">
        <v>2788.643</v>
      </c>
      <c r="BD110" s="1388">
        <f>BE110-SUM(BA110,BB110,BC110)</f>
        <v/>
      </c>
      <c r="BE110" s="1435" t="n">
        <v>10359.042</v>
      </c>
      <c r="BF110" s="1434" t="n">
        <v>1399.295</v>
      </c>
      <c r="BG110" s="1434" t="n">
        <v>1077.092</v>
      </c>
      <c r="BH110" s="1434" t="n">
        <v>671.1</v>
      </c>
      <c r="BI110" s="1388">
        <f>BJ110-SUM(BF110,BG110,BH110)</f>
        <v/>
      </c>
      <c r="BJ110" s="1435" t="n">
        <v>4077.241</v>
      </c>
      <c r="BK110" s="1434" t="n">
        <v>1182.574</v>
      </c>
      <c r="BL110" s="1434" t="n">
        <v>633.072</v>
      </c>
      <c r="BM110" s="1434" t="n">
        <v>1293.465</v>
      </c>
      <c r="BN110" s="1388">
        <f>BN$119*BN94</f>
        <v/>
      </c>
      <c r="BO110" s="1436">
        <f>SUM(BK110,BL110,BM110,BN110)</f>
        <v/>
      </c>
      <c r="BP110" s="1388" t="n"/>
      <c r="BQ110" s="1388" t="n"/>
      <c r="BR110" s="1388" t="n"/>
      <c r="BS110" s="1388" t="n"/>
      <c r="BT110" s="1433" t="n"/>
      <c r="BU110" s="1388" t="n"/>
      <c r="BV110" s="1388" t="n"/>
      <c r="BW110" s="1388" t="n"/>
      <c r="BX110" s="1388" t="n"/>
      <c r="BY110" s="1433" t="n"/>
      <c r="BZ110" s="1433" t="n"/>
      <c r="CA110" s="1433" t="n"/>
      <c r="CB110" s="1433" t="n"/>
      <c r="CC110" s="1295" t="n"/>
    </row>
    <row r="111" hidden="1" outlineLevel="2" ht="14.4" customFormat="1" customHeight="1" s="1275">
      <c r="A111" s="1384" t="inlineStr">
        <is>
          <t>16/20 nanometer revenue, mm</t>
        </is>
      </c>
      <c r="B111" s="1296" t="n"/>
      <c r="C111" s="1297" t="n"/>
      <c r="D111" s="1297" t="n"/>
      <c r="E111" s="1297" t="n"/>
      <c r="F111" s="1297" t="n"/>
      <c r="G111" s="1297" t="n"/>
      <c r="H111" s="1277" t="n"/>
      <c r="I111" s="1277" t="n"/>
      <c r="J111" s="1277" t="n"/>
      <c r="K111" s="1277" t="n"/>
      <c r="L111" s="1297" t="n"/>
      <c r="M111" s="1277" t="n"/>
      <c r="N111" s="1277" t="n"/>
      <c r="O111" s="1277" t="n"/>
      <c r="P111" s="1277" t="n"/>
      <c r="Q111" s="1297" t="n"/>
      <c r="R111" s="1277" t="n"/>
      <c r="S111" s="1277" t="n"/>
      <c r="T111" s="1277" t="n"/>
      <c r="U111" s="1277" t="n"/>
      <c r="V111" s="1297" t="n"/>
      <c r="W111" s="1277" t="n"/>
      <c r="X111" s="1277" t="n"/>
      <c r="Y111" s="1277" t="n"/>
      <c r="Z111" s="1277" t="n"/>
      <c r="AA111" s="1297" t="n"/>
      <c r="AB111" s="1277" t="n"/>
      <c r="AC111" s="1277" t="n"/>
      <c r="AD111" s="1277" t="n"/>
      <c r="AE111" s="1277" t="n"/>
      <c r="AF111" s="1297" t="n"/>
      <c r="AG111" s="1277" t="n"/>
      <c r="AH111" s="1277" t="n"/>
      <c r="AI111" s="1277" t="n"/>
      <c r="AJ111" s="1277" t="n"/>
      <c r="AK111" s="1297" t="n"/>
      <c r="AL111" s="1277" t="n"/>
      <c r="AM111" s="1277" t="n"/>
      <c r="AN111" s="1277" t="n"/>
      <c r="AO111" s="1277" t="n"/>
      <c r="AP111" s="1297" t="n"/>
      <c r="AQ111" s="1277">
        <f>SUM(AQ109:AQ110)</f>
        <v/>
      </c>
      <c r="AR111" s="1277">
        <f>SUM(AR109:AR110)</f>
        <v/>
      </c>
      <c r="AS111" s="1277">
        <f>SUM(AS109:AS110)</f>
        <v/>
      </c>
      <c r="AT111" s="1277">
        <f>SUM(AT109:AT110)</f>
        <v/>
      </c>
      <c r="AU111" s="1297">
        <f>SUM(AU109:AU110)</f>
        <v/>
      </c>
      <c r="AV111" s="1277">
        <f>SUM(AV109:AV110)</f>
        <v/>
      </c>
      <c r="AW111" s="1277">
        <f>SUM(AW109:AW110)</f>
        <v/>
      </c>
      <c r="AX111" s="1277">
        <f>SUM(AX109:AX110)</f>
        <v/>
      </c>
      <c r="AY111" s="1277">
        <f>SUM(AY109:AY110)</f>
        <v/>
      </c>
      <c r="AZ111" s="1297">
        <f>SUM(AZ109:AZ110)</f>
        <v/>
      </c>
      <c r="BA111" s="1277">
        <f>SUM(BA109:BA110)</f>
        <v/>
      </c>
      <c r="BB111" s="1277">
        <f>SUM(BB109:BB110)</f>
        <v/>
      </c>
      <c r="BC111" s="1277">
        <f>SUM(BC109:BC110)</f>
        <v/>
      </c>
      <c r="BD111" s="1277">
        <f>SUM(BD109:BD110)</f>
        <v/>
      </c>
      <c r="BE111" s="1297">
        <f>SUM(BE109:BE110)</f>
        <v/>
      </c>
      <c r="BF111" s="1277">
        <f>SUM(BF109:BF110)</f>
        <v/>
      </c>
      <c r="BG111" s="1280">
        <f>SUM(BG109:BG110)</f>
        <v/>
      </c>
      <c r="BH111" s="1277">
        <f>SUM(BH109:BH110)</f>
        <v/>
      </c>
      <c r="BI111" s="1277">
        <f>SUM(BI109:BI110)</f>
        <v/>
      </c>
      <c r="BJ111" s="1297">
        <f>SUM(BJ109:BJ110)</f>
        <v/>
      </c>
      <c r="BK111" s="1277">
        <f>SUM(BK109:BK110)</f>
        <v/>
      </c>
      <c r="BL111" s="1280">
        <f>SUM(BL109:BL110)</f>
        <v/>
      </c>
      <c r="BM111" s="1277">
        <f>SUM(BM109:BM110)</f>
        <v/>
      </c>
      <c r="BN111" s="1277">
        <f>SUM(BN109:BN110)</f>
        <v/>
      </c>
      <c r="BO111" s="1382">
        <f>SUM(BO109:BO110)</f>
        <v/>
      </c>
      <c r="BP111" s="1277" t="n"/>
      <c r="BQ111" s="1277" t="n"/>
      <c r="BR111" s="1277" t="n"/>
      <c r="BS111" s="1277" t="n"/>
      <c r="BT111" s="1297" t="n"/>
      <c r="BU111" s="1277" t="n"/>
      <c r="BV111" s="1277" t="n"/>
      <c r="BW111" s="1277" t="n"/>
      <c r="BX111" s="1277" t="n"/>
      <c r="BY111" s="1297" t="n"/>
      <c r="BZ111" s="1297" t="n"/>
      <c r="CA111" s="1297" t="n"/>
      <c r="CB111" s="1297" t="n"/>
      <c r="CC111" s="1280" t="n"/>
    </row>
    <row r="112" hidden="1" outlineLevel="2" ht="14.4" customFormat="1" customHeight="1" s="1275">
      <c r="A112" s="1384" t="inlineStr">
        <is>
          <t>28-nanometer revenue, mm</t>
        </is>
      </c>
      <c r="B112" s="1296" t="n"/>
      <c r="C112" s="1297">
        <f>C96*C$119</f>
        <v/>
      </c>
      <c r="D112" s="1297">
        <f>D96*D$119</f>
        <v/>
      </c>
      <c r="E112" s="1297">
        <f>E96*E$119</f>
        <v/>
      </c>
      <c r="F112" s="1297">
        <f>F96*F$119</f>
        <v/>
      </c>
      <c r="G112" s="1297">
        <f>G96*G$119</f>
        <v/>
      </c>
      <c r="H112" s="1277" t="n"/>
      <c r="I112" s="1277" t="n"/>
      <c r="J112" s="1277" t="n"/>
      <c r="K112" s="1277" t="n"/>
      <c r="L112" s="1297">
        <f>L96*L$119</f>
        <v/>
      </c>
      <c r="M112" s="1277" t="n"/>
      <c r="N112" s="1277" t="n"/>
      <c r="O112" s="1277" t="n"/>
      <c r="P112" s="1277" t="n"/>
      <c r="Q112" s="1297">
        <f>Q96*Q$119</f>
        <v/>
      </c>
      <c r="R112" s="1277" t="n"/>
      <c r="S112" s="1277" t="n"/>
      <c r="T112" s="1277" t="n"/>
      <c r="U112" s="1277" t="n"/>
      <c r="V112" s="1297">
        <f>V96*V$119</f>
        <v/>
      </c>
      <c r="W112" s="1277" t="n"/>
      <c r="X112" s="1277" t="n"/>
      <c r="Y112" s="1277" t="n"/>
      <c r="Z112" s="1277" t="n"/>
      <c r="AA112" s="1297">
        <f>AA96*AA$119</f>
        <v/>
      </c>
      <c r="AB112" s="1298" t="n">
        <v>44156.689</v>
      </c>
      <c r="AC112" s="1298" t="n">
        <v>47910.378</v>
      </c>
      <c r="AD112" s="1298" t="n">
        <v>43739.621</v>
      </c>
      <c r="AE112" s="1277">
        <f>AF112-SUM(AB112,AC112,AD112)</f>
        <v/>
      </c>
      <c r="AF112" s="1299" t="n">
        <v>178440.396</v>
      </c>
      <c r="AG112" s="1298" t="n">
        <v>37142.36</v>
      </c>
      <c r="AH112" s="1298" t="n">
        <v>37527.722</v>
      </c>
      <c r="AI112" s="1298" t="n">
        <v>39855.841</v>
      </c>
      <c r="AJ112" s="1277">
        <f>AK112-SUM(AG112,AH112,AI112)</f>
        <v/>
      </c>
      <c r="AK112" s="1299" t="n">
        <v>149578.719</v>
      </c>
      <c r="AL112" s="1298" t="n">
        <v>37999.954</v>
      </c>
      <c r="AM112" s="1298" t="n">
        <v>38479.201</v>
      </c>
      <c r="AN112" s="1298" t="n">
        <v>37682.521</v>
      </c>
      <c r="AO112" s="1277">
        <f>AP112-SUM(AL112,AM112,AN112)</f>
        <v/>
      </c>
      <c r="AP112" s="1299" t="n">
        <v>149367.729</v>
      </c>
      <c r="AQ112" s="1298" t="n">
        <v>36664.175</v>
      </c>
      <c r="AR112" s="1298" t="n">
        <v>37518.815</v>
      </c>
      <c r="AS112" s="1298" t="n">
        <v>37739.348</v>
      </c>
      <c r="AT112" s="1277">
        <f>AU112-SUM(AQ112,AR112,AS112)</f>
        <v/>
      </c>
      <c r="AU112" s="1299" t="n">
        <v>153066.563</v>
      </c>
      <c r="AV112" s="1298" t="n">
        <v>47447.095</v>
      </c>
      <c r="AW112" s="1298" t="n">
        <v>49533.008</v>
      </c>
      <c r="AX112" s="1298" t="n">
        <v>52861.617</v>
      </c>
      <c r="AY112" s="1277">
        <f>AZ112-SUM(AV112,AW112,AX112)</f>
        <v/>
      </c>
      <c r="AZ112" s="1299" t="n">
        <v>206611.955</v>
      </c>
      <c r="BA112" s="1298" t="n">
        <v>52057.042</v>
      </c>
      <c r="BB112" s="1298" t="n">
        <v>47590.123</v>
      </c>
      <c r="BC112" s="1298" t="n">
        <v>47211.672</v>
      </c>
      <c r="BD112" s="1277">
        <f>BE112-SUM(BA112,BB112,BC112)</f>
        <v/>
      </c>
      <c r="BE112" s="1299" t="n">
        <v>186924.916</v>
      </c>
      <c r="BF112" s="1298" t="n">
        <v>43019.318</v>
      </c>
      <c r="BG112" s="1298" t="n">
        <v>50557.516</v>
      </c>
      <c r="BH112" s="1298" t="n">
        <v>47499.161</v>
      </c>
      <c r="BI112" s="1277">
        <f>BJ112-SUM(BF112,BG112,BH112)</f>
        <v/>
      </c>
      <c r="BJ112" s="1299" t="n">
        <v>188155.011</v>
      </c>
      <c r="BK112" s="1298" t="n">
        <v>52743.689</v>
      </c>
      <c r="BL112" s="1298" t="n">
        <v>54583.088</v>
      </c>
      <c r="BM112" s="1298" t="n">
        <v>59227.14</v>
      </c>
      <c r="BN112" s="1277">
        <f>BN$119*BN96</f>
        <v/>
      </c>
      <c r="BO112" s="1382">
        <f>SUM(BK112,BL112,BM112,BN112)</f>
        <v/>
      </c>
      <c r="BP112" s="1277" t="n"/>
      <c r="BQ112" s="1277" t="n"/>
      <c r="BR112" s="1277" t="n"/>
      <c r="BS112" s="1277" t="n"/>
      <c r="BT112" s="1297" t="n"/>
      <c r="BU112" s="1277" t="n"/>
      <c r="BV112" s="1277" t="n"/>
      <c r="BW112" s="1277" t="n"/>
      <c r="BX112" s="1277" t="n"/>
      <c r="BY112" s="1297" t="n"/>
      <c r="BZ112" s="1297" t="n"/>
      <c r="CA112" s="1297" t="n"/>
      <c r="CB112" s="1297" t="n"/>
      <c r="CC112" s="1280" t="n"/>
    </row>
    <row r="113" hidden="1" outlineLevel="2" ht="14.4" customFormat="1" customHeight="1" s="1275">
      <c r="A113" s="1384" t="inlineStr">
        <is>
          <t>40/45-nanometer revenue, mm</t>
        </is>
      </c>
      <c r="B113" s="1296" t="n"/>
      <c r="C113" s="1297">
        <f>C97*C$119</f>
        <v/>
      </c>
      <c r="D113" s="1297">
        <f>D97*D$119</f>
        <v/>
      </c>
      <c r="E113" s="1297">
        <f>E97*E$119</f>
        <v/>
      </c>
      <c r="F113" s="1297">
        <f>F97*F$119</f>
        <v/>
      </c>
      <c r="G113" s="1297">
        <f>G97*G$119</f>
        <v/>
      </c>
      <c r="H113" s="1277" t="n"/>
      <c r="I113" s="1277" t="n"/>
      <c r="J113" s="1277" t="n"/>
      <c r="K113" s="1277" t="n"/>
      <c r="L113" s="1297">
        <f>L97*L$119</f>
        <v/>
      </c>
      <c r="M113" s="1277" t="n"/>
      <c r="N113" s="1277" t="n"/>
      <c r="O113" s="1277" t="n"/>
      <c r="P113" s="1277" t="n"/>
      <c r="Q113" s="1297">
        <f>Q97*Q$119</f>
        <v/>
      </c>
      <c r="R113" s="1277" t="n"/>
      <c r="S113" s="1277" t="n"/>
      <c r="T113" s="1277" t="n"/>
      <c r="U113" s="1277" t="n"/>
      <c r="V113" s="1297">
        <f>V97*V$119</f>
        <v/>
      </c>
      <c r="W113" s="1277" t="n"/>
      <c r="X113" s="1277" t="n"/>
      <c r="Y113" s="1277" t="n"/>
      <c r="Z113" s="1277" t="n"/>
      <c r="AA113" s="1297">
        <f>AA97*AA$119</f>
        <v/>
      </c>
      <c r="AB113" s="1298" t="n">
        <v>25240.238</v>
      </c>
      <c r="AC113" s="1298" t="n">
        <v>24329.416</v>
      </c>
      <c r="AD113" s="1298" t="n">
        <v>27035.128</v>
      </c>
      <c r="AE113" s="1277">
        <f>AF113-SUM(AB113,AC113,AD113)</f>
        <v/>
      </c>
      <c r="AF113" s="1299" t="n">
        <v>101801.017</v>
      </c>
      <c r="AG113" s="1298" t="n">
        <v>23286.88</v>
      </c>
      <c r="AH113" s="1298" t="n">
        <v>22769.629</v>
      </c>
      <c r="AI113" s="1298" t="n">
        <v>24624.309</v>
      </c>
      <c r="AJ113" s="1277">
        <f>AK113-SUM(AG113,AH113,AI113)</f>
        <v/>
      </c>
      <c r="AK113" s="1299" t="n">
        <v>93366.285</v>
      </c>
      <c r="AL113" s="1298" t="n">
        <v>26094.254</v>
      </c>
      <c r="AM113" s="1298" t="n">
        <v>26050.83</v>
      </c>
      <c r="AN113" s="1298" t="n">
        <v>26360.109</v>
      </c>
      <c r="AO113" s="1277">
        <f>AP113-SUM(AL113,AM113,AN113)</f>
        <v/>
      </c>
      <c r="AP113" s="1299" t="n">
        <v>103176.542</v>
      </c>
      <c r="AQ113" s="1298" t="n">
        <v>23190.957</v>
      </c>
      <c r="AR113" s="1298" t="n">
        <v>23604.843</v>
      </c>
      <c r="AS113" s="1298" t="n">
        <v>27233.876</v>
      </c>
      <c r="AT113" s="1277">
        <f>AU113-SUM(AQ113,AR113,AS113)</f>
        <v/>
      </c>
      <c r="AU113" s="1299" t="n">
        <v>103413.639</v>
      </c>
      <c r="AV113" s="1298" t="n">
        <v>34029.97</v>
      </c>
      <c r="AW113" s="1298" t="n">
        <v>36441.273</v>
      </c>
      <c r="AX113" s="1298" t="n">
        <v>37855.129</v>
      </c>
      <c r="AY113" s="1277">
        <f>AZ113-SUM(AV113,AW113,AX113)</f>
        <v/>
      </c>
      <c r="AZ113" s="1299" t="n">
        <v>145546.243</v>
      </c>
      <c r="BA113" s="1298" t="n">
        <v>32631.097</v>
      </c>
      <c r="BB113" s="1298" t="n">
        <v>29537.533</v>
      </c>
      <c r="BC113" s="1298" t="n">
        <v>29417.131</v>
      </c>
      <c r="BD113" s="1277">
        <f>BE113-SUM(BA113,BB113,BC113)</f>
        <v/>
      </c>
      <c r="BE113" s="1299" t="n">
        <v>114667.36</v>
      </c>
      <c r="BF113" s="1298" t="n">
        <v>27114.454</v>
      </c>
      <c r="BG113" s="1298" t="n">
        <v>27586.077</v>
      </c>
      <c r="BH113" s="1298" t="n">
        <v>29856.699</v>
      </c>
      <c r="BI113" s="1277">
        <f>BJ113-SUM(BF113,BG113,BH113)</f>
        <v/>
      </c>
      <c r="BJ113" s="1299" t="n">
        <v>108468.215</v>
      </c>
      <c r="BK113" s="1298" t="n">
        <v>20331.363</v>
      </c>
      <c r="BL113" s="1298" t="n">
        <v>25199.803</v>
      </c>
      <c r="BM113" s="1298" t="n">
        <v>26220.755</v>
      </c>
      <c r="BN113" s="1277">
        <f>BN$119*BN97</f>
        <v/>
      </c>
      <c r="BO113" s="1382">
        <f>SUM(BK113,BL113,BM113,BN113)</f>
        <v/>
      </c>
      <c r="BP113" s="1277" t="n"/>
      <c r="BQ113" s="1277" t="n"/>
      <c r="BR113" s="1277" t="n"/>
      <c r="BS113" s="1277" t="n"/>
      <c r="BT113" s="1297" t="n"/>
      <c r="BU113" s="1277" t="n"/>
      <c r="BV113" s="1277" t="n"/>
      <c r="BW113" s="1277" t="n"/>
      <c r="BX113" s="1277" t="n"/>
      <c r="BY113" s="1297" t="n"/>
      <c r="BZ113" s="1297" t="n"/>
      <c r="CA113" s="1297" t="n"/>
      <c r="CB113" s="1297" t="n"/>
      <c r="CC113" s="1280" t="n"/>
    </row>
    <row r="114" hidden="1" outlineLevel="2" ht="14.4" customFormat="1" customHeight="1" s="1275">
      <c r="A114" s="1384" t="inlineStr">
        <is>
          <t>65-nanometer revenue, mm</t>
        </is>
      </c>
      <c r="B114" s="1296" t="n"/>
      <c r="C114" s="1297">
        <f>C98*C$119</f>
        <v/>
      </c>
      <c r="D114" s="1297">
        <f>D98*D$119</f>
        <v/>
      </c>
      <c r="E114" s="1297">
        <f>E98*E$119</f>
        <v/>
      </c>
      <c r="F114" s="1297">
        <f>F98*F$119</f>
        <v/>
      </c>
      <c r="G114" s="1297">
        <f>G98*G$119</f>
        <v/>
      </c>
      <c r="H114" s="1277" t="n"/>
      <c r="I114" s="1277" t="n"/>
      <c r="J114" s="1277" t="n"/>
      <c r="K114" s="1277" t="n"/>
      <c r="L114" s="1297">
        <f>L98*L$119</f>
        <v/>
      </c>
      <c r="M114" s="1277" t="n"/>
      <c r="N114" s="1277" t="n"/>
      <c r="O114" s="1277" t="n"/>
      <c r="P114" s="1277" t="n"/>
      <c r="Q114" s="1297">
        <f>Q98*Q$119</f>
        <v/>
      </c>
      <c r="R114" s="1277" t="n"/>
      <c r="S114" s="1277" t="n"/>
      <c r="T114" s="1277" t="n"/>
      <c r="U114" s="1277" t="n"/>
      <c r="V114" s="1297">
        <f>V98*V$119</f>
        <v/>
      </c>
      <c r="W114" s="1277" t="n"/>
      <c r="X114" s="1277" t="n"/>
      <c r="Y114" s="1277" t="n"/>
      <c r="Z114" s="1277" t="n"/>
      <c r="AA114" s="1297">
        <f>AA98*AA$119</f>
        <v/>
      </c>
      <c r="AB114" s="1298" t="n">
        <v>20445.219</v>
      </c>
      <c r="AC114" s="1298" t="n">
        <v>18284.124</v>
      </c>
      <c r="AD114" s="1298" t="n">
        <v>17833.438</v>
      </c>
      <c r="AE114" s="1277">
        <f>AF114-SUM(AB114,AC114,AD114)</f>
        <v/>
      </c>
      <c r="AF114" s="1299" t="n">
        <v>76122.25900000001</v>
      </c>
      <c r="AG114" s="1298" t="n">
        <v>15828.535</v>
      </c>
      <c r="AH114" s="1298" t="n">
        <v>16444.732</v>
      </c>
      <c r="AI114" s="1298" t="n">
        <v>18785.556</v>
      </c>
      <c r="AJ114" s="1277">
        <f>AK114-SUM(AG114,AH114,AI114)</f>
        <v/>
      </c>
      <c r="AK114" s="1299" t="n">
        <v>69250.008</v>
      </c>
      <c r="AL114" s="1298" t="n">
        <v>15984.202</v>
      </c>
      <c r="AM114" s="1298" t="n">
        <v>15576.755</v>
      </c>
      <c r="AN114" s="1298" t="n">
        <v>15184.482</v>
      </c>
      <c r="AO114" s="1277">
        <f>AP114-SUM(AL114,AM114,AN114)</f>
        <v/>
      </c>
      <c r="AP114" s="1299" t="n">
        <v>61226.671</v>
      </c>
      <c r="AQ114" s="1298" t="n">
        <v>15623.227</v>
      </c>
      <c r="AR114" s="1298" t="n">
        <v>16335.174</v>
      </c>
      <c r="AS114" s="1298" t="n">
        <v>16189.697</v>
      </c>
      <c r="AT114" s="1277">
        <f>AU114-SUM(AQ114,AR114,AS114)</f>
        <v/>
      </c>
      <c r="AU114" s="1299" t="n">
        <v>66467.90300000001</v>
      </c>
      <c r="AV114" s="1298" t="n">
        <v>21186.906</v>
      </c>
      <c r="AW114" s="1298" t="n">
        <v>22537.887</v>
      </c>
      <c r="AX114" s="1298" t="n">
        <v>25338.814</v>
      </c>
      <c r="AY114" s="1277">
        <f>AZ114-SUM(AV114,AW114,AX114)</f>
        <v/>
      </c>
      <c r="AZ114" s="1299" t="n">
        <v>93288.614</v>
      </c>
      <c r="BA114" s="1298" t="n">
        <v>27430.079</v>
      </c>
      <c r="BB114" s="1298" t="n">
        <v>27994.41</v>
      </c>
      <c r="BC114" s="1298" t="n">
        <v>26323.837</v>
      </c>
      <c r="BD114" s="1277">
        <f>BE114-SUM(BA114,BB114,BC114)</f>
        <v/>
      </c>
      <c r="BE114" s="1299" t="n">
        <v>107425.4</v>
      </c>
      <c r="BF114" s="1298" t="n">
        <v>21277.009</v>
      </c>
      <c r="BG114" s="1298" t="n">
        <v>20728.246</v>
      </c>
      <c r="BH114" s="1298" t="n">
        <v>24121.011</v>
      </c>
      <c r="BI114" s="1277">
        <f>BJ114-SUM(BF114,BG114,BH114)</f>
        <v/>
      </c>
      <c r="BJ114" s="1299" t="n">
        <v>93120.068</v>
      </c>
      <c r="BK114" s="1298" t="n">
        <v>26550.958</v>
      </c>
      <c r="BL114" s="1298" t="n">
        <v>27827.833</v>
      </c>
      <c r="BM114" s="1298" t="n">
        <v>32568.409</v>
      </c>
      <c r="BN114" s="1277">
        <f>BN$119*BN98</f>
        <v/>
      </c>
      <c r="BO114" s="1382">
        <f>SUM(BK114,BL114,BM114,BN114)</f>
        <v/>
      </c>
      <c r="BP114" s="1277" t="n"/>
      <c r="BQ114" s="1277" t="n"/>
      <c r="BR114" s="1277" t="n"/>
      <c r="BS114" s="1277" t="n"/>
      <c r="BT114" s="1297" t="n"/>
      <c r="BU114" s="1277" t="n"/>
      <c r="BV114" s="1277" t="n"/>
      <c r="BW114" s="1277" t="n"/>
      <c r="BX114" s="1277" t="n"/>
      <c r="BY114" s="1297" t="n"/>
      <c r="BZ114" s="1297" t="n"/>
      <c r="CA114" s="1297" t="n"/>
      <c r="CB114" s="1297" t="n"/>
      <c r="CC114" s="1280" t="n"/>
    </row>
    <row r="115" hidden="1" outlineLevel="2" ht="14.4" customFormat="1" customHeight="1" s="1275">
      <c r="A115" s="1384" t="inlineStr">
        <is>
          <t>90-nanometer revenue, mm</t>
        </is>
      </c>
      <c r="B115" s="1296" t="n"/>
      <c r="C115" s="1297">
        <f>C99*C$119</f>
        <v/>
      </c>
      <c r="D115" s="1297">
        <f>D99*D$119</f>
        <v/>
      </c>
      <c r="E115" s="1297">
        <f>E99*E$119</f>
        <v/>
      </c>
      <c r="F115" s="1297">
        <f>F99*F$119</f>
        <v/>
      </c>
      <c r="G115" s="1297">
        <f>G99*G$119</f>
        <v/>
      </c>
      <c r="H115" s="1277" t="n"/>
      <c r="I115" s="1277" t="n"/>
      <c r="J115" s="1277" t="n"/>
      <c r="K115" s="1277" t="n"/>
      <c r="L115" s="1297">
        <f>L99*L$119</f>
        <v/>
      </c>
      <c r="M115" s="1277" t="n"/>
      <c r="N115" s="1277" t="n"/>
      <c r="O115" s="1277" t="n"/>
      <c r="P115" s="1277" t="n"/>
      <c r="Q115" s="1297">
        <f>Q99*Q$119</f>
        <v/>
      </c>
      <c r="R115" s="1277" t="n"/>
      <c r="S115" s="1277" t="n"/>
      <c r="T115" s="1277" t="n"/>
      <c r="U115" s="1277" t="n"/>
      <c r="V115" s="1297">
        <f>V99*V$119</f>
        <v/>
      </c>
      <c r="W115" s="1277" t="n"/>
      <c r="X115" s="1277" t="n"/>
      <c r="Y115" s="1277" t="n"/>
      <c r="Z115" s="1277" t="n"/>
      <c r="AA115" s="1297">
        <f>AA99*AA$119</f>
        <v/>
      </c>
      <c r="AB115" s="1298" t="n">
        <v>10038.144</v>
      </c>
      <c r="AC115" s="1298" t="n">
        <v>10692.169</v>
      </c>
      <c r="AD115" s="1298" t="n">
        <v>8633.487999999999</v>
      </c>
      <c r="AE115" s="1277">
        <f>AF115-SUM(AB115,AC115,AD115)</f>
        <v/>
      </c>
      <c r="AF115" s="1299" t="n">
        <v>36652.061</v>
      </c>
      <c r="AG115" s="1298" t="n">
        <v>6300.002</v>
      </c>
      <c r="AH115" s="1298" t="n">
        <v>5692.407</v>
      </c>
      <c r="AI115" s="1298" t="n">
        <v>6346.472</v>
      </c>
      <c r="AJ115" s="1277">
        <f>AK115-SUM(AG115,AH115,AI115)</f>
        <v/>
      </c>
      <c r="AK115" s="1299" t="n">
        <v>25624.251</v>
      </c>
      <c r="AL115" s="1298" t="n">
        <v>7671.469</v>
      </c>
      <c r="AM115" s="1298" t="n">
        <v>7628.781</v>
      </c>
      <c r="AN115" s="1298" t="n">
        <v>7670.558</v>
      </c>
      <c r="AO115" s="1277">
        <f>AP115-SUM(AL115,AM115,AN115)</f>
        <v/>
      </c>
      <c r="AP115" s="1299" t="n">
        <v>29380.358</v>
      </c>
      <c r="AQ115" s="1298" t="n">
        <v>8724.440000000001</v>
      </c>
      <c r="AR115" s="1298" t="n">
        <v>9031.280000000001</v>
      </c>
      <c r="AS115" s="1298" t="n">
        <v>6998.277</v>
      </c>
      <c r="AT115" s="1277">
        <f>AU115-SUM(AQ115,AR115,AS115)</f>
        <v/>
      </c>
      <c r="AU115" s="1299" t="n">
        <v>32260.288</v>
      </c>
      <c r="AV115" s="1298" t="n">
        <v>9264.495999999999</v>
      </c>
      <c r="AW115" s="1298" t="n">
        <v>10513.833</v>
      </c>
      <c r="AX115" s="1298" t="n">
        <v>11311.235</v>
      </c>
      <c r="AY115" s="1277">
        <f>AZ115-SUM(AV115,AW115,AX115)</f>
        <v/>
      </c>
      <c r="AZ115" s="1299" t="n">
        <v>40184.169</v>
      </c>
      <c r="BA115" s="1298" t="n">
        <v>8150.951</v>
      </c>
      <c r="BB115" s="1298" t="n">
        <v>7394.845</v>
      </c>
      <c r="BC115" s="1298" t="n">
        <v>5044.479</v>
      </c>
      <c r="BD115" s="1277">
        <f>BE115-SUM(BA115,BB115,BC115)</f>
        <v/>
      </c>
      <c r="BE115" s="1299" t="n">
        <v>25642.01</v>
      </c>
      <c r="BF115" s="1298" t="n">
        <v>5514.291</v>
      </c>
      <c r="BG115" s="1298" t="n">
        <v>5591.099</v>
      </c>
      <c r="BH115" s="1298" t="n">
        <v>5217.346</v>
      </c>
      <c r="BI115" s="1277">
        <f>BJ115-SUM(BF115,BG115,BH115)</f>
        <v/>
      </c>
      <c r="BJ115" s="1299" t="n">
        <v>21509.306</v>
      </c>
      <c r="BK115" s="1298" t="n">
        <v>5137.987</v>
      </c>
      <c r="BL115" s="1298" t="n">
        <v>4980.173</v>
      </c>
      <c r="BM115" s="1298" t="n">
        <v>5554.045</v>
      </c>
      <c r="BN115" s="1277">
        <f>BN$119*BN99</f>
        <v/>
      </c>
      <c r="BO115" s="1382">
        <f>SUM(BK115,BL115,BM115,BN115)</f>
        <v/>
      </c>
      <c r="BP115" s="1277" t="n"/>
      <c r="BQ115" s="1277" t="n"/>
      <c r="BR115" s="1277" t="n"/>
      <c r="BS115" s="1277" t="n"/>
      <c r="BT115" s="1297" t="n"/>
      <c r="BU115" s="1277" t="n"/>
      <c r="BV115" s="1277" t="n"/>
      <c r="BW115" s="1277" t="n"/>
      <c r="BX115" s="1277" t="n"/>
      <c r="BY115" s="1297" t="n"/>
      <c r="BZ115" s="1297" t="n"/>
      <c r="CA115" s="1297" t="n"/>
      <c r="CB115" s="1297" t="n"/>
      <c r="CC115" s="1280" t="n"/>
    </row>
    <row r="116" hidden="1" outlineLevel="2" ht="14.4" customFormat="1" customHeight="1" s="1275">
      <c r="A116" s="1384" t="inlineStr">
        <is>
          <t>0.11/0.13 micron revenue, mm</t>
        </is>
      </c>
      <c r="B116" s="1296" t="n"/>
      <c r="C116" s="1297">
        <f>C100*C$119</f>
        <v/>
      </c>
      <c r="D116" s="1297">
        <f>D100*D$119</f>
        <v/>
      </c>
      <c r="E116" s="1297">
        <f>E100*E$119</f>
        <v/>
      </c>
      <c r="F116" s="1297">
        <f>F100*F$119</f>
        <v/>
      </c>
      <c r="G116" s="1297">
        <f>G100*G$119</f>
        <v/>
      </c>
      <c r="H116" s="1277" t="n"/>
      <c r="I116" s="1277" t="n"/>
      <c r="J116" s="1277" t="n"/>
      <c r="K116" s="1277" t="n"/>
      <c r="L116" s="1297">
        <f>L100*L$119</f>
        <v/>
      </c>
      <c r="M116" s="1277" t="n"/>
      <c r="N116" s="1277" t="n"/>
      <c r="O116" s="1277" t="n"/>
      <c r="P116" s="1277" t="n"/>
      <c r="Q116" s="1297">
        <f>Q100*Q$119</f>
        <v/>
      </c>
      <c r="R116" s="1277" t="n"/>
      <c r="S116" s="1277" t="n"/>
      <c r="T116" s="1277" t="n"/>
      <c r="U116" s="1277" t="n"/>
      <c r="V116" s="1297">
        <f>V100*V$119</f>
        <v/>
      </c>
      <c r="W116" s="1277" t="n"/>
      <c r="X116" s="1277" t="n"/>
      <c r="Y116" s="1277" t="n"/>
      <c r="Z116" s="1277" t="n"/>
      <c r="AA116" s="1297">
        <f>AA100*AA$119</f>
        <v/>
      </c>
      <c r="AB116" s="1298" t="n">
        <v>5448.803</v>
      </c>
      <c r="AC116" s="1298" t="n">
        <v>3790.129</v>
      </c>
      <c r="AD116" s="1298" t="n">
        <v>5854.756</v>
      </c>
      <c r="AE116" s="1277">
        <f>AF116-SUM(AB116,AC116,AD116)</f>
        <v/>
      </c>
      <c r="AF116" s="1299" t="n">
        <v>20677.658</v>
      </c>
      <c r="AG116" s="1298" t="n">
        <v>5048.576</v>
      </c>
      <c r="AH116" s="1298" t="n">
        <v>4005.768</v>
      </c>
      <c r="AI116" s="1298" t="n">
        <v>6346.471</v>
      </c>
      <c r="AJ116" s="1277">
        <f>AK116-SUM(AG116,AH116,AI116)</f>
        <v/>
      </c>
      <c r="AK116" s="1299" t="n">
        <v>22947.287</v>
      </c>
      <c r="AL116" s="1298" t="n">
        <v>7022.429</v>
      </c>
      <c r="AM116" s="1298" t="n">
        <v>7575.474</v>
      </c>
      <c r="AN116" s="1298" t="n">
        <v>8349.281000000001</v>
      </c>
      <c r="AO116" s="1277">
        <f>AP116-SUM(AL116,AM116,AN116)</f>
        <v/>
      </c>
      <c r="AP116" s="1299" t="n">
        <v>33197.137</v>
      </c>
      <c r="AQ116" s="1298" t="n">
        <v>8697.466</v>
      </c>
      <c r="AR116" s="1298" t="n">
        <v>9307.618</v>
      </c>
      <c r="AS116" s="1298" t="n">
        <v>10382.373</v>
      </c>
      <c r="AT116" s="1277">
        <f>AU116-SUM(AQ116,AR116,AS116)</f>
        <v/>
      </c>
      <c r="AU116" s="1299" t="n">
        <v>40558.534</v>
      </c>
      <c r="AV116" s="1298" t="n">
        <v>13376.585</v>
      </c>
      <c r="AW116" s="1298" t="n">
        <v>12701.869</v>
      </c>
      <c r="AX116" s="1298" t="n">
        <v>16732.222</v>
      </c>
      <c r="AY116" s="1277">
        <f>AZ116-SUM(AV116,AW116,AX116)</f>
        <v/>
      </c>
      <c r="AZ116" s="1299" t="n">
        <v>57992.328</v>
      </c>
      <c r="BA116" s="1298" t="n">
        <v>10717.815</v>
      </c>
      <c r="BB116" s="1298" t="n">
        <v>9799.906999999999</v>
      </c>
      <c r="BC116" s="1298" t="n">
        <v>13072.664</v>
      </c>
      <c r="BD116" s="1277">
        <f>BE116-SUM(BA116,BB116,BC116)</f>
        <v/>
      </c>
      <c r="BE116" s="1299" t="n">
        <v>47149.333</v>
      </c>
      <c r="BF116" s="1298" t="n">
        <v>12802.349</v>
      </c>
      <c r="BG116" s="1298" t="n">
        <v>11893.739</v>
      </c>
      <c r="BH116" s="1298" t="n">
        <v>13443.588</v>
      </c>
      <c r="BI116" s="1277">
        <f>BJ116-SUM(BF116,BG116,BH116)</f>
        <v/>
      </c>
      <c r="BJ116" s="1299" t="n">
        <v>52442.826</v>
      </c>
      <c r="BK116" s="1298" t="n">
        <v>12269.773</v>
      </c>
      <c r="BL116" s="1298" t="n">
        <v>12898.026</v>
      </c>
      <c r="BM116" s="1298" t="n">
        <v>12245.896</v>
      </c>
      <c r="BN116" s="1277">
        <f>BN$119*BN100</f>
        <v/>
      </c>
      <c r="BO116" s="1382">
        <f>SUM(BK116,BL116,BM116,BN116)</f>
        <v/>
      </c>
      <c r="BP116" s="1277" t="n"/>
      <c r="BQ116" s="1277" t="n"/>
      <c r="BR116" s="1277" t="n"/>
      <c r="BS116" s="1277" t="n"/>
      <c r="BT116" s="1297" t="n"/>
      <c r="BU116" s="1277" t="n"/>
      <c r="BV116" s="1277" t="n"/>
      <c r="BW116" s="1277" t="n"/>
      <c r="BX116" s="1277" t="n"/>
      <c r="BY116" s="1297" t="n"/>
      <c r="BZ116" s="1297" t="n"/>
      <c r="CA116" s="1297" t="n"/>
      <c r="CB116" s="1297" t="n"/>
      <c r="CC116" s="1280" t="n"/>
    </row>
    <row r="117" hidden="1" outlineLevel="2" ht="14.4" customFormat="1" customHeight="1" s="1275">
      <c r="A117" s="1384" t="inlineStr">
        <is>
          <t>0.15/0.18 micron revenue, mm</t>
        </is>
      </c>
      <c r="B117" s="1296" t="n"/>
      <c r="C117" s="1297">
        <f>C101*C$119</f>
        <v/>
      </c>
      <c r="D117" s="1297">
        <f>D101*D$119</f>
        <v/>
      </c>
      <c r="E117" s="1297">
        <f>E101*E$119</f>
        <v/>
      </c>
      <c r="F117" s="1297">
        <f>F101*F$119</f>
        <v/>
      </c>
      <c r="G117" s="1297">
        <f>G101*G$119</f>
        <v/>
      </c>
      <c r="H117" s="1277" t="n"/>
      <c r="I117" s="1277" t="n"/>
      <c r="J117" s="1277" t="n"/>
      <c r="K117" s="1277" t="n"/>
      <c r="L117" s="1297">
        <f>L101*L$119</f>
        <v/>
      </c>
      <c r="M117" s="1277" t="n"/>
      <c r="N117" s="1277" t="n"/>
      <c r="O117" s="1277" t="n"/>
      <c r="P117" s="1277" t="n"/>
      <c r="Q117" s="1297">
        <f>Q101*Q$119</f>
        <v/>
      </c>
      <c r="R117" s="1277" t="n"/>
      <c r="S117" s="1277" t="n"/>
      <c r="T117" s="1277" t="n"/>
      <c r="U117" s="1277" t="n"/>
      <c r="V117" s="1297">
        <f>V101*V$119</f>
        <v/>
      </c>
      <c r="W117" s="1277" t="n"/>
      <c r="X117" s="1277" t="n"/>
      <c r="Y117" s="1277" t="n"/>
      <c r="Z117" s="1277" t="n"/>
      <c r="AA117" s="1297">
        <f>AA101*AA$119</f>
        <v/>
      </c>
      <c r="AB117" s="1298" t="n">
        <v>19293.863</v>
      </c>
      <c r="AC117" s="1298" t="n">
        <v>19579.492</v>
      </c>
      <c r="AD117" s="1298" t="n">
        <v>21720.438</v>
      </c>
      <c r="AE117" s="1277">
        <f>AF117-SUM(AB117,AC117,AD117)</f>
        <v/>
      </c>
      <c r="AF117" s="1299" t="n">
        <v>81182.64599999999</v>
      </c>
      <c r="AG117" s="1298" t="n">
        <v>15672.766</v>
      </c>
      <c r="AH117" s="1298" t="n">
        <v>17920.542</v>
      </c>
      <c r="AI117" s="1298" t="n">
        <v>21831.862</v>
      </c>
      <c r="AJ117" s="1277">
        <f>AK117-SUM(AG117,AH117,AI117)</f>
        <v/>
      </c>
      <c r="AK117" s="1299" t="n">
        <v>77564.492</v>
      </c>
      <c r="AL117" s="1298" t="n">
        <v>21653.001</v>
      </c>
      <c r="AM117" s="1298" t="n">
        <v>21626.179</v>
      </c>
      <c r="AN117" s="1298" t="n">
        <v>21894.064</v>
      </c>
      <c r="AO117" s="1277">
        <f>AP117-SUM(AL117,AM117,AN117)</f>
        <v/>
      </c>
      <c r="AP117" s="1299" t="n">
        <v>86008.47500000001</v>
      </c>
      <c r="AQ117" s="1298" t="n">
        <v>20609.55</v>
      </c>
      <c r="AR117" s="1298" t="n">
        <v>20997.915</v>
      </c>
      <c r="AS117" s="1298" t="n">
        <v>22268.008</v>
      </c>
      <c r="AT117" s="1277">
        <f>AU117-SUM(AQ117,AR117,AS117)</f>
        <v/>
      </c>
      <c r="AU117" s="1299" t="n">
        <v>86700.287</v>
      </c>
      <c r="AV117" s="1298" t="n">
        <v>25523.798</v>
      </c>
      <c r="AW117" s="1298" t="n">
        <v>27207.891</v>
      </c>
      <c r="AX117" s="1298" t="n">
        <v>29754.752</v>
      </c>
      <c r="AY117" s="1277">
        <f>AZ117-SUM(AV117,AW117,AX117)</f>
        <v/>
      </c>
      <c r="AZ117" s="1299" t="n">
        <v>110571.222</v>
      </c>
      <c r="BA117" s="1298" t="n">
        <v>23463.905</v>
      </c>
      <c r="BB117" s="1298" t="n">
        <v>20872.897</v>
      </c>
      <c r="BC117" s="1298" t="n">
        <v>20137.375</v>
      </c>
      <c r="BD117" s="1277">
        <f>BE117-SUM(BA117,BB117,BC117)</f>
        <v/>
      </c>
      <c r="BE117" s="1299" t="n">
        <v>86614.213</v>
      </c>
      <c r="BF117" s="1298" t="n">
        <v>21924.461</v>
      </c>
      <c r="BG117" s="1298" t="n">
        <v>21803.577</v>
      </c>
      <c r="BH117" s="1298" t="n">
        <v>23941.303</v>
      </c>
      <c r="BI117" s="1277">
        <f>BJ117-SUM(BF117,BG117,BH117)</f>
        <v/>
      </c>
      <c r="BJ117" s="1299" t="n">
        <v>90796.791</v>
      </c>
      <c r="BK117" s="1298" t="n">
        <v>21220.625</v>
      </c>
      <c r="BL117" s="1298" t="n">
        <v>21950.928</v>
      </c>
      <c r="BM117" s="1298" t="n">
        <v>22707.019</v>
      </c>
      <c r="BN117" s="1277">
        <f>BN$119*BN101</f>
        <v/>
      </c>
      <c r="BO117" s="1382">
        <f>SUM(BK117,BL117,BM117,BN117)</f>
        <v/>
      </c>
      <c r="BP117" s="1277" t="n"/>
      <c r="BQ117" s="1277" t="n"/>
      <c r="BR117" s="1277" t="n"/>
      <c r="BS117" s="1277" t="n"/>
      <c r="BT117" s="1297" t="n"/>
      <c r="BU117" s="1277" t="n"/>
      <c r="BV117" s="1277" t="n"/>
      <c r="BW117" s="1277" t="n"/>
      <c r="BX117" s="1277" t="n"/>
      <c r="BY117" s="1297" t="n"/>
      <c r="BZ117" s="1297" t="n"/>
      <c r="CA117" s="1297" t="n"/>
      <c r="CB117" s="1297" t="n"/>
      <c r="CC117" s="1280" t="n"/>
    </row>
    <row r="118" hidden="1" outlineLevel="2" ht="14.4" customFormat="1" customHeight="1" s="1275">
      <c r="A118" s="1388" t="inlineStr">
        <is>
          <t>0.25 micron and above revenue, mm</t>
        </is>
      </c>
      <c r="B118" s="1363" t="n"/>
      <c r="C118" s="1364">
        <f>C102*C$119</f>
        <v/>
      </c>
      <c r="D118" s="1364">
        <f>D102*D$119</f>
        <v/>
      </c>
      <c r="E118" s="1364">
        <f>E102*E$119</f>
        <v/>
      </c>
      <c r="F118" s="1364">
        <f>F102*F$119</f>
        <v/>
      </c>
      <c r="G118" s="1364">
        <f>G102*G$119</f>
        <v/>
      </c>
      <c r="H118" s="1365" t="n"/>
      <c r="I118" s="1365" t="n"/>
      <c r="J118" s="1365" t="n"/>
      <c r="K118" s="1365" t="n"/>
      <c r="L118" s="1364">
        <f>L102*L$119</f>
        <v/>
      </c>
      <c r="M118" s="1365" t="n"/>
      <c r="N118" s="1365" t="n"/>
      <c r="O118" s="1365" t="n"/>
      <c r="P118" s="1365" t="n"/>
      <c r="Q118" s="1364">
        <f>Q102*Q$119</f>
        <v/>
      </c>
      <c r="R118" s="1365" t="n"/>
      <c r="S118" s="1365" t="n"/>
      <c r="T118" s="1365" t="n"/>
      <c r="U118" s="1365" t="n"/>
      <c r="V118" s="1364">
        <f>V102*V$119</f>
        <v/>
      </c>
      <c r="W118" s="1365" t="n"/>
      <c r="X118" s="1365" t="n"/>
      <c r="Y118" s="1365" t="n"/>
      <c r="Z118" s="1365" t="n"/>
      <c r="AA118" s="1364">
        <f>AA102*AA$119</f>
        <v/>
      </c>
      <c r="AB118" s="1391" t="n">
        <v>6892.262</v>
      </c>
      <c r="AC118" s="1391" t="n">
        <v>7311.964</v>
      </c>
      <c r="AD118" s="1391" t="n">
        <v>6902.024</v>
      </c>
      <c r="AE118" s="1365">
        <f>AF118-SUM(AB118,AC118,AD118)</f>
        <v/>
      </c>
      <c r="AF118" s="1390" t="n">
        <v>26761.062</v>
      </c>
      <c r="AG118" s="1391" t="n">
        <v>4817.433</v>
      </c>
      <c r="AH118" s="1391" t="n">
        <v>4849.088</v>
      </c>
      <c r="AI118" s="1391" t="n">
        <v>5584.895</v>
      </c>
      <c r="AJ118" s="1365">
        <f>AK118-SUM(AG118,AH118,AI118)</f>
        <v/>
      </c>
      <c r="AK118" s="1390" t="n">
        <v>19935.126</v>
      </c>
      <c r="AL118" s="1391" t="n">
        <v>4965.395</v>
      </c>
      <c r="AM118" s="1391" t="n">
        <v>6463.02</v>
      </c>
      <c r="AN118" s="1391" t="n">
        <v>5240.511</v>
      </c>
      <c r="AO118" s="1365">
        <f>AP118-SUM(AL118,AM118,AN118)</f>
        <v/>
      </c>
      <c r="AP118" s="1390" t="n">
        <v>20514.893</v>
      </c>
      <c r="AQ118" s="1391" t="n">
        <v>5361.842</v>
      </c>
      <c r="AR118" s="1391" t="n">
        <v>5850.061</v>
      </c>
      <c r="AS118" s="1391" t="n">
        <v>5628.634</v>
      </c>
      <c r="AT118" s="1365">
        <f>AU118-SUM(AQ118,AR118,AS118)</f>
        <v/>
      </c>
      <c r="AU118" s="1390" t="n">
        <v>22734.913</v>
      </c>
      <c r="AV118" s="1391" t="n">
        <v>6165.857</v>
      </c>
      <c r="AW118" s="1391" t="n">
        <v>6578.246</v>
      </c>
      <c r="AX118" s="1391" t="n">
        <v>6962.274</v>
      </c>
      <c r="AY118" s="1365">
        <f>AZ118-SUM(AV118,AW118,AX118)</f>
        <v/>
      </c>
      <c r="AZ118" s="1390" t="n">
        <v>26395.336</v>
      </c>
      <c r="BA118" s="1391" t="n">
        <v>5045.653</v>
      </c>
      <c r="BB118" s="1391" t="n">
        <v>4893.349</v>
      </c>
      <c r="BC118" s="1391" t="n">
        <v>4110.145</v>
      </c>
      <c r="BD118" s="1365">
        <f>BE118-SUM(BA118,BB118,BC118)</f>
        <v/>
      </c>
      <c r="BE118" s="1390" t="n">
        <v>17813.374</v>
      </c>
      <c r="BF118" s="1391" t="n">
        <v>3839.282</v>
      </c>
      <c r="BG118" s="1391" t="n">
        <v>3536.778</v>
      </c>
      <c r="BH118" s="1391" t="n">
        <v>4227.263</v>
      </c>
      <c r="BI118" s="1365">
        <f>BJ118-SUM(BF118,BG118,BH118)</f>
        <v/>
      </c>
      <c r="BJ118" s="1390" t="n">
        <v>15868.786</v>
      </c>
      <c r="BK118" s="1391" t="n">
        <v>4470.122</v>
      </c>
      <c r="BL118" s="1391" t="n">
        <v>5071.054</v>
      </c>
      <c r="BM118" s="1391" t="n">
        <v>4801.787</v>
      </c>
      <c r="BN118" s="1365">
        <f>BN$119*BN102</f>
        <v/>
      </c>
      <c r="BO118" s="1366">
        <f>SUM(BK118,BL118,BM118,BN118)</f>
        <v/>
      </c>
      <c r="BP118" s="1365" t="n"/>
      <c r="BQ118" s="1365" t="n"/>
      <c r="BR118" s="1365" t="n"/>
      <c r="BS118" s="1365" t="n"/>
      <c r="BT118" s="1364" t="n"/>
      <c r="BU118" s="1365" t="n"/>
      <c r="BV118" s="1365" t="n"/>
      <c r="BW118" s="1365" t="n"/>
      <c r="BX118" s="1365" t="n"/>
      <c r="BY118" s="1364" t="n"/>
      <c r="BZ118" s="1364" t="n"/>
      <c r="CA118" s="1364" t="n"/>
      <c r="CB118" s="1364" t="n"/>
      <c r="CC118" s="1280" t="n"/>
    </row>
    <row r="119" hidden="1" outlineLevel="2" ht="14.4" customFormat="1" customHeight="1" s="1323">
      <c r="A119" s="1392" t="inlineStr">
        <is>
          <t>Total wafer revenue, mm</t>
        </is>
      </c>
      <c r="B119" s="1325" t="n"/>
      <c r="C119" s="1437" t="n">
        <v>260386</v>
      </c>
      <c r="D119" s="1437" t="n">
        <v>375060.853</v>
      </c>
      <c r="E119" s="1437" t="n">
        <v>384632.494</v>
      </c>
      <c r="F119" s="1437" t="n">
        <v>462970.436</v>
      </c>
      <c r="G119" s="1437" t="n">
        <v>560685.213</v>
      </c>
      <c r="H119" s="1327" t="n"/>
      <c r="I119" s="1327" t="n"/>
      <c r="J119" s="1327" t="n"/>
      <c r="K119" s="1327" t="n"/>
      <c r="L119" s="1437" t="n">
        <v>723747.536</v>
      </c>
      <c r="M119" s="1327" t="n"/>
      <c r="N119" s="1327" t="n"/>
      <c r="O119" s="1327" t="n"/>
      <c r="P119" s="1327" t="n"/>
      <c r="Q119" s="1437" t="n">
        <v>802937.969</v>
      </c>
      <c r="R119" s="1327" t="n"/>
      <c r="S119" s="1327" t="n"/>
      <c r="T119" s="1327" t="n"/>
      <c r="U119" s="1327" t="n"/>
      <c r="V119" s="1437" t="n">
        <v>861170.855</v>
      </c>
      <c r="W119" s="1327" t="n"/>
      <c r="X119" s="1327" t="n"/>
      <c r="Y119" s="1327" t="n"/>
      <c r="Z119" s="1327" t="n"/>
      <c r="AA119" s="1437" t="n">
        <v>874572.62</v>
      </c>
      <c r="AB119" s="1327">
        <f>SUM(AB106:AB118)</f>
        <v/>
      </c>
      <c r="AC119" s="1327">
        <f>SUM(AC106:AC118)</f>
        <v/>
      </c>
      <c r="AD119" s="1327">
        <f>SUM(AD106:AD118)</f>
        <v/>
      </c>
      <c r="AE119" s="1327">
        <f>SUM(AE106:AE118)</f>
        <v/>
      </c>
      <c r="AF119" s="1326">
        <f>SUM(AF106:AF118)</f>
        <v/>
      </c>
      <c r="AG119" s="1327">
        <f>SUM(AG106:AG118)</f>
        <v/>
      </c>
      <c r="AH119" s="1327">
        <f>SUM(AH106:AH118)</f>
        <v/>
      </c>
      <c r="AI119" s="1327">
        <f>SUM(AI106:AI118)</f>
        <v/>
      </c>
      <c r="AJ119" s="1327">
        <f>SUM(AJ106:AJ118)</f>
        <v/>
      </c>
      <c r="AK119" s="1326">
        <f>SUM(AK106:AK118)</f>
        <v/>
      </c>
      <c r="AL119" s="1327">
        <f>SUM(AL106:AL118)</f>
        <v/>
      </c>
      <c r="AM119" s="1327">
        <f>SUM(AM106:AM118)</f>
        <v/>
      </c>
      <c r="AN119" s="1327">
        <f>SUM(AN106:AN118)</f>
        <v/>
      </c>
      <c r="AO119" s="1327">
        <f>SUM(AO106:AO118)</f>
        <v/>
      </c>
      <c r="AP119" s="1326">
        <f>SUM(AP106:AP118)</f>
        <v/>
      </c>
      <c r="AQ119" s="1327">
        <f>SUM(AQ105:AQ108)+SUM(AQ111:AQ118)</f>
        <v/>
      </c>
      <c r="AR119" s="1327">
        <f>SUM(AR105:AR108)+SUM(AR111:AR118)</f>
        <v/>
      </c>
      <c r="AS119" s="1327">
        <f>SUM(AS105:AS108)+SUM(AS111:AS118)</f>
        <v/>
      </c>
      <c r="AT119" s="1327">
        <f>SUM(AT105:AT108)+SUM(AT111:AT118)</f>
        <v/>
      </c>
      <c r="AU119" s="1326">
        <f>SUM(AU105:AU108)+SUM(AU111:AU118)</f>
        <v/>
      </c>
      <c r="AV119" s="1327">
        <f>SUM(AV105:AV108)+SUM(AV111:AV118)</f>
        <v/>
      </c>
      <c r="AW119" s="1327">
        <f>SUM(AW105:AW108)+SUM(AW111:AW118)</f>
        <v/>
      </c>
      <c r="AX119" s="1327">
        <f>SUM(AX105:AX108)+SUM(AX111:AX118)</f>
        <v/>
      </c>
      <c r="AY119" s="1327">
        <f>SUM(AY105:AY108)+SUM(AY111:AY118)</f>
        <v/>
      </c>
      <c r="AZ119" s="1326">
        <f>SUM(AZ105:AZ108)+SUM(AZ111:AZ118)</f>
        <v/>
      </c>
      <c r="BA119" s="1327">
        <f>SUM(BA105:BA108)+SUM(BA111:BA118)</f>
        <v/>
      </c>
      <c r="BB119" s="1327">
        <f>SUM(BB105:BB108)+SUM(BB111:BB118)</f>
        <v/>
      </c>
      <c r="BC119" s="1327">
        <f>SUM(BC105:BC108)+SUM(BC111:BC118)</f>
        <v/>
      </c>
      <c r="BD119" s="1327">
        <f>SUM(BD105:BD108)+SUM(BD111:BD118)</f>
        <v/>
      </c>
      <c r="BE119" s="1326">
        <f>SUM(BE105:BE108)+SUM(BE111:BE118)</f>
        <v/>
      </c>
      <c r="BF119" s="1327">
        <f>SUM(BF105:BF108)+SUM(BF111:BF118)</f>
        <v/>
      </c>
      <c r="BG119" s="1331">
        <f>SUM(BG105:BG108)+SUM(BG111:BG118)</f>
        <v/>
      </c>
      <c r="BH119" s="1346">
        <f>SUM(BH105:BH108)+SUM(BH111:BH118)</f>
        <v/>
      </c>
      <c r="BI119" s="1346">
        <f>SUM(BI105:BI108)+SUM(BI111:BI118)</f>
        <v/>
      </c>
      <c r="BJ119" s="1326">
        <f>SUM(BJ105:BJ108)+SUM(BJ111:BJ118)</f>
        <v/>
      </c>
      <c r="BK119" s="1327">
        <f>SUM(BK105:BK108)+SUM(BK111:BK118)</f>
        <v/>
      </c>
      <c r="BL119" s="1331">
        <f>SUM(BL105:BL108)+SUM(BL111:BL118)</f>
        <v/>
      </c>
      <c r="BM119" s="1331">
        <f>SUM(BM105:BM108)+SUM(BM111:BM118)</f>
        <v/>
      </c>
      <c r="BN119" s="1346">
        <f>BN121-BN120</f>
        <v/>
      </c>
      <c r="BO119" s="1386">
        <f>SUM(BO105:BO108)+SUM(BO111:BO118)</f>
        <v/>
      </c>
      <c r="BP119" s="1327" t="n"/>
      <c r="BQ119" s="1327" t="n"/>
      <c r="BR119" s="1327" t="n"/>
      <c r="BS119" s="1327" t="n"/>
      <c r="BT119" s="1326" t="n"/>
      <c r="BU119" s="1327" t="n"/>
      <c r="BV119" s="1327" t="n"/>
      <c r="BW119" s="1327" t="n"/>
      <c r="BX119" s="1327" t="n"/>
      <c r="BY119" s="1326" t="n"/>
      <c r="BZ119" s="1326" t="n"/>
      <c r="CA119" s="1326" t="n"/>
      <c r="CB119" s="1326" t="n"/>
      <c r="CC119" s="1331" t="n"/>
    </row>
    <row r="120" hidden="1" outlineLevel="2" ht="14.4" customFormat="1" customHeight="1" s="1275">
      <c r="A120" s="1388" t="inlineStr">
        <is>
          <t>Other revenue, mm</t>
        </is>
      </c>
      <c r="B120" s="1363" t="n"/>
      <c r="C120" s="1390">
        <f>17333.3+18022.9</f>
        <v/>
      </c>
      <c r="D120" s="1390">
        <f>19796.871+24680.187</f>
        <v/>
      </c>
      <c r="E120" s="1390">
        <f>23818.656+18629.495</f>
        <v/>
      </c>
      <c r="F120" s="1390" t="n">
        <v>43774.798</v>
      </c>
      <c r="G120" s="1390" t="n">
        <v>36338.984</v>
      </c>
      <c r="H120" s="1365" t="n"/>
      <c r="I120" s="1365" t="n"/>
      <c r="J120" s="1365" t="n"/>
      <c r="K120" s="1365" t="n"/>
      <c r="L120" s="1390" t="n">
        <v>39058.929</v>
      </c>
      <c r="M120" s="1365" t="n"/>
      <c r="N120" s="1365" t="n"/>
      <c r="O120" s="1365" t="n"/>
      <c r="P120" s="1365" t="n"/>
      <c r="Q120" s="1390" t="n">
        <v>40559.399</v>
      </c>
      <c r="R120" s="1365" t="n"/>
      <c r="S120" s="1365" t="n"/>
      <c r="T120" s="1365" t="n"/>
      <c r="U120" s="1365" t="n"/>
      <c r="V120" s="1390" t="n">
        <v>86767.489</v>
      </c>
      <c r="W120" s="1365" t="n"/>
      <c r="X120" s="1365" t="n"/>
      <c r="Y120" s="1365" t="n"/>
      <c r="Z120" s="1365" t="n"/>
      <c r="AA120" s="1390" t="n">
        <v>102874.621</v>
      </c>
      <c r="AB120" s="1391" t="n">
        <v>28387.008</v>
      </c>
      <c r="AC120" s="1391" t="n">
        <v>20262.185</v>
      </c>
      <c r="AD120" s="1391" t="n">
        <v>31521.069</v>
      </c>
      <c r="AE120" s="1365">
        <f>AF120-SUM(AB120,AC120,AD120)</f>
        <v/>
      </c>
      <c r="AF120" s="1390" t="n">
        <v>120177.193</v>
      </c>
      <c r="AG120" s="1391" t="n">
        <v>28604.458</v>
      </c>
      <c r="AH120" s="1391" t="n">
        <v>30168.574</v>
      </c>
      <c r="AI120" s="1391" t="n">
        <v>39186.579</v>
      </c>
      <c r="AJ120" s="1365">
        <f>AK120-SUM(AG120,AH120,AI120)</f>
        <v/>
      </c>
      <c r="AK120" s="1390" t="n">
        <v>142668.097</v>
      </c>
      <c r="AL120" s="1391" t="n">
        <v>38947.371</v>
      </c>
      <c r="AM120" s="1391" t="n">
        <v>35392.337</v>
      </c>
      <c r="AN120" s="1391" t="n">
        <v>39876.189</v>
      </c>
      <c r="AO120" s="1365">
        <f>AP120-SUM(AL120,AM120,AN120)</f>
        <v/>
      </c>
      <c r="AP120" s="1390" t="n">
        <v>160798.538</v>
      </c>
      <c r="AQ120" s="1391" t="n">
        <v>39937.974</v>
      </c>
      <c r="AR120" s="1391" t="n">
        <v>40139.422</v>
      </c>
      <c r="AS120" s="1391" t="n">
        <v>48662.447</v>
      </c>
      <c r="AT120" s="1365">
        <f>AU120-SUM(AQ120,AR120,AS120)</f>
        <v/>
      </c>
      <c r="AU120" s="1390" t="n">
        <v>182114.764</v>
      </c>
      <c r="AV120" s="1391" t="n">
        <v>52439.122</v>
      </c>
      <c r="AW120" s="1391" t="n">
        <v>58359.571</v>
      </c>
      <c r="AX120" s="1298" t="n">
        <v>72932.86199999999</v>
      </c>
      <c r="AY120" s="1365">
        <f>AZ120-SUM(AV120,AW120,AX120)</f>
        <v/>
      </c>
      <c r="AZ120" s="1390" t="n">
        <v>272035.345</v>
      </c>
      <c r="BA120" s="1391" t="n">
        <v>60250.068</v>
      </c>
      <c r="BB120" s="1391" t="n">
        <v>59803.875</v>
      </c>
      <c r="BC120" s="1298" t="n">
        <v>73695.41099999999</v>
      </c>
      <c r="BD120" s="1365">
        <f>BE120-SUM(BA120,BB120,BC120)</f>
        <v/>
      </c>
      <c r="BE120" s="1390" t="n">
        <v>279217.761</v>
      </c>
      <c r="BF120" s="1391" t="n">
        <v>70747.23</v>
      </c>
      <c r="BG120" s="1391" t="n">
        <v>77269.557</v>
      </c>
      <c r="BH120" s="1391" t="n">
        <v>114570.933</v>
      </c>
      <c r="BI120" s="1365">
        <f>BJ120-SUM(BF120,BG120,BH120)</f>
        <v/>
      </c>
      <c r="BJ120" s="1390" t="n">
        <v>379846.407</v>
      </c>
      <c r="BK120" s="1391" t="n">
        <v>125224.737</v>
      </c>
      <c r="BL120" s="1391" t="n">
        <v>138357.821</v>
      </c>
      <c r="BM120" s="1391" t="n">
        <v>128955.928</v>
      </c>
      <c r="BN120" s="1391" t="n">
        <v>125000</v>
      </c>
      <c r="BO120" s="1366">
        <f>SUM(BK120,BL120,BM120,BN120)</f>
        <v/>
      </c>
      <c r="BP120" s="1365" t="n"/>
      <c r="BQ120" s="1365" t="n"/>
      <c r="BR120" s="1365" t="n"/>
      <c r="BS120" s="1365" t="n"/>
      <c r="BT120" s="1364" t="n"/>
      <c r="BU120" s="1365" t="n"/>
      <c r="BV120" s="1365" t="n"/>
      <c r="BW120" s="1365" t="n"/>
      <c r="BX120" s="1365" t="n"/>
      <c r="BY120" s="1364" t="n"/>
      <c r="BZ120" s="1364" t="n"/>
      <c r="CA120" s="1364" t="n"/>
      <c r="CB120" s="1364" t="n"/>
      <c r="CC120" s="1280" t="n"/>
    </row>
    <row r="121" hidden="1" outlineLevel="2" ht="14.4" customFormat="1" customHeight="1" s="1323">
      <c r="A121" s="1392" t="inlineStr">
        <is>
          <t>Total Revenue, mm</t>
        </is>
      </c>
      <c r="B121" s="1325" t="n"/>
      <c r="C121" s="1326">
        <f>C119+C120</f>
        <v/>
      </c>
      <c r="D121" s="1326">
        <f>D119+D120</f>
        <v/>
      </c>
      <c r="E121" s="1326">
        <f>E119+E120</f>
        <v/>
      </c>
      <c r="F121" s="1326">
        <f>F119+F120</f>
        <v/>
      </c>
      <c r="G121" s="1326">
        <f>G119+G120</f>
        <v/>
      </c>
      <c r="H121" s="1327" t="n"/>
      <c r="I121" s="1327" t="n"/>
      <c r="J121" s="1327" t="n"/>
      <c r="K121" s="1327" t="n"/>
      <c r="L121" s="1326">
        <f>L119+L120</f>
        <v/>
      </c>
      <c r="M121" s="1327" t="n"/>
      <c r="N121" s="1327" t="n"/>
      <c r="O121" s="1327" t="n"/>
      <c r="P121" s="1327" t="n"/>
      <c r="Q121" s="1326">
        <f>Q119+Q120</f>
        <v/>
      </c>
      <c r="R121" s="1327" t="n"/>
      <c r="S121" s="1327" t="n"/>
      <c r="T121" s="1327" t="n"/>
      <c r="U121" s="1327" t="n"/>
      <c r="V121" s="1326">
        <f>V119+V120</f>
        <v/>
      </c>
      <c r="W121" s="1327" t="n"/>
      <c r="X121" s="1327" t="n"/>
      <c r="Y121" s="1327" t="n"/>
      <c r="Z121" s="1327" t="n"/>
      <c r="AA121" s="1326">
        <f>AA119+AA120</f>
        <v/>
      </c>
      <c r="AB121" s="1327">
        <f>AB119+AB120</f>
        <v/>
      </c>
      <c r="AC121" s="1327">
        <f>AC119+AC120</f>
        <v/>
      </c>
      <c r="AD121" s="1327">
        <f>AD119+AD120</f>
        <v/>
      </c>
      <c r="AE121" s="1327">
        <f>AE119+AE120</f>
        <v/>
      </c>
      <c r="AF121" s="1326">
        <f>AF119+AF120</f>
        <v/>
      </c>
      <c r="AG121" s="1327">
        <f>AG119+AG120</f>
        <v/>
      </c>
      <c r="AH121" s="1327">
        <f>AH119+AH120</f>
        <v/>
      </c>
      <c r="AI121" s="1327">
        <f>AI119+AI120</f>
        <v/>
      </c>
      <c r="AJ121" s="1327">
        <f>AJ119+AJ120</f>
        <v/>
      </c>
      <c r="AK121" s="1326">
        <f>AK119+AK120</f>
        <v/>
      </c>
      <c r="AL121" s="1327">
        <f>AL119+AL120</f>
        <v/>
      </c>
      <c r="AM121" s="1327">
        <f>AM119+AM120</f>
        <v/>
      </c>
      <c r="AN121" s="1327">
        <f>AN119+AN120</f>
        <v/>
      </c>
      <c r="AO121" s="1327">
        <f>AO119+AO120</f>
        <v/>
      </c>
      <c r="AP121" s="1326">
        <f>AP119+AP120</f>
        <v/>
      </c>
      <c r="AQ121" s="1327">
        <f>AQ119+AQ120</f>
        <v/>
      </c>
      <c r="AR121" s="1327">
        <f>AR119+AR120</f>
        <v/>
      </c>
      <c r="AS121" s="1327">
        <f>AS119+AS120</f>
        <v/>
      </c>
      <c r="AT121" s="1327">
        <f>AT119+AT120</f>
        <v/>
      </c>
      <c r="AU121" s="1326">
        <f>AU119+AU120</f>
        <v/>
      </c>
      <c r="AV121" s="1327">
        <f>AV119+AV120</f>
        <v/>
      </c>
      <c r="AW121" s="1327">
        <f>AW119+AW120</f>
        <v/>
      </c>
      <c r="AX121" s="1327">
        <f>AX119+AX120</f>
        <v/>
      </c>
      <c r="AY121" s="1327">
        <f>AY119+AY120</f>
        <v/>
      </c>
      <c r="AZ121" s="1326">
        <f>AZ119+AZ120</f>
        <v/>
      </c>
      <c r="BA121" s="1327">
        <f>BA119+BA120</f>
        <v/>
      </c>
      <c r="BB121" s="1327">
        <f>BB119+BB120</f>
        <v/>
      </c>
      <c r="BC121" s="1327">
        <f>BC119+BC120</f>
        <v/>
      </c>
      <c r="BD121" s="1327">
        <f>BD119+BD120</f>
        <v/>
      </c>
      <c r="BE121" s="1326">
        <f>BE119+BE120</f>
        <v/>
      </c>
      <c r="BF121" s="1327">
        <f>BF119+BF120</f>
        <v/>
      </c>
      <c r="BG121" s="1331">
        <f>BG119+BG120</f>
        <v/>
      </c>
      <c r="BH121" s="1346">
        <f>BH119+BH120</f>
        <v/>
      </c>
      <c r="BI121" s="1346">
        <f>BI119+BI120</f>
        <v/>
      </c>
      <c r="BJ121" s="1326">
        <f>BJ119+BJ120</f>
        <v/>
      </c>
      <c r="BK121" s="1327">
        <f>BK119+BK120</f>
        <v/>
      </c>
      <c r="BL121" s="1331">
        <f>BL119+BL120</f>
        <v/>
      </c>
      <c r="BM121" s="1331">
        <f>BM119+BM120</f>
        <v/>
      </c>
      <c r="BN121" s="1346">
        <f>BN322</f>
        <v/>
      </c>
      <c r="BO121" s="1386">
        <f>BO322</f>
        <v/>
      </c>
      <c r="BP121" s="1327" t="n"/>
      <c r="BQ121" s="1327" t="n"/>
      <c r="BR121" s="1327" t="n"/>
      <c r="BS121" s="1327" t="n"/>
      <c r="BT121" s="1326" t="n"/>
      <c r="BU121" s="1327" t="n"/>
      <c r="BV121" s="1327" t="n"/>
      <c r="BW121" s="1327" t="n"/>
      <c r="BX121" s="1327" t="n"/>
      <c r="BY121" s="1326" t="n"/>
      <c r="BZ121" s="1326" t="n"/>
      <c r="CA121" s="1326" t="n"/>
      <c r="CB121" s="1326" t="n"/>
      <c r="CC121" s="1331" t="n"/>
    </row>
    <row r="122" hidden="1" outlineLevel="1" collapsed="1" ht="14.4" customFormat="1" customHeight="1" s="1323">
      <c r="A122" s="1344" t="n"/>
      <c r="B122" s="1361" t="n"/>
      <c r="C122" s="1345" t="n"/>
      <c r="D122" s="1345" t="n"/>
      <c r="E122" s="1345" t="n"/>
      <c r="F122" s="1345" t="n"/>
      <c r="G122" s="1345" t="n"/>
      <c r="H122" s="1346" t="n"/>
      <c r="I122" s="1346" t="n"/>
      <c r="J122" s="1346" t="n"/>
      <c r="K122" s="1346" t="n"/>
      <c r="L122" s="1345" t="n"/>
      <c r="M122" s="1346" t="n"/>
      <c r="N122" s="1346" t="n"/>
      <c r="O122" s="1346" t="n"/>
      <c r="P122" s="1346" t="n"/>
      <c r="Q122" s="1345" t="n"/>
      <c r="R122" s="1346" t="n"/>
      <c r="S122" s="1346" t="n"/>
      <c r="T122" s="1346" t="n"/>
      <c r="U122" s="1346" t="n"/>
      <c r="V122" s="1345" t="n"/>
      <c r="W122" s="1346" t="n"/>
      <c r="X122" s="1346" t="n"/>
      <c r="Y122" s="1346" t="n"/>
      <c r="Z122" s="1346" t="n"/>
      <c r="AA122" s="1345" t="n"/>
      <c r="AB122" s="1346" t="n"/>
      <c r="AC122" s="1346" t="n"/>
      <c r="AD122" s="1346" t="n"/>
      <c r="AE122" s="1346" t="n"/>
      <c r="AF122" s="1345" t="n"/>
      <c r="AG122" s="1346" t="n"/>
      <c r="AH122" s="1346" t="n"/>
      <c r="AI122" s="1346" t="n"/>
      <c r="AJ122" s="1346" t="n"/>
      <c r="AK122" s="1345" t="n"/>
      <c r="AL122" s="1346" t="n"/>
      <c r="AM122" s="1346" t="n"/>
      <c r="AN122" s="1346" t="n"/>
      <c r="AO122" s="1346" t="n"/>
      <c r="AP122" s="1345" t="n"/>
      <c r="AQ122" s="1346" t="n"/>
      <c r="AR122" s="1346" t="n"/>
      <c r="AS122" s="1346" t="n"/>
      <c r="AT122" s="1346" t="n"/>
      <c r="AU122" s="1345" t="n"/>
      <c r="AV122" s="1346" t="n"/>
      <c r="AW122" s="1346" t="n"/>
      <c r="AX122" s="1346" t="n"/>
      <c r="AY122" s="1346" t="n"/>
      <c r="AZ122" s="1345" t="n"/>
      <c r="BA122" s="1346" t="n"/>
      <c r="BB122" s="1346" t="n"/>
      <c r="BC122" s="1346" t="n"/>
      <c r="BD122" s="1346" t="n"/>
      <c r="BE122" s="1345" t="n"/>
      <c r="BF122" s="1346" t="n"/>
      <c r="BG122" s="1346" t="n"/>
      <c r="BH122" s="1346" t="n"/>
      <c r="BI122" s="1346" t="n"/>
      <c r="BJ122" s="1345" t="n"/>
      <c r="BK122" s="1346" t="n"/>
      <c r="BL122" s="1346" t="n"/>
      <c r="BM122" s="1346" t="n"/>
      <c r="BN122" s="1346" t="n"/>
      <c r="BO122" s="1347" t="n"/>
      <c r="BP122" s="1346" t="n"/>
      <c r="BQ122" s="1346" t="n"/>
      <c r="BR122" s="1346" t="n"/>
      <c r="BS122" s="1346" t="n"/>
      <c r="BT122" s="1345" t="n"/>
      <c r="BU122" s="1346" t="n"/>
      <c r="BV122" s="1346" t="n"/>
      <c r="BW122" s="1346" t="n"/>
      <c r="BX122" s="1346" t="n"/>
      <c r="BY122" s="1345" t="n"/>
      <c r="BZ122" s="1345" t="n"/>
      <c r="CA122" s="1345" t="n"/>
      <c r="CB122" s="1345" t="n"/>
      <c r="CC122" s="1331" t="n"/>
    </row>
    <row r="123" hidden="1" outlineLevel="1" ht="14.4" customFormat="1" customHeight="1" s="1275">
      <c r="A123" s="1357" t="inlineStr">
        <is>
          <t>Key Metrics - Capacity Utilization (FS/SI)</t>
        </is>
      </c>
      <c r="B123" s="1358" t="n"/>
      <c r="C123" s="1358" t="n"/>
      <c r="D123" s="1358" t="n"/>
      <c r="E123" s="1358" t="n"/>
      <c r="F123" s="1358" t="n"/>
      <c r="G123" s="1358" t="n"/>
      <c r="H123" s="1358" t="n"/>
      <c r="I123" s="1358" t="n"/>
      <c r="J123" s="1358" t="n"/>
      <c r="K123" s="1358" t="n"/>
      <c r="L123" s="1358" t="n"/>
      <c r="M123" s="1358" t="n"/>
      <c r="N123" s="1358" t="n"/>
      <c r="O123" s="1358" t="n"/>
      <c r="P123" s="1358" t="n"/>
      <c r="Q123" s="1358" t="n"/>
      <c r="R123" s="1358" t="n"/>
      <c r="S123" s="1358" t="n"/>
      <c r="T123" s="1358" t="n"/>
      <c r="U123" s="1358" t="n"/>
      <c r="V123" s="1358" t="n"/>
      <c r="W123" s="1358" t="n"/>
      <c r="X123" s="1358" t="n"/>
      <c r="Y123" s="1358" t="n"/>
      <c r="Z123" s="1358" t="n"/>
      <c r="AA123" s="1358" t="n"/>
      <c r="AB123" s="1358" t="n"/>
      <c r="AC123" s="1358" t="n"/>
      <c r="AD123" s="1358" t="n"/>
      <c r="AE123" s="1358" t="n"/>
      <c r="AF123" s="1358" t="n"/>
      <c r="AG123" s="1358" t="n"/>
      <c r="AH123" s="1358" t="n"/>
      <c r="AI123" s="1358" t="n"/>
      <c r="AJ123" s="1358" t="n"/>
      <c r="AK123" s="1358" t="n"/>
      <c r="AL123" s="1358" t="n"/>
      <c r="AM123" s="1358" t="n"/>
      <c r="AN123" s="1358" t="n"/>
      <c r="AO123" s="1358" t="n"/>
      <c r="AP123" s="1358" t="n"/>
      <c r="AQ123" s="1358" t="n"/>
      <c r="AR123" s="1358" t="n"/>
      <c r="AS123" s="1358" t="n"/>
      <c r="AT123" s="1358" t="n"/>
      <c r="AU123" s="1358" t="n"/>
      <c r="AV123" s="1358" t="n"/>
      <c r="AW123" s="1358" t="n"/>
      <c r="AX123" s="1358" t="n"/>
      <c r="AY123" s="1358" t="n"/>
      <c r="AZ123" s="1358" t="n"/>
      <c r="BA123" s="1358" t="n"/>
      <c r="BB123" s="1358" t="n"/>
      <c r="BC123" s="1358" t="n"/>
      <c r="BD123" s="1358" t="n"/>
      <c r="BE123" s="1358" t="n"/>
      <c r="BF123" s="1358" t="n"/>
      <c r="BG123" s="1358" t="n"/>
      <c r="BH123" s="1358" t="n"/>
      <c r="BI123" s="1358" t="n"/>
      <c r="BJ123" s="1358" t="n"/>
      <c r="BK123" s="1358" t="n"/>
      <c r="BL123" s="1358" t="n"/>
      <c r="BM123" s="1358" t="n"/>
      <c r="BN123" s="1358" t="n"/>
      <c r="BO123" s="1359" t="n"/>
      <c r="BP123" s="1358" t="n"/>
      <c r="BQ123" s="1358" t="n"/>
      <c r="BR123" s="1358" t="n"/>
      <c r="BS123" s="1358" t="n"/>
      <c r="BT123" s="1358" t="n"/>
      <c r="BU123" s="1358" t="n"/>
      <c r="BV123" s="1358" t="n"/>
      <c r="BW123" s="1358" t="n"/>
      <c r="BX123" s="1358" t="n"/>
      <c r="BY123" s="1358" t="n"/>
      <c r="BZ123" s="1358" t="n"/>
      <c r="CA123" s="1358" t="n"/>
      <c r="CB123" s="1358" t="n"/>
      <c r="CC123" s="1280" t="n"/>
    </row>
    <row r="124" hidden="1" outlineLevel="2" ht="14.4" customFormat="1" customHeight="1" s="1373">
      <c r="A124" s="1438" t="inlineStr">
        <is>
          <t>Annual 12" equivalent wafer capacity, 000's wafers/year</t>
        </is>
      </c>
      <c r="B124" s="1439" t="n"/>
      <c r="C124" s="1379" t="n">
        <v>4424</v>
      </c>
      <c r="D124" s="1379" t="n">
        <v>5035</v>
      </c>
      <c r="E124" s="1379" t="n">
        <v>5876</v>
      </c>
      <c r="F124" s="1379" t="n">
        <v>6707</v>
      </c>
      <c r="G124" s="1379" t="n">
        <v>7310</v>
      </c>
      <c r="H124" s="1278" t="n"/>
      <c r="I124" s="1278" t="n"/>
      <c r="J124" s="1278" t="n"/>
      <c r="K124" s="1278" t="n"/>
      <c r="L124" s="1379" t="n">
        <v>8176</v>
      </c>
      <c r="M124" s="1278" t="n"/>
      <c r="N124" s="1278" t="n"/>
      <c r="O124" s="1278" t="n"/>
      <c r="P124" s="1278" t="n"/>
      <c r="Q124" s="1379" t="n">
        <v>9000</v>
      </c>
      <c r="R124" s="1278" t="n"/>
      <c r="S124" s="1278" t="n"/>
      <c r="T124" s="1278" t="n"/>
      <c r="U124" s="1278" t="n"/>
      <c r="V124" s="1379" t="n">
        <v>10000</v>
      </c>
      <c r="W124" s="1278" t="n"/>
      <c r="X124" s="1278" t="n"/>
      <c r="Y124" s="1278" t="n"/>
      <c r="Z124" s="1278" t="n"/>
      <c r="AA124" s="1379" t="n">
        <v>11000</v>
      </c>
      <c r="AB124" s="1278" t="n"/>
      <c r="AC124" s="1278" t="n"/>
      <c r="AD124" s="1278" t="n"/>
      <c r="AE124" s="1278" t="n"/>
      <c r="AF124" s="1379" t="n">
        <v>12000</v>
      </c>
      <c r="AG124" s="1278" t="n"/>
      <c r="AH124" s="1278" t="n"/>
      <c r="AI124" s="1278" t="n"/>
      <c r="AJ124" s="1278" t="n"/>
      <c r="AK124" s="1379" t="n">
        <v>12300</v>
      </c>
      <c r="AL124" s="1278" t="n"/>
      <c r="AM124" s="1278" t="n"/>
      <c r="AN124" s="1278" t="n"/>
      <c r="AO124" s="1278" t="n"/>
      <c r="AP124" s="1379" t="n">
        <v>13000</v>
      </c>
      <c r="AQ124" s="1278" t="n"/>
      <c r="AR124" s="1278" t="n"/>
      <c r="AS124" s="1278" t="n"/>
      <c r="AT124" s="1278" t="n"/>
      <c r="AU124" s="1379" t="n">
        <v>14000</v>
      </c>
      <c r="AV124" s="1278" t="n"/>
      <c r="AW124" s="1278" t="n"/>
      <c r="AX124" s="1278" t="n"/>
      <c r="AY124" s="1278" t="n"/>
      <c r="AZ124" s="1379" t="n">
        <v>15000</v>
      </c>
      <c r="BA124" s="1278" t="n"/>
      <c r="BB124" s="1278" t="n"/>
      <c r="BC124" s="1278" t="n"/>
      <c r="BD124" s="1278" t="n"/>
      <c r="BE124" s="1379" t="n">
        <v>16000</v>
      </c>
      <c r="BF124" s="1278" t="n"/>
      <c r="BG124" s="1278" t="n"/>
      <c r="BH124" s="1278" t="n"/>
      <c r="BI124" s="1278" t="n"/>
      <c r="BJ124" s="1379" t="n">
        <v>17000</v>
      </c>
      <c r="BK124" s="1278" t="n"/>
      <c r="BL124" s="1278" t="n"/>
      <c r="BM124" s="1278" t="n"/>
      <c r="BN124" s="1278" t="n"/>
      <c r="BO124" s="1377" t="n"/>
      <c r="BP124" s="1278" t="n"/>
      <c r="BQ124" s="1278" t="n"/>
      <c r="BR124" s="1278" t="n"/>
      <c r="BS124" s="1278" t="n"/>
      <c r="BT124" s="1376" t="n"/>
      <c r="BU124" s="1278" t="n"/>
      <c r="BV124" s="1278" t="n"/>
      <c r="BW124" s="1278" t="n"/>
      <c r="BX124" s="1278" t="n"/>
      <c r="BY124" s="1376" t="n"/>
      <c r="BZ124" s="1376" t="n"/>
      <c r="CA124" s="1376" t="n"/>
      <c r="CB124" s="1376" t="n"/>
      <c r="CC124" s="1380" t="n"/>
    </row>
    <row r="125" hidden="1" outlineLevel="2" ht="14.4" customFormat="1" customHeight="1" s="1373">
      <c r="A125" s="1438" t="inlineStr">
        <is>
          <t>Implied 12" equivalent wafer capacity (calculated), 000's wafers/year</t>
        </is>
      </c>
      <c r="B125" s="1439" t="n"/>
      <c r="C125" s="1440">
        <f>C126/C130</f>
        <v/>
      </c>
      <c r="D125" s="1440">
        <f>D126/D130</f>
        <v/>
      </c>
      <c r="E125" s="1440">
        <f>E126/E130</f>
        <v/>
      </c>
      <c r="F125" s="1440">
        <f>F126/F130</f>
        <v/>
      </c>
      <c r="G125" s="1440">
        <f>G126/G130</f>
        <v/>
      </c>
      <c r="H125" s="1278" t="n"/>
      <c r="I125" s="1278" t="n"/>
      <c r="J125" s="1278" t="n"/>
      <c r="K125" s="1278" t="n"/>
      <c r="L125" s="1440">
        <f>L126/L130</f>
        <v/>
      </c>
      <c r="M125" s="1278" t="n"/>
      <c r="N125" s="1278" t="n"/>
      <c r="O125" s="1278" t="n"/>
      <c r="P125" s="1278" t="n"/>
      <c r="Q125" s="1440">
        <f>Q126/Q130</f>
        <v/>
      </c>
      <c r="R125" s="1278" t="n"/>
      <c r="S125" s="1278" t="n"/>
      <c r="T125" s="1278" t="n"/>
      <c r="U125" s="1278" t="n"/>
      <c r="V125" s="1440">
        <f>V126/V130</f>
        <v/>
      </c>
      <c r="W125" s="1278" t="n"/>
      <c r="X125" s="1278" t="n"/>
      <c r="Y125" s="1278" t="n"/>
      <c r="Z125" s="1278" t="n"/>
      <c r="AA125" s="1440">
        <f>AA126/AA130</f>
        <v/>
      </c>
      <c r="AB125" s="1278" t="n"/>
      <c r="AC125" s="1278" t="n"/>
      <c r="AD125" s="1278" t="n"/>
      <c r="AE125" s="1278" t="n"/>
      <c r="AF125" s="1440">
        <f>AF126/AF130</f>
        <v/>
      </c>
      <c r="AG125" s="1278" t="n"/>
      <c r="AH125" s="1278" t="n"/>
      <c r="AI125" s="1278" t="n"/>
      <c r="AJ125" s="1278" t="n"/>
      <c r="AK125" s="1440">
        <f>AK126/AK130</f>
        <v/>
      </c>
      <c r="AL125" s="1278" t="n"/>
      <c r="AM125" s="1278" t="n"/>
      <c r="AN125" s="1278" t="n"/>
      <c r="AO125" s="1278" t="n"/>
      <c r="AP125" s="1376">
        <f>AP126/AP130</f>
        <v/>
      </c>
      <c r="AQ125" s="1278" t="n"/>
      <c r="AR125" s="1278" t="n"/>
      <c r="AS125" s="1278" t="n"/>
      <c r="AT125" s="1278" t="n"/>
      <c r="AU125" s="1376" t="n"/>
      <c r="AV125" s="1278" t="n"/>
      <c r="AW125" s="1278" t="n"/>
      <c r="AX125" s="1278" t="n"/>
      <c r="AY125" s="1278" t="n"/>
      <c r="AZ125" s="1376" t="n"/>
      <c r="BA125" s="1278" t="n"/>
      <c r="BB125" s="1278" t="n"/>
      <c r="BC125" s="1278" t="n"/>
      <c r="BD125" s="1278" t="n"/>
      <c r="BE125" s="1376" t="n"/>
      <c r="BF125" s="1278" t="n"/>
      <c r="BG125" s="1278" t="n"/>
      <c r="BH125" s="1278" t="n"/>
      <c r="BI125" s="1278" t="n"/>
      <c r="BJ125" s="1376" t="n"/>
      <c r="BK125" s="1278" t="n"/>
      <c r="BL125" s="1278" t="n"/>
      <c r="BM125" s="1278" t="n"/>
      <c r="BN125" s="1278" t="n"/>
      <c r="BO125" s="1377" t="n"/>
      <c r="BP125" s="1278" t="n"/>
      <c r="BQ125" s="1278" t="n"/>
      <c r="BR125" s="1278" t="n"/>
      <c r="BS125" s="1278" t="n"/>
      <c r="BT125" s="1376" t="n"/>
      <c r="BU125" s="1278" t="n"/>
      <c r="BV125" s="1278" t="n"/>
      <c r="BW125" s="1278" t="n"/>
      <c r="BX125" s="1278" t="n"/>
      <c r="BY125" s="1376" t="n"/>
      <c r="BZ125" s="1376" t="n"/>
      <c r="CA125" s="1376" t="n"/>
      <c r="CB125" s="1376" t="n"/>
      <c r="CC125" s="1380" t="n"/>
    </row>
    <row r="126" hidden="1" outlineLevel="2" ht="14.4" customFormat="1" customHeight="1" s="1373">
      <c r="A126" s="1438" t="inlineStr">
        <is>
          <t>12" equivalent wafer shipment, 000's wafers</t>
        </is>
      </c>
      <c r="B126" s="1439" t="n"/>
      <c r="C126" s="1379" t="n">
        <v>3439</v>
      </c>
      <c r="D126" s="1379" t="n">
        <v>5271</v>
      </c>
      <c r="E126" s="1379" t="n">
        <v>5577</v>
      </c>
      <c r="F126" s="1379" t="n">
        <v>6242</v>
      </c>
      <c r="G126" s="1379" t="n">
        <v>6963</v>
      </c>
      <c r="H126" s="1378" t="n">
        <v>1718</v>
      </c>
      <c r="I126" s="1378" t="n">
        <v>2053</v>
      </c>
      <c r="J126" s="1378" t="n">
        <v>2267</v>
      </c>
      <c r="K126" s="1378" t="n">
        <v>2225</v>
      </c>
      <c r="L126" s="1440">
        <f>SUM(H126,I126,J126,K126)</f>
        <v/>
      </c>
      <c r="M126" s="1378" t="n">
        <v>2287</v>
      </c>
      <c r="N126" s="1378" t="n">
        <v>2240</v>
      </c>
      <c r="O126" s="1378" t="n">
        <v>2216</v>
      </c>
      <c r="P126" s="1378" t="n">
        <v>2020</v>
      </c>
      <c r="Q126" s="1440">
        <f>SUM(M126,N126,O126,P126)</f>
        <v/>
      </c>
      <c r="R126" s="1378" t="n">
        <v>2056</v>
      </c>
      <c r="S126" s="1378" t="n">
        <v>2297</v>
      </c>
      <c r="T126" s="1378" t="n">
        <v>2638</v>
      </c>
      <c r="U126" s="1378" t="n">
        <v>2614</v>
      </c>
      <c r="V126" s="1440">
        <f>SUM(R126,S126,T126,U126)</f>
        <v/>
      </c>
      <c r="W126" s="1378" t="n">
        <v>2473</v>
      </c>
      <c r="X126" s="1378" t="n">
        <v>2533</v>
      </c>
      <c r="Y126" s="1378" t="n">
        <v>2744</v>
      </c>
      <c r="Z126" s="1378" t="n">
        <v>2699</v>
      </c>
      <c r="AA126" s="1440">
        <f>SUM(W126,X126,Y126,Z126)</f>
        <v/>
      </c>
      <c r="AB126" s="1378" t="n">
        <v>2680</v>
      </c>
      <c r="AC126" s="1378" t="n">
        <v>2674</v>
      </c>
      <c r="AD126" s="1378" t="n">
        <v>2712</v>
      </c>
      <c r="AE126" s="1378" t="n">
        <v>2686</v>
      </c>
      <c r="AF126" s="1440">
        <f>SUM(AB126,AC126,AD126,AE126)</f>
        <v/>
      </c>
      <c r="AG126" s="1378" t="n">
        <v>2205</v>
      </c>
      <c r="AH126" s="1378" t="n">
        <v>2308</v>
      </c>
      <c r="AI126" s="1378" t="n">
        <v>2733</v>
      </c>
      <c r="AJ126" s="1378" t="n">
        <v>2823</v>
      </c>
      <c r="AK126" s="1379" t="n">
        <v>10068</v>
      </c>
      <c r="AL126" s="1378" t="n">
        <v>2925</v>
      </c>
      <c r="AM126" s="1378" t="n">
        <v>2985</v>
      </c>
      <c r="AN126" s="1378" t="n">
        <v>3240</v>
      </c>
      <c r="AO126" s="1378" t="n">
        <v>3246</v>
      </c>
      <c r="AP126" s="1440">
        <f>SUM(AL126,AM126,AN126,AO126)</f>
        <v/>
      </c>
      <c r="AQ126" s="1378" t="n">
        <v>3359</v>
      </c>
      <c r="AR126" s="1378" t="n">
        <v>3449</v>
      </c>
      <c r="AS126" s="1378" t="n">
        <v>3646</v>
      </c>
      <c r="AT126" s="1378" t="n">
        <v>3725</v>
      </c>
      <c r="AU126" s="1440">
        <f>SUM(AQ126,AR126,AS126,AT126)</f>
        <v/>
      </c>
      <c r="AV126" s="1378" t="n">
        <v>3778</v>
      </c>
      <c r="AW126" s="1378" t="n">
        <v>3799</v>
      </c>
      <c r="AX126" s="1378" t="n">
        <v>3974</v>
      </c>
      <c r="AY126" s="1378" t="n">
        <v>3702</v>
      </c>
      <c r="AZ126" s="1440">
        <f>SUM(AV126,AW126,AX126,AY126)</f>
        <v/>
      </c>
      <c r="BA126" s="1378" t="n">
        <v>3227</v>
      </c>
      <c r="BB126" s="1378" t="n">
        <v>2916</v>
      </c>
      <c r="BC126" s="1378" t="n">
        <v>2902</v>
      </c>
      <c r="BD126" s="1378" t="n">
        <v>2957</v>
      </c>
      <c r="BE126" s="1440">
        <f>SUM(BA126,BB126,BC126,BD126)</f>
        <v/>
      </c>
      <c r="BF126" s="1378" t="n">
        <v>3030</v>
      </c>
      <c r="BG126" s="1378" t="n">
        <v>3125</v>
      </c>
      <c r="BH126" s="1378" t="n">
        <v>3338</v>
      </c>
      <c r="BI126" s="1378" t="n">
        <v>3418</v>
      </c>
      <c r="BJ126" s="1440">
        <f>SUM(BF126,BG126,BH126,BI126)</f>
        <v/>
      </c>
      <c r="BK126" s="1378" t="n">
        <v>3259</v>
      </c>
      <c r="BL126" s="1378" t="n">
        <v>3718</v>
      </c>
      <c r="BM126" s="1378" t="n">
        <v>4085</v>
      </c>
      <c r="BN126" s="1378" t="n">
        <v>3961</v>
      </c>
      <c r="BO126" s="1441">
        <f>SUM(BK126,BL126,BM126,BN126)</f>
        <v/>
      </c>
      <c r="BP126" s="1278" t="n"/>
      <c r="BQ126" s="1278" t="n"/>
      <c r="BR126" s="1278" t="n"/>
      <c r="BS126" s="1278" t="n"/>
      <c r="BT126" s="1376" t="n"/>
      <c r="BU126" s="1278" t="n"/>
      <c r="BV126" s="1278" t="n"/>
      <c r="BW126" s="1278" t="n"/>
      <c r="BX126" s="1278" t="n"/>
      <c r="BY126" s="1376" t="n"/>
      <c r="BZ126" s="1376" t="n"/>
      <c r="CA126" s="1376" t="n"/>
      <c r="CB126" s="1376" t="n"/>
      <c r="CC126" s="1380" t="n"/>
    </row>
    <row r="127" hidden="1" outlineLevel="2" ht="14.4" customFormat="1" customHeight="1" s="1290">
      <c r="A127" s="1442" t="inlineStr">
        <is>
          <t>ROE, %</t>
        </is>
      </c>
      <c r="B127" s="1443" t="n"/>
      <c r="C127" s="1405" t="n">
        <v>0.184</v>
      </c>
      <c r="D127" s="1405" t="n">
        <v>0.302</v>
      </c>
      <c r="E127" s="1405" t="n">
        <v>0.223</v>
      </c>
      <c r="F127" s="1405" t="n">
        <v>0.247</v>
      </c>
      <c r="G127" s="1405" t="n">
        <v>0.24</v>
      </c>
      <c r="H127" s="1402" t="n">
        <v>0.219</v>
      </c>
      <c r="I127" s="1402" t="n">
        <v>0.269</v>
      </c>
      <c r="J127" s="1402" t="n">
        <v>0.333</v>
      </c>
      <c r="K127" s="1402" t="n">
        <v>0.32</v>
      </c>
      <c r="L127" s="1405" t="n">
        <v>0.279</v>
      </c>
      <c r="M127" s="1402" t="n">
        <v>0.291</v>
      </c>
      <c r="N127" s="1402" t="n">
        <v>0.29</v>
      </c>
      <c r="O127" s="1402" t="n">
        <v>0.272</v>
      </c>
      <c r="P127" s="1402" t="n">
        <v>0.246</v>
      </c>
      <c r="Q127" s="1405" t="n">
        <v>0.27</v>
      </c>
      <c r="R127" s="1402" t="n">
        <v>0.207</v>
      </c>
      <c r="S127" s="1402" t="n">
        <v>0.234</v>
      </c>
      <c r="T127" s="1402" t="n">
        <v>0.312</v>
      </c>
      <c r="U127" s="1402" t="n">
        <v>0.3</v>
      </c>
      <c r="V127" s="1405" t="n">
        <v>0.256</v>
      </c>
      <c r="W127" s="1402" t="n">
        <v>0.246</v>
      </c>
      <c r="X127" s="1402" t="n">
        <v>0.19</v>
      </c>
      <c r="Y127" s="1402" t="n">
        <v>0.259</v>
      </c>
      <c r="Z127" s="1402" t="n">
        <v>0.269</v>
      </c>
      <c r="AA127" s="1405" t="n">
        <v>0.236</v>
      </c>
      <c r="AB127" s="1402" t="n">
        <v>0.23</v>
      </c>
      <c r="AC127" s="1402" t="n">
        <v>0.187</v>
      </c>
      <c r="AD127" s="1402" t="n">
        <v>0.232</v>
      </c>
      <c r="AE127" s="1402" t="n">
        <v>0.246</v>
      </c>
      <c r="AF127" s="1405" t="n">
        <v>0.22</v>
      </c>
      <c r="AG127" s="1402" t="n">
        <v>0.144</v>
      </c>
      <c r="AH127" s="1402" t="n">
        <v>0.162</v>
      </c>
      <c r="AI127" s="1402" t="n">
        <v>0.257</v>
      </c>
      <c r="AJ127" s="1402" t="n">
        <v>0.289</v>
      </c>
      <c r="AK127" s="1405" t="n">
        <v>0.209</v>
      </c>
      <c r="AL127" s="1402" t="n">
        <v>0.284</v>
      </c>
      <c r="AM127" s="1402" t="n">
        <v>0.285</v>
      </c>
      <c r="AN127" s="1402" t="n">
        <v>0.313</v>
      </c>
      <c r="AO127" s="1402" t="n">
        <v>0.314</v>
      </c>
      <c r="AP127" s="1405" t="n">
        <v>0.298</v>
      </c>
      <c r="AQ127" s="1402" t="n">
        <v>0.295</v>
      </c>
      <c r="AR127" s="1402" t="n">
        <v>0.273</v>
      </c>
      <c r="AS127" s="1402" t="n">
        <v>0.307</v>
      </c>
      <c r="AT127" s="1402" t="n">
        <v>0.313</v>
      </c>
      <c r="AU127" s="1405" t="n">
        <v>0.297</v>
      </c>
      <c r="AV127" s="1402" t="n">
        <v>0.362</v>
      </c>
      <c r="AW127" s="1402" t="n">
        <v>0.394</v>
      </c>
      <c r="AX127" s="1402" t="n">
        <v>0.429</v>
      </c>
      <c r="AY127" s="1402" t="n">
        <v>0.417</v>
      </c>
      <c r="AZ127" s="1405" t="n">
        <v>0.398</v>
      </c>
      <c r="BA127" s="1402" t="n">
        <v>0.275</v>
      </c>
      <c r="BB127" s="1402" t="n">
        <v>0.232</v>
      </c>
      <c r="BC127" s="1402" t="n">
        <v>0.258</v>
      </c>
      <c r="BD127" s="1402" t="n">
        <v>0.281</v>
      </c>
      <c r="BE127" s="1405" t="n">
        <v>0.262</v>
      </c>
      <c r="BF127" s="1402" t="n">
        <v>0.254</v>
      </c>
      <c r="BG127" s="1402" t="n">
        <v>0.267</v>
      </c>
      <c r="BH127" s="1402" t="n">
        <v>0.334</v>
      </c>
      <c r="BI127" s="1402" t="n">
        <v>0.362</v>
      </c>
      <c r="BJ127" s="1405" t="n">
        <v>0.303</v>
      </c>
      <c r="BK127" s="1402" t="n">
        <v>0.327</v>
      </c>
      <c r="BL127" s="1402" t="n">
        <v>0.348</v>
      </c>
      <c r="BM127" s="1402" t="n">
        <v>0.378</v>
      </c>
      <c r="BN127" s="1402" t="n">
        <v>0.388</v>
      </c>
      <c r="BO127" s="1444" t="n">
        <v>0.354</v>
      </c>
      <c r="BP127" s="1370" t="n"/>
      <c r="BQ127" s="1370" t="n"/>
      <c r="BR127" s="1370" t="n"/>
      <c r="BS127" s="1370" t="n"/>
      <c r="BT127" s="1369" t="n"/>
      <c r="BU127" s="1370" t="n"/>
      <c r="BV127" s="1370" t="n"/>
      <c r="BW127" s="1370" t="n"/>
      <c r="BX127" s="1370" t="n"/>
      <c r="BY127" s="1369" t="n"/>
      <c r="BZ127" s="1369" t="n"/>
      <c r="CA127" s="1369" t="n"/>
      <c r="CB127" s="1369" t="n"/>
      <c r="CC127" s="1294" t="n"/>
    </row>
    <row r="128" hidden="1" outlineLevel="2" ht="14.4" customFormat="1" customHeight="1" s="1275">
      <c r="A128" s="1445" t="inlineStr">
        <is>
          <t>Y/Y ROE improvement, ppts</t>
        </is>
      </c>
      <c r="B128" s="1387" t="n"/>
      <c r="C128" s="1297" t="n"/>
      <c r="D128" s="1446">
        <f>(D127-C127)*100</f>
        <v/>
      </c>
      <c r="E128" s="1446">
        <f>(E127-D127)*100</f>
        <v/>
      </c>
      <c r="F128" s="1446">
        <f>(F127-E127)*100</f>
        <v/>
      </c>
      <c r="G128" s="1446">
        <f>(G127-F127)*100</f>
        <v/>
      </c>
      <c r="H128" s="1277" t="n"/>
      <c r="I128" s="1277" t="n"/>
      <c r="J128" s="1277" t="n"/>
      <c r="K128" s="1277" t="n"/>
      <c r="L128" s="1446">
        <f>(L127-G127)*100</f>
        <v/>
      </c>
      <c r="M128" s="1280">
        <f>(M127-H127)*100</f>
        <v/>
      </c>
      <c r="N128" s="1280">
        <f>(N127-I127)*100</f>
        <v/>
      </c>
      <c r="O128" s="1280">
        <f>(O127-J127)*100</f>
        <v/>
      </c>
      <c r="P128" s="1280">
        <f>(P127-K127)*100</f>
        <v/>
      </c>
      <c r="Q128" s="1446">
        <f>(Q127-L127)*100</f>
        <v/>
      </c>
      <c r="R128" s="1280">
        <f>(R127-M127)*100</f>
        <v/>
      </c>
      <c r="S128" s="1280">
        <f>(S127-N127)*100</f>
        <v/>
      </c>
      <c r="T128" s="1280">
        <f>(T127-O127)*100</f>
        <v/>
      </c>
      <c r="U128" s="1280">
        <f>(U127-P127)*100</f>
        <v/>
      </c>
      <c r="V128" s="1446">
        <f>(V127-Q127)*100</f>
        <v/>
      </c>
      <c r="W128" s="1280">
        <f>(W127-R127)*100</f>
        <v/>
      </c>
      <c r="X128" s="1280">
        <f>(X127-S127)*100</f>
        <v/>
      </c>
      <c r="Y128" s="1280">
        <f>(Y127-T127)*100</f>
        <v/>
      </c>
      <c r="Z128" s="1280">
        <f>(Z127-U127)*100</f>
        <v/>
      </c>
      <c r="AA128" s="1446">
        <f>(AA127-V127)*100</f>
        <v/>
      </c>
      <c r="AB128" s="1280">
        <f>(AB127-W127)*100</f>
        <v/>
      </c>
      <c r="AC128" s="1280">
        <f>(AC127-X127)*100</f>
        <v/>
      </c>
      <c r="AD128" s="1280">
        <f>(AD127-Y127)*100</f>
        <v/>
      </c>
      <c r="AE128" s="1280">
        <f>(AE127-Z127)*100</f>
        <v/>
      </c>
      <c r="AF128" s="1446">
        <f>(AF127-AA127)*100</f>
        <v/>
      </c>
      <c r="AG128" s="1280">
        <f>(AG127-AB127)*100</f>
        <v/>
      </c>
      <c r="AH128" s="1280">
        <f>(AH127-AC127)*100</f>
        <v/>
      </c>
      <c r="AI128" s="1280">
        <f>(AI127-AD127)*100</f>
        <v/>
      </c>
      <c r="AJ128" s="1280">
        <f>(AJ127-AE127)*100</f>
        <v/>
      </c>
      <c r="AK128" s="1446">
        <f>(AK127-AF127)*100</f>
        <v/>
      </c>
      <c r="AL128" s="1280">
        <f>(AL127-AG127)*100</f>
        <v/>
      </c>
      <c r="AM128" s="1280">
        <f>(AM127-AH127)*100</f>
        <v/>
      </c>
      <c r="AN128" s="1280">
        <f>(AN127-AI127)*100</f>
        <v/>
      </c>
      <c r="AO128" s="1280">
        <f>(AO127-AJ127)*100</f>
        <v/>
      </c>
      <c r="AP128" s="1446">
        <f>(AP127-AK127)*100</f>
        <v/>
      </c>
      <c r="AQ128" s="1280">
        <f>(AQ127-AL127)*100</f>
        <v/>
      </c>
      <c r="AR128" s="1280">
        <f>(AR127-AM127)*100</f>
        <v/>
      </c>
      <c r="AS128" s="1280">
        <f>(AS127-AN127)*100</f>
        <v/>
      </c>
      <c r="AT128" s="1280">
        <f>(AT127-AO127)*100</f>
        <v/>
      </c>
      <c r="AU128" s="1446">
        <f>(AU127-AP127)*100</f>
        <v/>
      </c>
      <c r="AV128" s="1280">
        <f>(AV127-AQ127)*100</f>
        <v/>
      </c>
      <c r="AW128" s="1280">
        <f>(AW127-AR127)*100</f>
        <v/>
      </c>
      <c r="AX128" s="1280">
        <f>(AX127-AS127)*100</f>
        <v/>
      </c>
      <c r="AY128" s="1280">
        <f>(AY127-AT127)*100</f>
        <v/>
      </c>
      <c r="AZ128" s="1446">
        <f>(AZ127-AU127)*100</f>
        <v/>
      </c>
      <c r="BA128" s="1280">
        <f>(BA127-AV127)*100</f>
        <v/>
      </c>
      <c r="BB128" s="1280">
        <f>(BB127-AW127)*100</f>
        <v/>
      </c>
      <c r="BC128" s="1280">
        <f>(BC127-AX127)*100</f>
        <v/>
      </c>
      <c r="BD128" s="1280">
        <f>(BD127-AY127)*100</f>
        <v/>
      </c>
      <c r="BE128" s="1446">
        <f>(BE127-AZ127)*100</f>
        <v/>
      </c>
      <c r="BF128" s="1280">
        <f>(BF127-BA127)*100</f>
        <v/>
      </c>
      <c r="BG128" s="1280">
        <f>(BG127-BB127)*100</f>
        <v/>
      </c>
      <c r="BH128" s="1280">
        <f>(BH127-BC127)*100</f>
        <v/>
      </c>
      <c r="BI128" s="1280">
        <f>(BI127-BD127)*100</f>
        <v/>
      </c>
      <c r="BJ128" s="1446">
        <f>(BJ127-BE127)*100</f>
        <v/>
      </c>
      <c r="BK128" s="1280">
        <f>(BK127-BF127)*100</f>
        <v/>
      </c>
      <c r="BL128" s="1280">
        <f>(BL127-BG127)*100</f>
        <v/>
      </c>
      <c r="BM128" s="1280">
        <f>(BM127-BH127)*100</f>
        <v/>
      </c>
      <c r="BN128" s="1280">
        <f>(BN127-BI127)*100</f>
        <v/>
      </c>
      <c r="BO128" s="1300">
        <f>(BO127-BJ127)*100</f>
        <v/>
      </c>
      <c r="BP128" s="1277" t="n"/>
      <c r="BQ128" s="1277" t="n"/>
      <c r="BR128" s="1277" t="n"/>
      <c r="BS128" s="1277" t="n"/>
      <c r="BT128" s="1297" t="n"/>
      <c r="BU128" s="1277" t="n"/>
      <c r="BV128" s="1277" t="n"/>
      <c r="BW128" s="1277" t="n"/>
      <c r="BX128" s="1277" t="n"/>
      <c r="BY128" s="1297" t="n"/>
      <c r="BZ128" s="1297" t="n"/>
      <c r="CA128" s="1297" t="n"/>
      <c r="CB128" s="1297" t="n"/>
      <c r="CC128" s="1280" t="n"/>
    </row>
    <row r="129" hidden="1" outlineLevel="2" ht="14.4" customFormat="1" customHeight="1" s="1290">
      <c r="A129" s="1442" t="inlineStr">
        <is>
          <t>Fab Utilization Rate (calculated), %</t>
        </is>
      </c>
      <c r="B129" s="1443" t="n"/>
      <c r="C129" s="1403">
        <f>IFERROR(C126/C124,"N/A")</f>
        <v/>
      </c>
      <c r="D129" s="1403">
        <f>IFERROR(D126/D124,"N/A")</f>
        <v/>
      </c>
      <c r="E129" s="1403">
        <f>IFERROR(E126/E124,"N/A")</f>
        <v/>
      </c>
      <c r="F129" s="1447">
        <f>IFERROR(F126/F124,"N/A")</f>
        <v/>
      </c>
      <c r="G129" s="1447">
        <f>IFERROR(G126/G124,"N/A")</f>
        <v/>
      </c>
      <c r="H129" s="1370" t="n"/>
      <c r="I129" s="1370" t="n"/>
      <c r="J129" s="1370" t="n"/>
      <c r="K129" s="1370" t="n"/>
      <c r="L129" s="1403">
        <f>IFERROR(L126/L124,"N/A")</f>
        <v/>
      </c>
      <c r="M129" s="1370" t="n"/>
      <c r="N129" s="1370" t="n"/>
      <c r="O129" s="1370" t="n"/>
      <c r="P129" s="1370" t="n"/>
      <c r="Q129" s="1403">
        <f>IFERROR(Q126/Q124,"N/A")</f>
        <v/>
      </c>
      <c r="R129" s="1370" t="n"/>
      <c r="S129" s="1370" t="n"/>
      <c r="T129" s="1370" t="n"/>
      <c r="U129" s="1370" t="n"/>
      <c r="V129" s="1403">
        <f>IFERROR(V126/V124,"N/A")</f>
        <v/>
      </c>
      <c r="W129" s="1370" t="n"/>
      <c r="X129" s="1370" t="n"/>
      <c r="Y129" s="1370" t="n"/>
      <c r="Z129" s="1370" t="n"/>
      <c r="AA129" s="1403">
        <f>IFERROR(AA126/AA124,"N/A")</f>
        <v/>
      </c>
      <c r="AB129" s="1370" t="n"/>
      <c r="AC129" s="1370" t="n"/>
      <c r="AD129" s="1370" t="n"/>
      <c r="AE129" s="1370" t="n"/>
      <c r="AF129" s="1403">
        <f>IFERROR(AF126/AF124,"N/A")</f>
        <v/>
      </c>
      <c r="AG129" s="1370" t="n"/>
      <c r="AH129" s="1370" t="n"/>
      <c r="AI129" s="1370" t="n"/>
      <c r="AJ129" s="1370" t="n"/>
      <c r="AK129" s="1403">
        <f>IFERROR(AK126/AK124,"N/A")</f>
        <v/>
      </c>
      <c r="AL129" s="1370" t="n"/>
      <c r="AM129" s="1370" t="n"/>
      <c r="AN129" s="1370" t="n"/>
      <c r="AO129" s="1370" t="n"/>
      <c r="AP129" s="1369">
        <f>IFERROR(AP126/AP124,"N/A")</f>
        <v/>
      </c>
      <c r="AQ129" s="1370" t="n"/>
      <c r="AR129" s="1370" t="n"/>
      <c r="AS129" s="1370" t="n"/>
      <c r="AT129" s="1370" t="n"/>
      <c r="AU129" s="1369">
        <f>IFERROR(AU126/AU124,"N/A")</f>
        <v/>
      </c>
      <c r="AV129" s="1370" t="n"/>
      <c r="AW129" s="1370" t="n"/>
      <c r="AX129" s="1370" t="n"/>
      <c r="AY129" s="1370" t="n"/>
      <c r="AZ129" s="1369">
        <f>IFERROR(AZ126/AZ124,"N/A")</f>
        <v/>
      </c>
      <c r="BA129" s="1370" t="n"/>
      <c r="BB129" s="1370" t="n"/>
      <c r="BC129" s="1370" t="n"/>
      <c r="BD129" s="1370" t="n"/>
      <c r="BE129" s="1369">
        <f>IFERROR(BE126/BE124,"N/A")</f>
        <v/>
      </c>
      <c r="BF129" s="1370" t="n"/>
      <c r="BG129" s="1370" t="n"/>
      <c r="BH129" s="1370" t="n"/>
      <c r="BI129" s="1370" t="n"/>
      <c r="BJ129" s="1369">
        <f>IFERROR(BJ126/BJ124,"N/A")</f>
        <v/>
      </c>
      <c r="BK129" s="1370" t="n"/>
      <c r="BL129" s="1370" t="n"/>
      <c r="BM129" s="1370" t="n"/>
      <c r="BN129" s="1370" t="n"/>
      <c r="BO129" s="1371" t="n"/>
      <c r="BP129" s="1370" t="n"/>
      <c r="BQ129" s="1370" t="n"/>
      <c r="BR129" s="1370" t="n"/>
      <c r="BS129" s="1370" t="n"/>
      <c r="BT129" s="1369" t="n"/>
      <c r="BU129" s="1370" t="n"/>
      <c r="BV129" s="1370" t="n"/>
      <c r="BW129" s="1370" t="n"/>
      <c r="BX129" s="1370" t="n"/>
      <c r="BY129" s="1369" t="n"/>
      <c r="BZ129" s="1369" t="n"/>
      <c r="CA129" s="1369" t="n"/>
      <c r="CB129" s="1369" t="n"/>
      <c r="CC129" s="1294" t="n"/>
    </row>
    <row r="130" hidden="1" outlineLevel="2" ht="14.4" customFormat="1" customHeight="1" s="1290">
      <c r="A130" s="1442" t="inlineStr">
        <is>
          <t>Billing Utilization Rate, %</t>
        </is>
      </c>
      <c r="B130" s="1443" t="n"/>
      <c r="C130" s="1405" t="n">
        <v>0.75</v>
      </c>
      <c r="D130" s="1405" t="n">
        <v>1.01</v>
      </c>
      <c r="E130" s="1405" t="n">
        <v>0.91</v>
      </c>
      <c r="F130" s="1448" t="n">
        <v>0.91</v>
      </c>
      <c r="G130" s="1448" t="n">
        <v>0.91</v>
      </c>
      <c r="H130" s="1370" t="n"/>
      <c r="I130" s="1370" t="n"/>
      <c r="J130" s="1370" t="n"/>
      <c r="K130" s="1370" t="n"/>
      <c r="L130" s="1405" t="n">
        <v>0.97</v>
      </c>
      <c r="M130" s="1370" t="n"/>
      <c r="N130" s="1370" t="n"/>
      <c r="O130" s="1370" t="n"/>
      <c r="P130" s="1370" t="n"/>
      <c r="Q130" s="1405" t="n">
        <v>0.93</v>
      </c>
      <c r="R130" s="1370" t="n"/>
      <c r="S130" s="1370" t="n"/>
      <c r="T130" s="1370" t="n"/>
      <c r="U130" s="1370" t="n"/>
      <c r="V130" s="1405" t="n">
        <v>0.92</v>
      </c>
      <c r="W130" s="1370" t="n"/>
      <c r="X130" s="1370" t="n"/>
      <c r="Y130" s="1370" t="n"/>
      <c r="Z130" s="1370" t="n"/>
      <c r="AA130" s="1405" t="n">
        <v>0.91</v>
      </c>
      <c r="AB130" s="1370" t="n"/>
      <c r="AC130" s="1370" t="n"/>
      <c r="AD130" s="1370" t="n"/>
      <c r="AE130" s="1370" t="n"/>
      <c r="AF130" s="1405" t="n">
        <v>0.87</v>
      </c>
      <c r="AG130" s="1370" t="n"/>
      <c r="AH130" s="1370" t="n"/>
      <c r="AI130" s="1370" t="n"/>
      <c r="AJ130" s="1370" t="n"/>
      <c r="AK130" s="1405" t="n">
        <v>0.8100000000000001</v>
      </c>
      <c r="AL130" s="1370" t="n"/>
      <c r="AM130" s="1370" t="n"/>
      <c r="AN130" s="1370" t="n"/>
      <c r="AO130" s="1370" t="n"/>
      <c r="AP130" s="1405" t="n">
        <v>0.9399999999999999</v>
      </c>
      <c r="AQ130" s="1370" t="n"/>
      <c r="AR130" s="1370" t="n"/>
      <c r="AS130" s="1370" t="n"/>
      <c r="AT130" s="1370" t="n"/>
      <c r="AU130" s="1369" t="n"/>
      <c r="AV130" s="1370" t="n"/>
      <c r="AW130" s="1370" t="n"/>
      <c r="AX130" s="1370" t="n"/>
      <c r="AY130" s="1370" t="n"/>
      <c r="AZ130" s="1369" t="n"/>
      <c r="BA130" s="1370" t="n"/>
      <c r="BB130" s="1370" t="n"/>
      <c r="BC130" s="1370" t="n"/>
      <c r="BD130" s="1370" t="n"/>
      <c r="BE130" s="1369" t="n"/>
      <c r="BF130" s="1370" t="n"/>
      <c r="BG130" s="1370" t="n"/>
      <c r="BH130" s="1370" t="n"/>
      <c r="BI130" s="1370" t="n"/>
      <c r="BJ130" s="1369" t="n"/>
      <c r="BK130" s="1370" t="n"/>
      <c r="BL130" s="1370" t="n"/>
      <c r="BM130" s="1370" t="n"/>
      <c r="BN130" s="1370" t="n"/>
      <c r="BO130" s="1371" t="n"/>
      <c r="BP130" s="1370" t="n"/>
      <c r="BQ130" s="1370" t="n"/>
      <c r="BR130" s="1370" t="n"/>
      <c r="BS130" s="1370" t="n"/>
      <c r="BT130" s="1369" t="n"/>
      <c r="BU130" s="1370" t="n"/>
      <c r="BV130" s="1370" t="n"/>
      <c r="BW130" s="1370" t="n"/>
      <c r="BX130" s="1370" t="n"/>
      <c r="BY130" s="1369" t="n"/>
      <c r="BZ130" s="1369" t="n"/>
      <c r="CA130" s="1369" t="n"/>
      <c r="CB130" s="1369" t="n"/>
      <c r="CC130" s="1294" t="n"/>
    </row>
    <row r="131" hidden="1" outlineLevel="2" ht="14.4" customFormat="1" customHeight="1" s="1449">
      <c r="A131" s="1450" t="inlineStr">
        <is>
          <t>Blended Wafer ASP (calculated), $/wafer</t>
        </is>
      </c>
      <c r="B131" s="1451" t="n"/>
      <c r="C131" s="1452">
        <f>C119/INDEX(MO_VA_FX_AVG,0,COLUMN())/C126*1000</f>
        <v/>
      </c>
      <c r="D131" s="1452">
        <f>D119/INDEX(MO_VA_FX_AVG,0,COLUMN())/D126*1000</f>
        <v/>
      </c>
      <c r="E131" s="1452">
        <f>E119/INDEX(MO_VA_FX_AVG,0,COLUMN())/E126*1000</f>
        <v/>
      </c>
      <c r="F131" s="1453">
        <f>F119/INDEX(MO_VA_FX_AVG,0,COLUMN())/F126*1000</f>
        <v/>
      </c>
      <c r="G131" s="1453">
        <f>G119/INDEX(MO_VA_FX_AVG,0,COLUMN())/G126*1000</f>
        <v/>
      </c>
      <c r="H131" s="1454" t="n"/>
      <c r="I131" s="1454" t="n"/>
      <c r="J131" s="1454" t="n"/>
      <c r="K131" s="1454" t="n"/>
      <c r="L131" s="1452">
        <f>L119/INDEX(MO_VA_FX_AVG,0,COLUMN())/L126*1000</f>
        <v/>
      </c>
      <c r="M131" s="1454" t="n"/>
      <c r="N131" s="1454" t="n"/>
      <c r="O131" s="1454" t="n"/>
      <c r="P131" s="1454" t="n"/>
      <c r="Q131" s="1452">
        <f>Q119/INDEX(MO_VA_FX_AVG,0,COLUMN())/Q126*1000</f>
        <v/>
      </c>
      <c r="R131" s="1454" t="n"/>
      <c r="S131" s="1454" t="n"/>
      <c r="T131" s="1454" t="n"/>
      <c r="U131" s="1454" t="n"/>
      <c r="V131" s="1452">
        <f>V119/INDEX(MO_VA_FX_AVG,0,COLUMN())/V126*1000</f>
        <v/>
      </c>
      <c r="W131" s="1454" t="n"/>
      <c r="X131" s="1454" t="n"/>
      <c r="Y131" s="1454" t="n"/>
      <c r="Z131" s="1454" t="n"/>
      <c r="AA131" s="1452">
        <f>AA119/INDEX(MO_VA_FX_AVG,0,COLUMN())/AA126*1000</f>
        <v/>
      </c>
      <c r="AB131" s="1454" t="n"/>
      <c r="AC131" s="1454" t="n"/>
      <c r="AD131" s="1454" t="n"/>
      <c r="AE131" s="1454" t="n"/>
      <c r="AF131" s="1452">
        <f>AF119/INDEX(MO_VA_FX_AVG,0,COLUMN())/AF126*1000</f>
        <v/>
      </c>
      <c r="AG131" s="1454" t="n"/>
      <c r="AH131" s="1454" t="n"/>
      <c r="AI131" s="1454" t="n"/>
      <c r="AJ131" s="1454" t="n"/>
      <c r="AK131" s="1452">
        <f>AK119/INDEX(MO_VA_FX_AVG,0,COLUMN())/AK126*1000</f>
        <v/>
      </c>
      <c r="AL131" s="1454" t="n"/>
      <c r="AM131" s="1454" t="n"/>
      <c r="AN131" s="1454" t="n"/>
      <c r="AO131" s="1454" t="n"/>
      <c r="AP131" s="1455">
        <f>AP119/INDEX(MO_VA_FX_AVG,0,COLUMN())/AP126*1000</f>
        <v/>
      </c>
      <c r="AQ131" s="1454" t="n"/>
      <c r="AR131" s="1454" t="n"/>
      <c r="AS131" s="1454" t="n"/>
      <c r="AT131" s="1454" t="n"/>
      <c r="AU131" s="1455">
        <f>AU119/INDEX(MO_VA_FX_AVG,0,COLUMN())/AU126*1000</f>
        <v/>
      </c>
      <c r="AV131" s="1454" t="n"/>
      <c r="AW131" s="1454" t="n"/>
      <c r="AX131" s="1454" t="n"/>
      <c r="AY131" s="1454" t="n"/>
      <c r="AZ131" s="1455">
        <f>AZ119/INDEX(MO_VA_FX_AVG,0,COLUMN())/AZ126*1000</f>
        <v/>
      </c>
      <c r="BA131" s="1454" t="n"/>
      <c r="BB131" s="1454" t="n"/>
      <c r="BC131" s="1454" t="n"/>
      <c r="BD131" s="1454" t="n"/>
      <c r="BE131" s="1455">
        <f>BE119/INDEX(MO_VA_FX_AVG,0,COLUMN())/BE126*1000</f>
        <v/>
      </c>
      <c r="BF131" s="1454" t="n"/>
      <c r="BG131" s="1454" t="n"/>
      <c r="BH131" s="1454" t="n"/>
      <c r="BI131" s="1454" t="n"/>
      <c r="BJ131" s="1455">
        <f>BJ119/INDEX(MO_VA_FX_AVG,0,COLUMN())/BJ126*1000</f>
        <v/>
      </c>
      <c r="BK131" s="1454" t="n"/>
      <c r="BL131" s="1454" t="n"/>
      <c r="BM131" s="1454" t="n"/>
      <c r="BN131" s="1454" t="n"/>
      <c r="BO131" s="1456">
        <f>BO119/INDEX(MO_VA_FX_AVG,0,COLUMN())/BO126*1000</f>
        <v/>
      </c>
      <c r="BP131" s="1454" t="n"/>
      <c r="BQ131" s="1454" t="n"/>
      <c r="BR131" s="1454" t="n"/>
      <c r="BS131" s="1454" t="n"/>
      <c r="BT131" s="1455" t="n"/>
      <c r="BU131" s="1454" t="n"/>
      <c r="BV131" s="1454" t="n"/>
      <c r="BW131" s="1454" t="n"/>
      <c r="BX131" s="1454" t="n"/>
      <c r="BY131" s="1455" t="n"/>
      <c r="BZ131" s="1455" t="n"/>
      <c r="CA131" s="1455" t="n"/>
      <c r="CB131" s="1455" t="n"/>
      <c r="CC131" s="1457" t="n"/>
    </row>
    <row r="132" hidden="1" outlineLevel="1" collapsed="1" ht="14.4" customFormat="1" customHeight="1" s="1350">
      <c r="A132" s="1458" t="n"/>
      <c r="B132" s="1459" t="n"/>
      <c r="C132" s="1353" t="n"/>
      <c r="D132" s="1353" t="n"/>
      <c r="E132" s="1353" t="n"/>
      <c r="F132" s="1353" t="n"/>
      <c r="G132" s="1353" t="n"/>
      <c r="H132" s="1354" t="n"/>
      <c r="I132" s="1354" t="n"/>
      <c r="J132" s="1354" t="n"/>
      <c r="K132" s="1354" t="n"/>
      <c r="L132" s="1353" t="n"/>
      <c r="M132" s="1354" t="n"/>
      <c r="N132" s="1354" t="n"/>
      <c r="O132" s="1354" t="n"/>
      <c r="P132" s="1354" t="n"/>
      <c r="Q132" s="1353" t="n"/>
      <c r="R132" s="1354" t="n"/>
      <c r="S132" s="1354" t="n"/>
      <c r="T132" s="1354" t="n"/>
      <c r="U132" s="1354" t="n"/>
      <c r="V132" s="1353" t="n"/>
      <c r="W132" s="1354" t="n"/>
      <c r="X132" s="1354" t="n"/>
      <c r="Y132" s="1354" t="n"/>
      <c r="Z132" s="1354" t="n"/>
      <c r="AA132" s="1353" t="n"/>
      <c r="AB132" s="1354" t="n"/>
      <c r="AC132" s="1354" t="n"/>
      <c r="AD132" s="1354" t="n"/>
      <c r="AE132" s="1354" t="n"/>
      <c r="AF132" s="1353" t="n"/>
      <c r="AG132" s="1354" t="n"/>
      <c r="AH132" s="1354" t="n"/>
      <c r="AI132" s="1354" t="n"/>
      <c r="AJ132" s="1354" t="n"/>
      <c r="AK132" s="1353" t="n"/>
      <c r="AL132" s="1354" t="n"/>
      <c r="AM132" s="1354" t="n"/>
      <c r="AN132" s="1354" t="n"/>
      <c r="AO132" s="1354" t="n"/>
      <c r="AP132" s="1353" t="n"/>
      <c r="AQ132" s="1354" t="n"/>
      <c r="AR132" s="1354" t="n"/>
      <c r="AS132" s="1354" t="n"/>
      <c r="AT132" s="1354" t="n"/>
      <c r="AU132" s="1353" t="n"/>
      <c r="AV132" s="1354" t="n"/>
      <c r="AW132" s="1354" t="n"/>
      <c r="AX132" s="1354" t="n"/>
      <c r="AY132" s="1354" t="n"/>
      <c r="AZ132" s="1353" t="n"/>
      <c r="BA132" s="1354" t="n"/>
      <c r="BB132" s="1354" t="n"/>
      <c r="BC132" s="1354" t="n"/>
      <c r="BD132" s="1354" t="n"/>
      <c r="BE132" s="1353" t="n"/>
      <c r="BF132" s="1354" t="n"/>
      <c r="BG132" s="1354" t="n"/>
      <c r="BH132" s="1354" t="n"/>
      <c r="BI132" s="1354" t="n"/>
      <c r="BJ132" s="1353" t="n"/>
      <c r="BK132" s="1354" t="n"/>
      <c r="BL132" s="1354" t="n"/>
      <c r="BM132" s="1354" t="n"/>
      <c r="BN132" s="1354" t="n"/>
      <c r="BO132" s="1355" t="n"/>
      <c r="BP132" s="1354" t="n"/>
      <c r="BQ132" s="1354" t="n"/>
      <c r="BR132" s="1354" t="n"/>
      <c r="BS132" s="1354" t="n"/>
      <c r="BT132" s="1353" t="n"/>
      <c r="BU132" s="1354" t="n"/>
      <c r="BV132" s="1354" t="n"/>
      <c r="BW132" s="1354" t="n"/>
      <c r="BX132" s="1354" t="n"/>
      <c r="BY132" s="1353" t="n"/>
      <c r="BZ132" s="1353" t="n"/>
      <c r="CA132" s="1353" t="n"/>
      <c r="CB132" s="1353" t="n"/>
      <c r="CC132" s="1356" t="n"/>
    </row>
    <row r="133" hidden="1" outlineLevel="1" ht="14.4" customFormat="1" customHeight="1" s="1275">
      <c r="A133" s="1357" t="inlineStr">
        <is>
          <t>Key Metrics - Geographic Breakdown (FS/SI/IR)</t>
        </is>
      </c>
      <c r="B133" s="1358" t="n"/>
      <c r="C133" s="1358" t="n"/>
      <c r="D133" s="1358" t="n"/>
      <c r="E133" s="1358" t="n"/>
      <c r="F133" s="1358" t="n"/>
      <c r="G133" s="1358" t="n"/>
      <c r="H133" s="1358" t="n"/>
      <c r="I133" s="1358" t="n"/>
      <c r="J133" s="1358" t="n"/>
      <c r="K133" s="1358" t="n"/>
      <c r="L133" s="1358" t="n"/>
      <c r="M133" s="1358" t="n"/>
      <c r="N133" s="1358" t="n"/>
      <c r="O133" s="1358" t="n"/>
      <c r="P133" s="1358" t="n"/>
      <c r="Q133" s="1358" t="n"/>
      <c r="R133" s="1358" t="n"/>
      <c r="S133" s="1358" t="n"/>
      <c r="T133" s="1358" t="n"/>
      <c r="U133" s="1358" t="n"/>
      <c r="V133" s="1358" t="n"/>
      <c r="W133" s="1358" t="n"/>
      <c r="X133" s="1358" t="n"/>
      <c r="Y133" s="1358" t="n"/>
      <c r="Z133" s="1358" t="n"/>
      <c r="AA133" s="1358" t="n"/>
      <c r="AB133" s="1358" t="n"/>
      <c r="AC133" s="1358" t="n"/>
      <c r="AD133" s="1358" t="n"/>
      <c r="AE133" s="1358" t="n"/>
      <c r="AF133" s="1358" t="n"/>
      <c r="AG133" s="1358" t="n"/>
      <c r="AH133" s="1358" t="n"/>
      <c r="AI133" s="1358" t="n"/>
      <c r="AJ133" s="1358" t="n"/>
      <c r="AK133" s="1358" t="n"/>
      <c r="AL133" s="1358" t="n"/>
      <c r="AM133" s="1358" t="n"/>
      <c r="AN133" s="1358" t="n"/>
      <c r="AO133" s="1358" t="n"/>
      <c r="AP133" s="1358" t="n"/>
      <c r="AQ133" s="1358" t="n"/>
      <c r="AR133" s="1358" t="n"/>
      <c r="AS133" s="1358" t="n"/>
      <c r="AT133" s="1358" t="n"/>
      <c r="AU133" s="1358" t="n"/>
      <c r="AV133" s="1358" t="n"/>
      <c r="AW133" s="1358" t="n"/>
      <c r="AX133" s="1358" t="n"/>
      <c r="AY133" s="1358" t="n"/>
      <c r="AZ133" s="1358" t="n"/>
      <c r="BA133" s="1358" t="n"/>
      <c r="BB133" s="1358" t="n"/>
      <c r="BC133" s="1358" t="n"/>
      <c r="BD133" s="1358" t="n"/>
      <c r="BE133" s="1358" t="n"/>
      <c r="BF133" s="1358" t="n"/>
      <c r="BG133" s="1358" t="n"/>
      <c r="BH133" s="1358" t="n"/>
      <c r="BI133" s="1358" t="n"/>
      <c r="BJ133" s="1358" t="n"/>
      <c r="BK133" s="1358" t="n"/>
      <c r="BL133" s="1358" t="n"/>
      <c r="BM133" s="1358" t="n"/>
      <c r="BN133" s="1358" t="n"/>
      <c r="BO133" s="1359" t="n"/>
      <c r="BP133" s="1358" t="n"/>
      <c r="BQ133" s="1358" t="n"/>
      <c r="BR133" s="1358" t="n"/>
      <c r="BS133" s="1358" t="n"/>
      <c r="BT133" s="1358" t="n"/>
      <c r="BU133" s="1358" t="n"/>
      <c r="BV133" s="1358" t="n"/>
      <c r="BW133" s="1358" t="n"/>
      <c r="BX133" s="1358" t="n"/>
      <c r="BY133" s="1358" t="n"/>
      <c r="BZ133" s="1358" t="n"/>
      <c r="CA133" s="1358" t="n"/>
      <c r="CB133" s="1358" t="n"/>
      <c r="CC133" s="1280" t="n"/>
    </row>
    <row r="134" hidden="1" outlineLevel="2" ht="14.4" customFormat="1" customHeight="1" s="1275">
      <c r="A134" s="1295" t="inlineStr">
        <is>
          <t>Taiwan revenue, mm</t>
        </is>
      </c>
      <c r="B134" s="1296" t="n"/>
      <c r="C134" s="1299" t="n">
        <v>40430.4</v>
      </c>
      <c r="D134" s="1299" t="n">
        <v>56420.4</v>
      </c>
      <c r="E134" s="1299" t="n">
        <v>49798.532</v>
      </c>
      <c r="F134" s="1299" t="n">
        <v>68150.152</v>
      </c>
      <c r="G134" s="1299" t="n">
        <v>74150.318</v>
      </c>
      <c r="H134" s="1277" t="n"/>
      <c r="I134" s="1277" t="n"/>
      <c r="J134" s="1277" t="n"/>
      <c r="K134" s="1277" t="n"/>
      <c r="L134" s="1299" t="n">
        <v>88856.586</v>
      </c>
      <c r="M134" s="1277" t="n"/>
      <c r="N134" s="1277" t="n"/>
      <c r="O134" s="1277" t="n"/>
      <c r="P134" s="1277" t="n"/>
      <c r="Q134" s="1299" t="n">
        <v>90169.54300000001</v>
      </c>
      <c r="R134" s="1277" t="n"/>
      <c r="S134" s="1277" t="n"/>
      <c r="T134" s="1277" t="n"/>
      <c r="U134" s="1277" t="n"/>
      <c r="V134" s="1299" t="n">
        <v>127062.984</v>
      </c>
      <c r="W134" s="1277" t="n"/>
      <c r="X134" s="1277" t="n"/>
      <c r="Y134" s="1277" t="n"/>
      <c r="Z134" s="1277" t="n"/>
      <c r="AA134" s="1299" t="n">
        <v>90129.39</v>
      </c>
      <c r="AB134" s="1298" t="n">
        <v>18401.294</v>
      </c>
      <c r="AC134" s="1298" t="n">
        <v>19660.007</v>
      </c>
      <c r="AD134" s="1298" t="n">
        <v>21576.476</v>
      </c>
      <c r="AE134" s="1280">
        <f>AF134-SUM(AB134,AC134,AD134)</f>
        <v/>
      </c>
      <c r="AF134" s="1299" t="n">
        <v>78260.773</v>
      </c>
      <c r="AG134" s="1298" t="n">
        <v>17358.562</v>
      </c>
      <c r="AH134" s="1298" t="n">
        <v>20184.598</v>
      </c>
      <c r="AI134" s="1298" t="n">
        <v>23868.865</v>
      </c>
      <c r="AJ134" s="1280">
        <f>AK134-SUM(AG134,AH134,AI134)</f>
        <v/>
      </c>
      <c r="AK134" s="1299" t="n">
        <v>84255.25599999999</v>
      </c>
      <c r="AL134" s="1298" t="n">
        <v>30235.078</v>
      </c>
      <c r="AM134" s="1298" t="n">
        <v>27697.8</v>
      </c>
      <c r="AN134" s="1298" t="n">
        <v>31162.816</v>
      </c>
      <c r="AO134" s="1277">
        <f>AP134-SUM(AL134,AM134,AN134)</f>
        <v/>
      </c>
      <c r="AP134" s="1299" t="n">
        <v>129082.884</v>
      </c>
      <c r="AQ134" s="1298" t="n">
        <v>57729.034</v>
      </c>
      <c r="AR134" s="1298" t="n">
        <v>41751.615</v>
      </c>
      <c r="AS134" s="1298" t="n">
        <v>35358.868</v>
      </c>
      <c r="AT134" s="1277">
        <f>AU134-SUM(AQ134,AR134,AS134)</f>
        <v/>
      </c>
      <c r="AU134" s="1299" t="n">
        <v>203963.76</v>
      </c>
      <c r="AV134" s="1298" t="n">
        <v>64309.017</v>
      </c>
      <c r="AW134" s="1298" t="n">
        <v>57220.955</v>
      </c>
      <c r="AX134" s="1298" t="n">
        <v>51983.021</v>
      </c>
      <c r="AY134" s="1277">
        <f>AZ134-SUM(AV134,AW134,AX134)</f>
        <v/>
      </c>
      <c r="AZ134" s="1299" t="n">
        <v>210470.783</v>
      </c>
      <c r="BA134" s="1298" t="n">
        <v>36886.003</v>
      </c>
      <c r="BB134" s="1298" t="n">
        <v>30841.739</v>
      </c>
      <c r="BC134" s="1298" t="n">
        <v>36868.992</v>
      </c>
      <c r="BD134" s="1277">
        <f>BE134-SUM(BA134,BB134,BC134)</f>
        <v/>
      </c>
      <c r="BE134" s="1299" t="n">
        <v>149777.343</v>
      </c>
      <c r="BF134" s="1298" t="n">
        <v>68315.42600000001</v>
      </c>
      <c r="BG134" s="1298" t="n">
        <v>60545.774</v>
      </c>
      <c r="BH134" s="1298" t="n">
        <v>72582.08100000001</v>
      </c>
      <c r="BI134" s="1277" t="n"/>
      <c r="BJ134" s="1299" t="n">
        <v>270413.546</v>
      </c>
      <c r="BK134" s="1298" t="n">
        <v>66493.50999999999</v>
      </c>
      <c r="BL134" s="1298" t="n">
        <v>73556.401</v>
      </c>
      <c r="BM134" s="1298" t="n">
        <v>75824.352</v>
      </c>
      <c r="BN134" s="1277" t="n"/>
      <c r="BO134" s="1382" t="n"/>
      <c r="BP134" s="1277" t="n"/>
      <c r="BQ134" s="1277" t="n"/>
      <c r="BR134" s="1277" t="n"/>
      <c r="BS134" s="1277" t="n"/>
      <c r="BT134" s="1297" t="n"/>
      <c r="BU134" s="1277" t="n"/>
      <c r="BV134" s="1277" t="n"/>
      <c r="BW134" s="1277" t="n"/>
      <c r="BX134" s="1277" t="n"/>
      <c r="BY134" s="1297" t="n"/>
      <c r="BZ134" s="1297" t="n"/>
      <c r="CA134" s="1297" t="n"/>
      <c r="CB134" s="1297" t="n"/>
      <c r="CC134" s="1280" t="n"/>
    </row>
    <row r="135" hidden="1" outlineLevel="2" ht="14.4" customFormat="1" customHeight="1" s="1275">
      <c r="A135" s="1295" t="inlineStr">
        <is>
          <t>United States revenue, mm</t>
        </is>
      </c>
      <c r="B135" s="1296" t="n"/>
      <c r="C135" s="1299" t="n">
        <v>171989.3</v>
      </c>
      <c r="D135" s="1299" t="n">
        <v>221148.7</v>
      </c>
      <c r="E135" s="1299" t="n">
        <v>250811.666</v>
      </c>
      <c r="F135" s="1299" t="n">
        <v>343707.672</v>
      </c>
      <c r="G135" s="1299" t="n">
        <v>423265.839</v>
      </c>
      <c r="H135" s="1277" t="n"/>
      <c r="I135" s="1277" t="n"/>
      <c r="J135" s="1277" t="n"/>
      <c r="K135" s="1277" t="n"/>
      <c r="L135" s="1299" t="n">
        <v>524983.953</v>
      </c>
      <c r="M135" s="1277" t="n"/>
      <c r="N135" s="1277" t="n"/>
      <c r="O135" s="1277" t="n"/>
      <c r="P135" s="1277" t="n"/>
      <c r="Q135" s="1299" t="n">
        <v>566600.178</v>
      </c>
      <c r="R135" s="1277" t="n"/>
      <c r="S135" s="1277" t="n"/>
      <c r="T135" s="1277" t="n"/>
      <c r="U135" s="1277" t="n"/>
      <c r="V135" s="1299" t="n">
        <v>610371.107</v>
      </c>
      <c r="W135" s="1277" t="n"/>
      <c r="X135" s="1277" t="n"/>
      <c r="Y135" s="1277" t="n"/>
      <c r="Z135" s="1277" t="n"/>
      <c r="AA135" s="1299" t="n">
        <v>620948.718</v>
      </c>
      <c r="AB135" s="1298" t="n">
        <v>145216.734</v>
      </c>
      <c r="AC135" s="1298" t="n">
        <v>122125.637</v>
      </c>
      <c r="AD135" s="1298" t="n">
        <v>157394.16</v>
      </c>
      <c r="AE135" s="1280">
        <f>AF135-SUM(AB135,AC135,AD135)</f>
        <v/>
      </c>
      <c r="AF135" s="1299" t="n">
        <v>632821.464</v>
      </c>
      <c r="AG135" s="1298" t="n">
        <v>129023.339</v>
      </c>
      <c r="AH135" s="1298" t="n">
        <v>146076.898</v>
      </c>
      <c r="AI135" s="1298" t="n">
        <v>174062.231</v>
      </c>
      <c r="AJ135" s="1280">
        <f>AK135-SUM(AG135,AH135,AI135)</f>
        <v/>
      </c>
      <c r="AK135" s="1299" t="n">
        <v>634713.0429999999</v>
      </c>
      <c r="AL135" s="1298" t="n">
        <v>171574.089</v>
      </c>
      <c r="AM135" s="1298" t="n">
        <v>178101.996</v>
      </c>
      <c r="AN135" s="1298" t="n">
        <v>207166.135</v>
      </c>
      <c r="AO135" s="1277">
        <f>AP135-SUM(AL135,AM135,AN135)</f>
        <v/>
      </c>
      <c r="AP135" s="1299" t="n">
        <v>817910.976</v>
      </c>
      <c r="AQ135" s="1298" t="n">
        <v>237363.271</v>
      </c>
      <c r="AR135" s="1298" t="n">
        <v>218814.409</v>
      </c>
      <c r="AS135" s="1298" t="n">
        <v>279297.136</v>
      </c>
      <c r="AT135" s="1277">
        <f>AU135-SUM(AQ135,AR135,AS135)</f>
        <v/>
      </c>
      <c r="AU135" s="1299" t="n">
        <v>1015996.424</v>
      </c>
      <c r="AV135" s="1298" t="n">
        <v>306126.682</v>
      </c>
      <c r="AW135" s="1298" t="n">
        <v>334036.299</v>
      </c>
      <c r="AX135" s="1298" t="n">
        <v>432369.098</v>
      </c>
      <c r="AY135" s="1277">
        <f>AZ135-SUM(AV135,AW135,AX135)</f>
        <v/>
      </c>
      <c r="AZ135" s="1299" t="n">
        <v>1493328.765</v>
      </c>
      <c r="BA135" s="1298" t="n">
        <v>306951.719</v>
      </c>
      <c r="BB135" s="1298" t="n">
        <v>301455.42</v>
      </c>
      <c r="BC135" s="1298" t="n">
        <v>360671.111</v>
      </c>
      <c r="BD135" s="1277">
        <f>BE135-SUM(BA135,BB135,BC135)</f>
        <v/>
      </c>
      <c r="BE135" s="1299" t="n">
        <v>1408841.921</v>
      </c>
      <c r="BF135" s="1298" t="n">
        <v>396182.105</v>
      </c>
      <c r="BG135" s="1298" t="n">
        <v>416766.901</v>
      </c>
      <c r="BH135" s="1298" t="n">
        <v>497682.699</v>
      </c>
      <c r="BI135" s="1277" t="n"/>
      <c r="BJ135" s="1299" t="n">
        <v>1992280.443</v>
      </c>
      <c r="BK135" s="1298" t="n">
        <v>632438.786</v>
      </c>
      <c r="BL135" s="1298" t="n">
        <v>694211.968</v>
      </c>
      <c r="BM135" s="1298" t="n">
        <v>745326.314</v>
      </c>
      <c r="BN135" s="1277" t="n"/>
      <c r="BO135" s="1382" t="n"/>
      <c r="BP135" s="1277" t="n"/>
      <c r="BQ135" s="1277" t="n"/>
      <c r="BR135" s="1277" t="n"/>
      <c r="BS135" s="1277" t="n"/>
      <c r="BT135" s="1297" t="n"/>
      <c r="BU135" s="1277" t="n"/>
      <c r="BV135" s="1277" t="n"/>
      <c r="BW135" s="1277" t="n"/>
      <c r="BX135" s="1277" t="n"/>
      <c r="BY135" s="1297" t="n"/>
      <c r="BZ135" s="1297" t="n"/>
      <c r="CA135" s="1297" t="n"/>
      <c r="CB135" s="1297" t="n"/>
      <c r="CC135" s="1280" t="n"/>
    </row>
    <row r="136" hidden="1" outlineLevel="2" ht="14.4" customFormat="1" customHeight="1" s="1275">
      <c r="A136" s="1295" t="inlineStr">
        <is>
          <t>China revenue, mm</t>
        </is>
      </c>
      <c r="B136" s="1296" t="n"/>
      <c r="C136" s="1297" t="n"/>
      <c r="D136" s="1297" t="n"/>
      <c r="E136" s="1297" t="n"/>
      <c r="F136" s="1297" t="n"/>
      <c r="G136" s="1297" t="n"/>
      <c r="H136" s="1277" t="n"/>
      <c r="I136" s="1277" t="n"/>
      <c r="J136" s="1277" t="n"/>
      <c r="K136" s="1277" t="n"/>
      <c r="L136" s="1297" t="n"/>
      <c r="M136" s="1277" t="n"/>
      <c r="N136" s="1277" t="n"/>
      <c r="O136" s="1277" t="n"/>
      <c r="P136" s="1277" t="n"/>
      <c r="Q136" s="1297" t="n"/>
      <c r="R136" s="1277" t="n"/>
      <c r="S136" s="1277" t="n"/>
      <c r="T136" s="1277" t="n"/>
      <c r="U136" s="1277" t="n"/>
      <c r="V136" s="1297" t="n"/>
      <c r="W136" s="1277" t="n"/>
      <c r="X136" s="1277" t="n"/>
      <c r="Y136" s="1277" t="n"/>
      <c r="Z136" s="1277" t="n"/>
      <c r="AA136" s="1297" t="n"/>
      <c r="AB136" s="1298" t="n">
        <v>46513.034</v>
      </c>
      <c r="AC136" s="1298" t="n">
        <v>53837.8</v>
      </c>
      <c r="AD136" s="1298" t="n">
        <v>41386.552</v>
      </c>
      <c r="AE136" s="1280">
        <f>AF136-SUM(AB136,AC136,AD136)</f>
        <v/>
      </c>
      <c r="AF136" s="1299" t="n">
        <v>175794.228</v>
      </c>
      <c r="AG136" s="1298" t="n">
        <v>39551.859</v>
      </c>
      <c r="AH136" s="1298" t="n">
        <v>41446.276</v>
      </c>
      <c r="AI136" s="1298" t="n">
        <v>57798.771</v>
      </c>
      <c r="AJ136" s="1280">
        <f>AK136-SUM(AG136,AH136,AI136)</f>
        <v/>
      </c>
      <c r="AK136" s="1299" t="n">
        <v>208101.401</v>
      </c>
      <c r="AL136" s="1298" t="n">
        <v>68493.40700000001</v>
      </c>
      <c r="AM136" s="1298" t="n">
        <v>65066.251</v>
      </c>
      <c r="AN136" s="1298" t="n">
        <v>79045.63800000001</v>
      </c>
      <c r="AO136" s="1277">
        <f>AP136-SUM(AL136,AM136,AN136)</f>
        <v/>
      </c>
      <c r="AP136" s="1299" t="n">
        <v>233783.358</v>
      </c>
      <c r="AQ136" s="1298" t="n">
        <v>23209.742</v>
      </c>
      <c r="AR136" s="1298" t="n">
        <v>55029.691</v>
      </c>
      <c r="AS136" s="1298" t="n">
        <v>51893.832</v>
      </c>
      <c r="AT136" s="1277">
        <f>AU136-SUM(AQ136,AR136,AS136)</f>
        <v/>
      </c>
      <c r="AU136" s="1299" t="n">
        <v>164552.063</v>
      </c>
      <c r="AV136" s="1298" t="n">
        <v>55336.614</v>
      </c>
      <c r="AW136" s="1298" t="n">
        <v>67466.16499999999</v>
      </c>
      <c r="AX136" s="1298" t="n">
        <v>48832.45</v>
      </c>
      <c r="AY136" s="1277">
        <f>AZ136-SUM(AV136,AW136,AX136)</f>
        <v/>
      </c>
      <c r="AZ136" s="1299" t="n">
        <v>245168.746</v>
      </c>
      <c r="BA136" s="1298" t="n">
        <v>77502.023</v>
      </c>
      <c r="BB136" s="1298" t="n">
        <v>55461.079</v>
      </c>
      <c r="BC136" s="1298" t="n">
        <v>67735.985</v>
      </c>
      <c r="BD136" s="1277">
        <f>BE136-SUM(BA136,BB136,BC136)</f>
        <v/>
      </c>
      <c r="BE136" s="1299" t="n">
        <v>267154.14</v>
      </c>
      <c r="BF136" s="1298" t="n">
        <v>55235.649</v>
      </c>
      <c r="BG136" s="1298" t="n">
        <v>106696.259</v>
      </c>
      <c r="BH136" s="1298" t="n">
        <v>92849.486</v>
      </c>
      <c r="BI136" s="1277" t="n"/>
      <c r="BJ136" s="1299" t="n">
        <v>331673.315</v>
      </c>
      <c r="BK136" s="1298" t="n">
        <v>62222.351</v>
      </c>
      <c r="BL136" s="1298" t="n">
        <v>87328.81200000001</v>
      </c>
      <c r="BM136" s="1298" t="n">
        <v>77406.656</v>
      </c>
      <c r="BN136" s="1277" t="n"/>
      <c r="BO136" s="1382" t="n"/>
      <c r="BP136" s="1277" t="n"/>
      <c r="BQ136" s="1277" t="n"/>
      <c r="BR136" s="1277" t="n"/>
      <c r="BS136" s="1277" t="n"/>
      <c r="BT136" s="1297" t="n"/>
      <c r="BU136" s="1277" t="n"/>
      <c r="BV136" s="1277" t="n"/>
      <c r="BW136" s="1277" t="n"/>
      <c r="BX136" s="1277" t="n"/>
      <c r="BY136" s="1297" t="n"/>
      <c r="BZ136" s="1297" t="n"/>
      <c r="CA136" s="1297" t="n"/>
      <c r="CB136" s="1297" t="n"/>
      <c r="CC136" s="1280" t="n"/>
    </row>
    <row r="137" hidden="1" outlineLevel="2" ht="14.4" customFormat="1" customHeight="1" s="1275">
      <c r="A137" s="1295" t="inlineStr">
        <is>
          <t>Asia revenue, mm</t>
        </is>
      </c>
      <c r="B137" s="1296" t="n"/>
      <c r="C137" s="1299" t="n">
        <v>66834.5</v>
      </c>
      <c r="D137" s="1299" t="n">
        <v>91862.89999999999</v>
      </c>
      <c r="E137" s="1299" t="n">
        <v>75946.671</v>
      </c>
      <c r="F137" s="1299" t="n">
        <v>46687.358</v>
      </c>
      <c r="G137" s="1299" t="n">
        <v>56533.399</v>
      </c>
      <c r="H137" s="1277" t="n"/>
      <c r="I137" s="1277" t="n"/>
      <c r="J137" s="1277" t="n"/>
      <c r="K137" s="1277" t="n"/>
      <c r="L137" s="1299" t="n">
        <v>99916.63499999999</v>
      </c>
      <c r="M137" s="1277" t="n"/>
      <c r="N137" s="1277" t="n"/>
      <c r="O137" s="1277" t="n"/>
      <c r="P137" s="1277" t="n"/>
      <c r="Q137" s="1299" t="n">
        <v>123705.876</v>
      </c>
      <c r="R137" s="1277" t="n"/>
      <c r="S137" s="1277" t="n"/>
      <c r="T137" s="1277" t="n"/>
      <c r="U137" s="1277" t="n"/>
      <c r="V137" s="1299" t="n">
        <v>146907.47</v>
      </c>
      <c r="W137" s="1277" t="n"/>
      <c r="X137" s="1277" t="n"/>
      <c r="Y137" s="1277" t="n"/>
      <c r="Z137" s="1277" t="n"/>
      <c r="AA137" s="1299" t="n">
        <v>194477.093</v>
      </c>
      <c r="AB137" s="1277" t="n"/>
      <c r="AC137" s="1277" t="n"/>
      <c r="AD137" s="1277" t="n"/>
      <c r="AE137" s="1277" t="n"/>
      <c r="AF137" s="1297" t="n"/>
      <c r="AG137" s="1277" t="n"/>
      <c r="AH137" s="1277" t="n"/>
      <c r="AI137" s="1277" t="n"/>
      <c r="AJ137" s="1277" t="n"/>
      <c r="AK137" s="1297" t="n"/>
      <c r="AL137" s="1277" t="n"/>
      <c r="AM137" s="1277" t="n"/>
      <c r="AN137" s="1277" t="n"/>
      <c r="AO137" s="1277" t="n"/>
      <c r="AP137" s="1297" t="n"/>
      <c r="AQ137" s="1277" t="n"/>
      <c r="AR137" s="1277" t="n"/>
      <c r="AS137" s="1277" t="n"/>
      <c r="AT137" s="1277">
        <f>AU137-SUM(AQ137,AR137,AS137)</f>
        <v/>
      </c>
      <c r="AU137" s="1297" t="n"/>
      <c r="AV137" s="1277" t="n"/>
      <c r="AW137" s="1277" t="n"/>
      <c r="AX137" s="1277" t="n"/>
      <c r="AY137" s="1277">
        <f>AZ137-SUM(AV137,AW137,AX137)</f>
        <v/>
      </c>
      <c r="AZ137" s="1297" t="n"/>
      <c r="BA137" s="1277" t="n"/>
      <c r="BB137" s="1277" t="n"/>
      <c r="BC137" s="1277" t="n"/>
      <c r="BD137" s="1277">
        <f>BE137-SUM(BA137,BB137,BC137)</f>
        <v/>
      </c>
      <c r="BE137" s="1297" t="n"/>
      <c r="BF137" s="1277" t="n"/>
      <c r="BG137" s="1277" t="n"/>
      <c r="BH137" s="1277" t="n"/>
      <c r="BI137" s="1277" t="n"/>
      <c r="BJ137" s="1297" t="n"/>
      <c r="BK137" s="1277" t="n"/>
      <c r="BL137" s="1277" t="n"/>
      <c r="BM137" s="1277" t="n"/>
      <c r="BN137" s="1277" t="n"/>
      <c r="BO137" s="1382" t="n"/>
      <c r="BP137" s="1277" t="n"/>
      <c r="BQ137" s="1277" t="n"/>
      <c r="BR137" s="1277" t="n"/>
      <c r="BS137" s="1277" t="n"/>
      <c r="BT137" s="1297" t="n"/>
      <c r="BU137" s="1277" t="n"/>
      <c r="BV137" s="1277" t="n"/>
      <c r="BW137" s="1277" t="n"/>
      <c r="BX137" s="1277" t="n"/>
      <c r="BY137" s="1297" t="n"/>
      <c r="BZ137" s="1297" t="n"/>
      <c r="CA137" s="1297" t="n"/>
      <c r="CB137" s="1297" t="n"/>
      <c r="CC137" s="1280" t="n"/>
    </row>
    <row r="138" hidden="1" outlineLevel="2" ht="14.4" customFormat="1" customHeight="1" s="1275">
      <c r="A138" s="1295" t="inlineStr">
        <is>
          <t>Europe, the Middle East and Africa revenue, mm</t>
        </is>
      </c>
      <c r="B138" s="1296" t="n"/>
      <c r="C138" s="1299" t="n">
        <v>30401.4</v>
      </c>
      <c r="D138" s="1299" t="n">
        <v>49000.3</v>
      </c>
      <c r="E138" s="1299" t="n">
        <v>48982.743</v>
      </c>
      <c r="F138" s="1299" t="n">
        <v>46429.835</v>
      </c>
      <c r="G138" s="1299" t="n">
        <v>41229.682</v>
      </c>
      <c r="H138" s="1277" t="n"/>
      <c r="I138" s="1277" t="n"/>
      <c r="J138" s="1277" t="n"/>
      <c r="K138" s="1277" t="n"/>
      <c r="L138" s="1299" t="n">
        <v>46776.647</v>
      </c>
      <c r="M138" s="1277" t="n"/>
      <c r="N138" s="1277" t="n"/>
      <c r="O138" s="1277" t="n"/>
      <c r="P138" s="1277" t="n"/>
      <c r="Q138" s="1299" t="n">
        <v>57064.965</v>
      </c>
      <c r="R138" s="1277" t="n"/>
      <c r="S138" s="1277" t="n"/>
      <c r="T138" s="1277" t="n"/>
      <c r="U138" s="1277" t="n"/>
      <c r="V138" s="1299" t="n">
        <v>58042.311</v>
      </c>
      <c r="W138" s="1277" t="n"/>
      <c r="X138" s="1277" t="n"/>
      <c r="Y138" s="1277" t="n"/>
      <c r="Z138" s="1277" t="n"/>
      <c r="AA138" s="1299" t="n">
        <v>68538.36599999999</v>
      </c>
      <c r="AB138" s="1298" t="n">
        <v>17460.367</v>
      </c>
      <c r="AC138" s="1298" t="n">
        <v>17408.485</v>
      </c>
      <c r="AD138" s="1298" t="n">
        <v>17285.43</v>
      </c>
      <c r="AE138" s="1280">
        <f>AF138-SUM(AB138,AC138,AD138)</f>
        <v/>
      </c>
      <c r="AF138" s="1299" t="n">
        <v>71068.43799999999</v>
      </c>
      <c r="AG138" s="1298" t="n">
        <v>16279.553</v>
      </c>
      <c r="AH138" s="1298" t="n">
        <v>15163.142</v>
      </c>
      <c r="AI138" s="1298" t="n">
        <v>17318.481</v>
      </c>
      <c r="AJ138" s="1280">
        <f>AK138-SUM(AG138,AH138,AI138)</f>
        <v/>
      </c>
      <c r="AK138" s="1299" t="n">
        <v>67568.15700000001</v>
      </c>
      <c r="AL138" s="1298" t="n">
        <v>17319.245</v>
      </c>
      <c r="AM138" s="1298" t="n">
        <v>17213.445</v>
      </c>
      <c r="AN138" s="1298" t="n">
        <v>17266.396</v>
      </c>
      <c r="AO138" s="1277">
        <f>AP138-SUM(AL138,AM138,AN138)</f>
        <v/>
      </c>
      <c r="AP138" s="1299" t="n">
        <v>70213.432</v>
      </c>
      <c r="AQ138" s="1298" t="n">
        <v>19874.058</v>
      </c>
      <c r="AR138" s="1298" t="n">
        <v>25148.209</v>
      </c>
      <c r="AS138" s="1298" t="n">
        <v>21956.8</v>
      </c>
      <c r="AT138" s="1277">
        <f>AU138-SUM(AQ138,AR138,AS138)</f>
        <v/>
      </c>
      <c r="AU138" s="1299" t="n">
        <v>89010.064</v>
      </c>
      <c r="AV138" s="1298" t="n">
        <v>25880.221</v>
      </c>
      <c r="AW138" s="1298" t="n">
        <v>30516.978</v>
      </c>
      <c r="AX138" s="1298" t="n">
        <v>31192.872</v>
      </c>
      <c r="AY138" s="1277">
        <f>AZ138-SUM(AV138,AW138,AX138)</f>
        <v/>
      </c>
      <c r="AZ138" s="1299" t="n">
        <v>123767.14</v>
      </c>
      <c r="BA138" s="1298" t="n">
        <v>33960.256</v>
      </c>
      <c r="BB138" s="1298" t="n">
        <v>33814.781</v>
      </c>
      <c r="BC138" s="1298" t="n">
        <v>24986.738</v>
      </c>
      <c r="BD138" s="1277">
        <f>BE138-SUM(BA138,BB138,BC138)</f>
        <v/>
      </c>
      <c r="BE138" s="1299" t="n">
        <v>117348.237</v>
      </c>
      <c r="BF138" s="1298" t="n">
        <v>21963.151</v>
      </c>
      <c r="BG138" s="1298" t="n">
        <v>25021.881</v>
      </c>
      <c r="BH138" s="1298" t="n">
        <v>27310.571</v>
      </c>
      <c r="BI138" s="1277" t="n"/>
      <c r="BJ138" s="1299" t="n">
        <v>102760.879</v>
      </c>
      <c r="BK138" s="1298" t="n">
        <v>25526.977</v>
      </c>
      <c r="BL138" s="1298" t="n">
        <v>28706.029</v>
      </c>
      <c r="BM138" s="1298" t="n">
        <v>32339.528</v>
      </c>
      <c r="BN138" s="1277" t="n"/>
      <c r="BO138" s="1382" t="n"/>
      <c r="BP138" s="1277" t="n"/>
      <c r="BQ138" s="1277" t="n"/>
      <c r="BR138" s="1277" t="n"/>
      <c r="BS138" s="1277" t="n"/>
      <c r="BT138" s="1297" t="n"/>
      <c r="BU138" s="1277" t="n"/>
      <c r="BV138" s="1277" t="n"/>
      <c r="BW138" s="1277" t="n"/>
      <c r="BX138" s="1277" t="n"/>
      <c r="BY138" s="1297" t="n"/>
      <c r="BZ138" s="1297" t="n"/>
      <c r="CA138" s="1297" t="n"/>
      <c r="CB138" s="1297" t="n"/>
      <c r="CC138" s="1280" t="n"/>
    </row>
    <row r="139" hidden="1" outlineLevel="2" ht="14.4" customFormat="1" customHeight="1" s="1275">
      <c r="A139" s="1295" t="inlineStr">
        <is>
          <t>Japan revenue, mm</t>
        </is>
      </c>
      <c r="B139" s="1296" t="n"/>
      <c r="C139" s="1297" t="n"/>
      <c r="D139" s="1297" t="n"/>
      <c r="E139" s="1297" t="n"/>
      <c r="F139" s="1297" t="n"/>
      <c r="G139" s="1297" t="n"/>
      <c r="H139" s="1277" t="n"/>
      <c r="I139" s="1277" t="n"/>
      <c r="J139" s="1277" t="n"/>
      <c r="K139" s="1277" t="n"/>
      <c r="L139" s="1297" t="n"/>
      <c r="M139" s="1277" t="n"/>
      <c r="N139" s="1277" t="n"/>
      <c r="O139" s="1277" t="n"/>
      <c r="P139" s="1277" t="n"/>
      <c r="Q139" s="1297" t="n"/>
      <c r="R139" s="1277" t="n"/>
      <c r="S139" s="1277" t="n"/>
      <c r="T139" s="1277" t="n"/>
      <c r="U139" s="1277" t="n"/>
      <c r="V139" s="1297" t="n"/>
      <c r="W139" s="1277" t="n"/>
      <c r="X139" s="1277" t="n"/>
      <c r="Y139" s="1277" t="n"/>
      <c r="Z139" s="1277" t="n"/>
      <c r="AA139" s="1297" t="n"/>
      <c r="AB139" s="1298" t="n">
        <v>16546.283</v>
      </c>
      <c r="AC139" s="1298" t="n">
        <v>15445.309</v>
      </c>
      <c r="AD139" s="1298" t="n">
        <v>17165.225</v>
      </c>
      <c r="AE139" s="1280">
        <f>AF139-SUM(AB139,AC139,AD139)</f>
        <v/>
      </c>
      <c r="AF139" s="1299" t="n">
        <v>58125.879</v>
      </c>
      <c r="AG139" s="1298" t="n">
        <v>13187.925</v>
      </c>
      <c r="AH139" s="1298" t="n">
        <v>13411.353</v>
      </c>
      <c r="AI139" s="1298" t="n">
        <v>15442.881</v>
      </c>
      <c r="AJ139" s="1280">
        <f>AK139-SUM(AG139,AH139,AI139)</f>
        <v/>
      </c>
      <c r="AK139" s="1299" t="n">
        <v>57468.605</v>
      </c>
      <c r="AL139" s="1298" t="n">
        <v>17263.605</v>
      </c>
      <c r="AM139" s="1298" t="n">
        <v>16702.803</v>
      </c>
      <c r="AN139" s="1298" t="n">
        <v>14951.913</v>
      </c>
      <c r="AO139" s="1277">
        <f>AP139-SUM(AL139,AM139,AN139)</f>
        <v/>
      </c>
      <c r="AP139" s="1299" t="n">
        <v>63299.176</v>
      </c>
      <c r="AQ139" s="1298" t="n">
        <v>14956.168</v>
      </c>
      <c r="AR139" s="1298" t="n">
        <v>19424.581</v>
      </c>
      <c r="AS139" s="1298" t="n">
        <v>18218.572</v>
      </c>
      <c r="AT139" s="1277">
        <f>AU139-SUM(AQ139,AR139,AS139)</f>
        <v/>
      </c>
      <c r="AU139" s="1299" t="n">
        <v>71920.856</v>
      </c>
      <c r="AV139" s="1298" t="n">
        <v>24571.176</v>
      </c>
      <c r="AW139" s="1298" t="n">
        <v>27232.242</v>
      </c>
      <c r="AX139" s="1298" t="n">
        <v>29592.683</v>
      </c>
      <c r="AY139" s="1277">
        <f>AZ139-SUM(AV139,AW139,AX139)</f>
        <v/>
      </c>
      <c r="AZ139" s="1299" t="n">
        <v>119099.336</v>
      </c>
      <c r="BA139" s="1298" t="n">
        <v>33656.867</v>
      </c>
      <c r="BB139" s="1298" t="n">
        <v>35533.393</v>
      </c>
      <c r="BC139" s="1298" t="n">
        <v>31507.219</v>
      </c>
      <c r="BD139" s="1277">
        <f>BE139-SUM(BA139,BB139,BC139)</f>
        <v/>
      </c>
      <c r="BE139" s="1299" t="n">
        <v>132072</v>
      </c>
      <c r="BF139" s="1298" t="n">
        <v>33212.865</v>
      </c>
      <c r="BG139" s="1298" t="n">
        <v>39007.995</v>
      </c>
      <c r="BH139" s="1298" t="n">
        <v>40162.106</v>
      </c>
      <c r="BI139" s="1277" t="n"/>
      <c r="BJ139" s="1299" t="n">
        <v>144239.882</v>
      </c>
      <c r="BK139" s="1298" t="n">
        <v>35757.682</v>
      </c>
      <c r="BL139" s="1298" t="n">
        <v>35426.165</v>
      </c>
      <c r="BM139" s="1298" t="n">
        <v>40579.11</v>
      </c>
      <c r="BN139" s="1277" t="n"/>
      <c r="BO139" s="1382" t="n"/>
      <c r="BP139" s="1277" t="n"/>
      <c r="BQ139" s="1277" t="n"/>
      <c r="BR139" s="1277" t="n"/>
      <c r="BS139" s="1277" t="n"/>
      <c r="BT139" s="1297" t="n"/>
      <c r="BU139" s="1277" t="n"/>
      <c r="BV139" s="1277" t="n"/>
      <c r="BW139" s="1277" t="n"/>
      <c r="BX139" s="1277" t="n"/>
      <c r="BY139" s="1297" t="n"/>
      <c r="BZ139" s="1297" t="n"/>
      <c r="CA139" s="1297" t="n"/>
      <c r="CB139" s="1297" t="n"/>
      <c r="CC139" s="1280" t="n"/>
    </row>
    <row r="140" hidden="1" outlineLevel="2" ht="14.4" customFormat="1" customHeight="1" s="1275">
      <c r="A140" s="1295" t="inlineStr">
        <is>
          <t>Others revenue, mm</t>
        </is>
      </c>
      <c r="B140" s="1296" t="n"/>
      <c r="C140" s="1297" t="n"/>
      <c r="D140" s="1299" t="n">
        <v>1105.6</v>
      </c>
      <c r="E140" s="1299" t="n">
        <v>1541.033</v>
      </c>
      <c r="F140" s="1299" t="n">
        <v>1770.217</v>
      </c>
      <c r="G140" s="1299" t="n">
        <v>1844.959</v>
      </c>
      <c r="H140" s="1277" t="n"/>
      <c r="I140" s="1277" t="n"/>
      <c r="J140" s="1277" t="n"/>
      <c r="K140" s="1277" t="n"/>
      <c r="L140" s="1299" t="n">
        <v>2272.644</v>
      </c>
      <c r="M140" s="1277" t="n"/>
      <c r="N140" s="1277" t="n"/>
      <c r="O140" s="1277" t="n"/>
      <c r="P140" s="1277" t="n"/>
      <c r="Q140" s="1299" t="n">
        <v>5956.806</v>
      </c>
      <c r="R140" s="1277" t="n"/>
      <c r="S140" s="1277" t="n"/>
      <c r="T140" s="1277" t="n"/>
      <c r="U140" s="1277" t="n"/>
      <c r="V140" s="1299" t="n">
        <v>5554.472</v>
      </c>
      <c r="W140" s="1277" t="n"/>
      <c r="X140" s="1277" t="n"/>
      <c r="Y140" s="1277" t="n"/>
      <c r="Z140" s="1277" t="n"/>
      <c r="AA140" s="1299" t="n">
        <v>3353.674</v>
      </c>
      <c r="AB140" s="1298" t="n">
        <v>3940.959</v>
      </c>
      <c r="AC140" s="1298" t="n">
        <v>4799.573</v>
      </c>
      <c r="AD140" s="1298" t="n">
        <v>5540.039</v>
      </c>
      <c r="AE140" s="1280">
        <f>AF140-SUM(AB140,AC140,AD140)</f>
        <v/>
      </c>
      <c r="AF140" s="1299" t="n">
        <v>15402.775</v>
      </c>
      <c r="AG140" s="1298" t="n">
        <v>3303.231</v>
      </c>
      <c r="AH140" s="1298" t="n">
        <v>4716.208</v>
      </c>
      <c r="AI140" s="1298" t="n">
        <v>4554.21</v>
      </c>
      <c r="AJ140" s="1280">
        <f>AK140-SUM(AG140,AH140,AI140)</f>
        <v/>
      </c>
      <c r="AK140" s="1299" t="n">
        <v>17878.986</v>
      </c>
      <c r="AL140" s="1298" t="n">
        <v>5711.759</v>
      </c>
      <c r="AM140" s="1298" t="n">
        <v>5916.072</v>
      </c>
      <c r="AN140" s="1298" t="n">
        <v>6833.306</v>
      </c>
      <c r="AO140" s="1277">
        <f>AP140-SUM(AL140,AM140,AN140)</f>
        <v/>
      </c>
      <c r="AP140" s="1299" t="n">
        <v>24964.985</v>
      </c>
      <c r="AQ140" s="1298" t="n">
        <v>9277.957</v>
      </c>
      <c r="AR140" s="1298" t="n">
        <v>11976.617</v>
      </c>
      <c r="AS140" s="1298" t="n">
        <v>7945.171</v>
      </c>
      <c r="AT140" s="1277">
        <f>AU140-SUM(AQ140,AR140,AS140)</f>
        <v/>
      </c>
      <c r="AU140" s="1299" t="n">
        <v>41971.87</v>
      </c>
      <c r="AV140" s="1298" t="n">
        <v>14852.163</v>
      </c>
      <c r="AW140" s="1298" t="n">
        <v>17668.169</v>
      </c>
      <c r="AX140" s="1298" t="n">
        <v>19172.619</v>
      </c>
      <c r="AY140" s="1277">
        <f>AZ140-SUM(AV140,AW140,AX140)</f>
        <v/>
      </c>
      <c r="AZ140" s="1299" t="n">
        <v>72056.522</v>
      </c>
      <c r="BA140" s="1298" t="n">
        <v>19676.105</v>
      </c>
      <c r="BB140" s="1298" t="n">
        <v>23734.842</v>
      </c>
      <c r="BC140" s="1298" t="n">
        <v>24962.713</v>
      </c>
      <c r="BD140" s="1277">
        <f>BE140-SUM(BA140,BB140,BC140)</f>
        <v/>
      </c>
      <c r="BE140" s="1299" t="n">
        <v>86542.2</v>
      </c>
      <c r="BF140" s="1298" t="n">
        <v>17735.005</v>
      </c>
      <c r="BG140" s="1298" t="n">
        <v>25471.367</v>
      </c>
      <c r="BH140" s="1298" t="n">
        <v>29105.2</v>
      </c>
      <c r="BI140" s="1277" t="n"/>
      <c r="BJ140" s="1299" t="n">
        <v>52939.634</v>
      </c>
      <c r="BK140" s="1298" t="n">
        <v>16814.358</v>
      </c>
      <c r="BL140" s="1298" t="n">
        <v>14562.494</v>
      </c>
      <c r="BM140" s="1298" t="n">
        <v>18442.358</v>
      </c>
      <c r="BN140" s="1277" t="n"/>
      <c r="BO140" s="1382" t="n"/>
      <c r="BP140" s="1277" t="n"/>
      <c r="BQ140" s="1277" t="n"/>
      <c r="BR140" s="1277" t="n"/>
      <c r="BS140" s="1277" t="n"/>
      <c r="BT140" s="1297" t="n"/>
      <c r="BU140" s="1277" t="n"/>
      <c r="BV140" s="1277" t="n"/>
      <c r="BW140" s="1277" t="n"/>
      <c r="BX140" s="1277" t="n"/>
      <c r="BY140" s="1297" t="n"/>
      <c r="BZ140" s="1297" t="n"/>
      <c r="CA140" s="1297" t="n"/>
      <c r="CB140" s="1297" t="n"/>
      <c r="CC140" s="1280" t="n"/>
    </row>
    <row r="141" hidden="1" outlineLevel="2" ht="14.4" customFormat="1" customHeight="1" s="1275">
      <c r="A141" s="1460" t="inlineStr">
        <is>
          <t>Sales returns and allowances revenue, mm</t>
        </is>
      </c>
      <c r="B141" s="1363" t="n"/>
      <c r="C141" s="1390" t="n">
        <v>-13913.4</v>
      </c>
      <c r="D141" s="1390" t="n">
        <v>0</v>
      </c>
      <c r="E141" s="1390" t="n">
        <v>0</v>
      </c>
      <c r="F141" s="1390" t="n">
        <v>0</v>
      </c>
      <c r="G141" s="1390" t="n">
        <v>0</v>
      </c>
      <c r="H141" s="1365" t="n"/>
      <c r="I141" s="1365" t="n"/>
      <c r="J141" s="1365" t="n"/>
      <c r="K141" s="1365" t="n"/>
      <c r="L141" s="1390" t="n">
        <v>0</v>
      </c>
      <c r="M141" s="1365" t="n"/>
      <c r="N141" s="1365" t="n"/>
      <c r="O141" s="1365" t="n"/>
      <c r="P141" s="1365" t="n"/>
      <c r="Q141" s="1390" t="n">
        <v>0</v>
      </c>
      <c r="R141" s="1365" t="n"/>
      <c r="S141" s="1365" t="n"/>
      <c r="T141" s="1365" t="n"/>
      <c r="U141" s="1365" t="n"/>
      <c r="V141" s="1390" t="n">
        <v>0</v>
      </c>
      <c r="W141" s="1365" t="n"/>
      <c r="X141" s="1365" t="n"/>
      <c r="Y141" s="1365" t="n"/>
      <c r="Z141" s="1365" t="n"/>
      <c r="AA141" s="1364" t="n"/>
      <c r="AB141" s="1365" t="n"/>
      <c r="AC141" s="1365" t="n"/>
      <c r="AD141" s="1365" t="n"/>
      <c r="AE141" s="1365" t="n"/>
      <c r="AF141" s="1364" t="n"/>
      <c r="AG141" s="1365" t="n"/>
      <c r="AH141" s="1365" t="n"/>
      <c r="AI141" s="1365" t="n"/>
      <c r="AJ141" s="1365" t="n"/>
      <c r="AK141" s="1364" t="n"/>
      <c r="AL141" s="1365" t="n"/>
      <c r="AM141" s="1365" t="n"/>
      <c r="AN141" s="1365" t="n"/>
      <c r="AO141" s="1365" t="n"/>
      <c r="AP141" s="1364" t="n"/>
      <c r="AQ141" s="1365" t="n"/>
      <c r="AR141" s="1365" t="n"/>
      <c r="AS141" s="1365" t="n"/>
      <c r="AT141" s="1365" t="n"/>
      <c r="AU141" s="1364" t="n"/>
      <c r="AV141" s="1365" t="n"/>
      <c r="AW141" s="1365" t="n"/>
      <c r="AX141" s="1365" t="n"/>
      <c r="AY141" s="1365" t="n"/>
      <c r="AZ141" s="1364" t="n"/>
      <c r="BA141" s="1365" t="n"/>
      <c r="BB141" s="1365" t="n"/>
      <c r="BC141" s="1365" t="n"/>
      <c r="BD141" s="1365" t="n"/>
      <c r="BE141" s="1364" t="n"/>
      <c r="BF141" s="1365" t="n"/>
      <c r="BG141" s="1365" t="n"/>
      <c r="BH141" s="1365" t="n"/>
      <c r="BI141" s="1365" t="n"/>
      <c r="BJ141" s="1364" t="n"/>
      <c r="BK141" s="1365" t="n"/>
      <c r="BL141" s="1365" t="n"/>
      <c r="BM141" s="1365" t="n"/>
      <c r="BN141" s="1365" t="n"/>
      <c r="BO141" s="1366" t="n"/>
      <c r="BP141" s="1365" t="n"/>
      <c r="BQ141" s="1365" t="n"/>
      <c r="BR141" s="1365" t="n"/>
      <c r="BS141" s="1365" t="n"/>
      <c r="BT141" s="1364" t="n"/>
      <c r="BU141" s="1365" t="n"/>
      <c r="BV141" s="1365" t="n"/>
      <c r="BW141" s="1365" t="n"/>
      <c r="BX141" s="1365" t="n"/>
      <c r="BY141" s="1364" t="n"/>
      <c r="BZ141" s="1364" t="n"/>
      <c r="CA141" s="1364" t="n"/>
      <c r="CB141" s="1364" t="n"/>
      <c r="CC141" s="1280" t="n"/>
    </row>
    <row r="142" hidden="1" outlineLevel="2" ht="14.4" customFormat="1" customHeight="1" s="1323">
      <c r="A142" s="1324" t="inlineStr">
        <is>
          <t>Total Geographic Revenue, mm</t>
        </is>
      </c>
      <c r="B142" s="1325" t="n"/>
      <c r="C142" s="1329">
        <f>SUM(C135:C141)</f>
        <v/>
      </c>
      <c r="D142" s="1329">
        <f>SUM(D135:D141)</f>
        <v/>
      </c>
      <c r="E142" s="1329">
        <f>SUM(E135:E141)</f>
        <v/>
      </c>
      <c r="F142" s="1329">
        <f>SUM(F135:F141)</f>
        <v/>
      </c>
      <c r="G142" s="1329">
        <f>SUM(G135:G141)</f>
        <v/>
      </c>
      <c r="H142" s="1327" t="n"/>
      <c r="I142" s="1327" t="n"/>
      <c r="J142" s="1327" t="n"/>
      <c r="K142" s="1327" t="n"/>
      <c r="L142" s="1329">
        <f>SUM(L135:L141)</f>
        <v/>
      </c>
      <c r="M142" s="1327" t="n"/>
      <c r="N142" s="1327" t="n"/>
      <c r="O142" s="1327" t="n"/>
      <c r="P142" s="1327" t="n"/>
      <c r="Q142" s="1329">
        <f>SUM(Q135:Q141)</f>
        <v/>
      </c>
      <c r="R142" s="1327" t="n"/>
      <c r="S142" s="1327" t="n"/>
      <c r="T142" s="1327" t="n"/>
      <c r="U142" s="1327" t="n"/>
      <c r="V142" s="1329">
        <f>SUM(V135:V141)</f>
        <v/>
      </c>
      <c r="W142" s="1327" t="n"/>
      <c r="X142" s="1327" t="n"/>
      <c r="Y142" s="1327" t="n"/>
      <c r="Z142" s="1327" t="n"/>
      <c r="AA142" s="1329">
        <f>SUM(AA134:AA141)</f>
        <v/>
      </c>
      <c r="AB142" s="1328">
        <f>SUM(AB134:AB141)</f>
        <v/>
      </c>
      <c r="AC142" s="1328">
        <f>SUM(AC134:AC141)</f>
        <v/>
      </c>
      <c r="AD142" s="1328">
        <f>SUM(AD134:AD141)</f>
        <v/>
      </c>
      <c r="AE142" s="1328">
        <f>SUM(AE134:AE141)</f>
        <v/>
      </c>
      <c r="AF142" s="1329">
        <f>SUM(AF134:AF141)</f>
        <v/>
      </c>
      <c r="AG142" s="1328">
        <f>SUM(AG134:AG141)</f>
        <v/>
      </c>
      <c r="AH142" s="1328">
        <f>SUM(AH134:AH141)</f>
        <v/>
      </c>
      <c r="AI142" s="1328">
        <f>SUM(AI134:AI141)</f>
        <v/>
      </c>
      <c r="AJ142" s="1328">
        <f>SUM(AJ134:AJ141)</f>
        <v/>
      </c>
      <c r="AK142" s="1329">
        <f>SUM(AK134:AK141)</f>
        <v/>
      </c>
      <c r="AL142" s="1328">
        <f>SUM(AL134:AL141)</f>
        <v/>
      </c>
      <c r="AM142" s="1328">
        <f>SUM(AM134:AM141)</f>
        <v/>
      </c>
      <c r="AN142" s="1328">
        <f>SUM(AN134:AN141)</f>
        <v/>
      </c>
      <c r="AO142" s="1327">
        <f>SUM(AO134:AO141)</f>
        <v/>
      </c>
      <c r="AP142" s="1326">
        <f>SUM(AP134:AP141)</f>
        <v/>
      </c>
      <c r="AQ142" s="1327">
        <f>SUM(AQ134:AQ141)</f>
        <v/>
      </c>
      <c r="AR142" s="1327">
        <f>SUM(AR134:AR141)</f>
        <v/>
      </c>
      <c r="AS142" s="1327">
        <f>SUM(AS134:AS141)</f>
        <v/>
      </c>
      <c r="AT142" s="1327">
        <f>SUM(AT134:AT141)</f>
        <v/>
      </c>
      <c r="AU142" s="1326">
        <f>SUM(AU134:AU141)</f>
        <v/>
      </c>
      <c r="AV142" s="1327">
        <f>SUM(AV134:AV141)</f>
        <v/>
      </c>
      <c r="AW142" s="1327">
        <f>SUM(AW134:AW141)</f>
        <v/>
      </c>
      <c r="AX142" s="1327">
        <f>SUM(AX134:AX141)</f>
        <v/>
      </c>
      <c r="AY142" s="1327">
        <f>SUM(AY134:AY141)</f>
        <v/>
      </c>
      <c r="AZ142" s="1326">
        <f>SUM(AZ134:AZ141)</f>
        <v/>
      </c>
      <c r="BA142" s="1327">
        <f>SUM(BA134:BA141)</f>
        <v/>
      </c>
      <c r="BB142" s="1327">
        <f>SUM(BB134:BB141)</f>
        <v/>
      </c>
      <c r="BC142" s="1327">
        <f>SUM(BC134:BC141)</f>
        <v/>
      </c>
      <c r="BD142" s="1327">
        <f>SUM(BD134:BD141)</f>
        <v/>
      </c>
      <c r="BE142" s="1326">
        <f>SUM(BE134:BE141)</f>
        <v/>
      </c>
      <c r="BF142" s="1327">
        <f>SUM(BF134:BF141)</f>
        <v/>
      </c>
      <c r="BG142" s="1327">
        <f>SUM(BG134:BG141)</f>
        <v/>
      </c>
      <c r="BH142" s="1327">
        <f>SUM(BH134:BH141)</f>
        <v/>
      </c>
      <c r="BI142" s="1327">
        <f>BJ142-SUM(BF142,BG142,BH142)</f>
        <v/>
      </c>
      <c r="BJ142" s="1326">
        <f>SUM(BJ134:BJ141)</f>
        <v/>
      </c>
      <c r="BK142" s="1327">
        <f>SUM(BK134:BK141)</f>
        <v/>
      </c>
      <c r="BL142" s="1327">
        <f>SUM(BL134:BL141)</f>
        <v/>
      </c>
      <c r="BM142" s="1327">
        <f>SUM(BM134:BM141)</f>
        <v/>
      </c>
      <c r="BN142" s="1327" t="n"/>
      <c r="BO142" s="1386" t="n"/>
      <c r="BP142" s="1327" t="n"/>
      <c r="BQ142" s="1327" t="n"/>
      <c r="BR142" s="1327" t="n"/>
      <c r="BS142" s="1327" t="n"/>
      <c r="BT142" s="1326" t="n"/>
      <c r="BU142" s="1327" t="n"/>
      <c r="BV142" s="1327" t="n"/>
      <c r="BW142" s="1327" t="n"/>
      <c r="BX142" s="1327" t="n"/>
      <c r="BY142" s="1326" t="n"/>
      <c r="BZ142" s="1326" t="n"/>
      <c r="CA142" s="1326" t="n"/>
      <c r="CB142" s="1326" t="n"/>
      <c r="CC142" s="1331" t="n"/>
    </row>
    <row r="143" hidden="1" outlineLevel="2" ht="14.4" customFormat="1" customHeight="1" s="1323">
      <c r="A143" s="1344" t="n"/>
      <c r="B143" s="1361" t="n"/>
      <c r="C143" s="1345" t="n"/>
      <c r="D143" s="1345" t="n"/>
      <c r="E143" s="1345" t="n"/>
      <c r="F143" s="1345" t="n"/>
      <c r="G143" s="1345" t="n"/>
      <c r="H143" s="1346" t="n"/>
      <c r="I143" s="1346" t="n"/>
      <c r="J143" s="1346" t="n"/>
      <c r="K143" s="1346" t="n"/>
      <c r="L143" s="1345" t="n"/>
      <c r="M143" s="1346" t="n"/>
      <c r="N143" s="1346" t="n"/>
      <c r="O143" s="1346" t="n"/>
      <c r="P143" s="1346" t="n"/>
      <c r="Q143" s="1345" t="n"/>
      <c r="R143" s="1346" t="n"/>
      <c r="S143" s="1346" t="n"/>
      <c r="T143" s="1346" t="n"/>
      <c r="U143" s="1346" t="n"/>
      <c r="V143" s="1345" t="n"/>
      <c r="W143" s="1346" t="n"/>
      <c r="X143" s="1346" t="n"/>
      <c r="Y143" s="1346" t="n"/>
      <c r="Z143" s="1346" t="n"/>
      <c r="AA143" s="1345" t="n"/>
      <c r="AB143" s="1346" t="n"/>
      <c r="AC143" s="1346" t="n"/>
      <c r="AD143" s="1346" t="n"/>
      <c r="AE143" s="1346" t="n"/>
      <c r="AF143" s="1345" t="n"/>
      <c r="AG143" s="1346" t="n"/>
      <c r="AH143" s="1346" t="n"/>
      <c r="AI143" s="1346" t="n"/>
      <c r="AJ143" s="1346" t="n"/>
      <c r="AK143" s="1345" t="n"/>
      <c r="AL143" s="1346" t="n"/>
      <c r="AM143" s="1346" t="n"/>
      <c r="AN143" s="1346" t="n"/>
      <c r="AO143" s="1346" t="n"/>
      <c r="AP143" s="1345" t="n"/>
      <c r="AQ143" s="1346" t="n"/>
      <c r="AR143" s="1346" t="n"/>
      <c r="AS143" s="1346" t="n"/>
      <c r="AT143" s="1346" t="n"/>
      <c r="AU143" s="1345" t="n"/>
      <c r="AV143" s="1346" t="n"/>
      <c r="AW143" s="1346" t="n"/>
      <c r="AX143" s="1346" t="n"/>
      <c r="AY143" s="1346" t="n"/>
      <c r="AZ143" s="1345" t="n"/>
      <c r="BA143" s="1346" t="n"/>
      <c r="BB143" s="1346" t="n"/>
      <c r="BC143" s="1346" t="n"/>
      <c r="BD143" s="1346" t="n"/>
      <c r="BE143" s="1345" t="n"/>
      <c r="BF143" s="1346" t="n"/>
      <c r="BG143" s="1346" t="n"/>
      <c r="BH143" s="1346" t="n"/>
      <c r="BI143" s="1346" t="n"/>
      <c r="BJ143" s="1345" t="n"/>
      <c r="BK143" s="1346" t="n"/>
      <c r="BL143" s="1346" t="n"/>
      <c r="BM143" s="1346" t="n"/>
      <c r="BN143" s="1346" t="n"/>
      <c r="BO143" s="1347" t="n"/>
      <c r="BP143" s="1346" t="n"/>
      <c r="BQ143" s="1346" t="n"/>
      <c r="BR143" s="1346" t="n"/>
      <c r="BS143" s="1346" t="n"/>
      <c r="BT143" s="1345" t="n"/>
      <c r="BU143" s="1346" t="n"/>
      <c r="BV143" s="1346" t="n"/>
      <c r="BW143" s="1346" t="n"/>
      <c r="BX143" s="1346" t="n"/>
      <c r="BY143" s="1345" t="n"/>
      <c r="BZ143" s="1345" t="n"/>
      <c r="CA143" s="1345" t="n"/>
      <c r="CB143" s="1345" t="n"/>
      <c r="CC143" s="1331" t="n"/>
    </row>
    <row r="144" hidden="1" outlineLevel="2" ht="14.4" customFormat="1" customHeight="1" s="1290">
      <c r="A144" s="1401" t="inlineStr">
        <is>
          <t>United States Contribution, %</t>
        </is>
      </c>
      <c r="B144" s="1368" t="n"/>
      <c r="C144" s="1403">
        <f>C135/C$322</f>
        <v/>
      </c>
      <c r="D144" s="1403">
        <f>D135/D$322</f>
        <v/>
      </c>
      <c r="E144" s="1403">
        <f>E135/E$322</f>
        <v/>
      </c>
      <c r="F144" s="1403">
        <f>F135/F$322</f>
        <v/>
      </c>
      <c r="G144" s="1403">
        <f>G135/G$322</f>
        <v/>
      </c>
      <c r="H144" s="1370" t="n"/>
      <c r="I144" s="1370" t="n"/>
      <c r="J144" s="1370" t="n"/>
      <c r="K144" s="1370" t="n"/>
      <c r="L144" s="1403">
        <f>L135/L$322</f>
        <v/>
      </c>
      <c r="M144" s="1370" t="n"/>
      <c r="N144" s="1370" t="n"/>
      <c r="O144" s="1370" t="n"/>
      <c r="P144" s="1370" t="n"/>
      <c r="Q144" s="1403">
        <f>Q135/Q$322</f>
        <v/>
      </c>
      <c r="R144" s="1370" t="n"/>
      <c r="S144" s="1370" t="n"/>
      <c r="T144" s="1370" t="n"/>
      <c r="U144" s="1370" t="n"/>
      <c r="V144" s="1403">
        <f>V135/V$322</f>
        <v/>
      </c>
      <c r="W144" s="1370" t="n"/>
      <c r="X144" s="1370" t="n"/>
      <c r="Y144" s="1370" t="n"/>
      <c r="Z144" s="1370" t="n"/>
      <c r="AA144" s="1403">
        <f>AA135/AA$322</f>
        <v/>
      </c>
      <c r="AB144" s="1294">
        <f>AB135/AB$322</f>
        <v/>
      </c>
      <c r="AC144" s="1294">
        <f>AC135/AC$322</f>
        <v/>
      </c>
      <c r="AD144" s="1294">
        <f>AD135/AD$322</f>
        <v/>
      </c>
      <c r="AE144" s="1294">
        <f>AE135/AE$322</f>
        <v/>
      </c>
      <c r="AF144" s="1403">
        <f>AF135/AF$322</f>
        <v/>
      </c>
      <c r="AG144" s="1294">
        <f>AG135/AG$322</f>
        <v/>
      </c>
      <c r="AH144" s="1294">
        <f>AH135/AH$322</f>
        <v/>
      </c>
      <c r="AI144" s="1294">
        <f>AI135/AI$322</f>
        <v/>
      </c>
      <c r="AJ144" s="1294">
        <f>AJ135/AJ$322</f>
        <v/>
      </c>
      <c r="AK144" s="1403">
        <f>AK135/AK$322</f>
        <v/>
      </c>
      <c r="AL144" s="1294">
        <f>AL135/AL$322</f>
        <v/>
      </c>
      <c r="AM144" s="1294">
        <f>AM135/AM$322</f>
        <v/>
      </c>
      <c r="AN144" s="1294">
        <f>AN135/AN$322</f>
        <v/>
      </c>
      <c r="AO144" s="1370">
        <f>AO135/AO$322</f>
        <v/>
      </c>
      <c r="AP144" s="1369">
        <f>AP135/AP$322</f>
        <v/>
      </c>
      <c r="AQ144" s="1370">
        <f>AQ135/AQ$322</f>
        <v/>
      </c>
      <c r="AR144" s="1370">
        <f>AR135/AR$322</f>
        <v/>
      </c>
      <c r="AS144" s="1370">
        <f>AS135/AS$322</f>
        <v/>
      </c>
      <c r="AT144" s="1370">
        <f>AT135/AT$322</f>
        <v/>
      </c>
      <c r="AU144" s="1369">
        <f>AU135/AU$322</f>
        <v/>
      </c>
      <c r="AV144" s="1370">
        <f>AV135/AV$322</f>
        <v/>
      </c>
      <c r="AW144" s="1370">
        <f>AW135/AW$322</f>
        <v/>
      </c>
      <c r="AX144" s="1370">
        <f>AX135/AX$322</f>
        <v/>
      </c>
      <c r="AY144" s="1370">
        <f>AY135/AY$322</f>
        <v/>
      </c>
      <c r="AZ144" s="1369">
        <f>AZ135/AZ$322</f>
        <v/>
      </c>
      <c r="BA144" s="1370">
        <f>BA135/BA$322</f>
        <v/>
      </c>
      <c r="BB144" s="1370">
        <f>BB135/BB$322</f>
        <v/>
      </c>
      <c r="BC144" s="1370">
        <f>BC135/BC$322</f>
        <v/>
      </c>
      <c r="BD144" s="1370">
        <f>BD135/BD$322</f>
        <v/>
      </c>
      <c r="BE144" s="1369">
        <f>BE135/BE$322</f>
        <v/>
      </c>
      <c r="BF144" s="1370">
        <f>BF135/BF$322</f>
        <v/>
      </c>
      <c r="BG144" s="1370">
        <f>BG135/BG$322</f>
        <v/>
      </c>
      <c r="BH144" s="1370">
        <f>BH135/BH$322</f>
        <v/>
      </c>
      <c r="BI144" s="1370" t="n"/>
      <c r="BJ144" s="1369">
        <f>BJ135/BJ$322</f>
        <v/>
      </c>
      <c r="BK144" s="1370">
        <f>BK135/BK$322</f>
        <v/>
      </c>
      <c r="BL144" s="1370">
        <f>BL135/BL$322</f>
        <v/>
      </c>
      <c r="BM144" s="1370">
        <f>BM135/BM$322</f>
        <v/>
      </c>
      <c r="BN144" s="1370" t="n"/>
      <c r="BO144" s="1371" t="n"/>
      <c r="BP144" s="1370" t="n"/>
      <c r="BQ144" s="1370" t="n"/>
      <c r="BR144" s="1370" t="n"/>
      <c r="BS144" s="1370" t="n"/>
      <c r="BT144" s="1369" t="n"/>
      <c r="BU144" s="1370" t="n"/>
      <c r="BV144" s="1370" t="n"/>
      <c r="BW144" s="1370" t="n"/>
      <c r="BX144" s="1370" t="n"/>
      <c r="BY144" s="1369" t="n"/>
      <c r="BZ144" s="1369" t="n"/>
      <c r="CA144" s="1369" t="n"/>
      <c r="CB144" s="1369" t="n"/>
      <c r="CC144" s="1294" t="n"/>
    </row>
    <row r="145" hidden="1" outlineLevel="2" ht="14.4" customFormat="1" customHeight="1" s="1290">
      <c r="A145" s="1401" t="inlineStr">
        <is>
          <t>Taiwan Contribution, %</t>
        </is>
      </c>
      <c r="B145" s="1368" t="n"/>
      <c r="C145" s="1403">
        <f>C134/C$322</f>
        <v/>
      </c>
      <c r="D145" s="1403">
        <f>D134/D$322</f>
        <v/>
      </c>
      <c r="E145" s="1403">
        <f>E134/E$322</f>
        <v/>
      </c>
      <c r="F145" s="1403">
        <f>F134/F$322</f>
        <v/>
      </c>
      <c r="G145" s="1403">
        <f>G134/G$322</f>
        <v/>
      </c>
      <c r="H145" s="1370" t="n"/>
      <c r="I145" s="1370" t="n"/>
      <c r="J145" s="1370" t="n"/>
      <c r="K145" s="1370" t="n"/>
      <c r="L145" s="1403">
        <f>L134/L$322</f>
        <v/>
      </c>
      <c r="M145" s="1370" t="n"/>
      <c r="N145" s="1370" t="n"/>
      <c r="O145" s="1370" t="n"/>
      <c r="P145" s="1370" t="n"/>
      <c r="Q145" s="1403">
        <f>Q134/Q$322</f>
        <v/>
      </c>
      <c r="R145" s="1370" t="n"/>
      <c r="S145" s="1370" t="n"/>
      <c r="T145" s="1370" t="n"/>
      <c r="U145" s="1370" t="n"/>
      <c r="V145" s="1403">
        <f>V134/V$322</f>
        <v/>
      </c>
      <c r="W145" s="1370" t="n"/>
      <c r="X145" s="1370" t="n"/>
      <c r="Y145" s="1370" t="n"/>
      <c r="Z145" s="1370" t="n"/>
      <c r="AA145" s="1403">
        <f>AA134/AA$322</f>
        <v/>
      </c>
      <c r="AB145" s="1294">
        <f>AB134/AB$322</f>
        <v/>
      </c>
      <c r="AC145" s="1294">
        <f>AC134/AC$322</f>
        <v/>
      </c>
      <c r="AD145" s="1294">
        <f>AD134/AD$322</f>
        <v/>
      </c>
      <c r="AE145" s="1294">
        <f>AE134/AE$322</f>
        <v/>
      </c>
      <c r="AF145" s="1403">
        <f>AF134/AF$322</f>
        <v/>
      </c>
      <c r="AG145" s="1294">
        <f>AG134/AG$322</f>
        <v/>
      </c>
      <c r="AH145" s="1294">
        <f>AH134/AH$322</f>
        <v/>
      </c>
      <c r="AI145" s="1294">
        <f>AI134/AI$322</f>
        <v/>
      </c>
      <c r="AJ145" s="1294">
        <f>AJ134/AJ$322</f>
        <v/>
      </c>
      <c r="AK145" s="1403">
        <f>AK134/AK$322</f>
        <v/>
      </c>
      <c r="AL145" s="1294">
        <f>AL134/AL$322</f>
        <v/>
      </c>
      <c r="AM145" s="1294">
        <f>AM134/AM$322</f>
        <v/>
      </c>
      <c r="AN145" s="1294">
        <f>AN134/AN$322</f>
        <v/>
      </c>
      <c r="AO145" s="1370">
        <f>AO134/AO$322</f>
        <v/>
      </c>
      <c r="AP145" s="1369">
        <f>AP134/AP$322</f>
        <v/>
      </c>
      <c r="AQ145" s="1370">
        <f>AQ134/AQ$322</f>
        <v/>
      </c>
      <c r="AR145" s="1370">
        <f>AR134/AR$322</f>
        <v/>
      </c>
      <c r="AS145" s="1370">
        <f>AS134/AS$322</f>
        <v/>
      </c>
      <c r="AT145" s="1370">
        <f>AT134/AT$322</f>
        <v/>
      </c>
      <c r="AU145" s="1369">
        <f>AU134/AU$322</f>
        <v/>
      </c>
      <c r="AV145" s="1370">
        <f>AV134/AV$322</f>
        <v/>
      </c>
      <c r="AW145" s="1370">
        <f>AW134/AW$322</f>
        <v/>
      </c>
      <c r="AX145" s="1370">
        <f>AX134/AX$322</f>
        <v/>
      </c>
      <c r="AY145" s="1370">
        <f>AY134/AY$322</f>
        <v/>
      </c>
      <c r="AZ145" s="1369">
        <f>AZ134/AZ$322</f>
        <v/>
      </c>
      <c r="BA145" s="1370">
        <f>BA134/BA$322</f>
        <v/>
      </c>
      <c r="BB145" s="1370">
        <f>BB134/BB$322</f>
        <v/>
      </c>
      <c r="BC145" s="1370">
        <f>BC134/BC$322</f>
        <v/>
      </c>
      <c r="BD145" s="1370">
        <f>BD134/BD$322</f>
        <v/>
      </c>
      <c r="BE145" s="1369">
        <f>BE134/BE$322</f>
        <v/>
      </c>
      <c r="BF145" s="1370">
        <f>BF134/BF$322</f>
        <v/>
      </c>
      <c r="BG145" s="1370">
        <f>BG134/BG$322</f>
        <v/>
      </c>
      <c r="BH145" s="1370">
        <f>BH134/BH$322</f>
        <v/>
      </c>
      <c r="BI145" s="1370" t="n"/>
      <c r="BJ145" s="1369">
        <f>BJ134/BJ$322</f>
        <v/>
      </c>
      <c r="BK145" s="1370">
        <f>BK134/BK$322</f>
        <v/>
      </c>
      <c r="BL145" s="1370">
        <f>BL134/BL$322</f>
        <v/>
      </c>
      <c r="BM145" s="1370">
        <f>BM134/BM$322</f>
        <v/>
      </c>
      <c r="BN145" s="1370" t="n"/>
      <c r="BO145" s="1371" t="n"/>
      <c r="BP145" s="1370" t="n"/>
      <c r="BQ145" s="1370" t="n"/>
      <c r="BR145" s="1370" t="n"/>
      <c r="BS145" s="1370" t="n"/>
      <c r="BT145" s="1369" t="n"/>
      <c r="BU145" s="1370" t="n"/>
      <c r="BV145" s="1370" t="n"/>
      <c r="BW145" s="1370" t="n"/>
      <c r="BX145" s="1370" t="n"/>
      <c r="BY145" s="1369" t="n"/>
      <c r="BZ145" s="1369" t="n"/>
      <c r="CA145" s="1369" t="n"/>
      <c r="CB145" s="1369" t="n"/>
      <c r="CC145" s="1294" t="n"/>
    </row>
    <row r="146" hidden="1" outlineLevel="2" ht="14.4" customFormat="1" customHeight="1" s="1290">
      <c r="A146" s="1401" t="inlineStr">
        <is>
          <t>Asia Contribution, %</t>
        </is>
      </c>
      <c r="B146" s="1368" t="n"/>
      <c r="C146" s="1403">
        <f>C137/C$322</f>
        <v/>
      </c>
      <c r="D146" s="1403">
        <f>D137/D$322</f>
        <v/>
      </c>
      <c r="E146" s="1403">
        <f>E137/E$322</f>
        <v/>
      </c>
      <c r="F146" s="1403">
        <f>F137/F$322</f>
        <v/>
      </c>
      <c r="G146" s="1403">
        <f>G137/G$322</f>
        <v/>
      </c>
      <c r="H146" s="1370" t="n"/>
      <c r="I146" s="1370" t="n"/>
      <c r="J146" s="1370" t="n"/>
      <c r="K146" s="1370" t="n"/>
      <c r="L146" s="1403">
        <f>L137/L$322</f>
        <v/>
      </c>
      <c r="M146" s="1370" t="n"/>
      <c r="N146" s="1370" t="n"/>
      <c r="O146" s="1370" t="n"/>
      <c r="P146" s="1370" t="n"/>
      <c r="Q146" s="1403">
        <f>Q137/Q$322</f>
        <v/>
      </c>
      <c r="R146" s="1370" t="n"/>
      <c r="S146" s="1370" t="n"/>
      <c r="T146" s="1370" t="n"/>
      <c r="U146" s="1370" t="n"/>
      <c r="V146" s="1403">
        <f>V137/V$322</f>
        <v/>
      </c>
      <c r="W146" s="1370" t="n"/>
      <c r="X146" s="1370" t="n"/>
      <c r="Y146" s="1370" t="n"/>
      <c r="Z146" s="1370" t="n"/>
      <c r="AA146" s="1403">
        <f>AA137/AA$322</f>
        <v/>
      </c>
      <c r="AB146" s="1294">
        <f>AB137/AB$322</f>
        <v/>
      </c>
      <c r="AC146" s="1294">
        <f>AC137/AC$322</f>
        <v/>
      </c>
      <c r="AD146" s="1294">
        <f>AD137/AD$322</f>
        <v/>
      </c>
      <c r="AE146" s="1294">
        <f>AE137/AE$322</f>
        <v/>
      </c>
      <c r="AF146" s="1403">
        <f>AF137/AF$322</f>
        <v/>
      </c>
      <c r="AG146" s="1294">
        <f>AG137/AG$322</f>
        <v/>
      </c>
      <c r="AH146" s="1294">
        <f>AH137/AH$322</f>
        <v/>
      </c>
      <c r="AI146" s="1294">
        <f>AI137/AI$322</f>
        <v/>
      </c>
      <c r="AJ146" s="1294">
        <f>AJ137/AJ$322</f>
        <v/>
      </c>
      <c r="AK146" s="1403">
        <f>AK137/AK$322</f>
        <v/>
      </c>
      <c r="AL146" s="1294">
        <f>AL137/AL$322</f>
        <v/>
      </c>
      <c r="AM146" s="1294">
        <f>AM137/AM$322</f>
        <v/>
      </c>
      <c r="AN146" s="1294">
        <f>AN137/AN$322</f>
        <v/>
      </c>
      <c r="AO146" s="1370">
        <f>AO137/AO$322</f>
        <v/>
      </c>
      <c r="AP146" s="1369">
        <f>AP137/AP$322</f>
        <v/>
      </c>
      <c r="AQ146" s="1370">
        <f>AQ137/AQ$322</f>
        <v/>
      </c>
      <c r="AR146" s="1370">
        <f>AR137/AR$322</f>
        <v/>
      </c>
      <c r="AS146" s="1370">
        <f>AS137/AS$322</f>
        <v/>
      </c>
      <c r="AT146" s="1370">
        <f>AT137/AT$322</f>
        <v/>
      </c>
      <c r="AU146" s="1369">
        <f>AU137/AU$322</f>
        <v/>
      </c>
      <c r="AV146" s="1370">
        <f>AV137/AV$322</f>
        <v/>
      </c>
      <c r="AW146" s="1370">
        <f>AW137/AW$322</f>
        <v/>
      </c>
      <c r="AX146" s="1370">
        <f>AX137/AX$322</f>
        <v/>
      </c>
      <c r="AY146" s="1370">
        <f>AY137/AY$322</f>
        <v/>
      </c>
      <c r="AZ146" s="1369">
        <f>AZ137/AZ$322</f>
        <v/>
      </c>
      <c r="BA146" s="1370">
        <f>BA137/BA$322</f>
        <v/>
      </c>
      <c r="BB146" s="1370">
        <f>BB137/BB$322</f>
        <v/>
      </c>
      <c r="BC146" s="1370">
        <f>BC137/BC$322</f>
        <v/>
      </c>
      <c r="BD146" s="1370">
        <f>BD137/BD$322</f>
        <v/>
      </c>
      <c r="BE146" s="1369">
        <f>BE137/BE$322</f>
        <v/>
      </c>
      <c r="BF146" s="1370">
        <f>BF137/BF$322</f>
        <v/>
      </c>
      <c r="BG146" s="1370">
        <f>BG137/BG$322</f>
        <v/>
      </c>
      <c r="BH146" s="1370">
        <f>BH137/BH$322</f>
        <v/>
      </c>
      <c r="BI146" s="1370" t="n"/>
      <c r="BJ146" s="1369">
        <f>BJ137/BJ$322</f>
        <v/>
      </c>
      <c r="BK146" s="1370">
        <f>BK137/BK$322</f>
        <v/>
      </c>
      <c r="BL146" s="1370">
        <f>BL137/BL$322</f>
        <v/>
      </c>
      <c r="BM146" s="1370">
        <f>BM137/BM$322</f>
        <v/>
      </c>
      <c r="BN146" s="1370" t="n"/>
      <c r="BO146" s="1371" t="n"/>
      <c r="BP146" s="1370" t="n"/>
      <c r="BQ146" s="1370" t="n"/>
      <c r="BR146" s="1370" t="n"/>
      <c r="BS146" s="1370" t="n"/>
      <c r="BT146" s="1369" t="n"/>
      <c r="BU146" s="1370" t="n"/>
      <c r="BV146" s="1370" t="n"/>
      <c r="BW146" s="1370" t="n"/>
      <c r="BX146" s="1370" t="n"/>
      <c r="BY146" s="1369" t="n"/>
      <c r="BZ146" s="1369" t="n"/>
      <c r="CA146" s="1369" t="n"/>
      <c r="CB146" s="1369" t="n"/>
      <c r="CC146" s="1294" t="n"/>
    </row>
    <row r="147" hidden="1" outlineLevel="2" ht="14.4" customFormat="1" customHeight="1" s="1290">
      <c r="A147" s="1401" t="inlineStr">
        <is>
          <t>China Contribution, %</t>
        </is>
      </c>
      <c r="B147" s="1368" t="n"/>
      <c r="C147" s="1403">
        <f>C136/C$322</f>
        <v/>
      </c>
      <c r="D147" s="1403">
        <f>D136/D$322</f>
        <v/>
      </c>
      <c r="E147" s="1403">
        <f>E136/E$322</f>
        <v/>
      </c>
      <c r="F147" s="1403">
        <f>F136/F$322</f>
        <v/>
      </c>
      <c r="G147" s="1403">
        <f>G136/G$322</f>
        <v/>
      </c>
      <c r="H147" s="1370" t="n"/>
      <c r="I147" s="1370" t="n"/>
      <c r="J147" s="1370" t="n"/>
      <c r="K147" s="1370" t="n"/>
      <c r="L147" s="1403">
        <f>L136/L$322</f>
        <v/>
      </c>
      <c r="M147" s="1370" t="n"/>
      <c r="N147" s="1370" t="n"/>
      <c r="O147" s="1370" t="n"/>
      <c r="P147" s="1370" t="n"/>
      <c r="Q147" s="1403">
        <f>Q136/Q$322</f>
        <v/>
      </c>
      <c r="R147" s="1370" t="n"/>
      <c r="S147" s="1370" t="n"/>
      <c r="T147" s="1370" t="n"/>
      <c r="U147" s="1370" t="n"/>
      <c r="V147" s="1403">
        <f>V136/V$322</f>
        <v/>
      </c>
      <c r="W147" s="1370" t="n"/>
      <c r="X147" s="1370" t="n"/>
      <c r="Y147" s="1370" t="n"/>
      <c r="Z147" s="1370" t="n"/>
      <c r="AA147" s="1403">
        <f>AA136/AA$322</f>
        <v/>
      </c>
      <c r="AB147" s="1294">
        <f>AB136/AB$322</f>
        <v/>
      </c>
      <c r="AC147" s="1294">
        <f>AC136/AC$322</f>
        <v/>
      </c>
      <c r="AD147" s="1294">
        <f>AD136/AD$322</f>
        <v/>
      </c>
      <c r="AE147" s="1294">
        <f>AE136/AE$322</f>
        <v/>
      </c>
      <c r="AF147" s="1403">
        <f>AF136/AF$322</f>
        <v/>
      </c>
      <c r="AG147" s="1294">
        <f>AG136/AG$322</f>
        <v/>
      </c>
      <c r="AH147" s="1294">
        <f>AH136/AH$322</f>
        <v/>
      </c>
      <c r="AI147" s="1294">
        <f>AI136/AI$322</f>
        <v/>
      </c>
      <c r="AJ147" s="1294">
        <f>AJ136/AJ$322</f>
        <v/>
      </c>
      <c r="AK147" s="1403">
        <f>AK136/AK$322</f>
        <v/>
      </c>
      <c r="AL147" s="1294">
        <f>AL136/AL$322</f>
        <v/>
      </c>
      <c r="AM147" s="1294">
        <f>AM136/AM$322</f>
        <v/>
      </c>
      <c r="AN147" s="1294">
        <f>AN136/AN$322</f>
        <v/>
      </c>
      <c r="AO147" s="1370">
        <f>AO136/AO$322</f>
        <v/>
      </c>
      <c r="AP147" s="1369">
        <f>AP136/AP$322</f>
        <v/>
      </c>
      <c r="AQ147" s="1370">
        <f>AQ136/AQ$322</f>
        <v/>
      </c>
      <c r="AR147" s="1370">
        <f>AR136/AR$322</f>
        <v/>
      </c>
      <c r="AS147" s="1370">
        <f>AS136/AS$322</f>
        <v/>
      </c>
      <c r="AT147" s="1370">
        <f>AT136/AT$322</f>
        <v/>
      </c>
      <c r="AU147" s="1369">
        <f>AU136/AU$322</f>
        <v/>
      </c>
      <c r="AV147" s="1370">
        <f>AV136/AV$322</f>
        <v/>
      </c>
      <c r="AW147" s="1370">
        <f>AW136/AW$322</f>
        <v/>
      </c>
      <c r="AX147" s="1370">
        <f>AX136/AX$322</f>
        <v/>
      </c>
      <c r="AY147" s="1370">
        <f>AY136/AY$322</f>
        <v/>
      </c>
      <c r="AZ147" s="1369">
        <f>AZ136/AZ$322</f>
        <v/>
      </c>
      <c r="BA147" s="1370">
        <f>BA136/BA$322</f>
        <v/>
      </c>
      <c r="BB147" s="1370">
        <f>BB136/BB$322</f>
        <v/>
      </c>
      <c r="BC147" s="1370">
        <f>BC136/BC$322</f>
        <v/>
      </c>
      <c r="BD147" s="1370">
        <f>BD136/BD$322</f>
        <v/>
      </c>
      <c r="BE147" s="1369">
        <f>BE136/BE$322</f>
        <v/>
      </c>
      <c r="BF147" s="1370">
        <f>BF136/BF$322</f>
        <v/>
      </c>
      <c r="BG147" s="1370">
        <f>BG136/BG$322</f>
        <v/>
      </c>
      <c r="BH147" s="1370">
        <f>BH136/BH$322</f>
        <v/>
      </c>
      <c r="BI147" s="1370" t="n"/>
      <c r="BJ147" s="1369">
        <f>BJ136/BJ$322</f>
        <v/>
      </c>
      <c r="BK147" s="1370">
        <f>BK136/BK$322</f>
        <v/>
      </c>
      <c r="BL147" s="1370">
        <f>BL136/BL$322</f>
        <v/>
      </c>
      <c r="BM147" s="1370">
        <f>BM136/BM$322</f>
        <v/>
      </c>
      <c r="BN147" s="1370" t="n"/>
      <c r="BO147" s="1371" t="n"/>
      <c r="BP147" s="1370" t="n"/>
      <c r="BQ147" s="1370" t="n"/>
      <c r="BR147" s="1370" t="n"/>
      <c r="BS147" s="1370" t="n"/>
      <c r="BT147" s="1369" t="n"/>
      <c r="BU147" s="1370" t="n"/>
      <c r="BV147" s="1370" t="n"/>
      <c r="BW147" s="1370" t="n"/>
      <c r="BX147" s="1370" t="n"/>
      <c r="BY147" s="1369" t="n"/>
      <c r="BZ147" s="1369" t="n"/>
      <c r="CA147" s="1369" t="n"/>
      <c r="CB147" s="1369" t="n"/>
      <c r="CC147" s="1294" t="n"/>
    </row>
    <row r="148" hidden="1" outlineLevel="2" ht="14.4" customFormat="1" customHeight="1" s="1290">
      <c r="A148" s="1401" t="inlineStr">
        <is>
          <t>Europe, the Middle East and Africa Contribution, %</t>
        </is>
      </c>
      <c r="B148" s="1368" t="n"/>
      <c r="C148" s="1403">
        <f>C138/C$322</f>
        <v/>
      </c>
      <c r="D148" s="1403">
        <f>D138/D$322</f>
        <v/>
      </c>
      <c r="E148" s="1403">
        <f>E138/E$322</f>
        <v/>
      </c>
      <c r="F148" s="1403">
        <f>F138/F$322</f>
        <v/>
      </c>
      <c r="G148" s="1403">
        <f>G138/G$322</f>
        <v/>
      </c>
      <c r="H148" s="1370" t="n"/>
      <c r="I148" s="1370" t="n"/>
      <c r="J148" s="1370" t="n"/>
      <c r="K148" s="1370" t="n"/>
      <c r="L148" s="1403">
        <f>L138/L$322</f>
        <v/>
      </c>
      <c r="M148" s="1370" t="n"/>
      <c r="N148" s="1370" t="n"/>
      <c r="O148" s="1370" t="n"/>
      <c r="P148" s="1370" t="n"/>
      <c r="Q148" s="1403">
        <f>Q138/Q$322</f>
        <v/>
      </c>
      <c r="R148" s="1370" t="n"/>
      <c r="S148" s="1370" t="n"/>
      <c r="T148" s="1370" t="n"/>
      <c r="U148" s="1370" t="n"/>
      <c r="V148" s="1403">
        <f>V138/V$322</f>
        <v/>
      </c>
      <c r="W148" s="1370" t="n"/>
      <c r="X148" s="1370" t="n"/>
      <c r="Y148" s="1370" t="n"/>
      <c r="Z148" s="1370" t="n"/>
      <c r="AA148" s="1403">
        <f>AA138/AA$322</f>
        <v/>
      </c>
      <c r="AB148" s="1294">
        <f>AB138/AB$322</f>
        <v/>
      </c>
      <c r="AC148" s="1294">
        <f>AC138/AC$322</f>
        <v/>
      </c>
      <c r="AD148" s="1294">
        <f>AD138/AD$322</f>
        <v/>
      </c>
      <c r="AE148" s="1294">
        <f>AE138/AE$322</f>
        <v/>
      </c>
      <c r="AF148" s="1403">
        <f>AF138/AF$322</f>
        <v/>
      </c>
      <c r="AG148" s="1294">
        <f>AG138/AG$322</f>
        <v/>
      </c>
      <c r="AH148" s="1294">
        <f>AH138/AH$322</f>
        <v/>
      </c>
      <c r="AI148" s="1294">
        <f>AI138/AI$322</f>
        <v/>
      </c>
      <c r="AJ148" s="1294">
        <f>AJ138/AJ$322</f>
        <v/>
      </c>
      <c r="AK148" s="1403">
        <f>AK138/AK$322</f>
        <v/>
      </c>
      <c r="AL148" s="1294">
        <f>AL138/AL$322</f>
        <v/>
      </c>
      <c r="AM148" s="1294">
        <f>AM138/AM$322</f>
        <v/>
      </c>
      <c r="AN148" s="1294">
        <f>AN138/AN$322</f>
        <v/>
      </c>
      <c r="AO148" s="1370">
        <f>AO138/AO$322</f>
        <v/>
      </c>
      <c r="AP148" s="1369">
        <f>AP138/AP$322</f>
        <v/>
      </c>
      <c r="AQ148" s="1370">
        <f>AQ138/AQ$322</f>
        <v/>
      </c>
      <c r="AR148" s="1370">
        <f>AR138/AR$322</f>
        <v/>
      </c>
      <c r="AS148" s="1370">
        <f>AS138/AS$322</f>
        <v/>
      </c>
      <c r="AT148" s="1370">
        <f>AT138/AT$322</f>
        <v/>
      </c>
      <c r="AU148" s="1369">
        <f>AU138/AU$322</f>
        <v/>
      </c>
      <c r="AV148" s="1370">
        <f>AV138/AV$322</f>
        <v/>
      </c>
      <c r="AW148" s="1370">
        <f>AW138/AW$322</f>
        <v/>
      </c>
      <c r="AX148" s="1370">
        <f>AX138/AX$322</f>
        <v/>
      </c>
      <c r="AY148" s="1370">
        <f>AY138/AY$322</f>
        <v/>
      </c>
      <c r="AZ148" s="1369">
        <f>AZ138/AZ$322</f>
        <v/>
      </c>
      <c r="BA148" s="1370">
        <f>BA138/BA$322</f>
        <v/>
      </c>
      <c r="BB148" s="1370">
        <f>BB138/BB$322</f>
        <v/>
      </c>
      <c r="BC148" s="1370">
        <f>BC138/BC$322</f>
        <v/>
      </c>
      <c r="BD148" s="1370">
        <f>BD138/BD$322</f>
        <v/>
      </c>
      <c r="BE148" s="1369">
        <f>BE138/BE$322</f>
        <v/>
      </c>
      <c r="BF148" s="1370">
        <f>BF138/BF$322</f>
        <v/>
      </c>
      <c r="BG148" s="1370">
        <f>BG138/BG$322</f>
        <v/>
      </c>
      <c r="BH148" s="1370">
        <f>BH138/BH$322</f>
        <v/>
      </c>
      <c r="BI148" s="1370" t="n"/>
      <c r="BJ148" s="1369">
        <f>BJ138/BJ$322</f>
        <v/>
      </c>
      <c r="BK148" s="1370">
        <f>BK138/BK$322</f>
        <v/>
      </c>
      <c r="BL148" s="1370">
        <f>BL138/BL$322</f>
        <v/>
      </c>
      <c r="BM148" s="1370">
        <f>BM138/BM$322</f>
        <v/>
      </c>
      <c r="BN148" s="1370" t="n"/>
      <c r="BO148" s="1371" t="n"/>
      <c r="BP148" s="1370" t="n"/>
      <c r="BQ148" s="1370" t="n"/>
      <c r="BR148" s="1370" t="n"/>
      <c r="BS148" s="1370" t="n"/>
      <c r="BT148" s="1369" t="n"/>
      <c r="BU148" s="1370" t="n"/>
      <c r="BV148" s="1370" t="n"/>
      <c r="BW148" s="1370" t="n"/>
      <c r="BX148" s="1370" t="n"/>
      <c r="BY148" s="1369" t="n"/>
      <c r="BZ148" s="1369" t="n"/>
      <c r="CA148" s="1369" t="n"/>
      <c r="CB148" s="1369" t="n"/>
      <c r="CC148" s="1294" t="n"/>
    </row>
    <row r="149" hidden="1" outlineLevel="2" ht="14.4" customFormat="1" customHeight="1" s="1290">
      <c r="A149" s="1401" t="inlineStr">
        <is>
          <t>Japan Contribution, %</t>
        </is>
      </c>
      <c r="B149" s="1368" t="n"/>
      <c r="C149" s="1403">
        <f>C139/C$322</f>
        <v/>
      </c>
      <c r="D149" s="1403">
        <f>D139/D$322</f>
        <v/>
      </c>
      <c r="E149" s="1403">
        <f>E139/E$322</f>
        <v/>
      </c>
      <c r="F149" s="1403">
        <f>F139/F$322</f>
        <v/>
      </c>
      <c r="G149" s="1403">
        <f>G139/G$322</f>
        <v/>
      </c>
      <c r="H149" s="1370" t="n"/>
      <c r="I149" s="1370" t="n"/>
      <c r="J149" s="1370" t="n"/>
      <c r="K149" s="1370" t="n"/>
      <c r="L149" s="1403">
        <f>L139/L$322</f>
        <v/>
      </c>
      <c r="M149" s="1370" t="n"/>
      <c r="N149" s="1370" t="n"/>
      <c r="O149" s="1370" t="n"/>
      <c r="P149" s="1370" t="n"/>
      <c r="Q149" s="1403">
        <f>Q139/Q$322</f>
        <v/>
      </c>
      <c r="R149" s="1370" t="n"/>
      <c r="S149" s="1370" t="n"/>
      <c r="T149" s="1370" t="n"/>
      <c r="U149" s="1370" t="n"/>
      <c r="V149" s="1403">
        <f>V139/V$322</f>
        <v/>
      </c>
      <c r="W149" s="1370" t="n"/>
      <c r="X149" s="1370" t="n"/>
      <c r="Y149" s="1370" t="n"/>
      <c r="Z149" s="1370" t="n"/>
      <c r="AA149" s="1403">
        <f>AA139/AA$322</f>
        <v/>
      </c>
      <c r="AB149" s="1294">
        <f>AB139/AB$322</f>
        <v/>
      </c>
      <c r="AC149" s="1294">
        <f>AC139/AC$322</f>
        <v/>
      </c>
      <c r="AD149" s="1294">
        <f>AD139/AD$322</f>
        <v/>
      </c>
      <c r="AE149" s="1294">
        <f>AE139/AE$322</f>
        <v/>
      </c>
      <c r="AF149" s="1403">
        <f>AF139/AF$322</f>
        <v/>
      </c>
      <c r="AG149" s="1294">
        <f>AG139/AG$322</f>
        <v/>
      </c>
      <c r="AH149" s="1294">
        <f>AH139/AH$322</f>
        <v/>
      </c>
      <c r="AI149" s="1294">
        <f>AI139/AI$322</f>
        <v/>
      </c>
      <c r="AJ149" s="1294">
        <f>AJ139/AJ$322</f>
        <v/>
      </c>
      <c r="AK149" s="1403">
        <f>AK139/AK$322</f>
        <v/>
      </c>
      <c r="AL149" s="1294">
        <f>AL139/AL$322</f>
        <v/>
      </c>
      <c r="AM149" s="1294">
        <f>AM139/AM$322</f>
        <v/>
      </c>
      <c r="AN149" s="1294">
        <f>AN139/AN$322</f>
        <v/>
      </c>
      <c r="AO149" s="1370">
        <f>AO139/AO$322</f>
        <v/>
      </c>
      <c r="AP149" s="1369">
        <f>AP139/AP$322</f>
        <v/>
      </c>
      <c r="AQ149" s="1370">
        <f>AQ139/AQ$322</f>
        <v/>
      </c>
      <c r="AR149" s="1370">
        <f>AR139/AR$322</f>
        <v/>
      </c>
      <c r="AS149" s="1370">
        <f>AS139/AS$322</f>
        <v/>
      </c>
      <c r="AT149" s="1370">
        <f>AT139/AT$322</f>
        <v/>
      </c>
      <c r="AU149" s="1369">
        <f>AU139/AU$322</f>
        <v/>
      </c>
      <c r="AV149" s="1370">
        <f>AV139/AV$322</f>
        <v/>
      </c>
      <c r="AW149" s="1370">
        <f>AW139/AW$322</f>
        <v/>
      </c>
      <c r="AX149" s="1370">
        <f>AX139/AX$322</f>
        <v/>
      </c>
      <c r="AY149" s="1370">
        <f>AY139/AY$322</f>
        <v/>
      </c>
      <c r="AZ149" s="1369">
        <f>AZ139/AZ$322</f>
        <v/>
      </c>
      <c r="BA149" s="1370">
        <f>BA139/BA$322</f>
        <v/>
      </c>
      <c r="BB149" s="1370">
        <f>BB139/BB$322</f>
        <v/>
      </c>
      <c r="BC149" s="1370">
        <f>BC139/BC$322</f>
        <v/>
      </c>
      <c r="BD149" s="1370">
        <f>BD139/BD$322</f>
        <v/>
      </c>
      <c r="BE149" s="1369">
        <f>BE139/BE$322</f>
        <v/>
      </c>
      <c r="BF149" s="1370">
        <f>BF139/BF$322</f>
        <v/>
      </c>
      <c r="BG149" s="1370">
        <f>BG139/BG$322</f>
        <v/>
      </c>
      <c r="BH149" s="1370">
        <f>BH139/BH$322</f>
        <v/>
      </c>
      <c r="BI149" s="1370" t="n"/>
      <c r="BJ149" s="1369">
        <f>BJ139/BJ$322</f>
        <v/>
      </c>
      <c r="BK149" s="1370">
        <f>BK139/BK$322</f>
        <v/>
      </c>
      <c r="BL149" s="1370">
        <f>BL139/BL$322</f>
        <v/>
      </c>
      <c r="BM149" s="1370">
        <f>BM139/BM$322</f>
        <v/>
      </c>
      <c r="BN149" s="1370" t="n"/>
      <c r="BO149" s="1371" t="n"/>
      <c r="BP149" s="1370" t="n"/>
      <c r="BQ149" s="1370" t="n"/>
      <c r="BR149" s="1370" t="n"/>
      <c r="BS149" s="1370" t="n"/>
      <c r="BT149" s="1369" t="n"/>
      <c r="BU149" s="1370" t="n"/>
      <c r="BV149" s="1370" t="n"/>
      <c r="BW149" s="1370" t="n"/>
      <c r="BX149" s="1370" t="n"/>
      <c r="BY149" s="1369" t="n"/>
      <c r="BZ149" s="1369" t="n"/>
      <c r="CA149" s="1369" t="n"/>
      <c r="CB149" s="1369" t="n"/>
      <c r="CC149" s="1294" t="n"/>
    </row>
    <row r="150" hidden="1" outlineLevel="2" ht="14.4" customFormat="1" customHeight="1" s="1290">
      <c r="A150" s="1401" t="inlineStr">
        <is>
          <t>Others Contribution, %</t>
        </is>
      </c>
      <c r="B150" s="1368" t="n"/>
      <c r="C150" s="1403">
        <f>C140/C$322</f>
        <v/>
      </c>
      <c r="D150" s="1403">
        <f>D140/D$322</f>
        <v/>
      </c>
      <c r="E150" s="1403">
        <f>E140/E$322</f>
        <v/>
      </c>
      <c r="F150" s="1403">
        <f>F140/F$322</f>
        <v/>
      </c>
      <c r="G150" s="1403">
        <f>G140/G$322</f>
        <v/>
      </c>
      <c r="H150" s="1370" t="n"/>
      <c r="I150" s="1370" t="n"/>
      <c r="J150" s="1370" t="n"/>
      <c r="K150" s="1370" t="n"/>
      <c r="L150" s="1403">
        <f>L140/L$322</f>
        <v/>
      </c>
      <c r="M150" s="1370" t="n"/>
      <c r="N150" s="1370" t="n"/>
      <c r="O150" s="1370" t="n"/>
      <c r="P150" s="1370" t="n"/>
      <c r="Q150" s="1403">
        <f>Q140/Q$322</f>
        <v/>
      </c>
      <c r="R150" s="1370" t="n"/>
      <c r="S150" s="1370" t="n"/>
      <c r="T150" s="1370" t="n"/>
      <c r="U150" s="1370" t="n"/>
      <c r="V150" s="1403">
        <f>V140/V$322</f>
        <v/>
      </c>
      <c r="W150" s="1370" t="n"/>
      <c r="X150" s="1370" t="n"/>
      <c r="Y150" s="1370" t="n"/>
      <c r="Z150" s="1370" t="n"/>
      <c r="AA150" s="1403">
        <f>AA140/AA$322</f>
        <v/>
      </c>
      <c r="AB150" s="1294">
        <f>AB140/AB$322</f>
        <v/>
      </c>
      <c r="AC150" s="1294">
        <f>AC140/AC$322</f>
        <v/>
      </c>
      <c r="AD150" s="1294">
        <f>AD140/AD$322</f>
        <v/>
      </c>
      <c r="AE150" s="1294">
        <f>AE140/AE$322</f>
        <v/>
      </c>
      <c r="AF150" s="1403">
        <f>AF140/AF$322</f>
        <v/>
      </c>
      <c r="AG150" s="1294">
        <f>AG140/AG$322</f>
        <v/>
      </c>
      <c r="AH150" s="1294">
        <f>AH140/AH$322</f>
        <v/>
      </c>
      <c r="AI150" s="1294">
        <f>AI140/AI$322</f>
        <v/>
      </c>
      <c r="AJ150" s="1294">
        <f>AJ140/AJ$322</f>
        <v/>
      </c>
      <c r="AK150" s="1403">
        <f>AK140/AK$322</f>
        <v/>
      </c>
      <c r="AL150" s="1294">
        <f>AL140/AL$322</f>
        <v/>
      </c>
      <c r="AM150" s="1294">
        <f>AM140/AM$322</f>
        <v/>
      </c>
      <c r="AN150" s="1294">
        <f>AN140/AN$322</f>
        <v/>
      </c>
      <c r="AO150" s="1370">
        <f>AO140/AO$322</f>
        <v/>
      </c>
      <c r="AP150" s="1369">
        <f>AP140/AP$322</f>
        <v/>
      </c>
      <c r="AQ150" s="1370">
        <f>AQ140/AQ$322</f>
        <v/>
      </c>
      <c r="AR150" s="1370">
        <f>AR140/AR$322</f>
        <v/>
      </c>
      <c r="AS150" s="1370">
        <f>AS140/AS$322</f>
        <v/>
      </c>
      <c r="AT150" s="1370">
        <f>AT140/AT$322</f>
        <v/>
      </c>
      <c r="AU150" s="1369">
        <f>AU140/AU$322</f>
        <v/>
      </c>
      <c r="AV150" s="1370">
        <f>AV140/AV$322</f>
        <v/>
      </c>
      <c r="AW150" s="1370">
        <f>AW140/AW$322</f>
        <v/>
      </c>
      <c r="AX150" s="1370">
        <f>AX140/AX$322</f>
        <v/>
      </c>
      <c r="AY150" s="1370">
        <f>AY140/AY$322</f>
        <v/>
      </c>
      <c r="AZ150" s="1369">
        <f>AZ140/AZ$322</f>
        <v/>
      </c>
      <c r="BA150" s="1370">
        <f>BA140/BA$322</f>
        <v/>
      </c>
      <c r="BB150" s="1370">
        <f>BB140/BB$322</f>
        <v/>
      </c>
      <c r="BC150" s="1370">
        <f>BC140/BC$322</f>
        <v/>
      </c>
      <c r="BD150" s="1370">
        <f>BD140/BD$322</f>
        <v/>
      </c>
      <c r="BE150" s="1369">
        <f>BE140/BE$322</f>
        <v/>
      </c>
      <c r="BF150" s="1370">
        <f>BF140/BF$322</f>
        <v/>
      </c>
      <c r="BG150" s="1370">
        <f>BG140/BG$322</f>
        <v/>
      </c>
      <c r="BH150" s="1370">
        <f>BH140/BH$322</f>
        <v/>
      </c>
      <c r="BI150" s="1370" t="n"/>
      <c r="BJ150" s="1369">
        <f>BJ140/BJ$322</f>
        <v/>
      </c>
      <c r="BK150" s="1370">
        <f>BK140/BK$322</f>
        <v/>
      </c>
      <c r="BL150" s="1370">
        <f>BL140/BL$322</f>
        <v/>
      </c>
      <c r="BM150" s="1370">
        <f>BM140/BM$322</f>
        <v/>
      </c>
      <c r="BN150" s="1370" t="n"/>
      <c r="BO150" s="1371" t="n"/>
      <c r="BP150" s="1370" t="n"/>
      <c r="BQ150" s="1370" t="n"/>
      <c r="BR150" s="1370" t="n"/>
      <c r="BS150" s="1370" t="n"/>
      <c r="BT150" s="1369" t="n"/>
      <c r="BU150" s="1370" t="n"/>
      <c r="BV150" s="1370" t="n"/>
      <c r="BW150" s="1370" t="n"/>
      <c r="BX150" s="1370" t="n"/>
      <c r="BY150" s="1369" t="n"/>
      <c r="BZ150" s="1369" t="n"/>
      <c r="CA150" s="1369" t="n"/>
      <c r="CB150" s="1369" t="n"/>
      <c r="CC150" s="1294" t="n"/>
    </row>
    <row r="151" hidden="1" outlineLevel="2" ht="14.4" customFormat="1" customHeight="1" s="1290">
      <c r="A151" s="1415" t="inlineStr">
        <is>
          <t>Sales returns and allowances Contribution, %</t>
        </is>
      </c>
      <c r="B151" s="1408" t="n"/>
      <c r="C151" s="1412">
        <f>C141/C$322</f>
        <v/>
      </c>
      <c r="D151" s="1412">
        <f>D141/D$322</f>
        <v/>
      </c>
      <c r="E151" s="1412">
        <f>E141/E$322</f>
        <v/>
      </c>
      <c r="F151" s="1412">
        <f>F141/F$322</f>
        <v/>
      </c>
      <c r="G151" s="1412">
        <f>G141/G$322</f>
        <v/>
      </c>
      <c r="H151" s="1410" t="n"/>
      <c r="I151" s="1410" t="n"/>
      <c r="J151" s="1410" t="n"/>
      <c r="K151" s="1410" t="n"/>
      <c r="L151" s="1412">
        <f>L141/L$322</f>
        <v/>
      </c>
      <c r="M151" s="1410" t="n"/>
      <c r="N151" s="1410" t="n"/>
      <c r="O151" s="1410" t="n"/>
      <c r="P151" s="1410" t="n"/>
      <c r="Q151" s="1412">
        <f>Q141/Q$322</f>
        <v/>
      </c>
      <c r="R151" s="1410" t="n"/>
      <c r="S151" s="1410" t="n"/>
      <c r="T151" s="1410" t="n"/>
      <c r="U151" s="1410" t="n"/>
      <c r="V151" s="1412">
        <f>V141/V$322</f>
        <v/>
      </c>
      <c r="W151" s="1410" t="n"/>
      <c r="X151" s="1410" t="n"/>
      <c r="Y151" s="1410" t="n"/>
      <c r="Z151" s="1410" t="n"/>
      <c r="AA151" s="1412">
        <f>AA141/AA$322</f>
        <v/>
      </c>
      <c r="AB151" s="1411">
        <f>AB141/AB$322</f>
        <v/>
      </c>
      <c r="AC151" s="1411">
        <f>AC141/AC$322</f>
        <v/>
      </c>
      <c r="AD151" s="1411">
        <f>AD141/AD$322</f>
        <v/>
      </c>
      <c r="AE151" s="1411">
        <f>AE141/AE$322</f>
        <v/>
      </c>
      <c r="AF151" s="1412">
        <f>AF141/AF$322</f>
        <v/>
      </c>
      <c r="AG151" s="1411">
        <f>AG141/AG$322</f>
        <v/>
      </c>
      <c r="AH151" s="1411">
        <f>AH141/AH$322</f>
        <v/>
      </c>
      <c r="AI151" s="1411">
        <f>AI141/AI$322</f>
        <v/>
      </c>
      <c r="AJ151" s="1411">
        <f>AJ141/AJ$322</f>
        <v/>
      </c>
      <c r="AK151" s="1412">
        <f>AK141/AK$322</f>
        <v/>
      </c>
      <c r="AL151" s="1411">
        <f>AL141/AL$322</f>
        <v/>
      </c>
      <c r="AM151" s="1411">
        <f>AM141/AM$322</f>
        <v/>
      </c>
      <c r="AN151" s="1411">
        <f>AN141/AN$322</f>
        <v/>
      </c>
      <c r="AO151" s="1410">
        <f>AO141/AO$322</f>
        <v/>
      </c>
      <c r="AP151" s="1409">
        <f>AP141/AP$322</f>
        <v/>
      </c>
      <c r="AQ151" s="1410">
        <f>AQ141/AQ$322</f>
        <v/>
      </c>
      <c r="AR151" s="1410">
        <f>AR141/AR$322</f>
        <v/>
      </c>
      <c r="AS151" s="1410">
        <f>AS141/AS$322</f>
        <v/>
      </c>
      <c r="AT151" s="1410">
        <f>AT141/AT$322</f>
        <v/>
      </c>
      <c r="AU151" s="1409">
        <f>AU141/AU$322</f>
        <v/>
      </c>
      <c r="AV151" s="1410">
        <f>AV141/AV$322</f>
        <v/>
      </c>
      <c r="AW151" s="1410">
        <f>AW141/AW$322</f>
        <v/>
      </c>
      <c r="AX151" s="1410">
        <f>AX141/AX$322</f>
        <v/>
      </c>
      <c r="AY151" s="1410">
        <f>AY141/AY$322</f>
        <v/>
      </c>
      <c r="AZ151" s="1409">
        <f>AZ141/AZ$322</f>
        <v/>
      </c>
      <c r="BA151" s="1410">
        <f>BA141/BA$322</f>
        <v/>
      </c>
      <c r="BB151" s="1410">
        <f>BB141/BB$322</f>
        <v/>
      </c>
      <c r="BC151" s="1410">
        <f>BC141/BC$322</f>
        <v/>
      </c>
      <c r="BD151" s="1410">
        <f>BD141/BD$322</f>
        <v/>
      </c>
      <c r="BE151" s="1409">
        <f>BE141/BE$322</f>
        <v/>
      </c>
      <c r="BF151" s="1410">
        <f>BF141/BF$322</f>
        <v/>
      </c>
      <c r="BG151" s="1410">
        <f>BG141/BG$322</f>
        <v/>
      </c>
      <c r="BH151" s="1410">
        <f>BH141/BH$322</f>
        <v/>
      </c>
      <c r="BI151" s="1410" t="n"/>
      <c r="BJ151" s="1409">
        <f>BJ141/BJ$322</f>
        <v/>
      </c>
      <c r="BK151" s="1410">
        <f>BK141/BK$322</f>
        <v/>
      </c>
      <c r="BL151" s="1410">
        <f>BL141/BL$322</f>
        <v/>
      </c>
      <c r="BM151" s="1410">
        <f>BM141/BM$322</f>
        <v/>
      </c>
      <c r="BN151" s="1410" t="n"/>
      <c r="BO151" s="1461" t="n"/>
      <c r="BP151" s="1410" t="n"/>
      <c r="BQ151" s="1410" t="n"/>
      <c r="BR151" s="1410" t="n"/>
      <c r="BS151" s="1410" t="n"/>
      <c r="BT151" s="1409" t="n"/>
      <c r="BU151" s="1410" t="n"/>
      <c r="BV151" s="1410" t="n"/>
      <c r="BW151" s="1410" t="n"/>
      <c r="BX151" s="1410" t="n"/>
      <c r="BY151" s="1409" t="n"/>
      <c r="BZ151" s="1409" t="n"/>
      <c r="CA151" s="1409" t="n"/>
      <c r="CB151" s="1409" t="n"/>
      <c r="CC151" s="1294" t="n"/>
    </row>
    <row r="152" hidden="1" outlineLevel="2" ht="14.4" customFormat="1" customHeight="1" s="1350">
      <c r="A152" s="1417" t="inlineStr">
        <is>
          <t>Total Revenue Contribution By Country, %</t>
        </is>
      </c>
      <c r="B152" s="1418" t="n"/>
      <c r="C152" s="1419">
        <f>C142/C$322</f>
        <v/>
      </c>
      <c r="D152" s="1419">
        <f>D142/D$322</f>
        <v/>
      </c>
      <c r="E152" s="1419">
        <f>E142/E$322</f>
        <v/>
      </c>
      <c r="F152" s="1419">
        <f>F142/F$322</f>
        <v/>
      </c>
      <c r="G152" s="1419">
        <f>G142/G$322</f>
        <v/>
      </c>
      <c r="H152" s="1421" t="n"/>
      <c r="I152" s="1421" t="n"/>
      <c r="J152" s="1421" t="n"/>
      <c r="K152" s="1421" t="n"/>
      <c r="L152" s="1419">
        <f>L142/L$322</f>
        <v/>
      </c>
      <c r="M152" s="1421" t="n"/>
      <c r="N152" s="1421" t="n"/>
      <c r="O152" s="1421" t="n"/>
      <c r="P152" s="1421" t="n"/>
      <c r="Q152" s="1419">
        <f>Q142/Q$322</f>
        <v/>
      </c>
      <c r="R152" s="1421" t="n"/>
      <c r="S152" s="1421" t="n"/>
      <c r="T152" s="1421" t="n"/>
      <c r="U152" s="1421" t="n"/>
      <c r="V152" s="1419">
        <f>V142/V$322</f>
        <v/>
      </c>
      <c r="W152" s="1421" t="n"/>
      <c r="X152" s="1421" t="n"/>
      <c r="Y152" s="1421" t="n"/>
      <c r="Z152" s="1421" t="n"/>
      <c r="AA152" s="1419">
        <f>AA142/AA$322</f>
        <v/>
      </c>
      <c r="AB152" s="1420">
        <f>AB142/AB$322</f>
        <v/>
      </c>
      <c r="AC152" s="1420">
        <f>AC142/AC$322</f>
        <v/>
      </c>
      <c r="AD152" s="1420">
        <f>AD142/AD$322</f>
        <v/>
      </c>
      <c r="AE152" s="1420">
        <f>AE142/AE$322</f>
        <v/>
      </c>
      <c r="AF152" s="1419">
        <f>AF142/AF$322</f>
        <v/>
      </c>
      <c r="AG152" s="1420">
        <f>AG142/AG$322</f>
        <v/>
      </c>
      <c r="AH152" s="1420">
        <f>AH142/AH$322</f>
        <v/>
      </c>
      <c r="AI152" s="1420">
        <f>AI142/AI$322</f>
        <v/>
      </c>
      <c r="AJ152" s="1420">
        <f>AJ142/AJ$322</f>
        <v/>
      </c>
      <c r="AK152" s="1419">
        <f>AK142/AK$322</f>
        <v/>
      </c>
      <c r="AL152" s="1420">
        <f>AL142/AL$322</f>
        <v/>
      </c>
      <c r="AM152" s="1420">
        <f>AM142/AM$322</f>
        <v/>
      </c>
      <c r="AN152" s="1420">
        <f>AN142/AN$322</f>
        <v/>
      </c>
      <c r="AO152" s="1421">
        <f>AO142/AO$322</f>
        <v/>
      </c>
      <c r="AP152" s="1423">
        <f>AP142/AP$322</f>
        <v/>
      </c>
      <c r="AQ152" s="1421">
        <f>AQ142/AQ$322</f>
        <v/>
      </c>
      <c r="AR152" s="1421">
        <f>AR142/AR$322</f>
        <v/>
      </c>
      <c r="AS152" s="1421">
        <f>AS142/AS$322</f>
        <v/>
      </c>
      <c r="AT152" s="1421">
        <f>AT142/AT$322</f>
        <v/>
      </c>
      <c r="AU152" s="1423">
        <f>AU142/AU$322</f>
        <v/>
      </c>
      <c r="AV152" s="1421">
        <f>AV142/AV$322</f>
        <v/>
      </c>
      <c r="AW152" s="1421">
        <f>AW142/AW$322</f>
        <v/>
      </c>
      <c r="AX152" s="1421">
        <f>AX142/AX$322</f>
        <v/>
      </c>
      <c r="AY152" s="1421">
        <f>AY142/AY$322</f>
        <v/>
      </c>
      <c r="AZ152" s="1423">
        <f>AZ142/AZ$322</f>
        <v/>
      </c>
      <c r="BA152" s="1421">
        <f>BA142/BA$322</f>
        <v/>
      </c>
      <c r="BB152" s="1421">
        <f>BB142/BB$322</f>
        <v/>
      </c>
      <c r="BC152" s="1421">
        <f>BC142/BC$322</f>
        <v/>
      </c>
      <c r="BD152" s="1421">
        <f>BD142/BD$322</f>
        <v/>
      </c>
      <c r="BE152" s="1423">
        <f>BE142/BE$322</f>
        <v/>
      </c>
      <c r="BF152" s="1421">
        <f>BF142/BF$322</f>
        <v/>
      </c>
      <c r="BG152" s="1421">
        <f>BG142/BG$322</f>
        <v/>
      </c>
      <c r="BH152" s="1421">
        <f>BH142/BH$322</f>
        <v/>
      </c>
      <c r="BI152" s="1421" t="n"/>
      <c r="BJ152" s="1423">
        <f>BJ142/BJ$322</f>
        <v/>
      </c>
      <c r="BK152" s="1421">
        <f>BK142/BK$322</f>
        <v/>
      </c>
      <c r="BL152" s="1421">
        <f>BL142/BL$322</f>
        <v/>
      </c>
      <c r="BM152" s="1421">
        <f>BM142/BM$322</f>
        <v/>
      </c>
      <c r="BN152" s="1421" t="n"/>
      <c r="BO152" s="1462" t="n"/>
      <c r="BP152" s="1421" t="n"/>
      <c r="BQ152" s="1421" t="n"/>
      <c r="BR152" s="1421" t="n"/>
      <c r="BS152" s="1421" t="n"/>
      <c r="BT152" s="1423" t="n"/>
      <c r="BU152" s="1421" t="n"/>
      <c r="BV152" s="1421" t="n"/>
      <c r="BW152" s="1421" t="n"/>
      <c r="BX152" s="1421" t="n"/>
      <c r="BY152" s="1423" t="n"/>
      <c r="BZ152" s="1423" t="n"/>
      <c r="CA152" s="1423" t="n"/>
      <c r="CB152" s="1423" t="n"/>
      <c r="CC152" s="1356" t="n"/>
    </row>
    <row r="153" hidden="1" outlineLevel="2" ht="14.4" customFormat="1" customHeight="1" s="1323">
      <c r="A153" s="1344" t="n"/>
      <c r="B153" s="1361" t="n"/>
      <c r="C153" s="1345" t="n"/>
      <c r="D153" s="1345" t="n"/>
      <c r="E153" s="1345" t="n"/>
      <c r="F153" s="1345" t="n"/>
      <c r="G153" s="1345" t="n"/>
      <c r="H153" s="1346" t="n"/>
      <c r="I153" s="1346" t="n"/>
      <c r="J153" s="1346" t="n"/>
      <c r="K153" s="1346" t="n"/>
      <c r="L153" s="1345" t="n"/>
      <c r="M153" s="1346" t="n"/>
      <c r="N153" s="1346" t="n"/>
      <c r="O153" s="1346" t="n"/>
      <c r="P153" s="1346" t="n"/>
      <c r="Q153" s="1345" t="n"/>
      <c r="R153" s="1346" t="n"/>
      <c r="S153" s="1346" t="n"/>
      <c r="T153" s="1346" t="n"/>
      <c r="U153" s="1346" t="n"/>
      <c r="V153" s="1345" t="n"/>
      <c r="W153" s="1346" t="n"/>
      <c r="X153" s="1346" t="n"/>
      <c r="Y153" s="1346" t="n"/>
      <c r="Z153" s="1346" t="n"/>
      <c r="AA153" s="1345" t="n"/>
      <c r="AB153" s="1346" t="n"/>
      <c r="AC153" s="1346" t="n"/>
      <c r="AD153" s="1346" t="n"/>
      <c r="AE153" s="1346" t="n"/>
      <c r="AF153" s="1345" t="n"/>
      <c r="AG153" s="1346" t="n"/>
      <c r="AH153" s="1346" t="n"/>
      <c r="AI153" s="1346" t="n"/>
      <c r="AJ153" s="1346" t="n"/>
      <c r="AK153" s="1345" t="n"/>
      <c r="AL153" s="1346" t="n"/>
      <c r="AM153" s="1346" t="n"/>
      <c r="AN153" s="1346" t="n"/>
      <c r="AO153" s="1346" t="n"/>
      <c r="AP153" s="1345" t="n"/>
      <c r="AQ153" s="1346" t="n"/>
      <c r="AR153" s="1346" t="n"/>
      <c r="AS153" s="1346" t="n"/>
      <c r="AT153" s="1346" t="n"/>
      <c r="AU153" s="1345" t="n"/>
      <c r="AV153" s="1346" t="n"/>
      <c r="AW153" s="1346" t="n"/>
      <c r="AX153" s="1346" t="n"/>
      <c r="AY153" s="1346" t="n"/>
      <c r="AZ153" s="1345" t="n"/>
      <c r="BA153" s="1346" t="n"/>
      <c r="BB153" s="1346" t="n"/>
      <c r="BC153" s="1346" t="n"/>
      <c r="BD153" s="1346" t="n"/>
      <c r="BE153" s="1345" t="n"/>
      <c r="BF153" s="1346" t="n"/>
      <c r="BG153" s="1346" t="n"/>
      <c r="BH153" s="1346" t="n"/>
      <c r="BI153" s="1346" t="n"/>
      <c r="BJ153" s="1345" t="n"/>
      <c r="BK153" s="1346" t="n"/>
      <c r="BL153" s="1346" t="n"/>
      <c r="BM153" s="1346" t="n"/>
      <c r="BN153" s="1346" t="n"/>
      <c r="BO153" s="1347" t="n"/>
      <c r="BP153" s="1346" t="n"/>
      <c r="BQ153" s="1346" t="n"/>
      <c r="BR153" s="1346" t="n"/>
      <c r="BS153" s="1346" t="n"/>
      <c r="BT153" s="1345" t="n"/>
      <c r="BU153" s="1346" t="n"/>
      <c r="BV153" s="1346" t="n"/>
      <c r="BW153" s="1346" t="n"/>
      <c r="BX153" s="1346" t="n"/>
      <c r="BY153" s="1345" t="n"/>
      <c r="BZ153" s="1345" t="n"/>
      <c r="CA153" s="1345" t="n"/>
      <c r="CB153" s="1345" t="n"/>
      <c r="CC153" s="1331" t="n"/>
    </row>
    <row r="154" hidden="1" outlineLevel="2" ht="14.4" customFormat="1" customHeight="1" s="1275">
      <c r="A154" s="1295" t="inlineStr">
        <is>
          <t>North America Revenue, mm</t>
        </is>
      </c>
      <c r="B154" s="1296" t="n"/>
      <c r="C154" s="1446">
        <f>C161*C$322</f>
        <v/>
      </c>
      <c r="D154" s="1446">
        <f>D161*D$322</f>
        <v/>
      </c>
      <c r="E154" s="1446">
        <f>E161*E$322</f>
        <v/>
      </c>
      <c r="F154" s="1446">
        <f>F161*F$322</f>
        <v/>
      </c>
      <c r="G154" s="1446">
        <f>G161*G$322</f>
        <v/>
      </c>
      <c r="H154" s="1280">
        <f>H161*H$322</f>
        <v/>
      </c>
      <c r="I154" s="1280">
        <f>I161*I$322</f>
        <v/>
      </c>
      <c r="J154" s="1280">
        <f>J161*J$322</f>
        <v/>
      </c>
      <c r="K154" s="1280">
        <f>K161*K$322</f>
        <v/>
      </c>
      <c r="L154" s="1446">
        <f>SUM(H154,I154,J154,K154)</f>
        <v/>
      </c>
      <c r="M154" s="1280">
        <f>M161*M$322</f>
        <v/>
      </c>
      <c r="N154" s="1280">
        <f>N161*N$322</f>
        <v/>
      </c>
      <c r="O154" s="1280">
        <f>O161*O$322</f>
        <v/>
      </c>
      <c r="P154" s="1280">
        <f>P161*P$322</f>
        <v/>
      </c>
      <c r="Q154" s="1446">
        <f>SUM(M154,N154,O154,P154)</f>
        <v/>
      </c>
      <c r="R154" s="1280">
        <f>R161*R$322</f>
        <v/>
      </c>
      <c r="S154" s="1280">
        <f>S161*S$322</f>
        <v/>
      </c>
      <c r="T154" s="1280">
        <f>T161*T$322</f>
        <v/>
      </c>
      <c r="U154" s="1280">
        <f>U161*U$322</f>
        <v/>
      </c>
      <c r="V154" s="1446">
        <f>SUM(R154,S154,T154,U154)</f>
        <v/>
      </c>
      <c r="W154" s="1280">
        <f>W161*W$322</f>
        <v/>
      </c>
      <c r="X154" s="1280">
        <f>X161*X$322</f>
        <v/>
      </c>
      <c r="Y154" s="1280">
        <f>Y161*Y$322</f>
        <v/>
      </c>
      <c r="Z154" s="1280">
        <f>Z161*Z$322</f>
        <v/>
      </c>
      <c r="AA154" s="1446">
        <f>SUM(W154,X154,Y154,Z154)</f>
        <v/>
      </c>
      <c r="AB154" s="1280">
        <f>AB161*AB$322</f>
        <v/>
      </c>
      <c r="AC154" s="1280">
        <f>AC161*AC$322</f>
        <v/>
      </c>
      <c r="AD154" s="1280">
        <f>AD161*AD$322</f>
        <v/>
      </c>
      <c r="AE154" s="1280">
        <f>AE161*AE$322</f>
        <v/>
      </c>
      <c r="AF154" s="1446">
        <f>SUM(AB154,AC154,AD154,AE154)</f>
        <v/>
      </c>
      <c r="AG154" s="1280">
        <f>AG161*AG$322</f>
        <v/>
      </c>
      <c r="AH154" s="1280">
        <f>AH161*AH$322</f>
        <v/>
      </c>
      <c r="AI154" s="1280">
        <f>AI161*AI$322</f>
        <v/>
      </c>
      <c r="AJ154" s="1280">
        <f>AJ161*AJ$322</f>
        <v/>
      </c>
      <c r="AK154" s="1446">
        <f>SUM(AG154,AH154,AI154,AJ154)</f>
        <v/>
      </c>
      <c r="AL154" s="1280">
        <f>AL161*AL$322</f>
        <v/>
      </c>
      <c r="AM154" s="1280">
        <f>AM161*AM$322</f>
        <v/>
      </c>
      <c r="AN154" s="1280">
        <f>AN161*AN$322</f>
        <v/>
      </c>
      <c r="AO154" s="1280">
        <f>AO161*AO$322</f>
        <v/>
      </c>
      <c r="AP154" s="1446">
        <f>SUM(AL154,AM154,AN154,AO154)</f>
        <v/>
      </c>
      <c r="AQ154" s="1280">
        <f>AQ161*AQ$322</f>
        <v/>
      </c>
      <c r="AR154" s="1280">
        <f>AR161*AR$322</f>
        <v/>
      </c>
      <c r="AS154" s="1280">
        <f>AS161*AS$322</f>
        <v/>
      </c>
      <c r="AT154" s="1280">
        <f>AT161*AT$322</f>
        <v/>
      </c>
      <c r="AU154" s="1446">
        <f>SUM(AQ154,AR154,AS154,AT154)</f>
        <v/>
      </c>
      <c r="AV154" s="1280">
        <f>AV161*AV$322</f>
        <v/>
      </c>
      <c r="AW154" s="1280">
        <f>AW161*AW159</f>
        <v/>
      </c>
      <c r="AX154" s="1280">
        <f>AX161*AX$159</f>
        <v/>
      </c>
      <c r="AY154" s="1280">
        <f>AY161*AY$322</f>
        <v/>
      </c>
      <c r="AZ154" s="1446">
        <f>SUM(AV154,AW154,AX154,AY154)</f>
        <v/>
      </c>
      <c r="BA154" s="1280">
        <f>BA161*BA$322</f>
        <v/>
      </c>
      <c r="BB154" s="1280">
        <f>BB161*BB159</f>
        <v/>
      </c>
      <c r="BC154" s="1280">
        <f>BC161*BC$159</f>
        <v/>
      </c>
      <c r="BD154" s="1280">
        <f>BD161*BD$322</f>
        <v/>
      </c>
      <c r="BE154" s="1446">
        <f>SUM(BA154,BB154,BC154,BD154)</f>
        <v/>
      </c>
      <c r="BF154" s="1280">
        <f>BF161*BF$322</f>
        <v/>
      </c>
      <c r="BG154" s="1280">
        <f>BG161*BG159</f>
        <v/>
      </c>
      <c r="BH154" s="1280">
        <f>BH161*BH$159</f>
        <v/>
      </c>
      <c r="BI154" s="1280">
        <f>BI161*BI$322</f>
        <v/>
      </c>
      <c r="BJ154" s="1446">
        <f>SUM(BF154,BG154,BH154,BI154)</f>
        <v/>
      </c>
      <c r="BK154" s="1280">
        <f>BK161*BK$322</f>
        <v/>
      </c>
      <c r="BL154" s="1280">
        <f>BL161*BL159</f>
        <v/>
      </c>
      <c r="BM154" s="1280">
        <f>BM161*BM$159</f>
        <v/>
      </c>
      <c r="BN154" s="1280">
        <f>BN161*BN$322</f>
        <v/>
      </c>
      <c r="BO154" s="1300">
        <f>SUM(BK154,BL154,BM154,BN154)</f>
        <v/>
      </c>
      <c r="BP154" s="1277" t="n"/>
      <c r="BQ154" s="1277" t="n"/>
      <c r="BR154" s="1277" t="n"/>
      <c r="BS154" s="1277" t="n"/>
      <c r="BT154" s="1297" t="n"/>
      <c r="BU154" s="1277" t="n"/>
      <c r="BV154" s="1277" t="n"/>
      <c r="BW154" s="1277" t="n"/>
      <c r="BX154" s="1277" t="n"/>
      <c r="BY154" s="1297" t="n"/>
      <c r="BZ154" s="1297" t="n"/>
      <c r="CA154" s="1297" t="n"/>
      <c r="CB154" s="1297" t="n"/>
      <c r="CC154" s="1280" t="n"/>
    </row>
    <row r="155" hidden="1" outlineLevel="2" ht="14.4" customFormat="1" customHeight="1" s="1275">
      <c r="A155" s="1295" t="inlineStr">
        <is>
          <t>Asia Pacific-ex China &amp; Japan Revenue, mm</t>
        </is>
      </c>
      <c r="B155" s="1296" t="n"/>
      <c r="C155" s="1446">
        <f>C162*C$322</f>
        <v/>
      </c>
      <c r="D155" s="1446">
        <f>D162*D$322</f>
        <v/>
      </c>
      <c r="E155" s="1446">
        <f>E162*E$322</f>
        <v/>
      </c>
      <c r="F155" s="1446">
        <f>F162*F$322</f>
        <v/>
      </c>
      <c r="G155" s="1446">
        <f>G162*G$322</f>
        <v/>
      </c>
      <c r="H155" s="1280">
        <f>H162*H$322</f>
        <v/>
      </c>
      <c r="I155" s="1280">
        <f>I162*I$322</f>
        <v/>
      </c>
      <c r="J155" s="1280">
        <f>J162*J$322</f>
        <v/>
      </c>
      <c r="K155" s="1280">
        <f>K162*K$322</f>
        <v/>
      </c>
      <c r="L155" s="1446">
        <f>SUM(H155,I155,J155,K155)</f>
        <v/>
      </c>
      <c r="M155" s="1280">
        <f>M162*M$322</f>
        <v/>
      </c>
      <c r="N155" s="1280">
        <f>N162*N$322</f>
        <v/>
      </c>
      <c r="O155" s="1280">
        <f>O162*O$322</f>
        <v/>
      </c>
      <c r="P155" s="1280">
        <f>P162*P$322</f>
        <v/>
      </c>
      <c r="Q155" s="1446">
        <f>SUM(M155,N155,O155,P155)</f>
        <v/>
      </c>
      <c r="R155" s="1280">
        <f>R162*R$322</f>
        <v/>
      </c>
      <c r="S155" s="1280">
        <f>S162*S$322</f>
        <v/>
      </c>
      <c r="T155" s="1280">
        <f>T162*T$322</f>
        <v/>
      </c>
      <c r="U155" s="1280">
        <f>U162*U$322</f>
        <v/>
      </c>
      <c r="V155" s="1446">
        <f>SUM(R155,S155,T155,U155)</f>
        <v/>
      </c>
      <c r="W155" s="1280">
        <f>W162*W$322</f>
        <v/>
      </c>
      <c r="X155" s="1280">
        <f>X162*X$322</f>
        <v/>
      </c>
      <c r="Y155" s="1280">
        <f>Y162*Y$322</f>
        <v/>
      </c>
      <c r="Z155" s="1280">
        <f>Z162*Z$322</f>
        <v/>
      </c>
      <c r="AA155" s="1446">
        <f>SUM(W155,X155,Y155,Z155)</f>
        <v/>
      </c>
      <c r="AB155" s="1280">
        <f>AB162*AB$322</f>
        <v/>
      </c>
      <c r="AC155" s="1280">
        <f>AC162*AC$322</f>
        <v/>
      </c>
      <c r="AD155" s="1280">
        <f>AD162*AD$322</f>
        <v/>
      </c>
      <c r="AE155" s="1280">
        <f>AE162*AE$322</f>
        <v/>
      </c>
      <c r="AF155" s="1446">
        <f>SUM(AB155,AC155,AD155,AE155)</f>
        <v/>
      </c>
      <c r="AG155" s="1280">
        <f>AG162*AG$322</f>
        <v/>
      </c>
      <c r="AH155" s="1280">
        <f>AH162*AH$322</f>
        <v/>
      </c>
      <c r="AI155" s="1280">
        <f>AI162*AI$322</f>
        <v/>
      </c>
      <c r="AJ155" s="1280">
        <f>AJ162*AJ$322</f>
        <v/>
      </c>
      <c r="AK155" s="1446">
        <f>SUM(AG155,AH155,AI155,AJ155)</f>
        <v/>
      </c>
      <c r="AL155" s="1280">
        <f>AL162*AL$322</f>
        <v/>
      </c>
      <c r="AM155" s="1280">
        <f>AM162*AM$322</f>
        <v/>
      </c>
      <c r="AN155" s="1280">
        <f>AN162*AN$322</f>
        <v/>
      </c>
      <c r="AO155" s="1280">
        <f>AO162*AO$322</f>
        <v/>
      </c>
      <c r="AP155" s="1446">
        <f>SUM(AL155,AM155,AN155,AO155)</f>
        <v/>
      </c>
      <c r="AQ155" s="1280">
        <f>AQ162*AQ$322</f>
        <v/>
      </c>
      <c r="AR155" s="1280">
        <f>AR162*AR$322</f>
        <v/>
      </c>
      <c r="AS155" s="1280">
        <f>AS162*AS$322</f>
        <v/>
      </c>
      <c r="AT155" s="1280">
        <f>AT162*AT$322</f>
        <v/>
      </c>
      <c r="AU155" s="1446">
        <f>SUM(AQ155,AR155,AS155,AT155)</f>
        <v/>
      </c>
      <c r="AV155" s="1280">
        <f>AV162*AV$322</f>
        <v/>
      </c>
      <c r="AW155" s="1280">
        <f>AW162*AW159</f>
        <v/>
      </c>
      <c r="AX155" s="1280">
        <f>AX162*AX$159</f>
        <v/>
      </c>
      <c r="AY155" s="1280">
        <f>AY162*AY$322</f>
        <v/>
      </c>
      <c r="AZ155" s="1446">
        <f>SUM(AV155,AW155,AX155,AY155)</f>
        <v/>
      </c>
      <c r="BA155" s="1280">
        <f>BA162*BA$322</f>
        <v/>
      </c>
      <c r="BB155" s="1280">
        <f>BB162*BB159</f>
        <v/>
      </c>
      <c r="BC155" s="1280">
        <f>BC162*BC$159</f>
        <v/>
      </c>
      <c r="BD155" s="1280">
        <f>BD162*BD$322</f>
        <v/>
      </c>
      <c r="BE155" s="1446">
        <f>SUM(BA155,BB155,BC155,BD155)</f>
        <v/>
      </c>
      <c r="BF155" s="1280">
        <f>BF162*BF$322</f>
        <v/>
      </c>
      <c r="BG155" s="1280">
        <f>BG162*BG159</f>
        <v/>
      </c>
      <c r="BH155" s="1280">
        <f>BH162*BH$159</f>
        <v/>
      </c>
      <c r="BI155" s="1280">
        <f>BI162*BI$322</f>
        <v/>
      </c>
      <c r="BJ155" s="1446">
        <f>SUM(BF155,BG155,BH155,BI155)</f>
        <v/>
      </c>
      <c r="BK155" s="1280">
        <f>BK162*BK$322</f>
        <v/>
      </c>
      <c r="BL155" s="1280">
        <f>BL162*BL159</f>
        <v/>
      </c>
      <c r="BM155" s="1280">
        <f>BM162*BM$159</f>
        <v/>
      </c>
      <c r="BN155" s="1280">
        <f>BN162*BN$322</f>
        <v/>
      </c>
      <c r="BO155" s="1300">
        <f>SUM(BK155,BL155,BM155,BN155)</f>
        <v/>
      </c>
      <c r="BP155" s="1277" t="n"/>
      <c r="BQ155" s="1277" t="n"/>
      <c r="BR155" s="1277" t="n"/>
      <c r="BS155" s="1277" t="n"/>
      <c r="BT155" s="1297" t="n"/>
      <c r="BU155" s="1277" t="n"/>
      <c r="BV155" s="1277" t="n"/>
      <c r="BW155" s="1277" t="n"/>
      <c r="BX155" s="1277" t="n"/>
      <c r="BY155" s="1297" t="n"/>
      <c r="BZ155" s="1297" t="n"/>
      <c r="CA155" s="1297" t="n"/>
      <c r="CB155" s="1297" t="n"/>
      <c r="CC155" s="1280" t="n"/>
    </row>
    <row r="156" hidden="1" outlineLevel="2" ht="14.4" customFormat="1" customHeight="1" s="1275">
      <c r="A156" s="1295" t="inlineStr">
        <is>
          <t>China Revenue, mm</t>
        </is>
      </c>
      <c r="B156" s="1296" t="n"/>
      <c r="C156" s="1446">
        <f>C163*C$322</f>
        <v/>
      </c>
      <c r="D156" s="1446">
        <f>D163*D$322</f>
        <v/>
      </c>
      <c r="E156" s="1446">
        <f>E163*E$322</f>
        <v/>
      </c>
      <c r="F156" s="1446">
        <f>F163*F$322</f>
        <v/>
      </c>
      <c r="G156" s="1446">
        <f>G163*G$322</f>
        <v/>
      </c>
      <c r="H156" s="1280">
        <f>H163*H$322</f>
        <v/>
      </c>
      <c r="I156" s="1280">
        <f>I163*I$322</f>
        <v/>
      </c>
      <c r="J156" s="1280">
        <f>J163*J$322</f>
        <v/>
      </c>
      <c r="K156" s="1280">
        <f>K163*K$322</f>
        <v/>
      </c>
      <c r="L156" s="1446">
        <f>SUM(H156,I156,J156,K156)</f>
        <v/>
      </c>
      <c r="M156" s="1280">
        <f>M163*M$322</f>
        <v/>
      </c>
      <c r="N156" s="1280">
        <f>N163*N$322</f>
        <v/>
      </c>
      <c r="O156" s="1280">
        <f>O163*O$322</f>
        <v/>
      </c>
      <c r="P156" s="1280">
        <f>P163*P$322</f>
        <v/>
      </c>
      <c r="Q156" s="1446">
        <f>SUM(M156,N156,O156,P156)</f>
        <v/>
      </c>
      <c r="R156" s="1280">
        <f>R163*R$322</f>
        <v/>
      </c>
      <c r="S156" s="1280">
        <f>S163*S$322</f>
        <v/>
      </c>
      <c r="T156" s="1280">
        <f>T163*T$322</f>
        <v/>
      </c>
      <c r="U156" s="1280">
        <f>U163*U$322</f>
        <v/>
      </c>
      <c r="V156" s="1446">
        <f>SUM(R156,S156,T156,U156)</f>
        <v/>
      </c>
      <c r="W156" s="1280">
        <f>W163*W$322</f>
        <v/>
      </c>
      <c r="X156" s="1280">
        <f>X163*X$322</f>
        <v/>
      </c>
      <c r="Y156" s="1280">
        <f>Y163*Y$322</f>
        <v/>
      </c>
      <c r="Z156" s="1280">
        <f>Z163*Z$322</f>
        <v/>
      </c>
      <c r="AA156" s="1446">
        <f>SUM(W156,X156,Y156,Z156)</f>
        <v/>
      </c>
      <c r="AB156" s="1280">
        <f>AB163*AB$322</f>
        <v/>
      </c>
      <c r="AC156" s="1280">
        <f>AC163*AC$322</f>
        <v/>
      </c>
      <c r="AD156" s="1280">
        <f>AD163*AD$322</f>
        <v/>
      </c>
      <c r="AE156" s="1280">
        <f>AE163*AE$322</f>
        <v/>
      </c>
      <c r="AF156" s="1446">
        <f>SUM(AB156,AC156,AD156,AE156)</f>
        <v/>
      </c>
      <c r="AG156" s="1280">
        <f>AG163*AG$322</f>
        <v/>
      </c>
      <c r="AH156" s="1280">
        <f>AH163*AH$322</f>
        <v/>
      </c>
      <c r="AI156" s="1280">
        <f>AI163*AI$322</f>
        <v/>
      </c>
      <c r="AJ156" s="1280">
        <f>AJ163*AJ$322</f>
        <v/>
      </c>
      <c r="AK156" s="1446">
        <f>SUM(AG156,AH156,AI156,AJ156)</f>
        <v/>
      </c>
      <c r="AL156" s="1280">
        <f>AL163*AL$322</f>
        <v/>
      </c>
      <c r="AM156" s="1280">
        <f>AM163*AM$322</f>
        <v/>
      </c>
      <c r="AN156" s="1280">
        <f>AN163*AN$322</f>
        <v/>
      </c>
      <c r="AO156" s="1280">
        <f>AO163*AO$322</f>
        <v/>
      </c>
      <c r="AP156" s="1446">
        <f>SUM(AL156,AM156,AN156,AO156)</f>
        <v/>
      </c>
      <c r="AQ156" s="1280">
        <f>AQ163*AQ$322</f>
        <v/>
      </c>
      <c r="AR156" s="1280">
        <f>AR163*AR$322</f>
        <v/>
      </c>
      <c r="AS156" s="1280">
        <f>AS163*AS$322</f>
        <v/>
      </c>
      <c r="AT156" s="1280">
        <f>AT163*AT$322</f>
        <v/>
      </c>
      <c r="AU156" s="1446">
        <f>SUM(AQ156,AR156,AS156,AT156)</f>
        <v/>
      </c>
      <c r="AV156" s="1280">
        <f>AV163*AV$322</f>
        <v/>
      </c>
      <c r="AW156" s="1280">
        <f>AW163*AW159</f>
        <v/>
      </c>
      <c r="AX156" s="1280">
        <f>AX163*AX$159</f>
        <v/>
      </c>
      <c r="AY156" s="1280">
        <f>AY163*AY$322</f>
        <v/>
      </c>
      <c r="AZ156" s="1446">
        <f>SUM(AV156,AW156,AX156,AY156)</f>
        <v/>
      </c>
      <c r="BA156" s="1280">
        <f>BA163*BA$322</f>
        <v/>
      </c>
      <c r="BB156" s="1280">
        <f>BB163*BB159</f>
        <v/>
      </c>
      <c r="BC156" s="1280">
        <f>BC163*BC$159</f>
        <v/>
      </c>
      <c r="BD156" s="1280">
        <f>BD163*BD$322</f>
        <v/>
      </c>
      <c r="BE156" s="1446">
        <f>SUM(BA156,BB156,BC156,BD156)</f>
        <v/>
      </c>
      <c r="BF156" s="1280">
        <f>BF163*BF$322</f>
        <v/>
      </c>
      <c r="BG156" s="1280">
        <f>BG163*BG159</f>
        <v/>
      </c>
      <c r="BH156" s="1280">
        <f>BH163*BH$159</f>
        <v/>
      </c>
      <c r="BI156" s="1280">
        <f>BI163*BI$322</f>
        <v/>
      </c>
      <c r="BJ156" s="1446">
        <f>SUM(BF156,BG156,BH156,BI156)</f>
        <v/>
      </c>
      <c r="BK156" s="1280">
        <f>BK163*BK$322</f>
        <v/>
      </c>
      <c r="BL156" s="1280">
        <f>BL163*BL159</f>
        <v/>
      </c>
      <c r="BM156" s="1280">
        <f>BM163*BM$159</f>
        <v/>
      </c>
      <c r="BN156" s="1280">
        <f>BN163*BN$322</f>
        <v/>
      </c>
      <c r="BO156" s="1300">
        <f>SUM(BK156,BL156,BM156,BN156)</f>
        <v/>
      </c>
      <c r="BP156" s="1277" t="n"/>
      <c r="BQ156" s="1277" t="n"/>
      <c r="BR156" s="1277" t="n"/>
      <c r="BS156" s="1277" t="n"/>
      <c r="BT156" s="1297" t="n"/>
      <c r="BU156" s="1277" t="n"/>
      <c r="BV156" s="1277" t="n"/>
      <c r="BW156" s="1277" t="n"/>
      <c r="BX156" s="1277" t="n"/>
      <c r="BY156" s="1297" t="n"/>
      <c r="BZ156" s="1297" t="n"/>
      <c r="CA156" s="1297" t="n"/>
      <c r="CB156" s="1297" t="n"/>
      <c r="CC156" s="1280" t="n"/>
    </row>
    <row r="157" hidden="1" outlineLevel="2" ht="14.4" customFormat="1" customHeight="1" s="1275">
      <c r="A157" s="1295" t="inlineStr">
        <is>
          <t>EMEA Revenue, mm</t>
        </is>
      </c>
      <c r="B157" s="1296" t="n"/>
      <c r="C157" s="1446">
        <f>C164*C$322</f>
        <v/>
      </c>
      <c r="D157" s="1446">
        <f>D164*D$322</f>
        <v/>
      </c>
      <c r="E157" s="1446">
        <f>E164*E$322</f>
        <v/>
      </c>
      <c r="F157" s="1446">
        <f>F164*F$322</f>
        <v/>
      </c>
      <c r="G157" s="1446">
        <f>G164*G$322</f>
        <v/>
      </c>
      <c r="H157" s="1280">
        <f>H164*H$322</f>
        <v/>
      </c>
      <c r="I157" s="1280">
        <f>I164*I$322</f>
        <v/>
      </c>
      <c r="J157" s="1280">
        <f>J164*J$322</f>
        <v/>
      </c>
      <c r="K157" s="1280">
        <f>K164*K$322</f>
        <v/>
      </c>
      <c r="L157" s="1446">
        <f>SUM(H157,I157,J157,K157)</f>
        <v/>
      </c>
      <c r="M157" s="1280">
        <f>M164*M$322</f>
        <v/>
      </c>
      <c r="N157" s="1280">
        <f>N164*N$322</f>
        <v/>
      </c>
      <c r="O157" s="1280">
        <f>O164*O$322</f>
        <v/>
      </c>
      <c r="P157" s="1280">
        <f>P164*P$322</f>
        <v/>
      </c>
      <c r="Q157" s="1446">
        <f>SUM(M157,N157,O157,P157)</f>
        <v/>
      </c>
      <c r="R157" s="1280">
        <f>R164*R$322</f>
        <v/>
      </c>
      <c r="S157" s="1280">
        <f>S164*S$322</f>
        <v/>
      </c>
      <c r="T157" s="1280">
        <f>T164*T$322</f>
        <v/>
      </c>
      <c r="U157" s="1280">
        <f>U164*U$322</f>
        <v/>
      </c>
      <c r="V157" s="1446">
        <f>SUM(R157,S157,T157,U157)</f>
        <v/>
      </c>
      <c r="W157" s="1280">
        <f>W164*W$322</f>
        <v/>
      </c>
      <c r="X157" s="1280">
        <f>X164*X$322</f>
        <v/>
      </c>
      <c r="Y157" s="1280">
        <f>Y164*Y$322</f>
        <v/>
      </c>
      <c r="Z157" s="1280">
        <f>Z164*Z$322</f>
        <v/>
      </c>
      <c r="AA157" s="1446">
        <f>SUM(W157,X157,Y157,Z157)</f>
        <v/>
      </c>
      <c r="AB157" s="1280">
        <f>AB164*AB$322</f>
        <v/>
      </c>
      <c r="AC157" s="1280">
        <f>AC164*AC$322</f>
        <v/>
      </c>
      <c r="AD157" s="1280">
        <f>AD164*AD$322</f>
        <v/>
      </c>
      <c r="AE157" s="1280">
        <f>AE164*AE$322</f>
        <v/>
      </c>
      <c r="AF157" s="1446">
        <f>SUM(AB157,AC157,AD157,AE157)</f>
        <v/>
      </c>
      <c r="AG157" s="1280">
        <f>AG164*AG$322</f>
        <v/>
      </c>
      <c r="AH157" s="1280">
        <f>AH164*AH$322</f>
        <v/>
      </c>
      <c r="AI157" s="1280">
        <f>AI164*AI$322</f>
        <v/>
      </c>
      <c r="AJ157" s="1280">
        <f>AJ164*AJ$322</f>
        <v/>
      </c>
      <c r="AK157" s="1446">
        <f>SUM(AG157,AH157,AI157,AJ157)</f>
        <v/>
      </c>
      <c r="AL157" s="1280">
        <f>AL164*AL$322</f>
        <v/>
      </c>
      <c r="AM157" s="1280">
        <f>AM164*AM$322</f>
        <v/>
      </c>
      <c r="AN157" s="1280">
        <f>AN164*AN$322</f>
        <v/>
      </c>
      <c r="AO157" s="1280">
        <f>AO164*AO$322</f>
        <v/>
      </c>
      <c r="AP157" s="1446">
        <f>SUM(AL157,AM157,AN157,AO157)</f>
        <v/>
      </c>
      <c r="AQ157" s="1280">
        <f>AQ164*AQ$322</f>
        <v/>
      </c>
      <c r="AR157" s="1280">
        <f>AR164*AR$322</f>
        <v/>
      </c>
      <c r="AS157" s="1280">
        <f>AS164*AS$322</f>
        <v/>
      </c>
      <c r="AT157" s="1280">
        <f>AT164*AT$322</f>
        <v/>
      </c>
      <c r="AU157" s="1446">
        <f>SUM(AQ157,AR157,AS157,AT157)</f>
        <v/>
      </c>
      <c r="AV157" s="1280">
        <f>AV164*AV$322</f>
        <v/>
      </c>
      <c r="AW157" s="1280">
        <f>AW164*AW159</f>
        <v/>
      </c>
      <c r="AX157" s="1280">
        <f>AX164*AX$159</f>
        <v/>
      </c>
      <c r="AY157" s="1280">
        <f>AY164*AY$322</f>
        <v/>
      </c>
      <c r="AZ157" s="1446">
        <f>SUM(AV157,AW157,AX157,AY157)</f>
        <v/>
      </c>
      <c r="BA157" s="1280">
        <f>BA164*BA$322</f>
        <v/>
      </c>
      <c r="BB157" s="1280">
        <f>BB164*BB159</f>
        <v/>
      </c>
      <c r="BC157" s="1280">
        <f>BC164*BC$159</f>
        <v/>
      </c>
      <c r="BD157" s="1280">
        <f>BD164*BD$322</f>
        <v/>
      </c>
      <c r="BE157" s="1446">
        <f>SUM(BA157,BB157,BC157,BD157)</f>
        <v/>
      </c>
      <c r="BF157" s="1280">
        <f>BF164*BF$322</f>
        <v/>
      </c>
      <c r="BG157" s="1280">
        <f>BG164*BG159</f>
        <v/>
      </c>
      <c r="BH157" s="1280">
        <f>BH164*BH$159</f>
        <v/>
      </c>
      <c r="BI157" s="1280">
        <f>BI164*BI$322</f>
        <v/>
      </c>
      <c r="BJ157" s="1446">
        <f>SUM(BF157,BG157,BH157,BI157)</f>
        <v/>
      </c>
      <c r="BK157" s="1280">
        <f>BK164*BK$322</f>
        <v/>
      </c>
      <c r="BL157" s="1280">
        <f>BL164*BL159</f>
        <v/>
      </c>
      <c r="BM157" s="1280">
        <f>BM164*BM$159</f>
        <v/>
      </c>
      <c r="BN157" s="1280">
        <f>BN164*BN$322</f>
        <v/>
      </c>
      <c r="BO157" s="1300">
        <f>SUM(BK157,BL157,BM157,BN157)</f>
        <v/>
      </c>
      <c r="BP157" s="1277" t="n"/>
      <c r="BQ157" s="1277" t="n"/>
      <c r="BR157" s="1277" t="n"/>
      <c r="BS157" s="1277" t="n"/>
      <c r="BT157" s="1297" t="n"/>
      <c r="BU157" s="1277" t="n"/>
      <c r="BV157" s="1277" t="n"/>
      <c r="BW157" s="1277" t="n"/>
      <c r="BX157" s="1277" t="n"/>
      <c r="BY157" s="1297" t="n"/>
      <c r="BZ157" s="1297" t="n"/>
      <c r="CA157" s="1297" t="n"/>
      <c r="CB157" s="1297" t="n"/>
      <c r="CC157" s="1280" t="n"/>
    </row>
    <row r="158" hidden="1" outlineLevel="2" ht="14.4" customFormat="1" customHeight="1" s="1275">
      <c r="A158" s="1460" t="inlineStr">
        <is>
          <t>Japan Revenue, mm</t>
        </is>
      </c>
      <c r="B158" s="1363" t="n"/>
      <c r="C158" s="1463">
        <f>C165*C$322</f>
        <v/>
      </c>
      <c r="D158" s="1463">
        <f>D165*D$322</f>
        <v/>
      </c>
      <c r="E158" s="1463">
        <f>E165*E$322</f>
        <v/>
      </c>
      <c r="F158" s="1463">
        <f>F165*F$322</f>
        <v/>
      </c>
      <c r="G158" s="1463">
        <f>G165*G$322</f>
        <v/>
      </c>
      <c r="H158" s="1464">
        <f>H165*H$322</f>
        <v/>
      </c>
      <c r="I158" s="1464">
        <f>I165*I$322</f>
        <v/>
      </c>
      <c r="J158" s="1464">
        <f>J165*J$322</f>
        <v/>
      </c>
      <c r="K158" s="1464">
        <f>K165*K$322</f>
        <v/>
      </c>
      <c r="L158" s="1463">
        <f>SUM(H158,I158,J158,K158)</f>
        <v/>
      </c>
      <c r="M158" s="1464">
        <f>M165*M$322</f>
        <v/>
      </c>
      <c r="N158" s="1464">
        <f>N165*N$322</f>
        <v/>
      </c>
      <c r="O158" s="1464">
        <f>O165*O$322</f>
        <v/>
      </c>
      <c r="P158" s="1464">
        <f>P165*P$322</f>
        <v/>
      </c>
      <c r="Q158" s="1463">
        <f>SUM(M158,N158,O158,P158)</f>
        <v/>
      </c>
      <c r="R158" s="1464">
        <f>R165*R$322</f>
        <v/>
      </c>
      <c r="S158" s="1464">
        <f>S165*S$322</f>
        <v/>
      </c>
      <c r="T158" s="1464">
        <f>T165*T$322</f>
        <v/>
      </c>
      <c r="U158" s="1464">
        <f>U165*U$322</f>
        <v/>
      </c>
      <c r="V158" s="1463">
        <f>SUM(R158,S158,T158,U158)</f>
        <v/>
      </c>
      <c r="W158" s="1464">
        <f>W165*W$322</f>
        <v/>
      </c>
      <c r="X158" s="1464">
        <f>X165*X$322</f>
        <v/>
      </c>
      <c r="Y158" s="1464">
        <f>Y165*Y$322</f>
        <v/>
      </c>
      <c r="Z158" s="1464">
        <f>Z165*Z$322</f>
        <v/>
      </c>
      <c r="AA158" s="1463">
        <f>SUM(W158,X158,Y158,Z158)</f>
        <v/>
      </c>
      <c r="AB158" s="1464">
        <f>AB165*AB$322</f>
        <v/>
      </c>
      <c r="AC158" s="1464">
        <f>AC165*AC$322</f>
        <v/>
      </c>
      <c r="AD158" s="1464">
        <f>AD165*AD$322</f>
        <v/>
      </c>
      <c r="AE158" s="1464">
        <f>AE165*AE$322</f>
        <v/>
      </c>
      <c r="AF158" s="1463">
        <f>SUM(AB158,AC158,AD158,AE158)</f>
        <v/>
      </c>
      <c r="AG158" s="1464">
        <f>AG165*AG$322</f>
        <v/>
      </c>
      <c r="AH158" s="1464">
        <f>AH165*AH$322</f>
        <v/>
      </c>
      <c r="AI158" s="1464">
        <f>AI165*AI$322</f>
        <v/>
      </c>
      <c r="AJ158" s="1464">
        <f>AJ165*AJ$322</f>
        <v/>
      </c>
      <c r="AK158" s="1463">
        <f>SUM(AG158,AH158,AI158,AJ158)</f>
        <v/>
      </c>
      <c r="AL158" s="1464">
        <f>AL165*AL$322</f>
        <v/>
      </c>
      <c r="AM158" s="1464">
        <f>AM165*AM$322</f>
        <v/>
      </c>
      <c r="AN158" s="1464">
        <f>AN165*AN$322</f>
        <v/>
      </c>
      <c r="AO158" s="1464">
        <f>AO165*AO$322</f>
        <v/>
      </c>
      <c r="AP158" s="1463">
        <f>SUM(AL158,AM158,AN158,AO158)</f>
        <v/>
      </c>
      <c r="AQ158" s="1464">
        <f>AQ165*AQ$322</f>
        <v/>
      </c>
      <c r="AR158" s="1464">
        <f>AR165*AR$322</f>
        <v/>
      </c>
      <c r="AS158" s="1464">
        <f>AS165*AS$322</f>
        <v/>
      </c>
      <c r="AT158" s="1464">
        <f>AT165*AT$322</f>
        <v/>
      </c>
      <c r="AU158" s="1463">
        <f>SUM(AQ158,AR158,AS158,AT158)</f>
        <v/>
      </c>
      <c r="AV158" s="1464">
        <f>AV165*AV$322</f>
        <v/>
      </c>
      <c r="AW158" s="1464">
        <f>AW159-AW157-AW156-AW155-AW154</f>
        <v/>
      </c>
      <c r="AX158" s="1464">
        <f>AX165*AX$159</f>
        <v/>
      </c>
      <c r="AY158" s="1464">
        <f>AY165*AY$322</f>
        <v/>
      </c>
      <c r="AZ158" s="1463">
        <f>SUM(AV158,AW158,AX158,AY158)</f>
        <v/>
      </c>
      <c r="BA158" s="1464">
        <f>BA165*BA$322</f>
        <v/>
      </c>
      <c r="BB158" s="1464">
        <f>BB159-BB157-BB156-BB155-BB154</f>
        <v/>
      </c>
      <c r="BC158" s="1464">
        <f>BC165*BC$159</f>
        <v/>
      </c>
      <c r="BD158" s="1464">
        <f>BD165*BD$322</f>
        <v/>
      </c>
      <c r="BE158" s="1463">
        <f>SUM(BA158,BB158,BC158,BD158)</f>
        <v/>
      </c>
      <c r="BF158" s="1464">
        <f>BF165*BF$322</f>
        <v/>
      </c>
      <c r="BG158" s="1464">
        <f>BG159-BG157-BG156-BG155-BG154</f>
        <v/>
      </c>
      <c r="BH158" s="1464">
        <f>BH165*BH$159</f>
        <v/>
      </c>
      <c r="BI158" s="1464">
        <f>BI165*BI$322</f>
        <v/>
      </c>
      <c r="BJ158" s="1463">
        <f>SUM(BF158,BG158,BH158,BI158)</f>
        <v/>
      </c>
      <c r="BK158" s="1464">
        <f>BK165*BK$322</f>
        <v/>
      </c>
      <c r="BL158" s="1464">
        <f>BL159-BL157-BL156-BL155-BL154</f>
        <v/>
      </c>
      <c r="BM158" s="1464">
        <f>BM165*BM$159</f>
        <v/>
      </c>
      <c r="BN158" s="1464">
        <f>BN165*BN$322</f>
        <v/>
      </c>
      <c r="BO158" s="1465">
        <f>SUM(BK158,BL158,BM158,BN158)</f>
        <v/>
      </c>
      <c r="BP158" s="1365" t="n"/>
      <c r="BQ158" s="1365" t="n"/>
      <c r="BR158" s="1365" t="n"/>
      <c r="BS158" s="1365" t="n"/>
      <c r="BT158" s="1364" t="n"/>
      <c r="BU158" s="1365" t="n"/>
      <c r="BV158" s="1365" t="n"/>
      <c r="BW158" s="1365" t="n"/>
      <c r="BX158" s="1365" t="n"/>
      <c r="BY158" s="1364" t="n"/>
      <c r="BZ158" s="1364" t="n"/>
      <c r="CA158" s="1364" t="n"/>
      <c r="CB158" s="1364" t="n"/>
      <c r="CC158" s="1280" t="n"/>
    </row>
    <row r="159" hidden="1" outlineLevel="2" ht="14.4" customFormat="1" customHeight="1" s="1323">
      <c r="A159" s="1324" t="inlineStr">
        <is>
          <t>Total Revenue, mm</t>
        </is>
      </c>
      <c r="B159" s="1325" t="n"/>
      <c r="C159" s="1329">
        <f>SUM(C154:C158)</f>
        <v/>
      </c>
      <c r="D159" s="1329">
        <f>SUM(D154:D158)</f>
        <v/>
      </c>
      <c r="E159" s="1329">
        <f>SUM(E154:E158)</f>
        <v/>
      </c>
      <c r="F159" s="1329">
        <f>SUM(F154:F158)</f>
        <v/>
      </c>
      <c r="G159" s="1329">
        <f>SUM(G154:G158)</f>
        <v/>
      </c>
      <c r="H159" s="1328">
        <f>SUM(H154:H158)</f>
        <v/>
      </c>
      <c r="I159" s="1328">
        <f>SUM(I154:I158)</f>
        <v/>
      </c>
      <c r="J159" s="1328">
        <f>SUM(J154:J158)</f>
        <v/>
      </c>
      <c r="K159" s="1328">
        <f>SUM(K154:K158)</f>
        <v/>
      </c>
      <c r="L159" s="1329">
        <f>SUM(L154:L158)</f>
        <v/>
      </c>
      <c r="M159" s="1328">
        <f>SUM(M154:M158)</f>
        <v/>
      </c>
      <c r="N159" s="1328">
        <f>SUM(N154:N158)</f>
        <v/>
      </c>
      <c r="O159" s="1328">
        <f>SUM(O154:O158)</f>
        <v/>
      </c>
      <c r="P159" s="1328">
        <f>SUM(P154:P158)</f>
        <v/>
      </c>
      <c r="Q159" s="1329">
        <f>SUM(Q154:Q158)</f>
        <v/>
      </c>
      <c r="R159" s="1328">
        <f>SUM(R154:R158)</f>
        <v/>
      </c>
      <c r="S159" s="1328">
        <f>SUM(S154:S158)</f>
        <v/>
      </c>
      <c r="T159" s="1328">
        <f>SUM(T154:T158)</f>
        <v/>
      </c>
      <c r="U159" s="1328">
        <f>SUM(U154:U158)</f>
        <v/>
      </c>
      <c r="V159" s="1329">
        <f>SUM(V154:V158)</f>
        <v/>
      </c>
      <c r="W159" s="1328">
        <f>SUM(W154:W158)</f>
        <v/>
      </c>
      <c r="X159" s="1328">
        <f>SUM(X154:X158)</f>
        <v/>
      </c>
      <c r="Y159" s="1328">
        <f>SUM(Y154:Y158)</f>
        <v/>
      </c>
      <c r="Z159" s="1328">
        <f>SUM(Z154:Z158)</f>
        <v/>
      </c>
      <c r="AA159" s="1329">
        <f>SUM(AA154:AA158)</f>
        <v/>
      </c>
      <c r="AB159" s="1328">
        <f>SUM(AB154:AB158)</f>
        <v/>
      </c>
      <c r="AC159" s="1328">
        <f>SUM(AC154:AC158)</f>
        <v/>
      </c>
      <c r="AD159" s="1328">
        <f>SUM(AD154:AD158)</f>
        <v/>
      </c>
      <c r="AE159" s="1328">
        <f>SUM(AE154:AE158)</f>
        <v/>
      </c>
      <c r="AF159" s="1329">
        <f>SUM(AF154:AF158)</f>
        <v/>
      </c>
      <c r="AG159" s="1328">
        <f>SUM(AG154:AG158)</f>
        <v/>
      </c>
      <c r="AH159" s="1328">
        <f>SUM(AH154:AH158)</f>
        <v/>
      </c>
      <c r="AI159" s="1328">
        <f>SUM(AI154:AI158)</f>
        <v/>
      </c>
      <c r="AJ159" s="1328">
        <f>SUM(AJ154:AJ158)</f>
        <v/>
      </c>
      <c r="AK159" s="1329">
        <f>SUM(AK154:AK158)</f>
        <v/>
      </c>
      <c r="AL159" s="1328">
        <f>SUM(AL154:AL158)</f>
        <v/>
      </c>
      <c r="AM159" s="1328">
        <f>SUM(AM154:AM158)</f>
        <v/>
      </c>
      <c r="AN159" s="1328">
        <f>SUM(AN154:AN158)</f>
        <v/>
      </c>
      <c r="AO159" s="1328">
        <f>SUM(AO154:AO158)</f>
        <v/>
      </c>
      <c r="AP159" s="1329">
        <f>SUM(AP154:AP158)</f>
        <v/>
      </c>
      <c r="AQ159" s="1328">
        <f>SUM(AQ154:AQ158)</f>
        <v/>
      </c>
      <c r="AR159" s="1328">
        <f>SUM(AR154:AR158)</f>
        <v/>
      </c>
      <c r="AS159" s="1328">
        <f>SUM(AS154:AS158)</f>
        <v/>
      </c>
      <c r="AT159" s="1328">
        <f>SUM(AT154:AT158)</f>
        <v/>
      </c>
      <c r="AU159" s="1329">
        <f>SUM(AU154:AU158)</f>
        <v/>
      </c>
      <c r="AV159" s="1328">
        <f>SUM(AV154:AV158)</f>
        <v/>
      </c>
      <c r="AW159" s="1328">
        <f>AW322</f>
        <v/>
      </c>
      <c r="AX159" s="1328">
        <f>AX322</f>
        <v/>
      </c>
      <c r="AY159" s="1328">
        <f>SUM(AY154:AY158)</f>
        <v/>
      </c>
      <c r="AZ159" s="1329">
        <f>SUM(AZ154:AZ158)</f>
        <v/>
      </c>
      <c r="BA159" s="1328">
        <f>SUM(BA154:BA158)</f>
        <v/>
      </c>
      <c r="BB159" s="1328">
        <f>BB322</f>
        <v/>
      </c>
      <c r="BC159" s="1328">
        <f>BC322</f>
        <v/>
      </c>
      <c r="BD159" s="1328">
        <f>SUM(BD154:BD158)</f>
        <v/>
      </c>
      <c r="BE159" s="1329">
        <f>SUM(BE154:BE158)</f>
        <v/>
      </c>
      <c r="BF159" s="1328">
        <f>SUM(BF154:BF158)</f>
        <v/>
      </c>
      <c r="BG159" s="1328">
        <f>BG322</f>
        <v/>
      </c>
      <c r="BH159" s="1328">
        <f>BH322</f>
        <v/>
      </c>
      <c r="BI159" s="1328">
        <f>SUM(BI154:BI158)</f>
        <v/>
      </c>
      <c r="BJ159" s="1329">
        <f>SUM(BJ154:BJ158)</f>
        <v/>
      </c>
      <c r="BK159" s="1328">
        <f>SUM(BK154:BK158)</f>
        <v/>
      </c>
      <c r="BL159" s="1328">
        <f>BL322</f>
        <v/>
      </c>
      <c r="BM159" s="1328">
        <f>BM322</f>
        <v/>
      </c>
      <c r="BN159" s="1328">
        <f>SUM(BN154:BN158)</f>
        <v/>
      </c>
      <c r="BO159" s="1330">
        <f>SUM(BO154:BO158)</f>
        <v/>
      </c>
      <c r="BP159" s="1327" t="n"/>
      <c r="BQ159" s="1327" t="n"/>
      <c r="BR159" s="1327" t="n"/>
      <c r="BS159" s="1327" t="n"/>
      <c r="BT159" s="1326" t="n"/>
      <c r="BU159" s="1327" t="n"/>
      <c r="BV159" s="1327" t="n"/>
      <c r="BW159" s="1327" t="n"/>
      <c r="BX159" s="1327" t="n"/>
      <c r="BY159" s="1326" t="n"/>
      <c r="BZ159" s="1326" t="n"/>
      <c r="CA159" s="1326" t="n"/>
      <c r="CB159" s="1326" t="n"/>
      <c r="CC159" s="1331" t="n"/>
    </row>
    <row r="160" hidden="1" outlineLevel="2" ht="14.4" customFormat="1" customHeight="1" s="1323">
      <c r="A160" s="1344" t="n"/>
      <c r="B160" s="1361" t="n"/>
      <c r="C160" s="1345" t="n"/>
      <c r="D160" s="1345" t="n"/>
      <c r="E160" s="1345" t="n"/>
      <c r="F160" s="1345" t="n"/>
      <c r="G160" s="1345" t="n"/>
      <c r="H160" s="1346" t="n"/>
      <c r="I160" s="1346" t="n"/>
      <c r="J160" s="1346" t="n"/>
      <c r="K160" s="1346" t="n"/>
      <c r="L160" s="1345" t="n"/>
      <c r="M160" s="1346" t="n"/>
      <c r="N160" s="1346" t="n"/>
      <c r="O160" s="1346" t="n"/>
      <c r="P160" s="1346" t="n"/>
      <c r="Q160" s="1345" t="n"/>
      <c r="R160" s="1346" t="n"/>
      <c r="S160" s="1346" t="n"/>
      <c r="T160" s="1346" t="n"/>
      <c r="U160" s="1346" t="n"/>
      <c r="V160" s="1345" t="n"/>
      <c r="W160" s="1346" t="n"/>
      <c r="X160" s="1346" t="n"/>
      <c r="Y160" s="1346" t="n"/>
      <c r="Z160" s="1346" t="n"/>
      <c r="AA160" s="1345" t="n"/>
      <c r="AB160" s="1346" t="n"/>
      <c r="AC160" s="1346" t="n"/>
      <c r="AD160" s="1346" t="n"/>
      <c r="AE160" s="1346" t="n"/>
      <c r="AF160" s="1345" t="n"/>
      <c r="AG160" s="1346" t="n"/>
      <c r="AH160" s="1346" t="n"/>
      <c r="AI160" s="1346" t="n"/>
      <c r="AJ160" s="1346" t="n"/>
      <c r="AK160" s="1345" t="n"/>
      <c r="AL160" s="1346" t="n"/>
      <c r="AM160" s="1346" t="n"/>
      <c r="AN160" s="1346" t="n"/>
      <c r="AO160" s="1346" t="n"/>
      <c r="AP160" s="1345" t="n"/>
      <c r="AQ160" s="1346" t="n"/>
      <c r="AR160" s="1346" t="n"/>
      <c r="AS160" s="1346" t="n"/>
      <c r="AT160" s="1346" t="n"/>
      <c r="AU160" s="1345" t="n"/>
      <c r="AV160" s="1346" t="n"/>
      <c r="AW160" s="1346" t="n"/>
      <c r="AX160" s="1346" t="n"/>
      <c r="AY160" s="1346" t="n"/>
      <c r="AZ160" s="1345" t="n"/>
      <c r="BA160" s="1346" t="n"/>
      <c r="BB160" s="1346" t="n"/>
      <c r="BC160" s="1346" t="n"/>
      <c r="BD160" s="1346" t="n"/>
      <c r="BE160" s="1345" t="n"/>
      <c r="BF160" s="1346" t="n"/>
      <c r="BG160" s="1346" t="n"/>
      <c r="BH160" s="1346" t="n"/>
      <c r="BI160" s="1346" t="n"/>
      <c r="BJ160" s="1345" t="n"/>
      <c r="BK160" s="1346" t="n"/>
      <c r="BL160" s="1346" t="n"/>
      <c r="BM160" s="1346" t="n"/>
      <c r="BN160" s="1346" t="n"/>
      <c r="BO160" s="1347" t="n"/>
      <c r="BP160" s="1346" t="n"/>
      <c r="BQ160" s="1346" t="n"/>
      <c r="BR160" s="1346" t="n"/>
      <c r="BS160" s="1346" t="n"/>
      <c r="BT160" s="1345" t="n"/>
      <c r="BU160" s="1346" t="n"/>
      <c r="BV160" s="1346" t="n"/>
      <c r="BW160" s="1346" t="n"/>
      <c r="BX160" s="1346" t="n"/>
      <c r="BY160" s="1345" t="n"/>
      <c r="BZ160" s="1345" t="n"/>
      <c r="CA160" s="1345" t="n"/>
      <c r="CB160" s="1345" t="n"/>
      <c r="CC160" s="1331" t="n"/>
    </row>
    <row r="161" hidden="1" outlineLevel="2" ht="14.4" customFormat="1" customHeight="1" s="1290">
      <c r="A161" s="1401" t="inlineStr">
        <is>
          <t>North America Revenue Contribution, %</t>
        </is>
      </c>
      <c r="B161" s="1368" t="n"/>
      <c r="C161" s="1405" t="n">
        <v>0.6878960039493883</v>
      </c>
      <c r="D161" s="1405" t="n">
        <v>0.677571447640023</v>
      </c>
      <c r="E161" s="1405" t="n">
        <v>0.6975326226172551</v>
      </c>
      <c r="F161" s="1405" t="n">
        <v>0.6839699651698585</v>
      </c>
      <c r="G161" s="1405" t="n">
        <v>0.7051030276839791</v>
      </c>
      <c r="H161" s="1402" t="n">
        <v>0.66</v>
      </c>
      <c r="I161" s="1402" t="n">
        <v>0.67</v>
      </c>
      <c r="J161" s="1402" t="n">
        <v>0.6899999999999999</v>
      </c>
      <c r="K161" s="1402" t="n">
        <v>0.74</v>
      </c>
      <c r="L161" s="1403">
        <f>L154/L$322</f>
        <v/>
      </c>
      <c r="M161" s="1402" t="n">
        <v>0.6899999999999999</v>
      </c>
      <c r="N161" s="1402" t="n">
        <v>0.66</v>
      </c>
      <c r="O161" s="1402" t="n">
        <v>0.6899999999999999</v>
      </c>
      <c r="P161" s="1402" t="n">
        <v>0.6899999999999999</v>
      </c>
      <c r="Q161" s="1403">
        <f>Q154/Q$322</f>
        <v/>
      </c>
      <c r="R161" s="1402" t="n">
        <v>0.61</v>
      </c>
      <c r="S161" s="1402" t="n">
        <v>0.61</v>
      </c>
      <c r="T161" s="1402" t="n">
        <v>0.68</v>
      </c>
      <c r="U161" s="1402" t="n">
        <v>0.6899999999999999</v>
      </c>
      <c r="V161" s="1403">
        <f>V154/V$322</f>
        <v/>
      </c>
      <c r="W161" s="1402" t="n">
        <v>0.63</v>
      </c>
      <c r="X161" s="1402" t="n">
        <v>0.6</v>
      </c>
      <c r="Y161" s="1402" t="n">
        <v>0.64</v>
      </c>
      <c r="Z161" s="1402" t="n">
        <v>0.67</v>
      </c>
      <c r="AA161" s="1403">
        <f>AA154/AA$322</f>
        <v/>
      </c>
      <c r="AB161" s="1402" t="n">
        <v>0.59</v>
      </c>
      <c r="AC161" s="1402" t="n">
        <v>0.53</v>
      </c>
      <c r="AD161" s="1402" t="n">
        <v>0.61</v>
      </c>
      <c r="AE161" s="1402" t="n">
        <v>0.6899999999999999</v>
      </c>
      <c r="AF161" s="1403">
        <f>AF154/AF$322</f>
        <v/>
      </c>
      <c r="AG161" s="1402" t="n">
        <v>0.6</v>
      </c>
      <c r="AH161" s="1402" t="n">
        <v>0.61</v>
      </c>
      <c r="AI161" s="1402" t="n">
        <v>0.6</v>
      </c>
      <c r="AJ161" s="1402" t="n">
        <v>0.59</v>
      </c>
      <c r="AK161" s="1403">
        <f>AK154/AK$322</f>
        <v/>
      </c>
      <c r="AL161" s="1402" t="n">
        <v>0.5600000000000001</v>
      </c>
      <c r="AM161" s="1402" t="n">
        <v>0.58</v>
      </c>
      <c r="AN161" s="1402" t="n">
        <v>0.59</v>
      </c>
      <c r="AO161" s="1402" t="n">
        <v>0.73</v>
      </c>
      <c r="AP161" s="1403">
        <f>AP154/AP$322</f>
        <v/>
      </c>
      <c r="AQ161" s="1402" t="n">
        <v>0.67</v>
      </c>
      <c r="AR161" s="1402" t="n">
        <v>0.64</v>
      </c>
      <c r="AS161" s="1402" t="n">
        <v>0.65</v>
      </c>
      <c r="AT161" s="1402" t="n">
        <v>0.66</v>
      </c>
      <c r="AU161" s="1403">
        <f>AU154/AU$322</f>
        <v/>
      </c>
      <c r="AV161" s="1402" t="n">
        <v>0.64</v>
      </c>
      <c r="AW161" s="1402" t="n">
        <v>0.64</v>
      </c>
      <c r="AX161" s="1402" t="n">
        <v>0.72</v>
      </c>
      <c r="AY161" s="1402" t="n">
        <v>0.6899999999999999</v>
      </c>
      <c r="AZ161" s="1403">
        <f>AZ154/AZ$322</f>
        <v/>
      </c>
      <c r="BA161" s="1402" t="n">
        <v>0.63</v>
      </c>
      <c r="BB161" s="1402" t="n">
        <v>0.66</v>
      </c>
      <c r="BC161" s="1402" t="n">
        <v>0.6899999999999999</v>
      </c>
      <c r="BD161" s="1402" t="n">
        <v>0.72</v>
      </c>
      <c r="BE161" s="1403">
        <f>BE154/BE$322</f>
        <v/>
      </c>
      <c r="BF161" s="1402" t="n">
        <v>0.6899999999999999</v>
      </c>
      <c r="BG161" s="1402" t="n">
        <v>0.65</v>
      </c>
      <c r="BH161" s="1402" t="n">
        <v>0.71</v>
      </c>
      <c r="BI161" s="1402" t="n">
        <v>0.75</v>
      </c>
      <c r="BJ161" s="1403">
        <f>BJ154/BJ$322</f>
        <v/>
      </c>
      <c r="BK161" s="1402" t="n">
        <v>0.77</v>
      </c>
      <c r="BL161" s="1402" t="n">
        <v>0.75</v>
      </c>
      <c r="BM161" s="1402" t="n">
        <v>0.76</v>
      </c>
      <c r="BN161" s="1402" t="n">
        <v>0.74</v>
      </c>
      <c r="BO161" s="1404">
        <f>BO154/BO$322</f>
        <v/>
      </c>
      <c r="BP161" s="1370" t="n"/>
      <c r="BQ161" s="1370" t="n"/>
      <c r="BR161" s="1370" t="n"/>
      <c r="BS161" s="1370" t="n"/>
      <c r="BT161" s="1369" t="n"/>
      <c r="BU161" s="1370" t="n"/>
      <c r="BV161" s="1370" t="n"/>
      <c r="BW161" s="1370" t="n"/>
      <c r="BX161" s="1370" t="n"/>
      <c r="BY161" s="1369" t="n"/>
      <c r="BZ161" s="1369" t="n"/>
      <c r="CA161" s="1369" t="n"/>
      <c r="CB161" s="1369" t="n"/>
      <c r="CC161" s="1294" t="n"/>
    </row>
    <row r="162" hidden="1" outlineLevel="2" ht="14.4" customFormat="1" customHeight="1" s="1290">
      <c r="A162" s="1401" t="inlineStr">
        <is>
          <t>Asia Pacific-ex China &amp; Japan Revenue Contribution, %</t>
        </is>
      </c>
      <c r="B162" s="1368" t="n"/>
      <c r="C162" s="1405" t="n">
        <v>0.1438823704445091</v>
      </c>
      <c r="D162" s="1405" t="n">
        <v>0.14474936716102</v>
      </c>
      <c r="E162" s="1405" t="n">
        <v>0.1375481934340324</v>
      </c>
      <c r="F162" s="1405" t="n">
        <v>0.1451235039319579</v>
      </c>
      <c r="G162" s="1405" t="n">
        <v>0.135227645789784</v>
      </c>
      <c r="H162" s="1402" t="n">
        <v>0.16</v>
      </c>
      <c r="I162" s="1402" t="n">
        <v>0.14</v>
      </c>
      <c r="J162" s="1402" t="n">
        <v>0.13</v>
      </c>
      <c r="K162" s="1402" t="n">
        <v>0.09</v>
      </c>
      <c r="L162" s="1403">
        <f>L155/L$322</f>
        <v/>
      </c>
      <c r="M162" s="1402" t="n">
        <v>0.12</v>
      </c>
      <c r="N162" s="1402" t="n">
        <v>0.13</v>
      </c>
      <c r="O162" s="1402" t="n">
        <v>0.12</v>
      </c>
      <c r="P162" s="1402" t="n">
        <v>0.1</v>
      </c>
      <c r="Q162" s="1403">
        <f>Q155/Q$322</f>
        <v/>
      </c>
      <c r="R162" s="1402" t="n">
        <v>0.16</v>
      </c>
      <c r="S162" s="1402" t="n">
        <v>0.18</v>
      </c>
      <c r="T162" s="1402" t="n">
        <v>0.15</v>
      </c>
      <c r="U162" s="1402" t="n">
        <v>0.11</v>
      </c>
      <c r="V162" s="1403">
        <f>V155/V$322</f>
        <v/>
      </c>
      <c r="W162" s="1402" t="n">
        <v>0.13</v>
      </c>
      <c r="X162" s="1402" t="n">
        <v>0.14</v>
      </c>
      <c r="Y162" s="1402" t="n">
        <v>0.1</v>
      </c>
      <c r="Z162" s="1402" t="n">
        <v>0.07000000000000001</v>
      </c>
      <c r="AA162" s="1403">
        <f>AA155/AA$322</f>
        <v/>
      </c>
      <c r="AB162" s="1402" t="n">
        <v>0.08</v>
      </c>
      <c r="AC162" s="1402" t="n">
        <v>0.1</v>
      </c>
      <c r="AD162" s="1402" t="n">
        <v>0.1</v>
      </c>
      <c r="AE162" s="1402" t="n">
        <v>0.07000000000000001</v>
      </c>
      <c r="AF162" s="1403">
        <f>AF155/AF$322</f>
        <v/>
      </c>
      <c r="AG162" s="1402" t="n">
        <v>0.09</v>
      </c>
      <c r="AH162" s="1402" t="n">
        <v>0.1</v>
      </c>
      <c r="AI162" s="1402" t="n">
        <v>0.09</v>
      </c>
      <c r="AJ162" s="1402" t="n">
        <v>0.08</v>
      </c>
      <c r="AK162" s="1403">
        <f>AK155/AK$322</f>
        <v/>
      </c>
      <c r="AL162" s="1402" t="n">
        <v>0.11</v>
      </c>
      <c r="AM162" s="1402" t="n">
        <v>0.1</v>
      </c>
      <c r="AN162" s="1402" t="n">
        <v>0.1</v>
      </c>
      <c r="AO162" s="1402" t="n">
        <v>0.12</v>
      </c>
      <c r="AP162" s="1403">
        <f>AP155/AP$322</f>
        <v/>
      </c>
      <c r="AQ162" s="1402" t="n">
        <v>0.17</v>
      </c>
      <c r="AR162" s="1402" t="n">
        <v>0.15</v>
      </c>
      <c r="AS162" s="1402" t="n">
        <v>0.13</v>
      </c>
      <c r="AT162" s="1402" t="n">
        <v>0.12</v>
      </c>
      <c r="AU162" s="1403">
        <f>AU155/AU$322</f>
        <v/>
      </c>
      <c r="AV162" s="1402" t="n">
        <v>0.15</v>
      </c>
      <c r="AW162" s="1402" t="n">
        <v>0.12</v>
      </c>
      <c r="AX162" s="1402" t="n">
        <v>0.1</v>
      </c>
      <c r="AY162" s="1402" t="n">
        <v>0.07000000000000001</v>
      </c>
      <c r="AZ162" s="1403">
        <f>AZ155/AZ$322</f>
        <v/>
      </c>
      <c r="BA162" s="1402" t="n">
        <v>0.08</v>
      </c>
      <c r="BB162" s="1402" t="n">
        <v>0.08</v>
      </c>
      <c r="BC162" s="1402" t="n">
        <v>0.08</v>
      </c>
      <c r="BD162" s="1402" t="n">
        <v>0.08</v>
      </c>
      <c r="BE162" s="1403">
        <f>BE155/BE$322</f>
        <v/>
      </c>
      <c r="BF162" s="1402" t="n">
        <v>0.12</v>
      </c>
      <c r="BG162" s="1402" t="n">
        <v>0.09</v>
      </c>
      <c r="BH162" s="1402" t="n">
        <v>0.1</v>
      </c>
      <c r="BI162" s="1402" t="n">
        <v>0.09</v>
      </c>
      <c r="BJ162" s="1403">
        <f>BJ155/BJ$322</f>
        <v/>
      </c>
      <c r="BK162" s="1402" t="n">
        <v>0.09</v>
      </c>
      <c r="BL162" s="1402" t="n">
        <v>0.09</v>
      </c>
      <c r="BM162" s="1402" t="n">
        <v>0.09</v>
      </c>
      <c r="BN162" s="1402" t="n">
        <v>0.09</v>
      </c>
      <c r="BO162" s="1404">
        <f>BO155/BO$322</f>
        <v/>
      </c>
      <c r="BP162" s="1370" t="n"/>
      <c r="BQ162" s="1370" t="n"/>
      <c r="BR162" s="1370" t="n"/>
      <c r="BS162" s="1370" t="n"/>
      <c r="BT162" s="1369" t="n"/>
      <c r="BU162" s="1370" t="n"/>
      <c r="BV162" s="1370" t="n"/>
      <c r="BW162" s="1370" t="n"/>
      <c r="BX162" s="1370" t="n"/>
      <c r="BY162" s="1369" t="n"/>
      <c r="BZ162" s="1369" t="n"/>
      <c r="CA162" s="1369" t="n"/>
      <c r="CB162" s="1369" t="n"/>
      <c r="CC162" s="1294" t="n"/>
    </row>
    <row r="163" hidden="1" outlineLevel="2" ht="14.4" customFormat="1" customHeight="1" s="1290">
      <c r="A163" s="1401" t="inlineStr">
        <is>
          <t>China Revenue Contribution, %</t>
        </is>
      </c>
      <c r="B163" s="1368" t="n"/>
      <c r="C163" s="1405" t="n">
        <v>0.03</v>
      </c>
      <c r="D163" s="1405" t="n">
        <v>0.02780265434835462</v>
      </c>
      <c r="E163" s="1405" t="n">
        <v>0.03503934850766014</v>
      </c>
      <c r="F163" s="1405" t="n">
        <v>0.04791581564692302</v>
      </c>
      <c r="G163" s="1405" t="n">
        <v>0.06005676488717372</v>
      </c>
      <c r="H163" s="1402" t="n">
        <v>0.08</v>
      </c>
      <c r="I163" s="1402" t="n">
        <v>0.08</v>
      </c>
      <c r="J163" s="1402" t="n">
        <v>0.06</v>
      </c>
      <c r="K163" s="1402" t="n">
        <v>0.06</v>
      </c>
      <c r="L163" s="1403">
        <f>L156/L$322</f>
        <v/>
      </c>
      <c r="M163" s="1402" t="n">
        <v>0.08</v>
      </c>
      <c r="N163" s="1402" t="n">
        <v>0.08</v>
      </c>
      <c r="O163" s="1402" t="n">
        <v>0.06</v>
      </c>
      <c r="P163" s="1402" t="n">
        <v>0.09</v>
      </c>
      <c r="Q163" s="1403">
        <f>Q156/Q$322</f>
        <v/>
      </c>
      <c r="R163" s="1402" t="n">
        <v>0.12</v>
      </c>
      <c r="S163" s="1402" t="n">
        <v>0.1</v>
      </c>
      <c r="T163" s="1402" t="n">
        <v>0.06</v>
      </c>
      <c r="U163" s="1402" t="n">
        <v>0.08</v>
      </c>
      <c r="V163" s="1403">
        <f>V156/V$322</f>
        <v/>
      </c>
      <c r="W163" s="1402" t="n">
        <v>0.11</v>
      </c>
      <c r="X163" s="1402" t="n">
        <v>0.11</v>
      </c>
      <c r="Y163" s="1402" t="n">
        <v>0.11</v>
      </c>
      <c r="Z163" s="1402" t="n">
        <v>0.13</v>
      </c>
      <c r="AA163" s="1403">
        <f>AA156/AA$322</f>
        <v/>
      </c>
      <c r="AB163" s="1402" t="n">
        <v>0.19</v>
      </c>
      <c r="AC163" s="1402" t="n">
        <v>0.23</v>
      </c>
      <c r="AD163" s="1402" t="n">
        <v>0.16</v>
      </c>
      <c r="AE163" s="1402" t="n">
        <v>0.13</v>
      </c>
      <c r="AF163" s="1403">
        <f>AF156/AF$322</f>
        <v/>
      </c>
      <c r="AG163" s="1402" t="n">
        <v>0.18</v>
      </c>
      <c r="AH163" s="1402" t="n">
        <v>0.17</v>
      </c>
      <c r="AI163" s="1402" t="n">
        <v>0.2</v>
      </c>
      <c r="AJ163" s="1402" t="n">
        <v>0.22</v>
      </c>
      <c r="AK163" s="1403">
        <f>AK156/AK$322</f>
        <v/>
      </c>
      <c r="AL163" s="1402" t="n">
        <v>0.22</v>
      </c>
      <c r="AM163" s="1402" t="n">
        <v>0.21</v>
      </c>
      <c r="AN163" s="1402" t="n">
        <v>0.22</v>
      </c>
      <c r="AO163" s="1402" t="n">
        <v>0.06</v>
      </c>
      <c r="AP163" s="1403">
        <f>AP156/AP$322</f>
        <v/>
      </c>
      <c r="AQ163" s="1402" t="n">
        <v>0.06</v>
      </c>
      <c r="AR163" s="1402" t="n">
        <v>0.11</v>
      </c>
      <c r="AS163" s="1402" t="n">
        <v>0.11</v>
      </c>
      <c r="AT163" s="1402" t="n">
        <v>0.12</v>
      </c>
      <c r="AU163" s="1403">
        <f>AU156/AU$322</f>
        <v/>
      </c>
      <c r="AV163" s="1402" t="n">
        <v>0.11</v>
      </c>
      <c r="AW163" s="1402" t="n">
        <v>0.13</v>
      </c>
      <c r="AX163" s="1402" t="n">
        <v>0.08</v>
      </c>
      <c r="AY163" s="1402" t="n">
        <v>0.12</v>
      </c>
      <c r="AZ163" s="1403">
        <f>AZ156/AZ$322</f>
        <v/>
      </c>
      <c r="BA163" s="1402" t="n">
        <v>0.15</v>
      </c>
      <c r="BB163" s="1402" t="n">
        <v>0.12</v>
      </c>
      <c r="BC163" s="1402" t="n">
        <v>0.12</v>
      </c>
      <c r="BD163" s="1402" t="n">
        <v>0.11</v>
      </c>
      <c r="BE163" s="1403">
        <f>BE156/BE$322</f>
        <v/>
      </c>
      <c r="BF163" s="1402" t="n">
        <v>0.09</v>
      </c>
      <c r="BG163" s="1402" t="n">
        <v>0.16</v>
      </c>
      <c r="BH163" s="1402" t="n">
        <v>0.11</v>
      </c>
      <c r="BI163" s="1402" t="n">
        <v>0.09</v>
      </c>
      <c r="BJ163" s="1403">
        <f>BJ156/BJ$322</f>
        <v/>
      </c>
      <c r="BK163" s="1402" t="n">
        <v>0.07000000000000001</v>
      </c>
      <c r="BL163" s="1402" t="n">
        <v>0.09</v>
      </c>
      <c r="BM163" s="1402" t="n">
        <v>0.08</v>
      </c>
      <c r="BN163" s="1402" t="n">
        <v>0.09</v>
      </c>
      <c r="BO163" s="1404">
        <f>BO156/BO$322</f>
        <v/>
      </c>
      <c r="BP163" s="1370" t="n"/>
      <c r="BQ163" s="1370" t="n"/>
      <c r="BR163" s="1370" t="n"/>
      <c r="BS163" s="1370" t="n"/>
      <c r="BT163" s="1369" t="n"/>
      <c r="BU163" s="1370" t="n"/>
      <c r="BV163" s="1370" t="n"/>
      <c r="BW163" s="1370" t="n"/>
      <c r="BX163" s="1370" t="n"/>
      <c r="BY163" s="1369" t="n"/>
      <c r="BZ163" s="1369" t="n"/>
      <c r="CA163" s="1369" t="n"/>
      <c r="CB163" s="1369" t="n"/>
      <c r="CC163" s="1294" t="n"/>
    </row>
    <row r="164" hidden="1" outlineLevel="2" ht="14.4" customFormat="1" customHeight="1" s="1290">
      <c r="A164" s="1401" t="inlineStr">
        <is>
          <t>EMEA Revenue Contribution, %</t>
        </is>
      </c>
      <c r="B164" s="1368" t="n"/>
      <c r="C164" s="1405" t="n">
        <v>0.1082216256061026</v>
      </c>
      <c r="D164" s="1405" t="n">
        <v>0.10737468358051</v>
      </c>
      <c r="E164" s="1405" t="n">
        <v>0.08987983544105217</v>
      </c>
      <c r="F164" s="1405" t="n">
        <v>0.09019840353629538</v>
      </c>
      <c r="G164" s="1405" t="n">
        <v>0.06961256163906308</v>
      </c>
      <c r="H164" s="1402" t="n">
        <v>0.06</v>
      </c>
      <c r="I164" s="1402" t="n">
        <v>0.06</v>
      </c>
      <c r="J164" s="1402" t="n">
        <v>0.06</v>
      </c>
      <c r="K164" s="1402" t="n">
        <v>0.06</v>
      </c>
      <c r="L164" s="1403">
        <f>L157/L$322</f>
        <v/>
      </c>
      <c r="M164" s="1402" t="n">
        <v>0.06</v>
      </c>
      <c r="N164" s="1402" t="n">
        <v>0.07000000000000001</v>
      </c>
      <c r="O164" s="1402" t="n">
        <v>0.07000000000000001</v>
      </c>
      <c r="P164" s="1402" t="n">
        <v>0.06</v>
      </c>
      <c r="Q164" s="1403">
        <f>Q157/Q$322</f>
        <v/>
      </c>
      <c r="R164" s="1402" t="n">
        <v>0.06</v>
      </c>
      <c r="S164" s="1402" t="n">
        <v>0.06</v>
      </c>
      <c r="T164" s="1402" t="n">
        <v>0.06</v>
      </c>
      <c r="U164" s="1402" t="n">
        <v>0.06</v>
      </c>
      <c r="V164" s="1403">
        <f>V157/V$322</f>
        <v/>
      </c>
      <c r="W164" s="1402" t="n">
        <v>0.06</v>
      </c>
      <c r="X164" s="1402" t="n">
        <v>0.07000000000000001</v>
      </c>
      <c r="Y164" s="1402" t="n">
        <v>0.08</v>
      </c>
      <c r="Z164" s="1402" t="n">
        <v>0.07000000000000001</v>
      </c>
      <c r="AA164" s="1403">
        <f>AA157/AA$322</f>
        <v/>
      </c>
      <c r="AB164" s="1402" t="n">
        <v>0.07000000000000001</v>
      </c>
      <c r="AC164" s="1402" t="n">
        <v>0.07000000000000001</v>
      </c>
      <c r="AD164" s="1402" t="n">
        <v>0.07000000000000001</v>
      </c>
      <c r="AE164" s="1402" t="n">
        <v>0.06</v>
      </c>
      <c r="AF164" s="1403">
        <f>AF157/AF$322</f>
        <v/>
      </c>
      <c r="AG164" s="1402" t="n">
        <v>0.07000000000000001</v>
      </c>
      <c r="AH164" s="1402" t="n">
        <v>0.06</v>
      </c>
      <c r="AI164" s="1402" t="n">
        <v>0.06</v>
      </c>
      <c r="AJ164" s="1402" t="n">
        <v>0.06</v>
      </c>
      <c r="AK164" s="1403">
        <f>AK157/AK$322</f>
        <v/>
      </c>
      <c r="AL164" s="1402" t="n">
        <v>0.06</v>
      </c>
      <c r="AM164" s="1402" t="n">
        <v>0.06</v>
      </c>
      <c r="AN164" s="1402" t="n">
        <v>0.05</v>
      </c>
      <c r="AO164" s="1402" t="n">
        <v>0.05</v>
      </c>
      <c r="AP164" s="1403">
        <f>AP157/AP$322</f>
        <v/>
      </c>
      <c r="AQ164" s="1402" t="n">
        <v>0.06</v>
      </c>
      <c r="AR164" s="1402" t="n">
        <v>0.06</v>
      </c>
      <c r="AS164" s="1402" t="n">
        <v>0.06</v>
      </c>
      <c r="AT164" s="1402" t="n">
        <v>0.05</v>
      </c>
      <c r="AU164" s="1403">
        <f>AU157/AU$322</f>
        <v/>
      </c>
      <c r="AV164" s="1402" t="n">
        <v>0.05</v>
      </c>
      <c r="AW164" s="1402" t="n">
        <v>0.06</v>
      </c>
      <c r="AX164" s="1402" t="n">
        <v>0.05</v>
      </c>
      <c r="AY164" s="1402" t="n">
        <v>0.06</v>
      </c>
      <c r="AZ164" s="1403">
        <f>AZ157/AZ$322</f>
        <v/>
      </c>
      <c r="BA164" s="1402" t="n">
        <v>0.07000000000000001</v>
      </c>
      <c r="BB164" s="1402" t="n">
        <v>0.07000000000000001</v>
      </c>
      <c r="BC164" s="1402" t="n">
        <v>0.05</v>
      </c>
      <c r="BD164" s="1402" t="n">
        <v>0.04</v>
      </c>
      <c r="BE164" s="1403">
        <f>BE157/BE$322</f>
        <v/>
      </c>
      <c r="BF164" s="1402" t="n">
        <v>0.04</v>
      </c>
      <c r="BG164" s="1402" t="n">
        <v>0.04</v>
      </c>
      <c r="BH164" s="1402" t="n">
        <v>0.03</v>
      </c>
      <c r="BI164" s="1402" t="n">
        <v>0.03</v>
      </c>
      <c r="BJ164" s="1403">
        <f>BJ157/BJ$322</f>
        <v/>
      </c>
      <c r="BK164" s="1402" t="n">
        <v>0.03</v>
      </c>
      <c r="BL164" s="1402" t="n">
        <v>0.03</v>
      </c>
      <c r="BM164" s="1402" t="n">
        <v>0.03</v>
      </c>
      <c r="BN164" s="1402" t="n">
        <v>0.04</v>
      </c>
      <c r="BO164" s="1404">
        <f>BO157/BO$322</f>
        <v/>
      </c>
      <c r="BP164" s="1370" t="n"/>
      <c r="BQ164" s="1370" t="n"/>
      <c r="BR164" s="1370" t="n"/>
      <c r="BS164" s="1370" t="n"/>
      <c r="BT164" s="1369" t="n"/>
      <c r="BU164" s="1370" t="n"/>
      <c r="BV164" s="1370" t="n"/>
      <c r="BW164" s="1370" t="n"/>
      <c r="BX164" s="1370" t="n"/>
      <c r="BY164" s="1369" t="n"/>
      <c r="BZ164" s="1369" t="n"/>
      <c r="CA164" s="1369" t="n"/>
      <c r="CB164" s="1369" t="n"/>
      <c r="CC164" s="1294" t="n"/>
    </row>
    <row r="165" hidden="1" outlineLevel="2" ht="14.4" customFormat="1" customHeight="1" s="1290">
      <c r="A165" s="1415" t="inlineStr">
        <is>
          <t>Japan Revenue Contribution, %</t>
        </is>
      </c>
      <c r="B165" s="1408" t="n"/>
      <c r="C165" s="1416" t="n">
        <v>0.03</v>
      </c>
      <c r="D165" s="1416" t="n">
        <v>0.04250184727009234</v>
      </c>
      <c r="E165" s="1416" t="n">
        <v>0.03999999999999999</v>
      </c>
      <c r="F165" s="1416" t="n">
        <v>0.03279231171496512</v>
      </c>
      <c r="G165" s="1416" t="n">
        <v>0.03</v>
      </c>
      <c r="H165" s="1413" t="n">
        <v>0.04</v>
      </c>
      <c r="I165" s="1413" t="n">
        <v>0.05</v>
      </c>
      <c r="J165" s="1413" t="n">
        <v>0.06</v>
      </c>
      <c r="K165" s="1413" t="n">
        <v>0.05</v>
      </c>
      <c r="L165" s="1412">
        <f>L158/L$322</f>
        <v/>
      </c>
      <c r="M165" s="1413" t="n">
        <v>0.05</v>
      </c>
      <c r="N165" s="1413" t="n">
        <v>0.06</v>
      </c>
      <c r="O165" s="1413" t="n">
        <v>0.06</v>
      </c>
      <c r="P165" s="1413" t="n">
        <v>0.06</v>
      </c>
      <c r="Q165" s="1412">
        <f>Q158/Q$322</f>
        <v/>
      </c>
      <c r="R165" s="1413" t="n">
        <v>0.05</v>
      </c>
      <c r="S165" s="1413" t="n">
        <v>0.05</v>
      </c>
      <c r="T165" s="1413" t="n">
        <v>0.05</v>
      </c>
      <c r="U165" s="1413" t="n">
        <v>0.06</v>
      </c>
      <c r="V165" s="1412">
        <f>V158/V$322</f>
        <v/>
      </c>
      <c r="W165" s="1413" t="n">
        <v>0.07000000000000001</v>
      </c>
      <c r="X165" s="1413" t="n">
        <v>0.08</v>
      </c>
      <c r="Y165" s="1413" t="n">
        <v>0.07000000000000001</v>
      </c>
      <c r="Z165" s="1413" t="n">
        <v>0.06</v>
      </c>
      <c r="AA165" s="1412">
        <f>AA158/AA$322</f>
        <v/>
      </c>
      <c r="AB165" s="1413" t="n">
        <v>0.07000000000000001</v>
      </c>
      <c r="AC165" s="1413" t="n">
        <v>0.07000000000000001</v>
      </c>
      <c r="AD165" s="1413" t="n">
        <v>0.06</v>
      </c>
      <c r="AE165" s="1413" t="n">
        <v>0.05</v>
      </c>
      <c r="AF165" s="1412">
        <f>AF158/AF$322</f>
        <v/>
      </c>
      <c r="AG165" s="1413" t="n">
        <v>0.06</v>
      </c>
      <c r="AH165" s="1413" t="n">
        <v>0.06</v>
      </c>
      <c r="AI165" s="1413" t="n">
        <v>0.05</v>
      </c>
      <c r="AJ165" s="1413" t="n">
        <v>0.05</v>
      </c>
      <c r="AK165" s="1412">
        <f>AK158/AK$322</f>
        <v/>
      </c>
      <c r="AL165" s="1413" t="n">
        <v>0.05</v>
      </c>
      <c r="AM165" s="1413" t="n">
        <v>0.05</v>
      </c>
      <c r="AN165" s="1413" t="n">
        <v>0.04</v>
      </c>
      <c r="AO165" s="1413" t="n">
        <v>0.04</v>
      </c>
      <c r="AP165" s="1412">
        <f>AP158/AP$322</f>
        <v/>
      </c>
      <c r="AQ165" s="1413" t="n">
        <v>0.04</v>
      </c>
      <c r="AR165" s="1413" t="n">
        <v>0.04</v>
      </c>
      <c r="AS165" s="1413" t="n">
        <v>0.05</v>
      </c>
      <c r="AT165" s="1413" t="n">
        <v>0.05</v>
      </c>
      <c r="AU165" s="1412">
        <f>AU158/AU$322</f>
        <v/>
      </c>
      <c r="AV165" s="1413" t="n">
        <v>0.05</v>
      </c>
      <c r="AW165" s="1413" t="n">
        <v>0.05</v>
      </c>
      <c r="AX165" s="1413" t="n">
        <v>0.05</v>
      </c>
      <c r="AY165" s="1413" t="n">
        <v>0.06</v>
      </c>
      <c r="AZ165" s="1412">
        <f>AZ158/AZ$322</f>
        <v/>
      </c>
      <c r="BA165" s="1413" t="n">
        <v>0.07000000000000001</v>
      </c>
      <c r="BB165" s="1413" t="n">
        <v>0.07000000000000001</v>
      </c>
      <c r="BC165" s="1413" t="n">
        <v>0.06</v>
      </c>
      <c r="BD165" s="1413" t="n">
        <v>0.05</v>
      </c>
      <c r="BE165" s="1412">
        <f>BE158/BE$322</f>
        <v/>
      </c>
      <c r="BF165" s="1413" t="n">
        <v>0.06</v>
      </c>
      <c r="BG165" s="1413" t="n">
        <v>0.06</v>
      </c>
      <c r="BH165" s="1413" t="n">
        <v>0.05</v>
      </c>
      <c r="BI165" s="1413" t="n">
        <v>0.04</v>
      </c>
      <c r="BJ165" s="1412">
        <f>BJ158/BJ$322</f>
        <v/>
      </c>
      <c r="BK165" s="1413" t="n">
        <v>0.04</v>
      </c>
      <c r="BL165" s="1413" t="n">
        <v>0.04</v>
      </c>
      <c r="BM165" s="1413" t="n">
        <v>0.04</v>
      </c>
      <c r="BN165" s="1413" t="n">
        <v>0.04</v>
      </c>
      <c r="BO165" s="1414">
        <f>BO158/BO$322</f>
        <v/>
      </c>
      <c r="BP165" s="1410" t="n"/>
      <c r="BQ165" s="1410" t="n"/>
      <c r="BR165" s="1410" t="n"/>
      <c r="BS165" s="1410" t="n"/>
      <c r="BT165" s="1409" t="n"/>
      <c r="BU165" s="1410" t="n"/>
      <c r="BV165" s="1410" t="n"/>
      <c r="BW165" s="1410" t="n"/>
      <c r="BX165" s="1410" t="n"/>
      <c r="BY165" s="1409" t="n"/>
      <c r="BZ165" s="1409" t="n"/>
      <c r="CA165" s="1409" t="n"/>
      <c r="CB165" s="1409" t="n"/>
      <c r="CC165" s="1294" t="n"/>
    </row>
    <row r="166" hidden="1" outlineLevel="2" ht="14.4" customFormat="1" customHeight="1" s="1350">
      <c r="A166" s="1417" t="inlineStr">
        <is>
          <t>Total Revenue Contribution By Region, %</t>
        </is>
      </c>
      <c r="B166" s="1418" t="n"/>
      <c r="C166" s="1419">
        <f>SUM(C161:C165)</f>
        <v/>
      </c>
      <c r="D166" s="1419">
        <f>SUM(D161:D165)</f>
        <v/>
      </c>
      <c r="E166" s="1419">
        <f>SUM(E161:E165)</f>
        <v/>
      </c>
      <c r="F166" s="1419">
        <f>SUM(F161:F165)</f>
        <v/>
      </c>
      <c r="G166" s="1419">
        <f>SUM(G161:G165)</f>
        <v/>
      </c>
      <c r="H166" s="1420">
        <f>SUM(H161:H165)</f>
        <v/>
      </c>
      <c r="I166" s="1420">
        <f>SUM(I161:I165)</f>
        <v/>
      </c>
      <c r="J166" s="1420">
        <f>SUM(J161:J165)</f>
        <v/>
      </c>
      <c r="K166" s="1420">
        <f>SUM(K161:K165)</f>
        <v/>
      </c>
      <c r="L166" s="1419">
        <f>SUM(L161:L165)</f>
        <v/>
      </c>
      <c r="M166" s="1420">
        <f>SUM(M161:M165)</f>
        <v/>
      </c>
      <c r="N166" s="1420">
        <f>SUM(N161:N165)</f>
        <v/>
      </c>
      <c r="O166" s="1420">
        <f>SUM(O161:O165)</f>
        <v/>
      </c>
      <c r="P166" s="1420">
        <f>SUM(P161:P165)</f>
        <v/>
      </c>
      <c r="Q166" s="1419">
        <f>SUM(Q161:Q165)</f>
        <v/>
      </c>
      <c r="R166" s="1420">
        <f>SUM(R161:R165)</f>
        <v/>
      </c>
      <c r="S166" s="1420">
        <f>SUM(S161:S165)</f>
        <v/>
      </c>
      <c r="T166" s="1420">
        <f>SUM(T161:T165)</f>
        <v/>
      </c>
      <c r="U166" s="1420">
        <f>SUM(U161:U165)</f>
        <v/>
      </c>
      <c r="V166" s="1419">
        <f>SUM(V161:V165)</f>
        <v/>
      </c>
      <c r="W166" s="1420">
        <f>SUM(W161:W165)</f>
        <v/>
      </c>
      <c r="X166" s="1420">
        <f>SUM(X161:X165)</f>
        <v/>
      </c>
      <c r="Y166" s="1420">
        <f>SUM(Y161:Y165)</f>
        <v/>
      </c>
      <c r="Z166" s="1420">
        <f>SUM(Z161:Z165)</f>
        <v/>
      </c>
      <c r="AA166" s="1419">
        <f>SUM(AA161:AA165)</f>
        <v/>
      </c>
      <c r="AB166" s="1420">
        <f>SUM(AB161:AB165)</f>
        <v/>
      </c>
      <c r="AC166" s="1420">
        <f>SUM(AC161:AC165)</f>
        <v/>
      </c>
      <c r="AD166" s="1420">
        <f>SUM(AD161:AD165)</f>
        <v/>
      </c>
      <c r="AE166" s="1420">
        <f>SUM(AE161:AE165)</f>
        <v/>
      </c>
      <c r="AF166" s="1419">
        <f>SUM(AF161:AF165)</f>
        <v/>
      </c>
      <c r="AG166" s="1420">
        <f>SUM(AG161:AG165)</f>
        <v/>
      </c>
      <c r="AH166" s="1420">
        <f>SUM(AH161:AH165)</f>
        <v/>
      </c>
      <c r="AI166" s="1420">
        <f>SUM(AI161:AI165)</f>
        <v/>
      </c>
      <c r="AJ166" s="1420">
        <f>SUM(AJ161:AJ165)</f>
        <v/>
      </c>
      <c r="AK166" s="1419">
        <f>SUM(AK161:AK165)</f>
        <v/>
      </c>
      <c r="AL166" s="1420">
        <f>SUM(AL161:AL165)</f>
        <v/>
      </c>
      <c r="AM166" s="1420">
        <f>SUM(AM161:AM165)</f>
        <v/>
      </c>
      <c r="AN166" s="1420">
        <f>SUM(AN161:AN165)</f>
        <v/>
      </c>
      <c r="AO166" s="1420">
        <f>SUM(AO161:AO165)</f>
        <v/>
      </c>
      <c r="AP166" s="1419">
        <f>SUM(AP161:AP165)</f>
        <v/>
      </c>
      <c r="AQ166" s="1420">
        <f>SUM(AQ161:AQ165)</f>
        <v/>
      </c>
      <c r="AR166" s="1420">
        <f>SUM(AR161:AR165)</f>
        <v/>
      </c>
      <c r="AS166" s="1420">
        <f>SUM(AS161:AS165)</f>
        <v/>
      </c>
      <c r="AT166" s="1420">
        <f>SUM(AT161:AT165)</f>
        <v/>
      </c>
      <c r="AU166" s="1419">
        <f>SUM(AU161:AU165)</f>
        <v/>
      </c>
      <c r="AV166" s="1420">
        <f>SUM(AV161:AV165)</f>
        <v/>
      </c>
      <c r="AW166" s="1420">
        <f>SUM(AW161:AW165)</f>
        <v/>
      </c>
      <c r="AX166" s="1420">
        <f>SUM(AX161:AX165)</f>
        <v/>
      </c>
      <c r="AY166" s="1420">
        <f>SUM(AY161:AY165)</f>
        <v/>
      </c>
      <c r="AZ166" s="1419">
        <f>SUM(AZ161:AZ165)</f>
        <v/>
      </c>
      <c r="BA166" s="1420">
        <f>SUM(BA161:BA165)</f>
        <v/>
      </c>
      <c r="BB166" s="1420">
        <f>SUM(BB161:BB165)</f>
        <v/>
      </c>
      <c r="BC166" s="1420">
        <f>SUM(BC161:BC165)</f>
        <v/>
      </c>
      <c r="BD166" s="1420">
        <f>SUM(BD161:BD165)</f>
        <v/>
      </c>
      <c r="BE166" s="1419">
        <f>SUM(BE161:BE165)</f>
        <v/>
      </c>
      <c r="BF166" s="1420">
        <f>SUM(BF161:BF165)</f>
        <v/>
      </c>
      <c r="BG166" s="1356">
        <f>SUM(BG161:BG165)</f>
        <v/>
      </c>
      <c r="BH166" s="1356">
        <f>SUM(BH161:BH165)</f>
        <v/>
      </c>
      <c r="BI166" s="1420">
        <f>SUM(BI161:BI165)</f>
        <v/>
      </c>
      <c r="BJ166" s="1419">
        <f>SUM(BJ161:BJ165)</f>
        <v/>
      </c>
      <c r="BK166" s="1420">
        <f>SUM(BK161:BK165)</f>
        <v/>
      </c>
      <c r="BL166" s="1356">
        <f>SUM(BL161:BL165)</f>
        <v/>
      </c>
      <c r="BM166" s="1356">
        <f>SUM(BM161:BM165)</f>
        <v/>
      </c>
      <c r="BN166" s="1420">
        <f>SUM(BN161:BN165)</f>
        <v/>
      </c>
      <c r="BO166" s="1422">
        <f>SUM(BO161:BO165)</f>
        <v/>
      </c>
      <c r="BP166" s="1421" t="n"/>
      <c r="BQ166" s="1421" t="n"/>
      <c r="BR166" s="1421" t="n"/>
      <c r="BS166" s="1421" t="n"/>
      <c r="BT166" s="1423" t="n"/>
      <c r="BU166" s="1421" t="n"/>
      <c r="BV166" s="1421" t="n"/>
      <c r="BW166" s="1421" t="n"/>
      <c r="BX166" s="1421" t="n"/>
      <c r="BY166" s="1423" t="n"/>
      <c r="BZ166" s="1423" t="n"/>
      <c r="CA166" s="1423" t="n"/>
      <c r="CB166" s="1423" t="n"/>
      <c r="CC166" s="1356" t="n"/>
    </row>
    <row r="167" hidden="1" outlineLevel="2" ht="14.4" customFormat="1" customHeight="1" s="1350">
      <c r="A167" s="1351" t="n"/>
      <c r="B167" s="1352" t="n"/>
      <c r="C167" s="1353" t="n"/>
      <c r="D167" s="1353" t="n"/>
      <c r="E167" s="1353" t="n"/>
      <c r="F167" s="1353" t="n"/>
      <c r="G167" s="1353" t="n"/>
      <c r="H167" s="1354" t="n"/>
      <c r="I167" s="1354" t="n"/>
      <c r="J167" s="1354" t="n"/>
      <c r="K167" s="1354" t="n"/>
      <c r="L167" s="1353" t="n"/>
      <c r="M167" s="1354" t="n"/>
      <c r="N167" s="1354" t="n"/>
      <c r="O167" s="1354" t="n"/>
      <c r="P167" s="1354" t="n"/>
      <c r="Q167" s="1353" t="n"/>
      <c r="R167" s="1354" t="n"/>
      <c r="S167" s="1354" t="n"/>
      <c r="T167" s="1354" t="n"/>
      <c r="U167" s="1354" t="n"/>
      <c r="V167" s="1353" t="n"/>
      <c r="W167" s="1354" t="n"/>
      <c r="X167" s="1354" t="n"/>
      <c r="Y167" s="1354" t="n"/>
      <c r="Z167" s="1354" t="n"/>
      <c r="AA167" s="1353" t="n"/>
      <c r="AB167" s="1354" t="n"/>
      <c r="AC167" s="1354" t="n"/>
      <c r="AD167" s="1354" t="n"/>
      <c r="AE167" s="1354" t="n"/>
      <c r="AF167" s="1353" t="n"/>
      <c r="AG167" s="1354" t="n"/>
      <c r="AH167" s="1354" t="n"/>
      <c r="AI167" s="1354" t="n"/>
      <c r="AJ167" s="1354" t="n"/>
      <c r="AK167" s="1353" t="n"/>
      <c r="AL167" s="1354" t="n"/>
      <c r="AM167" s="1354" t="n"/>
      <c r="AN167" s="1354" t="n"/>
      <c r="AO167" s="1354" t="n"/>
      <c r="AP167" s="1353" t="n"/>
      <c r="AQ167" s="1354" t="n"/>
      <c r="AR167" s="1354" t="n"/>
      <c r="AS167" s="1354" t="n"/>
      <c r="AT167" s="1354" t="n"/>
      <c r="AU167" s="1353" t="n"/>
      <c r="AV167" s="1354" t="n"/>
      <c r="AW167" s="1354" t="n"/>
      <c r="AX167" s="1354" t="n"/>
      <c r="AY167" s="1354" t="n"/>
      <c r="AZ167" s="1353" t="n"/>
      <c r="BA167" s="1354" t="n"/>
      <c r="BB167" s="1354" t="n"/>
      <c r="BC167" s="1354" t="n"/>
      <c r="BD167" s="1354" t="n"/>
      <c r="BE167" s="1353" t="n"/>
      <c r="BF167" s="1354" t="n"/>
      <c r="BG167" s="1354" t="n"/>
      <c r="BH167" s="1354" t="n"/>
      <c r="BI167" s="1354" t="n"/>
      <c r="BJ167" s="1353" t="n"/>
      <c r="BK167" s="1354" t="n"/>
      <c r="BL167" s="1354" t="n"/>
      <c r="BM167" s="1354" t="n"/>
      <c r="BN167" s="1354" t="n"/>
      <c r="BO167" s="1355" t="n"/>
      <c r="BP167" s="1354" t="n"/>
      <c r="BQ167" s="1354" t="n"/>
      <c r="BR167" s="1354" t="n"/>
      <c r="BS167" s="1354" t="n"/>
      <c r="BT167" s="1353" t="n"/>
      <c r="BU167" s="1354" t="n"/>
      <c r="BV167" s="1354" t="n"/>
      <c r="BW167" s="1354" t="n"/>
      <c r="BX167" s="1354" t="n"/>
      <c r="BY167" s="1353" t="n"/>
      <c r="BZ167" s="1353" t="n"/>
      <c r="CA167" s="1353" t="n"/>
      <c r="CB167" s="1353" t="n"/>
      <c r="CC167" s="1356" t="n"/>
    </row>
    <row r="168" hidden="1" outlineLevel="2" ht="14.4" customFormat="1" customHeight="1" s="1275">
      <c r="A168" s="1295" t="inlineStr">
        <is>
          <t>Taiwan non-current assets, mm</t>
        </is>
      </c>
      <c r="B168" s="1296" t="n"/>
      <c r="C168" s="1297" t="n"/>
      <c r="D168" s="1297" t="n"/>
      <c r="E168" s="1299" t="n">
        <v>472168.728</v>
      </c>
      <c r="F168" s="1299" t="n">
        <v>603844.829</v>
      </c>
      <c r="G168" s="1299" t="n">
        <v>783173.768</v>
      </c>
      <c r="H168" s="1277" t="n"/>
      <c r="I168" s="1277" t="n"/>
      <c r="J168" s="1277" t="n"/>
      <c r="K168" s="1277" t="n"/>
      <c r="L168" s="1299" t="n">
        <v>809437.7929999999</v>
      </c>
      <c r="M168" s="1277" t="n"/>
      <c r="N168" s="1277" t="n"/>
      <c r="O168" s="1277" t="n"/>
      <c r="P168" s="1277" t="n"/>
      <c r="Q168" s="1299" t="n">
        <v>844173.826</v>
      </c>
      <c r="R168" s="1277" t="n"/>
      <c r="S168" s="1277" t="n"/>
      <c r="T168" s="1277" t="n"/>
      <c r="U168" s="1277" t="n"/>
      <c r="V168" s="1299" t="n">
        <v>991567.87</v>
      </c>
      <c r="W168" s="1277" t="n"/>
      <c r="X168" s="1277" t="n"/>
      <c r="Y168" s="1277" t="n"/>
      <c r="Z168" s="1277" t="n"/>
      <c r="AA168" s="1299" t="n">
        <v>1027963.202</v>
      </c>
      <c r="AB168" s="1277" t="n"/>
      <c r="AC168" s="1277" t="n"/>
      <c r="AD168" s="1277" t="n"/>
      <c r="AE168" s="1277" t="n"/>
      <c r="AF168" s="1299" t="n">
        <v>1039471.321</v>
      </c>
      <c r="AG168" s="1277" t="n"/>
      <c r="AH168" s="1277" t="n"/>
      <c r="AI168" s="1277" t="n"/>
      <c r="AJ168" s="1277" t="n"/>
      <c r="AK168" s="1299" t="n">
        <v>1344352.664</v>
      </c>
      <c r="AL168" s="1277" t="n"/>
      <c r="AM168" s="1277" t="n"/>
      <c r="AN168" s="1277" t="n"/>
      <c r="AO168" s="1277" t="n"/>
      <c r="AP168" s="1299" t="n">
        <v>1569080.378</v>
      </c>
      <c r="AQ168" s="1277" t="n"/>
      <c r="AR168" s="1277" t="n"/>
      <c r="AS168" s="1277" t="n"/>
      <c r="AT168" s="1277" t="n"/>
      <c r="AU168" s="1299" t="n">
        <v>1953007.722</v>
      </c>
      <c r="AV168" s="1277" t="n"/>
      <c r="AW168" s="1277" t="n"/>
      <c r="AX168" s="1277" t="n"/>
      <c r="AY168" s="1277" t="n"/>
      <c r="AZ168" s="1299" t="n">
        <v>2510238.722</v>
      </c>
      <c r="BA168" s="1277" t="n"/>
      <c r="BB168" s="1277" t="n"/>
      <c r="BC168" s="1277" t="n"/>
      <c r="BD168" s="1277" t="n"/>
      <c r="BE168" s="1299" t="n">
        <v>2525608.435</v>
      </c>
      <c r="BF168" s="1277" t="n"/>
      <c r="BG168" s="1277" t="n"/>
      <c r="BH168" s="1277" t="n"/>
      <c r="BI168" s="1277" t="n"/>
      <c r="BJ168" s="1299" t="n">
        <v>2613112.149</v>
      </c>
      <c r="BK168" s="1277" t="n"/>
      <c r="BL168" s="1277" t="n"/>
      <c r="BM168" s="1277" t="n"/>
      <c r="BN168" s="1277" t="n"/>
      <c r="BO168" s="1382" t="n"/>
      <c r="BP168" s="1277" t="n"/>
      <c r="BQ168" s="1277" t="n"/>
      <c r="BR168" s="1277" t="n"/>
      <c r="BS168" s="1277" t="n"/>
      <c r="BT168" s="1297" t="n"/>
      <c r="BU168" s="1277" t="n"/>
      <c r="BV168" s="1277" t="n"/>
      <c r="BW168" s="1277" t="n"/>
      <c r="BX168" s="1277" t="n"/>
      <c r="BY168" s="1297" t="n"/>
      <c r="BZ168" s="1297" t="n"/>
      <c r="CA168" s="1297" t="n"/>
      <c r="CB168" s="1297" t="n"/>
      <c r="CC168" s="1280" t="n"/>
    </row>
    <row r="169" hidden="1" outlineLevel="2" ht="14.4" customFormat="1" customHeight="1" s="1275">
      <c r="A169" s="1295" t="inlineStr">
        <is>
          <t>United States non-current assets, mm</t>
        </is>
      </c>
      <c r="B169" s="1296" t="n"/>
      <c r="C169" s="1297" t="n"/>
      <c r="D169" s="1297" t="n"/>
      <c r="E169" s="1299" t="n">
        <v>8284.575000000001</v>
      </c>
      <c r="F169" s="1299" t="n">
        <v>7699.344</v>
      </c>
      <c r="G169" s="1299" t="n">
        <v>7691.023</v>
      </c>
      <c r="H169" s="1277" t="n"/>
      <c r="I169" s="1277" t="n"/>
      <c r="J169" s="1277" t="n"/>
      <c r="K169" s="1277" t="n"/>
      <c r="L169" s="1299" t="n">
        <v>8105.381</v>
      </c>
      <c r="M169" s="1277" t="n"/>
      <c r="N169" s="1277" t="n"/>
      <c r="O169" s="1277" t="n"/>
      <c r="P169" s="1277" t="n"/>
      <c r="Q169" s="1299" t="n">
        <v>8892.851000000001</v>
      </c>
      <c r="R169" s="1277" t="n"/>
      <c r="S169" s="1277" t="n"/>
      <c r="T169" s="1277" t="n"/>
      <c r="U169" s="1277" t="n"/>
      <c r="V169" s="1299" t="n">
        <v>8245.054</v>
      </c>
      <c r="W169" s="1277" t="n"/>
      <c r="X169" s="1277" t="n"/>
      <c r="Y169" s="1277" t="n"/>
      <c r="Z169" s="1277" t="n"/>
      <c r="AA169" s="1299" t="n">
        <v>7515.835</v>
      </c>
      <c r="AB169" s="1277" t="n"/>
      <c r="AC169" s="1277" t="n"/>
      <c r="AD169" s="1277" t="n"/>
      <c r="AE169" s="1277" t="n"/>
      <c r="AF169" s="1299" t="n">
        <v>7569.797</v>
      </c>
      <c r="AG169" s="1277" t="n"/>
      <c r="AH169" s="1277" t="n"/>
      <c r="AI169" s="1277" t="n"/>
      <c r="AJ169" s="1277" t="n"/>
      <c r="AK169" s="1299" t="n">
        <v>8850.099</v>
      </c>
      <c r="AL169" s="1277" t="n"/>
      <c r="AM169" s="1277" t="n"/>
      <c r="AN169" s="1277" t="n"/>
      <c r="AO169" s="1277" t="n"/>
      <c r="AP169" s="1299" t="n">
        <v>9455.504999999999</v>
      </c>
      <c r="AQ169" s="1277" t="n"/>
      <c r="AR169" s="1277" t="n"/>
      <c r="AS169" s="1277" t="n"/>
      <c r="AT169" s="1277" t="n"/>
      <c r="AU169" s="1299" t="n">
        <v>41208.723</v>
      </c>
      <c r="AV169" s="1277" t="n"/>
      <c r="AW169" s="1277" t="n"/>
      <c r="AX169" s="1277" t="n"/>
      <c r="AY169" s="1277" t="n"/>
      <c r="AZ169" s="1299" t="n">
        <v>153137.833</v>
      </c>
      <c r="BA169" s="1277" t="n"/>
      <c r="BB169" s="1277" t="n"/>
      <c r="BC169" s="1277" t="n"/>
      <c r="BD169" s="1277" t="n"/>
      <c r="BE169" s="1299" t="n">
        <v>420093.092</v>
      </c>
      <c r="BF169" s="1277" t="n"/>
      <c r="BG169" s="1277" t="n"/>
      <c r="BH169" s="1277" t="n"/>
      <c r="BI169" s="1277" t="n"/>
      <c r="BJ169" s="1299" t="n">
        <v>541836.347</v>
      </c>
      <c r="BK169" s="1277" t="n"/>
      <c r="BL169" s="1277" t="n"/>
      <c r="BM169" s="1277" t="n"/>
      <c r="BN169" s="1277" t="n"/>
      <c r="BO169" s="1382" t="n"/>
      <c r="BP169" s="1277" t="n"/>
      <c r="BQ169" s="1277" t="n"/>
      <c r="BR169" s="1277" t="n"/>
      <c r="BS169" s="1277" t="n"/>
      <c r="BT169" s="1297" t="n"/>
      <c r="BU169" s="1277" t="n"/>
      <c r="BV169" s="1277" t="n"/>
      <c r="BW169" s="1277" t="n"/>
      <c r="BX169" s="1277" t="n"/>
      <c r="BY169" s="1297" t="n"/>
      <c r="BZ169" s="1297" t="n"/>
      <c r="CA169" s="1297" t="n"/>
      <c r="CB169" s="1297" t="n"/>
      <c r="CC169" s="1280" t="n"/>
    </row>
    <row r="170" hidden="1" outlineLevel="2" ht="14.4" customFormat="1" customHeight="1" s="1275">
      <c r="A170" s="1295" t="inlineStr">
        <is>
          <t>Asia non-current assets, mm</t>
        </is>
      </c>
      <c r="B170" s="1296" t="n"/>
      <c r="C170" s="1297" t="n"/>
      <c r="D170" s="1297" t="n"/>
      <c r="E170" s="1299" t="n">
        <v>22121.979</v>
      </c>
      <c r="F170" s="1299" t="n">
        <v>18196.79</v>
      </c>
      <c r="G170" s="1299" t="n">
        <v>14743.733</v>
      </c>
      <c r="H170" s="1277" t="n"/>
      <c r="I170" s="1277" t="n"/>
      <c r="J170" s="1277" t="n"/>
      <c r="K170" s="1277" t="n"/>
      <c r="L170" s="1299" t="n">
        <v>15380.799</v>
      </c>
      <c r="M170" s="1277" t="n"/>
      <c r="N170" s="1277" t="n"/>
      <c r="O170" s="1277" t="n"/>
      <c r="P170" s="1277" t="n"/>
      <c r="Q170" s="1299" t="n">
        <v>15889.993</v>
      </c>
      <c r="R170" s="1277" t="n"/>
      <c r="S170" s="1277" t="n"/>
      <c r="T170" s="1277" t="n"/>
      <c r="U170" s="1277" t="n"/>
      <c r="V170" s="1299" t="n">
        <v>14071.364</v>
      </c>
      <c r="W170" s="1277" t="n"/>
      <c r="X170" s="1277" t="n"/>
      <c r="Y170" s="1277" t="n"/>
      <c r="Z170" s="1277" t="n"/>
      <c r="AA170" s="1299" t="n">
        <v>44213.422</v>
      </c>
      <c r="AB170" s="1277" t="n"/>
      <c r="AC170" s="1277" t="n"/>
      <c r="AD170" s="1277" t="n"/>
      <c r="AE170" s="1277" t="n"/>
      <c r="AF170" s="1297" t="n"/>
      <c r="AG170" s="1277" t="n"/>
      <c r="AH170" s="1277" t="n"/>
      <c r="AI170" s="1277" t="n"/>
      <c r="AJ170" s="1277" t="n"/>
      <c r="AK170" s="1297" t="n"/>
      <c r="AL170" s="1277" t="n"/>
      <c r="AM170" s="1277" t="n"/>
      <c r="AN170" s="1277" t="n"/>
      <c r="AO170" s="1277" t="n"/>
      <c r="AP170" s="1297" t="n"/>
      <c r="AQ170" s="1277" t="n"/>
      <c r="AR170" s="1277" t="n"/>
      <c r="AS170" s="1277" t="n"/>
      <c r="AT170" s="1277" t="n"/>
      <c r="AU170" s="1297" t="n"/>
      <c r="AV170" s="1277" t="n"/>
      <c r="AW170" s="1277" t="n"/>
      <c r="AX170" s="1277" t="n"/>
      <c r="AY170" s="1277" t="n"/>
      <c r="AZ170" s="1297" t="n"/>
      <c r="BA170" s="1277" t="n"/>
      <c r="BB170" s="1277" t="n"/>
      <c r="BC170" s="1277" t="n"/>
      <c r="BD170" s="1277" t="n"/>
      <c r="BE170" s="1297" t="n"/>
      <c r="BF170" s="1277" t="n"/>
      <c r="BG170" s="1277" t="n"/>
      <c r="BH170" s="1277" t="n"/>
      <c r="BI170" s="1277" t="n"/>
      <c r="BJ170" s="1297" t="n"/>
      <c r="BK170" s="1277" t="n"/>
      <c r="BL170" s="1277" t="n"/>
      <c r="BM170" s="1277" t="n"/>
      <c r="BN170" s="1277" t="n"/>
      <c r="BO170" s="1382" t="n"/>
      <c r="BP170" s="1277" t="n"/>
      <c r="BQ170" s="1277" t="n"/>
      <c r="BR170" s="1277" t="n"/>
      <c r="BS170" s="1277" t="n"/>
      <c r="BT170" s="1297" t="n"/>
      <c r="BU170" s="1277" t="n"/>
      <c r="BV170" s="1277" t="n"/>
      <c r="BW170" s="1277" t="n"/>
      <c r="BX170" s="1277" t="n"/>
      <c r="BY170" s="1297" t="n"/>
      <c r="BZ170" s="1297" t="n"/>
      <c r="CA170" s="1297" t="n"/>
      <c r="CB170" s="1297" t="n"/>
      <c r="CC170" s="1280" t="n"/>
    </row>
    <row r="171" hidden="1" outlineLevel="2" ht="14.4" customFormat="1" customHeight="1" s="1275">
      <c r="A171" s="1295" t="inlineStr">
        <is>
          <t>China non-current assets, mm</t>
        </is>
      </c>
      <c r="B171" s="1296" t="n"/>
      <c r="C171" s="1297" t="n"/>
      <c r="D171" s="1297" t="n"/>
      <c r="E171" s="1297" t="n"/>
      <c r="F171" s="1297" t="n"/>
      <c r="G171" s="1297" t="n"/>
      <c r="H171" s="1277" t="n"/>
      <c r="I171" s="1277" t="n"/>
      <c r="J171" s="1277" t="n"/>
      <c r="K171" s="1277" t="n"/>
      <c r="L171" s="1297" t="n"/>
      <c r="M171" s="1277" t="n"/>
      <c r="N171" s="1277" t="n"/>
      <c r="O171" s="1277" t="n"/>
      <c r="P171" s="1277" t="n"/>
      <c r="Q171" s="1297" t="n"/>
      <c r="R171" s="1277" t="n"/>
      <c r="S171" s="1277" t="n"/>
      <c r="T171" s="1277" t="n"/>
      <c r="U171" s="1277" t="n"/>
      <c r="V171" s="1297" t="n"/>
      <c r="W171" s="1277" t="n"/>
      <c r="X171" s="1277" t="n"/>
      <c r="Y171" s="1277" t="n"/>
      <c r="Z171" s="1277" t="n"/>
      <c r="AA171" s="1297" t="n"/>
      <c r="AB171" s="1277" t="n"/>
      <c r="AC171" s="1277" t="n"/>
      <c r="AD171" s="1277" t="n"/>
      <c r="AE171" s="1277" t="n"/>
      <c r="AF171" s="1299" t="n">
        <v>43574.538</v>
      </c>
      <c r="AG171" s="1277" t="n"/>
      <c r="AH171" s="1277" t="n"/>
      <c r="AI171" s="1277" t="n"/>
      <c r="AJ171" s="1277" t="n"/>
      <c r="AK171" s="1299" t="n">
        <v>38586.614</v>
      </c>
      <c r="AL171" s="1277" t="n"/>
      <c r="AM171" s="1277" t="n"/>
      <c r="AN171" s="1277" t="n"/>
      <c r="AO171" s="1277" t="n"/>
      <c r="AP171" s="1299" t="n">
        <v>34456.406</v>
      </c>
      <c r="AQ171" s="1277" t="n"/>
      <c r="AR171" s="1277" t="n"/>
      <c r="AS171" s="1277" t="n"/>
      <c r="AT171" s="1277" t="n"/>
      <c r="AU171" s="1299" t="n">
        <v>41895.164</v>
      </c>
      <c r="AV171" s="1277" t="n"/>
      <c r="AW171" s="1277" t="n"/>
      <c r="AX171" s="1277" t="n"/>
      <c r="AY171" s="1277" t="n"/>
      <c r="AZ171" s="1299" t="n">
        <v>90349.673</v>
      </c>
      <c r="BA171" s="1277" t="n"/>
      <c r="BB171" s="1277" t="n"/>
      <c r="BC171" s="1277" t="n"/>
      <c r="BD171" s="1277" t="n"/>
      <c r="BE171" s="1299" t="n">
        <v>97268.882</v>
      </c>
      <c r="BF171" s="1277" t="n"/>
      <c r="BG171" s="1277" t="n"/>
      <c r="BH171" s="1277" t="n"/>
      <c r="BI171" s="1277" t="n"/>
      <c r="BJ171" s="1299" t="n">
        <v>82405.764</v>
      </c>
      <c r="BK171" s="1277" t="n"/>
      <c r="BL171" s="1277" t="n"/>
      <c r="BM171" s="1277" t="n"/>
      <c r="BN171" s="1277" t="n"/>
      <c r="BO171" s="1382" t="n"/>
      <c r="BP171" s="1277" t="n"/>
      <c r="BQ171" s="1277" t="n"/>
      <c r="BR171" s="1277" t="n"/>
      <c r="BS171" s="1277" t="n"/>
      <c r="BT171" s="1297" t="n"/>
      <c r="BU171" s="1277" t="n"/>
      <c r="BV171" s="1277" t="n"/>
      <c r="BW171" s="1277" t="n"/>
      <c r="BX171" s="1277" t="n"/>
      <c r="BY171" s="1297" t="n"/>
      <c r="BZ171" s="1297" t="n"/>
      <c r="CA171" s="1297" t="n"/>
      <c r="CB171" s="1297" t="n"/>
      <c r="CC171" s="1280" t="n"/>
    </row>
    <row r="172" hidden="1" outlineLevel="2" ht="14.4" customFormat="1" customHeight="1" s="1275">
      <c r="A172" s="1295" t="inlineStr">
        <is>
          <t>Europe, the Middle East and Africa non-current assets, mm</t>
        </is>
      </c>
      <c r="B172" s="1296" t="n"/>
      <c r="C172" s="1297" t="n"/>
      <c r="D172" s="1297" t="n"/>
      <c r="E172" s="1299" t="n">
        <v>15.18</v>
      </c>
      <c r="F172" s="1299" t="n">
        <v>15.938</v>
      </c>
      <c r="G172" s="1299" t="n">
        <v>17.349</v>
      </c>
      <c r="H172" s="1277" t="n"/>
      <c r="I172" s="1277" t="n"/>
      <c r="J172" s="1277" t="n"/>
      <c r="K172" s="1277" t="n"/>
      <c r="L172" s="1299" t="n">
        <v>8.343999999999999</v>
      </c>
      <c r="M172" s="1277" t="n"/>
      <c r="N172" s="1277" t="n"/>
      <c r="O172" s="1277" t="n"/>
      <c r="P172" s="1277" t="n"/>
      <c r="Q172" s="1299" t="n">
        <v>8.278</v>
      </c>
      <c r="R172" s="1277" t="n"/>
      <c r="S172" s="1277" t="n"/>
      <c r="T172" s="1277" t="n"/>
      <c r="U172" s="1277" t="n"/>
      <c r="V172" s="1299" t="n">
        <v>8.677</v>
      </c>
      <c r="W172" s="1277" t="n"/>
      <c r="X172" s="1277" t="n"/>
      <c r="Y172" s="1277" t="n"/>
      <c r="Z172" s="1277" t="n"/>
      <c r="AA172" s="1299" t="n">
        <v>8.122999999999999</v>
      </c>
      <c r="AB172" s="1277" t="n"/>
      <c r="AC172" s="1277" t="n"/>
      <c r="AD172" s="1277" t="n"/>
      <c r="AE172" s="1277" t="n"/>
      <c r="AF172" s="1299" t="n">
        <v>8.269</v>
      </c>
      <c r="AG172" s="1277" t="n"/>
      <c r="AH172" s="1277" t="n"/>
      <c r="AI172" s="1277" t="n"/>
      <c r="AJ172" s="1277" t="n"/>
      <c r="AK172" s="1299" t="n">
        <v>186.238</v>
      </c>
      <c r="AL172" s="1277" t="n"/>
      <c r="AM172" s="1277" t="n"/>
      <c r="AN172" s="1277" t="n"/>
      <c r="AO172" s="1277" t="n"/>
      <c r="AP172" s="1299" t="n">
        <v>174.169</v>
      </c>
      <c r="AQ172" s="1277" t="n"/>
      <c r="AR172" s="1277" t="n"/>
      <c r="AS172" s="1277" t="n"/>
      <c r="AT172" s="1277" t="n"/>
      <c r="AU172" s="1299" t="n">
        <v>143.916</v>
      </c>
      <c r="AV172" s="1277" t="n"/>
      <c r="AW172" s="1277" t="n"/>
      <c r="AX172" s="1277" t="n"/>
      <c r="AY172" s="1277" t="n"/>
      <c r="AZ172" s="1299" t="n">
        <v>140.709</v>
      </c>
      <c r="BA172" s="1277" t="n"/>
      <c r="BB172" s="1277" t="n"/>
      <c r="BC172" s="1277" t="n"/>
      <c r="BD172" s="1277" t="n"/>
      <c r="BE172" s="1299" t="n">
        <v>146.247</v>
      </c>
      <c r="BF172" s="1277" t="n"/>
      <c r="BG172" s="1277" t="n"/>
      <c r="BH172" s="1277" t="n"/>
      <c r="BI172" s="1277" t="n"/>
      <c r="BJ172" s="1299" t="n">
        <v>19150.044</v>
      </c>
      <c r="BK172" s="1277" t="n"/>
      <c r="BL172" s="1277" t="n"/>
      <c r="BM172" s="1277" t="n"/>
      <c r="BN172" s="1277" t="n"/>
      <c r="BO172" s="1382" t="n"/>
      <c r="BP172" s="1277" t="n"/>
      <c r="BQ172" s="1277" t="n"/>
      <c r="BR172" s="1277" t="n"/>
      <c r="BS172" s="1277" t="n"/>
      <c r="BT172" s="1297" t="n"/>
      <c r="BU172" s="1277" t="n"/>
      <c r="BV172" s="1277" t="n"/>
      <c r="BW172" s="1277" t="n"/>
      <c r="BX172" s="1277" t="n"/>
      <c r="BY172" s="1297" t="n"/>
      <c r="BZ172" s="1297" t="n"/>
      <c r="CA172" s="1297" t="n"/>
      <c r="CB172" s="1297" t="n"/>
      <c r="CC172" s="1280" t="n"/>
    </row>
    <row r="173" hidden="1" outlineLevel="2" ht="14.4" customFormat="1" customHeight="1" s="1275">
      <c r="A173" s="1295" t="inlineStr">
        <is>
          <t>Japan non-current assets, mm</t>
        </is>
      </c>
      <c r="B173" s="1296" t="n"/>
      <c r="C173" s="1297" t="n"/>
      <c r="D173" s="1297" t="n"/>
      <c r="E173" s="1297" t="n"/>
      <c r="F173" s="1297" t="n"/>
      <c r="G173" s="1297" t="n"/>
      <c r="H173" s="1277" t="n"/>
      <c r="I173" s="1277" t="n"/>
      <c r="J173" s="1277" t="n"/>
      <c r="K173" s="1277" t="n"/>
      <c r="L173" s="1297" t="n"/>
      <c r="M173" s="1277" t="n"/>
      <c r="N173" s="1277" t="n"/>
      <c r="O173" s="1277" t="n"/>
      <c r="P173" s="1277" t="n"/>
      <c r="Q173" s="1297" t="n"/>
      <c r="R173" s="1277" t="n"/>
      <c r="S173" s="1277" t="n"/>
      <c r="T173" s="1277" t="n"/>
      <c r="U173" s="1277" t="n"/>
      <c r="V173" s="1297" t="n"/>
      <c r="W173" s="1277" t="n"/>
      <c r="X173" s="1277" t="n"/>
      <c r="Y173" s="1277" t="n"/>
      <c r="Z173" s="1277" t="n"/>
      <c r="AA173" s="1297" t="n"/>
      <c r="AB173" s="1277" t="n"/>
      <c r="AC173" s="1277" t="n"/>
      <c r="AD173" s="1277" t="n"/>
      <c r="AE173" s="1277" t="n"/>
      <c r="AF173" s="1299" t="n">
        <v>13.138</v>
      </c>
      <c r="AG173" s="1277" t="n"/>
      <c r="AH173" s="1277" t="n"/>
      <c r="AI173" s="1277" t="n"/>
      <c r="AJ173" s="1277" t="n"/>
      <c r="AK173" s="1299" t="n">
        <v>27.074</v>
      </c>
      <c r="AL173" s="1277" t="n"/>
      <c r="AM173" s="1277" t="n"/>
      <c r="AN173" s="1277" t="n"/>
      <c r="AO173" s="1277" t="n"/>
      <c r="AP173" s="1299" t="n">
        <v>327.25</v>
      </c>
      <c r="AQ173" s="1277" t="n"/>
      <c r="AR173" s="1277" t="n"/>
      <c r="AS173" s="1277" t="n"/>
      <c r="AT173" s="1277" t="n"/>
      <c r="AU173" s="1299" t="n">
        <v>1011.043</v>
      </c>
      <c r="AV173" s="1277" t="n"/>
      <c r="AW173" s="1277" t="n"/>
      <c r="AX173" s="1277" t="n"/>
      <c r="AY173" s="1277" t="n"/>
      <c r="AZ173" s="1299" t="n">
        <v>15432.491</v>
      </c>
      <c r="BA173" s="1277" t="n"/>
      <c r="BB173" s="1277" t="n"/>
      <c r="BC173" s="1277" t="n"/>
      <c r="BD173" s="1277" t="n"/>
      <c r="BE173" s="1299" t="n">
        <v>94558.89</v>
      </c>
      <c r="BF173" s="1277" t="n"/>
      <c r="BG173" s="1277" t="n"/>
      <c r="BH173" s="1277" t="n"/>
      <c r="BI173" s="1277" t="n"/>
      <c r="BJ173" s="1299" t="n">
        <v>126600.621</v>
      </c>
      <c r="BK173" s="1277" t="n"/>
      <c r="BL173" s="1277" t="n"/>
      <c r="BM173" s="1277" t="n"/>
      <c r="BN173" s="1277" t="n"/>
      <c r="BO173" s="1382" t="n"/>
      <c r="BP173" s="1277" t="n"/>
      <c r="BQ173" s="1277" t="n"/>
      <c r="BR173" s="1277" t="n"/>
      <c r="BS173" s="1277" t="n"/>
      <c r="BT173" s="1297" t="n"/>
      <c r="BU173" s="1277" t="n"/>
      <c r="BV173" s="1277" t="n"/>
      <c r="BW173" s="1277" t="n"/>
      <c r="BX173" s="1277" t="n"/>
      <c r="BY173" s="1297" t="n"/>
      <c r="BZ173" s="1297" t="n"/>
      <c r="CA173" s="1297" t="n"/>
      <c r="CB173" s="1297" t="n"/>
      <c r="CC173" s="1280" t="n"/>
    </row>
    <row r="174" hidden="1" outlineLevel="2" ht="14.4" customFormat="1" customHeight="1" s="1275">
      <c r="A174" s="1295" t="inlineStr">
        <is>
          <t>Others non-current assets, mm</t>
        </is>
      </c>
      <c r="B174" s="1296" t="n"/>
      <c r="C174" s="1297" t="n"/>
      <c r="D174" s="1297" t="n"/>
      <c r="E174" s="1297" t="n"/>
      <c r="F174" s="1297" t="n"/>
      <c r="G174" s="1297" t="n"/>
      <c r="H174" s="1277" t="n"/>
      <c r="I174" s="1277" t="n"/>
      <c r="J174" s="1277" t="n"/>
      <c r="K174" s="1277" t="n"/>
      <c r="L174" s="1297" t="n"/>
      <c r="M174" s="1277" t="n"/>
      <c r="N174" s="1277" t="n"/>
      <c r="O174" s="1277" t="n"/>
      <c r="P174" s="1277" t="n"/>
      <c r="Q174" s="1297" t="n"/>
      <c r="R174" s="1277" t="n"/>
      <c r="S174" s="1277" t="n"/>
      <c r="T174" s="1277" t="n"/>
      <c r="U174" s="1277" t="n"/>
      <c r="V174" s="1297" t="n"/>
      <c r="W174" s="1277" t="n"/>
      <c r="X174" s="1277" t="n"/>
      <c r="Y174" s="1277" t="n"/>
      <c r="Z174" s="1277" t="n"/>
      <c r="AA174" s="1297" t="n"/>
      <c r="AB174" s="1277" t="n"/>
      <c r="AC174" s="1277" t="n"/>
      <c r="AD174" s="1277" t="n"/>
      <c r="AE174" s="1277" t="n"/>
      <c r="AF174" s="1297" t="n"/>
      <c r="AG174" s="1277" t="n"/>
      <c r="AH174" s="1277" t="n"/>
      <c r="AI174" s="1277" t="n"/>
      <c r="AJ174" s="1277" t="n"/>
      <c r="AK174" s="1299" t="n">
        <v>3.064</v>
      </c>
      <c r="AL174" s="1277" t="n"/>
      <c r="AM174" s="1277" t="n"/>
      <c r="AN174" s="1277" t="n"/>
      <c r="AO174" s="1277" t="n"/>
      <c r="AP174" s="1299" t="n">
        <v>2.996</v>
      </c>
      <c r="AQ174" s="1277" t="n"/>
      <c r="AR174" s="1277" t="n"/>
      <c r="AS174" s="1277" t="n"/>
      <c r="AT174" s="1277" t="n"/>
      <c r="AU174" s="1299" t="n">
        <v>0.539</v>
      </c>
      <c r="AV174" s="1277" t="n"/>
      <c r="AW174" s="1277" t="n"/>
      <c r="AX174" s="1277" t="n"/>
      <c r="AY174" s="1277" t="n"/>
      <c r="AZ174" s="1299" t="n">
        <v>1.922</v>
      </c>
      <c r="BA174" s="1277" t="n"/>
      <c r="BB174" s="1277" t="n"/>
      <c r="BC174" s="1277" t="n"/>
      <c r="BD174" s="1277" t="n"/>
      <c r="BE174" s="1299" t="n">
        <v>0.435</v>
      </c>
      <c r="BF174" s="1277" t="n"/>
      <c r="BG174" s="1277" t="n"/>
      <c r="BH174" s="1277" t="n"/>
      <c r="BI174" s="1277" t="n"/>
      <c r="BJ174" s="1299" t="n">
        <v>1.42</v>
      </c>
      <c r="BK174" s="1277" t="n"/>
      <c r="BL174" s="1277" t="n"/>
      <c r="BM174" s="1277" t="n"/>
      <c r="BN174" s="1277" t="n"/>
      <c r="BO174" s="1382" t="n"/>
      <c r="BP174" s="1277" t="n"/>
      <c r="BQ174" s="1277" t="n"/>
      <c r="BR174" s="1277" t="n"/>
      <c r="BS174" s="1277" t="n"/>
      <c r="BT174" s="1297" t="n"/>
      <c r="BU174" s="1277" t="n"/>
      <c r="BV174" s="1277" t="n"/>
      <c r="BW174" s="1277" t="n"/>
      <c r="BX174" s="1277" t="n"/>
      <c r="BY174" s="1297" t="n"/>
      <c r="BZ174" s="1297" t="n"/>
      <c r="CA174" s="1297" t="n"/>
      <c r="CB174" s="1297" t="n"/>
      <c r="CC174" s="1280" t="n"/>
    </row>
    <row r="175" hidden="1" outlineLevel="2" ht="14.4" customFormat="1" customHeight="1" s="1323">
      <c r="A175" s="1324" t="inlineStr">
        <is>
          <t>Total non-current assets, mm</t>
        </is>
      </c>
      <c r="B175" s="1325" t="n"/>
      <c r="C175" s="1326" t="n"/>
      <c r="D175" s="1326" t="n"/>
      <c r="E175" s="1329">
        <f>SUM(E168:E174)</f>
        <v/>
      </c>
      <c r="F175" s="1329">
        <f>SUM(F168:F174)</f>
        <v/>
      </c>
      <c r="G175" s="1329">
        <f>SUM(G168:G174)</f>
        <v/>
      </c>
      <c r="H175" s="1327" t="n"/>
      <c r="I175" s="1327" t="n"/>
      <c r="J175" s="1327" t="n"/>
      <c r="K175" s="1327" t="n"/>
      <c r="L175" s="1329">
        <f>SUM(L168:L174)</f>
        <v/>
      </c>
      <c r="M175" s="1327" t="n"/>
      <c r="N175" s="1327" t="n"/>
      <c r="O175" s="1327" t="n"/>
      <c r="P175" s="1327" t="n"/>
      <c r="Q175" s="1329">
        <f>SUM(Q168:Q174)</f>
        <v/>
      </c>
      <c r="R175" s="1327" t="n"/>
      <c r="S175" s="1327" t="n"/>
      <c r="T175" s="1327" t="n"/>
      <c r="U175" s="1327" t="n"/>
      <c r="V175" s="1329">
        <f>SUM(V168:V174)</f>
        <v/>
      </c>
      <c r="W175" s="1327" t="n"/>
      <c r="X175" s="1327" t="n"/>
      <c r="Y175" s="1327" t="n"/>
      <c r="Z175" s="1327" t="n"/>
      <c r="AA175" s="1329">
        <f>SUM(AA168:AA174)</f>
        <v/>
      </c>
      <c r="AB175" s="1327" t="n"/>
      <c r="AC175" s="1327" t="n"/>
      <c r="AD175" s="1327" t="n"/>
      <c r="AE175" s="1327" t="n"/>
      <c r="AF175" s="1329">
        <f>SUM(AF168:AF174)</f>
        <v/>
      </c>
      <c r="AG175" s="1327" t="n"/>
      <c r="AH175" s="1327" t="n"/>
      <c r="AI175" s="1327" t="n"/>
      <c r="AJ175" s="1327" t="n"/>
      <c r="AK175" s="1329">
        <f>SUM(AK168:AK174)</f>
        <v/>
      </c>
      <c r="AL175" s="1327" t="n"/>
      <c r="AM175" s="1327" t="n"/>
      <c r="AN175" s="1327" t="n"/>
      <c r="AO175" s="1327" t="n"/>
      <c r="AP175" s="1329">
        <f>SUM(AP168:AP174)</f>
        <v/>
      </c>
      <c r="AQ175" s="1327" t="n"/>
      <c r="AR175" s="1327" t="n"/>
      <c r="AS175" s="1327" t="n"/>
      <c r="AT175" s="1327" t="n"/>
      <c r="AU175" s="1329">
        <f>SUM(AU168:AU174)</f>
        <v/>
      </c>
      <c r="AV175" s="1327" t="n"/>
      <c r="AW175" s="1327" t="n"/>
      <c r="AX175" s="1327" t="n"/>
      <c r="AY175" s="1327" t="n"/>
      <c r="AZ175" s="1329">
        <f>SUM(AZ168:AZ174)</f>
        <v/>
      </c>
      <c r="BA175" s="1327" t="n"/>
      <c r="BB175" s="1327" t="n"/>
      <c r="BC175" s="1327" t="n"/>
      <c r="BD175" s="1327" t="n"/>
      <c r="BE175" s="1326">
        <f>SUM(BE168:BE174)</f>
        <v/>
      </c>
      <c r="BF175" s="1327" t="n"/>
      <c r="BG175" s="1327" t="n"/>
      <c r="BH175" s="1327" t="n"/>
      <c r="BI175" s="1327" t="n"/>
      <c r="BJ175" s="1326">
        <f>SUM(BJ168:BJ174)</f>
        <v/>
      </c>
      <c r="BK175" s="1327" t="n"/>
      <c r="BL175" s="1327" t="n"/>
      <c r="BM175" s="1327" t="n"/>
      <c r="BN175" s="1327" t="n"/>
      <c r="BO175" s="1386" t="n"/>
      <c r="BP175" s="1327" t="n"/>
      <c r="BQ175" s="1327" t="n"/>
      <c r="BR175" s="1327" t="n"/>
      <c r="BS175" s="1327" t="n"/>
      <c r="BT175" s="1326" t="n"/>
      <c r="BU175" s="1327" t="n"/>
      <c r="BV175" s="1327" t="n"/>
      <c r="BW175" s="1327" t="n"/>
      <c r="BX175" s="1327" t="n"/>
      <c r="BY175" s="1326" t="n"/>
      <c r="BZ175" s="1326" t="n"/>
      <c r="CA175" s="1326" t="n"/>
      <c r="CB175" s="1326" t="n"/>
      <c r="CC175" s="1331" t="n"/>
    </row>
    <row r="176" hidden="1" outlineLevel="1" collapsed="1" ht="14.4" customFormat="1" customHeight="1" s="1275">
      <c r="A176" s="1466" t="n"/>
      <c r="B176" s="1296" t="n"/>
      <c r="C176" s="1297" t="n"/>
      <c r="D176" s="1297" t="n"/>
      <c r="E176" s="1297" t="n"/>
      <c r="F176" s="1297" t="n"/>
      <c r="G176" s="1297" t="n"/>
      <c r="H176" s="1277" t="n"/>
      <c r="I176" s="1277" t="n"/>
      <c r="J176" s="1277" t="n"/>
      <c r="K176" s="1277" t="n"/>
      <c r="L176" s="1297" t="n"/>
      <c r="M176" s="1277" t="n"/>
      <c r="N176" s="1277" t="n"/>
      <c r="O176" s="1277" t="n"/>
      <c r="P176" s="1277" t="n"/>
      <c r="Q176" s="1297" t="n"/>
      <c r="R176" s="1277" t="n"/>
      <c r="S176" s="1277" t="n"/>
      <c r="T176" s="1277" t="n"/>
      <c r="U176" s="1277" t="n"/>
      <c r="V176" s="1297" t="n"/>
      <c r="W176" s="1277" t="n"/>
      <c r="X176" s="1277" t="n"/>
      <c r="Y176" s="1277" t="n"/>
      <c r="Z176" s="1277" t="n"/>
      <c r="AA176" s="1297" t="n"/>
      <c r="AB176" s="1277" t="n"/>
      <c r="AC176" s="1277" t="n"/>
      <c r="AD176" s="1277" t="n"/>
      <c r="AE176" s="1277" t="n"/>
      <c r="AF176" s="1297" t="n"/>
      <c r="AG176" s="1277" t="n"/>
      <c r="AH176" s="1277" t="n"/>
      <c r="AI176" s="1277" t="n"/>
      <c r="AJ176" s="1277" t="n"/>
      <c r="AK176" s="1297" t="n"/>
      <c r="AL176" s="1277" t="n"/>
      <c r="AM176" s="1277" t="n"/>
      <c r="AN176" s="1277" t="n"/>
      <c r="AO176" s="1277" t="n"/>
      <c r="AP176" s="1297" t="n"/>
      <c r="AQ176" s="1277" t="n"/>
      <c r="AR176" s="1277" t="n"/>
      <c r="AS176" s="1277" t="n"/>
      <c r="AT176" s="1277" t="n"/>
      <c r="AU176" s="1297" t="n"/>
      <c r="AV176" s="1277" t="n"/>
      <c r="AW176" s="1277" t="n"/>
      <c r="AX176" s="1277" t="n"/>
      <c r="AY176" s="1277" t="n"/>
      <c r="AZ176" s="1297" t="n"/>
      <c r="BA176" s="1277" t="n"/>
      <c r="BB176" s="1277" t="n"/>
      <c r="BC176" s="1277" t="n"/>
      <c r="BD176" s="1277" t="n"/>
      <c r="BE176" s="1297" t="n"/>
      <c r="BF176" s="1277" t="n"/>
      <c r="BG176" s="1277" t="n"/>
      <c r="BH176" s="1277" t="n"/>
      <c r="BI176" s="1277" t="n"/>
      <c r="BJ176" s="1297" t="n"/>
      <c r="BK176" s="1277" t="n"/>
      <c r="BL176" s="1277" t="n"/>
      <c r="BM176" s="1277" t="n"/>
      <c r="BN176" s="1277" t="n"/>
      <c r="BO176" s="1382" t="n"/>
      <c r="BP176" s="1277" t="n"/>
      <c r="BQ176" s="1277" t="n"/>
      <c r="BR176" s="1277" t="n"/>
      <c r="BS176" s="1277" t="n"/>
      <c r="BT176" s="1297" t="n"/>
      <c r="BU176" s="1277" t="n"/>
      <c r="BV176" s="1277" t="n"/>
      <c r="BW176" s="1277" t="n"/>
      <c r="BX176" s="1277" t="n"/>
      <c r="BY176" s="1297" t="n"/>
      <c r="BZ176" s="1297" t="n"/>
      <c r="CA176" s="1297" t="n"/>
      <c r="CB176" s="1297" t="n"/>
      <c r="CC176" s="1280" t="n"/>
    </row>
    <row r="177" hidden="1" outlineLevel="1" ht="14.4" customFormat="1" customHeight="1" s="1275">
      <c r="A177" s="1357" t="inlineStr">
        <is>
          <t>Key Metrics - Major Customers with Revenues &gt; 10% (FS)</t>
        </is>
      </c>
      <c r="B177" s="1358" t="n"/>
      <c r="C177" s="1358" t="n"/>
      <c r="D177" s="1358" t="n"/>
      <c r="E177" s="1358" t="n"/>
      <c r="F177" s="1358" t="n"/>
      <c r="G177" s="1358" t="n"/>
      <c r="H177" s="1358" t="n"/>
      <c r="I177" s="1358" t="n"/>
      <c r="J177" s="1358" t="n"/>
      <c r="K177" s="1358" t="n"/>
      <c r="L177" s="1358" t="n"/>
      <c r="M177" s="1358" t="n"/>
      <c r="N177" s="1358" t="n"/>
      <c r="O177" s="1358" t="n"/>
      <c r="P177" s="1358" t="n"/>
      <c r="Q177" s="1358" t="n"/>
      <c r="R177" s="1358" t="n"/>
      <c r="S177" s="1358" t="n"/>
      <c r="T177" s="1358" t="n"/>
      <c r="U177" s="1358" t="n"/>
      <c r="V177" s="1358" t="n"/>
      <c r="W177" s="1358" t="n"/>
      <c r="X177" s="1358" t="n"/>
      <c r="Y177" s="1358" t="n"/>
      <c r="Z177" s="1358" t="n"/>
      <c r="AA177" s="1358" t="n"/>
      <c r="AB177" s="1358" t="n"/>
      <c r="AC177" s="1358" t="n"/>
      <c r="AD177" s="1358" t="n"/>
      <c r="AE177" s="1358" t="n"/>
      <c r="AF177" s="1358" t="n"/>
      <c r="AG177" s="1358" t="n"/>
      <c r="AH177" s="1358" t="n"/>
      <c r="AI177" s="1358" t="n"/>
      <c r="AJ177" s="1358" t="n"/>
      <c r="AK177" s="1358" t="n"/>
      <c r="AL177" s="1358" t="n"/>
      <c r="AM177" s="1358" t="n"/>
      <c r="AN177" s="1358" t="n"/>
      <c r="AO177" s="1358" t="n"/>
      <c r="AP177" s="1358" t="n"/>
      <c r="AQ177" s="1358" t="n"/>
      <c r="AR177" s="1358" t="n"/>
      <c r="AS177" s="1358" t="n"/>
      <c r="AT177" s="1358" t="n"/>
      <c r="AU177" s="1358" t="n"/>
      <c r="AV177" s="1358" t="n"/>
      <c r="AW177" s="1358" t="n"/>
      <c r="AX177" s="1358" t="n"/>
      <c r="AY177" s="1358" t="n"/>
      <c r="AZ177" s="1358" t="n"/>
      <c r="BA177" s="1358" t="n"/>
      <c r="BB177" s="1358" t="n"/>
      <c r="BC177" s="1358" t="n"/>
      <c r="BD177" s="1358" t="n"/>
      <c r="BE177" s="1358" t="n"/>
      <c r="BF177" s="1358" t="n"/>
      <c r="BG177" s="1358" t="n"/>
      <c r="BH177" s="1358" t="n"/>
      <c r="BI177" s="1358" t="n"/>
      <c r="BJ177" s="1358" t="n"/>
      <c r="BK177" s="1358" t="n"/>
      <c r="BL177" s="1358" t="n"/>
      <c r="BM177" s="1358" t="n"/>
      <c r="BN177" s="1358" t="n"/>
      <c r="BO177" s="1359" t="n"/>
      <c r="BP177" s="1358" t="n"/>
      <c r="BQ177" s="1358" t="n"/>
      <c r="BR177" s="1358" t="n"/>
      <c r="BS177" s="1358" t="n"/>
      <c r="BT177" s="1358" t="n"/>
      <c r="BU177" s="1358" t="n"/>
      <c r="BV177" s="1358" t="n"/>
      <c r="BW177" s="1358" t="n"/>
      <c r="BX177" s="1358" t="n"/>
      <c r="BY177" s="1358" t="n"/>
      <c r="BZ177" s="1358" t="n"/>
      <c r="CA177" s="1358" t="n"/>
      <c r="CB177" s="1358" t="n"/>
      <c r="CC177" s="1280" t="n"/>
    </row>
    <row r="178" hidden="1" outlineLevel="2" ht="14.4" customFormat="1" customHeight="1" s="1290">
      <c r="A178" s="1442" t="inlineStr">
        <is>
          <t>Customer A, %</t>
        </is>
      </c>
      <c r="B178" s="1443" t="n"/>
      <c r="C178" s="1405" t="n">
        <v>0.1</v>
      </c>
      <c r="D178" s="1405" t="n">
        <v>0.09</v>
      </c>
      <c r="E178" s="1405" t="n">
        <v>0.14</v>
      </c>
      <c r="F178" s="1405" t="n">
        <v>0.17</v>
      </c>
      <c r="G178" s="1405" t="n">
        <v>0.22</v>
      </c>
      <c r="H178" s="1370" t="n"/>
      <c r="I178" s="1370" t="n"/>
      <c r="J178" s="1370" t="n"/>
      <c r="K178" s="1370" t="n"/>
      <c r="L178" s="1405" t="n">
        <v>0.21</v>
      </c>
      <c r="M178" s="1370" t="n"/>
      <c r="N178" s="1370" t="n"/>
      <c r="O178" s="1370" t="n"/>
      <c r="P178" s="1370" t="n"/>
      <c r="Q178" s="1405" t="n">
        <v>0.16</v>
      </c>
      <c r="R178" s="1370" t="n"/>
      <c r="S178" s="1370" t="n"/>
      <c r="T178" s="1370" t="n"/>
      <c r="U178" s="1370" t="n"/>
      <c r="V178" s="1405" t="n">
        <v>0.17</v>
      </c>
      <c r="W178" s="1370" t="n"/>
      <c r="X178" s="1370" t="n"/>
      <c r="Y178" s="1370" t="n"/>
      <c r="Z178" s="1370" t="n"/>
      <c r="AA178" s="1405" t="n">
        <v>0.22</v>
      </c>
      <c r="AB178" s="1370" t="n"/>
      <c r="AC178" s="1370" t="n"/>
      <c r="AD178" s="1370" t="n"/>
      <c r="AE178" s="1370" t="n"/>
      <c r="AF178" s="1405" t="n">
        <v>0.22</v>
      </c>
      <c r="AG178" s="1370" t="n"/>
      <c r="AH178" s="1370" t="n"/>
      <c r="AI178" s="1370" t="n"/>
      <c r="AJ178" s="1370" t="n"/>
      <c r="AK178" s="1405" t="n">
        <v>0.23</v>
      </c>
      <c r="AL178" s="1370" t="n"/>
      <c r="AM178" s="1370" t="n"/>
      <c r="AN178" s="1370" t="n"/>
      <c r="AO178" s="1370" t="n"/>
      <c r="AP178" s="1405" t="n">
        <v>0.25</v>
      </c>
      <c r="AQ178" s="1370" t="n"/>
      <c r="AR178" s="1370" t="n"/>
      <c r="AS178" s="1370" t="n"/>
      <c r="AT178" s="1370" t="n"/>
      <c r="AU178" s="1405" t="n">
        <v>0.26</v>
      </c>
      <c r="AV178" s="1370" t="n"/>
      <c r="AW178" s="1370" t="n"/>
      <c r="AX178" s="1370" t="n"/>
      <c r="AY178" s="1370" t="n"/>
      <c r="AZ178" s="1405" t="n">
        <v>0.23</v>
      </c>
      <c r="BA178" s="1370" t="n"/>
      <c r="BB178" s="1370" t="n"/>
      <c r="BC178" s="1370" t="n"/>
      <c r="BD178" s="1370" t="n"/>
      <c r="BE178" s="1405" t="n">
        <v>0.25</v>
      </c>
      <c r="BF178" s="1370" t="n"/>
      <c r="BG178" s="1370" t="n"/>
      <c r="BH178" s="1370" t="n"/>
      <c r="BI178" s="1370" t="n"/>
      <c r="BJ178" s="1405" t="n">
        <v>0.22</v>
      </c>
      <c r="BK178" s="1370" t="n"/>
      <c r="BL178" s="1370" t="n"/>
      <c r="BM178" s="1370" t="n"/>
      <c r="BN178" s="1370" t="n"/>
      <c r="BO178" s="1371" t="n"/>
      <c r="BP178" s="1370" t="n"/>
      <c r="BQ178" s="1370" t="n"/>
      <c r="BR178" s="1370" t="n"/>
      <c r="BS178" s="1370" t="n"/>
      <c r="BT178" s="1369" t="n"/>
      <c r="BU178" s="1370" t="n"/>
      <c r="BV178" s="1370" t="n"/>
      <c r="BW178" s="1370" t="n"/>
      <c r="BX178" s="1370" t="n"/>
      <c r="BY178" s="1369" t="n"/>
      <c r="BZ178" s="1369" t="n"/>
      <c r="CA178" s="1369" t="n"/>
      <c r="CB178" s="1369" t="n"/>
      <c r="CC178" s="1294" t="n"/>
    </row>
    <row r="179" hidden="1" outlineLevel="2" ht="14.4" customFormat="1" customHeight="1" s="1290">
      <c r="A179" s="1467" t="inlineStr">
        <is>
          <t>Customer B, %</t>
        </is>
      </c>
      <c r="B179" s="1468" t="n"/>
      <c r="C179" s="1416" t="n">
        <v>0.11</v>
      </c>
      <c r="D179" s="1416" t="n">
        <v>0.1</v>
      </c>
      <c r="E179" s="1416" t="n">
        <v>0.07000000000000001</v>
      </c>
      <c r="F179" s="1469" t="n">
        <v>0.08</v>
      </c>
      <c r="G179" s="1470" t="n"/>
      <c r="H179" s="1410" t="n"/>
      <c r="I179" s="1410" t="n"/>
      <c r="J179" s="1410" t="n"/>
      <c r="K179" s="1410" t="n"/>
      <c r="L179" s="1416" t="n">
        <v>0.09</v>
      </c>
      <c r="M179" s="1410" t="n"/>
      <c r="N179" s="1410" t="n"/>
      <c r="O179" s="1410" t="n"/>
      <c r="P179" s="1410" t="n"/>
      <c r="Q179" s="1416" t="n">
        <v>0.16</v>
      </c>
      <c r="R179" s="1410" t="n"/>
      <c r="S179" s="1410" t="n"/>
      <c r="T179" s="1410" t="n"/>
      <c r="U179" s="1410" t="n"/>
      <c r="V179" s="1416" t="n">
        <v>0.11</v>
      </c>
      <c r="W179" s="1410" t="n"/>
      <c r="X179" s="1410" t="n"/>
      <c r="Y179" s="1410" t="n"/>
      <c r="Z179" s="1410" t="n"/>
      <c r="AA179" s="1416" t="n">
        <v>0.07000000000000001</v>
      </c>
      <c r="AB179" s="1410" t="n"/>
      <c r="AC179" s="1410" t="n"/>
      <c r="AD179" s="1410" t="n"/>
      <c r="AE179" s="1410" t="n"/>
      <c r="AF179" s="1416" t="n">
        <v>0.06</v>
      </c>
      <c r="AG179" s="1410" t="n"/>
      <c r="AH179" s="1410" t="n"/>
      <c r="AI179" s="1410" t="n"/>
      <c r="AJ179" s="1410" t="n"/>
      <c r="AK179" s="1416" t="n">
        <v>0.14</v>
      </c>
      <c r="AL179" s="1410" t="n"/>
      <c r="AM179" s="1410" t="n"/>
      <c r="AN179" s="1410" t="n"/>
      <c r="AO179" s="1410" t="n"/>
      <c r="AP179" s="1416" t="n">
        <v>0.12</v>
      </c>
      <c r="AQ179" s="1410" t="n"/>
      <c r="AR179" s="1410" t="n"/>
      <c r="AS179" s="1410" t="n"/>
      <c r="AT179" s="1410" t="n"/>
      <c r="AU179" s="1416" t="n">
        <v>0.1</v>
      </c>
      <c r="AV179" s="1410" t="n"/>
      <c r="AW179" s="1410" t="n"/>
      <c r="AX179" s="1410" t="n"/>
      <c r="AY179" s="1410" t="n"/>
      <c r="AZ179" s="1409" t="n"/>
      <c r="BA179" s="1410" t="n"/>
      <c r="BB179" s="1410" t="n"/>
      <c r="BC179" s="1410" t="n"/>
      <c r="BD179" s="1410" t="n"/>
      <c r="BE179" s="1416" t="n">
        <v>0.11</v>
      </c>
      <c r="BF179" s="1410" t="n"/>
      <c r="BG179" s="1410" t="n"/>
      <c r="BH179" s="1410" t="n"/>
      <c r="BI179" s="1410" t="n"/>
      <c r="BJ179" s="1416" t="n">
        <v>0.12</v>
      </c>
      <c r="BK179" s="1410" t="n"/>
      <c r="BL179" s="1410" t="n"/>
      <c r="BM179" s="1410" t="n"/>
      <c r="BN179" s="1410" t="n"/>
      <c r="BO179" s="1461" t="n"/>
      <c r="BP179" s="1410" t="n"/>
      <c r="BQ179" s="1410" t="n"/>
      <c r="BR179" s="1410" t="n"/>
      <c r="BS179" s="1410" t="n"/>
      <c r="BT179" s="1409" t="n"/>
      <c r="BU179" s="1410" t="n"/>
      <c r="BV179" s="1410" t="n"/>
      <c r="BW179" s="1410" t="n"/>
      <c r="BX179" s="1410" t="n"/>
      <c r="BY179" s="1409" t="n"/>
      <c r="BZ179" s="1409" t="n"/>
      <c r="CA179" s="1409" t="n"/>
      <c r="CB179" s="1409" t="n"/>
      <c r="CC179" s="1294" t="n"/>
    </row>
    <row r="180" hidden="1" outlineLevel="2" ht="14.4" customFormat="1" customHeight="1" s="1350">
      <c r="A180" s="1471" t="inlineStr">
        <is>
          <t>Total Percentage of Revenue, %</t>
        </is>
      </c>
      <c r="B180" s="1472" t="n"/>
      <c r="C180" s="1419">
        <f>SUM(C178:C179)</f>
        <v/>
      </c>
      <c r="D180" s="1419">
        <f>SUM(D178:D179)</f>
        <v/>
      </c>
      <c r="E180" s="1419">
        <f>SUM(E178:E179)</f>
        <v/>
      </c>
      <c r="F180" s="1419">
        <f>SUM(F178:F179)</f>
        <v/>
      </c>
      <c r="G180" s="1419">
        <f>SUM(G178:G179)</f>
        <v/>
      </c>
      <c r="H180" s="1421" t="n"/>
      <c r="I180" s="1421" t="n"/>
      <c r="J180" s="1421" t="n"/>
      <c r="K180" s="1421" t="n"/>
      <c r="L180" s="1419">
        <f>SUM(L178:L179)</f>
        <v/>
      </c>
      <c r="M180" s="1421" t="n"/>
      <c r="N180" s="1421" t="n"/>
      <c r="O180" s="1421" t="n"/>
      <c r="P180" s="1421" t="n"/>
      <c r="Q180" s="1419">
        <f>SUM(Q178:Q179)</f>
        <v/>
      </c>
      <c r="R180" s="1421" t="n"/>
      <c r="S180" s="1421" t="n"/>
      <c r="T180" s="1421" t="n"/>
      <c r="U180" s="1421" t="n"/>
      <c r="V180" s="1419">
        <f>SUM(V178:V179)</f>
        <v/>
      </c>
      <c r="W180" s="1421" t="n"/>
      <c r="X180" s="1421" t="n"/>
      <c r="Y180" s="1421" t="n"/>
      <c r="Z180" s="1421" t="n"/>
      <c r="AA180" s="1419">
        <f>SUM(AA178:AA179)</f>
        <v/>
      </c>
      <c r="AB180" s="1421" t="n"/>
      <c r="AC180" s="1421" t="n"/>
      <c r="AD180" s="1421" t="n"/>
      <c r="AE180" s="1421" t="n"/>
      <c r="AF180" s="1419">
        <f>SUM(AF178:AF179)</f>
        <v/>
      </c>
      <c r="AG180" s="1421" t="n"/>
      <c r="AH180" s="1421" t="n"/>
      <c r="AI180" s="1421" t="n"/>
      <c r="AJ180" s="1421" t="n"/>
      <c r="AK180" s="1419">
        <f>SUM(AK178:AK179)</f>
        <v/>
      </c>
      <c r="AL180" s="1421" t="n"/>
      <c r="AM180" s="1421" t="n"/>
      <c r="AN180" s="1421" t="n"/>
      <c r="AO180" s="1421" t="n"/>
      <c r="AP180" s="1423">
        <f>SUM(AP178:AP179)</f>
        <v/>
      </c>
      <c r="AQ180" s="1421" t="n"/>
      <c r="AR180" s="1421" t="n"/>
      <c r="AS180" s="1421" t="n"/>
      <c r="AT180" s="1421" t="n"/>
      <c r="AU180" s="1423">
        <f>SUM(AU178:AU179)</f>
        <v/>
      </c>
      <c r="AV180" s="1421" t="n"/>
      <c r="AW180" s="1421" t="n"/>
      <c r="AX180" s="1421" t="n"/>
      <c r="AY180" s="1421" t="n"/>
      <c r="AZ180" s="1423">
        <f>SUM(AZ178:AZ179)</f>
        <v/>
      </c>
      <c r="BA180" s="1421" t="n"/>
      <c r="BB180" s="1421" t="n"/>
      <c r="BC180" s="1421" t="n"/>
      <c r="BD180" s="1421" t="n"/>
      <c r="BE180" s="1423">
        <f>SUM(BE178:BE179)</f>
        <v/>
      </c>
      <c r="BF180" s="1421" t="n"/>
      <c r="BG180" s="1421" t="n"/>
      <c r="BH180" s="1421" t="n"/>
      <c r="BI180" s="1421" t="n"/>
      <c r="BJ180" s="1423">
        <f>SUM(BJ178:BJ179)</f>
        <v/>
      </c>
      <c r="BK180" s="1421" t="n"/>
      <c r="BL180" s="1421" t="n"/>
      <c r="BM180" s="1421" t="n"/>
      <c r="BN180" s="1421" t="n"/>
      <c r="BO180" s="1462" t="n"/>
      <c r="BP180" s="1421" t="n"/>
      <c r="BQ180" s="1421" t="n"/>
      <c r="BR180" s="1421" t="n"/>
      <c r="BS180" s="1421" t="n"/>
      <c r="BT180" s="1423" t="n"/>
      <c r="BU180" s="1421" t="n"/>
      <c r="BV180" s="1421" t="n"/>
      <c r="BW180" s="1421" t="n"/>
      <c r="BX180" s="1421" t="n"/>
      <c r="BY180" s="1423" t="n"/>
      <c r="BZ180" s="1423" t="n"/>
      <c r="CA180" s="1423" t="n"/>
      <c r="CB180" s="1423" t="n"/>
      <c r="CC180" s="1356" t="n"/>
    </row>
    <row r="181" hidden="1" outlineLevel="1" collapsed="1" ht="14.4" customFormat="1" customHeight="1" s="1350">
      <c r="A181" s="1458" t="n"/>
      <c r="B181" s="1459" t="n"/>
      <c r="C181" s="1353" t="n"/>
      <c r="D181" s="1353" t="n"/>
      <c r="E181" s="1353" t="n"/>
      <c r="F181" s="1353" t="n"/>
      <c r="G181" s="1353" t="n"/>
      <c r="H181" s="1354" t="n"/>
      <c r="I181" s="1354" t="n"/>
      <c r="J181" s="1354" t="n"/>
      <c r="K181" s="1354" t="n"/>
      <c r="L181" s="1353" t="n"/>
      <c r="M181" s="1354" t="n"/>
      <c r="N181" s="1354" t="n"/>
      <c r="O181" s="1354" t="n"/>
      <c r="P181" s="1354" t="n"/>
      <c r="Q181" s="1353" t="n"/>
      <c r="R181" s="1354" t="n"/>
      <c r="S181" s="1354" t="n"/>
      <c r="T181" s="1354" t="n"/>
      <c r="U181" s="1354" t="n"/>
      <c r="V181" s="1353" t="n"/>
      <c r="W181" s="1354" t="n"/>
      <c r="X181" s="1354" t="n"/>
      <c r="Y181" s="1354" t="n"/>
      <c r="Z181" s="1354" t="n"/>
      <c r="AA181" s="1353" t="n"/>
      <c r="AB181" s="1354" t="n"/>
      <c r="AC181" s="1354" t="n"/>
      <c r="AD181" s="1354" t="n"/>
      <c r="AE181" s="1354" t="n"/>
      <c r="AF181" s="1353" t="n"/>
      <c r="AG181" s="1354" t="n"/>
      <c r="AH181" s="1354" t="n"/>
      <c r="AI181" s="1354" t="n"/>
      <c r="AJ181" s="1354" t="n"/>
      <c r="AK181" s="1353" t="n"/>
      <c r="AL181" s="1354" t="n"/>
      <c r="AM181" s="1354" t="n"/>
      <c r="AN181" s="1354" t="n"/>
      <c r="AO181" s="1354" t="n"/>
      <c r="AP181" s="1353" t="n"/>
      <c r="AQ181" s="1354" t="n"/>
      <c r="AR181" s="1354" t="n"/>
      <c r="AS181" s="1354" t="n"/>
      <c r="AT181" s="1354" t="n"/>
      <c r="AU181" s="1353" t="n"/>
      <c r="AV181" s="1354" t="n"/>
      <c r="AW181" s="1354" t="n"/>
      <c r="AX181" s="1354" t="n"/>
      <c r="AY181" s="1354" t="n"/>
      <c r="AZ181" s="1353" t="n"/>
      <c r="BA181" s="1354" t="n"/>
      <c r="BB181" s="1354" t="n"/>
      <c r="BC181" s="1354" t="n"/>
      <c r="BD181" s="1354" t="n"/>
      <c r="BE181" s="1353" t="n"/>
      <c r="BF181" s="1354" t="n"/>
      <c r="BG181" s="1354" t="n"/>
      <c r="BH181" s="1354" t="n"/>
      <c r="BI181" s="1354" t="n"/>
      <c r="BJ181" s="1353" t="n"/>
      <c r="BK181" s="1354" t="n"/>
      <c r="BL181" s="1354" t="n"/>
      <c r="BM181" s="1354" t="n"/>
      <c r="BN181" s="1354" t="n"/>
      <c r="BO181" s="1355" t="n"/>
      <c r="BP181" s="1354" t="n"/>
      <c r="BQ181" s="1354" t="n"/>
      <c r="BR181" s="1354" t="n"/>
      <c r="BS181" s="1354" t="n"/>
      <c r="BT181" s="1353" t="n"/>
      <c r="BU181" s="1354" t="n"/>
      <c r="BV181" s="1354" t="n"/>
      <c r="BW181" s="1354" t="n"/>
      <c r="BX181" s="1354" t="n"/>
      <c r="BY181" s="1353" t="n"/>
      <c r="BZ181" s="1353" t="n"/>
      <c r="CA181" s="1353" t="n"/>
      <c r="CB181" s="1353" t="n"/>
      <c r="CC181" s="1356" t="n"/>
    </row>
    <row r="182" hidden="1" outlineLevel="1" ht="14.4" customFormat="1" customHeight="1" s="1275">
      <c r="A182" s="1357" t="inlineStr">
        <is>
          <t>Key Metrics - AI Processors Revenue (CC)</t>
        </is>
      </c>
      <c r="B182" s="1358" t="n"/>
      <c r="C182" s="1358" t="n"/>
      <c r="D182" s="1358" t="n"/>
      <c r="E182" s="1358" t="n"/>
      <c r="F182" s="1358" t="n"/>
      <c r="G182" s="1358" t="n"/>
      <c r="H182" s="1358" t="n"/>
      <c r="I182" s="1358" t="n"/>
      <c r="J182" s="1358" t="n"/>
      <c r="K182" s="1358" t="n"/>
      <c r="L182" s="1358" t="n"/>
      <c r="M182" s="1358" t="n"/>
      <c r="N182" s="1358" t="n"/>
      <c r="O182" s="1358" t="n"/>
      <c r="P182" s="1358" t="n"/>
      <c r="Q182" s="1358" t="n"/>
      <c r="R182" s="1358" t="n"/>
      <c r="S182" s="1358" t="n"/>
      <c r="T182" s="1358" t="n"/>
      <c r="U182" s="1358" t="n"/>
      <c r="V182" s="1358" t="n"/>
      <c r="W182" s="1358" t="n"/>
      <c r="X182" s="1358" t="n"/>
      <c r="Y182" s="1358" t="n"/>
      <c r="Z182" s="1358" t="n"/>
      <c r="AA182" s="1358" t="n"/>
      <c r="AB182" s="1358" t="n"/>
      <c r="AC182" s="1358" t="n"/>
      <c r="AD182" s="1358" t="n"/>
      <c r="AE182" s="1358" t="n"/>
      <c r="AF182" s="1358" t="n"/>
      <c r="AG182" s="1358" t="n"/>
      <c r="AH182" s="1358" t="n"/>
      <c r="AI182" s="1358" t="n"/>
      <c r="AJ182" s="1358" t="n"/>
      <c r="AK182" s="1358" t="n"/>
      <c r="AL182" s="1358" t="n"/>
      <c r="AM182" s="1358" t="n"/>
      <c r="AN182" s="1358" t="n"/>
      <c r="AO182" s="1358" t="n"/>
      <c r="AP182" s="1358" t="n"/>
      <c r="AQ182" s="1358" t="n"/>
      <c r="AR182" s="1358" t="n"/>
      <c r="AS182" s="1358" t="n"/>
      <c r="AT182" s="1358" t="n"/>
      <c r="AU182" s="1358" t="n"/>
      <c r="AV182" s="1358" t="n"/>
      <c r="AW182" s="1358" t="n"/>
      <c r="AX182" s="1358" t="n"/>
      <c r="AY182" s="1358" t="n"/>
      <c r="AZ182" s="1358" t="n"/>
      <c r="BA182" s="1358" t="n"/>
      <c r="BB182" s="1358" t="n"/>
      <c r="BC182" s="1358" t="n"/>
      <c r="BD182" s="1358" t="n"/>
      <c r="BE182" s="1358" t="n"/>
      <c r="BF182" s="1358" t="n"/>
      <c r="BG182" s="1358" t="n"/>
      <c r="BH182" s="1358" t="n"/>
      <c r="BI182" s="1358" t="n"/>
      <c r="BJ182" s="1358" t="n"/>
      <c r="BK182" s="1358" t="n"/>
      <c r="BL182" s="1358" t="n"/>
      <c r="BM182" s="1358" t="n"/>
      <c r="BN182" s="1358" t="n"/>
      <c r="BO182" s="1359" t="n"/>
      <c r="BP182" s="1358" t="n"/>
      <c r="BQ182" s="1358" t="n"/>
      <c r="BR182" s="1358" t="n"/>
      <c r="BS182" s="1358" t="n"/>
      <c r="BT182" s="1358" t="n"/>
      <c r="BU182" s="1358" t="n"/>
      <c r="BV182" s="1358" t="n"/>
      <c r="BW182" s="1358" t="n"/>
      <c r="BX182" s="1358" t="n"/>
      <c r="BY182" s="1358" t="n"/>
      <c r="BZ182" s="1358" t="n"/>
      <c r="CA182" s="1358" t="n"/>
      <c r="CB182" s="1358" t="n"/>
      <c r="CC182" s="1280" t="n"/>
    </row>
    <row r="183" hidden="1" outlineLevel="2" ht="14.4" customFormat="1" customHeight="1" s="1290">
      <c r="A183" s="1473" t="inlineStr">
        <is>
          <t>AI Processors revenue contribution, %</t>
        </is>
      </c>
      <c r="B183" s="1443" t="n"/>
      <c r="C183" s="1369" t="n"/>
      <c r="D183" s="1369" t="n"/>
      <c r="E183" s="1369" t="n"/>
      <c r="F183" s="1369" t="n"/>
      <c r="G183" s="1369" t="n"/>
      <c r="H183" s="1370" t="n"/>
      <c r="I183" s="1370" t="n"/>
      <c r="J183" s="1370" t="n"/>
      <c r="K183" s="1370" t="n"/>
      <c r="L183" s="1369" t="n"/>
      <c r="M183" s="1370" t="n"/>
      <c r="N183" s="1370" t="n"/>
      <c r="O183" s="1370" t="n"/>
      <c r="P183" s="1370" t="n"/>
      <c r="Q183" s="1369" t="n"/>
      <c r="R183" s="1370" t="n"/>
      <c r="S183" s="1370" t="n"/>
      <c r="T183" s="1370" t="n"/>
      <c r="U183" s="1370" t="n"/>
      <c r="V183" s="1369" t="n"/>
      <c r="W183" s="1370" t="n"/>
      <c r="X183" s="1370" t="n"/>
      <c r="Y183" s="1370" t="n"/>
      <c r="Z183" s="1370" t="n"/>
      <c r="AA183" s="1369" t="n"/>
      <c r="AB183" s="1370" t="n"/>
      <c r="AC183" s="1370" t="n"/>
      <c r="AD183" s="1370" t="n"/>
      <c r="AE183" s="1370" t="n"/>
      <c r="AF183" s="1369" t="n"/>
      <c r="AG183" s="1370" t="n"/>
      <c r="AH183" s="1370" t="n"/>
      <c r="AI183" s="1370" t="n"/>
      <c r="AJ183" s="1370" t="n"/>
      <c r="AK183" s="1369" t="n"/>
      <c r="AL183" s="1370" t="n"/>
      <c r="AM183" s="1370" t="n"/>
      <c r="AN183" s="1370" t="n"/>
      <c r="AO183" s="1370" t="n"/>
      <c r="AP183" s="1369" t="n"/>
      <c r="AQ183" s="1370" t="n"/>
      <c r="AR183" s="1370" t="n"/>
      <c r="AS183" s="1370" t="n"/>
      <c r="AT183" s="1370" t="n"/>
      <c r="AU183" s="1369" t="n"/>
      <c r="AV183" s="1370" t="n"/>
      <c r="AW183" s="1370" t="n"/>
      <c r="AX183" s="1370" t="n"/>
      <c r="AY183" s="1370" t="n"/>
      <c r="AZ183" s="1369" t="n"/>
      <c r="BA183" s="1370" t="n"/>
      <c r="BB183" s="1370" t="n"/>
      <c r="BC183" s="1370" t="n"/>
      <c r="BD183" s="1370" t="n"/>
      <c r="BE183" s="1369">
        <f>+BJ183/2</f>
        <v/>
      </c>
      <c r="BF183" s="1370" t="n"/>
      <c r="BG183" s="1370" t="n"/>
      <c r="BH183" s="1370" t="n"/>
      <c r="BI183" s="1370" t="n"/>
      <c r="BJ183" s="1405" t="n">
        <v>0.15</v>
      </c>
      <c r="BK183" s="1370" t="n"/>
      <c r="BL183" s="1370" t="n"/>
      <c r="BM183" s="1370" t="n"/>
      <c r="BN183" s="1370" t="n"/>
      <c r="BO183" s="1371" t="n"/>
      <c r="BP183" s="1370" t="n"/>
      <c r="BQ183" s="1370" t="n"/>
      <c r="BR183" s="1370" t="n"/>
      <c r="BS183" s="1370" t="n"/>
      <c r="BT183" s="1369" t="n"/>
      <c r="BU183" s="1370" t="n"/>
      <c r="BV183" s="1370" t="n"/>
      <c r="BW183" s="1370" t="n"/>
      <c r="BX183" s="1370" t="n"/>
      <c r="BY183" s="1369" t="n"/>
      <c r="BZ183" s="1369" t="n"/>
      <c r="CA183" s="1369">
        <f>+CA184/CA25</f>
        <v/>
      </c>
      <c r="CB183" s="1369">
        <f>+CB184/CB25</f>
        <v/>
      </c>
      <c r="CC183" s="1294" t="n"/>
    </row>
    <row r="184" hidden="1" outlineLevel="2" ht="14.4" customFormat="1" customHeight="1" s="1373">
      <c r="A184" s="1474" t="inlineStr">
        <is>
          <t>AI Processors revenue contribution (Calculated), mm</t>
        </is>
      </c>
      <c r="B184" s="1439" t="n"/>
      <c r="C184" s="1376" t="n"/>
      <c r="D184" s="1376" t="n"/>
      <c r="E184" s="1376" t="n"/>
      <c r="F184" s="1376" t="n"/>
      <c r="G184" s="1376" t="n"/>
      <c r="H184" s="1278" t="n"/>
      <c r="I184" s="1278" t="n"/>
      <c r="J184" s="1278" t="n"/>
      <c r="K184" s="1278" t="n"/>
      <c r="L184" s="1376" t="n"/>
      <c r="M184" s="1278" t="n"/>
      <c r="N184" s="1278" t="n"/>
      <c r="O184" s="1278" t="n"/>
      <c r="P184" s="1278" t="n"/>
      <c r="Q184" s="1376" t="n"/>
      <c r="R184" s="1278" t="n"/>
      <c r="S184" s="1278" t="n"/>
      <c r="T184" s="1278" t="n"/>
      <c r="U184" s="1278" t="n"/>
      <c r="V184" s="1376" t="n"/>
      <c r="W184" s="1278" t="n"/>
      <c r="X184" s="1278" t="n"/>
      <c r="Y184" s="1278" t="n"/>
      <c r="Z184" s="1278" t="n"/>
      <c r="AA184" s="1376" t="n"/>
      <c r="AB184" s="1278" t="n"/>
      <c r="AC184" s="1278" t="n"/>
      <c r="AD184" s="1278" t="n"/>
      <c r="AE184" s="1278" t="n"/>
      <c r="AF184" s="1376" t="n"/>
      <c r="AG184" s="1278" t="n"/>
      <c r="AH184" s="1278" t="n"/>
      <c r="AI184" s="1278" t="n"/>
      <c r="AJ184" s="1278" t="n"/>
      <c r="AK184" s="1376" t="n"/>
      <c r="AL184" s="1278" t="n"/>
      <c r="AM184" s="1278" t="n"/>
      <c r="AN184" s="1278" t="n"/>
      <c r="AO184" s="1278" t="n"/>
      <c r="AP184" s="1376" t="n"/>
      <c r="AQ184" s="1278" t="n"/>
      <c r="AR184" s="1278" t="n"/>
      <c r="AS184" s="1278" t="n"/>
      <c r="AT184" s="1278" t="n"/>
      <c r="AU184" s="1376" t="n"/>
      <c r="AV184" s="1278" t="n"/>
      <c r="AW184" s="1278" t="n"/>
      <c r="AX184" s="1278" t="n"/>
      <c r="AY184" s="1278" t="n"/>
      <c r="AZ184" s="1376" t="n"/>
      <c r="BA184" s="1278" t="n"/>
      <c r="BB184" s="1278" t="n"/>
      <c r="BC184" s="1278" t="n"/>
      <c r="BD184" s="1278" t="n"/>
      <c r="BE184" s="1376">
        <f>+BE183*BE25</f>
        <v/>
      </c>
      <c r="BF184" s="1278" t="n"/>
      <c r="BG184" s="1278" t="n"/>
      <c r="BH184" s="1278" t="n"/>
      <c r="BI184" s="1278" t="n"/>
      <c r="BJ184" s="1376">
        <f>+BJ183*BJ25</f>
        <v/>
      </c>
      <c r="BK184" s="1278" t="n"/>
      <c r="BL184" s="1278" t="n"/>
      <c r="BM184" s="1278" t="n"/>
      <c r="BN184" s="1278" t="n"/>
      <c r="BO184" s="1377" t="n"/>
      <c r="BP184" s="1278" t="n"/>
      <c r="BQ184" s="1278" t="n"/>
      <c r="BR184" s="1278" t="n"/>
      <c r="BS184" s="1278" t="n"/>
      <c r="BT184" s="1376" t="n"/>
      <c r="BU184" s="1278" t="n"/>
      <c r="BV184" s="1278" t="n"/>
      <c r="BW184" s="1278" t="n"/>
      <c r="BX184" s="1278" t="n"/>
      <c r="BY184" s="1376" t="n"/>
      <c r="BZ184" s="1376" t="n"/>
      <c r="CA184" s="1376">
        <f>+BJ184*(1+BJ186)^5</f>
        <v/>
      </c>
      <c r="CB184" s="1376">
        <f>+BO184*(1+BO186)^5</f>
        <v/>
      </c>
      <c r="CC184" s="1380" t="n"/>
    </row>
    <row r="185" hidden="1" outlineLevel="2" ht="14.4" customFormat="1" customHeight="1" s="1302">
      <c r="A185" s="1475" t="inlineStr">
        <is>
          <t>Y/Y Growth of AI Processors revenue, %</t>
        </is>
      </c>
      <c r="B185" s="1476" t="n"/>
      <c r="C185" s="1305" t="n"/>
      <c r="D185" s="1305" t="n"/>
      <c r="E185" s="1305" t="n"/>
      <c r="F185" s="1305" t="n"/>
      <c r="G185" s="1305" t="n"/>
      <c r="H185" s="1306" t="n"/>
      <c r="I185" s="1306" t="n"/>
      <c r="J185" s="1306" t="n"/>
      <c r="K185" s="1306" t="n"/>
      <c r="L185" s="1305" t="n"/>
      <c r="M185" s="1306" t="n"/>
      <c r="N185" s="1306" t="n"/>
      <c r="O185" s="1306" t="n"/>
      <c r="P185" s="1306" t="n"/>
      <c r="Q185" s="1305" t="n"/>
      <c r="R185" s="1306" t="n"/>
      <c r="S185" s="1306" t="n"/>
      <c r="T185" s="1306" t="n"/>
      <c r="U185" s="1306" t="n"/>
      <c r="V185" s="1305" t="n"/>
      <c r="W185" s="1306" t="n"/>
      <c r="X185" s="1306" t="n"/>
      <c r="Y185" s="1306" t="n"/>
      <c r="Z185" s="1306" t="n"/>
      <c r="AA185" s="1305" t="n"/>
      <c r="AB185" s="1306" t="n"/>
      <c r="AC185" s="1306" t="n"/>
      <c r="AD185" s="1306" t="n"/>
      <c r="AE185" s="1306" t="n"/>
      <c r="AF185" s="1305" t="n"/>
      <c r="AG185" s="1306" t="n"/>
      <c r="AH185" s="1306" t="n"/>
      <c r="AI185" s="1306" t="n"/>
      <c r="AJ185" s="1306" t="n"/>
      <c r="AK185" s="1305" t="n"/>
      <c r="AL185" s="1306" t="n"/>
      <c r="AM185" s="1306" t="n"/>
      <c r="AN185" s="1306" t="n"/>
      <c r="AO185" s="1306" t="n"/>
      <c r="AP185" s="1305" t="n"/>
      <c r="AQ185" s="1306" t="n"/>
      <c r="AR185" s="1306" t="n"/>
      <c r="AS185" s="1306" t="n"/>
      <c r="AT185" s="1306" t="n"/>
      <c r="AU185" s="1305" t="n"/>
      <c r="AV185" s="1306" t="n"/>
      <c r="AW185" s="1306" t="n"/>
      <c r="AX185" s="1306" t="n"/>
      <c r="AY185" s="1306" t="n"/>
      <c r="AZ185" s="1305" t="n"/>
      <c r="BA185" s="1306" t="n"/>
      <c r="BB185" s="1306" t="n"/>
      <c r="BC185" s="1306" t="n"/>
      <c r="BD185" s="1306" t="n"/>
      <c r="BE185" s="1305" t="n"/>
      <c r="BF185" s="1306" t="n"/>
      <c r="BG185" s="1306" t="n"/>
      <c r="BH185" s="1306" t="n"/>
      <c r="BI185" s="1306" t="n"/>
      <c r="BJ185" s="1305" t="n"/>
      <c r="BK185" s="1306" t="n"/>
      <c r="BL185" s="1306" t="n"/>
      <c r="BM185" s="1306" t="n"/>
      <c r="BN185" s="1306" t="n"/>
      <c r="BO185" s="1308" t="n"/>
      <c r="BP185" s="1306" t="n"/>
      <c r="BQ185" s="1306" t="n"/>
      <c r="BR185" s="1306" t="n"/>
      <c r="BS185" s="1306" t="n"/>
      <c r="BT185" s="1305" t="n"/>
      <c r="BU185" s="1306" t="n"/>
      <c r="BV185" s="1306" t="n"/>
      <c r="BW185" s="1306" t="n"/>
      <c r="BX185" s="1306" t="n"/>
      <c r="BY185" s="1305" t="n"/>
      <c r="BZ185" s="1305" t="n"/>
      <c r="CA185" s="1305" t="n"/>
      <c r="CB185" s="1305" t="n"/>
      <c r="CC185" s="1307" t="n"/>
    </row>
    <row r="186" hidden="1" outlineLevel="2" ht="14.4" customFormat="1" customHeight="1" s="1302">
      <c r="A186" s="1475" t="inlineStr">
        <is>
          <t>5-Yr CAGR of AI Processors revenue (2024 - 2028), %</t>
        </is>
      </c>
      <c r="B186" s="1476" t="n"/>
      <c r="C186" s="1305" t="n"/>
      <c r="D186" s="1305" t="n"/>
      <c r="E186" s="1305" t="n"/>
      <c r="F186" s="1305" t="n"/>
      <c r="G186" s="1305" t="n"/>
      <c r="H186" s="1306" t="n"/>
      <c r="I186" s="1306" t="n"/>
      <c r="J186" s="1306" t="n"/>
      <c r="K186" s="1306" t="n"/>
      <c r="L186" s="1305" t="n"/>
      <c r="M186" s="1306" t="n"/>
      <c r="N186" s="1306" t="n"/>
      <c r="O186" s="1306" t="n"/>
      <c r="P186" s="1306" t="n"/>
      <c r="Q186" s="1305" t="n"/>
      <c r="R186" s="1306" t="n"/>
      <c r="S186" s="1306" t="n"/>
      <c r="T186" s="1306" t="n"/>
      <c r="U186" s="1306" t="n"/>
      <c r="V186" s="1305" t="n"/>
      <c r="W186" s="1306" t="n"/>
      <c r="X186" s="1306" t="n"/>
      <c r="Y186" s="1306" t="n"/>
      <c r="Z186" s="1306" t="n"/>
      <c r="AA186" s="1305" t="n"/>
      <c r="AB186" s="1306" t="n"/>
      <c r="AC186" s="1306" t="n"/>
      <c r="AD186" s="1306" t="n"/>
      <c r="AE186" s="1306" t="n"/>
      <c r="AF186" s="1305" t="n"/>
      <c r="AG186" s="1306" t="n"/>
      <c r="AH186" s="1306" t="n"/>
      <c r="AI186" s="1306" t="n"/>
      <c r="AJ186" s="1306" t="n"/>
      <c r="AK186" s="1305" t="n"/>
      <c r="AL186" s="1306" t="n"/>
      <c r="AM186" s="1306" t="n"/>
      <c r="AN186" s="1306" t="n"/>
      <c r="AO186" s="1306" t="n"/>
      <c r="AP186" s="1305" t="n"/>
      <c r="AQ186" s="1306" t="n"/>
      <c r="AR186" s="1306" t="n"/>
      <c r="AS186" s="1306" t="n"/>
      <c r="AT186" s="1306" t="n"/>
      <c r="AU186" s="1305" t="n"/>
      <c r="AV186" s="1306" t="n"/>
      <c r="AW186" s="1306" t="n"/>
      <c r="AX186" s="1306" t="n"/>
      <c r="AY186" s="1306" t="n"/>
      <c r="AZ186" s="1305" t="n"/>
      <c r="BA186" s="1306" t="n"/>
      <c r="BB186" s="1306" t="n"/>
      <c r="BC186" s="1306" t="n"/>
      <c r="BD186" s="1306" t="n"/>
      <c r="BE186" s="1477" t="n">
        <v>0.5</v>
      </c>
      <c r="BF186" s="1478" t="n">
        <v>0.5</v>
      </c>
      <c r="BG186" s="1306" t="n"/>
      <c r="BH186" s="1306" t="n"/>
      <c r="BI186" s="1306" t="n"/>
      <c r="BJ186" s="1477" t="n">
        <v>0.2</v>
      </c>
      <c r="BK186" s="1306" t="n"/>
      <c r="BL186" s="1306" t="n"/>
      <c r="BM186" s="1306" t="n"/>
      <c r="BN186" s="1306" t="n"/>
      <c r="BO186" s="1308" t="n"/>
      <c r="BP186" s="1306" t="n"/>
      <c r="BQ186" s="1306" t="n"/>
      <c r="BR186" s="1306" t="n"/>
      <c r="BS186" s="1306" t="n"/>
      <c r="BT186" s="1305" t="n"/>
      <c r="BU186" s="1306" t="n"/>
      <c r="BV186" s="1306" t="n"/>
      <c r="BW186" s="1306" t="n"/>
      <c r="BX186" s="1306" t="n"/>
      <c r="BY186" s="1305" t="n"/>
      <c r="BZ186" s="1305" t="n"/>
      <c r="CA186" s="1305" t="n"/>
      <c r="CB186" s="1305" t="n"/>
      <c r="CC186" s="1307" t="n"/>
    </row>
    <row r="187" hidden="1" outlineLevel="1" collapsed="1" ht="14.4" customFormat="1" customHeight="1" s="1350">
      <c r="A187" s="1458" t="n"/>
      <c r="B187" s="1459" t="n"/>
      <c r="C187" s="1353" t="n"/>
      <c r="D187" s="1353" t="n"/>
      <c r="E187" s="1353" t="n"/>
      <c r="F187" s="1353" t="n"/>
      <c r="G187" s="1353" t="n"/>
      <c r="H187" s="1354" t="n"/>
      <c r="I187" s="1354" t="n"/>
      <c r="J187" s="1354" t="n"/>
      <c r="K187" s="1354" t="n"/>
      <c r="L187" s="1353" t="n"/>
      <c r="M187" s="1354" t="n"/>
      <c r="N187" s="1354" t="n"/>
      <c r="O187" s="1354" t="n"/>
      <c r="P187" s="1354" t="n"/>
      <c r="Q187" s="1353" t="n"/>
      <c r="R187" s="1354" t="n"/>
      <c r="S187" s="1354" t="n"/>
      <c r="T187" s="1354" t="n"/>
      <c r="U187" s="1354" t="n"/>
      <c r="V187" s="1353" t="n"/>
      <c r="W187" s="1354" t="n"/>
      <c r="X187" s="1354" t="n"/>
      <c r="Y187" s="1354" t="n"/>
      <c r="Z187" s="1354" t="n"/>
      <c r="AA187" s="1353" t="n"/>
      <c r="AB187" s="1354" t="n"/>
      <c r="AC187" s="1354" t="n"/>
      <c r="AD187" s="1354" t="n"/>
      <c r="AE187" s="1354" t="n"/>
      <c r="AF187" s="1353" t="n"/>
      <c r="AG187" s="1354" t="n"/>
      <c r="AH187" s="1354" t="n"/>
      <c r="AI187" s="1354" t="n"/>
      <c r="AJ187" s="1354" t="n"/>
      <c r="AK187" s="1353" t="n"/>
      <c r="AL187" s="1354" t="n"/>
      <c r="AM187" s="1354" t="n"/>
      <c r="AN187" s="1354" t="n"/>
      <c r="AO187" s="1354" t="n"/>
      <c r="AP187" s="1353" t="n"/>
      <c r="AQ187" s="1354" t="n"/>
      <c r="AR187" s="1354" t="n"/>
      <c r="AS187" s="1354" t="n"/>
      <c r="AT187" s="1354" t="n"/>
      <c r="AU187" s="1353" t="n"/>
      <c r="AV187" s="1354" t="n"/>
      <c r="AW187" s="1354" t="n"/>
      <c r="AX187" s="1354" t="n"/>
      <c r="AY187" s="1354" t="n"/>
      <c r="AZ187" s="1353" t="n"/>
      <c r="BA187" s="1354" t="n"/>
      <c r="BB187" s="1354" t="n"/>
      <c r="BC187" s="1354" t="n"/>
      <c r="BD187" s="1354" t="n"/>
      <c r="BE187" s="1353" t="n"/>
      <c r="BF187" s="1354" t="n"/>
      <c r="BG187" s="1354" t="n"/>
      <c r="BH187" s="1354" t="n"/>
      <c r="BI187" s="1354" t="n"/>
      <c r="BJ187" s="1353" t="n"/>
      <c r="BK187" s="1354" t="n"/>
      <c r="BL187" s="1354" t="n"/>
      <c r="BM187" s="1354" t="n"/>
      <c r="BN187" s="1354" t="n"/>
      <c r="BO187" s="1355" t="n"/>
      <c r="BP187" s="1354" t="n"/>
      <c r="BQ187" s="1354" t="n"/>
      <c r="BR187" s="1354" t="n"/>
      <c r="BS187" s="1354" t="n"/>
      <c r="BT187" s="1353" t="n"/>
      <c r="BU187" s="1354" t="n"/>
      <c r="BV187" s="1354" t="n"/>
      <c r="BW187" s="1354" t="n"/>
      <c r="BX187" s="1354" t="n"/>
      <c r="BY187" s="1353" t="n"/>
      <c r="BZ187" s="1353" t="n"/>
      <c r="CA187" s="1353" t="n"/>
      <c r="CB187" s="1353" t="n"/>
      <c r="CC187" s="1356" t="n"/>
    </row>
    <row r="188" hidden="1" outlineLevel="1" ht="14.4" customFormat="1" customHeight="1" s="1275">
      <c r="A188" s="1357" t="inlineStr">
        <is>
          <t>Key Metrics - Fab Stats (FS)</t>
        </is>
      </c>
      <c r="B188" s="1358" t="n"/>
      <c r="C188" s="1358" t="n"/>
      <c r="D188" s="1358" t="n"/>
      <c r="E188" s="1358" t="n"/>
      <c r="F188" s="1358" t="n"/>
      <c r="G188" s="1358" t="n"/>
      <c r="H188" s="1358" t="n"/>
      <c r="I188" s="1358" t="n"/>
      <c r="J188" s="1358" t="n"/>
      <c r="K188" s="1358" t="n"/>
      <c r="L188" s="1358" t="n"/>
      <c r="M188" s="1358" t="n"/>
      <c r="N188" s="1358" t="n"/>
      <c r="O188" s="1358" t="n"/>
      <c r="P188" s="1358" t="n"/>
      <c r="Q188" s="1358" t="n"/>
      <c r="R188" s="1358" t="n"/>
      <c r="S188" s="1358" t="n"/>
      <c r="T188" s="1358" t="n"/>
      <c r="U188" s="1358" t="n"/>
      <c r="V188" s="1358" t="n"/>
      <c r="W188" s="1358" t="n"/>
      <c r="X188" s="1358" t="n"/>
      <c r="Y188" s="1358" t="n"/>
      <c r="Z188" s="1358" t="n"/>
      <c r="AA188" s="1358" t="n"/>
      <c r="AB188" s="1358" t="n"/>
      <c r="AC188" s="1358" t="n"/>
      <c r="AD188" s="1358" t="n"/>
      <c r="AE188" s="1358" t="n"/>
      <c r="AF188" s="1358" t="n"/>
      <c r="AG188" s="1358" t="n"/>
      <c r="AH188" s="1358" t="n"/>
      <c r="AI188" s="1358" t="n"/>
      <c r="AJ188" s="1358" t="n"/>
      <c r="AK188" s="1358" t="n"/>
      <c r="AL188" s="1358" t="n"/>
      <c r="AM188" s="1358" t="n"/>
      <c r="AN188" s="1358" t="n"/>
      <c r="AO188" s="1358" t="n"/>
      <c r="AP188" s="1358" t="n"/>
      <c r="AQ188" s="1358" t="n"/>
      <c r="AR188" s="1358" t="n"/>
      <c r="AS188" s="1358" t="n"/>
      <c r="AT188" s="1358" t="n"/>
      <c r="AU188" s="1358" t="n"/>
      <c r="AV188" s="1358" t="n"/>
      <c r="AW188" s="1358" t="n"/>
      <c r="AX188" s="1358" t="n"/>
      <c r="AY188" s="1358" t="n"/>
      <c r="AZ188" s="1358" t="n"/>
      <c r="BA188" s="1358" t="n"/>
      <c r="BB188" s="1358" t="n"/>
      <c r="BC188" s="1358" t="n"/>
      <c r="BD188" s="1358" t="n"/>
      <c r="BE188" s="1358" t="n"/>
      <c r="BF188" s="1358" t="n"/>
      <c r="BG188" s="1358" t="n"/>
      <c r="BH188" s="1358" t="n"/>
      <c r="BI188" s="1358" t="n"/>
      <c r="BJ188" s="1358" t="n"/>
      <c r="BK188" s="1358" t="n"/>
      <c r="BL188" s="1358" t="n"/>
      <c r="BM188" s="1358" t="n"/>
      <c r="BN188" s="1358" t="n"/>
      <c r="BO188" s="1359" t="n"/>
      <c r="BP188" s="1358" t="n"/>
      <c r="BQ188" s="1358" t="n"/>
      <c r="BR188" s="1358" t="n"/>
      <c r="BS188" s="1358" t="n"/>
      <c r="BT188" s="1358" t="n"/>
      <c r="BU188" s="1358" t="n"/>
      <c r="BV188" s="1358" t="n"/>
      <c r="BW188" s="1358" t="n"/>
      <c r="BX188" s="1358" t="n"/>
      <c r="BY188" s="1358" t="n"/>
      <c r="BZ188" s="1358" t="n"/>
      <c r="CA188" s="1358" t="n"/>
      <c r="CB188" s="1358" t="n"/>
      <c r="CC188" s="1280" t="n"/>
    </row>
    <row r="189" hidden="1" outlineLevel="2" ht="14.4" customFormat="1" customHeight="1" s="1373">
      <c r="A189" s="1438" t="inlineStr">
        <is>
          <t>Fab 2 most advanced process, nanometer</t>
        </is>
      </c>
      <c r="B189" s="1439" t="n"/>
      <c r="C189" s="1379" t="n">
        <v>450</v>
      </c>
      <c r="D189" s="1379" t="n">
        <v>450</v>
      </c>
      <c r="E189" s="1379" t="n">
        <v>450</v>
      </c>
      <c r="F189" s="1379" t="n">
        <v>450</v>
      </c>
      <c r="G189" s="1379" t="n">
        <v>450</v>
      </c>
      <c r="H189" s="1278" t="n"/>
      <c r="I189" s="1278" t="n"/>
      <c r="J189" s="1278" t="n"/>
      <c r="K189" s="1278" t="n"/>
      <c r="L189" s="1379" t="n">
        <v>450</v>
      </c>
      <c r="M189" s="1278" t="n"/>
      <c r="N189" s="1278" t="n"/>
      <c r="O189" s="1278" t="n"/>
      <c r="P189" s="1278" t="n"/>
      <c r="Q189" s="1379" t="n">
        <v>450</v>
      </c>
      <c r="R189" s="1278" t="n"/>
      <c r="S189" s="1278" t="n"/>
      <c r="T189" s="1278" t="n"/>
      <c r="U189" s="1278" t="n"/>
      <c r="V189" s="1379" t="n">
        <v>450</v>
      </c>
      <c r="W189" s="1278" t="n"/>
      <c r="X189" s="1278" t="n"/>
      <c r="Y189" s="1278" t="n"/>
      <c r="Z189" s="1278" t="n"/>
      <c r="AA189" s="1379" t="n">
        <v>450</v>
      </c>
      <c r="AB189" s="1278" t="n"/>
      <c r="AC189" s="1278" t="n"/>
      <c r="AD189" s="1278" t="n"/>
      <c r="AE189" s="1278" t="n"/>
      <c r="AF189" s="1379" t="n">
        <v>450</v>
      </c>
      <c r="AG189" s="1278" t="n"/>
      <c r="AH189" s="1278" t="n"/>
      <c r="AI189" s="1278" t="n"/>
      <c r="AJ189" s="1278" t="n"/>
      <c r="AK189" s="1379" t="n">
        <v>450</v>
      </c>
      <c r="AL189" s="1278" t="n"/>
      <c r="AM189" s="1278" t="n"/>
      <c r="AN189" s="1278" t="n"/>
      <c r="AO189" s="1278" t="n"/>
      <c r="AP189" s="1379" t="n">
        <v>450</v>
      </c>
      <c r="AQ189" s="1278" t="n"/>
      <c r="AR189" s="1278" t="n"/>
      <c r="AS189" s="1278" t="n"/>
      <c r="AT189" s="1278" t="n"/>
      <c r="AU189" s="1379" t="n">
        <v>450</v>
      </c>
      <c r="AV189" s="1278" t="n"/>
      <c r="AW189" s="1278" t="n"/>
      <c r="AX189" s="1278" t="n"/>
      <c r="AY189" s="1278" t="n"/>
      <c r="AZ189" s="1379" t="n">
        <v>450</v>
      </c>
      <c r="BA189" s="1278" t="n"/>
      <c r="BB189" s="1278" t="n"/>
      <c r="BC189" s="1278" t="n"/>
      <c r="BD189" s="1278" t="n"/>
      <c r="BE189" s="1379" t="n">
        <v>450</v>
      </c>
      <c r="BF189" s="1278" t="n"/>
      <c r="BG189" s="1278" t="n"/>
      <c r="BH189" s="1278" t="n"/>
      <c r="BI189" s="1278" t="n"/>
      <c r="BJ189" s="1379" t="n">
        <v>450</v>
      </c>
      <c r="BK189" s="1278" t="n"/>
      <c r="BL189" s="1278" t="n"/>
      <c r="BM189" s="1278" t="n"/>
      <c r="BN189" s="1278" t="n"/>
      <c r="BO189" s="1377" t="n"/>
      <c r="BP189" s="1278" t="n"/>
      <c r="BQ189" s="1278" t="n"/>
      <c r="BR189" s="1278" t="n"/>
      <c r="BS189" s="1278" t="n"/>
      <c r="BT189" s="1376" t="n"/>
      <c r="BU189" s="1278" t="n"/>
      <c r="BV189" s="1278" t="n"/>
      <c r="BW189" s="1278" t="n"/>
      <c r="BX189" s="1278" t="n"/>
      <c r="BY189" s="1376" t="n"/>
      <c r="BZ189" s="1376" t="n"/>
      <c r="CA189" s="1376" t="n"/>
      <c r="CB189" s="1376" t="n"/>
      <c r="CC189" s="1380" t="n"/>
    </row>
    <row r="190" hidden="1" outlineLevel="2" ht="14.4" customFormat="1" customHeight="1" s="1373">
      <c r="A190" s="1438" t="inlineStr">
        <is>
          <t>Fab 3 most advanced process, nanometer</t>
        </is>
      </c>
      <c r="B190" s="1439" t="n"/>
      <c r="C190" s="1379" t="n">
        <v>150</v>
      </c>
      <c r="D190" s="1379" t="n">
        <v>150</v>
      </c>
      <c r="E190" s="1379" t="n">
        <v>150</v>
      </c>
      <c r="F190" s="1379" t="n">
        <v>150</v>
      </c>
      <c r="G190" s="1379" t="n">
        <v>150</v>
      </c>
      <c r="H190" s="1278" t="n"/>
      <c r="I190" s="1278" t="n"/>
      <c r="J190" s="1278" t="n"/>
      <c r="K190" s="1278" t="n"/>
      <c r="L190" s="1379" t="n">
        <v>150</v>
      </c>
      <c r="M190" s="1278" t="n"/>
      <c r="N190" s="1278" t="n"/>
      <c r="O190" s="1278" t="n"/>
      <c r="P190" s="1278" t="n"/>
      <c r="Q190" s="1379" t="n">
        <v>150</v>
      </c>
      <c r="R190" s="1278" t="n"/>
      <c r="S190" s="1278" t="n"/>
      <c r="T190" s="1278" t="n"/>
      <c r="U190" s="1278" t="n"/>
      <c r="V190" s="1379" t="n">
        <v>150</v>
      </c>
      <c r="W190" s="1278" t="n"/>
      <c r="X190" s="1278" t="n"/>
      <c r="Y190" s="1278" t="n"/>
      <c r="Z190" s="1278" t="n"/>
      <c r="AA190" s="1379" t="n">
        <v>150</v>
      </c>
      <c r="AB190" s="1278" t="n"/>
      <c r="AC190" s="1278" t="n"/>
      <c r="AD190" s="1278" t="n"/>
      <c r="AE190" s="1278" t="n"/>
      <c r="AF190" s="1379" t="n">
        <v>150</v>
      </c>
      <c r="AG190" s="1278" t="n"/>
      <c r="AH190" s="1278" t="n"/>
      <c r="AI190" s="1278" t="n"/>
      <c r="AJ190" s="1278" t="n"/>
      <c r="AK190" s="1379" t="n">
        <v>150</v>
      </c>
      <c r="AL190" s="1278" t="n"/>
      <c r="AM190" s="1278" t="n"/>
      <c r="AN190" s="1278" t="n"/>
      <c r="AO190" s="1278" t="n"/>
      <c r="AP190" s="1379" t="n">
        <v>150</v>
      </c>
      <c r="AQ190" s="1278" t="n"/>
      <c r="AR190" s="1278" t="n"/>
      <c r="AS190" s="1278" t="n"/>
      <c r="AT190" s="1278" t="n"/>
      <c r="AU190" s="1379" t="n">
        <v>150</v>
      </c>
      <c r="AV190" s="1278" t="n"/>
      <c r="AW190" s="1278" t="n"/>
      <c r="AX190" s="1278" t="n"/>
      <c r="AY190" s="1278" t="n"/>
      <c r="AZ190" s="1379" t="n">
        <v>150</v>
      </c>
      <c r="BA190" s="1278" t="n"/>
      <c r="BB190" s="1278" t="n"/>
      <c r="BC190" s="1278" t="n"/>
      <c r="BD190" s="1278" t="n"/>
      <c r="BE190" s="1379" t="n">
        <v>150</v>
      </c>
      <c r="BF190" s="1278" t="n"/>
      <c r="BG190" s="1278" t="n"/>
      <c r="BH190" s="1278" t="n"/>
      <c r="BI190" s="1278" t="n"/>
      <c r="BJ190" s="1379" t="n">
        <v>150</v>
      </c>
      <c r="BK190" s="1278" t="n"/>
      <c r="BL190" s="1278" t="n"/>
      <c r="BM190" s="1278" t="n"/>
      <c r="BN190" s="1278" t="n"/>
      <c r="BO190" s="1377" t="n"/>
      <c r="BP190" s="1278" t="n"/>
      <c r="BQ190" s="1278" t="n"/>
      <c r="BR190" s="1278" t="n"/>
      <c r="BS190" s="1278" t="n"/>
      <c r="BT190" s="1376" t="n"/>
      <c r="BU190" s="1278" t="n"/>
      <c r="BV190" s="1278" t="n"/>
      <c r="BW190" s="1278" t="n"/>
      <c r="BX190" s="1278" t="n"/>
      <c r="BY190" s="1376" t="n"/>
      <c r="BZ190" s="1376" t="n"/>
      <c r="CA190" s="1376" t="n"/>
      <c r="CB190" s="1376" t="n"/>
      <c r="CC190" s="1380" t="n"/>
    </row>
    <row r="191" hidden="1" outlineLevel="2" ht="14.4" customFormat="1" customHeight="1" s="1373">
      <c r="A191" s="1438" t="inlineStr">
        <is>
          <t>Fab 5 most advanced process, nanometer</t>
        </is>
      </c>
      <c r="B191" s="1439" t="n"/>
      <c r="C191" s="1379" t="n">
        <v>150</v>
      </c>
      <c r="D191" s="1379" t="n">
        <v>150</v>
      </c>
      <c r="E191" s="1379" t="n">
        <v>150</v>
      </c>
      <c r="F191" s="1379" t="n">
        <v>150</v>
      </c>
      <c r="G191" s="1379" t="n">
        <v>150</v>
      </c>
      <c r="H191" s="1278" t="n"/>
      <c r="I191" s="1278" t="n"/>
      <c r="J191" s="1278" t="n"/>
      <c r="K191" s="1278" t="n"/>
      <c r="L191" s="1379" t="n">
        <v>150</v>
      </c>
      <c r="M191" s="1278" t="n"/>
      <c r="N191" s="1278" t="n"/>
      <c r="O191" s="1278" t="n"/>
      <c r="P191" s="1278" t="n"/>
      <c r="Q191" s="1379" t="n">
        <v>150</v>
      </c>
      <c r="R191" s="1278" t="n"/>
      <c r="S191" s="1278" t="n"/>
      <c r="T191" s="1278" t="n"/>
      <c r="U191" s="1278" t="n"/>
      <c r="V191" s="1379" t="n">
        <v>150</v>
      </c>
      <c r="W191" s="1278" t="n"/>
      <c r="X191" s="1278" t="n"/>
      <c r="Y191" s="1278" t="n"/>
      <c r="Z191" s="1278" t="n"/>
      <c r="AA191" s="1379" t="n">
        <v>150</v>
      </c>
      <c r="AB191" s="1278" t="n"/>
      <c r="AC191" s="1278" t="n"/>
      <c r="AD191" s="1278" t="n"/>
      <c r="AE191" s="1278" t="n"/>
      <c r="AF191" s="1379" t="n">
        <v>150</v>
      </c>
      <c r="AG191" s="1278" t="n"/>
      <c r="AH191" s="1278" t="n"/>
      <c r="AI191" s="1278" t="n"/>
      <c r="AJ191" s="1278" t="n"/>
      <c r="AK191" s="1379" t="n">
        <v>150</v>
      </c>
      <c r="AL191" s="1278" t="n"/>
      <c r="AM191" s="1278" t="n"/>
      <c r="AN191" s="1278" t="n"/>
      <c r="AO191" s="1278" t="n"/>
      <c r="AP191" s="1379" t="n">
        <v>150</v>
      </c>
      <c r="AQ191" s="1278" t="n"/>
      <c r="AR191" s="1278" t="n"/>
      <c r="AS191" s="1278" t="n"/>
      <c r="AT191" s="1278" t="n"/>
      <c r="AU191" s="1379" t="n">
        <v>150</v>
      </c>
      <c r="AV191" s="1278" t="n"/>
      <c r="AW191" s="1278" t="n"/>
      <c r="AX191" s="1278" t="n"/>
      <c r="AY191" s="1278" t="n"/>
      <c r="AZ191" s="1379" t="n">
        <v>150</v>
      </c>
      <c r="BA191" s="1278" t="n"/>
      <c r="BB191" s="1278" t="n"/>
      <c r="BC191" s="1278" t="n"/>
      <c r="BD191" s="1278" t="n"/>
      <c r="BE191" s="1379" t="n">
        <v>150</v>
      </c>
      <c r="BF191" s="1278" t="n"/>
      <c r="BG191" s="1278" t="n"/>
      <c r="BH191" s="1278" t="n"/>
      <c r="BI191" s="1278" t="n"/>
      <c r="BJ191" s="1379" t="n">
        <v>150</v>
      </c>
      <c r="BK191" s="1278" t="n"/>
      <c r="BL191" s="1278" t="n"/>
      <c r="BM191" s="1278" t="n"/>
      <c r="BN191" s="1278" t="n"/>
      <c r="BO191" s="1377" t="n"/>
      <c r="BP191" s="1278" t="n"/>
      <c r="BQ191" s="1278" t="n"/>
      <c r="BR191" s="1278" t="n"/>
      <c r="BS191" s="1278" t="n"/>
      <c r="BT191" s="1376" t="n"/>
      <c r="BU191" s="1278" t="n"/>
      <c r="BV191" s="1278" t="n"/>
      <c r="BW191" s="1278" t="n"/>
      <c r="BX191" s="1278" t="n"/>
      <c r="BY191" s="1376" t="n"/>
      <c r="BZ191" s="1376" t="n"/>
      <c r="CA191" s="1376" t="n"/>
      <c r="CB191" s="1376" t="n"/>
      <c r="CC191" s="1380" t="n"/>
    </row>
    <row r="192" hidden="1" outlineLevel="2" ht="14.4" customFormat="1" customHeight="1" s="1373">
      <c r="A192" s="1438" t="inlineStr">
        <is>
          <t>Fab 6 most advanced process, nanometer</t>
        </is>
      </c>
      <c r="B192" s="1439" t="n"/>
      <c r="C192" s="1379" t="n">
        <v>110</v>
      </c>
      <c r="D192" s="1379" t="n">
        <v>110</v>
      </c>
      <c r="E192" s="1379" t="n">
        <v>110</v>
      </c>
      <c r="F192" s="1379" t="n">
        <v>110</v>
      </c>
      <c r="G192" s="1379" t="n">
        <v>110</v>
      </c>
      <c r="H192" s="1278" t="n"/>
      <c r="I192" s="1278" t="n"/>
      <c r="J192" s="1278" t="n"/>
      <c r="K192" s="1278" t="n"/>
      <c r="L192" s="1379" t="n">
        <v>110</v>
      </c>
      <c r="M192" s="1278" t="n"/>
      <c r="N192" s="1278" t="n"/>
      <c r="O192" s="1278" t="n"/>
      <c r="P192" s="1278" t="n"/>
      <c r="Q192" s="1379" t="n">
        <v>110</v>
      </c>
      <c r="R192" s="1278" t="n"/>
      <c r="S192" s="1278" t="n"/>
      <c r="T192" s="1278" t="n"/>
      <c r="U192" s="1278" t="n"/>
      <c r="V192" s="1379" t="n">
        <v>110</v>
      </c>
      <c r="W192" s="1278" t="n"/>
      <c r="X192" s="1278" t="n"/>
      <c r="Y192" s="1278" t="n"/>
      <c r="Z192" s="1278" t="n"/>
      <c r="AA192" s="1379" t="n">
        <v>110</v>
      </c>
      <c r="AB192" s="1278" t="n"/>
      <c r="AC192" s="1278" t="n"/>
      <c r="AD192" s="1278" t="n"/>
      <c r="AE192" s="1278" t="n"/>
      <c r="AF192" s="1379" t="n">
        <v>110</v>
      </c>
      <c r="AG192" s="1278" t="n"/>
      <c r="AH192" s="1278" t="n"/>
      <c r="AI192" s="1278" t="n"/>
      <c r="AJ192" s="1278" t="n"/>
      <c r="AK192" s="1379" t="n">
        <v>110</v>
      </c>
      <c r="AL192" s="1278" t="n"/>
      <c r="AM192" s="1278" t="n"/>
      <c r="AN192" s="1278" t="n"/>
      <c r="AO192" s="1278" t="n"/>
      <c r="AP192" s="1379" t="n">
        <v>110</v>
      </c>
      <c r="AQ192" s="1278" t="n"/>
      <c r="AR192" s="1278" t="n"/>
      <c r="AS192" s="1278" t="n"/>
      <c r="AT192" s="1278" t="n"/>
      <c r="AU192" s="1379" t="n">
        <v>110</v>
      </c>
      <c r="AV192" s="1278" t="n"/>
      <c r="AW192" s="1278" t="n"/>
      <c r="AX192" s="1278" t="n"/>
      <c r="AY192" s="1278" t="n"/>
      <c r="AZ192" s="1379" t="n">
        <v>110</v>
      </c>
      <c r="BA192" s="1278" t="n"/>
      <c r="BB192" s="1278" t="n"/>
      <c r="BC192" s="1278" t="n"/>
      <c r="BD192" s="1278" t="n"/>
      <c r="BE192" s="1379" t="n">
        <v>110</v>
      </c>
      <c r="BF192" s="1278" t="n"/>
      <c r="BG192" s="1278" t="n"/>
      <c r="BH192" s="1278" t="n"/>
      <c r="BI192" s="1278" t="n"/>
      <c r="BJ192" s="1379" t="n">
        <v>110</v>
      </c>
      <c r="BK192" s="1278" t="n"/>
      <c r="BL192" s="1278" t="n"/>
      <c r="BM192" s="1278" t="n"/>
      <c r="BN192" s="1278" t="n"/>
      <c r="BO192" s="1377" t="n"/>
      <c r="BP192" s="1278" t="n"/>
      <c r="BQ192" s="1278" t="n"/>
      <c r="BR192" s="1278" t="n"/>
      <c r="BS192" s="1278" t="n"/>
      <c r="BT192" s="1376" t="n"/>
      <c r="BU192" s="1278" t="n"/>
      <c r="BV192" s="1278" t="n"/>
      <c r="BW192" s="1278" t="n"/>
      <c r="BX192" s="1278" t="n"/>
      <c r="BY192" s="1376" t="n"/>
      <c r="BZ192" s="1376" t="n"/>
      <c r="CA192" s="1376" t="n"/>
      <c r="CB192" s="1376" t="n"/>
      <c r="CC192" s="1380" t="n"/>
    </row>
    <row r="193" hidden="1" outlineLevel="2" ht="14.4" customFormat="1" customHeight="1" s="1373">
      <c r="A193" s="1438" t="inlineStr">
        <is>
          <t>Fab 8 most advanced process, nanometer</t>
        </is>
      </c>
      <c r="B193" s="1439" t="n"/>
      <c r="C193" s="1379" t="n">
        <v>110</v>
      </c>
      <c r="D193" s="1379" t="n">
        <v>110</v>
      </c>
      <c r="E193" s="1379" t="n">
        <v>110</v>
      </c>
      <c r="F193" s="1379" t="n">
        <v>110</v>
      </c>
      <c r="G193" s="1379" t="n">
        <v>110</v>
      </c>
      <c r="H193" s="1278" t="n"/>
      <c r="I193" s="1278" t="n"/>
      <c r="J193" s="1278" t="n"/>
      <c r="K193" s="1278" t="n"/>
      <c r="L193" s="1379" t="n">
        <v>110</v>
      </c>
      <c r="M193" s="1278" t="n"/>
      <c r="N193" s="1278" t="n"/>
      <c r="O193" s="1278" t="n"/>
      <c r="P193" s="1278" t="n"/>
      <c r="Q193" s="1379" t="n">
        <v>110</v>
      </c>
      <c r="R193" s="1278" t="n"/>
      <c r="S193" s="1278" t="n"/>
      <c r="T193" s="1278" t="n"/>
      <c r="U193" s="1278" t="n"/>
      <c r="V193" s="1379" t="n">
        <v>110</v>
      </c>
      <c r="W193" s="1278" t="n"/>
      <c r="X193" s="1278" t="n"/>
      <c r="Y193" s="1278" t="n"/>
      <c r="Z193" s="1278" t="n"/>
      <c r="AA193" s="1379" t="n">
        <v>110</v>
      </c>
      <c r="AB193" s="1278" t="n"/>
      <c r="AC193" s="1278" t="n"/>
      <c r="AD193" s="1278" t="n"/>
      <c r="AE193" s="1278" t="n"/>
      <c r="AF193" s="1379" t="n">
        <v>110</v>
      </c>
      <c r="AG193" s="1278" t="n"/>
      <c r="AH193" s="1278" t="n"/>
      <c r="AI193" s="1278" t="n"/>
      <c r="AJ193" s="1278" t="n"/>
      <c r="AK193" s="1379" t="n">
        <v>110</v>
      </c>
      <c r="AL193" s="1278" t="n"/>
      <c r="AM193" s="1278" t="n"/>
      <c r="AN193" s="1278" t="n"/>
      <c r="AO193" s="1278" t="n"/>
      <c r="AP193" s="1379" t="n">
        <v>110</v>
      </c>
      <c r="AQ193" s="1278" t="n"/>
      <c r="AR193" s="1278" t="n"/>
      <c r="AS193" s="1278" t="n"/>
      <c r="AT193" s="1278" t="n"/>
      <c r="AU193" s="1379" t="n">
        <v>110</v>
      </c>
      <c r="AV193" s="1278" t="n"/>
      <c r="AW193" s="1278" t="n"/>
      <c r="AX193" s="1278" t="n"/>
      <c r="AY193" s="1278" t="n"/>
      <c r="AZ193" s="1379" t="n">
        <v>110</v>
      </c>
      <c r="BA193" s="1278" t="n"/>
      <c r="BB193" s="1278" t="n"/>
      <c r="BC193" s="1278" t="n"/>
      <c r="BD193" s="1278" t="n"/>
      <c r="BE193" s="1379" t="n">
        <v>110</v>
      </c>
      <c r="BF193" s="1278" t="n"/>
      <c r="BG193" s="1278" t="n"/>
      <c r="BH193" s="1278" t="n"/>
      <c r="BI193" s="1278" t="n"/>
      <c r="BJ193" s="1379" t="n">
        <v>110</v>
      </c>
      <c r="BK193" s="1278" t="n"/>
      <c r="BL193" s="1278" t="n"/>
      <c r="BM193" s="1278" t="n"/>
      <c r="BN193" s="1278" t="n"/>
      <c r="BO193" s="1377" t="n"/>
      <c r="BP193" s="1278" t="n"/>
      <c r="BQ193" s="1278" t="n"/>
      <c r="BR193" s="1278" t="n"/>
      <c r="BS193" s="1278" t="n"/>
      <c r="BT193" s="1376" t="n"/>
      <c r="BU193" s="1278" t="n"/>
      <c r="BV193" s="1278" t="n"/>
      <c r="BW193" s="1278" t="n"/>
      <c r="BX193" s="1278" t="n"/>
      <c r="BY193" s="1376" t="n"/>
      <c r="BZ193" s="1376" t="n"/>
      <c r="CA193" s="1376" t="n"/>
      <c r="CB193" s="1376" t="n"/>
      <c r="CC193" s="1380" t="n"/>
    </row>
    <row r="194" hidden="1" outlineLevel="2" ht="14.4" customFormat="1" customHeight="1" s="1373">
      <c r="A194" s="1438" t="inlineStr">
        <is>
          <t>Fab 10 most advanced process, nanometer</t>
        </is>
      </c>
      <c r="B194" s="1439" t="n"/>
      <c r="C194" s="1379" t="n">
        <v>150</v>
      </c>
      <c r="D194" s="1379" t="n">
        <v>150</v>
      </c>
      <c r="E194" s="1379" t="n">
        <v>150</v>
      </c>
      <c r="F194" s="1379" t="n">
        <v>150</v>
      </c>
      <c r="G194" s="1379" t="n">
        <v>150</v>
      </c>
      <c r="H194" s="1278" t="n"/>
      <c r="I194" s="1278" t="n"/>
      <c r="J194" s="1278" t="n"/>
      <c r="K194" s="1278" t="n"/>
      <c r="L194" s="1379" t="n">
        <v>150</v>
      </c>
      <c r="M194" s="1278" t="n"/>
      <c r="N194" s="1278" t="n"/>
      <c r="O194" s="1278" t="n"/>
      <c r="P194" s="1278" t="n"/>
      <c r="Q194" s="1379" t="n">
        <v>150</v>
      </c>
      <c r="R194" s="1278" t="n"/>
      <c r="S194" s="1278" t="n"/>
      <c r="T194" s="1278" t="n"/>
      <c r="U194" s="1278" t="n"/>
      <c r="V194" s="1379" t="n">
        <v>150</v>
      </c>
      <c r="W194" s="1278" t="n"/>
      <c r="X194" s="1278" t="n"/>
      <c r="Y194" s="1278" t="n"/>
      <c r="Z194" s="1278" t="n"/>
      <c r="AA194" s="1379" t="n">
        <v>150</v>
      </c>
      <c r="AB194" s="1278" t="n"/>
      <c r="AC194" s="1278" t="n"/>
      <c r="AD194" s="1278" t="n"/>
      <c r="AE194" s="1278" t="n"/>
      <c r="AF194" s="1379" t="n">
        <v>150</v>
      </c>
      <c r="AG194" s="1278" t="n"/>
      <c r="AH194" s="1278" t="n"/>
      <c r="AI194" s="1278" t="n"/>
      <c r="AJ194" s="1278" t="n"/>
      <c r="AK194" s="1379" t="n">
        <v>150</v>
      </c>
      <c r="AL194" s="1278" t="n"/>
      <c r="AM194" s="1278" t="n"/>
      <c r="AN194" s="1278" t="n"/>
      <c r="AO194" s="1278" t="n"/>
      <c r="AP194" s="1379" t="n">
        <v>150</v>
      </c>
      <c r="AQ194" s="1278" t="n"/>
      <c r="AR194" s="1278" t="n"/>
      <c r="AS194" s="1278" t="n"/>
      <c r="AT194" s="1278" t="n"/>
      <c r="AU194" s="1379" t="n">
        <v>150</v>
      </c>
      <c r="AV194" s="1278" t="n"/>
      <c r="AW194" s="1278" t="n"/>
      <c r="AX194" s="1278" t="n"/>
      <c r="AY194" s="1278" t="n"/>
      <c r="AZ194" s="1379" t="n">
        <v>150</v>
      </c>
      <c r="BA194" s="1278" t="n"/>
      <c r="BB194" s="1278" t="n"/>
      <c r="BC194" s="1278" t="n"/>
      <c r="BD194" s="1278" t="n"/>
      <c r="BE194" s="1379" t="n">
        <v>150</v>
      </c>
      <c r="BF194" s="1278" t="n"/>
      <c r="BG194" s="1278" t="n"/>
      <c r="BH194" s="1278" t="n"/>
      <c r="BI194" s="1278" t="n"/>
      <c r="BJ194" s="1379" t="n">
        <v>150</v>
      </c>
      <c r="BK194" s="1278" t="n"/>
      <c r="BL194" s="1278" t="n"/>
      <c r="BM194" s="1278" t="n"/>
      <c r="BN194" s="1278" t="n"/>
      <c r="BO194" s="1377" t="n"/>
      <c r="BP194" s="1278" t="n"/>
      <c r="BQ194" s="1278" t="n"/>
      <c r="BR194" s="1278" t="n"/>
      <c r="BS194" s="1278" t="n"/>
      <c r="BT194" s="1376" t="n"/>
      <c r="BU194" s="1278" t="n"/>
      <c r="BV194" s="1278" t="n"/>
      <c r="BW194" s="1278" t="n"/>
      <c r="BX194" s="1278" t="n"/>
      <c r="BY194" s="1376" t="n"/>
      <c r="BZ194" s="1376" t="n"/>
      <c r="CA194" s="1376" t="n"/>
      <c r="CB194" s="1376" t="n"/>
      <c r="CC194" s="1380" t="n"/>
    </row>
    <row r="195" hidden="1" outlineLevel="2" ht="14.4" customFormat="1" customHeight="1" s="1373">
      <c r="A195" s="1438" t="inlineStr">
        <is>
          <t>Fab 11 (WaferTech) most advanced process, nanometer</t>
        </is>
      </c>
      <c r="B195" s="1439" t="n"/>
      <c r="C195" s="1379" t="n">
        <v>150</v>
      </c>
      <c r="D195" s="1379" t="n">
        <v>150</v>
      </c>
      <c r="E195" s="1379" t="n">
        <v>150</v>
      </c>
      <c r="F195" s="1379" t="n">
        <v>150</v>
      </c>
      <c r="G195" s="1379" t="n">
        <v>150</v>
      </c>
      <c r="H195" s="1278" t="n"/>
      <c r="I195" s="1278" t="n"/>
      <c r="J195" s="1278" t="n"/>
      <c r="K195" s="1278" t="n"/>
      <c r="L195" s="1379" t="n">
        <v>150</v>
      </c>
      <c r="M195" s="1278" t="n"/>
      <c r="N195" s="1278" t="n"/>
      <c r="O195" s="1278" t="n"/>
      <c r="P195" s="1278" t="n"/>
      <c r="Q195" s="1379" t="n">
        <v>150</v>
      </c>
      <c r="R195" s="1278" t="n"/>
      <c r="S195" s="1278" t="n"/>
      <c r="T195" s="1278" t="n"/>
      <c r="U195" s="1278" t="n"/>
      <c r="V195" s="1379" t="n">
        <v>150</v>
      </c>
      <c r="W195" s="1278" t="n"/>
      <c r="X195" s="1278" t="n"/>
      <c r="Y195" s="1278" t="n"/>
      <c r="Z195" s="1278" t="n"/>
      <c r="AA195" s="1379" t="n">
        <v>150</v>
      </c>
      <c r="AB195" s="1278" t="n"/>
      <c r="AC195" s="1278" t="n"/>
      <c r="AD195" s="1278" t="n"/>
      <c r="AE195" s="1278" t="n"/>
      <c r="AF195" s="1379" t="n">
        <v>150</v>
      </c>
      <c r="AG195" s="1278" t="n"/>
      <c r="AH195" s="1278" t="n"/>
      <c r="AI195" s="1278" t="n"/>
      <c r="AJ195" s="1278" t="n"/>
      <c r="AK195" s="1379" t="n">
        <v>150</v>
      </c>
      <c r="AL195" s="1278" t="n"/>
      <c r="AM195" s="1278" t="n"/>
      <c r="AN195" s="1278" t="n"/>
      <c r="AO195" s="1278" t="n"/>
      <c r="AP195" s="1379" t="n">
        <v>150</v>
      </c>
      <c r="AQ195" s="1278" t="n"/>
      <c r="AR195" s="1278" t="n"/>
      <c r="AS195" s="1278" t="n"/>
      <c r="AT195" s="1278" t="n"/>
      <c r="AU195" s="1379" t="n">
        <v>150</v>
      </c>
      <c r="AV195" s="1278" t="n"/>
      <c r="AW195" s="1278" t="n"/>
      <c r="AX195" s="1278" t="n"/>
      <c r="AY195" s="1278" t="n"/>
      <c r="AZ195" s="1379" t="n">
        <v>150</v>
      </c>
      <c r="BA195" s="1278" t="n"/>
      <c r="BB195" s="1278" t="n"/>
      <c r="BC195" s="1278" t="n"/>
      <c r="BD195" s="1278" t="n"/>
      <c r="BE195" s="1379" t="n">
        <v>150</v>
      </c>
      <c r="BF195" s="1278" t="n"/>
      <c r="BG195" s="1278" t="n"/>
      <c r="BH195" s="1278" t="n"/>
      <c r="BI195" s="1278" t="n"/>
      <c r="BJ195" s="1379" t="n">
        <v>150</v>
      </c>
      <c r="BK195" s="1278" t="n"/>
      <c r="BL195" s="1278" t="n"/>
      <c r="BM195" s="1278" t="n"/>
      <c r="BN195" s="1278" t="n"/>
      <c r="BO195" s="1377" t="n"/>
      <c r="BP195" s="1278" t="n"/>
      <c r="BQ195" s="1278" t="n"/>
      <c r="BR195" s="1278" t="n"/>
      <c r="BS195" s="1278" t="n"/>
      <c r="BT195" s="1376" t="n"/>
      <c r="BU195" s="1278" t="n"/>
      <c r="BV195" s="1278" t="n"/>
      <c r="BW195" s="1278" t="n"/>
      <c r="BX195" s="1278" t="n"/>
      <c r="BY195" s="1376" t="n"/>
      <c r="BZ195" s="1376" t="n"/>
      <c r="CA195" s="1376" t="n"/>
      <c r="CB195" s="1376" t="n"/>
      <c r="CC195" s="1380" t="n"/>
    </row>
    <row r="196" hidden="1" outlineLevel="2" ht="14.4" customFormat="1" customHeight="1" s="1373">
      <c r="A196" s="1438" t="inlineStr">
        <is>
          <t>Fab 12 most advanced process, nanometer</t>
        </is>
      </c>
      <c r="B196" s="1439" t="n"/>
      <c r="C196" s="1379" t="n">
        <v>40</v>
      </c>
      <c r="D196" s="1379" t="n">
        <v>40</v>
      </c>
      <c r="E196" s="1379" t="n">
        <v>28</v>
      </c>
      <c r="F196" s="1379" t="n">
        <v>28</v>
      </c>
      <c r="G196" s="1379" t="n">
        <v>28</v>
      </c>
      <c r="H196" s="1278" t="n"/>
      <c r="I196" s="1278" t="n"/>
      <c r="J196" s="1278" t="n"/>
      <c r="K196" s="1278" t="n"/>
      <c r="L196" s="1379" t="n">
        <v>20</v>
      </c>
      <c r="M196" s="1278" t="n"/>
      <c r="N196" s="1278" t="n"/>
      <c r="O196" s="1278" t="n"/>
      <c r="P196" s="1278" t="n"/>
      <c r="Q196" s="1379" t="n">
        <v>16</v>
      </c>
      <c r="R196" s="1278" t="n"/>
      <c r="S196" s="1278" t="n"/>
      <c r="T196" s="1278" t="n"/>
      <c r="U196" s="1278" t="n"/>
      <c r="V196" s="1379" t="n">
        <v>16</v>
      </c>
      <c r="W196" s="1278" t="n"/>
      <c r="X196" s="1278" t="n"/>
      <c r="Y196" s="1278" t="n"/>
      <c r="Z196" s="1278" t="n"/>
      <c r="AA196" s="1379" t="n">
        <v>10</v>
      </c>
      <c r="AB196" s="1278" t="n"/>
      <c r="AC196" s="1278" t="n"/>
      <c r="AD196" s="1278" t="n"/>
      <c r="AE196" s="1278" t="n"/>
      <c r="AF196" s="1379" t="n">
        <v>7</v>
      </c>
      <c r="AG196" s="1278" t="n"/>
      <c r="AH196" s="1278" t="n"/>
      <c r="AI196" s="1278" t="n"/>
      <c r="AJ196" s="1278" t="n"/>
      <c r="AK196" s="1379" t="n">
        <v>7</v>
      </c>
      <c r="AL196" s="1278" t="n"/>
      <c r="AM196" s="1278" t="n"/>
      <c r="AN196" s="1278" t="n"/>
      <c r="AO196" s="1278" t="n"/>
      <c r="AP196" s="1379" t="n">
        <v>7</v>
      </c>
      <c r="AQ196" s="1278" t="n"/>
      <c r="AR196" s="1278" t="n"/>
      <c r="AS196" s="1278" t="n"/>
      <c r="AT196" s="1278" t="n"/>
      <c r="AU196" s="1379" t="n">
        <v>5</v>
      </c>
      <c r="AV196" s="1278" t="n"/>
      <c r="AW196" s="1278" t="n"/>
      <c r="AX196" s="1278" t="n"/>
      <c r="AY196" s="1278" t="n"/>
      <c r="AZ196" s="1379" t="n">
        <v>3</v>
      </c>
      <c r="BA196" s="1278" t="n"/>
      <c r="BB196" s="1278" t="n"/>
      <c r="BC196" s="1278" t="n"/>
      <c r="BD196" s="1278" t="n"/>
      <c r="BE196" s="1379" t="n">
        <v>3</v>
      </c>
      <c r="BF196" s="1278" t="n"/>
      <c r="BG196" s="1278" t="n"/>
      <c r="BH196" s="1278" t="n"/>
      <c r="BI196" s="1278" t="n"/>
      <c r="BJ196" s="1379" t="n">
        <v>40</v>
      </c>
      <c r="BK196" s="1278" t="n"/>
      <c r="BL196" s="1278" t="n"/>
      <c r="BM196" s="1278" t="n"/>
      <c r="BN196" s="1278" t="n"/>
      <c r="BO196" s="1377" t="n"/>
      <c r="BP196" s="1278" t="n"/>
      <c r="BQ196" s="1278" t="n"/>
      <c r="BR196" s="1278" t="n"/>
      <c r="BS196" s="1278" t="n"/>
      <c r="BT196" s="1376" t="n"/>
      <c r="BU196" s="1278" t="n"/>
      <c r="BV196" s="1278" t="n"/>
      <c r="BW196" s="1278" t="n"/>
      <c r="BX196" s="1278" t="n"/>
      <c r="BY196" s="1376" t="n"/>
      <c r="BZ196" s="1376" t="n"/>
      <c r="CA196" s="1376" t="n"/>
      <c r="CB196" s="1376" t="n"/>
      <c r="CC196" s="1380" t="n"/>
    </row>
    <row r="197" hidden="1" outlineLevel="2" ht="14.4" customFormat="1" customHeight="1" s="1373">
      <c r="A197" s="1438" t="inlineStr">
        <is>
          <t>Fab 14 most advanced process, nanometer</t>
        </is>
      </c>
      <c r="B197" s="1439" t="n"/>
      <c r="C197" s="1379" t="n">
        <v>55</v>
      </c>
      <c r="D197" s="1379" t="n">
        <v>40</v>
      </c>
      <c r="E197" s="1379" t="n">
        <v>40</v>
      </c>
      <c r="F197" s="1379" t="n">
        <v>40</v>
      </c>
      <c r="G197" s="1379" t="n">
        <v>40</v>
      </c>
      <c r="H197" s="1278" t="n"/>
      <c r="I197" s="1278" t="n"/>
      <c r="J197" s="1278" t="n"/>
      <c r="K197" s="1278" t="n"/>
      <c r="L197" s="1379" t="n">
        <v>20</v>
      </c>
      <c r="M197" s="1278" t="n"/>
      <c r="N197" s="1278" t="n"/>
      <c r="O197" s="1278" t="n"/>
      <c r="P197" s="1278" t="n"/>
      <c r="Q197" s="1379" t="n">
        <v>16</v>
      </c>
      <c r="R197" s="1278" t="n"/>
      <c r="S197" s="1278" t="n"/>
      <c r="T197" s="1278" t="n"/>
      <c r="U197" s="1278" t="n"/>
      <c r="V197" s="1379" t="n">
        <v>16</v>
      </c>
      <c r="W197" s="1278" t="n"/>
      <c r="X197" s="1278" t="n"/>
      <c r="Y197" s="1278" t="n"/>
      <c r="Z197" s="1278" t="n"/>
      <c r="AA197" s="1379" t="n">
        <v>16</v>
      </c>
      <c r="AB197" s="1278" t="n"/>
      <c r="AC197" s="1278" t="n"/>
      <c r="AD197" s="1278" t="n"/>
      <c r="AE197" s="1278" t="n"/>
      <c r="AF197" s="1379" t="n">
        <v>16</v>
      </c>
      <c r="AG197" s="1278" t="n"/>
      <c r="AH197" s="1278" t="n"/>
      <c r="AI197" s="1278" t="n"/>
      <c r="AJ197" s="1278" t="n"/>
      <c r="AK197" s="1379" t="n">
        <v>16</v>
      </c>
      <c r="AL197" s="1278" t="n"/>
      <c r="AM197" s="1278" t="n"/>
      <c r="AN197" s="1278" t="n"/>
      <c r="AO197" s="1278" t="n"/>
      <c r="AP197" s="1379" t="n">
        <v>16</v>
      </c>
      <c r="AQ197" s="1278" t="n"/>
      <c r="AR197" s="1278" t="n"/>
      <c r="AS197" s="1278" t="n"/>
      <c r="AT197" s="1278" t="n"/>
      <c r="AU197" s="1379" t="n">
        <v>16</v>
      </c>
      <c r="AV197" s="1278" t="n"/>
      <c r="AW197" s="1278" t="n"/>
      <c r="AX197" s="1278" t="n"/>
      <c r="AY197" s="1278" t="n"/>
      <c r="AZ197" s="1379" t="n">
        <v>16</v>
      </c>
      <c r="BA197" s="1278" t="n"/>
      <c r="BB197" s="1278" t="n"/>
      <c r="BC197" s="1278" t="n"/>
      <c r="BD197" s="1278" t="n"/>
      <c r="BE197" s="1379" t="n">
        <v>16</v>
      </c>
      <c r="BF197" s="1278" t="n"/>
      <c r="BG197" s="1278" t="n"/>
      <c r="BH197" s="1278" t="n"/>
      <c r="BI197" s="1278" t="n"/>
      <c r="BJ197" s="1379" t="n">
        <v>16</v>
      </c>
      <c r="BK197" s="1278" t="n"/>
      <c r="BL197" s="1278" t="n"/>
      <c r="BM197" s="1278" t="n"/>
      <c r="BN197" s="1278" t="n"/>
      <c r="BO197" s="1377" t="n"/>
      <c r="BP197" s="1278" t="n"/>
      <c r="BQ197" s="1278" t="n"/>
      <c r="BR197" s="1278" t="n"/>
      <c r="BS197" s="1278" t="n"/>
      <c r="BT197" s="1376" t="n"/>
      <c r="BU197" s="1278" t="n"/>
      <c r="BV197" s="1278" t="n"/>
      <c r="BW197" s="1278" t="n"/>
      <c r="BX197" s="1278" t="n"/>
      <c r="BY197" s="1376" t="n"/>
      <c r="BZ197" s="1376" t="n"/>
      <c r="CA197" s="1376" t="n"/>
      <c r="CB197" s="1376" t="n"/>
      <c r="CC197" s="1380" t="n"/>
    </row>
    <row r="198" hidden="1" outlineLevel="2" ht="14.4" customFormat="1" customHeight="1" s="1373">
      <c r="A198" s="1438" t="inlineStr">
        <is>
          <t>Fab 15 most advanced process, nanometer</t>
        </is>
      </c>
      <c r="B198" s="1439" t="n"/>
      <c r="C198" s="1376" t="n"/>
      <c r="D198" s="1376" t="n"/>
      <c r="E198" s="1376" t="n"/>
      <c r="F198" s="1379" t="n">
        <v>28</v>
      </c>
      <c r="G198" s="1379" t="n">
        <v>28</v>
      </c>
      <c r="H198" s="1278" t="n"/>
      <c r="I198" s="1278" t="n"/>
      <c r="J198" s="1278" t="n"/>
      <c r="K198" s="1278" t="n"/>
      <c r="L198" s="1379" t="n">
        <v>28</v>
      </c>
      <c r="M198" s="1278" t="n"/>
      <c r="N198" s="1278" t="n"/>
      <c r="O198" s="1278" t="n"/>
      <c r="P198" s="1278" t="n"/>
      <c r="Q198" s="1379" t="n">
        <v>28</v>
      </c>
      <c r="R198" s="1278" t="n"/>
      <c r="S198" s="1278" t="n"/>
      <c r="T198" s="1278" t="n"/>
      <c r="U198" s="1278" t="n"/>
      <c r="V198" s="1379" t="n">
        <v>28</v>
      </c>
      <c r="W198" s="1278" t="n"/>
      <c r="X198" s="1278" t="n"/>
      <c r="Y198" s="1278" t="n"/>
      <c r="Z198" s="1278" t="n"/>
      <c r="AA198" s="1379" t="n">
        <v>10</v>
      </c>
      <c r="AB198" s="1278" t="n"/>
      <c r="AC198" s="1278" t="n"/>
      <c r="AD198" s="1278" t="n"/>
      <c r="AE198" s="1278" t="n"/>
      <c r="AF198" s="1379" t="n">
        <v>7</v>
      </c>
      <c r="AG198" s="1278" t="n"/>
      <c r="AH198" s="1278" t="n"/>
      <c r="AI198" s="1278" t="n"/>
      <c r="AJ198" s="1278" t="n"/>
      <c r="AK198" s="1379" t="n">
        <v>7</v>
      </c>
      <c r="AL198" s="1278" t="n"/>
      <c r="AM198" s="1278" t="n"/>
      <c r="AN198" s="1278" t="n"/>
      <c r="AO198" s="1278" t="n"/>
      <c r="AP198" s="1379" t="n">
        <v>7</v>
      </c>
      <c r="AQ198" s="1278" t="n"/>
      <c r="AR198" s="1278" t="n"/>
      <c r="AS198" s="1278" t="n"/>
      <c r="AT198" s="1278" t="n"/>
      <c r="AU198" s="1379" t="n">
        <v>7</v>
      </c>
      <c r="AV198" s="1278" t="n"/>
      <c r="AW198" s="1278" t="n"/>
      <c r="AX198" s="1278" t="n"/>
      <c r="AY198" s="1278" t="n"/>
      <c r="AZ198" s="1379" t="n">
        <v>7</v>
      </c>
      <c r="BA198" s="1278" t="n"/>
      <c r="BB198" s="1278" t="n"/>
      <c r="BC198" s="1278" t="n"/>
      <c r="BD198" s="1278" t="n"/>
      <c r="BE198" s="1379" t="n">
        <v>7</v>
      </c>
      <c r="BF198" s="1278" t="n"/>
      <c r="BG198" s="1278" t="n"/>
      <c r="BH198" s="1278" t="n"/>
      <c r="BI198" s="1278" t="n"/>
      <c r="BJ198" s="1379" t="n">
        <v>7</v>
      </c>
      <c r="BK198" s="1278" t="n"/>
      <c r="BL198" s="1278" t="n"/>
      <c r="BM198" s="1278" t="n"/>
      <c r="BN198" s="1278" t="n"/>
      <c r="BO198" s="1377" t="n"/>
      <c r="BP198" s="1278" t="n"/>
      <c r="BQ198" s="1278" t="n"/>
      <c r="BR198" s="1278" t="n"/>
      <c r="BS198" s="1278" t="n"/>
      <c r="BT198" s="1376" t="n"/>
      <c r="BU198" s="1278" t="n"/>
      <c r="BV198" s="1278" t="n"/>
      <c r="BW198" s="1278" t="n"/>
      <c r="BX198" s="1278" t="n"/>
      <c r="BY198" s="1376" t="n"/>
      <c r="BZ198" s="1376" t="n"/>
      <c r="CA198" s="1376" t="n"/>
      <c r="CB198" s="1376" t="n"/>
      <c r="CC198" s="1380" t="n"/>
    </row>
    <row r="199" hidden="1" outlineLevel="2" ht="14.4" customFormat="1" customHeight="1" s="1373">
      <c r="A199" s="1438" t="inlineStr">
        <is>
          <t>Fab 16 most advanced process, nanometer</t>
        </is>
      </c>
      <c r="B199" s="1439" t="n"/>
      <c r="C199" s="1376" t="n"/>
      <c r="D199" s="1376" t="n"/>
      <c r="E199" s="1376" t="n"/>
      <c r="F199" s="1479" t="n"/>
      <c r="G199" s="1479" t="n"/>
      <c r="H199" s="1278" t="n"/>
      <c r="I199" s="1278" t="n"/>
      <c r="J199" s="1278" t="n"/>
      <c r="K199" s="1278" t="n"/>
      <c r="L199" s="1376" t="n"/>
      <c r="M199" s="1278" t="n"/>
      <c r="N199" s="1278" t="n"/>
      <c r="O199" s="1278" t="n"/>
      <c r="P199" s="1278" t="n"/>
      <c r="Q199" s="1376" t="n"/>
      <c r="R199" s="1278" t="n"/>
      <c r="S199" s="1278" t="n"/>
      <c r="T199" s="1278" t="n"/>
      <c r="U199" s="1278" t="n"/>
      <c r="V199" s="1376" t="n"/>
      <c r="W199" s="1278" t="n"/>
      <c r="X199" s="1278" t="n"/>
      <c r="Y199" s="1278" t="n"/>
      <c r="Z199" s="1278" t="n"/>
      <c r="AA199" s="1376" t="n"/>
      <c r="AB199" s="1278" t="n"/>
      <c r="AC199" s="1278" t="n"/>
      <c r="AD199" s="1278" t="n"/>
      <c r="AE199" s="1278" t="n"/>
      <c r="AF199" s="1379" t="n">
        <v>16</v>
      </c>
      <c r="AG199" s="1278" t="n"/>
      <c r="AH199" s="1278" t="n"/>
      <c r="AI199" s="1278" t="n"/>
      <c r="AJ199" s="1278" t="n"/>
      <c r="AK199" s="1379" t="n">
        <v>16</v>
      </c>
      <c r="AL199" s="1278" t="n"/>
      <c r="AM199" s="1278" t="n"/>
      <c r="AN199" s="1278" t="n"/>
      <c r="AO199" s="1278" t="n"/>
      <c r="AP199" s="1379" t="n">
        <v>16</v>
      </c>
      <c r="AQ199" s="1278" t="n"/>
      <c r="AR199" s="1278" t="n"/>
      <c r="AS199" s="1278" t="n"/>
      <c r="AT199" s="1278" t="n"/>
      <c r="AU199" s="1379" t="n">
        <v>16</v>
      </c>
      <c r="AV199" s="1278" t="n"/>
      <c r="AW199" s="1278" t="n"/>
      <c r="AX199" s="1278" t="n"/>
      <c r="AY199" s="1278" t="n"/>
      <c r="AZ199" s="1379" t="n">
        <v>16</v>
      </c>
      <c r="BA199" s="1278" t="n"/>
      <c r="BB199" s="1278" t="n"/>
      <c r="BC199" s="1278" t="n"/>
      <c r="BD199" s="1278" t="n"/>
      <c r="BE199" s="1379" t="n">
        <v>16</v>
      </c>
      <c r="BF199" s="1278" t="n"/>
      <c r="BG199" s="1278" t="n"/>
      <c r="BH199" s="1278" t="n"/>
      <c r="BI199" s="1278" t="n"/>
      <c r="BJ199" s="1379" t="n">
        <v>16</v>
      </c>
      <c r="BK199" s="1278" t="n"/>
      <c r="BL199" s="1278" t="n"/>
      <c r="BM199" s="1278" t="n"/>
      <c r="BN199" s="1278" t="n"/>
      <c r="BO199" s="1377" t="n"/>
      <c r="BP199" s="1278" t="n"/>
      <c r="BQ199" s="1278" t="n"/>
      <c r="BR199" s="1278" t="n"/>
      <c r="BS199" s="1278" t="n"/>
      <c r="BT199" s="1376" t="n"/>
      <c r="BU199" s="1278" t="n"/>
      <c r="BV199" s="1278" t="n"/>
      <c r="BW199" s="1278" t="n"/>
      <c r="BX199" s="1278" t="n"/>
      <c r="BY199" s="1376" t="n"/>
      <c r="BZ199" s="1376" t="n"/>
      <c r="CA199" s="1376" t="n"/>
      <c r="CB199" s="1376" t="n"/>
      <c r="CC199" s="1380" t="n"/>
    </row>
    <row r="200" hidden="1" outlineLevel="2" ht="14.4" customFormat="1" customHeight="1" s="1373">
      <c r="A200" s="1438" t="inlineStr">
        <is>
          <t>Fab 18 most advanced process, nanometer</t>
        </is>
      </c>
      <c r="B200" s="1439" t="n"/>
      <c r="C200" s="1376" t="n"/>
      <c r="D200" s="1376" t="n"/>
      <c r="E200" s="1376" t="n"/>
      <c r="F200" s="1479" t="n"/>
      <c r="G200" s="1479" t="n"/>
      <c r="H200" s="1278" t="n"/>
      <c r="I200" s="1278" t="n"/>
      <c r="J200" s="1278" t="n"/>
      <c r="K200" s="1278" t="n"/>
      <c r="L200" s="1376" t="n"/>
      <c r="M200" s="1278" t="n"/>
      <c r="N200" s="1278" t="n"/>
      <c r="O200" s="1278" t="n"/>
      <c r="P200" s="1278" t="n"/>
      <c r="Q200" s="1376" t="n"/>
      <c r="R200" s="1278" t="n"/>
      <c r="S200" s="1278" t="n"/>
      <c r="T200" s="1278" t="n"/>
      <c r="U200" s="1278" t="n"/>
      <c r="V200" s="1376" t="n"/>
      <c r="W200" s="1278" t="n"/>
      <c r="X200" s="1278" t="n"/>
      <c r="Y200" s="1278" t="n"/>
      <c r="Z200" s="1278" t="n"/>
      <c r="AA200" s="1376" t="n"/>
      <c r="AB200" s="1278" t="n"/>
      <c r="AC200" s="1278" t="n"/>
      <c r="AD200" s="1278" t="n"/>
      <c r="AE200" s="1278" t="n"/>
      <c r="AF200" s="1376" t="n"/>
      <c r="AG200" s="1278" t="n"/>
      <c r="AH200" s="1278" t="n"/>
      <c r="AI200" s="1278" t="n"/>
      <c r="AJ200" s="1278" t="n"/>
      <c r="AK200" s="1376" t="n"/>
      <c r="AL200" s="1278" t="n"/>
      <c r="AM200" s="1278" t="n"/>
      <c r="AN200" s="1278" t="n"/>
      <c r="AO200" s="1278" t="n"/>
      <c r="AP200" s="1379" t="n">
        <v>5</v>
      </c>
      <c r="AQ200" s="1278" t="n"/>
      <c r="AR200" s="1278" t="n"/>
      <c r="AS200" s="1278" t="n"/>
      <c r="AT200" s="1278" t="n"/>
      <c r="AU200" s="1379" t="n">
        <v>5</v>
      </c>
      <c r="AV200" s="1278" t="n"/>
      <c r="AW200" s="1278" t="n"/>
      <c r="AX200" s="1278" t="n"/>
      <c r="AY200" s="1278" t="n"/>
      <c r="AZ200" s="1379" t="n">
        <v>3</v>
      </c>
      <c r="BA200" s="1278" t="n"/>
      <c r="BB200" s="1278" t="n"/>
      <c r="BC200" s="1278" t="n"/>
      <c r="BD200" s="1278" t="n"/>
      <c r="BE200" s="1379" t="n">
        <v>3</v>
      </c>
      <c r="BF200" s="1278" t="n"/>
      <c r="BG200" s="1278" t="n"/>
      <c r="BH200" s="1278" t="n"/>
      <c r="BI200" s="1278" t="n"/>
      <c r="BJ200" s="1379" t="n">
        <v>3</v>
      </c>
      <c r="BK200" s="1278" t="n"/>
      <c r="BL200" s="1278" t="n"/>
      <c r="BM200" s="1278" t="n"/>
      <c r="BN200" s="1278" t="n"/>
      <c r="BO200" s="1377" t="n"/>
      <c r="BP200" s="1278" t="n"/>
      <c r="BQ200" s="1278" t="n"/>
      <c r="BR200" s="1278" t="n"/>
      <c r="BS200" s="1278" t="n"/>
      <c r="BT200" s="1376" t="n"/>
      <c r="BU200" s="1278" t="n"/>
      <c r="BV200" s="1278" t="n"/>
      <c r="BW200" s="1278" t="n"/>
      <c r="BX200" s="1278" t="n"/>
      <c r="BY200" s="1376" t="n"/>
      <c r="BZ200" s="1376" t="n"/>
      <c r="CA200" s="1376" t="n"/>
      <c r="CB200" s="1376" t="n"/>
      <c r="CC200" s="1380" t="n"/>
    </row>
    <row r="201" hidden="1" outlineLevel="2" ht="14.4" customFormat="1" customHeight="1" s="1373">
      <c r="A201" s="1438" t="inlineStr">
        <is>
          <t>Fab 21 most advanced process, nanometer</t>
        </is>
      </c>
      <c r="B201" s="1439" t="n"/>
      <c r="C201" s="1376" t="n"/>
      <c r="D201" s="1376" t="n"/>
      <c r="E201" s="1376" t="n"/>
      <c r="F201" s="1479" t="n"/>
      <c r="G201" s="1479" t="n"/>
      <c r="H201" s="1278" t="n"/>
      <c r="I201" s="1278" t="n"/>
      <c r="J201" s="1278" t="n"/>
      <c r="K201" s="1278" t="n"/>
      <c r="L201" s="1376" t="n"/>
      <c r="M201" s="1278" t="n"/>
      <c r="N201" s="1278" t="n"/>
      <c r="O201" s="1278" t="n"/>
      <c r="P201" s="1278" t="n"/>
      <c r="Q201" s="1376" t="n"/>
      <c r="R201" s="1278" t="n"/>
      <c r="S201" s="1278" t="n"/>
      <c r="T201" s="1278" t="n"/>
      <c r="U201" s="1278" t="n"/>
      <c r="V201" s="1376" t="n"/>
      <c r="W201" s="1278" t="n"/>
      <c r="X201" s="1278" t="n"/>
      <c r="Y201" s="1278" t="n"/>
      <c r="Z201" s="1278" t="n"/>
      <c r="AA201" s="1376" t="n"/>
      <c r="AB201" s="1278" t="n"/>
      <c r="AC201" s="1278" t="n"/>
      <c r="AD201" s="1278" t="n"/>
      <c r="AE201" s="1278" t="n"/>
      <c r="AF201" s="1376" t="n"/>
      <c r="AG201" s="1278" t="n"/>
      <c r="AH201" s="1278" t="n"/>
      <c r="AI201" s="1278" t="n"/>
      <c r="AJ201" s="1278" t="n"/>
      <c r="AK201" s="1376" t="n"/>
      <c r="AL201" s="1278" t="n"/>
      <c r="AM201" s="1278" t="n"/>
      <c r="AN201" s="1278" t="n"/>
      <c r="AO201" s="1278" t="n"/>
      <c r="AP201" s="1376" t="n"/>
      <c r="AQ201" s="1278" t="n"/>
      <c r="AR201" s="1278" t="n"/>
      <c r="AS201" s="1278" t="n"/>
      <c r="AT201" s="1278" t="n"/>
      <c r="AU201" s="1376" t="n"/>
      <c r="AV201" s="1278" t="n"/>
      <c r="AW201" s="1278" t="n"/>
      <c r="AX201" s="1278" t="n"/>
      <c r="AY201" s="1278" t="n"/>
      <c r="AZ201" s="1376" t="n"/>
      <c r="BA201" s="1278" t="n"/>
      <c r="BB201" s="1278" t="n"/>
      <c r="BC201" s="1278" t="n"/>
      <c r="BD201" s="1278" t="n"/>
      <c r="BE201" s="1376" t="n"/>
      <c r="BF201" s="1278" t="n"/>
      <c r="BG201" s="1278" t="n"/>
      <c r="BH201" s="1278" t="n"/>
      <c r="BI201" s="1278" t="n"/>
      <c r="BJ201" s="1379" t="n">
        <v>5</v>
      </c>
      <c r="BK201" s="1278" t="n"/>
      <c r="BL201" s="1278" t="n"/>
      <c r="BM201" s="1278" t="n"/>
      <c r="BN201" s="1278" t="n"/>
      <c r="BO201" s="1377" t="n"/>
      <c r="BP201" s="1278" t="n"/>
      <c r="BQ201" s="1278" t="n"/>
      <c r="BR201" s="1278" t="n"/>
      <c r="BS201" s="1278" t="n"/>
      <c r="BT201" s="1376" t="n"/>
      <c r="BU201" s="1278" t="n"/>
      <c r="BV201" s="1278" t="n"/>
      <c r="BW201" s="1278" t="n"/>
      <c r="BX201" s="1278" t="n"/>
      <c r="BY201" s="1376" t="n"/>
      <c r="BZ201" s="1376" t="n"/>
      <c r="CA201" s="1376" t="n"/>
      <c r="CB201" s="1376" t="n"/>
      <c r="CC201" s="1380" t="n"/>
    </row>
    <row r="202" hidden="1" outlineLevel="2" ht="14.4" customFormat="1" customHeight="1" s="1373">
      <c r="A202" s="1438" t="inlineStr">
        <is>
          <t>Fab 23 most advanced process, nanometer</t>
        </is>
      </c>
      <c r="B202" s="1439" t="n"/>
      <c r="C202" s="1376" t="n"/>
      <c r="D202" s="1376" t="n"/>
      <c r="E202" s="1376" t="n"/>
      <c r="F202" s="1479" t="n"/>
      <c r="G202" s="1479" t="n"/>
      <c r="H202" s="1278" t="n"/>
      <c r="I202" s="1278" t="n"/>
      <c r="J202" s="1278" t="n"/>
      <c r="K202" s="1278" t="n"/>
      <c r="L202" s="1376" t="n"/>
      <c r="M202" s="1278" t="n"/>
      <c r="N202" s="1278" t="n"/>
      <c r="O202" s="1278" t="n"/>
      <c r="P202" s="1278" t="n"/>
      <c r="Q202" s="1376" t="n"/>
      <c r="R202" s="1278" t="n"/>
      <c r="S202" s="1278" t="n"/>
      <c r="T202" s="1278" t="n"/>
      <c r="U202" s="1278" t="n"/>
      <c r="V202" s="1376" t="n"/>
      <c r="W202" s="1278" t="n"/>
      <c r="X202" s="1278" t="n"/>
      <c r="Y202" s="1278" t="n"/>
      <c r="Z202" s="1278" t="n"/>
      <c r="AA202" s="1376" t="n"/>
      <c r="AB202" s="1278" t="n"/>
      <c r="AC202" s="1278" t="n"/>
      <c r="AD202" s="1278" t="n"/>
      <c r="AE202" s="1278" t="n"/>
      <c r="AF202" s="1376" t="n"/>
      <c r="AG202" s="1278" t="n"/>
      <c r="AH202" s="1278" t="n"/>
      <c r="AI202" s="1278" t="n"/>
      <c r="AJ202" s="1278" t="n"/>
      <c r="AK202" s="1376" t="n"/>
      <c r="AL202" s="1278" t="n"/>
      <c r="AM202" s="1278" t="n"/>
      <c r="AN202" s="1278" t="n"/>
      <c r="AO202" s="1278" t="n"/>
      <c r="AP202" s="1376" t="n"/>
      <c r="AQ202" s="1278" t="n"/>
      <c r="AR202" s="1278" t="n"/>
      <c r="AS202" s="1278" t="n"/>
      <c r="AT202" s="1278" t="n"/>
      <c r="AU202" s="1376" t="n"/>
      <c r="AV202" s="1278" t="n"/>
      <c r="AW202" s="1278" t="n"/>
      <c r="AX202" s="1278" t="n"/>
      <c r="AY202" s="1278" t="n"/>
      <c r="AZ202" s="1376" t="n"/>
      <c r="BA202" s="1278" t="n"/>
      <c r="BB202" s="1278" t="n"/>
      <c r="BC202" s="1278" t="n"/>
      <c r="BD202" s="1278" t="n"/>
      <c r="BE202" s="1376" t="n"/>
      <c r="BF202" s="1278" t="n"/>
      <c r="BG202" s="1278" t="n"/>
      <c r="BH202" s="1278" t="n"/>
      <c r="BI202" s="1278" t="n"/>
      <c r="BJ202" s="1379" t="n">
        <v>28</v>
      </c>
      <c r="BK202" s="1278" t="n"/>
      <c r="BL202" s="1278" t="n"/>
      <c r="BM202" s="1278" t="n"/>
      <c r="BN202" s="1278" t="n"/>
      <c r="BO202" s="1377" t="n"/>
      <c r="BP202" s="1278" t="n"/>
      <c r="BQ202" s="1278" t="n"/>
      <c r="BR202" s="1278" t="n"/>
      <c r="BS202" s="1278" t="n"/>
      <c r="BT202" s="1376" t="n"/>
      <c r="BU202" s="1278" t="n"/>
      <c r="BV202" s="1278" t="n"/>
      <c r="BW202" s="1278" t="n"/>
      <c r="BX202" s="1278" t="n"/>
      <c r="BY202" s="1376" t="n"/>
      <c r="BZ202" s="1376" t="n"/>
      <c r="CA202" s="1376" t="n"/>
      <c r="CB202" s="1376" t="n"/>
      <c r="CC202" s="1380" t="n"/>
    </row>
    <row r="203" hidden="1" outlineLevel="2" ht="14.4" customFormat="1" customHeight="1" s="1373">
      <c r="A203" s="1438" t="inlineStr">
        <is>
          <t>SMMC most advanced process, nanometer</t>
        </is>
      </c>
      <c r="B203" s="1439" t="n"/>
      <c r="C203" s="1379" t="n">
        <v>150</v>
      </c>
      <c r="D203" s="1379" t="n">
        <v>150</v>
      </c>
      <c r="E203" s="1379" t="n">
        <v>150</v>
      </c>
      <c r="F203" s="1480" t="n">
        <v>150</v>
      </c>
      <c r="G203" s="1479" t="n"/>
      <c r="H203" s="1278" t="n"/>
      <c r="I203" s="1278" t="n"/>
      <c r="J203" s="1278" t="n"/>
      <c r="K203" s="1278" t="n"/>
      <c r="L203" s="1376" t="n"/>
      <c r="M203" s="1278" t="n"/>
      <c r="N203" s="1278" t="n"/>
      <c r="O203" s="1278" t="n"/>
      <c r="P203" s="1278" t="n"/>
      <c r="Q203" s="1376" t="n"/>
      <c r="R203" s="1278" t="n"/>
      <c r="S203" s="1278" t="n"/>
      <c r="T203" s="1278" t="n"/>
      <c r="U203" s="1278" t="n"/>
      <c r="V203" s="1376" t="n"/>
      <c r="W203" s="1278" t="n"/>
      <c r="X203" s="1278" t="n"/>
      <c r="Y203" s="1278" t="n"/>
      <c r="Z203" s="1278" t="n"/>
      <c r="AA203" s="1376" t="n"/>
      <c r="AB203" s="1278" t="n"/>
      <c r="AC203" s="1278" t="n"/>
      <c r="AD203" s="1278" t="n"/>
      <c r="AE203" s="1278" t="n"/>
      <c r="AF203" s="1376" t="n"/>
      <c r="AG203" s="1278" t="n"/>
      <c r="AH203" s="1278" t="n"/>
      <c r="AI203" s="1278" t="n"/>
      <c r="AJ203" s="1278" t="n"/>
      <c r="AK203" s="1376" t="n"/>
      <c r="AL203" s="1278" t="n"/>
      <c r="AM203" s="1278" t="n"/>
      <c r="AN203" s="1278" t="n"/>
      <c r="AO203" s="1278" t="n"/>
      <c r="AP203" s="1376" t="n"/>
      <c r="AQ203" s="1278" t="n"/>
      <c r="AR203" s="1278" t="n"/>
      <c r="AS203" s="1278" t="n"/>
      <c r="AT203" s="1278" t="n"/>
      <c r="AU203" s="1376" t="n"/>
      <c r="AV203" s="1278" t="n"/>
      <c r="AW203" s="1278" t="n"/>
      <c r="AX203" s="1278" t="n"/>
      <c r="AY203" s="1278" t="n"/>
      <c r="AZ203" s="1376" t="n"/>
      <c r="BA203" s="1278" t="n"/>
      <c r="BB203" s="1278" t="n"/>
      <c r="BC203" s="1278" t="n"/>
      <c r="BD203" s="1278" t="n"/>
      <c r="BE203" s="1376" t="n"/>
      <c r="BF203" s="1278" t="n"/>
      <c r="BG203" s="1278" t="n"/>
      <c r="BH203" s="1278" t="n"/>
      <c r="BI203" s="1278" t="n"/>
      <c r="BJ203" s="1376" t="n"/>
      <c r="BK203" s="1278" t="n"/>
      <c r="BL203" s="1278" t="n"/>
      <c r="BM203" s="1278" t="n"/>
      <c r="BN203" s="1278" t="n"/>
      <c r="BO203" s="1377" t="n"/>
      <c r="BP203" s="1278" t="n"/>
      <c r="BQ203" s="1278" t="n"/>
      <c r="BR203" s="1278" t="n"/>
      <c r="BS203" s="1278" t="n"/>
      <c r="BT203" s="1376" t="n"/>
      <c r="BU203" s="1278" t="n"/>
      <c r="BV203" s="1278" t="n"/>
      <c r="BW203" s="1278" t="n"/>
      <c r="BX203" s="1278" t="n"/>
      <c r="BY203" s="1376" t="n"/>
      <c r="BZ203" s="1376" t="n"/>
      <c r="CA203" s="1376" t="n"/>
      <c r="CB203" s="1376" t="n"/>
      <c r="CC203" s="1380" t="n"/>
    </row>
    <row r="204" hidden="1" outlineLevel="2" ht="14.4" customFormat="1" customHeight="1" s="1373">
      <c r="A204" s="1481" t="n"/>
      <c r="B204" s="1439" t="n"/>
      <c r="C204" s="1376" t="n"/>
      <c r="D204" s="1376" t="n"/>
      <c r="E204" s="1376" t="n"/>
      <c r="F204" s="1479" t="n"/>
      <c r="G204" s="1479" t="n"/>
      <c r="H204" s="1278" t="n"/>
      <c r="I204" s="1278" t="n"/>
      <c r="J204" s="1278" t="n"/>
      <c r="K204" s="1278" t="n"/>
      <c r="L204" s="1376" t="n"/>
      <c r="M204" s="1278" t="n"/>
      <c r="N204" s="1278" t="n"/>
      <c r="O204" s="1278" t="n"/>
      <c r="P204" s="1278" t="n"/>
      <c r="Q204" s="1376" t="n"/>
      <c r="R204" s="1278" t="n"/>
      <c r="S204" s="1278" t="n"/>
      <c r="T204" s="1278" t="n"/>
      <c r="U204" s="1278" t="n"/>
      <c r="V204" s="1376" t="n"/>
      <c r="W204" s="1278" t="n"/>
      <c r="X204" s="1278" t="n"/>
      <c r="Y204" s="1278" t="n"/>
      <c r="Z204" s="1278" t="n"/>
      <c r="AA204" s="1376" t="n"/>
      <c r="AB204" s="1278" t="n"/>
      <c r="AC204" s="1278" t="n"/>
      <c r="AD204" s="1278" t="n"/>
      <c r="AE204" s="1278" t="n"/>
      <c r="AF204" s="1376" t="n"/>
      <c r="AG204" s="1278" t="n"/>
      <c r="AH204" s="1278" t="n"/>
      <c r="AI204" s="1278" t="n"/>
      <c r="AJ204" s="1278" t="n"/>
      <c r="AK204" s="1376" t="n"/>
      <c r="AL204" s="1278" t="n"/>
      <c r="AM204" s="1278" t="n"/>
      <c r="AN204" s="1278" t="n"/>
      <c r="AO204" s="1278" t="n"/>
      <c r="AP204" s="1376" t="n"/>
      <c r="AQ204" s="1278" t="n"/>
      <c r="AR204" s="1278" t="n"/>
      <c r="AS204" s="1278" t="n"/>
      <c r="AT204" s="1278" t="n"/>
      <c r="AU204" s="1376" t="n"/>
      <c r="AV204" s="1278" t="n"/>
      <c r="AW204" s="1278" t="n"/>
      <c r="AX204" s="1278" t="n"/>
      <c r="AY204" s="1278" t="n"/>
      <c r="AZ204" s="1376" t="n"/>
      <c r="BA204" s="1278" t="n"/>
      <c r="BB204" s="1278" t="n"/>
      <c r="BC204" s="1278" t="n"/>
      <c r="BD204" s="1278" t="n"/>
      <c r="BE204" s="1376" t="n"/>
      <c r="BF204" s="1278" t="n"/>
      <c r="BG204" s="1278" t="n"/>
      <c r="BH204" s="1278" t="n"/>
      <c r="BI204" s="1278" t="n"/>
      <c r="BJ204" s="1376" t="n"/>
      <c r="BK204" s="1278" t="n"/>
      <c r="BL204" s="1278" t="n"/>
      <c r="BM204" s="1278" t="n"/>
      <c r="BN204" s="1278" t="n"/>
      <c r="BO204" s="1377" t="n"/>
      <c r="BP204" s="1278" t="n"/>
      <c r="BQ204" s="1278" t="n"/>
      <c r="BR204" s="1278" t="n"/>
      <c r="BS204" s="1278" t="n"/>
      <c r="BT204" s="1376" t="n"/>
      <c r="BU204" s="1278" t="n"/>
      <c r="BV204" s="1278" t="n"/>
      <c r="BW204" s="1278" t="n"/>
      <c r="BX204" s="1278" t="n"/>
      <c r="BY204" s="1376" t="n"/>
      <c r="BZ204" s="1376" t="n"/>
      <c r="CA204" s="1376" t="n"/>
      <c r="CB204" s="1376" t="n"/>
      <c r="CC204" s="1380" t="n"/>
    </row>
    <row r="205" hidden="1" outlineLevel="2" ht="14.4" customFormat="1" customHeight="1" s="1373">
      <c r="A205" s="1438" t="inlineStr">
        <is>
          <t>Fab 2 wafer size, inch</t>
        </is>
      </c>
      <c r="B205" s="1439" t="n"/>
      <c r="C205" s="1379" t="n">
        <v>6</v>
      </c>
      <c r="D205" s="1379" t="n">
        <v>6</v>
      </c>
      <c r="E205" s="1379" t="n">
        <v>6</v>
      </c>
      <c r="F205" s="1379" t="n">
        <v>6</v>
      </c>
      <c r="G205" s="1379" t="n">
        <v>6</v>
      </c>
      <c r="H205" s="1278" t="n"/>
      <c r="I205" s="1278" t="n"/>
      <c r="J205" s="1278" t="n"/>
      <c r="K205" s="1278" t="n"/>
      <c r="L205" s="1379" t="n">
        <v>6</v>
      </c>
      <c r="M205" s="1278" t="n"/>
      <c r="N205" s="1278" t="n"/>
      <c r="O205" s="1278" t="n"/>
      <c r="P205" s="1278" t="n"/>
      <c r="Q205" s="1379" t="n">
        <v>6</v>
      </c>
      <c r="R205" s="1278" t="n"/>
      <c r="S205" s="1278" t="n"/>
      <c r="T205" s="1278" t="n"/>
      <c r="U205" s="1278" t="n"/>
      <c r="V205" s="1379" t="n">
        <v>6</v>
      </c>
      <c r="W205" s="1278" t="n"/>
      <c r="X205" s="1278" t="n"/>
      <c r="Y205" s="1278" t="n"/>
      <c r="Z205" s="1278" t="n"/>
      <c r="AA205" s="1379" t="n">
        <v>6</v>
      </c>
      <c r="AB205" s="1278" t="n"/>
      <c r="AC205" s="1278" t="n"/>
      <c r="AD205" s="1278" t="n"/>
      <c r="AE205" s="1278" t="n"/>
      <c r="AF205" s="1379" t="n">
        <v>6</v>
      </c>
      <c r="AG205" s="1278" t="n"/>
      <c r="AH205" s="1278" t="n"/>
      <c r="AI205" s="1278" t="n"/>
      <c r="AJ205" s="1278" t="n"/>
      <c r="AK205" s="1379" t="n">
        <v>6</v>
      </c>
      <c r="AL205" s="1278" t="n"/>
      <c r="AM205" s="1278" t="n"/>
      <c r="AN205" s="1278" t="n"/>
      <c r="AO205" s="1278" t="n"/>
      <c r="AP205" s="1379" t="n">
        <v>6</v>
      </c>
      <c r="AQ205" s="1278" t="n"/>
      <c r="AR205" s="1278" t="n"/>
      <c r="AS205" s="1278" t="n"/>
      <c r="AT205" s="1278" t="n"/>
      <c r="AU205" s="1379" t="n">
        <v>6</v>
      </c>
      <c r="AV205" s="1278" t="n"/>
      <c r="AW205" s="1278" t="n"/>
      <c r="AX205" s="1278" t="n"/>
      <c r="AY205" s="1278" t="n"/>
      <c r="AZ205" s="1379" t="n">
        <v>6</v>
      </c>
      <c r="BA205" s="1278" t="n"/>
      <c r="BB205" s="1278" t="n"/>
      <c r="BC205" s="1278" t="n"/>
      <c r="BD205" s="1278" t="n"/>
      <c r="BE205" s="1379" t="n">
        <v>6</v>
      </c>
      <c r="BF205" s="1278" t="n"/>
      <c r="BG205" s="1278" t="n"/>
      <c r="BH205" s="1278" t="n"/>
      <c r="BI205" s="1278" t="n"/>
      <c r="BJ205" s="1379" t="n">
        <v>6</v>
      </c>
      <c r="BK205" s="1278" t="n"/>
      <c r="BL205" s="1278" t="n"/>
      <c r="BM205" s="1278" t="n"/>
      <c r="BN205" s="1278" t="n"/>
      <c r="BO205" s="1377" t="n"/>
      <c r="BP205" s="1278" t="n"/>
      <c r="BQ205" s="1278" t="n"/>
      <c r="BR205" s="1278" t="n"/>
      <c r="BS205" s="1278" t="n"/>
      <c r="BT205" s="1376" t="n"/>
      <c r="BU205" s="1278" t="n"/>
      <c r="BV205" s="1278" t="n"/>
      <c r="BW205" s="1278" t="n"/>
      <c r="BX205" s="1278" t="n"/>
      <c r="BY205" s="1376" t="n"/>
      <c r="BZ205" s="1376" t="n"/>
      <c r="CA205" s="1376" t="n"/>
      <c r="CB205" s="1376" t="n"/>
      <c r="CC205" s="1380" t="n"/>
    </row>
    <row r="206" hidden="1" outlineLevel="2" ht="14.4" customFormat="1" customHeight="1" s="1373">
      <c r="A206" s="1438" t="inlineStr">
        <is>
          <t>Fab 3 wafer size, inch</t>
        </is>
      </c>
      <c r="B206" s="1439" t="n"/>
      <c r="C206" s="1379" t="n">
        <v>8</v>
      </c>
      <c r="D206" s="1379" t="n">
        <v>8</v>
      </c>
      <c r="E206" s="1379" t="n">
        <v>8</v>
      </c>
      <c r="F206" s="1379" t="n">
        <v>8</v>
      </c>
      <c r="G206" s="1379" t="n">
        <v>8</v>
      </c>
      <c r="H206" s="1278" t="n"/>
      <c r="I206" s="1278" t="n"/>
      <c r="J206" s="1278" t="n"/>
      <c r="K206" s="1278" t="n"/>
      <c r="L206" s="1379" t="n">
        <v>8</v>
      </c>
      <c r="M206" s="1278" t="n"/>
      <c r="N206" s="1278" t="n"/>
      <c r="O206" s="1278" t="n"/>
      <c r="P206" s="1278" t="n"/>
      <c r="Q206" s="1379" t="n">
        <v>8</v>
      </c>
      <c r="R206" s="1278" t="n"/>
      <c r="S206" s="1278" t="n"/>
      <c r="T206" s="1278" t="n"/>
      <c r="U206" s="1278" t="n"/>
      <c r="V206" s="1379" t="n">
        <v>8</v>
      </c>
      <c r="W206" s="1278" t="n"/>
      <c r="X206" s="1278" t="n"/>
      <c r="Y206" s="1278" t="n"/>
      <c r="Z206" s="1278" t="n"/>
      <c r="AA206" s="1379" t="n">
        <v>8</v>
      </c>
      <c r="AB206" s="1278" t="n"/>
      <c r="AC206" s="1278" t="n"/>
      <c r="AD206" s="1278" t="n"/>
      <c r="AE206" s="1278" t="n"/>
      <c r="AF206" s="1379" t="n">
        <v>8</v>
      </c>
      <c r="AG206" s="1278" t="n"/>
      <c r="AH206" s="1278" t="n"/>
      <c r="AI206" s="1278" t="n"/>
      <c r="AJ206" s="1278" t="n"/>
      <c r="AK206" s="1379" t="n">
        <v>8</v>
      </c>
      <c r="AL206" s="1278" t="n"/>
      <c r="AM206" s="1278" t="n"/>
      <c r="AN206" s="1278" t="n"/>
      <c r="AO206" s="1278" t="n"/>
      <c r="AP206" s="1379" t="n">
        <v>8</v>
      </c>
      <c r="AQ206" s="1278" t="n"/>
      <c r="AR206" s="1278" t="n"/>
      <c r="AS206" s="1278" t="n"/>
      <c r="AT206" s="1278" t="n"/>
      <c r="AU206" s="1379" t="n">
        <v>8</v>
      </c>
      <c r="AV206" s="1278" t="n"/>
      <c r="AW206" s="1278" t="n"/>
      <c r="AX206" s="1278" t="n"/>
      <c r="AY206" s="1278" t="n"/>
      <c r="AZ206" s="1379" t="n">
        <v>8</v>
      </c>
      <c r="BA206" s="1278" t="n"/>
      <c r="BB206" s="1278" t="n"/>
      <c r="BC206" s="1278" t="n"/>
      <c r="BD206" s="1278" t="n"/>
      <c r="BE206" s="1379" t="n">
        <v>8</v>
      </c>
      <c r="BF206" s="1278" t="n"/>
      <c r="BG206" s="1278" t="n"/>
      <c r="BH206" s="1278" t="n"/>
      <c r="BI206" s="1278" t="n"/>
      <c r="BJ206" s="1379" t="n">
        <v>8</v>
      </c>
      <c r="BK206" s="1278" t="n"/>
      <c r="BL206" s="1278" t="n"/>
      <c r="BM206" s="1278" t="n"/>
      <c r="BN206" s="1278" t="n"/>
      <c r="BO206" s="1377" t="n"/>
      <c r="BP206" s="1278" t="n"/>
      <c r="BQ206" s="1278" t="n"/>
      <c r="BR206" s="1278" t="n"/>
      <c r="BS206" s="1278" t="n"/>
      <c r="BT206" s="1376" t="n"/>
      <c r="BU206" s="1278" t="n"/>
      <c r="BV206" s="1278" t="n"/>
      <c r="BW206" s="1278" t="n"/>
      <c r="BX206" s="1278" t="n"/>
      <c r="BY206" s="1376" t="n"/>
      <c r="BZ206" s="1376" t="n"/>
      <c r="CA206" s="1376" t="n"/>
      <c r="CB206" s="1376" t="n"/>
      <c r="CC206" s="1380" t="n"/>
    </row>
    <row r="207" hidden="1" outlineLevel="2" ht="14.4" customFormat="1" customHeight="1" s="1373">
      <c r="A207" s="1438" t="inlineStr">
        <is>
          <t>Fab 5 wafer size, inch</t>
        </is>
      </c>
      <c r="B207" s="1439" t="n"/>
      <c r="C207" s="1379" t="n">
        <v>8</v>
      </c>
      <c r="D207" s="1379" t="n">
        <v>8</v>
      </c>
      <c r="E207" s="1379" t="n">
        <v>8</v>
      </c>
      <c r="F207" s="1379" t="n">
        <v>8</v>
      </c>
      <c r="G207" s="1379" t="n">
        <v>8</v>
      </c>
      <c r="H207" s="1278" t="n"/>
      <c r="I207" s="1278" t="n"/>
      <c r="J207" s="1278" t="n"/>
      <c r="K207" s="1278" t="n"/>
      <c r="L207" s="1379" t="n">
        <v>8</v>
      </c>
      <c r="M207" s="1278" t="n"/>
      <c r="N207" s="1278" t="n"/>
      <c r="O207" s="1278" t="n"/>
      <c r="P207" s="1278" t="n"/>
      <c r="Q207" s="1379" t="n">
        <v>8</v>
      </c>
      <c r="R207" s="1278" t="n"/>
      <c r="S207" s="1278" t="n"/>
      <c r="T207" s="1278" t="n"/>
      <c r="U207" s="1278" t="n"/>
      <c r="V207" s="1379" t="n">
        <v>8</v>
      </c>
      <c r="W207" s="1278" t="n"/>
      <c r="X207" s="1278" t="n"/>
      <c r="Y207" s="1278" t="n"/>
      <c r="Z207" s="1278" t="n"/>
      <c r="AA207" s="1379" t="n">
        <v>8</v>
      </c>
      <c r="AB207" s="1278" t="n"/>
      <c r="AC207" s="1278" t="n"/>
      <c r="AD207" s="1278" t="n"/>
      <c r="AE207" s="1278" t="n"/>
      <c r="AF207" s="1379" t="n">
        <v>8</v>
      </c>
      <c r="AG207" s="1278" t="n"/>
      <c r="AH207" s="1278" t="n"/>
      <c r="AI207" s="1278" t="n"/>
      <c r="AJ207" s="1278" t="n"/>
      <c r="AK207" s="1379" t="n">
        <v>8</v>
      </c>
      <c r="AL207" s="1278" t="n"/>
      <c r="AM207" s="1278" t="n"/>
      <c r="AN207" s="1278" t="n"/>
      <c r="AO207" s="1278" t="n"/>
      <c r="AP207" s="1379" t="n">
        <v>8</v>
      </c>
      <c r="AQ207" s="1278" t="n"/>
      <c r="AR207" s="1278" t="n"/>
      <c r="AS207" s="1278" t="n"/>
      <c r="AT207" s="1278" t="n"/>
      <c r="AU207" s="1379" t="n">
        <v>8</v>
      </c>
      <c r="AV207" s="1278" t="n"/>
      <c r="AW207" s="1278" t="n"/>
      <c r="AX207" s="1278" t="n"/>
      <c r="AY207" s="1278" t="n"/>
      <c r="AZ207" s="1379" t="n">
        <v>8</v>
      </c>
      <c r="BA207" s="1278" t="n"/>
      <c r="BB207" s="1278" t="n"/>
      <c r="BC207" s="1278" t="n"/>
      <c r="BD207" s="1278" t="n"/>
      <c r="BE207" s="1379" t="n">
        <v>8</v>
      </c>
      <c r="BF207" s="1278" t="n"/>
      <c r="BG207" s="1278" t="n"/>
      <c r="BH207" s="1278" t="n"/>
      <c r="BI207" s="1278" t="n"/>
      <c r="BJ207" s="1379" t="n">
        <v>8</v>
      </c>
      <c r="BK207" s="1278" t="n"/>
      <c r="BL207" s="1278" t="n"/>
      <c r="BM207" s="1278" t="n"/>
      <c r="BN207" s="1278" t="n"/>
      <c r="BO207" s="1377" t="n"/>
      <c r="BP207" s="1278" t="n"/>
      <c r="BQ207" s="1278" t="n"/>
      <c r="BR207" s="1278" t="n"/>
      <c r="BS207" s="1278" t="n"/>
      <c r="BT207" s="1376" t="n"/>
      <c r="BU207" s="1278" t="n"/>
      <c r="BV207" s="1278" t="n"/>
      <c r="BW207" s="1278" t="n"/>
      <c r="BX207" s="1278" t="n"/>
      <c r="BY207" s="1376" t="n"/>
      <c r="BZ207" s="1376" t="n"/>
      <c r="CA207" s="1376" t="n"/>
      <c r="CB207" s="1376" t="n"/>
      <c r="CC207" s="1380" t="n"/>
    </row>
    <row r="208" hidden="1" outlineLevel="2" ht="14.4" customFormat="1" customHeight="1" s="1373">
      <c r="A208" s="1438" t="inlineStr">
        <is>
          <t>Fab 6 wafer size, inch</t>
        </is>
      </c>
      <c r="B208" s="1439" t="n"/>
      <c r="C208" s="1379" t="n">
        <v>8</v>
      </c>
      <c r="D208" s="1379" t="n">
        <v>8</v>
      </c>
      <c r="E208" s="1379" t="n">
        <v>8</v>
      </c>
      <c r="F208" s="1379" t="n">
        <v>8</v>
      </c>
      <c r="G208" s="1379" t="n">
        <v>8</v>
      </c>
      <c r="H208" s="1278" t="n"/>
      <c r="I208" s="1278" t="n"/>
      <c r="J208" s="1278" t="n"/>
      <c r="K208" s="1278" t="n"/>
      <c r="L208" s="1379" t="n">
        <v>8</v>
      </c>
      <c r="M208" s="1278" t="n"/>
      <c r="N208" s="1278" t="n"/>
      <c r="O208" s="1278" t="n"/>
      <c r="P208" s="1278" t="n"/>
      <c r="Q208" s="1379" t="n">
        <v>8</v>
      </c>
      <c r="R208" s="1278" t="n"/>
      <c r="S208" s="1278" t="n"/>
      <c r="T208" s="1278" t="n"/>
      <c r="U208" s="1278" t="n"/>
      <c r="V208" s="1379" t="n">
        <v>8</v>
      </c>
      <c r="W208" s="1278" t="n"/>
      <c r="X208" s="1278" t="n"/>
      <c r="Y208" s="1278" t="n"/>
      <c r="Z208" s="1278" t="n"/>
      <c r="AA208" s="1379" t="n">
        <v>8</v>
      </c>
      <c r="AB208" s="1278" t="n"/>
      <c r="AC208" s="1278" t="n"/>
      <c r="AD208" s="1278" t="n"/>
      <c r="AE208" s="1278" t="n"/>
      <c r="AF208" s="1379" t="n">
        <v>8</v>
      </c>
      <c r="AG208" s="1278" t="n"/>
      <c r="AH208" s="1278" t="n"/>
      <c r="AI208" s="1278" t="n"/>
      <c r="AJ208" s="1278" t="n"/>
      <c r="AK208" s="1379" t="n">
        <v>8</v>
      </c>
      <c r="AL208" s="1278" t="n"/>
      <c r="AM208" s="1278" t="n"/>
      <c r="AN208" s="1278" t="n"/>
      <c r="AO208" s="1278" t="n"/>
      <c r="AP208" s="1379" t="n">
        <v>8</v>
      </c>
      <c r="AQ208" s="1278" t="n"/>
      <c r="AR208" s="1278" t="n"/>
      <c r="AS208" s="1278" t="n"/>
      <c r="AT208" s="1278" t="n"/>
      <c r="AU208" s="1379" t="n">
        <v>8</v>
      </c>
      <c r="AV208" s="1278" t="n"/>
      <c r="AW208" s="1278" t="n"/>
      <c r="AX208" s="1278" t="n"/>
      <c r="AY208" s="1278" t="n"/>
      <c r="AZ208" s="1379" t="n">
        <v>8</v>
      </c>
      <c r="BA208" s="1278" t="n"/>
      <c r="BB208" s="1278" t="n"/>
      <c r="BC208" s="1278" t="n"/>
      <c r="BD208" s="1278" t="n"/>
      <c r="BE208" s="1379" t="n">
        <v>8</v>
      </c>
      <c r="BF208" s="1278" t="n"/>
      <c r="BG208" s="1278" t="n"/>
      <c r="BH208" s="1278" t="n"/>
      <c r="BI208" s="1278" t="n"/>
      <c r="BJ208" s="1379" t="n">
        <v>8</v>
      </c>
      <c r="BK208" s="1278" t="n"/>
      <c r="BL208" s="1278" t="n"/>
      <c r="BM208" s="1278" t="n"/>
      <c r="BN208" s="1278" t="n"/>
      <c r="BO208" s="1377" t="n"/>
      <c r="BP208" s="1278" t="n"/>
      <c r="BQ208" s="1278" t="n"/>
      <c r="BR208" s="1278" t="n"/>
      <c r="BS208" s="1278" t="n"/>
      <c r="BT208" s="1376" t="n"/>
      <c r="BU208" s="1278" t="n"/>
      <c r="BV208" s="1278" t="n"/>
      <c r="BW208" s="1278" t="n"/>
      <c r="BX208" s="1278" t="n"/>
      <c r="BY208" s="1376" t="n"/>
      <c r="BZ208" s="1376" t="n"/>
      <c r="CA208" s="1376" t="n"/>
      <c r="CB208" s="1376" t="n"/>
      <c r="CC208" s="1380" t="n"/>
    </row>
    <row r="209" hidden="1" outlineLevel="2" ht="14.4" customFormat="1" customHeight="1" s="1373">
      <c r="A209" s="1438" t="inlineStr">
        <is>
          <t>Fab 8 wafer size, inch</t>
        </is>
      </c>
      <c r="B209" s="1439" t="n"/>
      <c r="C209" s="1379" t="n">
        <v>8</v>
      </c>
      <c r="D209" s="1379" t="n">
        <v>8</v>
      </c>
      <c r="E209" s="1379" t="n">
        <v>8</v>
      </c>
      <c r="F209" s="1379" t="n">
        <v>8</v>
      </c>
      <c r="G209" s="1379" t="n">
        <v>8</v>
      </c>
      <c r="H209" s="1278" t="n"/>
      <c r="I209" s="1278" t="n"/>
      <c r="J209" s="1278" t="n"/>
      <c r="K209" s="1278" t="n"/>
      <c r="L209" s="1379" t="n">
        <v>8</v>
      </c>
      <c r="M209" s="1278" t="n"/>
      <c r="N209" s="1278" t="n"/>
      <c r="O209" s="1278" t="n"/>
      <c r="P209" s="1278" t="n"/>
      <c r="Q209" s="1379" t="n">
        <v>8</v>
      </c>
      <c r="R209" s="1278" t="n"/>
      <c r="S209" s="1278" t="n"/>
      <c r="T209" s="1278" t="n"/>
      <c r="U209" s="1278" t="n"/>
      <c r="V209" s="1379" t="n">
        <v>8</v>
      </c>
      <c r="W209" s="1278" t="n"/>
      <c r="X209" s="1278" t="n"/>
      <c r="Y209" s="1278" t="n"/>
      <c r="Z209" s="1278" t="n"/>
      <c r="AA209" s="1379" t="n">
        <v>8</v>
      </c>
      <c r="AB209" s="1278" t="n"/>
      <c r="AC209" s="1278" t="n"/>
      <c r="AD209" s="1278" t="n"/>
      <c r="AE209" s="1278" t="n"/>
      <c r="AF209" s="1379" t="n">
        <v>8</v>
      </c>
      <c r="AG209" s="1278" t="n"/>
      <c r="AH209" s="1278" t="n"/>
      <c r="AI209" s="1278" t="n"/>
      <c r="AJ209" s="1278" t="n"/>
      <c r="AK209" s="1379" t="n">
        <v>8</v>
      </c>
      <c r="AL209" s="1278" t="n"/>
      <c r="AM209" s="1278" t="n"/>
      <c r="AN209" s="1278" t="n"/>
      <c r="AO209" s="1278" t="n"/>
      <c r="AP209" s="1379" t="n">
        <v>8</v>
      </c>
      <c r="AQ209" s="1278" t="n"/>
      <c r="AR209" s="1278" t="n"/>
      <c r="AS209" s="1278" t="n"/>
      <c r="AT209" s="1278" t="n"/>
      <c r="AU209" s="1379" t="n">
        <v>8</v>
      </c>
      <c r="AV209" s="1278" t="n"/>
      <c r="AW209" s="1278" t="n"/>
      <c r="AX209" s="1278" t="n"/>
      <c r="AY209" s="1278" t="n"/>
      <c r="AZ209" s="1379" t="n">
        <v>8</v>
      </c>
      <c r="BA209" s="1278" t="n"/>
      <c r="BB209" s="1278" t="n"/>
      <c r="BC209" s="1278" t="n"/>
      <c r="BD209" s="1278" t="n"/>
      <c r="BE209" s="1379" t="n">
        <v>8</v>
      </c>
      <c r="BF209" s="1278" t="n"/>
      <c r="BG209" s="1278" t="n"/>
      <c r="BH209" s="1278" t="n"/>
      <c r="BI209" s="1278" t="n"/>
      <c r="BJ209" s="1379" t="n">
        <v>8</v>
      </c>
      <c r="BK209" s="1278" t="n"/>
      <c r="BL209" s="1278" t="n"/>
      <c r="BM209" s="1278" t="n"/>
      <c r="BN209" s="1278" t="n"/>
      <c r="BO209" s="1377" t="n"/>
      <c r="BP209" s="1278" t="n"/>
      <c r="BQ209" s="1278" t="n"/>
      <c r="BR209" s="1278" t="n"/>
      <c r="BS209" s="1278" t="n"/>
      <c r="BT209" s="1376" t="n"/>
      <c r="BU209" s="1278" t="n"/>
      <c r="BV209" s="1278" t="n"/>
      <c r="BW209" s="1278" t="n"/>
      <c r="BX209" s="1278" t="n"/>
      <c r="BY209" s="1376" t="n"/>
      <c r="BZ209" s="1376" t="n"/>
      <c r="CA209" s="1376" t="n"/>
      <c r="CB209" s="1376" t="n"/>
      <c r="CC209" s="1380" t="n"/>
    </row>
    <row r="210" hidden="1" outlineLevel="2" ht="14.4" customFormat="1" customHeight="1" s="1373">
      <c r="A210" s="1438" t="inlineStr">
        <is>
          <t>Fab 10 wafer size, inch</t>
        </is>
      </c>
      <c r="B210" s="1439" t="n"/>
      <c r="C210" s="1379" t="n">
        <v>8</v>
      </c>
      <c r="D210" s="1379" t="n">
        <v>8</v>
      </c>
      <c r="E210" s="1379" t="n">
        <v>8</v>
      </c>
      <c r="F210" s="1379" t="n">
        <v>8</v>
      </c>
      <c r="G210" s="1379" t="n">
        <v>8</v>
      </c>
      <c r="H210" s="1278" t="n"/>
      <c r="I210" s="1278" t="n"/>
      <c r="J210" s="1278" t="n"/>
      <c r="K210" s="1278" t="n"/>
      <c r="L210" s="1379" t="n">
        <v>8</v>
      </c>
      <c r="M210" s="1278" t="n"/>
      <c r="N210" s="1278" t="n"/>
      <c r="O210" s="1278" t="n"/>
      <c r="P210" s="1278" t="n"/>
      <c r="Q210" s="1379" t="n">
        <v>8</v>
      </c>
      <c r="R210" s="1278" t="n"/>
      <c r="S210" s="1278" t="n"/>
      <c r="T210" s="1278" t="n"/>
      <c r="U210" s="1278" t="n"/>
      <c r="V210" s="1379" t="n">
        <v>8</v>
      </c>
      <c r="W210" s="1278" t="n"/>
      <c r="X210" s="1278" t="n"/>
      <c r="Y210" s="1278" t="n"/>
      <c r="Z210" s="1278" t="n"/>
      <c r="AA210" s="1379" t="n">
        <v>8</v>
      </c>
      <c r="AB210" s="1278" t="n"/>
      <c r="AC210" s="1278" t="n"/>
      <c r="AD210" s="1278" t="n"/>
      <c r="AE210" s="1278" t="n"/>
      <c r="AF210" s="1379" t="n">
        <v>8</v>
      </c>
      <c r="AG210" s="1278" t="n"/>
      <c r="AH210" s="1278" t="n"/>
      <c r="AI210" s="1278" t="n"/>
      <c r="AJ210" s="1278" t="n"/>
      <c r="AK210" s="1379" t="n">
        <v>8</v>
      </c>
      <c r="AL210" s="1278" t="n"/>
      <c r="AM210" s="1278" t="n"/>
      <c r="AN210" s="1278" t="n"/>
      <c r="AO210" s="1278" t="n"/>
      <c r="AP210" s="1379" t="n">
        <v>8</v>
      </c>
      <c r="AQ210" s="1278" t="n"/>
      <c r="AR210" s="1278" t="n"/>
      <c r="AS210" s="1278" t="n"/>
      <c r="AT210" s="1278" t="n"/>
      <c r="AU210" s="1379" t="n">
        <v>8</v>
      </c>
      <c r="AV210" s="1278" t="n"/>
      <c r="AW210" s="1278" t="n"/>
      <c r="AX210" s="1278" t="n"/>
      <c r="AY210" s="1278" t="n"/>
      <c r="AZ210" s="1379" t="n">
        <v>8</v>
      </c>
      <c r="BA210" s="1278" t="n"/>
      <c r="BB210" s="1278" t="n"/>
      <c r="BC210" s="1278" t="n"/>
      <c r="BD210" s="1278" t="n"/>
      <c r="BE210" s="1379" t="n">
        <v>8</v>
      </c>
      <c r="BF210" s="1278" t="n"/>
      <c r="BG210" s="1278" t="n"/>
      <c r="BH210" s="1278" t="n"/>
      <c r="BI210" s="1278" t="n"/>
      <c r="BJ210" s="1379" t="n">
        <v>8</v>
      </c>
      <c r="BK210" s="1278" t="n"/>
      <c r="BL210" s="1278" t="n"/>
      <c r="BM210" s="1278" t="n"/>
      <c r="BN210" s="1278" t="n"/>
      <c r="BO210" s="1377" t="n"/>
      <c r="BP210" s="1278" t="n"/>
      <c r="BQ210" s="1278" t="n"/>
      <c r="BR210" s="1278" t="n"/>
      <c r="BS210" s="1278" t="n"/>
      <c r="BT210" s="1376" t="n"/>
      <c r="BU210" s="1278" t="n"/>
      <c r="BV210" s="1278" t="n"/>
      <c r="BW210" s="1278" t="n"/>
      <c r="BX210" s="1278" t="n"/>
      <c r="BY210" s="1376" t="n"/>
      <c r="BZ210" s="1376" t="n"/>
      <c r="CA210" s="1376" t="n"/>
      <c r="CB210" s="1376" t="n"/>
      <c r="CC210" s="1380" t="n"/>
    </row>
    <row r="211" hidden="1" outlineLevel="2" ht="14.4" customFormat="1" customHeight="1" s="1373">
      <c r="A211" s="1438" t="inlineStr">
        <is>
          <t>Fab 11 (WaferTech) wafer size, inch</t>
        </is>
      </c>
      <c r="B211" s="1439" t="n"/>
      <c r="C211" s="1379" t="n">
        <v>8</v>
      </c>
      <c r="D211" s="1379" t="n">
        <v>8</v>
      </c>
      <c r="E211" s="1379" t="n">
        <v>8</v>
      </c>
      <c r="F211" s="1379" t="n">
        <v>8</v>
      </c>
      <c r="G211" s="1379" t="n">
        <v>8</v>
      </c>
      <c r="H211" s="1278" t="n"/>
      <c r="I211" s="1278" t="n"/>
      <c r="J211" s="1278" t="n"/>
      <c r="K211" s="1278" t="n"/>
      <c r="L211" s="1379" t="n">
        <v>8</v>
      </c>
      <c r="M211" s="1278" t="n"/>
      <c r="N211" s="1278" t="n"/>
      <c r="O211" s="1278" t="n"/>
      <c r="P211" s="1278" t="n"/>
      <c r="Q211" s="1379" t="n">
        <v>8</v>
      </c>
      <c r="R211" s="1278" t="n"/>
      <c r="S211" s="1278" t="n"/>
      <c r="T211" s="1278" t="n"/>
      <c r="U211" s="1278" t="n"/>
      <c r="V211" s="1379" t="n">
        <v>8</v>
      </c>
      <c r="W211" s="1278" t="n"/>
      <c r="X211" s="1278" t="n"/>
      <c r="Y211" s="1278" t="n"/>
      <c r="Z211" s="1278" t="n"/>
      <c r="AA211" s="1379" t="n">
        <v>8</v>
      </c>
      <c r="AB211" s="1278" t="n"/>
      <c r="AC211" s="1278" t="n"/>
      <c r="AD211" s="1278" t="n"/>
      <c r="AE211" s="1278" t="n"/>
      <c r="AF211" s="1379" t="n">
        <v>8</v>
      </c>
      <c r="AG211" s="1278" t="n"/>
      <c r="AH211" s="1278" t="n"/>
      <c r="AI211" s="1278" t="n"/>
      <c r="AJ211" s="1278" t="n"/>
      <c r="AK211" s="1379" t="n">
        <v>8</v>
      </c>
      <c r="AL211" s="1278" t="n"/>
      <c r="AM211" s="1278" t="n"/>
      <c r="AN211" s="1278" t="n"/>
      <c r="AO211" s="1278" t="n"/>
      <c r="AP211" s="1379" t="n">
        <v>8</v>
      </c>
      <c r="AQ211" s="1278" t="n"/>
      <c r="AR211" s="1278" t="n"/>
      <c r="AS211" s="1278" t="n"/>
      <c r="AT211" s="1278" t="n"/>
      <c r="AU211" s="1379" t="n">
        <v>8</v>
      </c>
      <c r="AV211" s="1278" t="n"/>
      <c r="AW211" s="1278" t="n"/>
      <c r="AX211" s="1278" t="n"/>
      <c r="AY211" s="1278" t="n"/>
      <c r="AZ211" s="1379" t="n">
        <v>8</v>
      </c>
      <c r="BA211" s="1278" t="n"/>
      <c r="BB211" s="1278" t="n"/>
      <c r="BC211" s="1278" t="n"/>
      <c r="BD211" s="1278" t="n"/>
      <c r="BE211" s="1379" t="n">
        <v>8</v>
      </c>
      <c r="BF211" s="1278" t="n"/>
      <c r="BG211" s="1278" t="n"/>
      <c r="BH211" s="1278" t="n"/>
      <c r="BI211" s="1278" t="n"/>
      <c r="BJ211" s="1379" t="n">
        <v>8</v>
      </c>
      <c r="BK211" s="1278" t="n"/>
      <c r="BL211" s="1278" t="n"/>
      <c r="BM211" s="1278" t="n"/>
      <c r="BN211" s="1278" t="n"/>
      <c r="BO211" s="1377" t="n"/>
      <c r="BP211" s="1278" t="n"/>
      <c r="BQ211" s="1278" t="n"/>
      <c r="BR211" s="1278" t="n"/>
      <c r="BS211" s="1278" t="n"/>
      <c r="BT211" s="1376" t="n"/>
      <c r="BU211" s="1278" t="n"/>
      <c r="BV211" s="1278" t="n"/>
      <c r="BW211" s="1278" t="n"/>
      <c r="BX211" s="1278" t="n"/>
      <c r="BY211" s="1376" t="n"/>
      <c r="BZ211" s="1376" t="n"/>
      <c r="CA211" s="1376" t="n"/>
      <c r="CB211" s="1376" t="n"/>
      <c r="CC211" s="1380" t="n"/>
    </row>
    <row r="212" hidden="1" outlineLevel="2" ht="14.4" customFormat="1" customHeight="1" s="1373">
      <c r="A212" s="1438" t="inlineStr">
        <is>
          <t>Fab 12 wafer size, inch</t>
        </is>
      </c>
      <c r="B212" s="1439" t="n"/>
      <c r="C212" s="1379" t="n">
        <v>12</v>
      </c>
      <c r="D212" s="1379" t="n">
        <v>12</v>
      </c>
      <c r="E212" s="1379" t="n">
        <v>12</v>
      </c>
      <c r="F212" s="1379" t="n">
        <v>12</v>
      </c>
      <c r="G212" s="1379" t="n">
        <v>12</v>
      </c>
      <c r="H212" s="1278" t="n"/>
      <c r="I212" s="1278" t="n"/>
      <c r="J212" s="1278" t="n"/>
      <c r="K212" s="1278" t="n"/>
      <c r="L212" s="1379" t="n">
        <v>12</v>
      </c>
      <c r="M212" s="1278" t="n"/>
      <c r="N212" s="1278" t="n"/>
      <c r="O212" s="1278" t="n"/>
      <c r="P212" s="1278" t="n"/>
      <c r="Q212" s="1379" t="n">
        <v>12</v>
      </c>
      <c r="R212" s="1278" t="n"/>
      <c r="S212" s="1278" t="n"/>
      <c r="T212" s="1278" t="n"/>
      <c r="U212" s="1278" t="n"/>
      <c r="V212" s="1379" t="n">
        <v>12</v>
      </c>
      <c r="W212" s="1278" t="n"/>
      <c r="X212" s="1278" t="n"/>
      <c r="Y212" s="1278" t="n"/>
      <c r="Z212" s="1278" t="n"/>
      <c r="AA212" s="1379" t="n">
        <v>12</v>
      </c>
      <c r="AB212" s="1278" t="n"/>
      <c r="AC212" s="1278" t="n"/>
      <c r="AD212" s="1278" t="n"/>
      <c r="AE212" s="1278" t="n"/>
      <c r="AF212" s="1379" t="n">
        <v>12</v>
      </c>
      <c r="AG212" s="1278" t="n"/>
      <c r="AH212" s="1278" t="n"/>
      <c r="AI212" s="1278" t="n"/>
      <c r="AJ212" s="1278" t="n"/>
      <c r="AK212" s="1379" t="n">
        <v>12</v>
      </c>
      <c r="AL212" s="1278" t="n"/>
      <c r="AM212" s="1278" t="n"/>
      <c r="AN212" s="1278" t="n"/>
      <c r="AO212" s="1278" t="n"/>
      <c r="AP212" s="1379" t="n">
        <v>12</v>
      </c>
      <c r="AQ212" s="1278" t="n"/>
      <c r="AR212" s="1278" t="n"/>
      <c r="AS212" s="1278" t="n"/>
      <c r="AT212" s="1278" t="n"/>
      <c r="AU212" s="1379" t="n">
        <v>12</v>
      </c>
      <c r="AV212" s="1278" t="n"/>
      <c r="AW212" s="1278" t="n"/>
      <c r="AX212" s="1278" t="n"/>
      <c r="AY212" s="1278" t="n"/>
      <c r="AZ212" s="1379" t="n">
        <v>12</v>
      </c>
      <c r="BA212" s="1278" t="n"/>
      <c r="BB212" s="1278" t="n"/>
      <c r="BC212" s="1278" t="n"/>
      <c r="BD212" s="1278" t="n"/>
      <c r="BE212" s="1379" t="n">
        <v>12</v>
      </c>
      <c r="BF212" s="1278" t="n"/>
      <c r="BG212" s="1278" t="n"/>
      <c r="BH212" s="1278" t="n"/>
      <c r="BI212" s="1278" t="n"/>
      <c r="BJ212" s="1379" t="n">
        <v>12</v>
      </c>
      <c r="BK212" s="1278" t="n"/>
      <c r="BL212" s="1278" t="n"/>
      <c r="BM212" s="1278" t="n"/>
      <c r="BN212" s="1278" t="n"/>
      <c r="BO212" s="1377" t="n"/>
      <c r="BP212" s="1278" t="n"/>
      <c r="BQ212" s="1278" t="n"/>
      <c r="BR212" s="1278" t="n"/>
      <c r="BS212" s="1278" t="n"/>
      <c r="BT212" s="1376" t="n"/>
      <c r="BU212" s="1278" t="n"/>
      <c r="BV212" s="1278" t="n"/>
      <c r="BW212" s="1278" t="n"/>
      <c r="BX212" s="1278" t="n"/>
      <c r="BY212" s="1376" t="n"/>
      <c r="BZ212" s="1376" t="n"/>
      <c r="CA212" s="1376" t="n"/>
      <c r="CB212" s="1376" t="n"/>
      <c r="CC212" s="1380" t="n"/>
    </row>
    <row r="213" hidden="1" outlineLevel="2" ht="14.4" customFormat="1" customHeight="1" s="1373">
      <c r="A213" s="1438" t="inlineStr">
        <is>
          <t>Fab 14 wafer size, inch</t>
        </is>
      </c>
      <c r="B213" s="1439" t="n"/>
      <c r="C213" s="1379" t="n">
        <v>12</v>
      </c>
      <c r="D213" s="1379" t="n">
        <v>12</v>
      </c>
      <c r="E213" s="1379" t="n">
        <v>12</v>
      </c>
      <c r="F213" s="1379" t="n">
        <v>12</v>
      </c>
      <c r="G213" s="1379" t="n">
        <v>12</v>
      </c>
      <c r="H213" s="1278" t="n"/>
      <c r="I213" s="1278" t="n"/>
      <c r="J213" s="1278" t="n"/>
      <c r="K213" s="1278" t="n"/>
      <c r="L213" s="1379" t="n">
        <v>12</v>
      </c>
      <c r="M213" s="1278" t="n"/>
      <c r="N213" s="1278" t="n"/>
      <c r="O213" s="1278" t="n"/>
      <c r="P213" s="1278" t="n"/>
      <c r="Q213" s="1379" t="n">
        <v>12</v>
      </c>
      <c r="R213" s="1278" t="n"/>
      <c r="S213" s="1278" t="n"/>
      <c r="T213" s="1278" t="n"/>
      <c r="U213" s="1278" t="n"/>
      <c r="V213" s="1379" t="n">
        <v>12</v>
      </c>
      <c r="W213" s="1278" t="n"/>
      <c r="X213" s="1278" t="n"/>
      <c r="Y213" s="1278" t="n"/>
      <c r="Z213" s="1278" t="n"/>
      <c r="AA213" s="1379" t="n">
        <v>12</v>
      </c>
      <c r="AB213" s="1278" t="n"/>
      <c r="AC213" s="1278" t="n"/>
      <c r="AD213" s="1278" t="n"/>
      <c r="AE213" s="1278" t="n"/>
      <c r="AF213" s="1379" t="n">
        <v>12</v>
      </c>
      <c r="AG213" s="1278" t="n"/>
      <c r="AH213" s="1278" t="n"/>
      <c r="AI213" s="1278" t="n"/>
      <c r="AJ213" s="1278" t="n"/>
      <c r="AK213" s="1379" t="n">
        <v>12</v>
      </c>
      <c r="AL213" s="1278" t="n"/>
      <c r="AM213" s="1278" t="n"/>
      <c r="AN213" s="1278" t="n"/>
      <c r="AO213" s="1278" t="n"/>
      <c r="AP213" s="1379" t="n">
        <v>12</v>
      </c>
      <c r="AQ213" s="1278" t="n"/>
      <c r="AR213" s="1278" t="n"/>
      <c r="AS213" s="1278" t="n"/>
      <c r="AT213" s="1278" t="n"/>
      <c r="AU213" s="1379" t="n">
        <v>12</v>
      </c>
      <c r="AV213" s="1278" t="n"/>
      <c r="AW213" s="1278" t="n"/>
      <c r="AX213" s="1278" t="n"/>
      <c r="AY213" s="1278" t="n"/>
      <c r="AZ213" s="1379" t="n">
        <v>12</v>
      </c>
      <c r="BA213" s="1278" t="n"/>
      <c r="BB213" s="1278" t="n"/>
      <c r="BC213" s="1278" t="n"/>
      <c r="BD213" s="1278" t="n"/>
      <c r="BE213" s="1379" t="n">
        <v>12</v>
      </c>
      <c r="BF213" s="1278" t="n"/>
      <c r="BG213" s="1278" t="n"/>
      <c r="BH213" s="1278" t="n"/>
      <c r="BI213" s="1278" t="n"/>
      <c r="BJ213" s="1379" t="n">
        <v>12</v>
      </c>
      <c r="BK213" s="1278" t="n"/>
      <c r="BL213" s="1278" t="n"/>
      <c r="BM213" s="1278" t="n"/>
      <c r="BN213" s="1278" t="n"/>
      <c r="BO213" s="1377" t="n"/>
      <c r="BP213" s="1278" t="n"/>
      <c r="BQ213" s="1278" t="n"/>
      <c r="BR213" s="1278" t="n"/>
      <c r="BS213" s="1278" t="n"/>
      <c r="BT213" s="1376" t="n"/>
      <c r="BU213" s="1278" t="n"/>
      <c r="BV213" s="1278" t="n"/>
      <c r="BW213" s="1278" t="n"/>
      <c r="BX213" s="1278" t="n"/>
      <c r="BY213" s="1376" t="n"/>
      <c r="BZ213" s="1376" t="n"/>
      <c r="CA213" s="1376" t="n"/>
      <c r="CB213" s="1376" t="n"/>
      <c r="CC213" s="1380" t="n"/>
    </row>
    <row r="214" hidden="1" outlineLevel="2" ht="14.4" customFormat="1" customHeight="1" s="1373">
      <c r="A214" s="1438" t="inlineStr">
        <is>
          <t>Fab 15 wafer size, inch</t>
        </is>
      </c>
      <c r="B214" s="1439" t="n"/>
      <c r="C214" s="1376" t="n"/>
      <c r="D214" s="1376" t="n"/>
      <c r="E214" s="1376" t="n"/>
      <c r="F214" s="1379" t="n">
        <v>12</v>
      </c>
      <c r="G214" s="1379" t="n">
        <v>12</v>
      </c>
      <c r="H214" s="1278" t="n"/>
      <c r="I214" s="1278" t="n"/>
      <c r="J214" s="1278" t="n"/>
      <c r="K214" s="1278" t="n"/>
      <c r="L214" s="1379" t="n">
        <v>12</v>
      </c>
      <c r="M214" s="1278" t="n"/>
      <c r="N214" s="1278" t="n"/>
      <c r="O214" s="1278" t="n"/>
      <c r="P214" s="1278" t="n"/>
      <c r="Q214" s="1379" t="n">
        <v>12</v>
      </c>
      <c r="R214" s="1278" t="n"/>
      <c r="S214" s="1278" t="n"/>
      <c r="T214" s="1278" t="n"/>
      <c r="U214" s="1278" t="n"/>
      <c r="V214" s="1379" t="n">
        <v>12</v>
      </c>
      <c r="W214" s="1278" t="n"/>
      <c r="X214" s="1278" t="n"/>
      <c r="Y214" s="1278" t="n"/>
      <c r="Z214" s="1278" t="n"/>
      <c r="AA214" s="1379" t="n">
        <v>12</v>
      </c>
      <c r="AB214" s="1278" t="n"/>
      <c r="AC214" s="1278" t="n"/>
      <c r="AD214" s="1278" t="n"/>
      <c r="AE214" s="1278" t="n"/>
      <c r="AF214" s="1379" t="n">
        <v>12</v>
      </c>
      <c r="AG214" s="1278" t="n"/>
      <c r="AH214" s="1278" t="n"/>
      <c r="AI214" s="1278" t="n"/>
      <c r="AJ214" s="1278" t="n"/>
      <c r="AK214" s="1379" t="n">
        <v>12</v>
      </c>
      <c r="AL214" s="1278" t="n"/>
      <c r="AM214" s="1278" t="n"/>
      <c r="AN214" s="1278" t="n"/>
      <c r="AO214" s="1278" t="n"/>
      <c r="AP214" s="1379" t="n">
        <v>12</v>
      </c>
      <c r="AQ214" s="1278" t="n"/>
      <c r="AR214" s="1278" t="n"/>
      <c r="AS214" s="1278" t="n"/>
      <c r="AT214" s="1278" t="n"/>
      <c r="AU214" s="1379" t="n">
        <v>12</v>
      </c>
      <c r="AV214" s="1278" t="n"/>
      <c r="AW214" s="1278" t="n"/>
      <c r="AX214" s="1278" t="n"/>
      <c r="AY214" s="1278" t="n"/>
      <c r="AZ214" s="1379" t="n">
        <v>12</v>
      </c>
      <c r="BA214" s="1278" t="n"/>
      <c r="BB214" s="1278" t="n"/>
      <c r="BC214" s="1278" t="n"/>
      <c r="BD214" s="1278" t="n"/>
      <c r="BE214" s="1379" t="n">
        <v>12</v>
      </c>
      <c r="BF214" s="1278" t="n"/>
      <c r="BG214" s="1278" t="n"/>
      <c r="BH214" s="1278" t="n"/>
      <c r="BI214" s="1278" t="n"/>
      <c r="BJ214" s="1379" t="n">
        <v>12</v>
      </c>
      <c r="BK214" s="1278" t="n"/>
      <c r="BL214" s="1278" t="n"/>
      <c r="BM214" s="1278" t="n"/>
      <c r="BN214" s="1278" t="n"/>
      <c r="BO214" s="1377" t="n"/>
      <c r="BP214" s="1278" t="n"/>
      <c r="BQ214" s="1278" t="n"/>
      <c r="BR214" s="1278" t="n"/>
      <c r="BS214" s="1278" t="n"/>
      <c r="BT214" s="1376" t="n"/>
      <c r="BU214" s="1278" t="n"/>
      <c r="BV214" s="1278" t="n"/>
      <c r="BW214" s="1278" t="n"/>
      <c r="BX214" s="1278" t="n"/>
      <c r="BY214" s="1376" t="n"/>
      <c r="BZ214" s="1376" t="n"/>
      <c r="CA214" s="1376" t="n"/>
      <c r="CB214" s="1376" t="n"/>
      <c r="CC214" s="1380" t="n"/>
    </row>
    <row r="215" hidden="1" outlineLevel="2" ht="14.4" customFormat="1" customHeight="1" s="1373">
      <c r="A215" s="1438" t="inlineStr">
        <is>
          <t>Fab 16 wafer size, inch</t>
        </is>
      </c>
      <c r="B215" s="1439" t="n"/>
      <c r="C215" s="1376" t="n"/>
      <c r="D215" s="1376" t="n"/>
      <c r="E215" s="1376" t="n"/>
      <c r="F215" s="1479" t="n"/>
      <c r="G215" s="1479" t="n"/>
      <c r="H215" s="1278" t="n"/>
      <c r="I215" s="1278" t="n"/>
      <c r="J215" s="1278" t="n"/>
      <c r="K215" s="1278" t="n"/>
      <c r="L215" s="1376" t="n"/>
      <c r="M215" s="1278" t="n"/>
      <c r="N215" s="1278" t="n"/>
      <c r="O215" s="1278" t="n"/>
      <c r="P215" s="1278" t="n"/>
      <c r="Q215" s="1376" t="n"/>
      <c r="R215" s="1278" t="n"/>
      <c r="S215" s="1278" t="n"/>
      <c r="T215" s="1278" t="n"/>
      <c r="U215" s="1278" t="n"/>
      <c r="V215" s="1376" t="n"/>
      <c r="W215" s="1278" t="n"/>
      <c r="X215" s="1278" t="n"/>
      <c r="Y215" s="1278" t="n"/>
      <c r="Z215" s="1278" t="n"/>
      <c r="AA215" s="1376" t="n"/>
      <c r="AB215" s="1278" t="n"/>
      <c r="AC215" s="1278" t="n"/>
      <c r="AD215" s="1278" t="n"/>
      <c r="AE215" s="1278" t="n"/>
      <c r="AF215" s="1379" t="n">
        <v>12</v>
      </c>
      <c r="AG215" s="1278" t="n"/>
      <c r="AH215" s="1278" t="n"/>
      <c r="AI215" s="1278" t="n"/>
      <c r="AJ215" s="1278" t="n"/>
      <c r="AK215" s="1379" t="n">
        <v>12</v>
      </c>
      <c r="AL215" s="1278" t="n"/>
      <c r="AM215" s="1278" t="n"/>
      <c r="AN215" s="1278" t="n"/>
      <c r="AO215" s="1278" t="n"/>
      <c r="AP215" s="1379" t="n">
        <v>12</v>
      </c>
      <c r="AQ215" s="1278" t="n"/>
      <c r="AR215" s="1278" t="n"/>
      <c r="AS215" s="1278" t="n"/>
      <c r="AT215" s="1278" t="n"/>
      <c r="AU215" s="1379" t="n">
        <v>12</v>
      </c>
      <c r="AV215" s="1278" t="n"/>
      <c r="AW215" s="1278" t="n"/>
      <c r="AX215" s="1278" t="n"/>
      <c r="AY215" s="1278" t="n"/>
      <c r="AZ215" s="1379" t="n">
        <v>12</v>
      </c>
      <c r="BA215" s="1278" t="n"/>
      <c r="BB215" s="1278" t="n"/>
      <c r="BC215" s="1278" t="n"/>
      <c r="BD215" s="1278" t="n"/>
      <c r="BE215" s="1379" t="n">
        <v>12</v>
      </c>
      <c r="BF215" s="1278" t="n"/>
      <c r="BG215" s="1278" t="n"/>
      <c r="BH215" s="1278" t="n"/>
      <c r="BI215" s="1278" t="n"/>
      <c r="BJ215" s="1379" t="n">
        <v>12</v>
      </c>
      <c r="BK215" s="1278" t="n"/>
      <c r="BL215" s="1278" t="n"/>
      <c r="BM215" s="1278" t="n"/>
      <c r="BN215" s="1278" t="n"/>
      <c r="BO215" s="1377" t="n"/>
      <c r="BP215" s="1278" t="n"/>
      <c r="BQ215" s="1278" t="n"/>
      <c r="BR215" s="1278" t="n"/>
      <c r="BS215" s="1278" t="n"/>
      <c r="BT215" s="1376" t="n"/>
      <c r="BU215" s="1278" t="n"/>
      <c r="BV215" s="1278" t="n"/>
      <c r="BW215" s="1278" t="n"/>
      <c r="BX215" s="1278" t="n"/>
      <c r="BY215" s="1376" t="n"/>
      <c r="BZ215" s="1376" t="n"/>
      <c r="CA215" s="1376" t="n"/>
      <c r="CB215" s="1376" t="n"/>
      <c r="CC215" s="1380" t="n"/>
    </row>
    <row r="216" hidden="1" outlineLevel="2" ht="14.4" customFormat="1" customHeight="1" s="1373">
      <c r="A216" s="1438" t="inlineStr">
        <is>
          <t>Fab 18 wafer size, inch</t>
        </is>
      </c>
      <c r="B216" s="1439" t="n"/>
      <c r="C216" s="1376" t="n"/>
      <c r="D216" s="1376" t="n"/>
      <c r="E216" s="1376" t="n"/>
      <c r="F216" s="1479" t="n"/>
      <c r="G216" s="1479" t="n"/>
      <c r="H216" s="1278" t="n"/>
      <c r="I216" s="1278" t="n"/>
      <c r="J216" s="1278" t="n"/>
      <c r="K216" s="1278" t="n"/>
      <c r="L216" s="1376" t="n"/>
      <c r="M216" s="1278" t="n"/>
      <c r="N216" s="1278" t="n"/>
      <c r="O216" s="1278" t="n"/>
      <c r="P216" s="1278" t="n"/>
      <c r="Q216" s="1376" t="n"/>
      <c r="R216" s="1278" t="n"/>
      <c r="S216" s="1278" t="n"/>
      <c r="T216" s="1278" t="n"/>
      <c r="U216" s="1278" t="n"/>
      <c r="V216" s="1376" t="n"/>
      <c r="W216" s="1278" t="n"/>
      <c r="X216" s="1278" t="n"/>
      <c r="Y216" s="1278" t="n"/>
      <c r="Z216" s="1278" t="n"/>
      <c r="AA216" s="1376" t="n"/>
      <c r="AB216" s="1278" t="n"/>
      <c r="AC216" s="1278" t="n"/>
      <c r="AD216" s="1278" t="n"/>
      <c r="AE216" s="1278" t="n"/>
      <c r="AF216" s="1376" t="n"/>
      <c r="AG216" s="1278" t="n"/>
      <c r="AH216" s="1278" t="n"/>
      <c r="AI216" s="1278" t="n"/>
      <c r="AJ216" s="1278" t="n"/>
      <c r="AK216" s="1376" t="n"/>
      <c r="AL216" s="1278" t="n"/>
      <c r="AM216" s="1278" t="n"/>
      <c r="AN216" s="1278" t="n"/>
      <c r="AO216" s="1278" t="n"/>
      <c r="AP216" s="1379" t="n">
        <v>12</v>
      </c>
      <c r="AQ216" s="1278" t="n"/>
      <c r="AR216" s="1278" t="n"/>
      <c r="AS216" s="1278" t="n"/>
      <c r="AT216" s="1278" t="n"/>
      <c r="AU216" s="1379" t="n">
        <v>12</v>
      </c>
      <c r="AV216" s="1278" t="n"/>
      <c r="AW216" s="1278" t="n"/>
      <c r="AX216" s="1278" t="n"/>
      <c r="AY216" s="1278" t="n"/>
      <c r="AZ216" s="1379" t="n">
        <v>12</v>
      </c>
      <c r="BA216" s="1278" t="n"/>
      <c r="BB216" s="1278" t="n"/>
      <c r="BC216" s="1278" t="n"/>
      <c r="BD216" s="1278" t="n"/>
      <c r="BE216" s="1379" t="n">
        <v>12</v>
      </c>
      <c r="BF216" s="1278" t="n"/>
      <c r="BG216" s="1278" t="n"/>
      <c r="BH216" s="1278" t="n"/>
      <c r="BI216" s="1278" t="n"/>
      <c r="BJ216" s="1379" t="n">
        <v>12</v>
      </c>
      <c r="BK216" s="1278" t="n"/>
      <c r="BL216" s="1278" t="n"/>
      <c r="BM216" s="1278" t="n"/>
      <c r="BN216" s="1278" t="n"/>
      <c r="BO216" s="1377" t="n"/>
      <c r="BP216" s="1278" t="n"/>
      <c r="BQ216" s="1278" t="n"/>
      <c r="BR216" s="1278" t="n"/>
      <c r="BS216" s="1278" t="n"/>
      <c r="BT216" s="1376" t="n"/>
      <c r="BU216" s="1278" t="n"/>
      <c r="BV216" s="1278" t="n"/>
      <c r="BW216" s="1278" t="n"/>
      <c r="BX216" s="1278" t="n"/>
      <c r="BY216" s="1376" t="n"/>
      <c r="BZ216" s="1376" t="n"/>
      <c r="CA216" s="1376" t="n"/>
      <c r="CB216" s="1376" t="n"/>
      <c r="CC216" s="1380" t="n"/>
    </row>
    <row r="217" hidden="1" outlineLevel="2" ht="14.4" customFormat="1" customHeight="1" s="1373">
      <c r="A217" s="1438" t="inlineStr">
        <is>
          <t>Fab 21 wafer size, inch</t>
        </is>
      </c>
      <c r="B217" s="1439" t="n"/>
      <c r="C217" s="1376" t="n"/>
      <c r="D217" s="1376" t="n"/>
      <c r="E217" s="1376" t="n"/>
      <c r="F217" s="1479" t="n"/>
      <c r="G217" s="1479" t="n"/>
      <c r="H217" s="1278" t="n"/>
      <c r="I217" s="1278" t="n"/>
      <c r="J217" s="1278" t="n"/>
      <c r="K217" s="1278" t="n"/>
      <c r="L217" s="1376" t="n"/>
      <c r="M217" s="1278" t="n"/>
      <c r="N217" s="1278" t="n"/>
      <c r="O217" s="1278" t="n"/>
      <c r="P217" s="1278" t="n"/>
      <c r="Q217" s="1376" t="n"/>
      <c r="R217" s="1278" t="n"/>
      <c r="S217" s="1278" t="n"/>
      <c r="T217" s="1278" t="n"/>
      <c r="U217" s="1278" t="n"/>
      <c r="V217" s="1376" t="n"/>
      <c r="W217" s="1278" t="n"/>
      <c r="X217" s="1278" t="n"/>
      <c r="Y217" s="1278" t="n"/>
      <c r="Z217" s="1278" t="n"/>
      <c r="AA217" s="1376" t="n"/>
      <c r="AB217" s="1278" t="n"/>
      <c r="AC217" s="1278" t="n"/>
      <c r="AD217" s="1278" t="n"/>
      <c r="AE217" s="1278" t="n"/>
      <c r="AF217" s="1376" t="n"/>
      <c r="AG217" s="1278" t="n"/>
      <c r="AH217" s="1278" t="n"/>
      <c r="AI217" s="1278" t="n"/>
      <c r="AJ217" s="1278" t="n"/>
      <c r="AK217" s="1376" t="n"/>
      <c r="AL217" s="1278" t="n"/>
      <c r="AM217" s="1278" t="n"/>
      <c r="AN217" s="1278" t="n"/>
      <c r="AO217" s="1278" t="n"/>
      <c r="AP217" s="1376" t="n"/>
      <c r="AQ217" s="1278" t="n"/>
      <c r="AR217" s="1278" t="n"/>
      <c r="AS217" s="1278" t="n"/>
      <c r="AT217" s="1278" t="n"/>
      <c r="AU217" s="1376" t="n"/>
      <c r="AV217" s="1278" t="n"/>
      <c r="AW217" s="1278" t="n"/>
      <c r="AX217" s="1278" t="n"/>
      <c r="AY217" s="1278" t="n"/>
      <c r="AZ217" s="1376" t="n"/>
      <c r="BA217" s="1278" t="n"/>
      <c r="BB217" s="1278" t="n"/>
      <c r="BC217" s="1278" t="n"/>
      <c r="BD217" s="1278" t="n"/>
      <c r="BE217" s="1376" t="n"/>
      <c r="BF217" s="1278" t="n"/>
      <c r="BG217" s="1278" t="n"/>
      <c r="BH217" s="1278" t="n"/>
      <c r="BI217" s="1278" t="n"/>
      <c r="BJ217" s="1379" t="n">
        <v>12</v>
      </c>
      <c r="BK217" s="1278" t="n"/>
      <c r="BL217" s="1278" t="n"/>
      <c r="BM217" s="1278" t="n"/>
      <c r="BN217" s="1278" t="n"/>
      <c r="BO217" s="1377" t="n"/>
      <c r="BP217" s="1278" t="n"/>
      <c r="BQ217" s="1278" t="n"/>
      <c r="BR217" s="1278" t="n"/>
      <c r="BS217" s="1278" t="n"/>
      <c r="BT217" s="1376" t="n"/>
      <c r="BU217" s="1278" t="n"/>
      <c r="BV217" s="1278" t="n"/>
      <c r="BW217" s="1278" t="n"/>
      <c r="BX217" s="1278" t="n"/>
      <c r="BY217" s="1376" t="n"/>
      <c r="BZ217" s="1376" t="n"/>
      <c r="CA217" s="1376" t="n"/>
      <c r="CB217" s="1376" t="n"/>
      <c r="CC217" s="1380" t="n"/>
    </row>
    <row r="218" hidden="1" outlineLevel="2" ht="14.4" customFormat="1" customHeight="1" s="1373">
      <c r="A218" s="1438" t="inlineStr">
        <is>
          <t>Fab 23 wafer size, inch</t>
        </is>
      </c>
      <c r="B218" s="1439" t="n"/>
      <c r="C218" s="1376" t="n"/>
      <c r="D218" s="1376" t="n"/>
      <c r="E218" s="1376" t="n"/>
      <c r="F218" s="1479" t="n"/>
      <c r="G218" s="1479" t="n"/>
      <c r="H218" s="1278" t="n"/>
      <c r="I218" s="1278" t="n"/>
      <c r="J218" s="1278" t="n"/>
      <c r="K218" s="1278" t="n"/>
      <c r="L218" s="1376" t="n"/>
      <c r="M218" s="1278" t="n"/>
      <c r="N218" s="1278" t="n"/>
      <c r="O218" s="1278" t="n"/>
      <c r="P218" s="1278" t="n"/>
      <c r="Q218" s="1376" t="n"/>
      <c r="R218" s="1278" t="n"/>
      <c r="S218" s="1278" t="n"/>
      <c r="T218" s="1278" t="n"/>
      <c r="U218" s="1278" t="n"/>
      <c r="V218" s="1376" t="n"/>
      <c r="W218" s="1278" t="n"/>
      <c r="X218" s="1278" t="n"/>
      <c r="Y218" s="1278" t="n"/>
      <c r="Z218" s="1278" t="n"/>
      <c r="AA218" s="1376" t="n"/>
      <c r="AB218" s="1278" t="n"/>
      <c r="AC218" s="1278" t="n"/>
      <c r="AD218" s="1278" t="n"/>
      <c r="AE218" s="1278" t="n"/>
      <c r="AF218" s="1376" t="n"/>
      <c r="AG218" s="1278" t="n"/>
      <c r="AH218" s="1278" t="n"/>
      <c r="AI218" s="1278" t="n"/>
      <c r="AJ218" s="1278" t="n"/>
      <c r="AK218" s="1376" t="n"/>
      <c r="AL218" s="1278" t="n"/>
      <c r="AM218" s="1278" t="n"/>
      <c r="AN218" s="1278" t="n"/>
      <c r="AO218" s="1278" t="n"/>
      <c r="AP218" s="1376" t="n"/>
      <c r="AQ218" s="1278" t="n"/>
      <c r="AR218" s="1278" t="n"/>
      <c r="AS218" s="1278" t="n"/>
      <c r="AT218" s="1278" t="n"/>
      <c r="AU218" s="1376" t="n"/>
      <c r="AV218" s="1278" t="n"/>
      <c r="AW218" s="1278" t="n"/>
      <c r="AX218" s="1278" t="n"/>
      <c r="AY218" s="1278" t="n"/>
      <c r="AZ218" s="1376" t="n"/>
      <c r="BA218" s="1278" t="n"/>
      <c r="BB218" s="1278" t="n"/>
      <c r="BC218" s="1278" t="n"/>
      <c r="BD218" s="1278" t="n"/>
      <c r="BE218" s="1376" t="n"/>
      <c r="BF218" s="1278" t="n"/>
      <c r="BG218" s="1278" t="n"/>
      <c r="BH218" s="1278" t="n"/>
      <c r="BI218" s="1278" t="n"/>
      <c r="BJ218" s="1379" t="n">
        <v>12</v>
      </c>
      <c r="BK218" s="1278" t="n"/>
      <c r="BL218" s="1278" t="n"/>
      <c r="BM218" s="1278" t="n"/>
      <c r="BN218" s="1278" t="n"/>
      <c r="BO218" s="1377" t="n"/>
      <c r="BP218" s="1278" t="n"/>
      <c r="BQ218" s="1278" t="n"/>
      <c r="BR218" s="1278" t="n"/>
      <c r="BS218" s="1278" t="n"/>
      <c r="BT218" s="1376" t="n"/>
      <c r="BU218" s="1278" t="n"/>
      <c r="BV218" s="1278" t="n"/>
      <c r="BW218" s="1278" t="n"/>
      <c r="BX218" s="1278" t="n"/>
      <c r="BY218" s="1376" t="n"/>
      <c r="BZ218" s="1376" t="n"/>
      <c r="CA218" s="1376" t="n"/>
      <c r="CB218" s="1376" t="n"/>
      <c r="CC218" s="1380" t="n"/>
    </row>
    <row r="219" hidden="1" outlineLevel="2" ht="14.4" customFormat="1" customHeight="1" s="1373">
      <c r="A219" s="1438" t="inlineStr">
        <is>
          <t>SSMC wafer size, inch</t>
        </is>
      </c>
      <c r="B219" s="1439" t="n"/>
      <c r="C219" s="1379" t="n">
        <v>8</v>
      </c>
      <c r="D219" s="1379" t="n">
        <v>8</v>
      </c>
      <c r="E219" s="1379" t="n">
        <v>8</v>
      </c>
      <c r="F219" s="1480" t="n">
        <v>8</v>
      </c>
      <c r="G219" s="1479" t="n"/>
      <c r="H219" s="1278" t="n"/>
      <c r="I219" s="1278" t="n"/>
      <c r="J219" s="1278" t="n"/>
      <c r="K219" s="1278" t="n"/>
      <c r="L219" s="1376" t="n"/>
      <c r="M219" s="1278" t="n"/>
      <c r="N219" s="1278" t="n"/>
      <c r="O219" s="1278" t="n"/>
      <c r="P219" s="1278" t="n"/>
      <c r="Q219" s="1376" t="n"/>
      <c r="R219" s="1278" t="n"/>
      <c r="S219" s="1278" t="n"/>
      <c r="T219" s="1278" t="n"/>
      <c r="U219" s="1278" t="n"/>
      <c r="V219" s="1376" t="n"/>
      <c r="W219" s="1278" t="n"/>
      <c r="X219" s="1278" t="n"/>
      <c r="Y219" s="1278" t="n"/>
      <c r="Z219" s="1278" t="n"/>
      <c r="AA219" s="1376" t="n"/>
      <c r="AB219" s="1278" t="n"/>
      <c r="AC219" s="1278" t="n"/>
      <c r="AD219" s="1278" t="n"/>
      <c r="AE219" s="1278" t="n"/>
      <c r="AF219" s="1376" t="n"/>
      <c r="AG219" s="1278" t="n"/>
      <c r="AH219" s="1278" t="n"/>
      <c r="AI219" s="1278" t="n"/>
      <c r="AJ219" s="1278" t="n"/>
      <c r="AK219" s="1376" t="n"/>
      <c r="AL219" s="1278" t="n"/>
      <c r="AM219" s="1278" t="n"/>
      <c r="AN219" s="1278" t="n"/>
      <c r="AO219" s="1278" t="n"/>
      <c r="AP219" s="1376" t="n"/>
      <c r="AQ219" s="1278" t="n"/>
      <c r="AR219" s="1278" t="n"/>
      <c r="AS219" s="1278" t="n"/>
      <c r="AT219" s="1278" t="n"/>
      <c r="AU219" s="1376" t="n"/>
      <c r="AV219" s="1278" t="n"/>
      <c r="AW219" s="1278" t="n"/>
      <c r="AX219" s="1278" t="n"/>
      <c r="AY219" s="1278" t="n"/>
      <c r="AZ219" s="1376" t="n"/>
      <c r="BA219" s="1278" t="n"/>
      <c r="BB219" s="1278" t="n"/>
      <c r="BC219" s="1278" t="n"/>
      <c r="BD219" s="1278" t="n"/>
      <c r="BE219" s="1376" t="n"/>
      <c r="BF219" s="1278" t="n"/>
      <c r="BG219" s="1278" t="n"/>
      <c r="BH219" s="1278" t="n"/>
      <c r="BI219" s="1278" t="n"/>
      <c r="BJ219" s="1376" t="n"/>
      <c r="BK219" s="1278" t="n"/>
      <c r="BL219" s="1278" t="n"/>
      <c r="BM219" s="1278" t="n"/>
      <c r="BN219" s="1278" t="n"/>
      <c r="BO219" s="1377" t="n"/>
      <c r="BP219" s="1278" t="n"/>
      <c r="BQ219" s="1278" t="n"/>
      <c r="BR219" s="1278" t="n"/>
      <c r="BS219" s="1278" t="n"/>
      <c r="BT219" s="1376" t="n"/>
      <c r="BU219" s="1278" t="n"/>
      <c r="BV219" s="1278" t="n"/>
      <c r="BW219" s="1278" t="n"/>
      <c r="BX219" s="1278" t="n"/>
      <c r="BY219" s="1376" t="n"/>
      <c r="BZ219" s="1376" t="n"/>
      <c r="CA219" s="1376" t="n"/>
      <c r="CB219" s="1376" t="n"/>
      <c r="CC219" s="1380" t="n"/>
    </row>
    <row r="220" hidden="1" outlineLevel="2" ht="14.4" customFormat="1" customHeight="1" s="1350">
      <c r="A220" s="1458" t="n"/>
      <c r="B220" s="1459" t="n"/>
      <c r="C220" s="1353" t="n"/>
      <c r="D220" s="1353" t="n"/>
      <c r="E220" s="1353" t="n"/>
      <c r="F220" s="1353" t="n"/>
      <c r="G220" s="1353" t="n"/>
      <c r="H220" s="1354" t="n"/>
      <c r="I220" s="1354" t="n"/>
      <c r="J220" s="1354" t="n"/>
      <c r="K220" s="1354" t="n"/>
      <c r="L220" s="1353" t="n"/>
      <c r="M220" s="1354" t="n"/>
      <c r="N220" s="1354" t="n"/>
      <c r="O220" s="1354" t="n"/>
      <c r="P220" s="1354" t="n"/>
      <c r="Q220" s="1353" t="n"/>
      <c r="R220" s="1354" t="n"/>
      <c r="S220" s="1354" t="n"/>
      <c r="T220" s="1354" t="n"/>
      <c r="U220" s="1354" t="n"/>
      <c r="V220" s="1353" t="n"/>
      <c r="W220" s="1354" t="n"/>
      <c r="X220" s="1354" t="n"/>
      <c r="Y220" s="1354" t="n"/>
      <c r="Z220" s="1354" t="n"/>
      <c r="AA220" s="1353" t="n"/>
      <c r="AB220" s="1354" t="n"/>
      <c r="AC220" s="1354" t="n"/>
      <c r="AD220" s="1354" t="n"/>
      <c r="AE220" s="1354" t="n"/>
      <c r="AF220" s="1353" t="n"/>
      <c r="AG220" s="1354" t="n"/>
      <c r="AH220" s="1354" t="n"/>
      <c r="AI220" s="1354" t="n"/>
      <c r="AJ220" s="1354" t="n"/>
      <c r="AK220" s="1353" t="n"/>
      <c r="AL220" s="1354" t="n"/>
      <c r="AM220" s="1354" t="n"/>
      <c r="AN220" s="1354" t="n"/>
      <c r="AO220" s="1354" t="n"/>
      <c r="AP220" s="1353" t="n"/>
      <c r="AQ220" s="1354" t="n"/>
      <c r="AR220" s="1354" t="n"/>
      <c r="AS220" s="1354" t="n"/>
      <c r="AT220" s="1354" t="n"/>
      <c r="AU220" s="1353" t="n"/>
      <c r="AV220" s="1354" t="n"/>
      <c r="AW220" s="1354" t="n"/>
      <c r="AX220" s="1354" t="n"/>
      <c r="AY220" s="1354" t="n"/>
      <c r="AZ220" s="1353" t="n"/>
      <c r="BA220" s="1354" t="n"/>
      <c r="BB220" s="1354" t="n"/>
      <c r="BC220" s="1354" t="n"/>
      <c r="BD220" s="1354" t="n"/>
      <c r="BE220" s="1353" t="n"/>
      <c r="BF220" s="1354" t="n"/>
      <c r="BG220" s="1354" t="n"/>
      <c r="BH220" s="1354" t="n"/>
      <c r="BI220" s="1354" t="n"/>
      <c r="BJ220" s="1353" t="n"/>
      <c r="BK220" s="1354" t="n"/>
      <c r="BL220" s="1354" t="n"/>
      <c r="BM220" s="1354" t="n"/>
      <c r="BN220" s="1354" t="n"/>
      <c r="BO220" s="1355" t="n"/>
      <c r="BP220" s="1354" t="n"/>
      <c r="BQ220" s="1354" t="n"/>
      <c r="BR220" s="1354" t="n"/>
      <c r="BS220" s="1354" t="n"/>
      <c r="BT220" s="1353" t="n"/>
      <c r="BU220" s="1354" t="n"/>
      <c r="BV220" s="1354" t="n"/>
      <c r="BW220" s="1354" t="n"/>
      <c r="BX220" s="1354" t="n"/>
      <c r="BY220" s="1353" t="n"/>
      <c r="BZ220" s="1353" t="n"/>
      <c r="CA220" s="1353" t="n"/>
      <c r="CB220" s="1353" t="n"/>
      <c r="CC220" s="1356" t="n"/>
    </row>
    <row r="221" hidden="1" outlineLevel="2" ht="14.4" customFormat="1" customHeight="1" s="1373">
      <c r="A221" s="1438" t="inlineStr">
        <is>
          <t>Fab 2 monthly wafer capacity at year end, 12" wafers per month</t>
        </is>
      </c>
      <c r="B221" s="1439" t="n"/>
      <c r="C221" s="1379" t="n">
        <v>23844</v>
      </c>
      <c r="D221" s="1379" t="n">
        <v>21441.77777777778</v>
      </c>
      <c r="E221" s="1379" t="n">
        <v>21441.77777777778</v>
      </c>
      <c r="F221" s="1379" t="n">
        <v>21516</v>
      </c>
      <c r="G221" s="1379" t="n">
        <v>21623</v>
      </c>
      <c r="H221" s="1278" t="n"/>
      <c r="I221" s="1278" t="n"/>
      <c r="J221" s="1278" t="n"/>
      <c r="K221" s="1278" t="n"/>
      <c r="L221" s="1379" t="n">
        <v>21623</v>
      </c>
      <c r="M221" s="1278" t="n"/>
      <c r="N221" s="1278" t="n"/>
      <c r="O221" s="1278" t="n"/>
      <c r="P221" s="1278" t="n"/>
      <c r="Q221" s="1376" t="n"/>
      <c r="R221" s="1278" t="n"/>
      <c r="S221" s="1278" t="n"/>
      <c r="T221" s="1278" t="n"/>
      <c r="U221" s="1278" t="n"/>
      <c r="V221" s="1376" t="n"/>
      <c r="W221" s="1278" t="n"/>
      <c r="X221" s="1278" t="n"/>
      <c r="Y221" s="1278" t="n"/>
      <c r="Z221" s="1278" t="n"/>
      <c r="AA221" s="1376" t="n"/>
      <c r="AB221" s="1278" t="n"/>
      <c r="AC221" s="1278" t="n"/>
      <c r="AD221" s="1278" t="n"/>
      <c r="AE221" s="1278" t="n"/>
      <c r="AF221" s="1376" t="n"/>
      <c r="AG221" s="1278" t="n"/>
      <c r="AH221" s="1278" t="n"/>
      <c r="AI221" s="1278" t="n"/>
      <c r="AJ221" s="1278" t="n"/>
      <c r="AK221" s="1376" t="n"/>
      <c r="AL221" s="1278" t="n"/>
      <c r="AM221" s="1278" t="n"/>
      <c r="AN221" s="1278" t="n"/>
      <c r="AO221" s="1278" t="n"/>
      <c r="AP221" s="1376" t="n"/>
      <c r="AQ221" s="1278" t="n"/>
      <c r="AR221" s="1278" t="n"/>
      <c r="AS221" s="1278" t="n"/>
      <c r="AT221" s="1278" t="n"/>
      <c r="AU221" s="1376" t="n"/>
      <c r="AV221" s="1278" t="n"/>
      <c r="AW221" s="1278" t="n"/>
      <c r="AX221" s="1278" t="n"/>
      <c r="AY221" s="1278" t="n"/>
      <c r="AZ221" s="1376" t="n"/>
      <c r="BA221" s="1278" t="n"/>
      <c r="BB221" s="1278" t="n"/>
      <c r="BC221" s="1278" t="n"/>
      <c r="BD221" s="1278" t="n"/>
      <c r="BE221" s="1376" t="n"/>
      <c r="BF221" s="1278" t="n"/>
      <c r="BG221" s="1278" t="n"/>
      <c r="BH221" s="1278" t="n"/>
      <c r="BI221" s="1278" t="n"/>
      <c r="BJ221" s="1376" t="n"/>
      <c r="BK221" s="1278" t="n"/>
      <c r="BL221" s="1278" t="n"/>
      <c r="BM221" s="1278" t="n"/>
      <c r="BN221" s="1278" t="n"/>
      <c r="BO221" s="1377" t="n"/>
      <c r="BP221" s="1278" t="n"/>
      <c r="BQ221" s="1278" t="n"/>
      <c r="BR221" s="1278" t="n"/>
      <c r="BS221" s="1278" t="n"/>
      <c r="BT221" s="1376" t="n"/>
      <c r="BU221" s="1278" t="n"/>
      <c r="BV221" s="1278" t="n"/>
      <c r="BW221" s="1278" t="n"/>
      <c r="BX221" s="1278" t="n"/>
      <c r="BY221" s="1376" t="n"/>
      <c r="BZ221" s="1376" t="n"/>
      <c r="CA221" s="1376" t="n"/>
      <c r="CB221" s="1376" t="n"/>
      <c r="CC221" s="1380" t="n"/>
    </row>
    <row r="222" hidden="1" outlineLevel="2" ht="14.4" customFormat="1" customHeight="1" s="1373">
      <c r="A222" s="1438" t="inlineStr">
        <is>
          <t>Fab 3 monthly wafer capacity at year end, 12" wafers per month</t>
        </is>
      </c>
      <c r="B222" s="1439" t="n"/>
      <c r="C222" s="1379" t="n">
        <v>42389.77777777778</v>
      </c>
      <c r="D222" s="1379" t="n">
        <v>44869.77777777778</v>
      </c>
      <c r="E222" s="1379" t="n">
        <v>45410.22222222222</v>
      </c>
      <c r="F222" s="1379" t="n">
        <v>45788</v>
      </c>
      <c r="G222" s="1379" t="n">
        <v>42975</v>
      </c>
      <c r="H222" s="1278" t="n"/>
      <c r="I222" s="1278" t="n"/>
      <c r="J222" s="1278" t="n"/>
      <c r="K222" s="1278" t="n"/>
      <c r="L222" s="1379" t="n">
        <v>42768</v>
      </c>
      <c r="M222" s="1278" t="n"/>
      <c r="N222" s="1278" t="n"/>
      <c r="O222" s="1278" t="n"/>
      <c r="P222" s="1278" t="n"/>
      <c r="Q222" s="1376" t="n"/>
      <c r="R222" s="1278" t="n"/>
      <c r="S222" s="1278" t="n"/>
      <c r="T222" s="1278" t="n"/>
      <c r="U222" s="1278" t="n"/>
      <c r="V222" s="1376" t="n"/>
      <c r="W222" s="1278" t="n"/>
      <c r="X222" s="1278" t="n"/>
      <c r="Y222" s="1278" t="n"/>
      <c r="Z222" s="1278" t="n"/>
      <c r="AA222" s="1376" t="n"/>
      <c r="AB222" s="1278" t="n"/>
      <c r="AC222" s="1278" t="n"/>
      <c r="AD222" s="1278" t="n"/>
      <c r="AE222" s="1278" t="n"/>
      <c r="AF222" s="1376" t="n"/>
      <c r="AG222" s="1278" t="n"/>
      <c r="AH222" s="1278" t="n"/>
      <c r="AI222" s="1278" t="n"/>
      <c r="AJ222" s="1278" t="n"/>
      <c r="AK222" s="1376" t="n"/>
      <c r="AL222" s="1278" t="n"/>
      <c r="AM222" s="1278" t="n"/>
      <c r="AN222" s="1278" t="n"/>
      <c r="AO222" s="1278" t="n"/>
      <c r="AP222" s="1376" t="n"/>
      <c r="AQ222" s="1278" t="n"/>
      <c r="AR222" s="1278" t="n"/>
      <c r="AS222" s="1278" t="n"/>
      <c r="AT222" s="1278" t="n"/>
      <c r="AU222" s="1376" t="n"/>
      <c r="AV222" s="1278" t="n"/>
      <c r="AW222" s="1278" t="n"/>
      <c r="AX222" s="1278" t="n"/>
      <c r="AY222" s="1278" t="n"/>
      <c r="AZ222" s="1376" t="n"/>
      <c r="BA222" s="1278" t="n"/>
      <c r="BB222" s="1278" t="n"/>
      <c r="BC222" s="1278" t="n"/>
      <c r="BD222" s="1278" t="n"/>
      <c r="BE222" s="1376" t="n"/>
      <c r="BF222" s="1278" t="n"/>
      <c r="BG222" s="1278" t="n"/>
      <c r="BH222" s="1278" t="n"/>
      <c r="BI222" s="1278" t="n"/>
      <c r="BJ222" s="1376" t="n"/>
      <c r="BK222" s="1278" t="n"/>
      <c r="BL222" s="1278" t="n"/>
      <c r="BM222" s="1278" t="n"/>
      <c r="BN222" s="1278" t="n"/>
      <c r="BO222" s="1377" t="n"/>
      <c r="BP222" s="1278" t="n"/>
      <c r="BQ222" s="1278" t="n"/>
      <c r="BR222" s="1278" t="n"/>
      <c r="BS222" s="1278" t="n"/>
      <c r="BT222" s="1376" t="n"/>
      <c r="BU222" s="1278" t="n"/>
      <c r="BV222" s="1278" t="n"/>
      <c r="BW222" s="1278" t="n"/>
      <c r="BX222" s="1278" t="n"/>
      <c r="BY222" s="1376" t="n"/>
      <c r="BZ222" s="1376" t="n"/>
      <c r="CA222" s="1376" t="n"/>
      <c r="CB222" s="1376" t="n"/>
      <c r="CC222" s="1380" t="n"/>
    </row>
    <row r="223" hidden="1" outlineLevel="2" ht="14.4" customFormat="1" customHeight="1" s="1373">
      <c r="A223" s="1438" t="inlineStr">
        <is>
          <t>Fab 5 monthly wafer capacity at year end, 12" wafers per month</t>
        </is>
      </c>
      <c r="B223" s="1439" t="n"/>
      <c r="C223" s="1379" t="n">
        <v>21600</v>
      </c>
      <c r="D223" s="1379" t="n">
        <v>21111.11111111111</v>
      </c>
      <c r="E223" s="1379" t="n">
        <v>18995.55555555555</v>
      </c>
      <c r="F223" s="1379" t="n">
        <v>22155</v>
      </c>
      <c r="G223" s="1379" t="n">
        <v>14891</v>
      </c>
      <c r="H223" s="1278" t="n"/>
      <c r="I223" s="1278" t="n"/>
      <c r="J223" s="1278" t="n"/>
      <c r="K223" s="1278" t="n"/>
      <c r="L223" s="1379" t="n">
        <v>16157</v>
      </c>
      <c r="M223" s="1278" t="n"/>
      <c r="N223" s="1278" t="n"/>
      <c r="O223" s="1278" t="n"/>
      <c r="P223" s="1278" t="n"/>
      <c r="Q223" s="1376" t="n"/>
      <c r="R223" s="1278" t="n"/>
      <c r="S223" s="1278" t="n"/>
      <c r="T223" s="1278" t="n"/>
      <c r="U223" s="1278" t="n"/>
      <c r="V223" s="1376" t="n"/>
      <c r="W223" s="1278" t="n"/>
      <c r="X223" s="1278" t="n"/>
      <c r="Y223" s="1278" t="n"/>
      <c r="Z223" s="1278" t="n"/>
      <c r="AA223" s="1376" t="n"/>
      <c r="AB223" s="1278" t="n"/>
      <c r="AC223" s="1278" t="n"/>
      <c r="AD223" s="1278" t="n"/>
      <c r="AE223" s="1278" t="n"/>
      <c r="AF223" s="1376" t="n"/>
      <c r="AG223" s="1278" t="n"/>
      <c r="AH223" s="1278" t="n"/>
      <c r="AI223" s="1278" t="n"/>
      <c r="AJ223" s="1278" t="n"/>
      <c r="AK223" s="1376" t="n"/>
      <c r="AL223" s="1278" t="n"/>
      <c r="AM223" s="1278" t="n"/>
      <c r="AN223" s="1278" t="n"/>
      <c r="AO223" s="1278" t="n"/>
      <c r="AP223" s="1376" t="n"/>
      <c r="AQ223" s="1278" t="n"/>
      <c r="AR223" s="1278" t="n"/>
      <c r="AS223" s="1278" t="n"/>
      <c r="AT223" s="1278" t="n"/>
      <c r="AU223" s="1376" t="n"/>
      <c r="AV223" s="1278" t="n"/>
      <c r="AW223" s="1278" t="n"/>
      <c r="AX223" s="1278" t="n"/>
      <c r="AY223" s="1278" t="n"/>
      <c r="AZ223" s="1376" t="n"/>
      <c r="BA223" s="1278" t="n"/>
      <c r="BB223" s="1278" t="n"/>
      <c r="BC223" s="1278" t="n"/>
      <c r="BD223" s="1278" t="n"/>
      <c r="BE223" s="1376" t="n"/>
      <c r="BF223" s="1278" t="n"/>
      <c r="BG223" s="1278" t="n"/>
      <c r="BH223" s="1278" t="n"/>
      <c r="BI223" s="1278" t="n"/>
      <c r="BJ223" s="1376" t="n"/>
      <c r="BK223" s="1278" t="n"/>
      <c r="BL223" s="1278" t="n"/>
      <c r="BM223" s="1278" t="n"/>
      <c r="BN223" s="1278" t="n"/>
      <c r="BO223" s="1377" t="n"/>
      <c r="BP223" s="1278" t="n"/>
      <c r="BQ223" s="1278" t="n"/>
      <c r="BR223" s="1278" t="n"/>
      <c r="BS223" s="1278" t="n"/>
      <c r="BT223" s="1376" t="n"/>
      <c r="BU223" s="1278" t="n"/>
      <c r="BV223" s="1278" t="n"/>
      <c r="BW223" s="1278" t="n"/>
      <c r="BX223" s="1278" t="n"/>
      <c r="BY223" s="1376" t="n"/>
      <c r="BZ223" s="1376" t="n"/>
      <c r="CA223" s="1376" t="n"/>
      <c r="CB223" s="1376" t="n"/>
      <c r="CC223" s="1380" t="n"/>
    </row>
    <row r="224" hidden="1" outlineLevel="2" ht="14.4" customFormat="1" customHeight="1" s="1373">
      <c r="A224" s="1438" t="inlineStr">
        <is>
          <t>Fab 6 monthly wafer capacity at year end, 12" wafers per month</t>
        </is>
      </c>
      <c r="B224" s="1439" t="n"/>
      <c r="C224" s="1379" t="n">
        <v>43022.22222222222</v>
      </c>
      <c r="D224" s="1379" t="n">
        <v>42220.88888888889</v>
      </c>
      <c r="E224" s="1379" t="n">
        <v>42792</v>
      </c>
      <c r="F224" s="1480" t="n">
        <v>44640</v>
      </c>
      <c r="G224" s="1480" t="n">
        <v>64044</v>
      </c>
      <c r="H224" s="1278" t="n"/>
      <c r="I224" s="1278" t="n"/>
      <c r="J224" s="1278" t="n"/>
      <c r="K224" s="1278" t="n"/>
      <c r="L224" s="1379" t="n">
        <v>67650</v>
      </c>
      <c r="M224" s="1278" t="n"/>
      <c r="N224" s="1278" t="n"/>
      <c r="O224" s="1278" t="n"/>
      <c r="P224" s="1278" t="n"/>
      <c r="Q224" s="1376" t="n"/>
      <c r="R224" s="1278" t="n"/>
      <c r="S224" s="1278" t="n"/>
      <c r="T224" s="1278" t="n"/>
      <c r="U224" s="1278" t="n"/>
      <c r="V224" s="1376" t="n"/>
      <c r="W224" s="1278" t="n"/>
      <c r="X224" s="1278" t="n"/>
      <c r="Y224" s="1278" t="n"/>
      <c r="Z224" s="1278" t="n"/>
      <c r="AA224" s="1376" t="n"/>
      <c r="AB224" s="1278" t="n"/>
      <c r="AC224" s="1278" t="n"/>
      <c r="AD224" s="1278" t="n"/>
      <c r="AE224" s="1278" t="n"/>
      <c r="AF224" s="1376" t="n"/>
      <c r="AG224" s="1278" t="n"/>
      <c r="AH224" s="1278" t="n"/>
      <c r="AI224" s="1278" t="n"/>
      <c r="AJ224" s="1278" t="n"/>
      <c r="AK224" s="1376" t="n"/>
      <c r="AL224" s="1278" t="n"/>
      <c r="AM224" s="1278" t="n"/>
      <c r="AN224" s="1278" t="n"/>
      <c r="AO224" s="1278" t="n"/>
      <c r="AP224" s="1376" t="n"/>
      <c r="AQ224" s="1278" t="n"/>
      <c r="AR224" s="1278" t="n"/>
      <c r="AS224" s="1278" t="n"/>
      <c r="AT224" s="1278" t="n"/>
      <c r="AU224" s="1376" t="n"/>
      <c r="AV224" s="1278" t="n"/>
      <c r="AW224" s="1278" t="n"/>
      <c r="AX224" s="1278" t="n"/>
      <c r="AY224" s="1278" t="n"/>
      <c r="AZ224" s="1376" t="n"/>
      <c r="BA224" s="1278" t="n"/>
      <c r="BB224" s="1278" t="n"/>
      <c r="BC224" s="1278" t="n"/>
      <c r="BD224" s="1278" t="n"/>
      <c r="BE224" s="1376" t="n"/>
      <c r="BF224" s="1278" t="n"/>
      <c r="BG224" s="1278" t="n"/>
      <c r="BH224" s="1278" t="n"/>
      <c r="BI224" s="1278" t="n"/>
      <c r="BJ224" s="1376" t="n"/>
      <c r="BK224" s="1278" t="n"/>
      <c r="BL224" s="1278" t="n"/>
      <c r="BM224" s="1278" t="n"/>
      <c r="BN224" s="1278" t="n"/>
      <c r="BO224" s="1377" t="n"/>
      <c r="BP224" s="1278" t="n"/>
      <c r="BQ224" s="1278" t="n"/>
      <c r="BR224" s="1278" t="n"/>
      <c r="BS224" s="1278" t="n"/>
      <c r="BT224" s="1376" t="n"/>
      <c r="BU224" s="1278" t="n"/>
      <c r="BV224" s="1278" t="n"/>
      <c r="BW224" s="1278" t="n"/>
      <c r="BX224" s="1278" t="n"/>
      <c r="BY224" s="1376" t="n"/>
      <c r="BZ224" s="1376" t="n"/>
      <c r="CA224" s="1376" t="n"/>
      <c r="CB224" s="1376" t="n"/>
      <c r="CC224" s="1380" t="n"/>
    </row>
    <row r="225" hidden="1" outlineLevel="2" ht="14.4" customFormat="1" customHeight="1" s="1373">
      <c r="A225" s="1438" t="inlineStr">
        <is>
          <t>Fab 8 monthly wafer capacity at year end, 12" wafers per month</t>
        </is>
      </c>
      <c r="B225" s="1439" t="n"/>
      <c r="C225" s="1379" t="n">
        <v>38111.11111111111</v>
      </c>
      <c r="D225" s="1379" t="n">
        <v>38112.44444444445</v>
      </c>
      <c r="E225" s="1379" t="n">
        <v>38105.33333333334</v>
      </c>
      <c r="F225" s="1480" t="n">
        <v>39817</v>
      </c>
      <c r="G225" s="1480" t="n">
        <v>32348</v>
      </c>
      <c r="H225" s="1278" t="n"/>
      <c r="I225" s="1278" t="n"/>
      <c r="J225" s="1278" t="n"/>
      <c r="K225" s="1278" t="n"/>
      <c r="L225" s="1379" t="n">
        <v>34926</v>
      </c>
      <c r="M225" s="1278" t="n"/>
      <c r="N225" s="1278" t="n"/>
      <c r="O225" s="1278" t="n"/>
      <c r="P225" s="1278" t="n"/>
      <c r="Q225" s="1376" t="n"/>
      <c r="R225" s="1278" t="n"/>
      <c r="S225" s="1278" t="n"/>
      <c r="T225" s="1278" t="n"/>
      <c r="U225" s="1278" t="n"/>
      <c r="V225" s="1376" t="n"/>
      <c r="W225" s="1278" t="n"/>
      <c r="X225" s="1278" t="n"/>
      <c r="Y225" s="1278" t="n"/>
      <c r="Z225" s="1278" t="n"/>
      <c r="AA225" s="1376" t="n"/>
      <c r="AB225" s="1278" t="n"/>
      <c r="AC225" s="1278" t="n"/>
      <c r="AD225" s="1278" t="n"/>
      <c r="AE225" s="1278" t="n"/>
      <c r="AF225" s="1376" t="n"/>
      <c r="AG225" s="1278" t="n"/>
      <c r="AH225" s="1278" t="n"/>
      <c r="AI225" s="1278" t="n"/>
      <c r="AJ225" s="1278" t="n"/>
      <c r="AK225" s="1376" t="n"/>
      <c r="AL225" s="1278" t="n"/>
      <c r="AM225" s="1278" t="n"/>
      <c r="AN225" s="1278" t="n"/>
      <c r="AO225" s="1278" t="n"/>
      <c r="AP225" s="1376" t="n"/>
      <c r="AQ225" s="1278" t="n"/>
      <c r="AR225" s="1278" t="n"/>
      <c r="AS225" s="1278" t="n"/>
      <c r="AT225" s="1278" t="n"/>
      <c r="AU225" s="1376" t="n"/>
      <c r="AV225" s="1278" t="n"/>
      <c r="AW225" s="1278" t="n"/>
      <c r="AX225" s="1278" t="n"/>
      <c r="AY225" s="1278" t="n"/>
      <c r="AZ225" s="1376" t="n"/>
      <c r="BA225" s="1278" t="n"/>
      <c r="BB225" s="1278" t="n"/>
      <c r="BC225" s="1278" t="n"/>
      <c r="BD225" s="1278" t="n"/>
      <c r="BE225" s="1376" t="n"/>
      <c r="BF225" s="1278" t="n"/>
      <c r="BG225" s="1278" t="n"/>
      <c r="BH225" s="1278" t="n"/>
      <c r="BI225" s="1278" t="n"/>
      <c r="BJ225" s="1376" t="n"/>
      <c r="BK225" s="1278" t="n"/>
      <c r="BL225" s="1278" t="n"/>
      <c r="BM225" s="1278" t="n"/>
      <c r="BN225" s="1278" t="n"/>
      <c r="BO225" s="1377" t="n"/>
      <c r="BP225" s="1278" t="n"/>
      <c r="BQ225" s="1278" t="n"/>
      <c r="BR225" s="1278" t="n"/>
      <c r="BS225" s="1278" t="n"/>
      <c r="BT225" s="1376" t="n"/>
      <c r="BU225" s="1278" t="n"/>
      <c r="BV225" s="1278" t="n"/>
      <c r="BW225" s="1278" t="n"/>
      <c r="BX225" s="1278" t="n"/>
      <c r="BY225" s="1376" t="n"/>
      <c r="BZ225" s="1376" t="n"/>
      <c r="CA225" s="1376" t="n"/>
      <c r="CB225" s="1376" t="n"/>
      <c r="CC225" s="1380" t="n"/>
    </row>
    <row r="226" hidden="1" outlineLevel="2" ht="14.4" customFormat="1" customHeight="1" s="1373">
      <c r="A226" s="1438" t="inlineStr">
        <is>
          <t>Fab 10 monthly wafer capacity at year end, 12" wafers per month</t>
        </is>
      </c>
      <c r="B226" s="1439" t="n"/>
      <c r="C226" s="1379" t="n">
        <v>20222.22222222222</v>
      </c>
      <c r="D226" s="1379" t="n">
        <v>22044.44444444445</v>
      </c>
      <c r="E226" s="1379" t="n">
        <v>34444.44444444445</v>
      </c>
      <c r="F226" s="1480" t="n">
        <v>35689</v>
      </c>
      <c r="G226" s="1480" t="n">
        <v>37200</v>
      </c>
      <c r="H226" s="1278" t="n"/>
      <c r="I226" s="1278" t="n"/>
      <c r="J226" s="1278" t="n"/>
      <c r="K226" s="1278" t="n"/>
      <c r="L226" s="1379" t="n">
        <v>41333</v>
      </c>
      <c r="M226" s="1278" t="n"/>
      <c r="N226" s="1278" t="n"/>
      <c r="O226" s="1278" t="n"/>
      <c r="P226" s="1278" t="n"/>
      <c r="Q226" s="1376" t="n"/>
      <c r="R226" s="1278" t="n"/>
      <c r="S226" s="1278" t="n"/>
      <c r="T226" s="1278" t="n"/>
      <c r="U226" s="1278" t="n"/>
      <c r="V226" s="1376" t="n"/>
      <c r="W226" s="1278" t="n"/>
      <c r="X226" s="1278" t="n"/>
      <c r="Y226" s="1278" t="n"/>
      <c r="Z226" s="1278" t="n"/>
      <c r="AA226" s="1376" t="n"/>
      <c r="AB226" s="1278" t="n"/>
      <c r="AC226" s="1278" t="n"/>
      <c r="AD226" s="1278" t="n"/>
      <c r="AE226" s="1278" t="n"/>
      <c r="AF226" s="1376" t="n"/>
      <c r="AG226" s="1278" t="n"/>
      <c r="AH226" s="1278" t="n"/>
      <c r="AI226" s="1278" t="n"/>
      <c r="AJ226" s="1278" t="n"/>
      <c r="AK226" s="1376" t="n"/>
      <c r="AL226" s="1278" t="n"/>
      <c r="AM226" s="1278" t="n"/>
      <c r="AN226" s="1278" t="n"/>
      <c r="AO226" s="1278" t="n"/>
      <c r="AP226" s="1376" t="n"/>
      <c r="AQ226" s="1278" t="n"/>
      <c r="AR226" s="1278" t="n"/>
      <c r="AS226" s="1278" t="n"/>
      <c r="AT226" s="1278" t="n"/>
      <c r="AU226" s="1376" t="n"/>
      <c r="AV226" s="1278" t="n"/>
      <c r="AW226" s="1278" t="n"/>
      <c r="AX226" s="1278" t="n"/>
      <c r="AY226" s="1278" t="n"/>
      <c r="AZ226" s="1376" t="n"/>
      <c r="BA226" s="1278" t="n"/>
      <c r="BB226" s="1278" t="n"/>
      <c r="BC226" s="1278" t="n"/>
      <c r="BD226" s="1278" t="n"/>
      <c r="BE226" s="1376" t="n"/>
      <c r="BF226" s="1278" t="n"/>
      <c r="BG226" s="1278" t="n"/>
      <c r="BH226" s="1278" t="n"/>
      <c r="BI226" s="1278" t="n"/>
      <c r="BJ226" s="1376" t="n"/>
      <c r="BK226" s="1278" t="n"/>
      <c r="BL226" s="1278" t="n"/>
      <c r="BM226" s="1278" t="n"/>
      <c r="BN226" s="1278" t="n"/>
      <c r="BO226" s="1377" t="n"/>
      <c r="BP226" s="1278" t="n"/>
      <c r="BQ226" s="1278" t="n"/>
      <c r="BR226" s="1278" t="n"/>
      <c r="BS226" s="1278" t="n"/>
      <c r="BT226" s="1376" t="n"/>
      <c r="BU226" s="1278" t="n"/>
      <c r="BV226" s="1278" t="n"/>
      <c r="BW226" s="1278" t="n"/>
      <c r="BX226" s="1278" t="n"/>
      <c r="BY226" s="1376" t="n"/>
      <c r="BZ226" s="1376" t="n"/>
      <c r="CA226" s="1376" t="n"/>
      <c r="CB226" s="1376" t="n"/>
      <c r="CC226" s="1380" t="n"/>
    </row>
    <row r="227" hidden="1" outlineLevel="2" ht="14.4" customFormat="1" customHeight="1" s="1373">
      <c r="A227" s="1438" t="inlineStr">
        <is>
          <t>Fab 11 (WaferTech) monthly wafer capacity at year end, 12" wafers per month</t>
        </is>
      </c>
      <c r="B227" s="1439" t="n"/>
      <c r="C227" s="1379" t="n">
        <v>16251.11111111111</v>
      </c>
      <c r="D227" s="1379" t="n">
        <v>16133.33333333333</v>
      </c>
      <c r="E227" s="1379" t="n">
        <v>16222.22222222222</v>
      </c>
      <c r="F227" s="1480" t="n">
        <v>16667</v>
      </c>
      <c r="G227" s="1480" t="n">
        <v>16889</v>
      </c>
      <c r="H227" s="1278" t="n"/>
      <c r="I227" s="1278" t="n"/>
      <c r="J227" s="1278" t="n"/>
      <c r="K227" s="1278" t="n"/>
      <c r="L227" s="1379" t="n">
        <v>17222</v>
      </c>
      <c r="M227" s="1278" t="n"/>
      <c r="N227" s="1278" t="n"/>
      <c r="O227" s="1278" t="n"/>
      <c r="P227" s="1278" t="n"/>
      <c r="Q227" s="1376" t="n"/>
      <c r="R227" s="1278" t="n"/>
      <c r="S227" s="1278" t="n"/>
      <c r="T227" s="1278" t="n"/>
      <c r="U227" s="1278" t="n"/>
      <c r="V227" s="1376" t="n"/>
      <c r="W227" s="1278" t="n"/>
      <c r="X227" s="1278" t="n"/>
      <c r="Y227" s="1278" t="n"/>
      <c r="Z227" s="1278" t="n"/>
      <c r="AA227" s="1376" t="n"/>
      <c r="AB227" s="1278" t="n"/>
      <c r="AC227" s="1278" t="n"/>
      <c r="AD227" s="1278" t="n"/>
      <c r="AE227" s="1278" t="n"/>
      <c r="AF227" s="1376" t="n"/>
      <c r="AG227" s="1278" t="n"/>
      <c r="AH227" s="1278" t="n"/>
      <c r="AI227" s="1278" t="n"/>
      <c r="AJ227" s="1278" t="n"/>
      <c r="AK227" s="1376" t="n"/>
      <c r="AL227" s="1278" t="n"/>
      <c r="AM227" s="1278" t="n"/>
      <c r="AN227" s="1278" t="n"/>
      <c r="AO227" s="1278" t="n"/>
      <c r="AP227" s="1376" t="n"/>
      <c r="AQ227" s="1278" t="n"/>
      <c r="AR227" s="1278" t="n"/>
      <c r="AS227" s="1278" t="n"/>
      <c r="AT227" s="1278" t="n"/>
      <c r="AU227" s="1376" t="n"/>
      <c r="AV227" s="1278" t="n"/>
      <c r="AW227" s="1278" t="n"/>
      <c r="AX227" s="1278" t="n"/>
      <c r="AY227" s="1278" t="n"/>
      <c r="AZ227" s="1376" t="n"/>
      <c r="BA227" s="1278" t="n"/>
      <c r="BB227" s="1278" t="n"/>
      <c r="BC227" s="1278" t="n"/>
      <c r="BD227" s="1278" t="n"/>
      <c r="BE227" s="1376" t="n"/>
      <c r="BF227" s="1278" t="n"/>
      <c r="BG227" s="1278" t="n"/>
      <c r="BH227" s="1278" t="n"/>
      <c r="BI227" s="1278" t="n"/>
      <c r="BJ227" s="1376" t="n"/>
      <c r="BK227" s="1278" t="n"/>
      <c r="BL227" s="1278" t="n"/>
      <c r="BM227" s="1278" t="n"/>
      <c r="BN227" s="1278" t="n"/>
      <c r="BO227" s="1377" t="n"/>
      <c r="BP227" s="1278" t="n"/>
      <c r="BQ227" s="1278" t="n"/>
      <c r="BR227" s="1278" t="n"/>
      <c r="BS227" s="1278" t="n"/>
      <c r="BT227" s="1376" t="n"/>
      <c r="BU227" s="1278" t="n"/>
      <c r="BV227" s="1278" t="n"/>
      <c r="BW227" s="1278" t="n"/>
      <c r="BX227" s="1278" t="n"/>
      <c r="BY227" s="1376" t="n"/>
      <c r="BZ227" s="1376" t="n"/>
      <c r="CA227" s="1376" t="n"/>
      <c r="CB227" s="1376" t="n"/>
      <c r="CC227" s="1380" t="n"/>
    </row>
    <row r="228" hidden="1" outlineLevel="2" ht="14.4" customFormat="1" customHeight="1" s="1373">
      <c r="A228" s="1438" t="inlineStr">
        <is>
          <t>Fab 12 monthly wafer capacity at year end, 12" wafers per month</t>
        </is>
      </c>
      <c r="B228" s="1439" t="n"/>
      <c r="C228" s="1379" t="n">
        <v>88570.22222222222</v>
      </c>
      <c r="D228" s="1379" t="n">
        <v>106189.7777777778</v>
      </c>
      <c r="E228" s="1379" t="n">
        <v>117964</v>
      </c>
      <c r="F228" s="1480" t="n">
        <v>128776</v>
      </c>
      <c r="G228" s="1480" t="n">
        <v>124912</v>
      </c>
      <c r="H228" s="1278" t="n"/>
      <c r="I228" s="1278" t="n"/>
      <c r="J228" s="1278" t="n"/>
      <c r="K228" s="1278" t="n"/>
      <c r="L228" s="1379" t="n">
        <v>127998</v>
      </c>
      <c r="M228" s="1278" t="n"/>
      <c r="N228" s="1278" t="n"/>
      <c r="O228" s="1278" t="n"/>
      <c r="P228" s="1278" t="n"/>
      <c r="Q228" s="1376" t="n"/>
      <c r="R228" s="1278" t="n"/>
      <c r="S228" s="1278" t="n"/>
      <c r="T228" s="1278" t="n"/>
      <c r="U228" s="1278" t="n"/>
      <c r="V228" s="1376" t="n"/>
      <c r="W228" s="1278" t="n"/>
      <c r="X228" s="1278" t="n"/>
      <c r="Y228" s="1278" t="n"/>
      <c r="Z228" s="1278" t="n"/>
      <c r="AA228" s="1376" t="n"/>
      <c r="AB228" s="1278" t="n"/>
      <c r="AC228" s="1278" t="n"/>
      <c r="AD228" s="1278" t="n"/>
      <c r="AE228" s="1278" t="n"/>
      <c r="AF228" s="1376" t="n"/>
      <c r="AG228" s="1278" t="n"/>
      <c r="AH228" s="1278" t="n"/>
      <c r="AI228" s="1278" t="n"/>
      <c r="AJ228" s="1278" t="n"/>
      <c r="AK228" s="1376" t="n"/>
      <c r="AL228" s="1278" t="n"/>
      <c r="AM228" s="1278" t="n"/>
      <c r="AN228" s="1278" t="n"/>
      <c r="AO228" s="1278" t="n"/>
      <c r="AP228" s="1376" t="n"/>
      <c r="AQ228" s="1278" t="n"/>
      <c r="AR228" s="1278" t="n"/>
      <c r="AS228" s="1278" t="n"/>
      <c r="AT228" s="1278" t="n"/>
      <c r="AU228" s="1376" t="n"/>
      <c r="AV228" s="1278" t="n"/>
      <c r="AW228" s="1278" t="n"/>
      <c r="AX228" s="1278" t="n"/>
      <c r="AY228" s="1278" t="n"/>
      <c r="AZ228" s="1376" t="n"/>
      <c r="BA228" s="1278" t="n"/>
      <c r="BB228" s="1278" t="n"/>
      <c r="BC228" s="1278" t="n"/>
      <c r="BD228" s="1278" t="n"/>
      <c r="BE228" s="1376" t="n"/>
      <c r="BF228" s="1278" t="n"/>
      <c r="BG228" s="1278" t="n"/>
      <c r="BH228" s="1278" t="n"/>
      <c r="BI228" s="1278" t="n"/>
      <c r="BJ228" s="1376" t="n"/>
      <c r="BK228" s="1278" t="n"/>
      <c r="BL228" s="1278" t="n"/>
      <c r="BM228" s="1278" t="n"/>
      <c r="BN228" s="1278" t="n"/>
      <c r="BO228" s="1377" t="n"/>
      <c r="BP228" s="1278" t="n"/>
      <c r="BQ228" s="1278" t="n"/>
      <c r="BR228" s="1278" t="n"/>
      <c r="BS228" s="1278" t="n"/>
      <c r="BT228" s="1376" t="n"/>
      <c r="BU228" s="1278" t="n"/>
      <c r="BV228" s="1278" t="n"/>
      <c r="BW228" s="1278" t="n"/>
      <c r="BX228" s="1278" t="n"/>
      <c r="BY228" s="1376" t="n"/>
      <c r="BZ228" s="1376" t="n"/>
      <c r="CA228" s="1376" t="n"/>
      <c r="CB228" s="1376" t="n"/>
      <c r="CC228" s="1380" t="n"/>
    </row>
    <row r="229" hidden="1" outlineLevel="2" ht="14.4" customFormat="1" customHeight="1" s="1373">
      <c r="A229" s="1438" t="inlineStr">
        <is>
          <t>Fab 14 monthly wafer capacity at year end, 12" wafers per month</t>
        </is>
      </c>
      <c r="B229" s="1439" t="n"/>
      <c r="C229" s="1379" t="n">
        <v>82863.55555555556</v>
      </c>
      <c r="D229" s="1379" t="n">
        <v>138420.8888888889</v>
      </c>
      <c r="E229" s="1379" t="n">
        <v>172091.5555555556</v>
      </c>
      <c r="F229" s="1480" t="n">
        <v>186161</v>
      </c>
      <c r="G229" s="1480" t="n">
        <v>190001</v>
      </c>
      <c r="H229" s="1278" t="n"/>
      <c r="I229" s="1278" t="n"/>
      <c r="J229" s="1278" t="n"/>
      <c r="K229" s="1278" t="n"/>
      <c r="L229" s="1379" t="n">
        <v>252350</v>
      </c>
      <c r="M229" s="1278" t="n"/>
      <c r="N229" s="1278" t="n"/>
      <c r="O229" s="1278" t="n"/>
      <c r="P229" s="1278" t="n"/>
      <c r="Q229" s="1376" t="n"/>
      <c r="R229" s="1278" t="n"/>
      <c r="S229" s="1278" t="n"/>
      <c r="T229" s="1278" t="n"/>
      <c r="U229" s="1278" t="n"/>
      <c r="V229" s="1376" t="n"/>
      <c r="W229" s="1278" t="n"/>
      <c r="X229" s="1278" t="n"/>
      <c r="Y229" s="1278" t="n"/>
      <c r="Z229" s="1278" t="n"/>
      <c r="AA229" s="1376" t="n"/>
      <c r="AB229" s="1278" t="n"/>
      <c r="AC229" s="1278" t="n"/>
      <c r="AD229" s="1278" t="n"/>
      <c r="AE229" s="1278" t="n"/>
      <c r="AF229" s="1376" t="n"/>
      <c r="AG229" s="1278" t="n"/>
      <c r="AH229" s="1278" t="n"/>
      <c r="AI229" s="1278" t="n"/>
      <c r="AJ229" s="1278" t="n"/>
      <c r="AK229" s="1376" t="n"/>
      <c r="AL229" s="1278" t="n"/>
      <c r="AM229" s="1278" t="n"/>
      <c r="AN229" s="1278" t="n"/>
      <c r="AO229" s="1278" t="n"/>
      <c r="AP229" s="1376" t="n"/>
      <c r="AQ229" s="1278" t="n"/>
      <c r="AR229" s="1278" t="n"/>
      <c r="AS229" s="1278" t="n"/>
      <c r="AT229" s="1278" t="n"/>
      <c r="AU229" s="1376" t="n"/>
      <c r="AV229" s="1278" t="n"/>
      <c r="AW229" s="1278" t="n"/>
      <c r="AX229" s="1278" t="n"/>
      <c r="AY229" s="1278" t="n"/>
      <c r="AZ229" s="1376" t="n"/>
      <c r="BA229" s="1278" t="n"/>
      <c r="BB229" s="1278" t="n"/>
      <c r="BC229" s="1278" t="n"/>
      <c r="BD229" s="1278" t="n"/>
      <c r="BE229" s="1376" t="n"/>
      <c r="BF229" s="1278" t="n"/>
      <c r="BG229" s="1278" t="n"/>
      <c r="BH229" s="1278" t="n"/>
      <c r="BI229" s="1278" t="n"/>
      <c r="BJ229" s="1376" t="n"/>
      <c r="BK229" s="1278" t="n"/>
      <c r="BL229" s="1278" t="n"/>
      <c r="BM229" s="1278" t="n"/>
      <c r="BN229" s="1278" t="n"/>
      <c r="BO229" s="1377" t="n"/>
      <c r="BP229" s="1278" t="n"/>
      <c r="BQ229" s="1278" t="n"/>
      <c r="BR229" s="1278" t="n"/>
      <c r="BS229" s="1278" t="n"/>
      <c r="BT229" s="1376" t="n"/>
      <c r="BU229" s="1278" t="n"/>
      <c r="BV229" s="1278" t="n"/>
      <c r="BW229" s="1278" t="n"/>
      <c r="BX229" s="1278" t="n"/>
      <c r="BY229" s="1376" t="n"/>
      <c r="BZ229" s="1376" t="n"/>
      <c r="CA229" s="1376" t="n"/>
      <c r="CB229" s="1376" t="n"/>
      <c r="CC229" s="1380" t="n"/>
    </row>
    <row r="230" hidden="1" outlineLevel="2" ht="14.4" customFormat="1" customHeight="1" s="1373">
      <c r="A230" s="1438" t="inlineStr">
        <is>
          <t>Fab 15 monthly wafer capacity at year end, 12" wafers per month</t>
        </is>
      </c>
      <c r="B230" s="1439" t="n"/>
      <c r="C230" s="1379" t="n">
        <v>0</v>
      </c>
      <c r="D230" s="1379" t="n">
        <v>0</v>
      </c>
      <c r="E230" s="1379" t="n">
        <v>0</v>
      </c>
      <c r="F230" s="1480" t="n">
        <v>51903</v>
      </c>
      <c r="G230" s="1480" t="n">
        <v>99767</v>
      </c>
      <c r="H230" s="1278" t="n"/>
      <c r="I230" s="1278" t="n"/>
      <c r="J230" s="1278" t="n"/>
      <c r="K230" s="1278" t="n"/>
      <c r="L230" s="1379" t="n">
        <v>114348</v>
      </c>
      <c r="M230" s="1278" t="n"/>
      <c r="N230" s="1278" t="n"/>
      <c r="O230" s="1278" t="n"/>
      <c r="P230" s="1278" t="n"/>
      <c r="Q230" s="1376" t="n"/>
      <c r="R230" s="1278" t="n"/>
      <c r="S230" s="1278" t="n"/>
      <c r="T230" s="1278" t="n"/>
      <c r="U230" s="1278" t="n"/>
      <c r="V230" s="1376" t="n"/>
      <c r="W230" s="1278" t="n"/>
      <c r="X230" s="1278" t="n"/>
      <c r="Y230" s="1278" t="n"/>
      <c r="Z230" s="1278" t="n"/>
      <c r="AA230" s="1376" t="n"/>
      <c r="AB230" s="1278" t="n"/>
      <c r="AC230" s="1278" t="n"/>
      <c r="AD230" s="1278" t="n"/>
      <c r="AE230" s="1278" t="n"/>
      <c r="AF230" s="1376" t="n"/>
      <c r="AG230" s="1278" t="n"/>
      <c r="AH230" s="1278" t="n"/>
      <c r="AI230" s="1278" t="n"/>
      <c r="AJ230" s="1278" t="n"/>
      <c r="AK230" s="1376" t="n"/>
      <c r="AL230" s="1278" t="n"/>
      <c r="AM230" s="1278" t="n"/>
      <c r="AN230" s="1278" t="n"/>
      <c r="AO230" s="1278" t="n"/>
      <c r="AP230" s="1376" t="n"/>
      <c r="AQ230" s="1278" t="n"/>
      <c r="AR230" s="1278" t="n"/>
      <c r="AS230" s="1278" t="n"/>
      <c r="AT230" s="1278" t="n"/>
      <c r="AU230" s="1376" t="n"/>
      <c r="AV230" s="1278" t="n"/>
      <c r="AW230" s="1278" t="n"/>
      <c r="AX230" s="1278" t="n"/>
      <c r="AY230" s="1278" t="n"/>
      <c r="AZ230" s="1376" t="n"/>
      <c r="BA230" s="1278" t="n"/>
      <c r="BB230" s="1278" t="n"/>
      <c r="BC230" s="1278" t="n"/>
      <c r="BD230" s="1278" t="n"/>
      <c r="BE230" s="1376" t="n"/>
      <c r="BF230" s="1278" t="n"/>
      <c r="BG230" s="1278" t="n"/>
      <c r="BH230" s="1278" t="n"/>
      <c r="BI230" s="1278" t="n"/>
      <c r="BJ230" s="1376" t="n"/>
      <c r="BK230" s="1278" t="n"/>
      <c r="BL230" s="1278" t="n"/>
      <c r="BM230" s="1278" t="n"/>
      <c r="BN230" s="1278" t="n"/>
      <c r="BO230" s="1377" t="n"/>
      <c r="BP230" s="1278" t="n"/>
      <c r="BQ230" s="1278" t="n"/>
      <c r="BR230" s="1278" t="n"/>
      <c r="BS230" s="1278" t="n"/>
      <c r="BT230" s="1376" t="n"/>
      <c r="BU230" s="1278" t="n"/>
      <c r="BV230" s="1278" t="n"/>
      <c r="BW230" s="1278" t="n"/>
      <c r="BX230" s="1278" t="n"/>
      <c r="BY230" s="1376" t="n"/>
      <c r="BZ230" s="1376" t="n"/>
      <c r="CA230" s="1376" t="n"/>
      <c r="CB230" s="1376" t="n"/>
      <c r="CC230" s="1380" t="n"/>
    </row>
    <row r="231" hidden="1" outlineLevel="2" ht="14.4" customFormat="1" customHeight="1" s="1373">
      <c r="A231" s="1438" t="inlineStr">
        <is>
          <t>Fab 16 monthly wafer capacity at year end, 12" wafers per month</t>
        </is>
      </c>
      <c r="B231" s="1439" t="n"/>
      <c r="C231" s="1379" t="n">
        <v>0</v>
      </c>
      <c r="D231" s="1379" t="n">
        <v>0</v>
      </c>
      <c r="E231" s="1379" t="n">
        <v>0</v>
      </c>
      <c r="F231" s="1479" t="n"/>
      <c r="G231" s="1479" t="n"/>
      <c r="H231" s="1278" t="n"/>
      <c r="I231" s="1278" t="n"/>
      <c r="J231" s="1278" t="n"/>
      <c r="K231" s="1278" t="n"/>
      <c r="L231" s="1376" t="n"/>
      <c r="M231" s="1278" t="n"/>
      <c r="N231" s="1278" t="n"/>
      <c r="O231" s="1278" t="n"/>
      <c r="P231" s="1278" t="n"/>
      <c r="Q231" s="1376" t="n"/>
      <c r="R231" s="1278" t="n"/>
      <c r="S231" s="1278" t="n"/>
      <c r="T231" s="1278" t="n"/>
      <c r="U231" s="1278" t="n"/>
      <c r="V231" s="1376" t="n"/>
      <c r="W231" s="1278" t="n"/>
      <c r="X231" s="1278" t="n"/>
      <c r="Y231" s="1278" t="n"/>
      <c r="Z231" s="1278" t="n"/>
      <c r="AA231" s="1376" t="n"/>
      <c r="AB231" s="1278" t="n"/>
      <c r="AC231" s="1278" t="n"/>
      <c r="AD231" s="1278" t="n"/>
      <c r="AE231" s="1278" t="n"/>
      <c r="AF231" s="1376" t="n"/>
      <c r="AG231" s="1278" t="n"/>
      <c r="AH231" s="1278" t="n"/>
      <c r="AI231" s="1278" t="n"/>
      <c r="AJ231" s="1278" t="n"/>
      <c r="AK231" s="1376" t="n"/>
      <c r="AL231" s="1278" t="n"/>
      <c r="AM231" s="1278" t="n"/>
      <c r="AN231" s="1278" t="n"/>
      <c r="AO231" s="1278" t="n"/>
      <c r="AP231" s="1376" t="n"/>
      <c r="AQ231" s="1278" t="n"/>
      <c r="AR231" s="1278" t="n"/>
      <c r="AS231" s="1278" t="n"/>
      <c r="AT231" s="1278" t="n"/>
      <c r="AU231" s="1376" t="n"/>
      <c r="AV231" s="1278" t="n"/>
      <c r="AW231" s="1278" t="n"/>
      <c r="AX231" s="1278" t="n"/>
      <c r="AY231" s="1278" t="n"/>
      <c r="AZ231" s="1376" t="n"/>
      <c r="BA231" s="1278" t="n"/>
      <c r="BB231" s="1278" t="n"/>
      <c r="BC231" s="1278" t="n"/>
      <c r="BD231" s="1278" t="n"/>
      <c r="BE231" s="1376" t="n"/>
      <c r="BF231" s="1278" t="n"/>
      <c r="BG231" s="1278" t="n"/>
      <c r="BH231" s="1278" t="n"/>
      <c r="BI231" s="1278" t="n"/>
      <c r="BJ231" s="1376" t="n"/>
      <c r="BK231" s="1278" t="n"/>
      <c r="BL231" s="1278" t="n"/>
      <c r="BM231" s="1278" t="n"/>
      <c r="BN231" s="1278" t="n"/>
      <c r="BO231" s="1377" t="n"/>
      <c r="BP231" s="1278" t="n"/>
      <c r="BQ231" s="1278" t="n"/>
      <c r="BR231" s="1278" t="n"/>
      <c r="BS231" s="1278" t="n"/>
      <c r="BT231" s="1376" t="n"/>
      <c r="BU231" s="1278" t="n"/>
      <c r="BV231" s="1278" t="n"/>
      <c r="BW231" s="1278" t="n"/>
      <c r="BX231" s="1278" t="n"/>
      <c r="BY231" s="1376" t="n"/>
      <c r="BZ231" s="1376" t="n"/>
      <c r="CA231" s="1376" t="n"/>
      <c r="CB231" s="1376" t="n"/>
      <c r="CC231" s="1380" t="n"/>
    </row>
    <row r="232" hidden="1" outlineLevel="2" ht="14.4" customFormat="1" customHeight="1" s="1373">
      <c r="A232" s="1482" t="inlineStr">
        <is>
          <t>SSMC monthly wafer capacity at year end, 12" wafers per month</t>
        </is>
      </c>
      <c r="B232" s="1483" t="n"/>
      <c r="C232" s="1484" t="n">
        <v>9782.222222222223</v>
      </c>
      <c r="D232" s="1484" t="n">
        <v>10287.11111111111</v>
      </c>
      <c r="E232" s="1484" t="n">
        <v>9736.444444444445</v>
      </c>
      <c r="F232" s="1485">
        <f>21907/2.25</f>
        <v/>
      </c>
      <c r="G232" s="1486" t="n"/>
      <c r="H232" s="1487" t="n"/>
      <c r="I232" s="1487" t="n"/>
      <c r="J232" s="1487" t="n"/>
      <c r="K232" s="1487" t="n"/>
      <c r="L232" s="1488" t="n"/>
      <c r="M232" s="1487" t="n"/>
      <c r="N232" s="1487" t="n"/>
      <c r="O232" s="1487" t="n"/>
      <c r="P232" s="1487" t="n"/>
      <c r="Q232" s="1488" t="n"/>
      <c r="R232" s="1487" t="n"/>
      <c r="S232" s="1487" t="n"/>
      <c r="T232" s="1487" t="n"/>
      <c r="U232" s="1487" t="n"/>
      <c r="V232" s="1488" t="n"/>
      <c r="W232" s="1487" t="n"/>
      <c r="X232" s="1487" t="n"/>
      <c r="Y232" s="1487" t="n"/>
      <c r="Z232" s="1487" t="n"/>
      <c r="AA232" s="1488" t="n"/>
      <c r="AB232" s="1487" t="n"/>
      <c r="AC232" s="1487" t="n"/>
      <c r="AD232" s="1487" t="n"/>
      <c r="AE232" s="1487" t="n"/>
      <c r="AF232" s="1488" t="n"/>
      <c r="AG232" s="1487" t="n"/>
      <c r="AH232" s="1487" t="n"/>
      <c r="AI232" s="1487" t="n"/>
      <c r="AJ232" s="1487" t="n"/>
      <c r="AK232" s="1488" t="n"/>
      <c r="AL232" s="1487" t="n"/>
      <c r="AM232" s="1487" t="n"/>
      <c r="AN232" s="1487" t="n"/>
      <c r="AO232" s="1487" t="n"/>
      <c r="AP232" s="1488" t="n"/>
      <c r="AQ232" s="1487" t="n"/>
      <c r="AR232" s="1487" t="n"/>
      <c r="AS232" s="1487" t="n"/>
      <c r="AT232" s="1487" t="n"/>
      <c r="AU232" s="1488" t="n"/>
      <c r="AV232" s="1487" t="n"/>
      <c r="AW232" s="1487" t="n"/>
      <c r="AX232" s="1487" t="n"/>
      <c r="AY232" s="1487" t="n"/>
      <c r="AZ232" s="1488" t="n"/>
      <c r="BA232" s="1487" t="n"/>
      <c r="BB232" s="1487" t="n"/>
      <c r="BC232" s="1487" t="n"/>
      <c r="BD232" s="1487" t="n"/>
      <c r="BE232" s="1488" t="n"/>
      <c r="BF232" s="1487" t="n"/>
      <c r="BG232" s="1487" t="n"/>
      <c r="BH232" s="1487" t="n"/>
      <c r="BI232" s="1487" t="n"/>
      <c r="BJ232" s="1488" t="n"/>
      <c r="BK232" s="1487" t="n"/>
      <c r="BL232" s="1487" t="n"/>
      <c r="BM232" s="1487" t="n"/>
      <c r="BN232" s="1487" t="n"/>
      <c r="BO232" s="1489" t="n"/>
      <c r="BP232" s="1487" t="n"/>
      <c r="BQ232" s="1487" t="n"/>
      <c r="BR232" s="1487" t="n"/>
      <c r="BS232" s="1487" t="n"/>
      <c r="BT232" s="1488" t="n"/>
      <c r="BU232" s="1487" t="n"/>
      <c r="BV232" s="1487" t="n"/>
      <c r="BW232" s="1487" t="n"/>
      <c r="BX232" s="1487" t="n"/>
      <c r="BY232" s="1488" t="n"/>
      <c r="BZ232" s="1488" t="n"/>
      <c r="CA232" s="1488" t="n"/>
      <c r="CB232" s="1488" t="n"/>
      <c r="CC232" s="1380" t="n"/>
    </row>
    <row r="233" hidden="1" outlineLevel="2" ht="14.4" customFormat="1" customHeight="1" s="1373">
      <c r="A233" s="1490" t="inlineStr">
        <is>
          <t>Total monthly wafer capacity at year end, 12" wafers per month</t>
        </is>
      </c>
      <c r="B233" s="1491" t="n"/>
      <c r="C233" s="1492">
        <f>SUM(C221:C232)</f>
        <v/>
      </c>
      <c r="D233" s="1492">
        <f>SUM(D221:D232)</f>
        <v/>
      </c>
      <c r="E233" s="1492">
        <f>SUM(E221:E232)</f>
        <v/>
      </c>
      <c r="F233" s="1492">
        <f>SUM(F221:F232)</f>
        <v/>
      </c>
      <c r="G233" s="1492">
        <f>SUM(G221:G232)</f>
        <v/>
      </c>
      <c r="H233" s="1493" t="n"/>
      <c r="I233" s="1493" t="n"/>
      <c r="J233" s="1493" t="n"/>
      <c r="K233" s="1493" t="n"/>
      <c r="L233" s="1492">
        <f>SUM(L221:L232)</f>
        <v/>
      </c>
      <c r="M233" s="1493" t="n"/>
      <c r="N233" s="1493" t="n"/>
      <c r="O233" s="1493" t="n"/>
      <c r="P233" s="1493" t="n"/>
      <c r="Q233" s="1494" t="n"/>
      <c r="R233" s="1493" t="n"/>
      <c r="S233" s="1493" t="n"/>
      <c r="T233" s="1493" t="n"/>
      <c r="U233" s="1493" t="n"/>
      <c r="V233" s="1494" t="n"/>
      <c r="W233" s="1493" t="n"/>
      <c r="X233" s="1493" t="n"/>
      <c r="Y233" s="1493" t="n"/>
      <c r="Z233" s="1493" t="n"/>
      <c r="AA233" s="1494" t="n"/>
      <c r="AB233" s="1493" t="n"/>
      <c r="AC233" s="1493" t="n"/>
      <c r="AD233" s="1493" t="n"/>
      <c r="AE233" s="1493" t="n"/>
      <c r="AF233" s="1494" t="n"/>
      <c r="AG233" s="1493" t="n"/>
      <c r="AH233" s="1493" t="n"/>
      <c r="AI233" s="1493" t="n"/>
      <c r="AJ233" s="1493" t="n"/>
      <c r="AK233" s="1494" t="n"/>
      <c r="AL233" s="1493" t="n"/>
      <c r="AM233" s="1493" t="n"/>
      <c r="AN233" s="1493" t="n"/>
      <c r="AO233" s="1493" t="n"/>
      <c r="AP233" s="1494" t="n"/>
      <c r="AQ233" s="1493" t="n"/>
      <c r="AR233" s="1493" t="n"/>
      <c r="AS233" s="1493" t="n"/>
      <c r="AT233" s="1493" t="n"/>
      <c r="AU233" s="1494" t="n"/>
      <c r="AV233" s="1493" t="n"/>
      <c r="AW233" s="1493" t="n"/>
      <c r="AX233" s="1493" t="n"/>
      <c r="AY233" s="1493" t="n"/>
      <c r="AZ233" s="1494" t="n"/>
      <c r="BA233" s="1493" t="n"/>
      <c r="BB233" s="1493" t="n"/>
      <c r="BC233" s="1493" t="n"/>
      <c r="BD233" s="1493" t="n"/>
      <c r="BE233" s="1494" t="n"/>
      <c r="BF233" s="1493" t="n"/>
      <c r="BG233" s="1493" t="n"/>
      <c r="BH233" s="1493" t="n"/>
      <c r="BI233" s="1493" t="n"/>
      <c r="BJ233" s="1494" t="n"/>
      <c r="BK233" s="1493" t="n"/>
      <c r="BL233" s="1493" t="n"/>
      <c r="BM233" s="1493" t="n"/>
      <c r="BN233" s="1493" t="n"/>
      <c r="BO233" s="1495" t="n"/>
      <c r="BP233" s="1493" t="n"/>
      <c r="BQ233" s="1493" t="n"/>
      <c r="BR233" s="1493" t="n"/>
      <c r="BS233" s="1493" t="n"/>
      <c r="BT233" s="1494" t="n"/>
      <c r="BU233" s="1493" t="n"/>
      <c r="BV233" s="1493" t="n"/>
      <c r="BW233" s="1493" t="n"/>
      <c r="BX233" s="1493" t="n"/>
      <c r="BY233" s="1494" t="n"/>
      <c r="BZ233" s="1494" t="n"/>
      <c r="CA233" s="1494" t="n"/>
      <c r="CB233" s="1494" t="n"/>
      <c r="CC233" s="1380" t="n"/>
    </row>
    <row r="234" hidden="1" outlineLevel="1" collapsed="1" ht="14.4" customFormat="1" customHeight="1" s="1373">
      <c r="A234" s="1481" t="n"/>
      <c r="B234" s="1439" t="n"/>
      <c r="C234" s="1376" t="n"/>
      <c r="D234" s="1376" t="n"/>
      <c r="E234" s="1376" t="n"/>
      <c r="F234" s="1479" t="n"/>
      <c r="G234" s="1479" t="n"/>
      <c r="H234" s="1278" t="n"/>
      <c r="I234" s="1278" t="n"/>
      <c r="J234" s="1278" t="n"/>
      <c r="K234" s="1278" t="n"/>
      <c r="L234" s="1376" t="n"/>
      <c r="M234" s="1278" t="n"/>
      <c r="N234" s="1278" t="n"/>
      <c r="O234" s="1278" t="n"/>
      <c r="P234" s="1278" t="n"/>
      <c r="Q234" s="1376" t="n"/>
      <c r="R234" s="1278" t="n"/>
      <c r="S234" s="1278" t="n"/>
      <c r="T234" s="1278" t="n"/>
      <c r="U234" s="1278" t="n"/>
      <c r="V234" s="1376" t="n"/>
      <c r="W234" s="1278" t="n"/>
      <c r="X234" s="1278" t="n"/>
      <c r="Y234" s="1278" t="n"/>
      <c r="Z234" s="1278" t="n"/>
      <c r="AA234" s="1376" t="n"/>
      <c r="AB234" s="1278" t="n"/>
      <c r="AC234" s="1278" t="n"/>
      <c r="AD234" s="1278" t="n"/>
      <c r="AE234" s="1278" t="n"/>
      <c r="AF234" s="1376" t="n"/>
      <c r="AG234" s="1278" t="n"/>
      <c r="AH234" s="1278" t="n"/>
      <c r="AI234" s="1278" t="n"/>
      <c r="AJ234" s="1278" t="n"/>
      <c r="AK234" s="1376" t="n"/>
      <c r="AL234" s="1278" t="n"/>
      <c r="AM234" s="1278" t="n"/>
      <c r="AN234" s="1278" t="n"/>
      <c r="AO234" s="1278" t="n"/>
      <c r="AP234" s="1376" t="n"/>
      <c r="AQ234" s="1278" t="n"/>
      <c r="AR234" s="1278" t="n"/>
      <c r="AS234" s="1278" t="n"/>
      <c r="AT234" s="1278" t="n"/>
      <c r="AU234" s="1376" t="n"/>
      <c r="AV234" s="1278" t="n"/>
      <c r="AW234" s="1278" t="n"/>
      <c r="AX234" s="1278" t="n"/>
      <c r="AY234" s="1278" t="n"/>
      <c r="AZ234" s="1376" t="n"/>
      <c r="BA234" s="1278" t="n"/>
      <c r="BB234" s="1278" t="n"/>
      <c r="BC234" s="1278" t="n"/>
      <c r="BD234" s="1278" t="n"/>
      <c r="BE234" s="1376" t="n"/>
      <c r="BF234" s="1278" t="n"/>
      <c r="BG234" s="1278" t="n"/>
      <c r="BH234" s="1278" t="n"/>
      <c r="BI234" s="1278" t="n"/>
      <c r="BJ234" s="1376" t="n"/>
      <c r="BK234" s="1278" t="n"/>
      <c r="BL234" s="1278" t="n"/>
      <c r="BM234" s="1278" t="n"/>
      <c r="BN234" s="1278" t="n"/>
      <c r="BO234" s="1377" t="n"/>
      <c r="BP234" s="1278" t="n"/>
      <c r="BQ234" s="1278" t="n"/>
      <c r="BR234" s="1278" t="n"/>
      <c r="BS234" s="1278" t="n"/>
      <c r="BT234" s="1376" t="n"/>
      <c r="BU234" s="1278" t="n"/>
      <c r="BV234" s="1278" t="n"/>
      <c r="BW234" s="1278" t="n"/>
      <c r="BX234" s="1278" t="n"/>
      <c r="BY234" s="1376" t="n"/>
      <c r="BZ234" s="1376" t="n"/>
      <c r="CA234" s="1376" t="n"/>
      <c r="CB234" s="1376" t="n"/>
      <c r="CC234" s="1380" t="n"/>
    </row>
    <row r="235" hidden="1" outlineLevel="1" ht="14.4" customFormat="1" customHeight="1" s="1275">
      <c r="A235" s="1357" t="inlineStr">
        <is>
          <t>Key Metrics - Employee Count (FS)</t>
        </is>
      </c>
      <c r="B235" s="1358" t="n"/>
      <c r="C235" s="1358" t="n"/>
      <c r="D235" s="1358" t="n"/>
      <c r="E235" s="1358" t="n"/>
      <c r="F235" s="1358" t="n"/>
      <c r="G235" s="1358" t="n"/>
      <c r="H235" s="1358" t="n"/>
      <c r="I235" s="1358" t="n"/>
      <c r="J235" s="1358" t="n"/>
      <c r="K235" s="1358" t="n"/>
      <c r="L235" s="1358" t="n"/>
      <c r="M235" s="1358" t="n"/>
      <c r="N235" s="1358" t="n"/>
      <c r="O235" s="1358" t="n"/>
      <c r="P235" s="1358" t="n"/>
      <c r="Q235" s="1358" t="n"/>
      <c r="R235" s="1358" t="n"/>
      <c r="S235" s="1358" t="n"/>
      <c r="T235" s="1358" t="n"/>
      <c r="U235" s="1358" t="n"/>
      <c r="V235" s="1358" t="n"/>
      <c r="W235" s="1358" t="n"/>
      <c r="X235" s="1358" t="n"/>
      <c r="Y235" s="1358" t="n"/>
      <c r="Z235" s="1358" t="n"/>
      <c r="AA235" s="1358" t="n"/>
      <c r="AB235" s="1358" t="n"/>
      <c r="AC235" s="1358" t="n"/>
      <c r="AD235" s="1358" t="n"/>
      <c r="AE235" s="1358" t="n"/>
      <c r="AF235" s="1358" t="n"/>
      <c r="AG235" s="1358" t="n"/>
      <c r="AH235" s="1358" t="n"/>
      <c r="AI235" s="1358" t="n"/>
      <c r="AJ235" s="1358" t="n"/>
      <c r="AK235" s="1358" t="n"/>
      <c r="AL235" s="1358" t="n"/>
      <c r="AM235" s="1358" t="n"/>
      <c r="AN235" s="1358" t="n"/>
      <c r="AO235" s="1358" t="n"/>
      <c r="AP235" s="1358" t="n"/>
      <c r="AQ235" s="1358" t="n"/>
      <c r="AR235" s="1358" t="n"/>
      <c r="AS235" s="1358" t="n"/>
      <c r="AT235" s="1358" t="n"/>
      <c r="AU235" s="1358" t="n"/>
      <c r="AV235" s="1358" t="n"/>
      <c r="AW235" s="1358" t="n"/>
      <c r="AX235" s="1358" t="n"/>
      <c r="AY235" s="1358" t="n"/>
      <c r="AZ235" s="1358" t="n"/>
      <c r="BA235" s="1358" t="n"/>
      <c r="BB235" s="1358" t="n"/>
      <c r="BC235" s="1358" t="n"/>
      <c r="BD235" s="1358" t="n"/>
      <c r="BE235" s="1358" t="n"/>
      <c r="BF235" s="1358" t="n"/>
      <c r="BG235" s="1358" t="n"/>
      <c r="BH235" s="1358" t="n"/>
      <c r="BI235" s="1358" t="n"/>
      <c r="BJ235" s="1358" t="n"/>
      <c r="BK235" s="1358" t="n"/>
      <c r="BL235" s="1358" t="n"/>
      <c r="BM235" s="1358" t="n"/>
      <c r="BN235" s="1358" t="n"/>
      <c r="BO235" s="1359" t="n"/>
      <c r="BP235" s="1358" t="n"/>
      <c r="BQ235" s="1358" t="n"/>
      <c r="BR235" s="1358" t="n"/>
      <c r="BS235" s="1358" t="n"/>
      <c r="BT235" s="1358" t="n"/>
      <c r="BU235" s="1358" t="n"/>
      <c r="BV235" s="1358" t="n"/>
      <c r="BW235" s="1358" t="n"/>
      <c r="BX235" s="1358" t="n"/>
      <c r="BY235" s="1358" t="n"/>
      <c r="BZ235" s="1358" t="n"/>
      <c r="CA235" s="1358" t="n"/>
      <c r="CB235" s="1358" t="n"/>
      <c r="CC235" s="1280" t="n"/>
    </row>
    <row r="236" hidden="1" outlineLevel="2" ht="14.4" customFormat="1" customHeight="1" s="1373">
      <c r="A236" s="1481" t="inlineStr">
        <is>
          <t>Managers, # of employees</t>
        </is>
      </c>
      <c r="B236" s="1439" t="n"/>
      <c r="C236" s="1379" t="n">
        <v>2792</v>
      </c>
      <c r="D236" s="1379" t="n">
        <v>3142</v>
      </c>
      <c r="E236" s="1379" t="n">
        <v>3601</v>
      </c>
      <c r="F236" s="1480" t="n">
        <v>3865</v>
      </c>
      <c r="G236" s="1480" t="n">
        <v>4078</v>
      </c>
      <c r="H236" s="1278" t="n"/>
      <c r="I236" s="1278" t="n"/>
      <c r="J236" s="1278" t="n"/>
      <c r="K236" s="1278" t="n"/>
      <c r="L236" s="1379" t="n">
        <v>4385</v>
      </c>
      <c r="M236" s="1278" t="n"/>
      <c r="N236" s="1278" t="n"/>
      <c r="O236" s="1278" t="n"/>
      <c r="P236" s="1278" t="n"/>
      <c r="Q236" s="1379" t="n">
        <v>4669</v>
      </c>
      <c r="R236" s="1278" t="n"/>
      <c r="S236" s="1278" t="n"/>
      <c r="T236" s="1278" t="n"/>
      <c r="U236" s="1278" t="n"/>
      <c r="V236" s="1379" t="n">
        <v>4909</v>
      </c>
      <c r="W236" s="1278" t="n"/>
      <c r="X236" s="1278" t="n"/>
      <c r="Y236" s="1278" t="n"/>
      <c r="Z236" s="1278" t="n"/>
      <c r="AA236" s="1379" t="n">
        <v>5107</v>
      </c>
      <c r="AB236" s="1278" t="n"/>
      <c r="AC236" s="1278" t="n"/>
      <c r="AD236" s="1278" t="n"/>
      <c r="AE236" s="1278" t="n"/>
      <c r="AF236" s="1379" t="n">
        <v>5294</v>
      </c>
      <c r="AG236" s="1278" t="n"/>
      <c r="AH236" s="1278" t="n"/>
      <c r="AI236" s="1278" t="n"/>
      <c r="AJ236" s="1278" t="n"/>
      <c r="AK236" s="1379" t="n">
        <v>5364</v>
      </c>
      <c r="AL236" s="1278" t="n"/>
      <c r="AM236" s="1278" t="n"/>
      <c r="AN236" s="1278" t="n"/>
      <c r="AO236" s="1278" t="n"/>
      <c r="AP236" s="1379" t="n">
        <v>5857</v>
      </c>
      <c r="AQ236" s="1278" t="n"/>
      <c r="AR236" s="1278" t="n"/>
      <c r="AS236" s="1278" t="n"/>
      <c r="AT236" s="1278" t="n"/>
      <c r="AU236" s="1379" t="n">
        <v>6635</v>
      </c>
      <c r="AV236" s="1278" t="n"/>
      <c r="AW236" s="1278" t="n"/>
      <c r="AX236" s="1278" t="n"/>
      <c r="AY236" s="1278" t="n"/>
      <c r="AZ236" s="1379" t="n">
        <v>7295</v>
      </c>
      <c r="BA236" s="1278" t="n"/>
      <c r="BB236" s="1278" t="n"/>
      <c r="BC236" s="1278" t="n"/>
      <c r="BD236" s="1278" t="n"/>
      <c r="BE236" s="1379" t="n">
        <v>7861</v>
      </c>
      <c r="BF236" s="1278" t="n"/>
      <c r="BG236" s="1278" t="n"/>
      <c r="BH236" s="1278" t="n"/>
      <c r="BI236" s="1278" t="n"/>
      <c r="BJ236" s="1379" t="n">
        <v>8737</v>
      </c>
      <c r="BK236" s="1278" t="n"/>
      <c r="BL236" s="1278" t="n"/>
      <c r="BM236" s="1278" t="n"/>
      <c r="BN236" s="1278" t="n"/>
      <c r="BO236" s="1377" t="n"/>
      <c r="BP236" s="1278" t="n"/>
      <c r="BQ236" s="1278" t="n"/>
      <c r="BR236" s="1278" t="n"/>
      <c r="BS236" s="1278" t="n"/>
      <c r="BT236" s="1376" t="n"/>
      <c r="BU236" s="1278" t="n"/>
      <c r="BV236" s="1278" t="n"/>
      <c r="BW236" s="1278" t="n"/>
      <c r="BX236" s="1278" t="n"/>
      <c r="BY236" s="1376" t="n"/>
      <c r="BZ236" s="1376" t="n"/>
      <c r="CA236" s="1376" t="n"/>
      <c r="CB236" s="1376" t="n"/>
      <c r="CC236" s="1380" t="n"/>
    </row>
    <row r="237" hidden="1" outlineLevel="2" ht="14.4" customFormat="1" customHeight="1" s="1373">
      <c r="A237" s="1481" t="inlineStr">
        <is>
          <t>Professionals, # of employees</t>
        </is>
      </c>
      <c r="B237" s="1439" t="n"/>
      <c r="C237" s="1379" t="n">
        <v>9861</v>
      </c>
      <c r="D237" s="1379" t="n">
        <v>12729</v>
      </c>
      <c r="E237" s="1379" t="n">
        <v>13665</v>
      </c>
      <c r="F237" s="1480" t="n">
        <v>15844</v>
      </c>
      <c r="G237" s="1480" t="n">
        <v>17205</v>
      </c>
      <c r="H237" s="1278" t="n"/>
      <c r="I237" s="1278" t="n"/>
      <c r="J237" s="1278" t="n"/>
      <c r="K237" s="1278" t="n"/>
      <c r="L237" s="1379" t="n">
        <v>18552</v>
      </c>
      <c r="M237" s="1278" t="n"/>
      <c r="N237" s="1278" t="n"/>
      <c r="O237" s="1278" t="n"/>
      <c r="P237" s="1278" t="n"/>
      <c r="Q237" s="1379" t="n">
        <v>19645</v>
      </c>
      <c r="R237" s="1278" t="n"/>
      <c r="S237" s="1278" t="n"/>
      <c r="T237" s="1278" t="n"/>
      <c r="U237" s="1278" t="n"/>
      <c r="V237" s="1379" t="n">
        <v>20719</v>
      </c>
      <c r="W237" s="1278" t="n"/>
      <c r="X237" s="1278" t="n"/>
      <c r="Y237" s="1278" t="n"/>
      <c r="Z237" s="1278" t="n"/>
      <c r="AA237" s="1379" t="n">
        <v>21895</v>
      </c>
      <c r="AB237" s="1278" t="n"/>
      <c r="AC237" s="1278" t="n"/>
      <c r="AD237" s="1278" t="n"/>
      <c r="AE237" s="1278" t="n"/>
      <c r="AF237" s="1379" t="n">
        <v>22285</v>
      </c>
      <c r="AG237" s="1278" t="n"/>
      <c r="AH237" s="1278" t="n"/>
      <c r="AI237" s="1278" t="n"/>
      <c r="AJ237" s="1278" t="n"/>
      <c r="AK237" s="1379" t="n">
        <v>24416</v>
      </c>
      <c r="AL237" s="1278" t="n"/>
      <c r="AM237" s="1278" t="n"/>
      <c r="AN237" s="1278" t="n"/>
      <c r="AO237" s="1278" t="n"/>
      <c r="AP237" s="1379" t="n">
        <v>27767</v>
      </c>
      <c r="AQ237" s="1278" t="n"/>
      <c r="AR237" s="1278" t="n"/>
      <c r="AS237" s="1278" t="n"/>
      <c r="AT237" s="1278" t="n"/>
      <c r="AU237" s="1379" t="n">
        <v>31920</v>
      </c>
      <c r="AV237" s="1278" t="n"/>
      <c r="AW237" s="1278" t="n"/>
      <c r="AX237" s="1278" t="n"/>
      <c r="AY237" s="1278" t="n"/>
      <c r="AZ237" s="1379" t="n">
        <v>35189</v>
      </c>
      <c r="BA237" s="1278" t="n"/>
      <c r="BB237" s="1278" t="n"/>
      <c r="BC237" s="1278" t="n"/>
      <c r="BD237" s="1278" t="n"/>
      <c r="BE237" s="1379" t="n">
        <v>36807</v>
      </c>
      <c r="BF237" s="1278" t="n"/>
      <c r="BG237" s="1278" t="n"/>
      <c r="BH237" s="1278" t="n"/>
      <c r="BI237" s="1278" t="n"/>
      <c r="BJ237" s="1379" t="n">
        <v>40477</v>
      </c>
      <c r="BK237" s="1278" t="n"/>
      <c r="BL237" s="1278" t="n"/>
      <c r="BM237" s="1278" t="n"/>
      <c r="BN237" s="1278" t="n"/>
      <c r="BO237" s="1377" t="n"/>
      <c r="BP237" s="1278" t="n"/>
      <c r="BQ237" s="1278" t="n"/>
      <c r="BR237" s="1278" t="n"/>
      <c r="BS237" s="1278" t="n"/>
      <c r="BT237" s="1376" t="n"/>
      <c r="BU237" s="1278" t="n"/>
      <c r="BV237" s="1278" t="n"/>
      <c r="BW237" s="1278" t="n"/>
      <c r="BX237" s="1278" t="n"/>
      <c r="BY237" s="1376" t="n"/>
      <c r="BZ237" s="1376" t="n"/>
      <c r="CA237" s="1376" t="n"/>
      <c r="CB237" s="1376" t="n"/>
      <c r="CC237" s="1380" t="n"/>
    </row>
    <row r="238" hidden="1" outlineLevel="2" ht="14.4" customFormat="1" customHeight="1" s="1373">
      <c r="A238" s="1481" t="inlineStr">
        <is>
          <t>Assistant Engineers/Clericals, # of employees</t>
        </is>
      </c>
      <c r="B238" s="1439" t="n"/>
      <c r="C238" s="1379" t="n">
        <v>761</v>
      </c>
      <c r="D238" s="1379" t="n">
        <v>2650</v>
      </c>
      <c r="E238" s="1379" t="n">
        <v>2796</v>
      </c>
      <c r="F238" s="1480" t="n">
        <v>3079</v>
      </c>
      <c r="G238" s="1480" t="n">
        <v>3236</v>
      </c>
      <c r="H238" s="1278" t="n"/>
      <c r="I238" s="1278" t="n"/>
      <c r="J238" s="1278" t="n"/>
      <c r="K238" s="1278" t="n"/>
      <c r="L238" s="1379" t="n">
        <v>3530</v>
      </c>
      <c r="M238" s="1278" t="n"/>
      <c r="N238" s="1278" t="n"/>
      <c r="O238" s="1278" t="n"/>
      <c r="P238" s="1278" t="n"/>
      <c r="Q238" s="1379" t="n">
        <v>3789</v>
      </c>
      <c r="R238" s="1278" t="n"/>
      <c r="S238" s="1278" t="n"/>
      <c r="T238" s="1278" t="n"/>
      <c r="U238" s="1278" t="n"/>
      <c r="V238" s="1379" t="n">
        <v>3934</v>
      </c>
      <c r="W238" s="1278" t="n"/>
      <c r="X238" s="1278" t="n"/>
      <c r="Y238" s="1278" t="n"/>
      <c r="Z238" s="1278" t="n"/>
      <c r="AA238" s="1379" t="n">
        <v>4082</v>
      </c>
      <c r="AB238" s="1278" t="n"/>
      <c r="AC238" s="1278" t="n"/>
      <c r="AD238" s="1278" t="n"/>
      <c r="AE238" s="1278" t="n"/>
      <c r="AF238" s="1379" t="n">
        <v>4109</v>
      </c>
      <c r="AG238" s="1278" t="n"/>
      <c r="AH238" s="1278" t="n"/>
      <c r="AI238" s="1278" t="n"/>
      <c r="AJ238" s="1278" t="n"/>
      <c r="AK238" s="1379" t="n">
        <v>4357</v>
      </c>
      <c r="AL238" s="1278" t="n"/>
      <c r="AM238" s="1278" t="n"/>
      <c r="AN238" s="1278" t="n"/>
      <c r="AO238" s="1278" t="n"/>
      <c r="AP238" s="1379" t="n">
        <v>4832</v>
      </c>
      <c r="AQ238" s="1278" t="n"/>
      <c r="AR238" s="1278" t="n"/>
      <c r="AS238" s="1278" t="n"/>
      <c r="AT238" s="1278" t="n"/>
      <c r="AU238" s="1379" t="n">
        <v>6620</v>
      </c>
      <c r="AV238" s="1278" t="n"/>
      <c r="AW238" s="1278" t="n"/>
      <c r="AX238" s="1278" t="n"/>
      <c r="AY238" s="1278" t="n"/>
      <c r="AZ238" s="1379" t="n">
        <v>8665</v>
      </c>
      <c r="BA238" s="1278" t="n"/>
      <c r="BB238" s="1278" t="n"/>
      <c r="BC238" s="1278" t="n"/>
      <c r="BD238" s="1278" t="n"/>
      <c r="BE238" s="1379" t="n">
        <v>9235</v>
      </c>
      <c r="BF238" s="1278" t="n"/>
      <c r="BG238" s="1278" t="n"/>
      <c r="BH238" s="1278" t="n"/>
      <c r="BI238" s="1278" t="n"/>
      <c r="BJ238" s="1379" t="n">
        <v>10207</v>
      </c>
      <c r="BK238" s="1278" t="n"/>
      <c r="BL238" s="1278" t="n"/>
      <c r="BM238" s="1278" t="n"/>
      <c r="BN238" s="1278" t="n"/>
      <c r="BO238" s="1377" t="n"/>
      <c r="BP238" s="1278" t="n"/>
      <c r="BQ238" s="1278" t="n"/>
      <c r="BR238" s="1278" t="n"/>
      <c r="BS238" s="1278" t="n"/>
      <c r="BT238" s="1376" t="n"/>
      <c r="BU238" s="1278" t="n"/>
      <c r="BV238" s="1278" t="n"/>
      <c r="BW238" s="1278" t="n"/>
      <c r="BX238" s="1278" t="n"/>
      <c r="BY238" s="1376" t="n"/>
      <c r="BZ238" s="1376" t="n"/>
      <c r="CA238" s="1376" t="n"/>
      <c r="CB238" s="1376" t="n"/>
      <c r="CC238" s="1380" t="n"/>
    </row>
    <row r="239" hidden="1" outlineLevel="2" ht="14.4" customFormat="1" customHeight="1" s="1373">
      <c r="A239" s="1481" t="inlineStr">
        <is>
          <t>Technicians, # of employees</t>
        </is>
      </c>
      <c r="B239" s="1439" t="n"/>
      <c r="C239" s="1379" t="n">
        <v>11052</v>
      </c>
      <c r="D239" s="1379" t="n">
        <v>14711</v>
      </c>
      <c r="E239" s="1379" t="n">
        <v>15395</v>
      </c>
      <c r="F239" s="1480" t="n">
        <v>16479</v>
      </c>
      <c r="G239" s="1480" t="n">
        <v>15964</v>
      </c>
      <c r="H239" s="1278" t="n"/>
      <c r="I239" s="1278" t="n"/>
      <c r="J239" s="1278" t="n"/>
      <c r="K239" s="1278" t="n"/>
      <c r="L239" s="1379" t="n">
        <v>17124</v>
      </c>
      <c r="M239" s="1278" t="n"/>
      <c r="N239" s="1278" t="n"/>
      <c r="O239" s="1278" t="n"/>
      <c r="P239" s="1278" t="n"/>
      <c r="Q239" s="1379" t="n">
        <v>17169</v>
      </c>
      <c r="R239" s="1278" t="n"/>
      <c r="S239" s="1278" t="n"/>
      <c r="T239" s="1278" t="n"/>
      <c r="U239" s="1278" t="n"/>
      <c r="V239" s="1379" t="n">
        <v>17406</v>
      </c>
      <c r="W239" s="1278" t="n"/>
      <c r="X239" s="1278" t="n"/>
      <c r="Y239" s="1278" t="n"/>
      <c r="Z239" s="1278" t="n"/>
      <c r="AA239" s="1379" t="n">
        <v>17518</v>
      </c>
      <c r="AB239" s="1278" t="n"/>
      <c r="AC239" s="1278" t="n"/>
      <c r="AD239" s="1278" t="n"/>
      <c r="AE239" s="1278" t="n"/>
      <c r="AF239" s="1379" t="n">
        <v>17064</v>
      </c>
      <c r="AG239" s="1278" t="n"/>
      <c r="AH239" s="1278" t="n"/>
      <c r="AI239" s="1278" t="n"/>
      <c r="AJ239" s="1278" t="n"/>
      <c r="AK239" s="1379" t="n">
        <v>17160</v>
      </c>
      <c r="AL239" s="1278" t="n"/>
      <c r="AM239" s="1278" t="n"/>
      <c r="AN239" s="1278" t="n"/>
      <c r="AO239" s="1278" t="n"/>
      <c r="AP239" s="1379" t="n">
        <v>18375</v>
      </c>
      <c r="AQ239" s="1278" t="n"/>
      <c r="AR239" s="1278" t="n"/>
      <c r="AS239" s="1278" t="n"/>
      <c r="AT239" s="1278" t="n"/>
      <c r="AU239" s="1379" t="n">
        <v>19977</v>
      </c>
      <c r="AV239" s="1278" t="n"/>
      <c r="AW239" s="1278" t="n"/>
      <c r="AX239" s="1278" t="n"/>
      <c r="AY239" s="1278" t="n"/>
      <c r="AZ239" s="1379" t="n">
        <v>21941</v>
      </c>
      <c r="BA239" s="1278" t="n"/>
      <c r="BB239" s="1278" t="n"/>
      <c r="BC239" s="1278" t="n"/>
      <c r="BD239" s="1278" t="n"/>
      <c r="BE239" s="1379" t="n">
        <v>22575</v>
      </c>
      <c r="BF239" s="1278" t="n"/>
      <c r="BG239" s="1278" t="n"/>
      <c r="BH239" s="1278" t="n"/>
      <c r="BI239" s="1278" t="n"/>
      <c r="BJ239" s="1379" t="n">
        <v>24404</v>
      </c>
      <c r="BK239" s="1278" t="n"/>
      <c r="BL239" s="1278" t="n"/>
      <c r="BM239" s="1278" t="n"/>
      <c r="BN239" s="1278" t="n"/>
      <c r="BO239" s="1377" t="n"/>
      <c r="BP239" s="1278" t="n"/>
      <c r="BQ239" s="1278" t="n"/>
      <c r="BR239" s="1278" t="n"/>
      <c r="BS239" s="1278" t="n"/>
      <c r="BT239" s="1376" t="n"/>
      <c r="BU239" s="1278" t="n"/>
      <c r="BV239" s="1278" t="n"/>
      <c r="BW239" s="1278" t="n"/>
      <c r="BX239" s="1278" t="n"/>
      <c r="BY239" s="1376" t="n"/>
      <c r="BZ239" s="1376" t="n"/>
      <c r="CA239" s="1376" t="n"/>
      <c r="CB239" s="1376" t="n"/>
      <c r="CC239" s="1380" t="n"/>
    </row>
    <row r="240" hidden="1" outlineLevel="2" ht="14.4" customFormat="1" customHeight="1" s="1496">
      <c r="A240" s="1497" t="inlineStr">
        <is>
          <t>Total employees, # of employees</t>
        </is>
      </c>
      <c r="B240" s="1491" t="n"/>
      <c r="C240" s="1494">
        <f>SUM(C236:C239)</f>
        <v/>
      </c>
      <c r="D240" s="1494">
        <f>SUM(D236:D239)</f>
        <v/>
      </c>
      <c r="E240" s="1494">
        <f>SUM(E236:E239)</f>
        <v/>
      </c>
      <c r="F240" s="1498">
        <f>SUM(F236:F239)</f>
        <v/>
      </c>
      <c r="G240" s="1498">
        <f>SUM(G236:G239)</f>
        <v/>
      </c>
      <c r="H240" s="1493" t="n"/>
      <c r="I240" s="1493" t="n"/>
      <c r="J240" s="1493" t="n"/>
      <c r="K240" s="1493" t="n"/>
      <c r="L240" s="1494">
        <f>SUM(L236:L239)</f>
        <v/>
      </c>
      <c r="M240" s="1493" t="n"/>
      <c r="N240" s="1493" t="n"/>
      <c r="O240" s="1493" t="n"/>
      <c r="P240" s="1493" t="n"/>
      <c r="Q240" s="1494">
        <f>SUM(Q236:Q239)</f>
        <v/>
      </c>
      <c r="R240" s="1493" t="n"/>
      <c r="S240" s="1493" t="n"/>
      <c r="T240" s="1493" t="n"/>
      <c r="U240" s="1493" t="n"/>
      <c r="V240" s="1494">
        <f>SUM(V236:V239)</f>
        <v/>
      </c>
      <c r="W240" s="1493" t="n"/>
      <c r="X240" s="1493" t="n"/>
      <c r="Y240" s="1493" t="n"/>
      <c r="Z240" s="1493" t="n"/>
      <c r="AA240" s="1494">
        <f>SUM(AA236:AA239)</f>
        <v/>
      </c>
      <c r="AB240" s="1493" t="n"/>
      <c r="AC240" s="1493" t="n"/>
      <c r="AD240" s="1493" t="n"/>
      <c r="AE240" s="1493" t="n"/>
      <c r="AF240" s="1494">
        <f>SUM(AF236:AF239)</f>
        <v/>
      </c>
      <c r="AG240" s="1493" t="n"/>
      <c r="AH240" s="1493" t="n"/>
      <c r="AI240" s="1493" t="n"/>
      <c r="AJ240" s="1493" t="n"/>
      <c r="AK240" s="1494">
        <f>SUM(AK236:AK239)</f>
        <v/>
      </c>
      <c r="AL240" s="1493" t="n"/>
      <c r="AM240" s="1493" t="n"/>
      <c r="AN240" s="1493" t="n"/>
      <c r="AO240" s="1493" t="n"/>
      <c r="AP240" s="1494">
        <f>SUM(AP236:AP239)</f>
        <v/>
      </c>
      <c r="AQ240" s="1493" t="n"/>
      <c r="AR240" s="1493" t="n"/>
      <c r="AS240" s="1493" t="n"/>
      <c r="AT240" s="1493" t="n"/>
      <c r="AU240" s="1494">
        <f>SUM(AU236:AU239)</f>
        <v/>
      </c>
      <c r="AV240" s="1493" t="n"/>
      <c r="AW240" s="1493" t="n"/>
      <c r="AX240" s="1493" t="n"/>
      <c r="AY240" s="1493" t="n"/>
      <c r="AZ240" s="1494">
        <f>SUM(AZ236:AZ239)</f>
        <v/>
      </c>
      <c r="BA240" s="1493" t="n"/>
      <c r="BB240" s="1493" t="n"/>
      <c r="BC240" s="1493" t="n"/>
      <c r="BD240" s="1493" t="n"/>
      <c r="BE240" s="1494">
        <f>SUM(BE236:BE239)</f>
        <v/>
      </c>
      <c r="BF240" s="1493" t="n"/>
      <c r="BG240" s="1493" t="n"/>
      <c r="BH240" s="1493" t="n"/>
      <c r="BI240" s="1493" t="n"/>
      <c r="BJ240" s="1494">
        <f>SUM(BJ236:BJ239)</f>
        <v/>
      </c>
      <c r="BK240" s="1493" t="n"/>
      <c r="BL240" s="1493" t="n"/>
      <c r="BM240" s="1493" t="n"/>
      <c r="BN240" s="1493" t="n"/>
      <c r="BO240" s="1495" t="n"/>
      <c r="BP240" s="1493" t="n"/>
      <c r="BQ240" s="1493" t="n"/>
      <c r="BR240" s="1493" t="n"/>
      <c r="BS240" s="1493" t="n"/>
      <c r="BT240" s="1494" t="n"/>
      <c r="BU240" s="1493" t="n"/>
      <c r="BV240" s="1493" t="n"/>
      <c r="BW240" s="1493" t="n"/>
      <c r="BX240" s="1493" t="n"/>
      <c r="BY240" s="1494" t="n"/>
      <c r="BZ240" s="1494" t="n"/>
      <c r="CA240" s="1494" t="n"/>
      <c r="CB240" s="1494" t="n"/>
      <c r="CC240" s="1499" t="n"/>
    </row>
    <row r="241" hidden="1" outlineLevel="2" ht="14.4" customFormat="1" customHeight="1" s="1500">
      <c r="A241" s="1501" t="n"/>
      <c r="B241" s="1502" t="n"/>
      <c r="C241" s="1503" t="n"/>
      <c r="D241" s="1503" t="n"/>
      <c r="E241" s="1503" t="n"/>
      <c r="F241" s="1504" t="n"/>
      <c r="G241" s="1504" t="n"/>
      <c r="H241" s="1505" t="n"/>
      <c r="I241" s="1505" t="n"/>
      <c r="J241" s="1505" t="n"/>
      <c r="K241" s="1505" t="n"/>
      <c r="L241" s="1503" t="n"/>
      <c r="M241" s="1505" t="n"/>
      <c r="N241" s="1505" t="n"/>
      <c r="O241" s="1505" t="n"/>
      <c r="P241" s="1505" t="n"/>
      <c r="Q241" s="1503" t="n"/>
      <c r="R241" s="1505" t="n"/>
      <c r="S241" s="1505" t="n"/>
      <c r="T241" s="1505" t="n"/>
      <c r="U241" s="1505" t="n"/>
      <c r="V241" s="1503" t="n"/>
      <c r="W241" s="1505" t="n"/>
      <c r="X241" s="1505" t="n"/>
      <c r="Y241" s="1505" t="n"/>
      <c r="Z241" s="1505" t="n"/>
      <c r="AA241" s="1503" t="n"/>
      <c r="AB241" s="1505" t="n"/>
      <c r="AC241" s="1505" t="n"/>
      <c r="AD241" s="1505" t="n"/>
      <c r="AE241" s="1505" t="n"/>
      <c r="AF241" s="1503" t="n"/>
      <c r="AG241" s="1505" t="n"/>
      <c r="AH241" s="1505" t="n"/>
      <c r="AI241" s="1505" t="n"/>
      <c r="AJ241" s="1505" t="n"/>
      <c r="AK241" s="1503" t="n"/>
      <c r="AL241" s="1505" t="n"/>
      <c r="AM241" s="1505" t="n"/>
      <c r="AN241" s="1505" t="n"/>
      <c r="AO241" s="1505" t="n"/>
      <c r="AP241" s="1503" t="n"/>
      <c r="AQ241" s="1505" t="n"/>
      <c r="AR241" s="1505" t="n"/>
      <c r="AS241" s="1505" t="n"/>
      <c r="AT241" s="1505" t="n"/>
      <c r="AU241" s="1503" t="n"/>
      <c r="AV241" s="1505" t="n"/>
      <c r="AW241" s="1505" t="n"/>
      <c r="AX241" s="1505" t="n"/>
      <c r="AY241" s="1505" t="n"/>
      <c r="AZ241" s="1503" t="n"/>
      <c r="BA241" s="1505" t="n"/>
      <c r="BB241" s="1505" t="n"/>
      <c r="BC241" s="1505" t="n"/>
      <c r="BD241" s="1505" t="n"/>
      <c r="BE241" s="1503" t="n"/>
      <c r="BF241" s="1505" t="n"/>
      <c r="BG241" s="1505" t="n"/>
      <c r="BH241" s="1505" t="n"/>
      <c r="BI241" s="1505" t="n"/>
      <c r="BJ241" s="1503" t="n"/>
      <c r="BK241" s="1505" t="n"/>
      <c r="BL241" s="1505" t="n"/>
      <c r="BM241" s="1505" t="n"/>
      <c r="BN241" s="1505" t="n"/>
      <c r="BO241" s="1506" t="n"/>
      <c r="BP241" s="1505" t="n"/>
      <c r="BQ241" s="1505" t="n"/>
      <c r="BR241" s="1505" t="n"/>
      <c r="BS241" s="1505" t="n"/>
      <c r="BT241" s="1503" t="n"/>
      <c r="BU241" s="1505" t="n"/>
      <c r="BV241" s="1505" t="n"/>
      <c r="BW241" s="1505" t="n"/>
      <c r="BX241" s="1505" t="n"/>
      <c r="BY241" s="1503" t="n"/>
      <c r="BZ241" s="1503" t="n"/>
      <c r="CA241" s="1503" t="n"/>
      <c r="CB241" s="1503" t="n"/>
      <c r="CC241" s="1507" t="n"/>
    </row>
    <row r="242" hidden="1" outlineLevel="2" ht="14.4" customFormat="1" customHeight="1" s="1373">
      <c r="A242" s="1508" t="inlineStr">
        <is>
          <t>Hsinchu Science Park, Taiwan employees, # of employees</t>
        </is>
      </c>
      <c r="B242" s="1439" t="n"/>
      <c r="C242" s="1379" t="n">
        <v>16010</v>
      </c>
      <c r="D242" s="1379" t="n">
        <v>20703</v>
      </c>
      <c r="E242" s="1379" t="n">
        <v>20107</v>
      </c>
      <c r="F242" s="1480" t="n">
        <v>21534</v>
      </c>
      <c r="G242" s="1480" t="n">
        <v>21096</v>
      </c>
      <c r="H242" s="1278" t="n"/>
      <c r="I242" s="1278" t="n"/>
      <c r="J242" s="1278" t="n"/>
      <c r="K242" s="1278" t="n"/>
      <c r="L242" s="1379" t="n">
        <v>22329</v>
      </c>
      <c r="M242" s="1278" t="n"/>
      <c r="N242" s="1278" t="n"/>
      <c r="O242" s="1278" t="n"/>
      <c r="P242" s="1278" t="n"/>
      <c r="Q242" s="1379" t="n">
        <v>23583</v>
      </c>
      <c r="R242" s="1278" t="n"/>
      <c r="S242" s="1278" t="n"/>
      <c r="T242" s="1278" t="n"/>
      <c r="U242" s="1278" t="n"/>
      <c r="V242" s="1379" t="n">
        <v>22960</v>
      </c>
      <c r="W242" s="1278" t="n"/>
      <c r="X242" s="1278" t="n"/>
      <c r="Y242" s="1278" t="n"/>
      <c r="Z242" s="1278" t="n"/>
      <c r="AA242" s="1379" t="n">
        <v>24488</v>
      </c>
      <c r="AB242" s="1278" t="n"/>
      <c r="AC242" s="1278" t="n"/>
      <c r="AD242" s="1278" t="n"/>
      <c r="AE242" s="1278" t="n"/>
      <c r="AF242" s="1379" t="n">
        <v>23998</v>
      </c>
      <c r="AG242" s="1278" t="n"/>
      <c r="AH242" s="1278" t="n"/>
      <c r="AI242" s="1278" t="n"/>
      <c r="AJ242" s="1278" t="n"/>
      <c r="AK242" s="1379" t="n">
        <v>24442</v>
      </c>
      <c r="AL242" s="1278" t="n"/>
      <c r="AM242" s="1278" t="n"/>
      <c r="AN242" s="1278" t="n"/>
      <c r="AO242" s="1278" t="n"/>
      <c r="AP242" s="1379" t="n">
        <v>25776</v>
      </c>
      <c r="AQ242" s="1278" t="n"/>
      <c r="AR242" s="1278" t="n"/>
      <c r="AS242" s="1278" t="n"/>
      <c r="AT242" s="1278" t="n"/>
      <c r="AU242" s="1379" t="n">
        <v>27382</v>
      </c>
      <c r="AV242" s="1278" t="n"/>
      <c r="AW242" s="1278" t="n"/>
      <c r="AX242" s="1278" t="n"/>
      <c r="AY242" s="1278" t="n"/>
      <c r="AZ242" s="1379" t="n">
        <v>30219</v>
      </c>
      <c r="BA242" s="1278" t="n"/>
      <c r="BB242" s="1278" t="n"/>
      <c r="BC242" s="1278" t="n"/>
      <c r="BD242" s="1278" t="n"/>
      <c r="BE242" s="1379" t="n">
        <v>31524</v>
      </c>
      <c r="BF242" s="1278" t="n"/>
      <c r="BG242" s="1278" t="n"/>
      <c r="BH242" s="1278" t="n"/>
      <c r="BI242" s="1278" t="n"/>
      <c r="BJ242" s="1379" t="n">
        <v>32703</v>
      </c>
      <c r="BK242" s="1278" t="n"/>
      <c r="BL242" s="1278" t="n"/>
      <c r="BM242" s="1278" t="n"/>
      <c r="BN242" s="1278" t="n"/>
      <c r="BO242" s="1377" t="n"/>
      <c r="BP242" s="1278" t="n"/>
      <c r="BQ242" s="1278" t="n"/>
      <c r="BR242" s="1278" t="n"/>
      <c r="BS242" s="1278" t="n"/>
      <c r="BT242" s="1376" t="n"/>
      <c r="BU242" s="1278" t="n"/>
      <c r="BV242" s="1278" t="n"/>
      <c r="BW242" s="1278" t="n"/>
      <c r="BX242" s="1278" t="n"/>
      <c r="BY242" s="1376" t="n"/>
      <c r="BZ242" s="1376" t="n"/>
      <c r="CA242" s="1376" t="n"/>
      <c r="CB242" s="1376" t="n"/>
      <c r="CC242" s="1380" t="n"/>
    </row>
    <row r="243" hidden="1" outlineLevel="2" ht="14.4" customFormat="1" customHeight="1" s="1373">
      <c r="A243" s="1508" t="inlineStr">
        <is>
          <t>Southern Taiwan Science Park, Taiwan employees, # of employees</t>
        </is>
      </c>
      <c r="B243" s="1439" t="n"/>
      <c r="C243" s="1379" t="n">
        <v>5920</v>
      </c>
      <c r="D243" s="1379" t="n">
        <v>9158</v>
      </c>
      <c r="E243" s="1379" t="n">
        <v>9041</v>
      </c>
      <c r="F243" s="1480" t="n">
        <v>8964</v>
      </c>
      <c r="G243" s="1480" t="n">
        <v>10772</v>
      </c>
      <c r="H243" s="1278" t="n"/>
      <c r="I243" s="1278" t="n"/>
      <c r="J243" s="1278" t="n"/>
      <c r="K243" s="1278" t="n"/>
      <c r="L243" s="1379" t="n">
        <v>12577</v>
      </c>
      <c r="M243" s="1278" t="n"/>
      <c r="N243" s="1278" t="n"/>
      <c r="O243" s="1278" t="n"/>
      <c r="P243" s="1278" t="n"/>
      <c r="Q243" s="1379" t="n">
        <v>12415</v>
      </c>
      <c r="R243" s="1278" t="n"/>
      <c r="S243" s="1278" t="n"/>
      <c r="T243" s="1278" t="n"/>
      <c r="U243" s="1278" t="n"/>
      <c r="V243" s="1379" t="n">
        <v>11715</v>
      </c>
      <c r="W243" s="1278" t="n"/>
      <c r="X243" s="1278" t="n"/>
      <c r="Y243" s="1278" t="n"/>
      <c r="Z243" s="1278" t="n"/>
      <c r="AA243" s="1379" t="n">
        <v>10276</v>
      </c>
      <c r="AB243" s="1278" t="n"/>
      <c r="AC243" s="1278" t="n"/>
      <c r="AD243" s="1278" t="n"/>
      <c r="AE243" s="1278" t="n"/>
      <c r="AF243" s="1379" t="n">
        <v>11157</v>
      </c>
      <c r="AG243" s="1278" t="n"/>
      <c r="AH243" s="1278" t="n"/>
      <c r="AI243" s="1278" t="n"/>
      <c r="AJ243" s="1278" t="n"/>
      <c r="AK243" s="1379" t="n">
        <v>12771</v>
      </c>
      <c r="AL243" s="1278" t="n"/>
      <c r="AM243" s="1278" t="n"/>
      <c r="AN243" s="1278" t="n"/>
      <c r="AO243" s="1278" t="n"/>
      <c r="AP243" s="1379" t="n">
        <v>16114</v>
      </c>
      <c r="AQ243" s="1278" t="n"/>
      <c r="AR243" s="1278" t="n"/>
      <c r="AS243" s="1278" t="n"/>
      <c r="AT243" s="1278" t="n"/>
      <c r="AU243" s="1379" t="n">
        <v>20428</v>
      </c>
      <c r="AV243" s="1278" t="n"/>
      <c r="AW243" s="1278" t="n"/>
      <c r="AX243" s="1278" t="n"/>
      <c r="AY243" s="1278" t="n"/>
      <c r="AZ243" s="1379" t="n">
        <v>23508</v>
      </c>
      <c r="BA243" s="1278" t="n"/>
      <c r="BB243" s="1278" t="n"/>
      <c r="BC243" s="1278" t="n"/>
      <c r="BD243" s="1278" t="n"/>
      <c r="BE243" s="1379" t="n">
        <v>24444</v>
      </c>
      <c r="BF243" s="1278" t="n"/>
      <c r="BG243" s="1278" t="n"/>
      <c r="BH243" s="1278" t="n"/>
      <c r="BI243" s="1278" t="n"/>
      <c r="BJ243" s="1379" t="n">
        <v>23059</v>
      </c>
      <c r="BK243" s="1278" t="n"/>
      <c r="BL243" s="1278" t="n"/>
      <c r="BM243" s="1278" t="n"/>
      <c r="BN243" s="1278" t="n"/>
      <c r="BO243" s="1377" t="n"/>
      <c r="BP243" s="1278" t="n"/>
      <c r="BQ243" s="1278" t="n"/>
      <c r="BR243" s="1278" t="n"/>
      <c r="BS243" s="1278" t="n"/>
      <c r="BT243" s="1376" t="n"/>
      <c r="BU243" s="1278" t="n"/>
      <c r="BV243" s="1278" t="n"/>
      <c r="BW243" s="1278" t="n"/>
      <c r="BX243" s="1278" t="n"/>
      <c r="BY243" s="1376" t="n"/>
      <c r="BZ243" s="1376" t="n"/>
      <c r="CA243" s="1376" t="n"/>
      <c r="CB243" s="1376" t="n"/>
      <c r="CC243" s="1380" t="n"/>
    </row>
    <row r="244" hidden="1" outlineLevel="2" ht="14.4" customFormat="1" customHeight="1" s="1373">
      <c r="A244" s="1508" t="inlineStr">
        <is>
          <t>Central Taiwan Science Park, Taiwan employees, # of employees</t>
        </is>
      </c>
      <c r="B244" s="1439" t="n"/>
      <c r="C244" s="1379" t="n">
        <v>0</v>
      </c>
      <c r="D244" s="1379" t="n">
        <v>29</v>
      </c>
      <c r="E244" s="1379" t="n">
        <v>1410</v>
      </c>
      <c r="F244" s="1480" t="n">
        <v>3558</v>
      </c>
      <c r="G244" s="1480" t="n">
        <v>4721</v>
      </c>
      <c r="H244" s="1278" t="n"/>
      <c r="I244" s="1278" t="n"/>
      <c r="J244" s="1278" t="n"/>
      <c r="K244" s="1278" t="n"/>
      <c r="L244" s="1379" t="n">
        <v>4480</v>
      </c>
      <c r="M244" s="1278" t="n"/>
      <c r="N244" s="1278" t="n"/>
      <c r="O244" s="1278" t="n"/>
      <c r="P244" s="1278" t="n"/>
      <c r="Q244" s="1379" t="n">
        <v>4003</v>
      </c>
      <c r="R244" s="1278" t="n"/>
      <c r="S244" s="1278" t="n"/>
      <c r="T244" s="1278" t="n"/>
      <c r="U244" s="1278" t="n"/>
      <c r="V244" s="1379" t="n">
        <v>6003</v>
      </c>
      <c r="W244" s="1278" t="n"/>
      <c r="X244" s="1278" t="n"/>
      <c r="Y244" s="1278" t="n"/>
      <c r="Z244" s="1278" t="n"/>
      <c r="AA244" s="1379" t="n">
        <v>6825</v>
      </c>
      <c r="AB244" s="1278" t="n"/>
      <c r="AC244" s="1278" t="n"/>
      <c r="AD244" s="1278" t="n"/>
      <c r="AE244" s="1278" t="n"/>
      <c r="AF244" s="1379" t="n">
        <v>6868</v>
      </c>
      <c r="AG244" s="1278" t="n"/>
      <c r="AH244" s="1278" t="n"/>
      <c r="AI244" s="1278" t="n"/>
      <c r="AJ244" s="1278" t="n"/>
      <c r="AK244" s="1379" t="n">
        <v>7333</v>
      </c>
      <c r="AL244" s="1278" t="n"/>
      <c r="AM244" s="1278" t="n"/>
      <c r="AN244" s="1278" t="n"/>
      <c r="AO244" s="1278" t="n"/>
      <c r="AP244" s="1379" t="n">
        <v>7668</v>
      </c>
      <c r="AQ244" s="1278" t="n"/>
      <c r="AR244" s="1278" t="n"/>
      <c r="AS244" s="1278" t="n"/>
      <c r="AT244" s="1278" t="n"/>
      <c r="AU244" s="1379" t="n">
        <v>8486</v>
      </c>
      <c r="AV244" s="1278" t="n"/>
      <c r="AW244" s="1278" t="n"/>
      <c r="AX244" s="1278" t="n"/>
      <c r="AY244" s="1278" t="n"/>
      <c r="AZ244" s="1379" t="n">
        <v>9075</v>
      </c>
      <c r="BA244" s="1278" t="n"/>
      <c r="BB244" s="1278" t="n"/>
      <c r="BC244" s="1278" t="n"/>
      <c r="BD244" s="1278" t="n"/>
      <c r="BE244" s="1379" t="n">
        <v>8775</v>
      </c>
      <c r="BF244" s="1278" t="n"/>
      <c r="BG244" s="1278" t="n"/>
      <c r="BH244" s="1278" t="n"/>
      <c r="BI244" s="1278" t="n"/>
      <c r="BJ244" s="1379" t="n">
        <v>8540</v>
      </c>
      <c r="BK244" s="1278" t="n"/>
      <c r="BL244" s="1278" t="n"/>
      <c r="BM244" s="1278" t="n"/>
      <c r="BN244" s="1278" t="n"/>
      <c r="BO244" s="1377" t="n"/>
      <c r="BP244" s="1278" t="n"/>
      <c r="BQ244" s="1278" t="n"/>
      <c r="BR244" s="1278" t="n"/>
      <c r="BS244" s="1278" t="n"/>
      <c r="BT244" s="1376" t="n"/>
      <c r="BU244" s="1278" t="n"/>
      <c r="BV244" s="1278" t="n"/>
      <c r="BW244" s="1278" t="n"/>
      <c r="BX244" s="1278" t="n"/>
      <c r="BY244" s="1376" t="n"/>
      <c r="BZ244" s="1376" t="n"/>
      <c r="CA244" s="1376" t="n"/>
      <c r="CB244" s="1376" t="n"/>
      <c r="CC244" s="1380" t="n"/>
    </row>
    <row r="245" hidden="1" outlineLevel="2" ht="14.4" customFormat="1" customHeight="1" s="1373">
      <c r="A245" s="1508" t="inlineStr">
        <is>
          <t>Taoyuan City, Taiwan employees, # of employees</t>
        </is>
      </c>
      <c r="B245" s="1439" t="n"/>
      <c r="C245" s="1379" t="n">
        <v>0</v>
      </c>
      <c r="D245" s="1379" t="n">
        <v>0</v>
      </c>
      <c r="E245" s="1379" t="n">
        <v>1333</v>
      </c>
      <c r="F245" s="1480" t="n">
        <v>1378</v>
      </c>
      <c r="G245" s="1480" t="n">
        <v>0</v>
      </c>
      <c r="H245" s="1278" t="n"/>
      <c r="I245" s="1278" t="n"/>
      <c r="J245" s="1278" t="n"/>
      <c r="K245" s="1278" t="n"/>
      <c r="L245" s="1379" t="n">
        <v>0</v>
      </c>
      <c r="M245" s="1278" t="n"/>
      <c r="N245" s="1278" t="n"/>
      <c r="O245" s="1278" t="n"/>
      <c r="P245" s="1278" t="n"/>
      <c r="Q245" s="1379" t="n">
        <v>996</v>
      </c>
      <c r="R245" s="1278" t="n"/>
      <c r="S245" s="1278" t="n"/>
      <c r="T245" s="1278" t="n"/>
      <c r="U245" s="1278" t="n"/>
      <c r="V245" s="1379" t="n">
        <v>1842</v>
      </c>
      <c r="W245" s="1278" t="n"/>
      <c r="X245" s="1278" t="n"/>
      <c r="Y245" s="1278" t="n"/>
      <c r="Z245" s="1278" t="n"/>
      <c r="AA245" s="1379" t="n">
        <v>1804</v>
      </c>
      <c r="AB245" s="1278" t="n"/>
      <c r="AC245" s="1278" t="n"/>
      <c r="AD245" s="1278" t="n"/>
      <c r="AE245" s="1278" t="n"/>
      <c r="AF245" s="1379" t="n">
        <v>1482</v>
      </c>
      <c r="AG245" s="1278" t="n"/>
      <c r="AH245" s="1278" t="n"/>
      <c r="AI245" s="1278" t="n"/>
      <c r="AJ245" s="1278" t="n"/>
      <c r="AK245" s="1379" t="n">
        <v>1475</v>
      </c>
      <c r="AL245" s="1278" t="n"/>
      <c r="AM245" s="1278" t="n"/>
      <c r="AN245" s="1278" t="n"/>
      <c r="AO245" s="1278" t="n"/>
      <c r="AP245" s="1379" t="n">
        <v>1661</v>
      </c>
      <c r="AQ245" s="1278" t="n"/>
      <c r="AR245" s="1278" t="n"/>
      <c r="AS245" s="1278" t="n"/>
      <c r="AT245" s="1278" t="n"/>
      <c r="AU245" s="1379" t="n">
        <v>1701</v>
      </c>
      <c r="AV245" s="1278" t="n"/>
      <c r="AW245" s="1278" t="n"/>
      <c r="AX245" s="1278" t="n"/>
      <c r="AY245" s="1278" t="n"/>
      <c r="AZ245" s="1379" t="n">
        <v>1713</v>
      </c>
      <c r="BA245" s="1278" t="n"/>
      <c r="BB245" s="1278" t="n"/>
      <c r="BC245" s="1278" t="n"/>
      <c r="BD245" s="1278" t="n"/>
      <c r="BE245" s="1379" t="n">
        <v>2007</v>
      </c>
      <c r="BF245" s="1278" t="n"/>
      <c r="BG245" s="1278" t="n"/>
      <c r="BH245" s="1278" t="n"/>
      <c r="BI245" s="1278" t="n"/>
      <c r="BJ245" s="1379" t="n">
        <v>2817</v>
      </c>
      <c r="BK245" s="1278" t="n"/>
      <c r="BL245" s="1278" t="n"/>
      <c r="BM245" s="1278" t="n"/>
      <c r="BN245" s="1278" t="n"/>
      <c r="BO245" s="1377" t="n"/>
      <c r="BP245" s="1278" t="n"/>
      <c r="BQ245" s="1278" t="n"/>
      <c r="BR245" s="1278" t="n"/>
      <c r="BS245" s="1278" t="n"/>
      <c r="BT245" s="1376" t="n"/>
      <c r="BU245" s="1278" t="n"/>
      <c r="BV245" s="1278" t="n"/>
      <c r="BW245" s="1278" t="n"/>
      <c r="BX245" s="1278" t="n"/>
      <c r="BY245" s="1376" t="n"/>
      <c r="BZ245" s="1376" t="n"/>
      <c r="CA245" s="1376" t="n"/>
      <c r="CB245" s="1376" t="n"/>
      <c r="CC245" s="1380" t="n"/>
    </row>
    <row r="246" hidden="1" outlineLevel="2" ht="14.4" customFormat="1" customHeight="1" s="1373">
      <c r="A246" s="1508" t="inlineStr">
        <is>
          <t>Miaoli Country, Taiwan employees, # of employees</t>
        </is>
      </c>
      <c r="B246" s="1439" t="n"/>
      <c r="C246" s="1376" t="n"/>
      <c r="D246" s="1376" t="n"/>
      <c r="E246" s="1376" t="n"/>
      <c r="F246" s="1479" t="n"/>
      <c r="G246" s="1479" t="n"/>
      <c r="H246" s="1278" t="n"/>
      <c r="I246" s="1278" t="n"/>
      <c r="J246" s="1278" t="n"/>
      <c r="K246" s="1278" t="n"/>
      <c r="L246" s="1376" t="n"/>
      <c r="M246" s="1278" t="n"/>
      <c r="N246" s="1278" t="n"/>
      <c r="O246" s="1278" t="n"/>
      <c r="P246" s="1278" t="n"/>
      <c r="Q246" s="1376" t="n"/>
      <c r="R246" s="1278" t="n"/>
      <c r="S246" s="1278" t="n"/>
      <c r="T246" s="1278" t="n"/>
      <c r="U246" s="1278" t="n"/>
      <c r="V246" s="1376" t="n"/>
      <c r="W246" s="1278" t="n"/>
      <c r="X246" s="1278" t="n"/>
      <c r="Y246" s="1278" t="n"/>
      <c r="Z246" s="1278" t="n"/>
      <c r="AA246" s="1376" t="n"/>
      <c r="AB246" s="1278" t="n"/>
      <c r="AC246" s="1278" t="n"/>
      <c r="AD246" s="1278" t="n"/>
      <c r="AE246" s="1278" t="n"/>
      <c r="AF246" s="1376" t="n"/>
      <c r="AG246" s="1278" t="n"/>
      <c r="AH246" s="1278" t="n"/>
      <c r="AI246" s="1278" t="n"/>
      <c r="AJ246" s="1278" t="n"/>
      <c r="AK246" s="1379" t="n">
        <v>0</v>
      </c>
      <c r="AL246" s="1278" t="n"/>
      <c r="AM246" s="1278" t="n"/>
      <c r="AN246" s="1278" t="n"/>
      <c r="AO246" s="1278" t="n"/>
      <c r="AP246" s="1379" t="n">
        <v>0</v>
      </c>
      <c r="AQ246" s="1278" t="n"/>
      <c r="AR246" s="1278" t="n"/>
      <c r="AS246" s="1278" t="n"/>
      <c r="AT246" s="1278" t="n"/>
      <c r="AU246" s="1379" t="n">
        <v>628</v>
      </c>
      <c r="AV246" s="1278" t="n"/>
      <c r="AW246" s="1278" t="n"/>
      <c r="AX246" s="1278" t="n"/>
      <c r="AY246" s="1278" t="n"/>
      <c r="AZ246" s="1379" t="n">
        <v>1152</v>
      </c>
      <c r="BA246" s="1278" t="n"/>
      <c r="BB246" s="1278" t="n"/>
      <c r="BC246" s="1278" t="n"/>
      <c r="BD246" s="1278" t="n"/>
      <c r="BE246" s="1379" t="n">
        <v>1675</v>
      </c>
      <c r="BF246" s="1278" t="n"/>
      <c r="BG246" s="1278" t="n"/>
      <c r="BH246" s="1278" t="n"/>
      <c r="BI246" s="1278" t="n"/>
      <c r="BJ246" s="1379" t="n">
        <v>3055</v>
      </c>
      <c r="BK246" s="1278" t="n"/>
      <c r="BL246" s="1278" t="n"/>
      <c r="BM246" s="1278" t="n"/>
      <c r="BN246" s="1278" t="n"/>
      <c r="BO246" s="1377" t="n"/>
      <c r="BP246" s="1278" t="n"/>
      <c r="BQ246" s="1278" t="n"/>
      <c r="BR246" s="1278" t="n"/>
      <c r="BS246" s="1278" t="n"/>
      <c r="BT246" s="1376" t="n"/>
      <c r="BU246" s="1278" t="n"/>
      <c r="BV246" s="1278" t="n"/>
      <c r="BW246" s="1278" t="n"/>
      <c r="BX246" s="1278" t="n"/>
      <c r="BY246" s="1376" t="n"/>
      <c r="BZ246" s="1376" t="n"/>
      <c r="CA246" s="1376" t="n"/>
      <c r="CB246" s="1376" t="n"/>
      <c r="CC246" s="1380" t="n"/>
    </row>
    <row r="247" hidden="1" outlineLevel="2" ht="14.4" customFormat="1" customHeight="1" s="1373">
      <c r="A247" s="1508" t="inlineStr">
        <is>
          <t>Kaohsiung Nanzih Technoloyg Industrial Park, Taiwan employees, # of employees</t>
        </is>
      </c>
      <c r="B247" s="1439" t="n"/>
      <c r="C247" s="1376" t="n"/>
      <c r="D247" s="1376" t="n"/>
      <c r="E247" s="1376" t="n"/>
      <c r="F247" s="1479" t="n"/>
      <c r="G247" s="1479" t="n"/>
      <c r="H247" s="1278" t="n"/>
      <c r="I247" s="1278" t="n"/>
      <c r="J247" s="1278" t="n"/>
      <c r="K247" s="1278" t="n"/>
      <c r="L247" s="1376" t="n"/>
      <c r="M247" s="1278" t="n"/>
      <c r="N247" s="1278" t="n"/>
      <c r="O247" s="1278" t="n"/>
      <c r="P247" s="1278" t="n"/>
      <c r="Q247" s="1376" t="n"/>
      <c r="R247" s="1278" t="n"/>
      <c r="S247" s="1278" t="n"/>
      <c r="T247" s="1278" t="n"/>
      <c r="U247" s="1278" t="n"/>
      <c r="V247" s="1376" t="n"/>
      <c r="W247" s="1278" t="n"/>
      <c r="X247" s="1278" t="n"/>
      <c r="Y247" s="1278" t="n"/>
      <c r="Z247" s="1278" t="n"/>
      <c r="AA247" s="1376" t="n"/>
      <c r="AB247" s="1278" t="n"/>
      <c r="AC247" s="1278" t="n"/>
      <c r="AD247" s="1278" t="n"/>
      <c r="AE247" s="1278" t="n"/>
      <c r="AF247" s="1376" t="n"/>
      <c r="AG247" s="1278" t="n"/>
      <c r="AH247" s="1278" t="n"/>
      <c r="AI247" s="1278" t="n"/>
      <c r="AJ247" s="1278" t="n"/>
      <c r="AK247" s="1376" t="n"/>
      <c r="AL247" s="1278" t="n"/>
      <c r="AM247" s="1278" t="n"/>
      <c r="AN247" s="1278" t="n"/>
      <c r="AO247" s="1278" t="n"/>
      <c r="AP247" s="1376" t="n"/>
      <c r="AQ247" s="1278" t="n"/>
      <c r="AR247" s="1278" t="n"/>
      <c r="AS247" s="1278" t="n"/>
      <c r="AT247" s="1278" t="n"/>
      <c r="AU247" s="1376" t="n"/>
      <c r="AV247" s="1278" t="n"/>
      <c r="AW247" s="1278" t="n"/>
      <c r="AX247" s="1278" t="n"/>
      <c r="AY247" s="1278" t="n"/>
      <c r="AZ247" s="1376" t="n"/>
      <c r="BA247" s="1278" t="n"/>
      <c r="BB247" s="1278" t="n"/>
      <c r="BC247" s="1278" t="n"/>
      <c r="BD247" s="1278" t="n"/>
      <c r="BE247" s="1379" t="n">
        <v>35</v>
      </c>
      <c r="BF247" s="1278" t="n"/>
      <c r="BG247" s="1278" t="n"/>
      <c r="BH247" s="1278" t="n"/>
      <c r="BI247" s="1278" t="n"/>
      <c r="BJ247" s="1379" t="n">
        <v>2805</v>
      </c>
      <c r="BK247" s="1278" t="n"/>
      <c r="BL247" s="1278" t="n"/>
      <c r="BM247" s="1278" t="n"/>
      <c r="BN247" s="1278" t="n"/>
      <c r="BO247" s="1377" t="n"/>
      <c r="BP247" s="1278" t="n"/>
      <c r="BQ247" s="1278" t="n"/>
      <c r="BR247" s="1278" t="n"/>
      <c r="BS247" s="1278" t="n"/>
      <c r="BT247" s="1376" t="n"/>
      <c r="BU247" s="1278" t="n"/>
      <c r="BV247" s="1278" t="n"/>
      <c r="BW247" s="1278" t="n"/>
      <c r="BX247" s="1278" t="n"/>
      <c r="BY247" s="1376" t="n"/>
      <c r="BZ247" s="1376" t="n"/>
      <c r="CA247" s="1376" t="n"/>
      <c r="CB247" s="1376" t="n"/>
      <c r="CC247" s="1380" t="n"/>
    </row>
    <row r="248" hidden="1" outlineLevel="2" ht="14.4" customFormat="1" customHeight="1" s="1373">
      <c r="A248" s="1509" t="inlineStr">
        <is>
          <t>Total Taiwan employees, # of employees</t>
        </is>
      </c>
      <c r="B248" s="1510" t="n"/>
      <c r="C248" s="1511">
        <f>SUM(C242:C247)</f>
        <v/>
      </c>
      <c r="D248" s="1511">
        <f>SUM(D242:D247)</f>
        <v/>
      </c>
      <c r="E248" s="1511">
        <f>SUM(E242:E247)</f>
        <v/>
      </c>
      <c r="F248" s="1512">
        <f>SUM(F242:F247)</f>
        <v/>
      </c>
      <c r="G248" s="1512">
        <f>SUM(G242:G247)</f>
        <v/>
      </c>
      <c r="H248" s="1513" t="n"/>
      <c r="I248" s="1513" t="n"/>
      <c r="J248" s="1513" t="n"/>
      <c r="K248" s="1513" t="n"/>
      <c r="L248" s="1511">
        <f>SUM(L242:L247)</f>
        <v/>
      </c>
      <c r="M248" s="1513" t="n"/>
      <c r="N248" s="1513" t="n"/>
      <c r="O248" s="1513" t="n"/>
      <c r="P248" s="1513" t="n"/>
      <c r="Q248" s="1511">
        <f>SUM(Q242:Q247)</f>
        <v/>
      </c>
      <c r="R248" s="1513" t="n"/>
      <c r="S248" s="1513" t="n"/>
      <c r="T248" s="1513" t="n"/>
      <c r="U248" s="1513" t="n"/>
      <c r="V248" s="1511">
        <f>SUM(V242:V247)</f>
        <v/>
      </c>
      <c r="W248" s="1513" t="n"/>
      <c r="X248" s="1513" t="n"/>
      <c r="Y248" s="1513" t="n"/>
      <c r="Z248" s="1513" t="n"/>
      <c r="AA248" s="1511">
        <f>SUM(AA242:AA247)</f>
        <v/>
      </c>
      <c r="AB248" s="1513" t="n"/>
      <c r="AC248" s="1513" t="n"/>
      <c r="AD248" s="1513" t="n"/>
      <c r="AE248" s="1513" t="n"/>
      <c r="AF248" s="1511">
        <f>SUM(AF242:AF247)</f>
        <v/>
      </c>
      <c r="AG248" s="1513" t="n"/>
      <c r="AH248" s="1513" t="n"/>
      <c r="AI248" s="1513" t="n"/>
      <c r="AJ248" s="1513" t="n"/>
      <c r="AK248" s="1511">
        <f>SUM(AK242:AK247)</f>
        <v/>
      </c>
      <c r="AL248" s="1513" t="n"/>
      <c r="AM248" s="1513" t="n"/>
      <c r="AN248" s="1513" t="n"/>
      <c r="AO248" s="1513" t="n"/>
      <c r="AP248" s="1511">
        <f>SUM(AP242:AP247)</f>
        <v/>
      </c>
      <c r="AQ248" s="1513" t="n"/>
      <c r="AR248" s="1513" t="n"/>
      <c r="AS248" s="1513" t="n"/>
      <c r="AT248" s="1513" t="n"/>
      <c r="AU248" s="1511">
        <f>SUM(AU242:AU247)</f>
        <v/>
      </c>
      <c r="AV248" s="1513" t="n"/>
      <c r="AW248" s="1513" t="n"/>
      <c r="AX248" s="1513" t="n"/>
      <c r="AY248" s="1513" t="n"/>
      <c r="AZ248" s="1511">
        <f>SUM(AZ242:AZ247)</f>
        <v/>
      </c>
      <c r="BA248" s="1513" t="n"/>
      <c r="BB248" s="1513" t="n"/>
      <c r="BC248" s="1513" t="n"/>
      <c r="BD248" s="1513" t="n"/>
      <c r="BE248" s="1511">
        <f>SUM(BE242:BE247)</f>
        <v/>
      </c>
      <c r="BF248" s="1513" t="n"/>
      <c r="BG248" s="1513" t="n"/>
      <c r="BH248" s="1513" t="n"/>
      <c r="BI248" s="1513" t="n"/>
      <c r="BJ248" s="1511">
        <f>SUM(BJ242:BJ247)</f>
        <v/>
      </c>
      <c r="BK248" s="1513" t="n"/>
      <c r="BL248" s="1513" t="n"/>
      <c r="BM248" s="1513" t="n"/>
      <c r="BN248" s="1513" t="n"/>
      <c r="BO248" s="1514" t="n"/>
      <c r="BP248" s="1513" t="n"/>
      <c r="BQ248" s="1513" t="n"/>
      <c r="BR248" s="1513" t="n"/>
      <c r="BS248" s="1513" t="n"/>
      <c r="BT248" s="1511" t="n"/>
      <c r="BU248" s="1513" t="n"/>
      <c r="BV248" s="1513" t="n"/>
      <c r="BW248" s="1513" t="n"/>
      <c r="BX248" s="1513" t="n"/>
      <c r="BY248" s="1511" t="n"/>
      <c r="BZ248" s="1511" t="n"/>
      <c r="CA248" s="1511" t="n"/>
      <c r="CB248" s="1511" t="n"/>
      <c r="CC248" s="1380" t="n"/>
    </row>
    <row r="249" hidden="1" outlineLevel="2" ht="14.4" customFormat="1" customHeight="1" s="1373">
      <c r="A249" s="1481" t="inlineStr">
        <is>
          <t>China employees, # of employees</t>
        </is>
      </c>
      <c r="B249" s="1439" t="n"/>
      <c r="C249" s="1379" t="n">
        <v>1270</v>
      </c>
      <c r="D249" s="1379" t="n">
        <v>1903</v>
      </c>
      <c r="E249" s="1379" t="n">
        <v>2134</v>
      </c>
      <c r="F249" s="1480" t="n">
        <v>2353</v>
      </c>
      <c r="G249" s="1480" t="n">
        <v>2407</v>
      </c>
      <c r="H249" s="1278" t="n"/>
      <c r="I249" s="1278" t="n"/>
      <c r="J249" s="1278" t="n"/>
      <c r="K249" s="1278" t="n"/>
      <c r="L249" s="1379" t="n">
        <v>2669</v>
      </c>
      <c r="M249" s="1278" t="n"/>
      <c r="N249" s="1278" t="n"/>
      <c r="O249" s="1278" t="n"/>
      <c r="P249" s="1278" t="n"/>
      <c r="Q249" s="1379" t="n">
        <v>2707</v>
      </c>
      <c r="R249" s="1278" t="n"/>
      <c r="S249" s="1278" t="n"/>
      <c r="T249" s="1278" t="n"/>
      <c r="U249" s="1278" t="n"/>
      <c r="V249" s="1379" t="n">
        <v>2868</v>
      </c>
      <c r="W249" s="1278" t="n"/>
      <c r="X249" s="1278" t="n"/>
      <c r="Y249" s="1278" t="n"/>
      <c r="Z249" s="1278" t="n"/>
      <c r="AA249" s="1379" t="n">
        <v>3598</v>
      </c>
      <c r="AB249" s="1278" t="n"/>
      <c r="AC249" s="1278" t="n"/>
      <c r="AD249" s="1278" t="n"/>
      <c r="AE249" s="1278" t="n"/>
      <c r="AF249" s="1379" t="n">
        <v>3634</v>
      </c>
      <c r="AG249" s="1278" t="n"/>
      <c r="AH249" s="1278" t="n"/>
      <c r="AI249" s="1278" t="n"/>
      <c r="AJ249" s="1278" t="n"/>
      <c r="AK249" s="1379" t="n">
        <v>3679</v>
      </c>
      <c r="AL249" s="1278" t="n"/>
      <c r="AM249" s="1278" t="n"/>
      <c r="AN249" s="1278" t="n"/>
      <c r="AO249" s="1278" t="n"/>
      <c r="AP249" s="1379" t="n">
        <v>3859</v>
      </c>
      <c r="AQ249" s="1278" t="n"/>
      <c r="AR249" s="1278" t="n"/>
      <c r="AS249" s="1278" t="n"/>
      <c r="AT249" s="1278" t="n"/>
      <c r="AU249" s="1379" t="n">
        <v>4131</v>
      </c>
      <c r="AV249" s="1278" t="n"/>
      <c r="AW249" s="1278" t="n"/>
      <c r="AX249" s="1278" t="n"/>
      <c r="AY249" s="1278" t="n"/>
      <c r="AZ249" s="1379" t="n">
        <v>4517</v>
      </c>
      <c r="BA249" s="1278" t="n"/>
      <c r="BB249" s="1278" t="n"/>
      <c r="BC249" s="1278" t="n"/>
      <c r="BD249" s="1278" t="n"/>
      <c r="BE249" s="1379" t="n">
        <v>4484</v>
      </c>
      <c r="BF249" s="1278" t="n"/>
      <c r="BG249" s="1278" t="n"/>
      <c r="BH249" s="1278" t="n"/>
      <c r="BI249" s="1278" t="n"/>
      <c r="BJ249" s="1379" t="n">
        <v>4478</v>
      </c>
      <c r="BK249" s="1278" t="n"/>
      <c r="BL249" s="1278" t="n"/>
      <c r="BM249" s="1278" t="n"/>
      <c r="BN249" s="1278" t="n"/>
      <c r="BO249" s="1377" t="n"/>
      <c r="BP249" s="1278" t="n"/>
      <c r="BQ249" s="1278" t="n"/>
      <c r="BR249" s="1278" t="n"/>
      <c r="BS249" s="1278" t="n"/>
      <c r="BT249" s="1376" t="n"/>
      <c r="BU249" s="1278" t="n"/>
      <c r="BV249" s="1278" t="n"/>
      <c r="BW249" s="1278" t="n"/>
      <c r="BX249" s="1278" t="n"/>
      <c r="BY249" s="1376" t="n"/>
      <c r="BZ249" s="1376" t="n"/>
      <c r="CA249" s="1376" t="n"/>
      <c r="CB249" s="1376" t="n"/>
      <c r="CC249" s="1380" t="n"/>
    </row>
    <row r="250" hidden="1" outlineLevel="2" ht="14.4" customFormat="1" customHeight="1" s="1373">
      <c r="A250" s="1481" t="inlineStr">
        <is>
          <t>North America employees, # of employees</t>
        </is>
      </c>
      <c r="B250" s="1439" t="n"/>
      <c r="C250" s="1379" t="n">
        <v>1198</v>
      </c>
      <c r="D250" s="1379" t="n">
        <v>1355</v>
      </c>
      <c r="E250" s="1379" t="n">
        <v>1343</v>
      </c>
      <c r="F250" s="1480" t="n">
        <v>1395</v>
      </c>
      <c r="G250" s="1480" t="n">
        <v>1397</v>
      </c>
      <c r="H250" s="1278" t="n"/>
      <c r="I250" s="1278" t="n"/>
      <c r="J250" s="1278" t="n"/>
      <c r="K250" s="1278" t="n"/>
      <c r="L250" s="1379" t="n">
        <v>1450</v>
      </c>
      <c r="M250" s="1278" t="n"/>
      <c r="N250" s="1278" t="n"/>
      <c r="O250" s="1278" t="n"/>
      <c r="P250" s="1278" t="n"/>
      <c r="Q250" s="1379" t="n">
        <v>1479</v>
      </c>
      <c r="R250" s="1278" t="n"/>
      <c r="S250" s="1278" t="n"/>
      <c r="T250" s="1278" t="n"/>
      <c r="U250" s="1278" t="n"/>
      <c r="V250" s="1379" t="n">
        <v>1487</v>
      </c>
      <c r="W250" s="1278" t="n"/>
      <c r="X250" s="1278" t="n"/>
      <c r="Y250" s="1278" t="n"/>
      <c r="Z250" s="1278" t="n"/>
      <c r="AA250" s="1379" t="n">
        <v>1522</v>
      </c>
      <c r="AB250" s="1278" t="n"/>
      <c r="AC250" s="1278" t="n"/>
      <c r="AD250" s="1278" t="n"/>
      <c r="AE250" s="1278" t="n"/>
      <c r="AF250" s="1379" t="n">
        <v>1522</v>
      </c>
      <c r="AG250" s="1278" t="n"/>
      <c r="AH250" s="1278" t="n"/>
      <c r="AI250" s="1278" t="n"/>
      <c r="AJ250" s="1278" t="n"/>
      <c r="AK250" s="1379" t="n">
        <v>1513</v>
      </c>
      <c r="AL250" s="1278" t="n"/>
      <c r="AM250" s="1278" t="n"/>
      <c r="AN250" s="1278" t="n"/>
      <c r="AO250" s="1278" t="n"/>
      <c r="AP250" s="1379" t="n">
        <v>1620</v>
      </c>
      <c r="AQ250" s="1278" t="n"/>
      <c r="AR250" s="1278" t="n"/>
      <c r="AS250" s="1278" t="n"/>
      <c r="AT250" s="1278" t="n"/>
      <c r="AU250" s="1379" t="n">
        <v>2188</v>
      </c>
      <c r="AV250" s="1278" t="n"/>
      <c r="AW250" s="1278" t="n"/>
      <c r="AX250" s="1278" t="n"/>
      <c r="AY250" s="1278" t="n"/>
      <c r="AZ250" s="1379" t="n">
        <v>2547</v>
      </c>
      <c r="BA250" s="1278" t="n"/>
      <c r="BB250" s="1278" t="n"/>
      <c r="BC250" s="1278" t="n"/>
      <c r="BD250" s="1278" t="n"/>
      <c r="BE250" s="1379" t="n">
        <v>2668</v>
      </c>
      <c r="BF250" s="1278" t="n"/>
      <c r="BG250" s="1278" t="n"/>
      <c r="BH250" s="1278" t="n"/>
      <c r="BI250" s="1278" t="n"/>
      <c r="BJ250" s="1379" t="n">
        <v>4497</v>
      </c>
      <c r="BK250" s="1278" t="n"/>
      <c r="BL250" s="1278" t="n"/>
      <c r="BM250" s="1278" t="n"/>
      <c r="BN250" s="1278" t="n"/>
      <c r="BO250" s="1377" t="n"/>
      <c r="BP250" s="1278" t="n"/>
      <c r="BQ250" s="1278" t="n"/>
      <c r="BR250" s="1278" t="n"/>
      <c r="BS250" s="1278" t="n"/>
      <c r="BT250" s="1376" t="n"/>
      <c r="BU250" s="1278" t="n"/>
      <c r="BV250" s="1278" t="n"/>
      <c r="BW250" s="1278" t="n"/>
      <c r="BX250" s="1278" t="n"/>
      <c r="BY250" s="1376" t="n"/>
      <c r="BZ250" s="1376" t="n"/>
      <c r="CA250" s="1376" t="n"/>
      <c r="CB250" s="1376" t="n"/>
      <c r="CC250" s="1380" t="n"/>
    </row>
    <row r="251" hidden="1" outlineLevel="2" ht="14.4" customFormat="1" customHeight="1" s="1373">
      <c r="A251" s="1481" t="inlineStr">
        <is>
          <t>Europe employees, # of employees</t>
        </is>
      </c>
      <c r="B251" s="1439" t="n"/>
      <c r="C251" s="1379" t="n">
        <v>36</v>
      </c>
      <c r="D251" s="1379" t="n">
        <v>48</v>
      </c>
      <c r="E251" s="1379" t="n">
        <v>53</v>
      </c>
      <c r="F251" s="1480" t="n">
        <v>50</v>
      </c>
      <c r="G251" s="1480" t="n">
        <v>53</v>
      </c>
      <c r="H251" s="1278" t="n"/>
      <c r="I251" s="1278" t="n"/>
      <c r="J251" s="1278" t="n"/>
      <c r="K251" s="1278" t="n"/>
      <c r="L251" s="1379" t="n">
        <v>50</v>
      </c>
      <c r="M251" s="1278" t="n"/>
      <c r="N251" s="1278" t="n"/>
      <c r="O251" s="1278" t="n"/>
      <c r="P251" s="1278" t="n"/>
      <c r="Q251" s="1379" t="n">
        <v>53</v>
      </c>
      <c r="R251" s="1278" t="n"/>
      <c r="S251" s="1278" t="n"/>
      <c r="T251" s="1278" t="n"/>
      <c r="U251" s="1278" t="n"/>
      <c r="V251" s="1379" t="n">
        <v>55</v>
      </c>
      <c r="W251" s="1278" t="n"/>
      <c r="X251" s="1278" t="n"/>
      <c r="Y251" s="1278" t="n"/>
      <c r="Z251" s="1278" t="n"/>
      <c r="AA251" s="1379" t="n">
        <v>54</v>
      </c>
      <c r="AB251" s="1278" t="n"/>
      <c r="AC251" s="1278" t="n"/>
      <c r="AD251" s="1278" t="n"/>
      <c r="AE251" s="1278" t="n"/>
      <c r="AF251" s="1379" t="n">
        <v>55</v>
      </c>
      <c r="AG251" s="1278" t="n"/>
      <c r="AH251" s="1278" t="n"/>
      <c r="AI251" s="1278" t="n"/>
      <c r="AJ251" s="1278" t="n"/>
      <c r="AK251" s="1379" t="n">
        <v>50</v>
      </c>
      <c r="AL251" s="1278" t="n"/>
      <c r="AM251" s="1278" t="n"/>
      <c r="AN251" s="1278" t="n"/>
      <c r="AO251" s="1278" t="n"/>
      <c r="AP251" s="1379" t="n">
        <v>52</v>
      </c>
      <c r="AQ251" s="1278" t="n"/>
      <c r="AR251" s="1278" t="n"/>
      <c r="AS251" s="1278" t="n"/>
      <c r="AT251" s="1278" t="n"/>
      <c r="AU251" s="1379" t="n">
        <v>54</v>
      </c>
      <c r="AV251" s="1278" t="n"/>
      <c r="AW251" s="1278" t="n"/>
      <c r="AX251" s="1278" t="n"/>
      <c r="AY251" s="1278" t="n"/>
      <c r="AZ251" s="1379" t="n">
        <v>53</v>
      </c>
      <c r="BA251" s="1278" t="n"/>
      <c r="BB251" s="1278" t="n"/>
      <c r="BC251" s="1278" t="n"/>
      <c r="BD251" s="1278" t="n"/>
      <c r="BE251" s="1379" t="n">
        <v>60</v>
      </c>
      <c r="BF251" s="1278" t="n"/>
      <c r="BG251" s="1278" t="n"/>
      <c r="BH251" s="1278" t="n"/>
      <c r="BI251" s="1278" t="n"/>
      <c r="BJ251" s="1379" t="n">
        <v>78</v>
      </c>
      <c r="BK251" s="1278" t="n"/>
      <c r="BL251" s="1278" t="n"/>
      <c r="BM251" s="1278" t="n"/>
      <c r="BN251" s="1278" t="n"/>
      <c r="BO251" s="1377" t="n"/>
      <c r="BP251" s="1278" t="n"/>
      <c r="BQ251" s="1278" t="n"/>
      <c r="BR251" s="1278" t="n"/>
      <c r="BS251" s="1278" t="n"/>
      <c r="BT251" s="1376" t="n"/>
      <c r="BU251" s="1278" t="n"/>
      <c r="BV251" s="1278" t="n"/>
      <c r="BW251" s="1278" t="n"/>
      <c r="BX251" s="1278" t="n"/>
      <c r="BY251" s="1376" t="n"/>
      <c r="BZ251" s="1376" t="n"/>
      <c r="CA251" s="1376" t="n"/>
      <c r="CB251" s="1376" t="n"/>
      <c r="CC251" s="1380" t="n"/>
    </row>
    <row r="252" hidden="1" outlineLevel="2" ht="14.4" customFormat="1" customHeight="1" s="1373">
      <c r="A252" s="1481" t="inlineStr">
        <is>
          <t>Japan employees, # of employees</t>
        </is>
      </c>
      <c r="B252" s="1439" t="n"/>
      <c r="C252" s="1379" t="n">
        <v>29</v>
      </c>
      <c r="D252" s="1379" t="n">
        <v>32</v>
      </c>
      <c r="E252" s="1379" t="n">
        <v>32</v>
      </c>
      <c r="F252" s="1480" t="n">
        <v>32</v>
      </c>
      <c r="G252" s="1480" t="n">
        <v>33</v>
      </c>
      <c r="H252" s="1278" t="n"/>
      <c r="I252" s="1278" t="n"/>
      <c r="J252" s="1278" t="n"/>
      <c r="K252" s="1278" t="n"/>
      <c r="L252" s="1379" t="n">
        <v>32</v>
      </c>
      <c r="M252" s="1278" t="n"/>
      <c r="N252" s="1278" t="n"/>
      <c r="O252" s="1278" t="n"/>
      <c r="P252" s="1278" t="n"/>
      <c r="Q252" s="1379" t="n">
        <v>32</v>
      </c>
      <c r="R252" s="1278" t="n"/>
      <c r="S252" s="1278" t="n"/>
      <c r="T252" s="1278" t="n"/>
      <c r="U252" s="1278" t="n"/>
      <c r="V252" s="1379" t="n">
        <v>33</v>
      </c>
      <c r="W252" s="1278" t="n"/>
      <c r="X252" s="1278" t="n"/>
      <c r="Y252" s="1278" t="n"/>
      <c r="Z252" s="1278" t="n"/>
      <c r="AA252" s="1379" t="n">
        <v>32</v>
      </c>
      <c r="AB252" s="1278" t="n"/>
      <c r="AC252" s="1278" t="n"/>
      <c r="AD252" s="1278" t="n"/>
      <c r="AE252" s="1278" t="n"/>
      <c r="AF252" s="1379" t="n">
        <v>33</v>
      </c>
      <c r="AG252" s="1278" t="n"/>
      <c r="AH252" s="1278" t="n"/>
      <c r="AI252" s="1278" t="n"/>
      <c r="AJ252" s="1278" t="n"/>
      <c r="AK252" s="1379" t="n">
        <v>32</v>
      </c>
      <c r="AL252" s="1278" t="n"/>
      <c r="AM252" s="1278" t="n"/>
      <c r="AN252" s="1278" t="n"/>
      <c r="AO252" s="1278" t="n"/>
      <c r="AP252" s="1379" t="n">
        <v>78</v>
      </c>
      <c r="AQ252" s="1278" t="n"/>
      <c r="AR252" s="1278" t="n"/>
      <c r="AS252" s="1278" t="n"/>
      <c r="AT252" s="1278" t="n"/>
      <c r="AU252" s="1379" t="n">
        <v>152</v>
      </c>
      <c r="AV252" s="1278" t="n"/>
      <c r="AW252" s="1278" t="n"/>
      <c r="AX252" s="1278" t="n"/>
      <c r="AY252" s="1278" t="n"/>
      <c r="AZ252" s="1379" t="n">
        <v>304</v>
      </c>
      <c r="BA252" s="1278" t="n"/>
      <c r="BB252" s="1278" t="n"/>
      <c r="BC252" s="1278" t="n"/>
      <c r="BD252" s="1278" t="n"/>
      <c r="BE252" s="1379" t="n">
        <v>804</v>
      </c>
      <c r="BF252" s="1278" t="n"/>
      <c r="BG252" s="1278" t="n"/>
      <c r="BH252" s="1278" t="n"/>
      <c r="BI252" s="1278" t="n"/>
      <c r="BJ252" s="1379" t="n">
        <v>1791</v>
      </c>
      <c r="BK252" s="1278" t="n"/>
      <c r="BL252" s="1278" t="n"/>
      <c r="BM252" s="1278" t="n"/>
      <c r="BN252" s="1278" t="n"/>
      <c r="BO252" s="1377" t="n"/>
      <c r="BP252" s="1278" t="n"/>
      <c r="BQ252" s="1278" t="n"/>
      <c r="BR252" s="1278" t="n"/>
      <c r="BS252" s="1278" t="n"/>
      <c r="BT252" s="1376" t="n"/>
      <c r="BU252" s="1278" t="n"/>
      <c r="BV252" s="1278" t="n"/>
      <c r="BW252" s="1278" t="n"/>
      <c r="BX252" s="1278" t="n"/>
      <c r="BY252" s="1376" t="n"/>
      <c r="BZ252" s="1376" t="n"/>
      <c r="CA252" s="1376" t="n"/>
      <c r="CB252" s="1376" t="n"/>
      <c r="CC252" s="1380" t="n"/>
    </row>
    <row r="253" hidden="1" outlineLevel="2" ht="14.4" customFormat="1" customHeight="1" s="1373">
      <c r="A253" s="1481" t="inlineStr">
        <is>
          <t>Korea employees, # of employees</t>
        </is>
      </c>
      <c r="B253" s="1439" t="n"/>
      <c r="C253" s="1379" t="n">
        <v>3</v>
      </c>
      <c r="D253" s="1379" t="n">
        <v>4</v>
      </c>
      <c r="E253" s="1379" t="n">
        <v>4</v>
      </c>
      <c r="F253" s="1480" t="n">
        <v>3</v>
      </c>
      <c r="G253" s="1480" t="n">
        <v>4</v>
      </c>
      <c r="H253" s="1278" t="n"/>
      <c r="I253" s="1278" t="n"/>
      <c r="J253" s="1278" t="n"/>
      <c r="K253" s="1278" t="n"/>
      <c r="L253" s="1379" t="n">
        <v>4</v>
      </c>
      <c r="M253" s="1278" t="n"/>
      <c r="N253" s="1278" t="n"/>
      <c r="O253" s="1278" t="n"/>
      <c r="P253" s="1278" t="n"/>
      <c r="Q253" s="1379" t="n">
        <v>4</v>
      </c>
      <c r="R253" s="1278" t="n"/>
      <c r="S253" s="1278" t="n"/>
      <c r="T253" s="1278" t="n"/>
      <c r="U253" s="1278" t="n"/>
      <c r="V253" s="1379" t="n">
        <v>5</v>
      </c>
      <c r="W253" s="1278" t="n"/>
      <c r="X253" s="1278" t="n"/>
      <c r="Y253" s="1278" t="n"/>
      <c r="Z253" s="1278" t="n"/>
      <c r="AA253" s="1379" t="n">
        <v>3</v>
      </c>
      <c r="AB253" s="1278" t="n"/>
      <c r="AC253" s="1278" t="n"/>
      <c r="AD253" s="1278" t="n"/>
      <c r="AE253" s="1278" t="n"/>
      <c r="AF253" s="1379" t="n">
        <v>3</v>
      </c>
      <c r="AG253" s="1278" t="n"/>
      <c r="AH253" s="1278" t="n"/>
      <c r="AI253" s="1278" t="n"/>
      <c r="AJ253" s="1278" t="n"/>
      <c r="AK253" s="1379" t="n">
        <v>2</v>
      </c>
      <c r="AL253" s="1278" t="n"/>
      <c r="AM253" s="1278" t="n"/>
      <c r="AN253" s="1278" t="n"/>
      <c r="AO253" s="1278" t="n"/>
      <c r="AP253" s="1379" t="n">
        <v>3</v>
      </c>
      <c r="AQ253" s="1278" t="n"/>
      <c r="AR253" s="1278" t="n"/>
      <c r="AS253" s="1278" t="n"/>
      <c r="AT253" s="1278" t="n"/>
      <c r="AU253" s="1379" t="n">
        <v>2</v>
      </c>
      <c r="AV253" s="1278" t="n"/>
      <c r="AW253" s="1278" t="n"/>
      <c r="AX253" s="1278" t="n"/>
      <c r="AY253" s="1278" t="n"/>
      <c r="AZ253" s="1379" t="n">
        <v>2</v>
      </c>
      <c r="BA253" s="1278" t="n"/>
      <c r="BB253" s="1278" t="n"/>
      <c r="BC253" s="1278" t="n"/>
      <c r="BD253" s="1278" t="n"/>
      <c r="BE253" s="1379" t="n">
        <v>2</v>
      </c>
      <c r="BF253" s="1278" t="n"/>
      <c r="BG253" s="1278" t="n"/>
      <c r="BH253" s="1278" t="n"/>
      <c r="BI253" s="1278" t="n"/>
      <c r="BJ253" s="1379" t="n">
        <v>2</v>
      </c>
      <c r="BK253" s="1278" t="n"/>
      <c r="BL253" s="1278" t="n"/>
      <c r="BM253" s="1278" t="n"/>
      <c r="BN253" s="1278" t="n"/>
      <c r="BO253" s="1377" t="n"/>
      <c r="BP253" s="1278" t="n"/>
      <c r="BQ253" s="1278" t="n"/>
      <c r="BR253" s="1278" t="n"/>
      <c r="BS253" s="1278" t="n"/>
      <c r="BT253" s="1376" t="n"/>
      <c r="BU253" s="1278" t="n"/>
      <c r="BV253" s="1278" t="n"/>
      <c r="BW253" s="1278" t="n"/>
      <c r="BX253" s="1278" t="n"/>
      <c r="BY253" s="1376" t="n"/>
      <c r="BZ253" s="1376" t="n"/>
      <c r="CA253" s="1376" t="n"/>
      <c r="CB253" s="1376" t="n"/>
      <c r="CC253" s="1380" t="n"/>
    </row>
    <row r="254" hidden="1" outlineLevel="2" ht="14.4" customFormat="1" customHeight="1" s="1500">
      <c r="A254" s="1497" t="inlineStr">
        <is>
          <t>Total employees, # of employees</t>
        </is>
      </c>
      <c r="B254" s="1491" t="n"/>
      <c r="C254" s="1494">
        <f>SUM(C248:C253)</f>
        <v/>
      </c>
      <c r="D254" s="1494">
        <f>SUM(D248:D253)</f>
        <v/>
      </c>
      <c r="E254" s="1494">
        <f>SUM(E248:E253)</f>
        <v/>
      </c>
      <c r="F254" s="1498">
        <f>SUM(F248:F253)</f>
        <v/>
      </c>
      <c r="G254" s="1498">
        <f>SUM(G248:G253)</f>
        <v/>
      </c>
      <c r="H254" s="1493" t="n"/>
      <c r="I254" s="1493" t="n"/>
      <c r="J254" s="1493" t="n"/>
      <c r="K254" s="1493" t="n"/>
      <c r="L254" s="1494">
        <f>SUM(L248:L253)</f>
        <v/>
      </c>
      <c r="M254" s="1493" t="n"/>
      <c r="N254" s="1493" t="n"/>
      <c r="O254" s="1493" t="n"/>
      <c r="P254" s="1493" t="n"/>
      <c r="Q254" s="1494">
        <f>SUM(Q248:Q253)</f>
        <v/>
      </c>
      <c r="R254" s="1493" t="n"/>
      <c r="S254" s="1493" t="n"/>
      <c r="T254" s="1493" t="n"/>
      <c r="U254" s="1493" t="n"/>
      <c r="V254" s="1494">
        <f>SUM(V248:V253)</f>
        <v/>
      </c>
      <c r="W254" s="1493" t="n"/>
      <c r="X254" s="1493" t="n"/>
      <c r="Y254" s="1493" t="n"/>
      <c r="Z254" s="1493" t="n"/>
      <c r="AA254" s="1494">
        <f>SUM(AA248:AA253)</f>
        <v/>
      </c>
      <c r="AB254" s="1493" t="n"/>
      <c r="AC254" s="1493" t="n"/>
      <c r="AD254" s="1493" t="n"/>
      <c r="AE254" s="1493" t="n"/>
      <c r="AF254" s="1494">
        <f>SUM(AF248:AF253)</f>
        <v/>
      </c>
      <c r="AG254" s="1493" t="n"/>
      <c r="AH254" s="1493" t="n"/>
      <c r="AI254" s="1493" t="n"/>
      <c r="AJ254" s="1493" t="n"/>
      <c r="AK254" s="1494">
        <f>SUM(AK248:AK253)</f>
        <v/>
      </c>
      <c r="AL254" s="1493" t="n"/>
      <c r="AM254" s="1493" t="n"/>
      <c r="AN254" s="1493" t="n"/>
      <c r="AO254" s="1493" t="n"/>
      <c r="AP254" s="1494">
        <f>SUM(AP248:AP253)</f>
        <v/>
      </c>
      <c r="AQ254" s="1493" t="n"/>
      <c r="AR254" s="1493" t="n"/>
      <c r="AS254" s="1493" t="n"/>
      <c r="AT254" s="1493" t="n"/>
      <c r="AU254" s="1494">
        <f>SUM(AU248:AU253)</f>
        <v/>
      </c>
      <c r="AV254" s="1493" t="n"/>
      <c r="AW254" s="1493" t="n"/>
      <c r="AX254" s="1493" t="n"/>
      <c r="AY254" s="1493" t="n"/>
      <c r="AZ254" s="1494">
        <f>SUM(AZ248:AZ253)</f>
        <v/>
      </c>
      <c r="BA254" s="1493" t="n"/>
      <c r="BB254" s="1493" t="n"/>
      <c r="BC254" s="1493" t="n"/>
      <c r="BD254" s="1493" t="n"/>
      <c r="BE254" s="1494">
        <f>SUM(BE248:BE253)</f>
        <v/>
      </c>
      <c r="BF254" s="1493" t="n"/>
      <c r="BG254" s="1493" t="n"/>
      <c r="BH254" s="1493" t="n"/>
      <c r="BI254" s="1493" t="n"/>
      <c r="BJ254" s="1494">
        <f>SUM(BJ248:BJ253)</f>
        <v/>
      </c>
      <c r="BK254" s="1493" t="n"/>
      <c r="BL254" s="1493" t="n"/>
      <c r="BM254" s="1493" t="n"/>
      <c r="BN254" s="1493" t="n"/>
      <c r="BO254" s="1495" t="n"/>
      <c r="BP254" s="1493" t="n"/>
      <c r="BQ254" s="1493" t="n"/>
      <c r="BR254" s="1493" t="n"/>
      <c r="BS254" s="1493" t="n"/>
      <c r="BT254" s="1494" t="n"/>
      <c r="BU254" s="1493" t="n"/>
      <c r="BV254" s="1493" t="n"/>
      <c r="BW254" s="1493" t="n"/>
      <c r="BX254" s="1493" t="n"/>
      <c r="BY254" s="1494" t="n"/>
      <c r="BZ254" s="1494" t="n"/>
      <c r="CA254" s="1494" t="n"/>
      <c r="CB254" s="1494" t="n"/>
      <c r="CC254" s="1507" t="n"/>
    </row>
    <row r="255" hidden="1" outlineLevel="1" collapsed="1" ht="14.4" customFormat="1" customHeight="1" s="1275">
      <c r="A255" s="1515" t="n"/>
      <c r="B255" s="1387" t="n"/>
      <c r="C255" s="1297" t="n"/>
      <c r="D255" s="1297" t="n"/>
      <c r="E255" s="1297" t="n"/>
      <c r="F255" s="1516" t="n"/>
      <c r="G255" s="1516" t="n"/>
      <c r="H255" s="1277" t="n"/>
      <c r="I255" s="1277" t="n"/>
      <c r="J255" s="1277" t="n"/>
      <c r="K255" s="1277" t="n"/>
      <c r="L255" s="1297" t="n"/>
      <c r="M255" s="1277" t="n"/>
      <c r="N255" s="1277" t="n"/>
      <c r="O255" s="1277" t="n"/>
      <c r="P255" s="1277" t="n"/>
      <c r="Q255" s="1297" t="n"/>
      <c r="R255" s="1277" t="n"/>
      <c r="S255" s="1277" t="n"/>
      <c r="T255" s="1277" t="n"/>
      <c r="U255" s="1277" t="n"/>
      <c r="V255" s="1297" t="n"/>
      <c r="W255" s="1277" t="n"/>
      <c r="X255" s="1277" t="n"/>
      <c r="Y255" s="1277" t="n"/>
      <c r="Z255" s="1277" t="n"/>
      <c r="AA255" s="1297" t="n"/>
      <c r="AB255" s="1277" t="n"/>
      <c r="AC255" s="1277" t="n"/>
      <c r="AD255" s="1277" t="n"/>
      <c r="AE255" s="1277" t="n"/>
      <c r="AF255" s="1297" t="n"/>
      <c r="AG255" s="1277" t="n"/>
      <c r="AH255" s="1277" t="n"/>
      <c r="AI255" s="1277" t="n"/>
      <c r="AJ255" s="1277" t="n"/>
      <c r="AK255" s="1297" t="n"/>
      <c r="AL255" s="1277" t="n"/>
      <c r="AM255" s="1277" t="n"/>
      <c r="AN255" s="1277" t="n"/>
      <c r="AO255" s="1277" t="n"/>
      <c r="AP255" s="1297" t="n"/>
      <c r="AQ255" s="1277" t="n"/>
      <c r="AR255" s="1277" t="n"/>
      <c r="AS255" s="1277" t="n"/>
      <c r="AT255" s="1277" t="n"/>
      <c r="AU255" s="1297" t="n"/>
      <c r="AV255" s="1277" t="n"/>
      <c r="AW255" s="1277" t="n"/>
      <c r="AX255" s="1277" t="n"/>
      <c r="AY255" s="1277" t="n"/>
      <c r="AZ255" s="1297" t="n"/>
      <c r="BA255" s="1277" t="n"/>
      <c r="BB255" s="1277" t="n"/>
      <c r="BC255" s="1277" t="n"/>
      <c r="BD255" s="1277" t="n"/>
      <c r="BE255" s="1297" t="n"/>
      <c r="BF255" s="1277" t="n"/>
      <c r="BG255" s="1277" t="n"/>
      <c r="BH255" s="1277" t="n"/>
      <c r="BI255" s="1277" t="n"/>
      <c r="BJ255" s="1297" t="n"/>
      <c r="BK255" s="1277" t="n"/>
      <c r="BL255" s="1277" t="n"/>
      <c r="BM255" s="1277" t="n"/>
      <c r="BN255" s="1277" t="n"/>
      <c r="BO255" s="1382" t="n"/>
      <c r="BP255" s="1277" t="n"/>
      <c r="BQ255" s="1277" t="n"/>
      <c r="BR255" s="1277" t="n"/>
      <c r="BS255" s="1277" t="n"/>
      <c r="BT255" s="1297" t="n"/>
      <c r="BU255" s="1277" t="n"/>
      <c r="BV255" s="1277" t="n"/>
      <c r="BW255" s="1277" t="n"/>
      <c r="BX255" s="1277" t="n"/>
      <c r="BY255" s="1297" t="n"/>
      <c r="BZ255" s="1297" t="n"/>
      <c r="CA255" s="1297" t="n"/>
      <c r="CB255" s="1297" t="n"/>
      <c r="CC255" s="1280" t="n"/>
    </row>
    <row r="256" hidden="1" outlineLevel="1" ht="14.4" customFormat="1" customHeight="1" s="1275">
      <c r="A256" s="1357" t="inlineStr">
        <is>
          <t>Key Metrics - Company Reported Foreign Exchange Rate (FS)</t>
        </is>
      </c>
      <c r="B256" s="1358" t="n"/>
      <c r="C256" s="1358" t="n"/>
      <c r="D256" s="1358" t="n"/>
      <c r="E256" s="1358" t="n"/>
      <c r="F256" s="1517" t="inlineStr">
        <is>
          <t>Unrestated</t>
        </is>
      </c>
      <c r="G256" s="1358" t="n"/>
      <c r="H256" s="1358" t="n"/>
      <c r="I256" s="1358" t="n"/>
      <c r="J256" s="1358" t="n"/>
      <c r="K256" s="1358" t="n"/>
      <c r="L256" s="1358" t="n"/>
      <c r="M256" s="1358" t="n"/>
      <c r="N256" s="1358" t="n"/>
      <c r="O256" s="1358" t="n"/>
      <c r="P256" s="1358" t="n"/>
      <c r="Q256" s="1358" t="n"/>
      <c r="R256" s="1358" t="n"/>
      <c r="S256" s="1358" t="n"/>
      <c r="T256" s="1358" t="n"/>
      <c r="U256" s="1358" t="n"/>
      <c r="V256" s="1358" t="n"/>
      <c r="W256" s="1358" t="n"/>
      <c r="X256" s="1358" t="n"/>
      <c r="Y256" s="1358" t="n"/>
      <c r="Z256" s="1358" t="n"/>
      <c r="AA256" s="1358" t="n"/>
      <c r="AB256" s="1358" t="n"/>
      <c r="AC256" s="1358" t="n"/>
      <c r="AD256" s="1358" t="n"/>
      <c r="AE256" s="1358" t="n"/>
      <c r="AF256" s="1358" t="n"/>
      <c r="AG256" s="1358" t="n"/>
      <c r="AH256" s="1358" t="n"/>
      <c r="AI256" s="1358" t="n"/>
      <c r="AJ256" s="1358" t="n"/>
      <c r="AK256" s="1358" t="n"/>
      <c r="AL256" s="1358" t="n"/>
      <c r="AM256" s="1358" t="n"/>
      <c r="AN256" s="1358" t="n"/>
      <c r="AO256" s="1358" t="n"/>
      <c r="AP256" s="1358" t="n"/>
      <c r="AQ256" s="1358" t="n"/>
      <c r="AR256" s="1358" t="n"/>
      <c r="AS256" s="1358" t="n"/>
      <c r="AT256" s="1358" t="n"/>
      <c r="AU256" s="1358" t="n"/>
      <c r="AV256" s="1358" t="n"/>
      <c r="AW256" s="1358" t="n"/>
      <c r="AX256" s="1358" t="n"/>
      <c r="AY256" s="1358" t="n"/>
      <c r="AZ256" s="1358" t="n"/>
      <c r="BA256" s="1358" t="n"/>
      <c r="BB256" s="1358" t="n"/>
      <c r="BC256" s="1358" t="n"/>
      <c r="BD256" s="1358" t="n"/>
      <c r="BE256" s="1358" t="n"/>
      <c r="BF256" s="1358" t="n"/>
      <c r="BG256" s="1358" t="n"/>
      <c r="BH256" s="1358" t="n"/>
      <c r="BI256" s="1358" t="n"/>
      <c r="BJ256" s="1358" t="n"/>
      <c r="BK256" s="1358" t="n"/>
      <c r="BL256" s="1358" t="n"/>
      <c r="BM256" s="1358" t="n"/>
      <c r="BN256" s="1358" t="n"/>
      <c r="BO256" s="1359" t="n"/>
      <c r="BP256" s="1358" t="n"/>
      <c r="BQ256" s="1358" t="n"/>
      <c r="BR256" s="1358" t="n"/>
      <c r="BS256" s="1358" t="n"/>
      <c r="BT256" s="1358" t="n"/>
      <c r="BU256" s="1358" t="n"/>
      <c r="BV256" s="1358" t="n"/>
      <c r="BW256" s="1358" t="n"/>
      <c r="BX256" s="1358" t="n"/>
      <c r="BY256" s="1358" t="n"/>
      <c r="BZ256" s="1358" t="n"/>
      <c r="CA256" s="1358" t="n"/>
      <c r="CB256" s="1358" t="n"/>
      <c r="CC256" s="1280" t="n"/>
    </row>
    <row r="257" hidden="1" outlineLevel="2" ht="14.4" customFormat="1" customHeight="1" s="1518">
      <c r="A257" s="1519" t="inlineStr">
        <is>
          <t>Weighted average foreign exchanged rate (reported), TWD/USD</t>
        </is>
      </c>
      <c r="B257" s="1520" t="n"/>
      <c r="C257" s="1521" t="n">
        <v>32.868</v>
      </c>
      <c r="D257" s="1521" t="n">
        <v>31.491</v>
      </c>
      <c r="E257" s="1521" t="n">
        <v>29.367</v>
      </c>
      <c r="F257" s="1521" t="n">
        <v>29.577</v>
      </c>
      <c r="G257" s="1521" t="n">
        <v>29.687</v>
      </c>
      <c r="H257" s="1522" t="n">
        <v>30.247</v>
      </c>
      <c r="I257" s="1522" t="n">
        <v>30.123</v>
      </c>
      <c r="J257" s="1522" t="n">
        <v>30</v>
      </c>
      <c r="K257" s="1522" t="n">
        <v>30.784</v>
      </c>
      <c r="L257" s="1521" t="n">
        <v>30.303</v>
      </c>
      <c r="M257" s="1522" t="n">
        <v>31.533</v>
      </c>
      <c r="N257" s="1522" t="n">
        <v>30.84</v>
      </c>
      <c r="O257" s="1522" t="n">
        <v>31.882</v>
      </c>
      <c r="P257" s="1522" t="n">
        <v>32.627</v>
      </c>
      <c r="Q257" s="1521" t="n">
        <v>31.703</v>
      </c>
      <c r="R257" s="1522" t="n">
        <v>33.138</v>
      </c>
      <c r="S257" s="1522" t="n">
        <v>32.413</v>
      </c>
      <c r="T257" s="1522" t="n">
        <v>31.77</v>
      </c>
      <c r="U257" s="1522" t="n">
        <v>31.773</v>
      </c>
      <c r="V257" s="1521" t="n">
        <v>32.206</v>
      </c>
      <c r="W257" s="1522" t="n">
        <v>31.159</v>
      </c>
      <c r="X257" s="1522" t="n">
        <v>30.285</v>
      </c>
      <c r="Y257" s="1522" t="n">
        <v>30.287</v>
      </c>
      <c r="Z257" s="1522" t="n">
        <v>30.129</v>
      </c>
      <c r="AA257" s="1521" t="n">
        <v>30.445</v>
      </c>
      <c r="AB257" s="1522" t="n">
        <v>29.326</v>
      </c>
      <c r="AC257" s="1522" t="n">
        <v>29.707</v>
      </c>
      <c r="AD257" s="1522" t="n">
        <v>30.678</v>
      </c>
      <c r="AE257" s="1522" t="n">
        <v>30.834</v>
      </c>
      <c r="AF257" s="1521" t="n">
        <v>30.163</v>
      </c>
      <c r="AG257" s="1522" t="n">
        <v>30.821</v>
      </c>
      <c r="AH257" s="1522" t="n">
        <v>31.111</v>
      </c>
      <c r="AI257" s="1522" t="n">
        <v>31.187</v>
      </c>
      <c r="AJ257" s="1522" t="n">
        <v>30.52</v>
      </c>
      <c r="AK257" s="1521" t="n">
        <v>30.895</v>
      </c>
      <c r="AL257" s="1522" t="n">
        <v>30.137</v>
      </c>
      <c r="AM257" s="1522" t="n">
        <v>29.918</v>
      </c>
      <c r="AN257" s="1522" t="n">
        <v>29.364</v>
      </c>
      <c r="AO257" s="1522" t="n">
        <v>28.521</v>
      </c>
      <c r="AP257" s="1521" t="n">
        <v>29.431</v>
      </c>
      <c r="AQ257" s="1522" t="n">
        <v>28.053</v>
      </c>
      <c r="AR257" s="1522" t="n">
        <v>28.005</v>
      </c>
      <c r="AS257" s="1522" t="n">
        <v>27.871</v>
      </c>
      <c r="AT257" s="1522" t="n">
        <v>27.846</v>
      </c>
      <c r="AU257" s="1521" t="n">
        <v>27.937</v>
      </c>
      <c r="AV257" s="1522" t="n">
        <v>27.954</v>
      </c>
      <c r="AW257" s="1522" t="n">
        <v>29.417</v>
      </c>
      <c r="AX257" s="1522" t="n">
        <v>30.316</v>
      </c>
      <c r="AY257" s="1522" t="n">
        <v>31.385</v>
      </c>
      <c r="AZ257" s="1521" t="n">
        <v>29.835</v>
      </c>
      <c r="BA257" s="1522" t="n">
        <v>30.423</v>
      </c>
      <c r="BB257" s="1522" t="n">
        <v>30.672</v>
      </c>
      <c r="BC257" s="1522" t="n">
        <v>31.643</v>
      </c>
      <c r="BD257" s="1522" t="n">
        <v>31.876</v>
      </c>
      <c r="BE257" s="1521" t="n">
        <v>31.195</v>
      </c>
      <c r="BF257" s="1522" t="n">
        <v>31.402</v>
      </c>
      <c r="BG257" s="1522" t="n">
        <v>32.346</v>
      </c>
      <c r="BH257" s="1522" t="n">
        <v>32.322</v>
      </c>
      <c r="BI257" s="1522" t="n">
        <v>32.304</v>
      </c>
      <c r="BJ257" s="1521" t="n">
        <v>32.129</v>
      </c>
      <c r="BK257" s="1522" t="n">
        <v>32.878</v>
      </c>
      <c r="BL257" s="1522" t="n">
        <v>31.054</v>
      </c>
      <c r="BM257" s="1522" t="n">
        <v>29.91</v>
      </c>
      <c r="BN257" s="1522" t="n">
        <v>31.013</v>
      </c>
      <c r="BO257" s="1523" t="n">
        <v>31.114</v>
      </c>
      <c r="BP257" s="1524">
        <f>+BP515</f>
        <v/>
      </c>
      <c r="BQ257" s="1524">
        <f>+BQ515</f>
        <v/>
      </c>
      <c r="BR257" s="1524">
        <f>+BR515</f>
        <v/>
      </c>
      <c r="BS257" s="1524">
        <f>+BS515</f>
        <v/>
      </c>
      <c r="BT257" s="1525">
        <f>+BT515</f>
        <v/>
      </c>
      <c r="BU257" s="1524">
        <f>+BU515</f>
        <v/>
      </c>
      <c r="BV257" s="1524">
        <f>+BV515</f>
        <v/>
      </c>
      <c r="BW257" s="1524">
        <f>+BW515</f>
        <v/>
      </c>
      <c r="BX257" s="1524">
        <f>+BX515</f>
        <v/>
      </c>
      <c r="BY257" s="1525">
        <f>+BY515</f>
        <v/>
      </c>
      <c r="BZ257" s="1525">
        <f>+BZ515</f>
        <v/>
      </c>
      <c r="CA257" s="1525">
        <f>+CA515</f>
        <v/>
      </c>
      <c r="CB257" s="1525">
        <f>+CB515</f>
        <v/>
      </c>
      <c r="CC257" s="1526" t="n"/>
    </row>
    <row r="258" hidden="1" outlineLevel="2" ht="14.4" customFormat="1" customHeight="1" s="1518">
      <c r="A258" s="1519" t="inlineStr">
        <is>
          <t>EoP foreign exchanged rate (reported), TWD/USD</t>
        </is>
      </c>
      <c r="B258" s="1520" t="n"/>
      <c r="C258" s="1521" t="n">
        <v>32.03</v>
      </c>
      <c r="D258" s="1521" t="n">
        <v>30.368</v>
      </c>
      <c r="E258" s="1521" t="n">
        <v>30.288</v>
      </c>
      <c r="F258" s="1521" t="n">
        <v>29.038</v>
      </c>
      <c r="G258" s="1521" t="n">
        <v>29.8</v>
      </c>
      <c r="H258" s="1522" t="n">
        <v>30.483</v>
      </c>
      <c r="I258" s="1522" t="n">
        <v>29.856</v>
      </c>
      <c r="J258" s="1522" t="n">
        <v>30.47</v>
      </c>
      <c r="K258" s="1522" t="n">
        <v>31.718</v>
      </c>
      <c r="L258" s="1521" t="n">
        <v>31.718</v>
      </c>
      <c r="M258" s="1522" t="n">
        <v>31.401</v>
      </c>
      <c r="N258" s="1522" t="n">
        <v>31.07</v>
      </c>
      <c r="O258" s="1522" t="n">
        <v>32.906</v>
      </c>
      <c r="P258" s="1522" t="n">
        <v>32.895</v>
      </c>
      <c r="Q258" s="1521" t="n">
        <v>32.895</v>
      </c>
      <c r="R258" s="1522" t="n">
        <v>32.18</v>
      </c>
      <c r="S258" s="1522" t="n">
        <v>32.283</v>
      </c>
      <c r="T258" s="1522" t="n">
        <v>31.374</v>
      </c>
      <c r="U258" s="1522" t="n">
        <v>32.199</v>
      </c>
      <c r="V258" s="1521" t="n">
        <v>32.199</v>
      </c>
      <c r="W258" s="1522" t="n">
        <v>30.37</v>
      </c>
      <c r="X258" s="1522" t="n">
        <v>30.414</v>
      </c>
      <c r="Y258" s="1522" t="n">
        <v>30.239</v>
      </c>
      <c r="Z258" s="1522" t="n">
        <v>29.659</v>
      </c>
      <c r="AA258" s="1521" t="n">
        <v>29.659</v>
      </c>
      <c r="AB258" s="1522" t="n">
        <v>29.093</v>
      </c>
      <c r="AC258" s="1522" t="n">
        <v>30.53</v>
      </c>
      <c r="AD258" s="1522" t="n">
        <v>30.505</v>
      </c>
      <c r="AE258" s="1522" t="n">
        <v>30.74</v>
      </c>
      <c r="AF258" s="1521" t="n">
        <v>30.74</v>
      </c>
      <c r="AG258" s="1522" t="n">
        <v>30.83</v>
      </c>
      <c r="AH258" s="1522" t="n">
        <v>31.056</v>
      </c>
      <c r="AI258" s="1522" t="n">
        <v>31.027</v>
      </c>
      <c r="AJ258" s="1522" t="n">
        <v>29.988</v>
      </c>
      <c r="AK258" s="1521" t="n">
        <v>29.988</v>
      </c>
      <c r="AL258" s="1522" t="n">
        <v>30.239</v>
      </c>
      <c r="AM258" s="1522" t="n">
        <v>29.429</v>
      </c>
      <c r="AN258" s="1522" t="n">
        <v>28.96</v>
      </c>
      <c r="AO258" s="1522" t="n">
        <v>28.097</v>
      </c>
      <c r="AP258" s="1521" t="n">
        <v>28.097</v>
      </c>
      <c r="AQ258" s="1522" t="n">
        <v>28.507</v>
      </c>
      <c r="AR258" s="1522" t="n">
        <v>27.889</v>
      </c>
      <c r="AS258" s="1522" t="n">
        <v>27.864</v>
      </c>
      <c r="AT258" s="1522" t="n">
        <v>27.674</v>
      </c>
      <c r="AU258" s="1521" t="n">
        <v>27.674</v>
      </c>
      <c r="AV258" s="1522" t="n">
        <v>28.598</v>
      </c>
      <c r="AW258" s="1522" t="n">
        <v>29.722</v>
      </c>
      <c r="AX258" s="1522" t="n">
        <v>31.766</v>
      </c>
      <c r="AY258" s="1522" t="n">
        <v>30.713</v>
      </c>
      <c r="AZ258" s="1521" t="n">
        <v>30.713</v>
      </c>
      <c r="BA258" s="1522" t="n">
        <v>30.422</v>
      </c>
      <c r="BB258" s="1522" t="n">
        <v>31.13</v>
      </c>
      <c r="BC258" s="1522" t="n">
        <v>32.281</v>
      </c>
      <c r="BD258" s="1522" t="n">
        <v>30.747</v>
      </c>
      <c r="BE258" s="1521" t="n">
        <v>30.747</v>
      </c>
      <c r="BF258" s="1522" t="n">
        <v>31.997</v>
      </c>
      <c r="BG258" s="1522" t="n">
        <v>32.49</v>
      </c>
      <c r="BH258" s="1522" t="n">
        <v>31.638</v>
      </c>
      <c r="BI258" s="1522" t="n">
        <v>32.768</v>
      </c>
      <c r="BJ258" s="1521" t="n">
        <v>32.768</v>
      </c>
      <c r="BK258" s="1522" t="n">
        <v>33.205</v>
      </c>
      <c r="BL258" s="1522" t="n">
        <v>29.154</v>
      </c>
      <c r="BM258" s="1522" t="n">
        <v>30.531</v>
      </c>
      <c r="BN258" s="1522" t="n">
        <v>31.444</v>
      </c>
      <c r="BO258" s="1523" t="n">
        <v>31.444</v>
      </c>
      <c r="BP258" s="1524">
        <f>+BP516</f>
        <v/>
      </c>
      <c r="BQ258" s="1524">
        <f>+BQ516</f>
        <v/>
      </c>
      <c r="BR258" s="1524">
        <f>+BR516</f>
        <v/>
      </c>
      <c r="BS258" s="1524">
        <f>+BS516</f>
        <v/>
      </c>
      <c r="BT258" s="1525">
        <f>+BT516</f>
        <v/>
      </c>
      <c r="BU258" s="1524">
        <f>+BU516</f>
        <v/>
      </c>
      <c r="BV258" s="1524">
        <f>+BV516</f>
        <v/>
      </c>
      <c r="BW258" s="1524">
        <f>+BW516</f>
        <v/>
      </c>
      <c r="BX258" s="1524">
        <f>+BX516</f>
        <v/>
      </c>
      <c r="BY258" s="1525">
        <f>+BY516</f>
        <v/>
      </c>
      <c r="BZ258" s="1525">
        <f>+BZ516</f>
        <v/>
      </c>
      <c r="CA258" s="1525">
        <f>+CA516</f>
        <v/>
      </c>
      <c r="CB258" s="1525">
        <f>+CB516</f>
        <v/>
      </c>
      <c r="CC258" s="1526" t="n"/>
    </row>
    <row r="259" collapsed="1" ht="14.4" customFormat="1" customHeight="1" s="1275">
      <c r="A259" s="1515" t="n"/>
      <c r="B259" s="1387" t="n"/>
      <c r="C259" s="1297" t="n"/>
      <c r="D259" s="1297" t="n"/>
      <c r="E259" s="1297" t="n"/>
      <c r="F259" s="1516" t="n"/>
      <c r="G259" s="1516" t="n"/>
      <c r="H259" s="1277" t="n"/>
      <c r="I259" s="1277" t="n"/>
      <c r="J259" s="1277" t="n"/>
      <c r="K259" s="1277" t="n"/>
      <c r="L259" s="1297" t="n"/>
      <c r="M259" s="1277" t="n"/>
      <c r="N259" s="1277" t="n"/>
      <c r="O259" s="1277" t="n"/>
      <c r="P259" s="1277" t="n"/>
      <c r="Q259" s="1297" t="n"/>
      <c r="R259" s="1277" t="n"/>
      <c r="S259" s="1277" t="n"/>
      <c r="T259" s="1277" t="n"/>
      <c r="U259" s="1277" t="n"/>
      <c r="V259" s="1297" t="n"/>
      <c r="W259" s="1277" t="n"/>
      <c r="X259" s="1277" t="n"/>
      <c r="Y259" s="1277" t="n"/>
      <c r="Z259" s="1277" t="n"/>
      <c r="AA259" s="1297" t="n"/>
      <c r="AB259" s="1277" t="n"/>
      <c r="AC259" s="1277" t="n"/>
      <c r="AD259" s="1277" t="n"/>
      <c r="AE259" s="1277" t="n"/>
      <c r="AF259" s="1297" t="n"/>
      <c r="AG259" s="1277" t="n"/>
      <c r="AH259" s="1277" t="n"/>
      <c r="AI259" s="1277" t="n"/>
      <c r="AJ259" s="1277" t="n"/>
      <c r="AK259" s="1297" t="n"/>
      <c r="AL259" s="1277" t="n"/>
      <c r="AM259" s="1277" t="n"/>
      <c r="AN259" s="1277" t="n"/>
      <c r="AO259" s="1277" t="n"/>
      <c r="AP259" s="1297" t="n"/>
      <c r="AQ259" s="1277" t="n"/>
      <c r="AR259" s="1277" t="n"/>
      <c r="AS259" s="1277" t="n"/>
      <c r="AT259" s="1277" t="n"/>
      <c r="AU259" s="1297" t="n"/>
      <c r="AV259" s="1277" t="n"/>
      <c r="AW259" s="1277" t="n"/>
      <c r="AX259" s="1277" t="n"/>
      <c r="AY259" s="1277" t="n"/>
      <c r="AZ259" s="1297" t="n"/>
      <c r="BA259" s="1277" t="n"/>
      <c r="BB259" s="1277" t="n"/>
      <c r="BC259" s="1277" t="n"/>
      <c r="BD259" s="1277" t="n"/>
      <c r="BE259" s="1297" t="n"/>
      <c r="BF259" s="1277" t="n"/>
      <c r="BG259" s="1277" t="n"/>
      <c r="BH259" s="1277" t="n"/>
      <c r="BI259" s="1277" t="n"/>
      <c r="BJ259" s="1297" t="n"/>
      <c r="BK259" s="1277" t="n"/>
      <c r="BL259" s="1277" t="n"/>
      <c r="BM259" s="1277" t="n"/>
      <c r="BN259" s="1277" t="n"/>
      <c r="BO259" s="1382" t="n"/>
      <c r="BP259" s="1277" t="n"/>
      <c r="BQ259" s="1277" t="n"/>
      <c r="BR259" s="1277" t="n"/>
      <c r="BS259" s="1277" t="n"/>
      <c r="BT259" s="1297" t="n"/>
      <c r="BU259" s="1277" t="n"/>
      <c r="BV259" s="1277" t="n"/>
      <c r="BW259" s="1277" t="n"/>
      <c r="BX259" s="1277" t="n"/>
      <c r="BY259" s="1297" t="n"/>
      <c r="BZ259" s="1297" t="n"/>
      <c r="CA259" s="1297" t="n"/>
      <c r="CB259" s="1297" t="n"/>
      <c r="CC259" s="1280" t="n"/>
    </row>
    <row r="260" ht="14.4" customFormat="1" customHeight="1" s="1275">
      <c r="A260" s="1357" t="inlineStr">
        <is>
          <t>Results (Historical)</t>
        </is>
      </c>
      <c r="B260" s="1358" t="n"/>
      <c r="C260" s="1358" t="n"/>
      <c r="D260" s="1358" t="n"/>
      <c r="E260" s="1358" t="n"/>
      <c r="F260" s="1358" t="n"/>
      <c r="G260" s="1358" t="n"/>
      <c r="H260" s="1358" t="n"/>
      <c r="I260" s="1358" t="n"/>
      <c r="J260" s="1358" t="n"/>
      <c r="K260" s="1358" t="n"/>
      <c r="L260" s="1358" t="n"/>
      <c r="M260" s="1358" t="n"/>
      <c r="N260" s="1358" t="n"/>
      <c r="O260" s="1358" t="n"/>
      <c r="P260" s="1358" t="n"/>
      <c r="Q260" s="1358" t="n"/>
      <c r="R260" s="1358" t="n"/>
      <c r="S260" s="1358" t="n"/>
      <c r="T260" s="1358" t="n"/>
      <c r="U260" s="1358" t="n"/>
      <c r="V260" s="1358" t="n"/>
      <c r="W260" s="1358" t="n"/>
      <c r="X260" s="1358" t="n"/>
      <c r="Y260" s="1358" t="n"/>
      <c r="Z260" s="1358" t="n"/>
      <c r="AA260" s="1358" t="n"/>
      <c r="AB260" s="1358" t="n"/>
      <c r="AC260" s="1358" t="n"/>
      <c r="AD260" s="1358" t="n"/>
      <c r="AE260" s="1358" t="n"/>
      <c r="AF260" s="1358" t="n"/>
      <c r="AG260" s="1358" t="n"/>
      <c r="AH260" s="1358" t="n"/>
      <c r="AI260" s="1358" t="n"/>
      <c r="AJ260" s="1358" t="n"/>
      <c r="AK260" s="1358" t="n"/>
      <c r="AL260" s="1358" t="n"/>
      <c r="AM260" s="1358" t="n"/>
      <c r="AN260" s="1358" t="n"/>
      <c r="AO260" s="1358" t="n"/>
      <c r="AP260" s="1358" t="n"/>
      <c r="AQ260" s="1358" t="n"/>
      <c r="AR260" s="1358" t="n"/>
      <c r="AS260" s="1358" t="n"/>
      <c r="AT260" s="1358" t="n"/>
      <c r="AU260" s="1358" t="n"/>
      <c r="AV260" s="1358" t="n"/>
      <c r="AW260" s="1358" t="n"/>
      <c r="AX260" s="1358" t="n"/>
      <c r="AY260" s="1358" t="n"/>
      <c r="AZ260" s="1358" t="n"/>
      <c r="BA260" s="1358" t="n"/>
      <c r="BB260" s="1358" t="n"/>
      <c r="BC260" s="1358" t="n"/>
      <c r="BD260" s="1358" t="n"/>
      <c r="BE260" s="1358" t="n"/>
      <c r="BF260" s="1358" t="n"/>
      <c r="BG260" s="1358" t="n"/>
      <c r="BH260" s="1358" t="n"/>
      <c r="BI260" s="1358" t="n"/>
      <c r="BJ260" s="1358" t="n"/>
      <c r="BK260" s="1358" t="n"/>
      <c r="BL260" s="1358" t="n"/>
      <c r="BM260" s="1358" t="n"/>
      <c r="BN260" s="1358" t="n"/>
      <c r="BO260" s="1359" t="n"/>
      <c r="BP260" s="1358" t="n"/>
      <c r="BQ260" s="1358" t="n"/>
      <c r="BR260" s="1358" t="n"/>
      <c r="BS260" s="1358" t="n"/>
      <c r="BT260" s="1358" t="n"/>
      <c r="BU260" s="1358" t="n"/>
      <c r="BV260" s="1358" t="n"/>
      <c r="BW260" s="1358" t="n"/>
      <c r="BX260" s="1358" t="n"/>
      <c r="BY260" s="1358" t="n"/>
      <c r="BZ260" s="1358" t="n"/>
      <c r="CA260" s="1358" t="n"/>
      <c r="CB260" s="1358" t="n"/>
      <c r="CC260" s="1280" t="n"/>
    </row>
    <row r="261" hidden="1" outlineLevel="1" ht="14.4" customFormat="1" customHeight="1" s="1275">
      <c r="A261" s="1357" t="inlineStr">
        <is>
          <t>- Segmented Results - Revenue Breakdown by Application Type (FS/IR/SI) (Historical)</t>
        </is>
      </c>
      <c r="B261" s="1358" t="n"/>
      <c r="C261" s="1358" t="n"/>
      <c r="D261" s="1358" t="n"/>
      <c r="E261" s="1358" t="n"/>
      <c r="F261" s="1358" t="n"/>
      <c r="G261" s="1358" t="n"/>
      <c r="H261" s="1358" t="n"/>
      <c r="I261" s="1358" t="n"/>
      <c r="J261" s="1358" t="n"/>
      <c r="K261" s="1358" t="n"/>
      <c r="L261" s="1358" t="n"/>
      <c r="M261" s="1358" t="n"/>
      <c r="N261" s="1358" t="n"/>
      <c r="O261" s="1358" t="n"/>
      <c r="P261" s="1358" t="n"/>
      <c r="Q261" s="1358" t="n"/>
      <c r="R261" s="1358" t="n"/>
      <c r="S261" s="1358" t="n"/>
      <c r="T261" s="1358" t="n"/>
      <c r="U261" s="1358" t="n"/>
      <c r="V261" s="1358" t="n"/>
      <c r="W261" s="1358" t="n"/>
      <c r="X261" s="1358" t="n"/>
      <c r="Y261" s="1358" t="n"/>
      <c r="Z261" s="1358" t="n"/>
      <c r="AA261" s="1358" t="n"/>
      <c r="AB261" s="1358" t="n"/>
      <c r="AC261" s="1358" t="n"/>
      <c r="AD261" s="1358" t="n"/>
      <c r="AE261" s="1358" t="n"/>
      <c r="AF261" s="1358" t="n"/>
      <c r="AG261" s="1358" t="n"/>
      <c r="AH261" s="1358" t="n"/>
      <c r="AI261" s="1358" t="n"/>
      <c r="AJ261" s="1358" t="n"/>
      <c r="AK261" s="1358" t="n"/>
      <c r="AL261" s="1358" t="n"/>
      <c r="AM261" s="1358" t="n"/>
      <c r="AN261" s="1358" t="n"/>
      <c r="AO261" s="1358" t="n"/>
      <c r="AP261" s="1358" t="n"/>
      <c r="AQ261" s="1358" t="n"/>
      <c r="AR261" s="1358" t="n"/>
      <c r="AS261" s="1358" t="n"/>
      <c r="AT261" s="1358" t="n"/>
      <c r="AU261" s="1358" t="n"/>
      <c r="AV261" s="1358" t="n"/>
      <c r="AW261" s="1358" t="n"/>
      <c r="AX261" s="1358" t="n"/>
      <c r="AY261" s="1358" t="n"/>
      <c r="AZ261" s="1358" t="n"/>
      <c r="BA261" s="1358" t="n"/>
      <c r="BB261" s="1358" t="n"/>
      <c r="BC261" s="1358" t="n"/>
      <c r="BD261" s="1358" t="n"/>
      <c r="BE261" s="1358" t="n"/>
      <c r="BF261" s="1358" t="n"/>
      <c r="BG261" s="1358" t="n"/>
      <c r="BH261" s="1358" t="n"/>
      <c r="BI261" s="1358" t="n"/>
      <c r="BJ261" s="1358" t="n"/>
      <c r="BK261" s="1358" t="n"/>
      <c r="BL261" s="1358" t="n"/>
      <c r="BM261" s="1358" t="n"/>
      <c r="BN261" s="1358" t="n"/>
      <c r="BO261" s="1359" t="n"/>
      <c r="BP261" s="1358" t="n"/>
      <c r="BQ261" s="1358" t="n"/>
      <c r="BR261" s="1358" t="n"/>
      <c r="BS261" s="1358" t="n"/>
      <c r="BT261" s="1358" t="n"/>
      <c r="BU261" s="1358" t="n"/>
      <c r="BV261" s="1358" t="n"/>
      <c r="BW261" s="1358" t="n"/>
      <c r="BX261" s="1358" t="n"/>
      <c r="BY261" s="1358" t="n"/>
      <c r="BZ261" s="1358" t="n"/>
      <c r="CA261" s="1358" t="n"/>
      <c r="CB261" s="1358" t="n"/>
      <c r="CC261" s="1280" t="n"/>
    </row>
    <row r="262" hidden="1" outlineLevel="1" ht="14.4" customFormat="1" customHeight="1" s="1290">
      <c r="A262" s="1401" t="inlineStr">
        <is>
          <t>Communication revenue contribution, %</t>
        </is>
      </c>
      <c r="B262" s="1368" t="n"/>
      <c r="C262" s="1405" t="n">
        <v>0.4093</v>
      </c>
      <c r="D262" s="1405" t="n">
        <v>0.4294</v>
      </c>
      <c r="E262" s="1405" t="n">
        <v>0.4845</v>
      </c>
      <c r="F262" s="1405" t="n">
        <v>0.5</v>
      </c>
      <c r="G262" s="1405" t="n">
        <v>0.54</v>
      </c>
      <c r="H262" s="1402" t="n">
        <v>0.54</v>
      </c>
      <c r="I262" s="1402" t="n">
        <v>0.54</v>
      </c>
      <c r="J262" s="1402" t="n">
        <v>0.59</v>
      </c>
      <c r="K262" s="1402" t="n">
        <v>0.65</v>
      </c>
      <c r="L262" s="1403">
        <f>L268/L$272</f>
        <v/>
      </c>
      <c r="M262" s="1402" t="n">
        <v>0.6</v>
      </c>
      <c r="N262" s="1402" t="n">
        <v>0.62</v>
      </c>
      <c r="O262" s="1402" t="n">
        <v>0.59</v>
      </c>
      <c r="P262" s="1402" t="n">
        <v>0.62</v>
      </c>
      <c r="Q262" s="1403">
        <f>Q268/Q$272</f>
        <v/>
      </c>
      <c r="R262" s="1402" t="n">
        <v>0.64</v>
      </c>
      <c r="S262" s="1402" t="n">
        <v>0.59</v>
      </c>
      <c r="T262" s="1402" t="n">
        <v>0.6</v>
      </c>
      <c r="U262" s="1402" t="n">
        <v>0.66</v>
      </c>
      <c r="V262" s="1403">
        <f>V268/V$272</f>
        <v/>
      </c>
      <c r="W262" s="1402" t="n">
        <v>0.61</v>
      </c>
      <c r="X262" s="1402" t="n">
        <v>0.58</v>
      </c>
      <c r="Y262" s="1402" t="n">
        <v>0.5600000000000001</v>
      </c>
      <c r="Z262" s="1402" t="n">
        <v>0.62</v>
      </c>
      <c r="AA262" s="1405" t="n">
        <v>0.59</v>
      </c>
      <c r="AB262" s="1294">
        <f>AB268/AB$272</f>
        <v/>
      </c>
      <c r="AC262" s="1294">
        <f>AC268/AC$272</f>
        <v/>
      </c>
      <c r="AD262" s="1294">
        <f>AD268/AD$272</f>
        <v/>
      </c>
      <c r="AE262" s="1294">
        <f>AE268/AE$272</f>
        <v/>
      </c>
      <c r="AF262" s="1403">
        <f>AF268/AF$272</f>
        <v/>
      </c>
      <c r="AG262" s="1402" t="n">
        <v>0.62</v>
      </c>
      <c r="AH262" s="1370" t="n"/>
      <c r="AI262" s="1370" t="n"/>
      <c r="AJ262" s="1370" t="n"/>
      <c r="AK262" s="1369" t="n"/>
      <c r="AL262" s="1370" t="n"/>
      <c r="AM262" s="1370" t="n"/>
      <c r="AN262" s="1370" t="n"/>
      <c r="AO262" s="1370" t="n"/>
      <c r="AP262" s="1369" t="n"/>
      <c r="AQ262" s="1370" t="n"/>
      <c r="AR262" s="1370" t="n"/>
      <c r="AS262" s="1370" t="n"/>
      <c r="AT262" s="1370" t="n"/>
      <c r="AU262" s="1369" t="n"/>
      <c r="AV262" s="1370" t="n"/>
      <c r="AW262" s="1370" t="n"/>
      <c r="AX262" s="1370" t="n"/>
      <c r="AY262" s="1370" t="n"/>
      <c r="AZ262" s="1369" t="n"/>
      <c r="BA262" s="1370" t="n"/>
      <c r="BB262" s="1370" t="n"/>
      <c r="BC262" s="1370" t="n"/>
      <c r="BD262" s="1370" t="n"/>
      <c r="BE262" s="1369" t="n"/>
      <c r="BF262" s="1370" t="n"/>
      <c r="BG262" s="1370" t="n"/>
      <c r="BH262" s="1370" t="n"/>
      <c r="BI262" s="1370" t="n"/>
      <c r="BJ262" s="1369" t="n"/>
      <c r="BK262" s="1370" t="n"/>
      <c r="BL262" s="1370" t="n"/>
      <c r="BM262" s="1370" t="n"/>
      <c r="BN262" s="1370" t="n"/>
      <c r="BO262" s="1371" t="n"/>
      <c r="BP262" s="1527" t="n"/>
      <c r="BQ262" s="1370" t="n"/>
      <c r="BR262" s="1370" t="n"/>
      <c r="BS262" s="1370" t="n"/>
      <c r="BT262" s="1369" t="n"/>
      <c r="BU262" s="1527" t="n"/>
      <c r="BV262" s="1370" t="n"/>
      <c r="BW262" s="1370" t="n"/>
      <c r="BX262" s="1370" t="n"/>
      <c r="BY262" s="1369" t="n"/>
      <c r="BZ262" s="1369" t="n"/>
      <c r="CA262" s="1369" t="n"/>
      <c r="CB262" s="1369" t="n"/>
      <c r="CC262" s="1294" t="n"/>
    </row>
    <row r="263" hidden="1" outlineLevel="1" ht="14.4" customFormat="1" customHeight="1" s="1290">
      <c r="A263" s="1401" t="inlineStr">
        <is>
          <t>Industrial/standard revenue contribution, %</t>
        </is>
      </c>
      <c r="B263" s="1368" t="n"/>
      <c r="C263" s="1405" t="n">
        <v>0.1471</v>
      </c>
      <c r="D263" s="1405" t="n">
        <v>0.1632</v>
      </c>
      <c r="E263" s="1405" t="n">
        <v>0.1901</v>
      </c>
      <c r="F263" s="1405" t="n">
        <v>0.22</v>
      </c>
      <c r="G263" s="1405" t="n">
        <v>0.21</v>
      </c>
      <c r="H263" s="1402" t="n">
        <v>0.22</v>
      </c>
      <c r="I263" s="1402" t="n">
        <v>0.23</v>
      </c>
      <c r="J263" s="1402" t="n">
        <v>0.22</v>
      </c>
      <c r="K263" s="1402" t="n">
        <v>0.19</v>
      </c>
      <c r="L263" s="1403">
        <f>L269/L$272</f>
        <v/>
      </c>
      <c r="M263" s="1402" t="n">
        <v>0.22</v>
      </c>
      <c r="N263" s="1402" t="n">
        <v>0.23</v>
      </c>
      <c r="O263" s="1402" t="n">
        <v>0.25</v>
      </c>
      <c r="P263" s="1402" t="n">
        <v>0.23</v>
      </c>
      <c r="Q263" s="1403">
        <f>Q269/Q$272</f>
        <v/>
      </c>
      <c r="R263" s="1402" t="n">
        <v>0.21</v>
      </c>
      <c r="S263" s="1402" t="n">
        <v>0.21</v>
      </c>
      <c r="T263" s="1402" t="n">
        <v>0.21</v>
      </c>
      <c r="U263" s="1402" t="n">
        <v>0.2</v>
      </c>
      <c r="V263" s="1403">
        <f>V269/V$272</f>
        <v/>
      </c>
      <c r="W263" s="1402" t="n">
        <v>0.21</v>
      </c>
      <c r="X263" s="1402" t="n">
        <v>0.25</v>
      </c>
      <c r="Y263" s="1402" t="n">
        <v>0.25</v>
      </c>
      <c r="Z263" s="1402" t="n">
        <v>0.22</v>
      </c>
      <c r="AA263" s="1405" t="n">
        <v>0.23</v>
      </c>
      <c r="AB263" s="1294">
        <f>AB269/AB$272</f>
        <v/>
      </c>
      <c r="AC263" s="1294">
        <f>AC269/AC$272</f>
        <v/>
      </c>
      <c r="AD263" s="1294">
        <f>AD269/AD$272</f>
        <v/>
      </c>
      <c r="AE263" s="1294">
        <f>AE269/AE$272</f>
        <v/>
      </c>
      <c r="AF263" s="1403">
        <f>AF269/AF$272</f>
        <v/>
      </c>
      <c r="AG263" s="1402" t="n">
        <v>0.23</v>
      </c>
      <c r="AH263" s="1370" t="n"/>
      <c r="AI263" s="1370" t="n"/>
      <c r="AJ263" s="1370" t="n"/>
      <c r="AK263" s="1369" t="n"/>
      <c r="AL263" s="1370" t="n"/>
      <c r="AM263" s="1370" t="n"/>
      <c r="AN263" s="1370" t="n"/>
      <c r="AO263" s="1370" t="n"/>
      <c r="AP263" s="1369" t="n"/>
      <c r="AQ263" s="1370" t="n"/>
      <c r="AR263" s="1370" t="n"/>
      <c r="AS263" s="1370" t="n"/>
      <c r="AT263" s="1370" t="n"/>
      <c r="AU263" s="1369" t="n"/>
      <c r="AV263" s="1370" t="n"/>
      <c r="AW263" s="1370" t="n"/>
      <c r="AX263" s="1370" t="n"/>
      <c r="AY263" s="1370" t="n"/>
      <c r="AZ263" s="1369" t="n"/>
      <c r="BA263" s="1370" t="n"/>
      <c r="BB263" s="1370" t="n"/>
      <c r="BC263" s="1370" t="n"/>
      <c r="BD263" s="1370" t="n"/>
      <c r="BE263" s="1369" t="n"/>
      <c r="BF263" s="1370" t="n"/>
      <c r="BG263" s="1370" t="n"/>
      <c r="BH263" s="1370" t="n"/>
      <c r="BI263" s="1370" t="n"/>
      <c r="BJ263" s="1369" t="n"/>
      <c r="BK263" s="1370" t="n"/>
      <c r="BL263" s="1370" t="n"/>
      <c r="BM263" s="1370" t="n"/>
      <c r="BN263" s="1370" t="n"/>
      <c r="BO263" s="1371" t="n"/>
      <c r="BP263" s="1370" t="n"/>
      <c r="BQ263" s="1370" t="n"/>
      <c r="BR263" s="1370" t="n"/>
      <c r="BS263" s="1370" t="n"/>
      <c r="BT263" s="1369" t="n"/>
      <c r="BU263" s="1370" t="n"/>
      <c r="BV263" s="1370" t="n"/>
      <c r="BW263" s="1370" t="n"/>
      <c r="BX263" s="1370" t="n"/>
      <c r="BY263" s="1369" t="n"/>
      <c r="BZ263" s="1369" t="n"/>
      <c r="CA263" s="1369" t="n"/>
      <c r="CB263" s="1369" t="n"/>
      <c r="CC263" s="1294" t="n"/>
    </row>
    <row r="264" hidden="1" outlineLevel="1" ht="14.4" customFormat="1" customHeight="1" s="1290">
      <c r="A264" s="1401" t="inlineStr">
        <is>
          <t>Computer revenue contribution, %</t>
        </is>
      </c>
      <c r="B264" s="1368" t="n"/>
      <c r="C264" s="1405" t="n">
        <v>0.2839</v>
      </c>
      <c r="D264" s="1405" t="n">
        <v>0.2728</v>
      </c>
      <c r="E264" s="1405" t="n">
        <v>0.2228</v>
      </c>
      <c r="F264" s="1405" t="n">
        <v>0.19</v>
      </c>
      <c r="G264" s="1405" t="n">
        <v>0.15</v>
      </c>
      <c r="H264" s="1402" t="n">
        <v>0.13</v>
      </c>
      <c r="I264" s="1402" t="n">
        <v>0.11</v>
      </c>
      <c r="J264" s="1402" t="n">
        <v>0.09</v>
      </c>
      <c r="K264" s="1402" t="n">
        <v>0.09</v>
      </c>
      <c r="L264" s="1403">
        <f>L270/L$272</f>
        <v/>
      </c>
      <c r="M264" s="1402" t="n">
        <v>0.08</v>
      </c>
      <c r="N264" s="1402" t="n">
        <v>0.07000000000000001</v>
      </c>
      <c r="O264" s="1402" t="n">
        <v>0.08</v>
      </c>
      <c r="P264" s="1402" t="n">
        <v>0.09</v>
      </c>
      <c r="Q264" s="1403">
        <f>Q270/Q$272</f>
        <v/>
      </c>
      <c r="R264" s="1402" t="n">
        <v>0.08</v>
      </c>
      <c r="S264" s="1402" t="n">
        <v>0.08</v>
      </c>
      <c r="T264" s="1402" t="n">
        <v>0.08</v>
      </c>
      <c r="U264" s="1402" t="n">
        <v>0.08</v>
      </c>
      <c r="V264" s="1403">
        <f>V270/V$272</f>
        <v/>
      </c>
      <c r="W264" s="1402" t="n">
        <v>0.09</v>
      </c>
      <c r="X264" s="1402" t="n">
        <v>0.08</v>
      </c>
      <c r="Y264" s="1402" t="n">
        <v>0.1</v>
      </c>
      <c r="Z264" s="1402" t="n">
        <v>0.11</v>
      </c>
      <c r="AA264" s="1405" t="n">
        <v>0.09</v>
      </c>
      <c r="AB264" s="1294">
        <f>AB270/AB$272</f>
        <v/>
      </c>
      <c r="AC264" s="1294">
        <f>AC270/AC$272</f>
        <v/>
      </c>
      <c r="AD264" s="1294">
        <f>AD270/AD$272</f>
        <v/>
      </c>
      <c r="AE264" s="1294">
        <f>AE270/AE$272</f>
        <v/>
      </c>
      <c r="AF264" s="1403">
        <f>AF270/AF$272</f>
        <v/>
      </c>
      <c r="AG264" s="1402" t="n">
        <v>0.1</v>
      </c>
      <c r="AH264" s="1370" t="n"/>
      <c r="AI264" s="1370" t="n"/>
      <c r="AJ264" s="1370" t="n"/>
      <c r="AK264" s="1369" t="n"/>
      <c r="AL264" s="1370" t="n"/>
      <c r="AM264" s="1370" t="n"/>
      <c r="AN264" s="1370" t="n"/>
      <c r="AO264" s="1370" t="n"/>
      <c r="AP264" s="1369" t="n"/>
      <c r="AQ264" s="1370" t="n"/>
      <c r="AR264" s="1370" t="n"/>
      <c r="AS264" s="1370" t="n"/>
      <c r="AT264" s="1370" t="n"/>
      <c r="AU264" s="1369" t="n"/>
      <c r="AV264" s="1370" t="n"/>
      <c r="AW264" s="1370" t="n"/>
      <c r="AX264" s="1370" t="n"/>
      <c r="AY264" s="1370" t="n"/>
      <c r="AZ264" s="1369" t="n"/>
      <c r="BA264" s="1370" t="n"/>
      <c r="BB264" s="1370" t="n"/>
      <c r="BC264" s="1370" t="n"/>
      <c r="BD264" s="1370" t="n"/>
      <c r="BE264" s="1369" t="n"/>
      <c r="BF264" s="1370" t="n"/>
      <c r="BG264" s="1370" t="n"/>
      <c r="BH264" s="1370" t="n"/>
      <c r="BI264" s="1370" t="n"/>
      <c r="BJ264" s="1369" t="n"/>
      <c r="BK264" s="1370" t="n"/>
      <c r="BL264" s="1370" t="n"/>
      <c r="BM264" s="1370" t="n"/>
      <c r="BN264" s="1370" t="n"/>
      <c r="BO264" s="1371" t="n"/>
      <c r="BP264" s="1370" t="n"/>
      <c r="BQ264" s="1370" t="n"/>
      <c r="BR264" s="1370" t="n"/>
      <c r="BS264" s="1370" t="n"/>
      <c r="BT264" s="1369" t="n"/>
      <c r="BU264" s="1370" t="n"/>
      <c r="BV264" s="1370" t="n"/>
      <c r="BW264" s="1370" t="n"/>
      <c r="BX264" s="1370" t="n"/>
      <c r="BY264" s="1369" t="n"/>
      <c r="BZ264" s="1369" t="n"/>
      <c r="CA264" s="1369" t="n"/>
      <c r="CB264" s="1369" t="n"/>
      <c r="CC264" s="1294" t="n"/>
    </row>
    <row r="265" hidden="1" outlineLevel="1" ht="14.4" customFormat="1" customHeight="1" s="1290">
      <c r="A265" s="1415" t="inlineStr">
        <is>
          <t>Consumer revenue contribution, %</t>
        </is>
      </c>
      <c r="B265" s="1408" t="n"/>
      <c r="C265" s="1416" t="n">
        <v>0.1597</v>
      </c>
      <c r="D265" s="1416" t="n">
        <v>0.1346</v>
      </c>
      <c r="E265" s="1416" t="n">
        <v>0.1026</v>
      </c>
      <c r="F265" s="1416" t="n">
        <v>0.09</v>
      </c>
      <c r="G265" s="1416" t="n">
        <v>0.1</v>
      </c>
      <c r="H265" s="1413" t="n">
        <v>0.11</v>
      </c>
      <c r="I265" s="1413" t="n">
        <v>0.12</v>
      </c>
      <c r="J265" s="1413" t="n">
        <v>0.1</v>
      </c>
      <c r="K265" s="1413" t="n">
        <v>0.07000000000000001</v>
      </c>
      <c r="L265" s="1412">
        <f>L271/L$272</f>
        <v/>
      </c>
      <c r="M265" s="1413" t="n">
        <v>0.1</v>
      </c>
      <c r="N265" s="1413" t="n">
        <v>0.08</v>
      </c>
      <c r="O265" s="1413" t="n">
        <v>0.08</v>
      </c>
      <c r="P265" s="1413" t="n">
        <v>0.06</v>
      </c>
      <c r="Q265" s="1412">
        <f>Q271/Q$272</f>
        <v/>
      </c>
      <c r="R265" s="1413" t="n">
        <v>0.07000000000000001</v>
      </c>
      <c r="S265" s="1413" t="n">
        <v>0.12</v>
      </c>
      <c r="T265" s="1413" t="n">
        <v>0.11</v>
      </c>
      <c r="U265" s="1413" t="n">
        <v>0.06</v>
      </c>
      <c r="V265" s="1412">
        <f>V271/V$272</f>
        <v/>
      </c>
      <c r="W265" s="1413" t="n">
        <v>0.09</v>
      </c>
      <c r="X265" s="1413" t="n">
        <v>0.09</v>
      </c>
      <c r="Y265" s="1413" t="n">
        <v>0.09</v>
      </c>
      <c r="Z265" s="1413" t="n">
        <v>0.05</v>
      </c>
      <c r="AA265" s="1416" t="n">
        <v>0.09</v>
      </c>
      <c r="AB265" s="1411">
        <f>AB271/AB$272</f>
        <v/>
      </c>
      <c r="AC265" s="1411">
        <f>AC271/AC$272</f>
        <v/>
      </c>
      <c r="AD265" s="1411">
        <f>AD271/AD$272</f>
        <v/>
      </c>
      <c r="AE265" s="1411">
        <f>AE271/AE$272</f>
        <v/>
      </c>
      <c r="AF265" s="1412">
        <f>AF271/AF$272</f>
        <v/>
      </c>
      <c r="AG265" s="1413" t="n">
        <v>0.05</v>
      </c>
      <c r="AH265" s="1410" t="n"/>
      <c r="AI265" s="1410" t="n"/>
      <c r="AJ265" s="1410" t="n"/>
      <c r="AK265" s="1409" t="n"/>
      <c r="AL265" s="1410" t="n"/>
      <c r="AM265" s="1410" t="n"/>
      <c r="AN265" s="1410" t="n"/>
      <c r="AO265" s="1410" t="n"/>
      <c r="AP265" s="1409" t="n"/>
      <c r="AQ265" s="1410" t="n"/>
      <c r="AR265" s="1410" t="n"/>
      <c r="AS265" s="1410" t="n"/>
      <c r="AT265" s="1410" t="n"/>
      <c r="AU265" s="1409" t="n"/>
      <c r="AV265" s="1410" t="n"/>
      <c r="AW265" s="1410" t="n"/>
      <c r="AX265" s="1410" t="n"/>
      <c r="AY265" s="1410" t="n"/>
      <c r="AZ265" s="1409" t="n"/>
      <c r="BA265" s="1410" t="n"/>
      <c r="BB265" s="1410" t="n"/>
      <c r="BC265" s="1410" t="n"/>
      <c r="BD265" s="1410" t="n"/>
      <c r="BE265" s="1409" t="n"/>
      <c r="BF265" s="1410" t="n"/>
      <c r="BG265" s="1410" t="n"/>
      <c r="BH265" s="1410" t="n"/>
      <c r="BI265" s="1410" t="n"/>
      <c r="BJ265" s="1409" t="n"/>
      <c r="BK265" s="1410" t="n"/>
      <c r="BL265" s="1410" t="n"/>
      <c r="BM265" s="1410" t="n"/>
      <c r="BN265" s="1410" t="n"/>
      <c r="BO265" s="1461" t="n"/>
      <c r="BP265" s="1410" t="n"/>
      <c r="BQ265" s="1410" t="n"/>
      <c r="BR265" s="1410" t="n"/>
      <c r="BS265" s="1410" t="n"/>
      <c r="BT265" s="1409" t="n"/>
      <c r="BU265" s="1410" t="n"/>
      <c r="BV265" s="1410" t="n"/>
      <c r="BW265" s="1410" t="n"/>
      <c r="BX265" s="1410" t="n"/>
      <c r="BY265" s="1409" t="n"/>
      <c r="BZ265" s="1409" t="n"/>
      <c r="CA265" s="1409" t="n"/>
      <c r="CB265" s="1409" t="n"/>
      <c r="CC265" s="1294" t="n"/>
    </row>
    <row r="266" hidden="1" outlineLevel="1" ht="14.4" customFormat="1" customHeight="1" s="1350">
      <c r="A266" s="1417" t="inlineStr">
        <is>
          <t>Total Revenue contribution, %</t>
        </is>
      </c>
      <c r="B266" s="1418" t="n"/>
      <c r="C266" s="1419">
        <f>SUM(C262:C265)</f>
        <v/>
      </c>
      <c r="D266" s="1419">
        <f>SUM(D262:D265)</f>
        <v/>
      </c>
      <c r="E266" s="1419">
        <f>SUM(E262:E265)</f>
        <v/>
      </c>
      <c r="F266" s="1419">
        <f>SUM(F262:F265)</f>
        <v/>
      </c>
      <c r="G266" s="1419">
        <f>SUM(G262:G265)</f>
        <v/>
      </c>
      <c r="H266" s="1420">
        <f>SUM(H262:H265)</f>
        <v/>
      </c>
      <c r="I266" s="1420">
        <f>SUM(I262:I265)</f>
        <v/>
      </c>
      <c r="J266" s="1420">
        <f>SUM(J262:J265)</f>
        <v/>
      </c>
      <c r="K266" s="1420">
        <f>SUM(K262:K265)</f>
        <v/>
      </c>
      <c r="L266" s="1419">
        <f>SUM(L262:L265)</f>
        <v/>
      </c>
      <c r="M266" s="1420">
        <f>SUM(M262:M265)</f>
        <v/>
      </c>
      <c r="N266" s="1420">
        <f>SUM(N262:N265)</f>
        <v/>
      </c>
      <c r="O266" s="1420">
        <f>SUM(O262:O265)</f>
        <v/>
      </c>
      <c r="P266" s="1420">
        <f>SUM(P262:P265)</f>
        <v/>
      </c>
      <c r="Q266" s="1419">
        <f>SUM(Q262:Q265)</f>
        <v/>
      </c>
      <c r="R266" s="1420">
        <f>SUM(R262:R265)</f>
        <v/>
      </c>
      <c r="S266" s="1420">
        <f>SUM(S262:S265)</f>
        <v/>
      </c>
      <c r="T266" s="1420">
        <f>SUM(T262:T265)</f>
        <v/>
      </c>
      <c r="U266" s="1420">
        <f>SUM(U262:U265)</f>
        <v/>
      </c>
      <c r="V266" s="1419">
        <f>SUM(V262:V265)</f>
        <v/>
      </c>
      <c r="W266" s="1420">
        <f>SUM(W262:W265)</f>
        <v/>
      </c>
      <c r="X266" s="1420">
        <f>SUM(X262:X265)</f>
        <v/>
      </c>
      <c r="Y266" s="1420">
        <f>SUM(Y262:Y265)</f>
        <v/>
      </c>
      <c r="Z266" s="1420">
        <f>SUM(Z262:Z265)</f>
        <v/>
      </c>
      <c r="AA266" s="1419">
        <f>SUM(AA262:AA265)</f>
        <v/>
      </c>
      <c r="AB266" s="1420">
        <f>SUM(AB262:AB265)</f>
        <v/>
      </c>
      <c r="AC266" s="1420">
        <f>SUM(AC262:AC265)</f>
        <v/>
      </c>
      <c r="AD266" s="1420">
        <f>SUM(AD262:AD265)</f>
        <v/>
      </c>
      <c r="AE266" s="1420">
        <f>SUM(AE262:AE265)</f>
        <v/>
      </c>
      <c r="AF266" s="1419">
        <f>SUM(AF262:AF265)</f>
        <v/>
      </c>
      <c r="AG266" s="1420">
        <f>SUM(AG262:AG265)</f>
        <v/>
      </c>
      <c r="AH266" s="1421" t="n"/>
      <c r="AI266" s="1421" t="n"/>
      <c r="AJ266" s="1421" t="n"/>
      <c r="AK266" s="1423" t="n"/>
      <c r="AL266" s="1421" t="n"/>
      <c r="AM266" s="1421" t="n"/>
      <c r="AN266" s="1421" t="n"/>
      <c r="AO266" s="1421" t="n"/>
      <c r="AP266" s="1423" t="n"/>
      <c r="AQ266" s="1421" t="n"/>
      <c r="AR266" s="1421" t="n"/>
      <c r="AS266" s="1421" t="n"/>
      <c r="AT266" s="1421" t="n"/>
      <c r="AU266" s="1423" t="n"/>
      <c r="AV266" s="1421" t="n"/>
      <c r="AW266" s="1421" t="n"/>
      <c r="AX266" s="1421" t="n"/>
      <c r="AY266" s="1421" t="n"/>
      <c r="AZ266" s="1423" t="n"/>
      <c r="BA266" s="1421" t="n"/>
      <c r="BB266" s="1421" t="n"/>
      <c r="BC266" s="1421" t="n"/>
      <c r="BD266" s="1421" t="n"/>
      <c r="BE266" s="1423" t="n"/>
      <c r="BF266" s="1421" t="n"/>
      <c r="BG266" s="1421" t="n"/>
      <c r="BH266" s="1421" t="n"/>
      <c r="BI266" s="1421" t="n"/>
      <c r="BJ266" s="1423" t="n"/>
      <c r="BK266" s="1421" t="n"/>
      <c r="BL266" s="1421" t="n"/>
      <c r="BM266" s="1421" t="n"/>
      <c r="BN266" s="1421" t="n"/>
      <c r="BO266" s="1462" t="n"/>
      <c r="BP266" s="1421" t="n"/>
      <c r="BQ266" s="1421" t="n"/>
      <c r="BR266" s="1421" t="n"/>
      <c r="BS266" s="1421" t="n"/>
      <c r="BT266" s="1423" t="n"/>
      <c r="BU266" s="1421" t="n"/>
      <c r="BV266" s="1421" t="n"/>
      <c r="BW266" s="1421" t="n"/>
      <c r="BX266" s="1421" t="n"/>
      <c r="BY266" s="1423" t="n"/>
      <c r="BZ266" s="1423" t="n"/>
      <c r="CA266" s="1423" t="n"/>
      <c r="CB266" s="1423" t="n"/>
      <c r="CC266" s="1356" t="n"/>
    </row>
    <row r="267" hidden="1" outlineLevel="1" ht="14.4" customFormat="1" customHeight="1" s="1323">
      <c r="A267" s="1344" t="n"/>
      <c r="B267" s="1361" t="n"/>
      <c r="C267" s="1345" t="n"/>
      <c r="D267" s="1345" t="n"/>
      <c r="E267" s="1345" t="n"/>
      <c r="F267" s="1345" t="n"/>
      <c r="G267" s="1345" t="n"/>
      <c r="H267" s="1346" t="n"/>
      <c r="I267" s="1346" t="n"/>
      <c r="J267" s="1346" t="n"/>
      <c r="K267" s="1346" t="n"/>
      <c r="L267" s="1345" t="n"/>
      <c r="M267" s="1346" t="n"/>
      <c r="N267" s="1346" t="n"/>
      <c r="O267" s="1346" t="n"/>
      <c r="P267" s="1346" t="n"/>
      <c r="Q267" s="1345" t="n"/>
      <c r="R267" s="1346" t="n"/>
      <c r="S267" s="1346" t="n"/>
      <c r="T267" s="1346" t="n"/>
      <c r="U267" s="1346" t="n"/>
      <c r="V267" s="1345" t="n"/>
      <c r="W267" s="1346" t="n"/>
      <c r="X267" s="1346" t="n"/>
      <c r="Y267" s="1346" t="n"/>
      <c r="Z267" s="1346" t="n"/>
      <c r="AA267" s="1345" t="n"/>
      <c r="AB267" s="1346" t="n"/>
      <c r="AC267" s="1346" t="n"/>
      <c r="AD267" s="1346" t="n"/>
      <c r="AE267" s="1346" t="n"/>
      <c r="AF267" s="1297" t="n"/>
      <c r="AG267" s="1346" t="n"/>
      <c r="AH267" s="1346" t="n"/>
      <c r="AI267" s="1346" t="n"/>
      <c r="AJ267" s="1346" t="n"/>
      <c r="AK267" s="1297" t="n"/>
      <c r="AL267" s="1346" t="n"/>
      <c r="AM267" s="1346" t="n"/>
      <c r="AN267" s="1346" t="n"/>
      <c r="AO267" s="1346" t="n"/>
      <c r="AP267" s="1297" t="n"/>
      <c r="AQ267" s="1346" t="n"/>
      <c r="AR267" s="1346" t="n"/>
      <c r="AS267" s="1346" t="n"/>
      <c r="AT267" s="1346" t="n"/>
      <c r="AU267" s="1297" t="n"/>
      <c r="AV267" s="1346" t="n"/>
      <c r="AW267" s="1346" t="n"/>
      <c r="AX267" s="1346" t="n"/>
      <c r="AY267" s="1346" t="n"/>
      <c r="AZ267" s="1297" t="n"/>
      <c r="BA267" s="1346" t="n"/>
      <c r="BB267" s="1346" t="n"/>
      <c r="BC267" s="1346" t="n"/>
      <c r="BD267" s="1346" t="n"/>
      <c r="BE267" s="1297" t="n"/>
      <c r="BF267" s="1346" t="n"/>
      <c r="BG267" s="1346" t="n"/>
      <c r="BH267" s="1346" t="n"/>
      <c r="BI267" s="1346" t="n"/>
      <c r="BJ267" s="1297" t="n"/>
      <c r="BK267" s="1346" t="n"/>
      <c r="BL267" s="1346" t="n"/>
      <c r="BM267" s="1346" t="n"/>
      <c r="BN267" s="1346" t="n"/>
      <c r="BO267" s="1382" t="n"/>
      <c r="BP267" s="1346" t="n"/>
      <c r="BQ267" s="1346" t="n"/>
      <c r="BR267" s="1346" t="n"/>
      <c r="BS267" s="1346" t="n"/>
      <c r="BT267" s="1345" t="n"/>
      <c r="BU267" s="1346" t="n"/>
      <c r="BV267" s="1346" t="n"/>
      <c r="BW267" s="1346" t="n"/>
      <c r="BX267" s="1346" t="n"/>
      <c r="BY267" s="1345" t="n"/>
      <c r="BZ267" s="1345" t="n"/>
      <c r="CA267" s="1345" t="n"/>
      <c r="CB267" s="1345" t="n"/>
      <c r="CC267" s="1331" t="n"/>
    </row>
    <row r="268" hidden="1" outlineLevel="1" ht="14.4" customFormat="1" customHeight="1" s="1275">
      <c r="A268" s="1295" t="inlineStr">
        <is>
          <t>Communication revenue, mm</t>
        </is>
      </c>
      <c r="B268" s="1296" t="n"/>
      <c r="C268" s="1446">
        <f>C262*C$322</f>
        <v/>
      </c>
      <c r="D268" s="1446">
        <f>D262*D$322</f>
        <v/>
      </c>
      <c r="E268" s="1446">
        <f>E262*E$322</f>
        <v/>
      </c>
      <c r="F268" s="1446">
        <f>F262*F$322</f>
        <v/>
      </c>
      <c r="G268" s="1446">
        <f>G262*G$322</f>
        <v/>
      </c>
      <c r="H268" s="1280">
        <f>H262*H$322</f>
        <v/>
      </c>
      <c r="I268" s="1280">
        <f>I262*I$322</f>
        <v/>
      </c>
      <c r="J268" s="1280">
        <f>J262*J$322</f>
        <v/>
      </c>
      <c r="K268" s="1280">
        <f>K262*K$322</f>
        <v/>
      </c>
      <c r="L268" s="1446">
        <f>SUM(H268,I268,J268,K268)</f>
        <v/>
      </c>
      <c r="M268" s="1280">
        <f>M262*M$322</f>
        <v/>
      </c>
      <c r="N268" s="1280">
        <f>N262*N$322</f>
        <v/>
      </c>
      <c r="O268" s="1280">
        <f>O262*O$322</f>
        <v/>
      </c>
      <c r="P268" s="1280">
        <f>P262*P$322</f>
        <v/>
      </c>
      <c r="Q268" s="1446">
        <f>SUM(M268,N268,O268,P268)</f>
        <v/>
      </c>
      <c r="R268" s="1280">
        <f>R262*R$322</f>
        <v/>
      </c>
      <c r="S268" s="1280">
        <f>S262*S$322</f>
        <v/>
      </c>
      <c r="T268" s="1280">
        <f>T262*T$322</f>
        <v/>
      </c>
      <c r="U268" s="1280">
        <f>U262*U$322</f>
        <v/>
      </c>
      <c r="V268" s="1446">
        <f>SUM(R268,S268,T268,U268)</f>
        <v/>
      </c>
      <c r="W268" s="1280">
        <f>W262*W$322</f>
        <v/>
      </c>
      <c r="X268" s="1280">
        <f>X262*X$322</f>
        <v/>
      </c>
      <c r="Y268" s="1280">
        <f>Y262*Y$322</f>
        <v/>
      </c>
      <c r="Z268" s="1280">
        <f>Z262*Z$322</f>
        <v/>
      </c>
      <c r="AA268" s="1446">
        <f>AA262*AA$322</f>
        <v/>
      </c>
      <c r="AB268" s="1298" t="n">
        <v>136894.555</v>
      </c>
      <c r="AC268" s="1298" t="n">
        <v>111971.421</v>
      </c>
      <c r="AD268" s="1298" t="n">
        <v>146199.392</v>
      </c>
      <c r="AE268" s="1280">
        <f>AF268-SUM(AB268,AC268,AD268)</f>
        <v/>
      </c>
      <c r="AF268" s="1299" t="n">
        <v>578923.664</v>
      </c>
      <c r="AG268" s="1280">
        <f>AG262*AG$322</f>
        <v/>
      </c>
      <c r="AH268" s="1277" t="n"/>
      <c r="AI268" s="1277" t="n"/>
      <c r="AJ268" s="1277" t="n"/>
      <c r="AK268" s="1297" t="n"/>
      <c r="AL268" s="1277" t="n"/>
      <c r="AM268" s="1277" t="n"/>
      <c r="AN268" s="1277" t="n"/>
      <c r="AO268" s="1277" t="n"/>
      <c r="AP268" s="1297" t="n"/>
      <c r="AQ268" s="1277" t="n"/>
      <c r="AR268" s="1277" t="n"/>
      <c r="AS268" s="1277" t="n"/>
      <c r="AT268" s="1277" t="n"/>
      <c r="AU268" s="1297" t="n"/>
      <c r="AV268" s="1277" t="n"/>
      <c r="AW268" s="1277" t="n"/>
      <c r="AX268" s="1277" t="n"/>
      <c r="AY268" s="1277" t="n"/>
      <c r="AZ268" s="1297" t="n"/>
      <c r="BA268" s="1277" t="n"/>
      <c r="BB268" s="1277" t="n"/>
      <c r="BC268" s="1277" t="n"/>
      <c r="BD268" s="1277" t="n"/>
      <c r="BE268" s="1297" t="n"/>
      <c r="BF268" s="1277" t="n"/>
      <c r="BG268" s="1277" t="n"/>
      <c r="BH268" s="1277" t="n"/>
      <c r="BI268" s="1277" t="n"/>
      <c r="BJ268" s="1297" t="n"/>
      <c r="BK268" s="1277" t="n"/>
      <c r="BL268" s="1277" t="n"/>
      <c r="BM268" s="1277" t="n"/>
      <c r="BN268" s="1277" t="n"/>
      <c r="BO268" s="1382" t="n"/>
      <c r="BP268" s="1301" t="n"/>
      <c r="BQ268" s="1277" t="n"/>
      <c r="BR268" s="1277" t="n"/>
      <c r="BS268" s="1277" t="n"/>
      <c r="BT268" s="1297" t="n"/>
      <c r="BU268" s="1301" t="n"/>
      <c r="BV268" s="1277" t="n"/>
      <c r="BW268" s="1277" t="n"/>
      <c r="BX268" s="1277" t="n"/>
      <c r="BY268" s="1297" t="n"/>
      <c r="BZ268" s="1297" t="n"/>
      <c r="CA268" s="1297" t="n"/>
      <c r="CB268" s="1297" t="n"/>
      <c r="CC268" s="1280" t="n"/>
    </row>
    <row r="269" hidden="1" outlineLevel="1" ht="14.4" customFormat="1" customHeight="1" s="1275">
      <c r="A269" s="1295" t="inlineStr">
        <is>
          <t>Industrial/standard revenue, mm</t>
        </is>
      </c>
      <c r="B269" s="1296" t="n"/>
      <c r="C269" s="1446">
        <f>C263*C$322</f>
        <v/>
      </c>
      <c r="D269" s="1446">
        <f>D263*D$322</f>
        <v/>
      </c>
      <c r="E269" s="1446">
        <f>E263*E$322</f>
        <v/>
      </c>
      <c r="F269" s="1446">
        <f>F263*F$322</f>
        <v/>
      </c>
      <c r="G269" s="1446">
        <f>G263*G$322</f>
        <v/>
      </c>
      <c r="H269" s="1280">
        <f>H263*H$322</f>
        <v/>
      </c>
      <c r="I269" s="1280">
        <f>I263*I$322</f>
        <v/>
      </c>
      <c r="J269" s="1280">
        <f>J263*J$322</f>
        <v/>
      </c>
      <c r="K269" s="1280">
        <f>K263*K$322</f>
        <v/>
      </c>
      <c r="L269" s="1446">
        <f>SUM(H269,I269,J269,K269)</f>
        <v/>
      </c>
      <c r="M269" s="1280">
        <f>M263*M$322</f>
        <v/>
      </c>
      <c r="N269" s="1280">
        <f>N263*N$322</f>
        <v/>
      </c>
      <c r="O269" s="1280">
        <f>O263*O$322</f>
        <v/>
      </c>
      <c r="P269" s="1280">
        <f>P263*P$322</f>
        <v/>
      </c>
      <c r="Q269" s="1446">
        <f>SUM(M269,N269,O269,P269)</f>
        <v/>
      </c>
      <c r="R269" s="1280">
        <f>R263*R$322</f>
        <v/>
      </c>
      <c r="S269" s="1280">
        <f>S263*S$322</f>
        <v/>
      </c>
      <c r="T269" s="1280">
        <f>T263*T$322</f>
        <v/>
      </c>
      <c r="U269" s="1280">
        <f>U263*U$322</f>
        <v/>
      </c>
      <c r="V269" s="1446">
        <f>SUM(R269,S269,T269,U269)</f>
        <v/>
      </c>
      <c r="W269" s="1280">
        <f>W263*W$322</f>
        <v/>
      </c>
      <c r="X269" s="1280">
        <f>X263*X$322</f>
        <v/>
      </c>
      <c r="Y269" s="1280">
        <f>Y263*Y$322</f>
        <v/>
      </c>
      <c r="Z269" s="1280">
        <f>Z263*Z$322</f>
        <v/>
      </c>
      <c r="AA269" s="1446">
        <f>AA263*AA$322</f>
        <v/>
      </c>
      <c r="AB269" s="1298" t="n">
        <v>57749.827</v>
      </c>
      <c r="AC269" s="1298" t="n">
        <v>54854.493</v>
      </c>
      <c r="AD269" s="1298" t="n">
        <v>61684.59</v>
      </c>
      <c r="AE269" s="1280">
        <f>AF269-SUM(AB269,AC269,AD269)</f>
        <v/>
      </c>
      <c r="AF269" s="1299" t="n">
        <v>234153.36</v>
      </c>
      <c r="AG269" s="1280">
        <f>AG263*AG$322</f>
        <v/>
      </c>
      <c r="AH269" s="1277" t="n"/>
      <c r="AI269" s="1277" t="n"/>
      <c r="AJ269" s="1277" t="n"/>
      <c r="AK269" s="1297" t="n"/>
      <c r="AL269" s="1277" t="n"/>
      <c r="AM269" s="1277" t="n"/>
      <c r="AN269" s="1277" t="n"/>
      <c r="AO269" s="1277" t="n"/>
      <c r="AP269" s="1297" t="n"/>
      <c r="AQ269" s="1277" t="n"/>
      <c r="AR269" s="1277" t="n"/>
      <c r="AS269" s="1277" t="n"/>
      <c r="AT269" s="1277" t="n"/>
      <c r="AU269" s="1297" t="n"/>
      <c r="AV269" s="1277" t="n"/>
      <c r="AW269" s="1277" t="n"/>
      <c r="AX269" s="1277" t="n"/>
      <c r="AY269" s="1277" t="n"/>
      <c r="AZ269" s="1297" t="n"/>
      <c r="BA269" s="1277" t="n"/>
      <c r="BB269" s="1277" t="n"/>
      <c r="BC269" s="1277" t="n"/>
      <c r="BD269" s="1277" t="n"/>
      <c r="BE269" s="1297" t="n"/>
      <c r="BF269" s="1277" t="n"/>
      <c r="BG269" s="1277" t="n"/>
      <c r="BH269" s="1277" t="n"/>
      <c r="BI269" s="1277" t="n"/>
      <c r="BJ269" s="1297" t="n"/>
      <c r="BK269" s="1277" t="n"/>
      <c r="BL269" s="1277" t="n"/>
      <c r="BM269" s="1277" t="n"/>
      <c r="BN269" s="1277" t="n"/>
      <c r="BO269" s="1382" t="n"/>
      <c r="BP269" s="1277" t="n"/>
      <c r="BQ269" s="1277" t="n"/>
      <c r="BR269" s="1277" t="n"/>
      <c r="BS269" s="1277" t="n"/>
      <c r="BT269" s="1297" t="n"/>
      <c r="BU269" s="1277" t="n"/>
      <c r="BV269" s="1277" t="n"/>
      <c r="BW269" s="1277" t="n"/>
      <c r="BX269" s="1277" t="n"/>
      <c r="BY269" s="1297" t="n"/>
      <c r="BZ269" s="1297" t="n"/>
      <c r="CA269" s="1297" t="n"/>
      <c r="CB269" s="1297" t="n"/>
      <c r="CC269" s="1280" t="n"/>
    </row>
    <row r="270" hidden="1" outlineLevel="1" ht="14.4" customFormat="1" customHeight="1" s="1275">
      <c r="A270" s="1295" t="inlineStr">
        <is>
          <t>Computer revenue, mm</t>
        </is>
      </c>
      <c r="B270" s="1296" t="n"/>
      <c r="C270" s="1446">
        <f>C264*C$322</f>
        <v/>
      </c>
      <c r="D270" s="1446">
        <f>D264*D$322</f>
        <v/>
      </c>
      <c r="E270" s="1446">
        <f>E264*E$322</f>
        <v/>
      </c>
      <c r="F270" s="1446">
        <f>F264*F$322</f>
        <v/>
      </c>
      <c r="G270" s="1446">
        <f>G264*G$322</f>
        <v/>
      </c>
      <c r="H270" s="1280">
        <f>H264*H$322</f>
        <v/>
      </c>
      <c r="I270" s="1280">
        <f>I264*I$322</f>
        <v/>
      </c>
      <c r="J270" s="1280">
        <f>J264*J$322</f>
        <v/>
      </c>
      <c r="K270" s="1280">
        <f>K264*K$322</f>
        <v/>
      </c>
      <c r="L270" s="1446">
        <f>SUM(H270,I270,J270,K270)</f>
        <v/>
      </c>
      <c r="M270" s="1280">
        <f>M264*M$322</f>
        <v/>
      </c>
      <c r="N270" s="1280">
        <f>N264*N$322</f>
        <v/>
      </c>
      <c r="O270" s="1280">
        <f>O264*O$322</f>
        <v/>
      </c>
      <c r="P270" s="1280">
        <f>P264*P$322</f>
        <v/>
      </c>
      <c r="Q270" s="1446">
        <f>SUM(M270,N270,O270,P270)</f>
        <v/>
      </c>
      <c r="R270" s="1280">
        <f>R264*R$322</f>
        <v/>
      </c>
      <c r="S270" s="1280">
        <f>S264*S$322</f>
        <v/>
      </c>
      <c r="T270" s="1280">
        <f>T264*T$322</f>
        <v/>
      </c>
      <c r="U270" s="1280">
        <f>U264*U$322</f>
        <v/>
      </c>
      <c r="V270" s="1446">
        <f>SUM(R270,S270,T270,U270)</f>
        <v/>
      </c>
      <c r="W270" s="1280">
        <f>W264*W$322</f>
        <v/>
      </c>
      <c r="X270" s="1280">
        <f>X264*X$322</f>
        <v/>
      </c>
      <c r="Y270" s="1280">
        <f>Y264*Y$322</f>
        <v/>
      </c>
      <c r="Z270" s="1280">
        <f>Z264*Z$322</f>
        <v/>
      </c>
      <c r="AA270" s="1446">
        <f>AA264*AA$322</f>
        <v/>
      </c>
      <c r="AB270" s="1298" t="n">
        <v>37589.134</v>
      </c>
      <c r="AC270" s="1298" t="n">
        <v>47925.899</v>
      </c>
      <c r="AD270" s="1298" t="n">
        <v>33127.986</v>
      </c>
      <c r="AE270" s="1280">
        <f>AF270-SUM(AB270,AC270,AD270)</f>
        <v/>
      </c>
      <c r="AF270" s="1299" t="n">
        <v>144614.153</v>
      </c>
      <c r="AG270" s="1280">
        <f>AG264*AG$322</f>
        <v/>
      </c>
      <c r="AH270" s="1277" t="n"/>
      <c r="AI270" s="1277" t="n"/>
      <c r="AJ270" s="1277" t="n"/>
      <c r="AK270" s="1297" t="n"/>
      <c r="AL270" s="1277" t="n"/>
      <c r="AM270" s="1277" t="n"/>
      <c r="AN270" s="1277" t="n"/>
      <c r="AO270" s="1277" t="n"/>
      <c r="AP270" s="1297" t="n"/>
      <c r="AQ270" s="1277" t="n"/>
      <c r="AR270" s="1277" t="n"/>
      <c r="AS270" s="1277" t="n"/>
      <c r="AT270" s="1277" t="n"/>
      <c r="AU270" s="1297" t="n"/>
      <c r="AV270" s="1277" t="n"/>
      <c r="AW270" s="1277" t="n"/>
      <c r="AX270" s="1277" t="n"/>
      <c r="AY270" s="1277" t="n"/>
      <c r="AZ270" s="1297" t="n"/>
      <c r="BA270" s="1277" t="n"/>
      <c r="BB270" s="1277" t="n"/>
      <c r="BC270" s="1277" t="n"/>
      <c r="BD270" s="1277" t="n"/>
      <c r="BE270" s="1297" t="n"/>
      <c r="BF270" s="1277" t="n"/>
      <c r="BG270" s="1277" t="n"/>
      <c r="BH270" s="1277" t="n"/>
      <c r="BI270" s="1277" t="n"/>
      <c r="BJ270" s="1297" t="n"/>
      <c r="BK270" s="1277" t="n"/>
      <c r="BL270" s="1277" t="n"/>
      <c r="BM270" s="1277" t="n"/>
      <c r="BN270" s="1277" t="n"/>
      <c r="BO270" s="1382" t="n"/>
      <c r="BP270" s="1277" t="n"/>
      <c r="BQ270" s="1277" t="n"/>
      <c r="BR270" s="1277" t="n"/>
      <c r="BS270" s="1277" t="n"/>
      <c r="BT270" s="1297" t="n"/>
      <c r="BU270" s="1277" t="n"/>
      <c r="BV270" s="1277" t="n"/>
      <c r="BW270" s="1277" t="n"/>
      <c r="BX270" s="1277" t="n"/>
      <c r="BY270" s="1297" t="n"/>
      <c r="BZ270" s="1297" t="n"/>
      <c r="CA270" s="1297" t="n"/>
      <c r="CB270" s="1297" t="n"/>
      <c r="CC270" s="1280" t="n"/>
    </row>
    <row r="271" hidden="1" outlineLevel="1" ht="14.4" customFormat="1" customHeight="1" s="1275">
      <c r="A271" s="1460" t="inlineStr">
        <is>
          <t>Consumer revenue, mm</t>
        </is>
      </c>
      <c r="B271" s="1363" t="n"/>
      <c r="C271" s="1463">
        <f>C265*C$322</f>
        <v/>
      </c>
      <c r="D271" s="1463">
        <f>D265*D$322</f>
        <v/>
      </c>
      <c r="E271" s="1463">
        <f>E265*E$322</f>
        <v/>
      </c>
      <c r="F271" s="1463">
        <f>F265*F$322</f>
        <v/>
      </c>
      <c r="G271" s="1463">
        <f>G265*G$322</f>
        <v/>
      </c>
      <c r="H271" s="1464">
        <f>H265*H$322</f>
        <v/>
      </c>
      <c r="I271" s="1464">
        <f>I265*I$322</f>
        <v/>
      </c>
      <c r="J271" s="1464">
        <f>J265*J$322</f>
        <v/>
      </c>
      <c r="K271" s="1464">
        <f>K265*K$322</f>
        <v/>
      </c>
      <c r="L271" s="1463">
        <f>SUM(H271,I271,J271,K271)</f>
        <v/>
      </c>
      <c r="M271" s="1464">
        <f>M265*M$322</f>
        <v/>
      </c>
      <c r="N271" s="1464">
        <f>N265*N$322</f>
        <v/>
      </c>
      <c r="O271" s="1464">
        <f>O265*O$322</f>
        <v/>
      </c>
      <c r="P271" s="1464">
        <f>P265*P$322</f>
        <v/>
      </c>
      <c r="Q271" s="1463">
        <f>SUM(M271,N271,O271,P271)</f>
        <v/>
      </c>
      <c r="R271" s="1464">
        <f>R265*R$322</f>
        <v/>
      </c>
      <c r="S271" s="1464">
        <f>S265*S$322</f>
        <v/>
      </c>
      <c r="T271" s="1464">
        <f>T265*T$322</f>
        <v/>
      </c>
      <c r="U271" s="1464">
        <f>U265*U$322</f>
        <v/>
      </c>
      <c r="V271" s="1463">
        <f>SUM(R271,S271,T271,U271)</f>
        <v/>
      </c>
      <c r="W271" s="1464">
        <f>W265*W$322</f>
        <v/>
      </c>
      <c r="X271" s="1464">
        <f>X265*X$322</f>
        <v/>
      </c>
      <c r="Y271" s="1464">
        <f>Y265*Y$322</f>
        <v/>
      </c>
      <c r="Z271" s="1464">
        <f>Z265*Z$322</f>
        <v/>
      </c>
      <c r="AA271" s="1463">
        <f>AA265*AA$322</f>
        <v/>
      </c>
      <c r="AB271" s="1391" t="n">
        <v>15845.155</v>
      </c>
      <c r="AC271" s="1391" t="n">
        <v>18524.998</v>
      </c>
      <c r="AD271" s="1391" t="n">
        <v>19335.914</v>
      </c>
      <c r="AE271" s="1464">
        <f>AF271-SUM(AB271,AC271,AD271)</f>
        <v/>
      </c>
      <c r="AF271" s="1390" t="n">
        <v>73782.38</v>
      </c>
      <c r="AG271" s="1464">
        <f>AG265*AG$322</f>
        <v/>
      </c>
      <c r="AH271" s="1365" t="n"/>
      <c r="AI271" s="1365" t="n"/>
      <c r="AJ271" s="1365" t="n"/>
      <c r="AK271" s="1364" t="n"/>
      <c r="AL271" s="1365" t="n"/>
      <c r="AM271" s="1365" t="n"/>
      <c r="AN271" s="1365" t="n"/>
      <c r="AO271" s="1365" t="n"/>
      <c r="AP271" s="1364" t="n"/>
      <c r="AQ271" s="1365" t="n"/>
      <c r="AR271" s="1365" t="n"/>
      <c r="AS271" s="1365" t="n"/>
      <c r="AT271" s="1365" t="n"/>
      <c r="AU271" s="1364" t="n"/>
      <c r="AV271" s="1365" t="n"/>
      <c r="AW271" s="1365" t="n"/>
      <c r="AX271" s="1365" t="n"/>
      <c r="AY271" s="1365" t="n"/>
      <c r="AZ271" s="1364" t="n"/>
      <c r="BA271" s="1365" t="n"/>
      <c r="BB271" s="1365" t="n"/>
      <c r="BC271" s="1365" t="n"/>
      <c r="BD271" s="1365" t="n"/>
      <c r="BE271" s="1364" t="n"/>
      <c r="BF271" s="1365" t="n"/>
      <c r="BG271" s="1365" t="n"/>
      <c r="BH271" s="1365" t="n"/>
      <c r="BI271" s="1365" t="n"/>
      <c r="BJ271" s="1364" t="n"/>
      <c r="BK271" s="1365" t="n"/>
      <c r="BL271" s="1365" t="n"/>
      <c r="BM271" s="1365" t="n"/>
      <c r="BN271" s="1365" t="n"/>
      <c r="BO271" s="1366" t="n"/>
      <c r="BP271" s="1365" t="n"/>
      <c r="BQ271" s="1365" t="n"/>
      <c r="BR271" s="1365" t="n"/>
      <c r="BS271" s="1365" t="n"/>
      <c r="BT271" s="1364" t="n"/>
      <c r="BU271" s="1365" t="n"/>
      <c r="BV271" s="1365" t="n"/>
      <c r="BW271" s="1365" t="n"/>
      <c r="BX271" s="1365" t="n"/>
      <c r="BY271" s="1364" t="n"/>
      <c r="BZ271" s="1364" t="n"/>
      <c r="CA271" s="1364" t="n"/>
      <c r="CB271" s="1364" t="n"/>
      <c r="CC271" s="1280" t="n"/>
    </row>
    <row r="272" hidden="1" outlineLevel="1" ht="14.4" customFormat="1" customHeight="1" s="1323">
      <c r="A272" s="1324" t="inlineStr">
        <is>
          <t>Total Revenue, mm</t>
        </is>
      </c>
      <c r="B272" s="1325" t="n"/>
      <c r="C272" s="1329">
        <f>SUM(C268:C271)</f>
        <v/>
      </c>
      <c r="D272" s="1329">
        <f>SUM(D268:D271)</f>
        <v/>
      </c>
      <c r="E272" s="1329">
        <f>SUM(E268:E271)</f>
        <v/>
      </c>
      <c r="F272" s="1329">
        <f>SUM(F268:F271)</f>
        <v/>
      </c>
      <c r="G272" s="1329">
        <f>SUM(G268:G271)</f>
        <v/>
      </c>
      <c r="H272" s="1328">
        <f>SUM(H268:H271)</f>
        <v/>
      </c>
      <c r="I272" s="1328">
        <f>SUM(I268:I271)</f>
        <v/>
      </c>
      <c r="J272" s="1328">
        <f>SUM(J268:J271)</f>
        <v/>
      </c>
      <c r="K272" s="1328">
        <f>SUM(K268:K271)</f>
        <v/>
      </c>
      <c r="L272" s="1329">
        <f>SUM(L268:L271)</f>
        <v/>
      </c>
      <c r="M272" s="1328">
        <f>SUM(M268:M271)</f>
        <v/>
      </c>
      <c r="N272" s="1328">
        <f>SUM(N268:N271)</f>
        <v/>
      </c>
      <c r="O272" s="1328">
        <f>SUM(O268:O271)</f>
        <v/>
      </c>
      <c r="P272" s="1328">
        <f>SUM(P268:P271)</f>
        <v/>
      </c>
      <c r="Q272" s="1329">
        <f>SUM(Q268:Q271)</f>
        <v/>
      </c>
      <c r="R272" s="1328">
        <f>SUM(R268:R271)</f>
        <v/>
      </c>
      <c r="S272" s="1328">
        <f>SUM(S268:S271)</f>
        <v/>
      </c>
      <c r="T272" s="1328">
        <f>SUM(T268:T271)</f>
        <v/>
      </c>
      <c r="U272" s="1328">
        <f>SUM(U268:U271)</f>
        <v/>
      </c>
      <c r="V272" s="1329">
        <f>SUM(V268:V271)</f>
        <v/>
      </c>
      <c r="W272" s="1328">
        <f>SUM(W268:W271)</f>
        <v/>
      </c>
      <c r="X272" s="1328">
        <f>SUM(X268:X271)</f>
        <v/>
      </c>
      <c r="Y272" s="1328">
        <f>SUM(Y268:Y271)</f>
        <v/>
      </c>
      <c r="Z272" s="1328">
        <f>SUM(Z268:Z271)</f>
        <v/>
      </c>
      <c r="AA272" s="1329">
        <f>SUM(AA268:AA271)</f>
        <v/>
      </c>
      <c r="AB272" s="1328">
        <f>SUM(AB268:AB271)</f>
        <v/>
      </c>
      <c r="AC272" s="1328">
        <f>SUM(AC268:AC271)</f>
        <v/>
      </c>
      <c r="AD272" s="1328">
        <f>SUM(AD268:AD271)</f>
        <v/>
      </c>
      <c r="AE272" s="1328">
        <f>SUM(AE268:AE271)</f>
        <v/>
      </c>
      <c r="AF272" s="1329">
        <f>SUM(AF268:AF271)</f>
        <v/>
      </c>
      <c r="AG272" s="1328">
        <f>SUM(AG268:AG271)</f>
        <v/>
      </c>
      <c r="AH272" s="1327" t="n"/>
      <c r="AI272" s="1327" t="n"/>
      <c r="AJ272" s="1327" t="n"/>
      <c r="AK272" s="1326" t="n"/>
      <c r="AL272" s="1327" t="n"/>
      <c r="AM272" s="1327" t="n"/>
      <c r="AN272" s="1327" t="n"/>
      <c r="AO272" s="1327" t="n"/>
      <c r="AP272" s="1326" t="n"/>
      <c r="AQ272" s="1327" t="n"/>
      <c r="AR272" s="1327" t="n"/>
      <c r="AS272" s="1327" t="n"/>
      <c r="AT272" s="1327" t="n"/>
      <c r="AU272" s="1326" t="n"/>
      <c r="AV272" s="1327" t="n"/>
      <c r="AW272" s="1327" t="n"/>
      <c r="AX272" s="1327" t="n"/>
      <c r="AY272" s="1327" t="n"/>
      <c r="AZ272" s="1326" t="n"/>
      <c r="BA272" s="1327" t="n"/>
      <c r="BB272" s="1327" t="n"/>
      <c r="BC272" s="1327" t="n"/>
      <c r="BD272" s="1327" t="n"/>
      <c r="BE272" s="1326" t="n"/>
      <c r="BF272" s="1327" t="n"/>
      <c r="BG272" s="1327" t="n"/>
      <c r="BH272" s="1327" t="n"/>
      <c r="BI272" s="1327" t="n"/>
      <c r="BJ272" s="1326" t="n"/>
      <c r="BK272" s="1327" t="n"/>
      <c r="BL272" s="1327" t="n"/>
      <c r="BM272" s="1327" t="n"/>
      <c r="BN272" s="1327" t="n"/>
      <c r="BO272" s="1386" t="n"/>
      <c r="BP272" s="1327" t="n"/>
      <c r="BQ272" s="1327" t="n"/>
      <c r="BR272" s="1327" t="n"/>
      <c r="BS272" s="1327" t="n"/>
      <c r="BT272" s="1326" t="n"/>
      <c r="BU272" s="1327" t="n"/>
      <c r="BV272" s="1327" t="n"/>
      <c r="BW272" s="1327" t="n"/>
      <c r="BX272" s="1327" t="n"/>
      <c r="BY272" s="1326" t="n"/>
      <c r="BZ272" s="1326" t="n"/>
      <c r="CA272" s="1326" t="n"/>
      <c r="CB272" s="1326" t="n"/>
      <c r="CC272" s="1331" t="n"/>
    </row>
    <row r="273" hidden="1" outlineLevel="1" ht="14.4" customFormat="1" customHeight="1" s="1275">
      <c r="A273" s="1466" t="n"/>
      <c r="B273" s="1296" t="n"/>
      <c r="C273" s="1297" t="n"/>
      <c r="D273" s="1297" t="n"/>
      <c r="E273" s="1297" t="n"/>
      <c r="F273" s="1297" t="n"/>
      <c r="G273" s="1297" t="n"/>
      <c r="H273" s="1277" t="n"/>
      <c r="I273" s="1277" t="n"/>
      <c r="J273" s="1277" t="n"/>
      <c r="K273" s="1277" t="n"/>
      <c r="L273" s="1297" t="n"/>
      <c r="M273" s="1277" t="n"/>
      <c r="N273" s="1277" t="n"/>
      <c r="O273" s="1277" t="n"/>
      <c r="P273" s="1277" t="n"/>
      <c r="Q273" s="1297" t="n"/>
      <c r="R273" s="1277" t="n"/>
      <c r="S273" s="1277" t="n"/>
      <c r="T273" s="1277" t="n"/>
      <c r="U273" s="1277" t="n"/>
      <c r="V273" s="1297" t="n"/>
      <c r="W273" s="1277" t="n"/>
      <c r="X273" s="1277" t="n"/>
      <c r="Y273" s="1277" t="n"/>
      <c r="Z273" s="1277" t="n"/>
      <c r="AA273" s="1297" t="n"/>
      <c r="AB273" s="1277" t="n"/>
      <c r="AC273" s="1277" t="n"/>
      <c r="AD273" s="1277" t="n"/>
      <c r="AE273" s="1277" t="n"/>
      <c r="AF273" s="1297" t="n"/>
      <c r="AG273" s="1277" t="n"/>
      <c r="AH273" s="1277" t="n"/>
      <c r="AI273" s="1277" t="n"/>
      <c r="AJ273" s="1277" t="n"/>
      <c r="AK273" s="1297" t="n"/>
      <c r="AL273" s="1277" t="n"/>
      <c r="AM273" s="1277" t="n"/>
      <c r="AN273" s="1277" t="n"/>
      <c r="AO273" s="1277" t="n"/>
      <c r="AP273" s="1297" t="n"/>
      <c r="AQ273" s="1277" t="n"/>
      <c r="AR273" s="1277" t="n"/>
      <c r="AS273" s="1277" t="n"/>
      <c r="AT273" s="1277" t="n"/>
      <c r="AU273" s="1297" t="n"/>
      <c r="AV273" s="1277" t="n"/>
      <c r="AW273" s="1277" t="n"/>
      <c r="AX273" s="1277" t="n"/>
      <c r="AY273" s="1277" t="n"/>
      <c r="AZ273" s="1297" t="n"/>
      <c r="BA273" s="1277" t="n"/>
      <c r="BB273" s="1277" t="n"/>
      <c r="BC273" s="1277" t="n"/>
      <c r="BD273" s="1277" t="n"/>
      <c r="BE273" s="1297" t="n"/>
      <c r="BF273" s="1277" t="n"/>
      <c r="BG273" s="1277" t="n"/>
      <c r="BH273" s="1277" t="n"/>
      <c r="BI273" s="1277" t="n"/>
      <c r="BJ273" s="1297" t="n"/>
      <c r="BK273" s="1277" t="n"/>
      <c r="BL273" s="1277" t="n"/>
      <c r="BM273" s="1277" t="n"/>
      <c r="BN273" s="1277" t="n"/>
      <c r="BO273" s="1382" t="n"/>
      <c r="BP273" s="1277" t="n"/>
      <c r="BQ273" s="1277" t="n"/>
      <c r="BR273" s="1277" t="n"/>
      <c r="BS273" s="1277" t="n"/>
      <c r="BT273" s="1297" t="n"/>
      <c r="BU273" s="1277" t="n"/>
      <c r="BV273" s="1277" t="n"/>
      <c r="BW273" s="1277" t="n"/>
      <c r="BX273" s="1277" t="n"/>
      <c r="BY273" s="1297" t="n"/>
      <c r="BZ273" s="1297" t="n"/>
      <c r="CA273" s="1297" t="n"/>
      <c r="CB273" s="1297" t="n"/>
      <c r="CC273" s="1280" t="n"/>
    </row>
    <row r="274" hidden="1" outlineLevel="1" ht="14.4" customFormat="1" customHeight="1" s="1275">
      <c r="A274" s="1357" t="inlineStr">
        <is>
          <t>- Segmented Results - Revenue Breakdown by Customer Type (FS) (Historical)</t>
        </is>
      </c>
      <c r="B274" s="1358" t="n"/>
      <c r="C274" s="1358" t="n"/>
      <c r="D274" s="1358" t="n"/>
      <c r="E274" s="1358" t="n"/>
      <c r="F274" s="1358" t="n"/>
      <c r="G274" s="1358" t="n"/>
      <c r="H274" s="1358" t="n"/>
      <c r="I274" s="1358" t="n"/>
      <c r="J274" s="1358" t="n"/>
      <c r="K274" s="1358" t="n"/>
      <c r="L274" s="1358" t="n"/>
      <c r="M274" s="1358" t="n"/>
      <c r="N274" s="1358" t="n"/>
      <c r="O274" s="1358" t="n"/>
      <c r="P274" s="1358" t="n"/>
      <c r="Q274" s="1358" t="n"/>
      <c r="R274" s="1358" t="n"/>
      <c r="S274" s="1358" t="n"/>
      <c r="T274" s="1358" t="n"/>
      <c r="U274" s="1358" t="n"/>
      <c r="V274" s="1358" t="n"/>
      <c r="W274" s="1358" t="n"/>
      <c r="X274" s="1358" t="n"/>
      <c r="Y274" s="1358" t="n"/>
      <c r="Z274" s="1358" t="n"/>
      <c r="AA274" s="1358" t="n"/>
      <c r="AB274" s="1358" t="n"/>
      <c r="AC274" s="1358" t="n"/>
      <c r="AD274" s="1358" t="n"/>
      <c r="AE274" s="1358" t="n"/>
      <c r="AF274" s="1358" t="n"/>
      <c r="AG274" s="1358" t="n"/>
      <c r="AH274" s="1358" t="n"/>
      <c r="AI274" s="1358" t="n"/>
      <c r="AJ274" s="1358" t="n"/>
      <c r="AK274" s="1358" t="n"/>
      <c r="AL274" s="1358" t="n"/>
      <c r="AM274" s="1358" t="n"/>
      <c r="AN274" s="1358" t="n"/>
      <c r="AO274" s="1358" t="n"/>
      <c r="AP274" s="1358" t="n"/>
      <c r="AQ274" s="1358" t="n"/>
      <c r="AR274" s="1358" t="n"/>
      <c r="AS274" s="1358" t="n"/>
      <c r="AT274" s="1358" t="n"/>
      <c r="AU274" s="1358" t="n"/>
      <c r="AV274" s="1358" t="n"/>
      <c r="AW274" s="1358" t="n"/>
      <c r="AX274" s="1358" t="n"/>
      <c r="AY274" s="1358" t="n"/>
      <c r="AZ274" s="1358" t="n"/>
      <c r="BA274" s="1358" t="n"/>
      <c r="BB274" s="1358" t="n"/>
      <c r="BC274" s="1358" t="n"/>
      <c r="BD274" s="1358" t="n"/>
      <c r="BE274" s="1358" t="n"/>
      <c r="BF274" s="1358" t="n"/>
      <c r="BG274" s="1358" t="n"/>
      <c r="BH274" s="1358" t="n"/>
      <c r="BI274" s="1358" t="n"/>
      <c r="BJ274" s="1358" t="n"/>
      <c r="BK274" s="1358" t="n"/>
      <c r="BL274" s="1358" t="n"/>
      <c r="BM274" s="1358" t="n"/>
      <c r="BN274" s="1358" t="n"/>
      <c r="BO274" s="1359" t="n"/>
      <c r="BP274" s="1358" t="n"/>
      <c r="BQ274" s="1358" t="n"/>
      <c r="BR274" s="1358" t="n"/>
      <c r="BS274" s="1358" t="n"/>
      <c r="BT274" s="1358" t="n"/>
      <c r="BU274" s="1358" t="n"/>
      <c r="BV274" s="1358" t="n"/>
      <c r="BW274" s="1358" t="n"/>
      <c r="BX274" s="1358" t="n"/>
      <c r="BY274" s="1358" t="n"/>
      <c r="BZ274" s="1358" t="n"/>
      <c r="CA274" s="1358" t="n"/>
      <c r="CB274" s="1358" t="n"/>
      <c r="CC274" s="1280" t="n"/>
    </row>
    <row r="275" hidden="1" outlineLevel="1" ht="14.4" customFormat="1" customHeight="1" s="1275">
      <c r="A275" s="1384" t="inlineStr">
        <is>
          <t>Fabless semiconductor companies/systems companies revenue, mm</t>
        </is>
      </c>
      <c r="B275" s="1296" t="n"/>
      <c r="C275" s="1299" t="n">
        <v>237572</v>
      </c>
      <c r="D275" s="1299" t="n">
        <v>331264</v>
      </c>
      <c r="E275" s="1299" t="n">
        <v>346615</v>
      </c>
      <c r="F275" s="1299" t="n">
        <v>432090</v>
      </c>
      <c r="G275" s="1299" t="n">
        <v>519142</v>
      </c>
      <c r="H275" s="1277" t="n"/>
      <c r="I275" s="1277" t="n"/>
      <c r="J275" s="1277" t="n"/>
      <c r="K275" s="1277" t="n"/>
      <c r="L275" s="1299" t="n">
        <v>646936</v>
      </c>
      <c r="M275" s="1277" t="n"/>
      <c r="N275" s="1277" t="n"/>
      <c r="O275" s="1277" t="n"/>
      <c r="P275" s="1277" t="n"/>
      <c r="Q275" s="1299" t="n">
        <v>686508</v>
      </c>
      <c r="R275" s="1277" t="n"/>
      <c r="S275" s="1277" t="n"/>
      <c r="T275" s="1277" t="n"/>
      <c r="U275" s="1277" t="n"/>
      <c r="V275" s="1299" t="n">
        <v>788596</v>
      </c>
      <c r="W275" s="1277" t="n"/>
      <c r="X275" s="1277" t="n"/>
      <c r="Y275" s="1277" t="n"/>
      <c r="Z275" s="1277" t="n"/>
      <c r="AA275" s="1299" t="n">
        <v>784598</v>
      </c>
      <c r="AB275" s="1298" t="n">
        <v>204360.744</v>
      </c>
      <c r="AC275" s="1298" t="n">
        <v>189965.256</v>
      </c>
      <c r="AD275" s="1298" t="n">
        <v>212846.662</v>
      </c>
      <c r="AE275" s="1277" t="n"/>
      <c r="AF275" s="1297" t="n"/>
      <c r="AG275" s="1277" t="n"/>
      <c r="AH275" s="1277" t="n"/>
      <c r="AI275" s="1277" t="n"/>
      <c r="AJ275" s="1277" t="n"/>
      <c r="AK275" s="1297" t="n"/>
      <c r="AL275" s="1277" t="n"/>
      <c r="AM275" s="1277" t="n"/>
      <c r="AN275" s="1277" t="n"/>
      <c r="AO275" s="1277" t="n"/>
      <c r="AP275" s="1297" t="n"/>
      <c r="AQ275" s="1277" t="n"/>
      <c r="AR275" s="1277" t="n"/>
      <c r="AS275" s="1277" t="n"/>
      <c r="AT275" s="1277" t="n"/>
      <c r="AU275" s="1297" t="n"/>
      <c r="AV275" s="1277" t="n"/>
      <c r="AW275" s="1277" t="n"/>
      <c r="AX275" s="1277" t="n"/>
      <c r="AY275" s="1277" t="n"/>
      <c r="AZ275" s="1297" t="n"/>
      <c r="BA275" s="1277" t="n"/>
      <c r="BB275" s="1277" t="n"/>
      <c r="BC275" s="1277" t="n"/>
      <c r="BD275" s="1277" t="n"/>
      <c r="BE275" s="1297" t="n"/>
      <c r="BF275" s="1277" t="n"/>
      <c r="BG275" s="1277" t="n"/>
      <c r="BH275" s="1277" t="n"/>
      <c r="BI275" s="1277" t="n"/>
      <c r="BJ275" s="1297" t="n"/>
      <c r="BK275" s="1277" t="n"/>
      <c r="BL275" s="1277" t="n"/>
      <c r="BM275" s="1277" t="n"/>
      <c r="BN275" s="1277" t="n"/>
      <c r="BO275" s="1382" t="n"/>
      <c r="BP275" s="1277" t="n"/>
      <c r="BQ275" s="1277" t="n"/>
      <c r="BR275" s="1277" t="n"/>
      <c r="BS275" s="1277" t="n"/>
      <c r="BT275" s="1297" t="n"/>
      <c r="BU275" s="1277" t="n"/>
      <c r="BV275" s="1277" t="n"/>
      <c r="BW275" s="1277" t="n"/>
      <c r="BX275" s="1277" t="n"/>
      <c r="BY275" s="1297" t="n"/>
      <c r="BZ275" s="1297" t="n"/>
      <c r="CA275" s="1297" t="n"/>
      <c r="CB275" s="1297" t="n"/>
      <c r="CC275" s="1280" t="n"/>
    </row>
    <row r="276" hidden="1" outlineLevel="1" ht="14.4" customFormat="1" customHeight="1" s="1275">
      <c r="A276" s="1384" t="inlineStr">
        <is>
          <t>Integrated device manufacturers revenue, mm</t>
        </is>
      </c>
      <c r="B276" s="1296" t="n"/>
      <c r="C276" s="1299" t="n">
        <v>58108</v>
      </c>
      <c r="D276" s="1299" t="n">
        <v>88054</v>
      </c>
      <c r="E276" s="1299" t="n">
        <v>80431</v>
      </c>
      <c r="F276" s="1299" t="n">
        <v>74007</v>
      </c>
      <c r="G276" s="1299" t="n">
        <v>76967</v>
      </c>
      <c r="H276" s="1277" t="n"/>
      <c r="I276" s="1277" t="n"/>
      <c r="J276" s="1277" t="n"/>
      <c r="K276" s="1277" t="n"/>
      <c r="L276" s="1299" t="n">
        <v>114620</v>
      </c>
      <c r="M276" s="1277" t="n"/>
      <c r="N276" s="1277" t="n"/>
      <c r="O276" s="1277" t="n"/>
      <c r="P276" s="1277" t="n"/>
      <c r="Q276" s="1299" t="n">
        <v>155685</v>
      </c>
      <c r="R276" s="1277" t="n"/>
      <c r="S276" s="1277" t="n"/>
      <c r="T276" s="1277" t="n"/>
      <c r="U276" s="1277" t="n"/>
      <c r="V276" s="1299" t="n">
        <v>158813</v>
      </c>
      <c r="W276" s="1277" t="n"/>
      <c r="X276" s="1277" t="n"/>
      <c r="Y276" s="1277" t="n"/>
      <c r="Z276" s="1277" t="n"/>
      <c r="AA276" s="1299" t="n">
        <v>191965</v>
      </c>
      <c r="AB276" s="1298" t="n">
        <v>43529.466</v>
      </c>
      <c r="AC276" s="1298" t="n">
        <v>43152.586</v>
      </c>
      <c r="AD276" s="1298" t="n">
        <v>47184.213</v>
      </c>
      <c r="AE276" s="1277" t="n"/>
      <c r="AF276" s="1297" t="n"/>
      <c r="AG276" s="1277" t="n"/>
      <c r="AH276" s="1277" t="n"/>
      <c r="AI276" s="1277" t="n"/>
      <c r="AJ276" s="1277" t="n"/>
      <c r="AK276" s="1297" t="n"/>
      <c r="AL276" s="1277" t="n"/>
      <c r="AM276" s="1277" t="n"/>
      <c r="AN276" s="1277" t="n"/>
      <c r="AO276" s="1277" t="n"/>
      <c r="AP276" s="1297" t="n"/>
      <c r="AQ276" s="1277" t="n"/>
      <c r="AR276" s="1277" t="n"/>
      <c r="AS276" s="1277" t="n"/>
      <c r="AT276" s="1277" t="n"/>
      <c r="AU276" s="1297" t="n"/>
      <c r="AV276" s="1277" t="n"/>
      <c r="AW276" s="1277" t="n"/>
      <c r="AX276" s="1277" t="n"/>
      <c r="AY276" s="1277" t="n"/>
      <c r="AZ276" s="1297" t="n"/>
      <c r="BA276" s="1277" t="n"/>
      <c r="BB276" s="1277" t="n"/>
      <c r="BC276" s="1277" t="n"/>
      <c r="BD276" s="1277" t="n"/>
      <c r="BE276" s="1297" t="n"/>
      <c r="BF276" s="1277" t="n"/>
      <c r="BG276" s="1277" t="n"/>
      <c r="BH276" s="1277" t="n"/>
      <c r="BI276" s="1277" t="n"/>
      <c r="BJ276" s="1297" t="n"/>
      <c r="BK276" s="1277" t="n"/>
      <c r="BL276" s="1277" t="n"/>
      <c r="BM276" s="1277" t="n"/>
      <c r="BN276" s="1277" t="n"/>
      <c r="BO276" s="1382" t="n"/>
      <c r="BP276" s="1277" t="n"/>
      <c r="BQ276" s="1277" t="n"/>
      <c r="BR276" s="1277" t="n"/>
      <c r="BS276" s="1277" t="n"/>
      <c r="BT276" s="1297" t="n"/>
      <c r="BU276" s="1277" t="n"/>
      <c r="BV276" s="1277" t="n"/>
      <c r="BW276" s="1277" t="n"/>
      <c r="BX276" s="1277" t="n"/>
      <c r="BY276" s="1297" t="n"/>
      <c r="BZ276" s="1297" t="n"/>
      <c r="CA276" s="1297" t="n"/>
      <c r="CB276" s="1297" t="n"/>
      <c r="CC276" s="1280" t="n"/>
    </row>
    <row r="277" hidden="1" outlineLevel="1" ht="14.4" customFormat="1" customHeight="1" s="1275">
      <c r="A277" s="1388" t="inlineStr">
        <is>
          <t>Others revenue, mm</t>
        </is>
      </c>
      <c r="B277" s="1363" t="n"/>
      <c r="C277" s="1390" t="n">
        <v>62</v>
      </c>
      <c r="D277" s="1390" t="n">
        <v>220</v>
      </c>
      <c r="E277" s="1390" t="n">
        <v>35</v>
      </c>
      <c r="F277" s="1390" t="n">
        <v>648</v>
      </c>
      <c r="G277" s="1390" t="n">
        <v>915</v>
      </c>
      <c r="H277" s="1365" t="n"/>
      <c r="I277" s="1365" t="n"/>
      <c r="J277" s="1365" t="n"/>
      <c r="K277" s="1365" t="n"/>
      <c r="L277" s="1390" t="n">
        <v>1250</v>
      </c>
      <c r="M277" s="1365" t="n"/>
      <c r="N277" s="1365" t="n"/>
      <c r="O277" s="1365" t="n"/>
      <c r="P277" s="1365" t="n"/>
      <c r="Q277" s="1390" t="n">
        <v>1304</v>
      </c>
      <c r="R277" s="1365" t="n"/>
      <c r="S277" s="1365" t="n"/>
      <c r="T277" s="1365" t="n"/>
      <c r="U277" s="1365" t="n"/>
      <c r="V277" s="1390" t="n">
        <v>529</v>
      </c>
      <c r="W277" s="1365" t="n"/>
      <c r="X277" s="1365" t="n"/>
      <c r="Y277" s="1365" t="n"/>
      <c r="Z277" s="1365" t="n"/>
      <c r="AA277" s="1390" t="n">
        <v>884</v>
      </c>
      <c r="AB277" s="1391" t="n">
        <v>188.461</v>
      </c>
      <c r="AC277" s="1391" t="n">
        <v>158.969</v>
      </c>
      <c r="AD277" s="1391" t="n">
        <v>317.007</v>
      </c>
      <c r="AE277" s="1365" t="n"/>
      <c r="AF277" s="1364" t="n"/>
      <c r="AG277" s="1365" t="n"/>
      <c r="AH277" s="1365" t="n"/>
      <c r="AI277" s="1365" t="n"/>
      <c r="AJ277" s="1365" t="n"/>
      <c r="AK277" s="1364" t="n"/>
      <c r="AL277" s="1365" t="n"/>
      <c r="AM277" s="1365" t="n"/>
      <c r="AN277" s="1365" t="n"/>
      <c r="AO277" s="1365" t="n"/>
      <c r="AP277" s="1364" t="n"/>
      <c r="AQ277" s="1365" t="n"/>
      <c r="AR277" s="1365" t="n"/>
      <c r="AS277" s="1365" t="n"/>
      <c r="AT277" s="1365" t="n"/>
      <c r="AU277" s="1364" t="n"/>
      <c r="AV277" s="1365" t="n"/>
      <c r="AW277" s="1365" t="n"/>
      <c r="AX277" s="1365" t="n"/>
      <c r="AY277" s="1365" t="n"/>
      <c r="AZ277" s="1364" t="n"/>
      <c r="BA277" s="1365" t="n"/>
      <c r="BB277" s="1365" t="n"/>
      <c r="BC277" s="1365" t="n"/>
      <c r="BD277" s="1365" t="n"/>
      <c r="BE277" s="1364" t="n"/>
      <c r="BF277" s="1365" t="n"/>
      <c r="BG277" s="1365" t="n"/>
      <c r="BH277" s="1365" t="n"/>
      <c r="BI277" s="1365" t="n"/>
      <c r="BJ277" s="1364" t="n"/>
      <c r="BK277" s="1365" t="n"/>
      <c r="BL277" s="1365" t="n"/>
      <c r="BM277" s="1365" t="n"/>
      <c r="BN277" s="1365" t="n"/>
      <c r="BO277" s="1366" t="n"/>
      <c r="BP277" s="1365" t="n"/>
      <c r="BQ277" s="1365" t="n"/>
      <c r="BR277" s="1365" t="n"/>
      <c r="BS277" s="1365" t="n"/>
      <c r="BT277" s="1364" t="n"/>
      <c r="BU277" s="1365" t="n"/>
      <c r="BV277" s="1365" t="n"/>
      <c r="BW277" s="1365" t="n"/>
      <c r="BX277" s="1365" t="n"/>
      <c r="BY277" s="1364" t="n"/>
      <c r="BZ277" s="1364" t="n"/>
      <c r="CA277" s="1364" t="n"/>
      <c r="CB277" s="1364" t="n"/>
      <c r="CC277" s="1280" t="n"/>
    </row>
    <row r="278" hidden="1" outlineLevel="1" ht="14.4" customFormat="1" customHeight="1" s="1323">
      <c r="A278" s="1392" t="inlineStr">
        <is>
          <t>Total Revenue, mm</t>
        </is>
      </c>
      <c r="B278" s="1325" t="n"/>
      <c r="C278" s="1326">
        <f>SUM(C275:C277)</f>
        <v/>
      </c>
      <c r="D278" s="1326">
        <f>SUM(D275:D277)</f>
        <v/>
      </c>
      <c r="E278" s="1326">
        <f>SUM(E275:E277)</f>
        <v/>
      </c>
      <c r="F278" s="1326">
        <f>SUM(F275:F277)</f>
        <v/>
      </c>
      <c r="G278" s="1326">
        <f>SUM(G275:G277)</f>
        <v/>
      </c>
      <c r="H278" s="1327" t="n"/>
      <c r="I278" s="1327" t="n"/>
      <c r="J278" s="1327" t="n"/>
      <c r="K278" s="1327" t="n"/>
      <c r="L278" s="1326">
        <f>SUM(L275:L277)</f>
        <v/>
      </c>
      <c r="M278" s="1327" t="n"/>
      <c r="N278" s="1327" t="n"/>
      <c r="O278" s="1327" t="n"/>
      <c r="P278" s="1327" t="n"/>
      <c r="Q278" s="1326">
        <f>SUM(Q275:Q277)</f>
        <v/>
      </c>
      <c r="R278" s="1327" t="n"/>
      <c r="S278" s="1327" t="n"/>
      <c r="T278" s="1327" t="n"/>
      <c r="U278" s="1327" t="n"/>
      <c r="V278" s="1326">
        <f>SUM(V275:V277)</f>
        <v/>
      </c>
      <c r="W278" s="1327" t="n"/>
      <c r="X278" s="1327" t="n"/>
      <c r="Y278" s="1327" t="n"/>
      <c r="Z278" s="1528" t="n"/>
      <c r="AA278" s="1326">
        <f>SUM(AA275:AA277)</f>
        <v/>
      </c>
      <c r="AB278" s="1327">
        <f>SUM(AB275:AB277)</f>
        <v/>
      </c>
      <c r="AC278" s="1327">
        <f>SUM(AC275:AC277)</f>
        <v/>
      </c>
      <c r="AD278" s="1328">
        <f>SUM(AD275:AD277)</f>
        <v/>
      </c>
      <c r="AE278" s="1327" t="n"/>
      <c r="AF278" s="1326" t="n"/>
      <c r="AG278" s="1327" t="n"/>
      <c r="AH278" s="1327" t="n"/>
      <c r="AI278" s="1327" t="n"/>
      <c r="AJ278" s="1327" t="n"/>
      <c r="AK278" s="1326" t="n"/>
      <c r="AL278" s="1327" t="n"/>
      <c r="AM278" s="1327" t="n"/>
      <c r="AN278" s="1327" t="n"/>
      <c r="AO278" s="1327" t="n"/>
      <c r="AP278" s="1326" t="n"/>
      <c r="AQ278" s="1327" t="n"/>
      <c r="AR278" s="1327" t="n"/>
      <c r="AS278" s="1327" t="n"/>
      <c r="AT278" s="1327" t="n"/>
      <c r="AU278" s="1326" t="n"/>
      <c r="AV278" s="1327" t="n"/>
      <c r="AW278" s="1327" t="n"/>
      <c r="AX278" s="1327" t="n"/>
      <c r="AY278" s="1327" t="n"/>
      <c r="AZ278" s="1326" t="n"/>
      <c r="BA278" s="1327" t="n"/>
      <c r="BB278" s="1327" t="n"/>
      <c r="BC278" s="1327" t="n"/>
      <c r="BD278" s="1327" t="n"/>
      <c r="BE278" s="1326" t="n"/>
      <c r="BF278" s="1327" t="n"/>
      <c r="BG278" s="1327" t="n"/>
      <c r="BH278" s="1327" t="n"/>
      <c r="BI278" s="1327" t="n"/>
      <c r="BJ278" s="1326" t="n"/>
      <c r="BK278" s="1327" t="n"/>
      <c r="BL278" s="1327" t="n"/>
      <c r="BM278" s="1327" t="n"/>
      <c r="BN278" s="1327" t="n"/>
      <c r="BO278" s="1386" t="n"/>
      <c r="BP278" s="1327" t="n"/>
      <c r="BQ278" s="1327" t="n"/>
      <c r="BR278" s="1327" t="n"/>
      <c r="BS278" s="1327" t="n"/>
      <c r="BT278" s="1326" t="n"/>
      <c r="BU278" s="1327" t="n"/>
      <c r="BV278" s="1327" t="n"/>
      <c r="BW278" s="1327" t="n"/>
      <c r="BX278" s="1327" t="n"/>
      <c r="BY278" s="1326" t="n"/>
      <c r="BZ278" s="1326" t="n"/>
      <c r="CA278" s="1326" t="n"/>
      <c r="CB278" s="1326" t="n"/>
      <c r="CC278" s="1331" t="n"/>
    </row>
    <row r="279" hidden="1" outlineLevel="1" ht="14.4" customFormat="1" customHeight="1" s="1323">
      <c r="A279" s="1344" t="n"/>
      <c r="B279" s="1361" t="n"/>
      <c r="C279" s="1345" t="n"/>
      <c r="D279" s="1345" t="n"/>
      <c r="E279" s="1345" t="n"/>
      <c r="F279" s="1345" t="n"/>
      <c r="G279" s="1345" t="n"/>
      <c r="H279" s="1346" t="n"/>
      <c r="I279" s="1346" t="n"/>
      <c r="J279" s="1346" t="n"/>
      <c r="K279" s="1346" t="n"/>
      <c r="L279" s="1345" t="n"/>
      <c r="M279" s="1346" t="n"/>
      <c r="N279" s="1346" t="n"/>
      <c r="O279" s="1346" t="n"/>
      <c r="P279" s="1346" t="n"/>
      <c r="Q279" s="1345" t="n"/>
      <c r="R279" s="1346" t="n"/>
      <c r="S279" s="1346" t="n"/>
      <c r="T279" s="1346" t="n"/>
      <c r="U279" s="1346" t="n"/>
      <c r="V279" s="1345" t="n"/>
      <c r="W279" s="1346" t="n"/>
      <c r="X279" s="1346" t="n"/>
      <c r="Y279" s="1346" t="n"/>
      <c r="Z279" s="1346" t="n"/>
      <c r="AA279" s="1345" t="n"/>
      <c r="AB279" s="1346" t="n"/>
      <c r="AC279" s="1346" t="n"/>
      <c r="AD279" s="1346" t="n"/>
      <c r="AE279" s="1346" t="n"/>
      <c r="AF279" s="1345" t="n"/>
      <c r="AG279" s="1346" t="n"/>
      <c r="AH279" s="1346" t="n"/>
      <c r="AI279" s="1346" t="n"/>
      <c r="AJ279" s="1346" t="n"/>
      <c r="AK279" s="1345" t="n"/>
      <c r="AL279" s="1346" t="n"/>
      <c r="AM279" s="1346" t="n"/>
      <c r="AN279" s="1346" t="n"/>
      <c r="AO279" s="1346" t="n"/>
      <c r="AP279" s="1345" t="n"/>
      <c r="AQ279" s="1346" t="n"/>
      <c r="AR279" s="1346" t="n"/>
      <c r="AS279" s="1346" t="n"/>
      <c r="AT279" s="1346" t="n"/>
      <c r="AU279" s="1345" t="n"/>
      <c r="AV279" s="1346" t="n"/>
      <c r="AW279" s="1346" t="n"/>
      <c r="AX279" s="1346" t="n"/>
      <c r="AY279" s="1346" t="n"/>
      <c r="AZ279" s="1345" t="n"/>
      <c r="BA279" s="1346" t="n"/>
      <c r="BB279" s="1346" t="n"/>
      <c r="BC279" s="1346" t="n"/>
      <c r="BD279" s="1346" t="n"/>
      <c r="BE279" s="1345" t="n"/>
      <c r="BF279" s="1346" t="n"/>
      <c r="BG279" s="1346" t="n"/>
      <c r="BH279" s="1346" t="n"/>
      <c r="BI279" s="1346" t="n"/>
      <c r="BJ279" s="1345" t="n"/>
      <c r="BK279" s="1346" t="n"/>
      <c r="BL279" s="1346" t="n"/>
      <c r="BM279" s="1346" t="n"/>
      <c r="BN279" s="1346" t="n"/>
      <c r="BO279" s="1347" t="n"/>
      <c r="BP279" s="1346" t="n"/>
      <c r="BQ279" s="1346" t="n"/>
      <c r="BR279" s="1346" t="n"/>
      <c r="BS279" s="1346" t="n"/>
      <c r="BT279" s="1345" t="n"/>
      <c r="BU279" s="1346" t="n"/>
      <c r="BV279" s="1346" t="n"/>
      <c r="BW279" s="1346" t="n"/>
      <c r="BX279" s="1346" t="n"/>
      <c r="BY279" s="1345" t="n"/>
      <c r="BZ279" s="1345" t="n"/>
      <c r="CA279" s="1345" t="n"/>
      <c r="CB279" s="1345" t="n"/>
      <c r="CC279" s="1331" t="n"/>
    </row>
    <row r="280" hidden="1" outlineLevel="1" ht="14.4" customFormat="1" customHeight="1" s="1275">
      <c r="A280" s="1357" t="inlineStr">
        <is>
          <t>- Key Metrics - Breakdown by Semiconductor Type (FS) (Historical)</t>
        </is>
      </c>
      <c r="B280" s="1358" t="n"/>
      <c r="C280" s="1358" t="n"/>
      <c r="D280" s="1358" t="n"/>
      <c r="E280" s="1358" t="n"/>
      <c r="F280" s="1358" t="n"/>
      <c r="G280" s="1358" t="n"/>
      <c r="H280" s="1358" t="n"/>
      <c r="I280" s="1358" t="n"/>
      <c r="J280" s="1358" t="n"/>
      <c r="K280" s="1358" t="n"/>
      <c r="L280" s="1358" t="n"/>
      <c r="M280" s="1358" t="n"/>
      <c r="N280" s="1358" t="n"/>
      <c r="O280" s="1358" t="n"/>
      <c r="P280" s="1358" t="n"/>
      <c r="Q280" s="1358" t="n"/>
      <c r="R280" s="1358" t="n"/>
      <c r="S280" s="1358" t="n"/>
      <c r="T280" s="1358" t="n"/>
      <c r="U280" s="1358" t="n"/>
      <c r="V280" s="1358" t="n"/>
      <c r="W280" s="1358" t="n"/>
      <c r="X280" s="1358" t="n"/>
      <c r="Y280" s="1358" t="n"/>
      <c r="Z280" s="1358" t="n"/>
      <c r="AA280" s="1358" t="n"/>
      <c r="AB280" s="1358" t="n"/>
      <c r="AC280" s="1358" t="n"/>
      <c r="AD280" s="1358" t="n"/>
      <c r="AE280" s="1358" t="n"/>
      <c r="AF280" s="1358" t="n"/>
      <c r="AG280" s="1358" t="n"/>
      <c r="AH280" s="1358" t="n"/>
      <c r="AI280" s="1358" t="n"/>
      <c r="AJ280" s="1358" t="n"/>
      <c r="AK280" s="1358" t="n"/>
      <c r="AL280" s="1358" t="n"/>
      <c r="AM280" s="1358" t="n"/>
      <c r="AN280" s="1358" t="n"/>
      <c r="AO280" s="1358" t="n"/>
      <c r="AP280" s="1358" t="n"/>
      <c r="AQ280" s="1358" t="n"/>
      <c r="AR280" s="1358" t="n"/>
      <c r="AS280" s="1358" t="n"/>
      <c r="AT280" s="1358" t="n"/>
      <c r="AU280" s="1358" t="n"/>
      <c r="AV280" s="1358" t="n"/>
      <c r="AW280" s="1358" t="n"/>
      <c r="AX280" s="1358" t="n"/>
      <c r="AY280" s="1358" t="n"/>
      <c r="AZ280" s="1358" t="n"/>
      <c r="BA280" s="1358" t="n"/>
      <c r="BB280" s="1358" t="n"/>
      <c r="BC280" s="1358" t="n"/>
      <c r="BD280" s="1358" t="n"/>
      <c r="BE280" s="1358" t="n"/>
      <c r="BF280" s="1358" t="n"/>
      <c r="BG280" s="1358" t="n"/>
      <c r="BH280" s="1358" t="n"/>
      <c r="BI280" s="1358" t="n"/>
      <c r="BJ280" s="1358" t="n"/>
      <c r="BK280" s="1358" t="n"/>
      <c r="BL280" s="1358" t="n"/>
      <c r="BM280" s="1358" t="n"/>
      <c r="BN280" s="1358" t="n"/>
      <c r="BO280" s="1359" t="n"/>
      <c r="BP280" s="1358" t="n"/>
      <c r="BQ280" s="1358" t="n"/>
      <c r="BR280" s="1358" t="n"/>
      <c r="BS280" s="1358" t="n"/>
      <c r="BT280" s="1358" t="n"/>
      <c r="BU280" s="1358" t="n"/>
      <c r="BV280" s="1358" t="n"/>
      <c r="BW280" s="1358" t="n"/>
      <c r="BX280" s="1358" t="n"/>
      <c r="BY280" s="1358" t="n"/>
      <c r="BZ280" s="1358" t="n"/>
      <c r="CA280" s="1358" t="n"/>
      <c r="CB280" s="1358" t="n"/>
      <c r="CC280" s="1280" t="n"/>
    </row>
    <row r="281" hidden="1" outlineLevel="1" ht="14.4" customFormat="1" customHeight="1" s="1275">
      <c r="A281" s="1445" t="inlineStr">
        <is>
          <t>Logic semiconductor revenue, mm</t>
        </is>
      </c>
      <c r="B281" s="1387" t="n"/>
      <c r="C281" s="1299" t="n">
        <v>213160</v>
      </c>
      <c r="D281" s="1299" t="n">
        <v>300405</v>
      </c>
      <c r="E281" s="1299" t="n">
        <v>297775</v>
      </c>
      <c r="F281" s="1299" t="n">
        <v>352139</v>
      </c>
      <c r="G281" s="1299" t="n">
        <v>424868</v>
      </c>
      <c r="H281" s="1277" t="n"/>
      <c r="I281" s="1277" t="n"/>
      <c r="J281" s="1277" t="n"/>
      <c r="K281" s="1277" t="n"/>
      <c r="L281" s="1299" t="n">
        <v>573539</v>
      </c>
      <c r="M281" s="1277" t="n"/>
      <c r="N281" s="1277" t="n"/>
      <c r="O281" s="1277" t="n"/>
      <c r="P281" s="1277" t="n"/>
      <c r="Q281" s="1299" t="n">
        <v>638874</v>
      </c>
      <c r="R281" s="1277" t="n"/>
      <c r="S281" s="1277" t="n"/>
      <c r="T281" s="1277" t="n"/>
      <c r="U281" s="1277" t="n"/>
      <c r="V281" s="1297" t="n"/>
      <c r="W281" s="1277" t="n"/>
      <c r="X281" s="1277" t="n"/>
      <c r="Y281" s="1277" t="n"/>
      <c r="Z281" s="1277" t="n"/>
      <c r="AA281" s="1297" t="n"/>
      <c r="AB281" s="1277" t="n"/>
      <c r="AC281" s="1277" t="n"/>
      <c r="AD281" s="1277" t="n"/>
      <c r="AE281" s="1277" t="n"/>
      <c r="AF281" s="1297" t="n"/>
      <c r="AG281" s="1277" t="n"/>
      <c r="AH281" s="1277" t="n"/>
      <c r="AI281" s="1277" t="n"/>
      <c r="AJ281" s="1277" t="n"/>
      <c r="AK281" s="1297" t="n"/>
      <c r="AL281" s="1277" t="n"/>
      <c r="AM281" s="1277" t="n"/>
      <c r="AN281" s="1277" t="n"/>
      <c r="AO281" s="1277" t="n"/>
      <c r="AP281" s="1297" t="n"/>
      <c r="AQ281" s="1277" t="n"/>
      <c r="AR281" s="1277" t="n"/>
      <c r="AS281" s="1277" t="n"/>
      <c r="AT281" s="1277" t="n"/>
      <c r="AU281" s="1297" t="n"/>
      <c r="AV281" s="1277" t="n"/>
      <c r="AW281" s="1277" t="n"/>
      <c r="AX281" s="1277" t="n"/>
      <c r="AY281" s="1277" t="n"/>
      <c r="AZ281" s="1297" t="n"/>
      <c r="BA281" s="1277" t="n"/>
      <c r="BB281" s="1277" t="n"/>
      <c r="BC281" s="1277" t="n"/>
      <c r="BD281" s="1277" t="n"/>
      <c r="BE281" s="1297" t="n"/>
      <c r="BF281" s="1277" t="n"/>
      <c r="BG281" s="1277" t="n"/>
      <c r="BH281" s="1277" t="n"/>
      <c r="BI281" s="1277" t="n"/>
      <c r="BJ281" s="1297" t="n"/>
      <c r="BK281" s="1277" t="n"/>
      <c r="BL281" s="1277" t="n"/>
      <c r="BM281" s="1277" t="n"/>
      <c r="BN281" s="1277" t="n"/>
      <c r="BO281" s="1382" t="n"/>
      <c r="BP281" s="1277" t="n"/>
      <c r="BQ281" s="1277" t="n"/>
      <c r="BR281" s="1277" t="n"/>
      <c r="BS281" s="1277" t="n"/>
      <c r="BT281" s="1297" t="n"/>
      <c r="BU281" s="1277" t="n"/>
      <c r="BV281" s="1277" t="n"/>
      <c r="BW281" s="1277" t="n"/>
      <c r="BX281" s="1277" t="n"/>
      <c r="BY281" s="1297" t="n"/>
      <c r="BZ281" s="1297" t="n"/>
      <c r="CA281" s="1297" t="n"/>
      <c r="CB281" s="1297" t="n"/>
      <c r="CC281" s="1280" t="n"/>
    </row>
    <row r="282" hidden="1" outlineLevel="1" ht="14.4" customFormat="1" customHeight="1" s="1275">
      <c r="A282" s="1445" t="inlineStr">
        <is>
          <t>Mixed-signal semiconductor revenue, mm</t>
        </is>
      </c>
      <c r="B282" s="1387" t="n"/>
      <c r="C282" s="1299" t="n">
        <v>77427</v>
      </c>
      <c r="D282" s="1299" t="n">
        <v>112715</v>
      </c>
      <c r="E282" s="1299" t="n">
        <v>124469</v>
      </c>
      <c r="F282" s="1299" t="n">
        <v>150905</v>
      </c>
      <c r="G282" s="1299" t="n">
        <v>167333</v>
      </c>
      <c r="H282" s="1277" t="n"/>
      <c r="I282" s="1277" t="n"/>
      <c r="J282" s="1277" t="n"/>
      <c r="K282" s="1277" t="n"/>
      <c r="L282" s="1299" t="n">
        <v>183676</v>
      </c>
      <c r="M282" s="1277" t="n"/>
      <c r="N282" s="1277" t="n"/>
      <c r="O282" s="1277" t="n"/>
      <c r="P282" s="1277" t="n"/>
      <c r="Q282" s="1299" t="n">
        <v>190368</v>
      </c>
      <c r="R282" s="1277" t="n"/>
      <c r="S282" s="1277" t="n"/>
      <c r="T282" s="1277" t="n"/>
      <c r="U282" s="1277" t="n"/>
      <c r="V282" s="1297" t="n"/>
      <c r="W282" s="1277" t="n"/>
      <c r="X282" s="1277" t="n"/>
      <c r="Y282" s="1277" t="n"/>
      <c r="Z282" s="1277" t="n"/>
      <c r="AA282" s="1297" t="n"/>
      <c r="AB282" s="1277" t="n"/>
      <c r="AC282" s="1277" t="n"/>
      <c r="AD282" s="1277" t="n"/>
      <c r="AE282" s="1277" t="n"/>
      <c r="AF282" s="1297" t="n"/>
      <c r="AG282" s="1277" t="n"/>
      <c r="AH282" s="1277" t="n"/>
      <c r="AI282" s="1277" t="n"/>
      <c r="AJ282" s="1277" t="n"/>
      <c r="AK282" s="1297" t="n"/>
      <c r="AL282" s="1277" t="n"/>
      <c r="AM282" s="1277" t="n"/>
      <c r="AN282" s="1277" t="n"/>
      <c r="AO282" s="1277" t="n"/>
      <c r="AP282" s="1297" t="n"/>
      <c r="AQ282" s="1277" t="n"/>
      <c r="AR282" s="1277" t="n"/>
      <c r="AS282" s="1277" t="n"/>
      <c r="AT282" s="1277" t="n"/>
      <c r="AU282" s="1297" t="n"/>
      <c r="AV282" s="1277" t="n"/>
      <c r="AW282" s="1277" t="n"/>
      <c r="AX282" s="1277" t="n"/>
      <c r="AY282" s="1277" t="n"/>
      <c r="AZ282" s="1297" t="n"/>
      <c r="BA282" s="1277" t="n"/>
      <c r="BB282" s="1277" t="n"/>
      <c r="BC282" s="1277" t="n"/>
      <c r="BD282" s="1277" t="n"/>
      <c r="BE282" s="1297" t="n"/>
      <c r="BF282" s="1277" t="n"/>
      <c r="BG282" s="1277" t="n"/>
      <c r="BH282" s="1277" t="n"/>
      <c r="BI282" s="1277" t="n"/>
      <c r="BJ282" s="1297" t="n"/>
      <c r="BK282" s="1277" t="n"/>
      <c r="BL282" s="1277" t="n"/>
      <c r="BM282" s="1277" t="n"/>
      <c r="BN282" s="1277" t="n"/>
      <c r="BO282" s="1382" t="n"/>
      <c r="BP282" s="1277" t="n"/>
      <c r="BQ282" s="1277" t="n"/>
      <c r="BR282" s="1277" t="n"/>
      <c r="BS282" s="1277" t="n"/>
      <c r="BT282" s="1297" t="n"/>
      <c r="BU282" s="1277" t="n"/>
      <c r="BV282" s="1277" t="n"/>
      <c r="BW282" s="1277" t="n"/>
      <c r="BX282" s="1277" t="n"/>
      <c r="BY282" s="1297" t="n"/>
      <c r="BZ282" s="1297" t="n"/>
      <c r="CA282" s="1297" t="n"/>
      <c r="CB282" s="1297" t="n"/>
      <c r="CC282" s="1280" t="n"/>
    </row>
    <row r="283" hidden="1" outlineLevel="1" ht="14.4" customFormat="1" customHeight="1" s="1275">
      <c r="A283" s="1529" t="inlineStr">
        <is>
          <t>Memory revenue, mm</t>
        </is>
      </c>
      <c r="B283" s="1389" t="n"/>
      <c r="C283" s="1390" t="n">
        <v>2068</v>
      </c>
      <c r="D283" s="1390" t="n">
        <v>2297</v>
      </c>
      <c r="E283" s="1390" t="n">
        <v>1023</v>
      </c>
      <c r="F283" s="1364" t="n"/>
      <c r="G283" s="1364" t="n"/>
      <c r="H283" s="1365" t="n"/>
      <c r="I283" s="1365" t="n"/>
      <c r="J283" s="1365" t="n"/>
      <c r="K283" s="1365" t="n"/>
      <c r="L283" s="1364" t="n"/>
      <c r="M283" s="1365" t="n"/>
      <c r="N283" s="1365" t="n"/>
      <c r="O283" s="1365" t="n"/>
      <c r="P283" s="1365" t="n"/>
      <c r="Q283" s="1364" t="n"/>
      <c r="R283" s="1365" t="n"/>
      <c r="S283" s="1365" t="n"/>
      <c r="T283" s="1365" t="n"/>
      <c r="U283" s="1365" t="n"/>
      <c r="V283" s="1364" t="n"/>
      <c r="W283" s="1365" t="n"/>
      <c r="X283" s="1365" t="n"/>
      <c r="Y283" s="1365" t="n"/>
      <c r="Z283" s="1365" t="n"/>
      <c r="AA283" s="1364" t="n"/>
      <c r="AB283" s="1365" t="n"/>
      <c r="AC283" s="1365" t="n"/>
      <c r="AD283" s="1365" t="n"/>
      <c r="AE283" s="1365" t="n"/>
      <c r="AF283" s="1364" t="n"/>
      <c r="AG283" s="1365" t="n"/>
      <c r="AH283" s="1365" t="n"/>
      <c r="AI283" s="1365" t="n"/>
      <c r="AJ283" s="1365" t="n"/>
      <c r="AK283" s="1364" t="n"/>
      <c r="AL283" s="1365" t="n"/>
      <c r="AM283" s="1365" t="n"/>
      <c r="AN283" s="1365" t="n"/>
      <c r="AO283" s="1365" t="n"/>
      <c r="AP283" s="1364" t="n"/>
      <c r="AQ283" s="1365" t="n"/>
      <c r="AR283" s="1365" t="n"/>
      <c r="AS283" s="1365" t="n"/>
      <c r="AT283" s="1365" t="n"/>
      <c r="AU283" s="1364" t="n"/>
      <c r="AV283" s="1365" t="n"/>
      <c r="AW283" s="1365" t="n"/>
      <c r="AX283" s="1365" t="n"/>
      <c r="AY283" s="1365" t="n"/>
      <c r="AZ283" s="1364" t="n"/>
      <c r="BA283" s="1365" t="n"/>
      <c r="BB283" s="1365" t="n"/>
      <c r="BC283" s="1365" t="n"/>
      <c r="BD283" s="1365" t="n"/>
      <c r="BE283" s="1364" t="n"/>
      <c r="BF283" s="1365" t="n"/>
      <c r="BG283" s="1365" t="n"/>
      <c r="BH283" s="1365" t="n"/>
      <c r="BI283" s="1365" t="n"/>
      <c r="BJ283" s="1364" t="n"/>
      <c r="BK283" s="1365" t="n"/>
      <c r="BL283" s="1365" t="n"/>
      <c r="BM283" s="1365" t="n"/>
      <c r="BN283" s="1365" t="n"/>
      <c r="BO283" s="1366" t="n"/>
      <c r="BP283" s="1365" t="n"/>
      <c r="BQ283" s="1365" t="n"/>
      <c r="BR283" s="1365" t="n"/>
      <c r="BS283" s="1365" t="n"/>
      <c r="BT283" s="1364" t="n"/>
      <c r="BU283" s="1365" t="n"/>
      <c r="BV283" s="1365" t="n"/>
      <c r="BW283" s="1365" t="n"/>
      <c r="BX283" s="1365" t="n"/>
      <c r="BY283" s="1364" t="n"/>
      <c r="BZ283" s="1364" t="n"/>
      <c r="CA283" s="1364" t="n"/>
      <c r="CB283" s="1364" t="n"/>
      <c r="CC283" s="1280" t="n"/>
    </row>
    <row r="284" hidden="1" outlineLevel="1" ht="14.4" customFormat="1" customHeight="1" s="1275">
      <c r="A284" s="1530" t="inlineStr">
        <is>
          <t>Total CMOS Revenue, mm</t>
        </is>
      </c>
      <c r="B284" s="1531" t="n"/>
      <c r="C284" s="1532">
        <f>SUM(C281:C283)</f>
        <v/>
      </c>
      <c r="D284" s="1532">
        <f>SUM(D281:D283)</f>
        <v/>
      </c>
      <c r="E284" s="1532">
        <f>SUM(E281:E283)</f>
        <v/>
      </c>
      <c r="F284" s="1532">
        <f>SUM(F281:F283)</f>
        <v/>
      </c>
      <c r="G284" s="1532">
        <f>SUM(G281:G283)</f>
        <v/>
      </c>
      <c r="H284" s="1533" t="n"/>
      <c r="I284" s="1533" t="n"/>
      <c r="J284" s="1533" t="n"/>
      <c r="K284" s="1533" t="n"/>
      <c r="L284" s="1532">
        <f>SUM(L281:L283)</f>
        <v/>
      </c>
      <c r="M284" s="1533" t="n"/>
      <c r="N284" s="1533" t="n"/>
      <c r="O284" s="1533" t="n"/>
      <c r="P284" s="1533" t="n"/>
      <c r="Q284" s="1532">
        <f>SUM(Q281:Q283)</f>
        <v/>
      </c>
      <c r="R284" s="1533" t="n"/>
      <c r="S284" s="1533" t="n"/>
      <c r="T284" s="1533" t="n"/>
      <c r="U284" s="1533" t="n"/>
      <c r="V284" s="1534" t="n"/>
      <c r="W284" s="1533" t="n"/>
      <c r="X284" s="1533" t="n"/>
      <c r="Y284" s="1533" t="n"/>
      <c r="Z284" s="1533" t="n"/>
      <c r="AA284" s="1534" t="n"/>
      <c r="AB284" s="1533" t="n"/>
      <c r="AC284" s="1533" t="n"/>
      <c r="AD284" s="1533" t="n"/>
      <c r="AE284" s="1533" t="n"/>
      <c r="AF284" s="1534" t="n"/>
      <c r="AG284" s="1533" t="n"/>
      <c r="AH284" s="1533" t="n"/>
      <c r="AI284" s="1533" t="n"/>
      <c r="AJ284" s="1533" t="n"/>
      <c r="AK284" s="1534" t="n"/>
      <c r="AL284" s="1533" t="n"/>
      <c r="AM284" s="1533" t="n"/>
      <c r="AN284" s="1533" t="n"/>
      <c r="AO284" s="1533" t="n"/>
      <c r="AP284" s="1534" t="n"/>
      <c r="AQ284" s="1533" t="n"/>
      <c r="AR284" s="1533" t="n"/>
      <c r="AS284" s="1533" t="n"/>
      <c r="AT284" s="1533" t="n"/>
      <c r="AU284" s="1534" t="n"/>
      <c r="AV284" s="1533" t="n"/>
      <c r="AW284" s="1533" t="n"/>
      <c r="AX284" s="1533" t="n"/>
      <c r="AY284" s="1533" t="n"/>
      <c r="AZ284" s="1534" t="n"/>
      <c r="BA284" s="1533" t="n"/>
      <c r="BB284" s="1533" t="n"/>
      <c r="BC284" s="1533" t="n"/>
      <c r="BD284" s="1533" t="n"/>
      <c r="BE284" s="1534" t="n"/>
      <c r="BF284" s="1533" t="n"/>
      <c r="BG284" s="1533" t="n"/>
      <c r="BH284" s="1533" t="n"/>
      <c r="BI284" s="1533" t="n"/>
      <c r="BJ284" s="1534" t="n"/>
      <c r="BK284" s="1533" t="n"/>
      <c r="BL284" s="1533" t="n"/>
      <c r="BM284" s="1533" t="n"/>
      <c r="BN284" s="1533" t="n"/>
      <c r="BO284" s="1535" t="n"/>
      <c r="BP284" s="1533" t="n"/>
      <c r="BQ284" s="1533" t="n"/>
      <c r="BR284" s="1533" t="n"/>
      <c r="BS284" s="1533" t="n"/>
      <c r="BT284" s="1534" t="n"/>
      <c r="BU284" s="1533" t="n"/>
      <c r="BV284" s="1533" t="n"/>
      <c r="BW284" s="1533" t="n"/>
      <c r="BX284" s="1533" t="n"/>
      <c r="BY284" s="1534" t="n"/>
      <c r="BZ284" s="1534" t="n"/>
      <c r="CA284" s="1534" t="n"/>
      <c r="CB284" s="1534" t="n"/>
      <c r="CC284" s="1280" t="n"/>
    </row>
    <row r="285" hidden="1" outlineLevel="1" ht="14.4" customFormat="1" customHeight="1" s="1275">
      <c r="A285" s="1536" t="inlineStr">
        <is>
          <t>BiCMOS revenue, mm</t>
        </is>
      </c>
      <c r="B285" s="1537" t="n"/>
      <c r="C285" s="1538" t="n">
        <v>2912</v>
      </c>
      <c r="D285" s="1538" t="n">
        <v>3548</v>
      </c>
      <c r="E285" s="1538" t="n">
        <v>2769</v>
      </c>
      <c r="F285" s="1538" t="n">
        <v>1924</v>
      </c>
      <c r="G285" s="1538" t="n">
        <v>1615</v>
      </c>
      <c r="H285" s="1539" t="n"/>
      <c r="I285" s="1539" t="n"/>
      <c r="J285" s="1539" t="n"/>
      <c r="K285" s="1539" t="n"/>
      <c r="L285" s="1540" t="n"/>
      <c r="M285" s="1539" t="n"/>
      <c r="N285" s="1539" t="n"/>
      <c r="O285" s="1539" t="n"/>
      <c r="P285" s="1539" t="n"/>
      <c r="Q285" s="1540" t="n"/>
      <c r="R285" s="1539" t="n"/>
      <c r="S285" s="1539" t="n"/>
      <c r="T285" s="1539" t="n"/>
      <c r="U285" s="1539" t="n"/>
      <c r="V285" s="1540" t="n"/>
      <c r="W285" s="1539" t="n"/>
      <c r="X285" s="1539" t="n"/>
      <c r="Y285" s="1539" t="n"/>
      <c r="Z285" s="1539" t="n"/>
      <c r="AA285" s="1540" t="n"/>
      <c r="AB285" s="1539" t="n"/>
      <c r="AC285" s="1539" t="n"/>
      <c r="AD285" s="1539" t="n"/>
      <c r="AE285" s="1539" t="n"/>
      <c r="AF285" s="1540" t="n"/>
      <c r="AG285" s="1539" t="n"/>
      <c r="AH285" s="1539" t="n"/>
      <c r="AI285" s="1539" t="n"/>
      <c r="AJ285" s="1539" t="n"/>
      <c r="AK285" s="1540" t="n"/>
      <c r="AL285" s="1539" t="n"/>
      <c r="AM285" s="1539" t="n"/>
      <c r="AN285" s="1539" t="n"/>
      <c r="AO285" s="1539" t="n"/>
      <c r="AP285" s="1540" t="n"/>
      <c r="AQ285" s="1539" t="n"/>
      <c r="AR285" s="1539" t="n"/>
      <c r="AS285" s="1539" t="n"/>
      <c r="AT285" s="1539" t="n"/>
      <c r="AU285" s="1540" t="n"/>
      <c r="AV285" s="1539" t="n"/>
      <c r="AW285" s="1539" t="n"/>
      <c r="AX285" s="1539" t="n"/>
      <c r="AY285" s="1539" t="n"/>
      <c r="AZ285" s="1540" t="n"/>
      <c r="BA285" s="1539" t="n"/>
      <c r="BB285" s="1539" t="n"/>
      <c r="BC285" s="1539" t="n"/>
      <c r="BD285" s="1539" t="n"/>
      <c r="BE285" s="1540" t="n"/>
      <c r="BF285" s="1539" t="n"/>
      <c r="BG285" s="1539" t="n"/>
      <c r="BH285" s="1539" t="n"/>
      <c r="BI285" s="1539" t="n"/>
      <c r="BJ285" s="1540" t="n"/>
      <c r="BK285" s="1539" t="n"/>
      <c r="BL285" s="1539" t="n"/>
      <c r="BM285" s="1539" t="n"/>
      <c r="BN285" s="1539" t="n"/>
      <c r="BO285" s="1541" t="n"/>
      <c r="BP285" s="1539" t="n"/>
      <c r="BQ285" s="1539" t="n"/>
      <c r="BR285" s="1539" t="n"/>
      <c r="BS285" s="1539" t="n"/>
      <c r="BT285" s="1540" t="n"/>
      <c r="BU285" s="1539" t="n"/>
      <c r="BV285" s="1539" t="n"/>
      <c r="BW285" s="1539" t="n"/>
      <c r="BX285" s="1539" t="n"/>
      <c r="BY285" s="1540" t="n"/>
      <c r="BZ285" s="1540" t="n"/>
      <c r="CA285" s="1540" t="n"/>
      <c r="CB285" s="1540" t="n"/>
      <c r="CC285" s="1280" t="n"/>
    </row>
    <row r="286" hidden="1" outlineLevel="1" ht="14.4" customFormat="1" customHeight="1" s="1275">
      <c r="A286" s="1542" t="inlineStr">
        <is>
          <t>Other revenue, mm</t>
        </is>
      </c>
      <c r="B286" s="1389" t="n"/>
      <c r="C286" s="1390" t="n">
        <v>175</v>
      </c>
      <c r="D286" s="1390" t="n">
        <v>573</v>
      </c>
      <c r="E286" s="1390" t="n">
        <v>1045</v>
      </c>
      <c r="F286" s="1543" t="n">
        <v>1777</v>
      </c>
      <c r="G286" s="1543" t="n">
        <v>3208</v>
      </c>
      <c r="H286" s="1365" t="n"/>
      <c r="I286" s="1365" t="n"/>
      <c r="J286" s="1365" t="n"/>
      <c r="K286" s="1365" t="n"/>
      <c r="L286" s="1390" t="n">
        <v>5591</v>
      </c>
      <c r="M286" s="1365" t="n"/>
      <c r="N286" s="1365" t="n"/>
      <c r="O286" s="1365" t="n"/>
      <c r="P286" s="1365" t="n"/>
      <c r="Q286" s="1390" t="n">
        <v>14255</v>
      </c>
      <c r="R286" s="1365" t="n"/>
      <c r="S286" s="1365" t="n"/>
      <c r="T286" s="1365" t="n"/>
      <c r="U286" s="1365" t="n"/>
      <c r="V286" s="1364" t="n"/>
      <c r="W286" s="1365" t="n"/>
      <c r="X286" s="1365" t="n"/>
      <c r="Y286" s="1365" t="n"/>
      <c r="Z286" s="1365" t="n"/>
      <c r="AA286" s="1364" t="n"/>
      <c r="AB286" s="1365" t="n"/>
      <c r="AC286" s="1365" t="n"/>
      <c r="AD286" s="1365" t="n"/>
      <c r="AE286" s="1365" t="n"/>
      <c r="AF286" s="1364" t="n"/>
      <c r="AG286" s="1365" t="n"/>
      <c r="AH286" s="1365" t="n"/>
      <c r="AI286" s="1365" t="n"/>
      <c r="AJ286" s="1365" t="n"/>
      <c r="AK286" s="1364" t="n"/>
      <c r="AL286" s="1365" t="n"/>
      <c r="AM286" s="1365" t="n"/>
      <c r="AN286" s="1365" t="n"/>
      <c r="AO286" s="1365" t="n"/>
      <c r="AP286" s="1364" t="n"/>
      <c r="AQ286" s="1365" t="n"/>
      <c r="AR286" s="1365" t="n"/>
      <c r="AS286" s="1365" t="n"/>
      <c r="AT286" s="1365" t="n"/>
      <c r="AU286" s="1364" t="n"/>
      <c r="AV286" s="1365" t="n"/>
      <c r="AW286" s="1365" t="n"/>
      <c r="AX286" s="1365" t="n"/>
      <c r="AY286" s="1365" t="n"/>
      <c r="AZ286" s="1364" t="n"/>
      <c r="BA286" s="1365" t="n"/>
      <c r="BB286" s="1365" t="n"/>
      <c r="BC286" s="1365" t="n"/>
      <c r="BD286" s="1365" t="n"/>
      <c r="BE286" s="1364" t="n"/>
      <c r="BF286" s="1365" t="n"/>
      <c r="BG286" s="1365" t="n"/>
      <c r="BH286" s="1365" t="n"/>
      <c r="BI286" s="1365" t="n"/>
      <c r="BJ286" s="1364" t="n"/>
      <c r="BK286" s="1365" t="n"/>
      <c r="BL286" s="1365" t="n"/>
      <c r="BM286" s="1365" t="n"/>
      <c r="BN286" s="1365" t="n"/>
      <c r="BO286" s="1366" t="n"/>
      <c r="BP286" s="1365" t="n"/>
      <c r="BQ286" s="1365" t="n"/>
      <c r="BR286" s="1365" t="n"/>
      <c r="BS286" s="1365" t="n"/>
      <c r="BT286" s="1364" t="n"/>
      <c r="BU286" s="1365" t="n"/>
      <c r="BV286" s="1365" t="n"/>
      <c r="BW286" s="1365" t="n"/>
      <c r="BX286" s="1365" t="n"/>
      <c r="BY286" s="1364" t="n"/>
      <c r="BZ286" s="1364" t="n"/>
      <c r="CA286" s="1364" t="n"/>
      <c r="CB286" s="1364" t="n"/>
      <c r="CC286" s="1280" t="n"/>
    </row>
    <row r="287" hidden="1" outlineLevel="1" ht="14.4" customFormat="1" customHeight="1" s="1323">
      <c r="A287" s="1544" t="inlineStr">
        <is>
          <t>Total revenue, mm</t>
        </is>
      </c>
      <c r="B287" s="1393" t="n"/>
      <c r="C287" s="1329">
        <f>SUM(C284:C286)</f>
        <v/>
      </c>
      <c r="D287" s="1329">
        <f>SUM(D284:D286)</f>
        <v/>
      </c>
      <c r="E287" s="1329">
        <f>SUM(E284:E286)</f>
        <v/>
      </c>
      <c r="F287" s="1329">
        <f>SUM(F284:F286)</f>
        <v/>
      </c>
      <c r="G287" s="1329">
        <f>SUM(G284:G286)</f>
        <v/>
      </c>
      <c r="H287" s="1327" t="n"/>
      <c r="I287" s="1327" t="n"/>
      <c r="J287" s="1327" t="n"/>
      <c r="K287" s="1327" t="n"/>
      <c r="L287" s="1329">
        <f>SUM(L284:L286)</f>
        <v/>
      </c>
      <c r="M287" s="1327" t="n"/>
      <c r="N287" s="1327" t="n"/>
      <c r="O287" s="1327" t="n"/>
      <c r="P287" s="1327" t="n"/>
      <c r="Q287" s="1329">
        <f>SUM(Q284:Q286)</f>
        <v/>
      </c>
      <c r="R287" s="1327" t="n"/>
      <c r="S287" s="1327" t="n"/>
      <c r="T287" s="1327" t="n"/>
      <c r="U287" s="1327" t="n"/>
      <c r="V287" s="1326" t="n"/>
      <c r="W287" s="1327" t="n"/>
      <c r="X287" s="1327" t="n"/>
      <c r="Y287" s="1327" t="n"/>
      <c r="Z287" s="1327" t="n"/>
      <c r="AA287" s="1326" t="n"/>
      <c r="AB287" s="1327" t="n"/>
      <c r="AC287" s="1327" t="n"/>
      <c r="AD287" s="1327" t="n"/>
      <c r="AE287" s="1327" t="n"/>
      <c r="AF287" s="1326" t="n"/>
      <c r="AG287" s="1327" t="n"/>
      <c r="AH287" s="1327" t="n"/>
      <c r="AI287" s="1327" t="n"/>
      <c r="AJ287" s="1327" t="n"/>
      <c r="AK287" s="1326" t="n"/>
      <c r="AL287" s="1327" t="n"/>
      <c r="AM287" s="1327" t="n"/>
      <c r="AN287" s="1327" t="n"/>
      <c r="AO287" s="1327" t="n"/>
      <c r="AP287" s="1326" t="n"/>
      <c r="AQ287" s="1327" t="n"/>
      <c r="AR287" s="1327" t="n"/>
      <c r="AS287" s="1327" t="n"/>
      <c r="AT287" s="1327" t="n"/>
      <c r="AU287" s="1326" t="n"/>
      <c r="AV287" s="1327" t="n"/>
      <c r="AW287" s="1327" t="n"/>
      <c r="AX287" s="1327" t="n"/>
      <c r="AY287" s="1327" t="n"/>
      <c r="AZ287" s="1326" t="n"/>
      <c r="BA287" s="1327" t="n"/>
      <c r="BB287" s="1327" t="n"/>
      <c r="BC287" s="1327" t="n"/>
      <c r="BD287" s="1327" t="n"/>
      <c r="BE287" s="1326" t="n"/>
      <c r="BF287" s="1327" t="n"/>
      <c r="BG287" s="1327" t="n"/>
      <c r="BH287" s="1327" t="n"/>
      <c r="BI287" s="1327" t="n"/>
      <c r="BJ287" s="1326" t="n"/>
      <c r="BK287" s="1327" t="n"/>
      <c r="BL287" s="1327" t="n"/>
      <c r="BM287" s="1327" t="n"/>
      <c r="BN287" s="1327" t="n"/>
      <c r="BO287" s="1386" t="n"/>
      <c r="BP287" s="1327" t="n"/>
      <c r="BQ287" s="1327" t="n"/>
      <c r="BR287" s="1327" t="n"/>
      <c r="BS287" s="1327" t="n"/>
      <c r="BT287" s="1326" t="n"/>
      <c r="BU287" s="1327" t="n"/>
      <c r="BV287" s="1327" t="n"/>
      <c r="BW287" s="1327" t="n"/>
      <c r="BX287" s="1327" t="n"/>
      <c r="BY287" s="1326" t="n"/>
      <c r="BZ287" s="1326" t="n"/>
      <c r="CA287" s="1326" t="n"/>
      <c r="CB287" s="1326" t="n"/>
      <c r="CC287" s="1331" t="n"/>
    </row>
    <row r="288" hidden="1" outlineLevel="1" ht="14.4" customFormat="1" customHeight="1" s="1350">
      <c r="A288" s="1458" t="n"/>
      <c r="B288" s="1459" t="n"/>
      <c r="C288" s="1353" t="n"/>
      <c r="D288" s="1353" t="n"/>
      <c r="E288" s="1353" t="n"/>
      <c r="F288" s="1353" t="n"/>
      <c r="G288" s="1353" t="n"/>
      <c r="H288" s="1354" t="n"/>
      <c r="I288" s="1354" t="n"/>
      <c r="J288" s="1354" t="n"/>
      <c r="K288" s="1354" t="n"/>
      <c r="L288" s="1353" t="n"/>
      <c r="M288" s="1354" t="n"/>
      <c r="N288" s="1354" t="n"/>
      <c r="O288" s="1354" t="n"/>
      <c r="P288" s="1354" t="n"/>
      <c r="Q288" s="1353" t="n"/>
      <c r="R288" s="1354" t="n"/>
      <c r="S288" s="1354" t="n"/>
      <c r="T288" s="1354" t="n"/>
      <c r="U288" s="1354" t="n"/>
      <c r="V288" s="1353" t="n"/>
      <c r="W288" s="1354" t="n"/>
      <c r="X288" s="1354" t="n"/>
      <c r="Y288" s="1354" t="n"/>
      <c r="Z288" s="1354" t="n"/>
      <c r="AA288" s="1353" t="n"/>
      <c r="AB288" s="1354" t="n"/>
      <c r="AC288" s="1354" t="n"/>
      <c r="AD288" s="1354" t="n"/>
      <c r="AE288" s="1354" t="n"/>
      <c r="AF288" s="1353" t="n"/>
      <c r="AG288" s="1354" t="n"/>
      <c r="AH288" s="1354" t="n"/>
      <c r="AI288" s="1354" t="n"/>
      <c r="AJ288" s="1354" t="n"/>
      <c r="AK288" s="1353" t="n"/>
      <c r="AL288" s="1354" t="n"/>
      <c r="AM288" s="1354" t="n"/>
      <c r="AN288" s="1354" t="n"/>
      <c r="AO288" s="1354" t="n"/>
      <c r="AP288" s="1353" t="n"/>
      <c r="AQ288" s="1354" t="n"/>
      <c r="AR288" s="1354" t="n"/>
      <c r="AS288" s="1354" t="n"/>
      <c r="AT288" s="1354" t="n"/>
      <c r="AU288" s="1353" t="n"/>
      <c r="AV288" s="1354" t="n"/>
      <c r="AW288" s="1354" t="n"/>
      <c r="AX288" s="1354" t="n"/>
      <c r="AY288" s="1354" t="n"/>
      <c r="AZ288" s="1353" t="n"/>
      <c r="BA288" s="1354" t="n"/>
      <c r="BB288" s="1354" t="n"/>
      <c r="BC288" s="1354" t="n"/>
      <c r="BD288" s="1354" t="n"/>
      <c r="BE288" s="1353" t="n"/>
      <c r="BF288" s="1354" t="n"/>
      <c r="BG288" s="1354" t="n"/>
      <c r="BH288" s="1354" t="n"/>
      <c r="BI288" s="1354" t="n"/>
      <c r="BJ288" s="1353" t="n"/>
      <c r="BK288" s="1354" t="n"/>
      <c r="BL288" s="1354" t="n"/>
      <c r="BM288" s="1354" t="n"/>
      <c r="BN288" s="1354" t="n"/>
      <c r="BO288" s="1355" t="n"/>
      <c r="BP288" s="1354" t="n"/>
      <c r="BQ288" s="1354" t="n"/>
      <c r="BR288" s="1354" t="n"/>
      <c r="BS288" s="1354" t="n"/>
      <c r="BT288" s="1353" t="n"/>
      <c r="BU288" s="1354" t="n"/>
      <c r="BV288" s="1354" t="n"/>
      <c r="BW288" s="1354" t="n"/>
      <c r="BX288" s="1354" t="n"/>
      <c r="BY288" s="1353" t="n"/>
      <c r="BZ288" s="1353" t="n"/>
      <c r="CA288" s="1353" t="n"/>
      <c r="CB288" s="1353" t="n"/>
      <c r="CC288" s="1356" t="n"/>
    </row>
    <row r="289" hidden="1" outlineLevel="1" ht="14.4" customFormat="1" customHeight="1" s="1290">
      <c r="A289" s="1545" t="inlineStr">
        <is>
          <t>Logic semiconductor revenue contribution, %</t>
        </is>
      </c>
      <c r="B289" s="1443" t="n"/>
      <c r="C289" s="1403">
        <f>IFERROR(C281/C$287,"")</f>
        <v/>
      </c>
      <c r="D289" s="1403">
        <f>IFERROR(D281/D$287,"")</f>
        <v/>
      </c>
      <c r="E289" s="1403">
        <f>IFERROR(E281/E$287,"")</f>
        <v/>
      </c>
      <c r="F289" s="1403">
        <f>IFERROR(F281/F$287,"")</f>
        <v/>
      </c>
      <c r="G289" s="1403">
        <f>IFERROR(G281/G$287,"")</f>
        <v/>
      </c>
      <c r="H289" s="1294">
        <f>IFERROR(H281/H$287,"")</f>
        <v/>
      </c>
      <c r="I289" s="1294">
        <f>IFERROR(I281/I$287,"")</f>
        <v/>
      </c>
      <c r="J289" s="1294">
        <f>IFERROR(J281/J$287,"")</f>
        <v/>
      </c>
      <c r="K289" s="1294">
        <f>IFERROR(K281/K$287,"")</f>
        <v/>
      </c>
      <c r="L289" s="1403">
        <f>IFERROR(L281/L$287,"")</f>
        <v/>
      </c>
      <c r="M289" s="1294">
        <f>IFERROR(M281/M$287,"")</f>
        <v/>
      </c>
      <c r="N289" s="1294">
        <f>IFERROR(N281/N$287,"")</f>
        <v/>
      </c>
      <c r="O289" s="1294">
        <f>IFERROR(O281/O$287,"")</f>
        <v/>
      </c>
      <c r="P289" s="1294">
        <f>IFERROR(P281/P$287,"")</f>
        <v/>
      </c>
      <c r="Q289" s="1403">
        <f>IFERROR(Q281/Q$287,"")</f>
        <v/>
      </c>
      <c r="R289" s="1294">
        <f>IFERROR(R281/R$287,"")</f>
        <v/>
      </c>
      <c r="S289" s="1294">
        <f>IFERROR(S281/S$287,"")</f>
        <v/>
      </c>
      <c r="T289" s="1294">
        <f>IFERROR(T281/T$287,"")</f>
        <v/>
      </c>
      <c r="U289" s="1294">
        <f>IFERROR(U281/U$287,"")</f>
        <v/>
      </c>
      <c r="V289" s="1403">
        <f>IFERROR(V281/V$287,"")</f>
        <v/>
      </c>
      <c r="W289" s="1294">
        <f>IFERROR(W281/W$287,"")</f>
        <v/>
      </c>
      <c r="X289" s="1294">
        <f>IFERROR(X281/X$287,"")</f>
        <v/>
      </c>
      <c r="Y289" s="1294">
        <f>IFERROR(Y281/Y$287,"")</f>
        <v/>
      </c>
      <c r="Z289" s="1294">
        <f>IFERROR(Z281/Z$287,"")</f>
        <v/>
      </c>
      <c r="AA289" s="1369" t="n"/>
      <c r="AB289" s="1370" t="n"/>
      <c r="AC289" s="1370" t="n"/>
      <c r="AD289" s="1370" t="n"/>
      <c r="AE289" s="1370" t="n"/>
      <c r="AF289" s="1369" t="n"/>
      <c r="AG289" s="1370" t="n"/>
      <c r="AH289" s="1370" t="n"/>
      <c r="AI289" s="1370" t="n"/>
      <c r="AJ289" s="1370" t="n"/>
      <c r="AK289" s="1369" t="n"/>
      <c r="AL289" s="1370" t="n"/>
      <c r="AM289" s="1370" t="n"/>
      <c r="AN289" s="1370" t="n"/>
      <c r="AO289" s="1370" t="n"/>
      <c r="AP289" s="1369" t="n"/>
      <c r="AQ289" s="1370" t="n"/>
      <c r="AR289" s="1370" t="n"/>
      <c r="AS289" s="1370" t="n"/>
      <c r="AT289" s="1370" t="n"/>
      <c r="AU289" s="1369" t="n"/>
      <c r="AV289" s="1370" t="n"/>
      <c r="AW289" s="1370" t="n"/>
      <c r="AX289" s="1370" t="n"/>
      <c r="AY289" s="1370" t="n"/>
      <c r="AZ289" s="1369" t="n"/>
      <c r="BA289" s="1370" t="n"/>
      <c r="BB289" s="1370" t="n"/>
      <c r="BC289" s="1370" t="n"/>
      <c r="BD289" s="1370" t="n"/>
      <c r="BE289" s="1369" t="n"/>
      <c r="BF289" s="1370" t="n"/>
      <c r="BG289" s="1370" t="n"/>
      <c r="BH289" s="1370" t="n"/>
      <c r="BI289" s="1370" t="n"/>
      <c r="BJ289" s="1369" t="n"/>
      <c r="BK289" s="1370" t="n"/>
      <c r="BL289" s="1370" t="n"/>
      <c r="BM289" s="1370" t="n"/>
      <c r="BN289" s="1370" t="n"/>
      <c r="BO289" s="1371" t="n"/>
      <c r="BP289" s="1370" t="n"/>
      <c r="BQ289" s="1370" t="n"/>
      <c r="BR289" s="1370" t="n"/>
      <c r="BS289" s="1370" t="n"/>
      <c r="BT289" s="1369" t="n"/>
      <c r="BU289" s="1370" t="n"/>
      <c r="BV289" s="1370" t="n"/>
      <c r="BW289" s="1370" t="n"/>
      <c r="BX289" s="1370" t="n"/>
      <c r="BY289" s="1369" t="n"/>
      <c r="BZ289" s="1369" t="n"/>
      <c r="CA289" s="1369" t="n"/>
      <c r="CB289" s="1369" t="n"/>
      <c r="CC289" s="1294" t="n"/>
    </row>
    <row r="290" hidden="1" outlineLevel="1" ht="14.4" customFormat="1" customHeight="1" s="1290">
      <c r="A290" s="1545" t="inlineStr">
        <is>
          <t>Mixed-signal semiconductor revenue contribution, %</t>
        </is>
      </c>
      <c r="B290" s="1443" t="n"/>
      <c r="C290" s="1403">
        <f>IFERROR(C282/C$287,"")</f>
        <v/>
      </c>
      <c r="D290" s="1403">
        <f>IFERROR(D282/D$287,"")</f>
        <v/>
      </c>
      <c r="E290" s="1403">
        <f>IFERROR(E282/E$287,"")</f>
        <v/>
      </c>
      <c r="F290" s="1403">
        <f>IFERROR(F282/F$287,"")</f>
        <v/>
      </c>
      <c r="G290" s="1403">
        <f>IFERROR(G282/G$287,"")</f>
        <v/>
      </c>
      <c r="H290" s="1294">
        <f>IFERROR(H282/H$287,"")</f>
        <v/>
      </c>
      <c r="I290" s="1294">
        <f>IFERROR(I282/I$287,"")</f>
        <v/>
      </c>
      <c r="J290" s="1294">
        <f>IFERROR(J282/J$287,"")</f>
        <v/>
      </c>
      <c r="K290" s="1294">
        <f>IFERROR(K282/K$287,"")</f>
        <v/>
      </c>
      <c r="L290" s="1403">
        <f>IFERROR(L282/L$287,"")</f>
        <v/>
      </c>
      <c r="M290" s="1294">
        <f>IFERROR(M282/M$287,"")</f>
        <v/>
      </c>
      <c r="N290" s="1294">
        <f>IFERROR(N282/N$287,"")</f>
        <v/>
      </c>
      <c r="O290" s="1294">
        <f>IFERROR(O282/O$287,"")</f>
        <v/>
      </c>
      <c r="P290" s="1294">
        <f>IFERROR(P282/P$287,"")</f>
        <v/>
      </c>
      <c r="Q290" s="1403">
        <f>IFERROR(Q282/Q$287,"")</f>
        <v/>
      </c>
      <c r="R290" s="1294">
        <f>IFERROR(R282/R$287,"")</f>
        <v/>
      </c>
      <c r="S290" s="1294">
        <f>IFERROR(S282/S$287,"")</f>
        <v/>
      </c>
      <c r="T290" s="1294">
        <f>IFERROR(T282/T$287,"")</f>
        <v/>
      </c>
      <c r="U290" s="1294">
        <f>IFERROR(U282/U$287,"")</f>
        <v/>
      </c>
      <c r="V290" s="1403">
        <f>IFERROR(V282/V$287,"")</f>
        <v/>
      </c>
      <c r="W290" s="1294">
        <f>IFERROR(W282/W$287,"")</f>
        <v/>
      </c>
      <c r="X290" s="1294">
        <f>IFERROR(X282/X$287,"")</f>
        <v/>
      </c>
      <c r="Y290" s="1294">
        <f>IFERROR(Y282/Y$287,"")</f>
        <v/>
      </c>
      <c r="Z290" s="1294">
        <f>IFERROR(Z282/Z$287,"")</f>
        <v/>
      </c>
      <c r="AA290" s="1369" t="n"/>
      <c r="AB290" s="1370" t="n"/>
      <c r="AC290" s="1370" t="n"/>
      <c r="AD290" s="1370" t="n"/>
      <c r="AE290" s="1370" t="n"/>
      <c r="AF290" s="1369" t="n"/>
      <c r="AG290" s="1370" t="n"/>
      <c r="AH290" s="1370" t="n"/>
      <c r="AI290" s="1370" t="n"/>
      <c r="AJ290" s="1370" t="n"/>
      <c r="AK290" s="1369" t="n"/>
      <c r="AL290" s="1370" t="n"/>
      <c r="AM290" s="1370" t="n"/>
      <c r="AN290" s="1370" t="n"/>
      <c r="AO290" s="1370" t="n"/>
      <c r="AP290" s="1369" t="n"/>
      <c r="AQ290" s="1370" t="n"/>
      <c r="AR290" s="1370" t="n"/>
      <c r="AS290" s="1370" t="n"/>
      <c r="AT290" s="1370" t="n"/>
      <c r="AU290" s="1369" t="n"/>
      <c r="AV290" s="1370" t="n"/>
      <c r="AW290" s="1370" t="n"/>
      <c r="AX290" s="1370" t="n"/>
      <c r="AY290" s="1370" t="n"/>
      <c r="AZ290" s="1369" t="n"/>
      <c r="BA290" s="1370" t="n"/>
      <c r="BB290" s="1370" t="n"/>
      <c r="BC290" s="1370" t="n"/>
      <c r="BD290" s="1370" t="n"/>
      <c r="BE290" s="1369" t="n"/>
      <c r="BF290" s="1370" t="n"/>
      <c r="BG290" s="1370" t="n"/>
      <c r="BH290" s="1370" t="n"/>
      <c r="BI290" s="1370" t="n"/>
      <c r="BJ290" s="1369" t="n"/>
      <c r="BK290" s="1370" t="n"/>
      <c r="BL290" s="1370" t="n"/>
      <c r="BM290" s="1370" t="n"/>
      <c r="BN290" s="1370" t="n"/>
      <c r="BO290" s="1371" t="n"/>
      <c r="BP290" s="1370" t="n"/>
      <c r="BQ290" s="1370" t="n"/>
      <c r="BR290" s="1370" t="n"/>
      <c r="BS290" s="1370" t="n"/>
      <c r="BT290" s="1369" t="n"/>
      <c r="BU290" s="1370" t="n"/>
      <c r="BV290" s="1370" t="n"/>
      <c r="BW290" s="1370" t="n"/>
      <c r="BX290" s="1370" t="n"/>
      <c r="BY290" s="1369" t="n"/>
      <c r="BZ290" s="1369" t="n"/>
      <c r="CA290" s="1369" t="n"/>
      <c r="CB290" s="1369" t="n"/>
      <c r="CC290" s="1294" t="n"/>
    </row>
    <row r="291" hidden="1" outlineLevel="1" ht="14.4" customFormat="1" customHeight="1" s="1290">
      <c r="A291" s="1546" t="inlineStr">
        <is>
          <t>Memory revenue semiconductor contribution, %</t>
        </is>
      </c>
      <c r="B291" s="1468" t="n"/>
      <c r="C291" s="1412">
        <f>IFERROR(C283/C$287,"")</f>
        <v/>
      </c>
      <c r="D291" s="1412">
        <f>IFERROR(D283/D$287,"")</f>
        <v/>
      </c>
      <c r="E291" s="1412">
        <f>IFERROR(E283/E$287,"")</f>
        <v/>
      </c>
      <c r="F291" s="1412">
        <f>IFERROR(F283/F$287,"")</f>
        <v/>
      </c>
      <c r="G291" s="1412">
        <f>IFERROR(G283/G$287,"")</f>
        <v/>
      </c>
      <c r="H291" s="1411">
        <f>IFERROR(H283/H$287,"")</f>
        <v/>
      </c>
      <c r="I291" s="1411">
        <f>IFERROR(I283/I$287,"")</f>
        <v/>
      </c>
      <c r="J291" s="1411">
        <f>IFERROR(J283/J$287,"")</f>
        <v/>
      </c>
      <c r="K291" s="1411">
        <f>IFERROR(K283/K$287,"")</f>
        <v/>
      </c>
      <c r="L291" s="1412">
        <f>IFERROR(L283/L$287,"")</f>
        <v/>
      </c>
      <c r="M291" s="1411">
        <f>IFERROR(M283/M$287,"")</f>
        <v/>
      </c>
      <c r="N291" s="1411">
        <f>IFERROR(N283/N$287,"")</f>
        <v/>
      </c>
      <c r="O291" s="1411">
        <f>IFERROR(O283/O$287,"")</f>
        <v/>
      </c>
      <c r="P291" s="1411">
        <f>IFERROR(P283/P$287,"")</f>
        <v/>
      </c>
      <c r="Q291" s="1412">
        <f>IFERROR(Q283/Q$287,"")</f>
        <v/>
      </c>
      <c r="R291" s="1411">
        <f>IFERROR(R283/R$287,"")</f>
        <v/>
      </c>
      <c r="S291" s="1411">
        <f>IFERROR(S283/S$287,"")</f>
        <v/>
      </c>
      <c r="T291" s="1411">
        <f>IFERROR(T283/T$287,"")</f>
        <v/>
      </c>
      <c r="U291" s="1411">
        <f>IFERROR(U283/U$287,"")</f>
        <v/>
      </c>
      <c r="V291" s="1412">
        <f>IFERROR(V283/V$287,"")</f>
        <v/>
      </c>
      <c r="W291" s="1411">
        <f>IFERROR(W283/W$287,"")</f>
        <v/>
      </c>
      <c r="X291" s="1411">
        <f>IFERROR(X283/X$287,"")</f>
        <v/>
      </c>
      <c r="Y291" s="1411">
        <f>IFERROR(Y283/Y$287,"")</f>
        <v/>
      </c>
      <c r="Z291" s="1411">
        <f>IFERROR(Z283/Z$287,"")</f>
        <v/>
      </c>
      <c r="AA291" s="1412">
        <f>IFERROR(AA283/AA$287,"")</f>
        <v/>
      </c>
      <c r="AB291" s="1411">
        <f>IFERROR(AB283/AB$287,"")</f>
        <v/>
      </c>
      <c r="AC291" s="1411">
        <f>IFERROR(AC283/AC$287,"")</f>
        <v/>
      </c>
      <c r="AD291" s="1411">
        <f>IFERROR(AD283/AD$287,"")</f>
        <v/>
      </c>
      <c r="AE291" s="1411">
        <f>IFERROR(AE283/AE$287,"")</f>
        <v/>
      </c>
      <c r="AF291" s="1412">
        <f>IFERROR(AF283/AF$287,"")</f>
        <v/>
      </c>
      <c r="AG291" s="1411">
        <f>IFERROR(AG283/AG$287,"")</f>
        <v/>
      </c>
      <c r="AH291" s="1411">
        <f>IFERROR(AH283/AH$287,"")</f>
        <v/>
      </c>
      <c r="AI291" s="1411">
        <f>IFERROR(AI283/AI$287,"")</f>
        <v/>
      </c>
      <c r="AJ291" s="1411">
        <f>IFERROR(AJ283/AJ$287,"")</f>
        <v/>
      </c>
      <c r="AK291" s="1409" t="n"/>
      <c r="AL291" s="1410" t="n"/>
      <c r="AM291" s="1411">
        <f>IFERROR(AM283/AM$287,"")</f>
        <v/>
      </c>
      <c r="AN291" s="1411">
        <f>IFERROR(AN283/AN$287,"")</f>
        <v/>
      </c>
      <c r="AO291" s="1411">
        <f>IFERROR(AO283/AO$287,"")</f>
        <v/>
      </c>
      <c r="AP291" s="1409" t="n"/>
      <c r="AQ291" s="1410" t="n"/>
      <c r="AR291" s="1411">
        <f>IFERROR(AR283/AR$287,"")</f>
        <v/>
      </c>
      <c r="AS291" s="1411">
        <f>IFERROR(AS283/AS$287,"")</f>
        <v/>
      </c>
      <c r="AT291" s="1411">
        <f>IFERROR(AT283/AT$287,"")</f>
        <v/>
      </c>
      <c r="AU291" s="1409" t="n"/>
      <c r="AV291" s="1410" t="n"/>
      <c r="AW291" s="1411">
        <f>IFERROR(AW283/AW$287,"")</f>
        <v/>
      </c>
      <c r="AX291" s="1411">
        <f>IFERROR(AX283/AX$287,"")</f>
        <v/>
      </c>
      <c r="AY291" s="1411">
        <f>IFERROR(AY283/AY$287,"")</f>
        <v/>
      </c>
      <c r="AZ291" s="1409" t="n"/>
      <c r="BA291" s="1410" t="n"/>
      <c r="BB291" s="1411">
        <f>IFERROR(BB283/BB$287,"")</f>
        <v/>
      </c>
      <c r="BC291" s="1411">
        <f>IFERROR(BC283/BC$287,"")</f>
        <v/>
      </c>
      <c r="BD291" s="1411">
        <f>IFERROR(BD283/BD$287,"")</f>
        <v/>
      </c>
      <c r="BE291" s="1409" t="n"/>
      <c r="BF291" s="1410" t="n"/>
      <c r="BG291" s="1410" t="n"/>
      <c r="BH291" s="1411">
        <f>IFERROR(BH283/BH$287,"")</f>
        <v/>
      </c>
      <c r="BI291" s="1411">
        <f>IFERROR(BI283/BI$287,"")</f>
        <v/>
      </c>
      <c r="BJ291" s="1409" t="n"/>
      <c r="BK291" s="1410" t="n"/>
      <c r="BL291" s="1410" t="n"/>
      <c r="BM291" s="1410" t="n"/>
      <c r="BN291" s="1411">
        <f>IFERROR(BN283/BN$287,"")</f>
        <v/>
      </c>
      <c r="BO291" s="1461" t="n"/>
      <c r="BP291" s="1410" t="n"/>
      <c r="BQ291" s="1410" t="n"/>
      <c r="BR291" s="1410" t="n"/>
      <c r="BS291" s="1410" t="n"/>
      <c r="BT291" s="1409" t="n"/>
      <c r="BU291" s="1410" t="n"/>
      <c r="BV291" s="1410" t="n"/>
      <c r="BW291" s="1410" t="n"/>
      <c r="BX291" s="1410" t="n"/>
      <c r="BY291" s="1409" t="n"/>
      <c r="BZ291" s="1409" t="n"/>
      <c r="CA291" s="1409" t="n"/>
      <c r="CB291" s="1409" t="n"/>
      <c r="CC291" s="1294" t="n"/>
    </row>
    <row r="292" hidden="1" outlineLevel="1" ht="14.4" customFormat="1" customHeight="1" s="1290">
      <c r="A292" s="1547" t="inlineStr">
        <is>
          <t>Total CMOS Revenue contribution, %</t>
        </is>
      </c>
      <c r="B292" s="330" t="n"/>
      <c r="C292" s="1107">
        <f>IFERROR(C284/C$287,"")</f>
        <v/>
      </c>
      <c r="D292" s="1107">
        <f>IFERROR(D284/D$287,"")</f>
        <v/>
      </c>
      <c r="E292" s="1107">
        <f>IFERROR(E284/E$287,"")</f>
        <v/>
      </c>
      <c r="F292" s="1107">
        <f>IFERROR(F284/F$287,"")</f>
        <v/>
      </c>
      <c r="G292" s="1107">
        <f>IFERROR(G284/G$287,"")</f>
        <v/>
      </c>
      <c r="H292" s="248">
        <f>IFERROR(H284/H$287,"")</f>
        <v/>
      </c>
      <c r="I292" s="248">
        <f>IFERROR(I284/I$287,"")</f>
        <v/>
      </c>
      <c r="J292" s="248">
        <f>IFERROR(J284/J$287,"")</f>
        <v/>
      </c>
      <c r="K292" s="248">
        <f>IFERROR(K284/K$287,"")</f>
        <v/>
      </c>
      <c r="L292" s="1107">
        <f>IFERROR(L284/L$287,"")</f>
        <v/>
      </c>
      <c r="M292" s="248">
        <f>IFERROR(M284/M$287,"")</f>
        <v/>
      </c>
      <c r="N292" s="248">
        <f>IFERROR(N284/N$287,"")</f>
        <v/>
      </c>
      <c r="O292" s="248">
        <f>IFERROR(O284/O$287,"")</f>
        <v/>
      </c>
      <c r="P292" s="248">
        <f>IFERROR(P284/P$287,"")</f>
        <v/>
      </c>
      <c r="Q292" s="1107">
        <f>IFERROR(Q284/Q$287,"")</f>
        <v/>
      </c>
      <c r="R292" s="248">
        <f>IFERROR(R284/R$287,"")</f>
        <v/>
      </c>
      <c r="S292" s="248">
        <f>IFERROR(S284/S$287,"")</f>
        <v/>
      </c>
      <c r="T292" s="248">
        <f>IFERROR(T284/T$287,"")</f>
        <v/>
      </c>
      <c r="U292" s="248">
        <f>IFERROR(U284/U$287,"")</f>
        <v/>
      </c>
      <c r="V292" s="1107">
        <f>IFERROR(V284/V$287,"")</f>
        <v/>
      </c>
      <c r="W292" s="248">
        <f>IFERROR(W284/W$287,"")</f>
        <v/>
      </c>
      <c r="X292" s="248">
        <f>IFERROR(X284/X$287,"")</f>
        <v/>
      </c>
      <c r="Y292" s="248">
        <f>IFERROR(Y284/Y$287,"")</f>
        <v/>
      </c>
      <c r="Z292" s="248">
        <f>IFERROR(Z284/Z$287,"")</f>
        <v/>
      </c>
      <c r="AA292" s="1107">
        <f>IFERROR(AA284/AA$287,"")</f>
        <v/>
      </c>
      <c r="AB292" s="248">
        <f>IFERROR(AB284/AB$287,"")</f>
        <v/>
      </c>
      <c r="AC292" s="248">
        <f>IFERROR(AC284/AC$287,"")</f>
        <v/>
      </c>
      <c r="AD292" s="248">
        <f>IFERROR(AD284/AD$287,"")</f>
        <v/>
      </c>
      <c r="AE292" s="248">
        <f>IFERROR(AE284/AE$287,"")</f>
        <v/>
      </c>
      <c r="AF292" s="1107">
        <f>IFERROR(AF284/AF$287,"")</f>
        <v/>
      </c>
      <c r="AG292" s="248">
        <f>IFERROR(AG284/AG$287,"")</f>
        <v/>
      </c>
      <c r="AH292" s="248">
        <f>IFERROR(AH284/AH$287,"")</f>
        <v/>
      </c>
      <c r="AI292" s="248">
        <f>IFERROR(AI284/AI$287,"")</f>
        <v/>
      </c>
      <c r="AJ292" s="248">
        <f>IFERROR(AJ284/AJ$287,"")</f>
        <v/>
      </c>
      <c r="AK292" s="1107">
        <f>IFERROR(AK284/AK$287,"")</f>
        <v/>
      </c>
      <c r="AL292" s="248">
        <f>IFERROR(AL284/AL$287,"")</f>
        <v/>
      </c>
      <c r="AM292" s="248">
        <f>IFERROR(AM284/AM$287,"")</f>
        <v/>
      </c>
      <c r="AN292" s="248">
        <f>IFERROR(AN284/AN$287,"")</f>
        <v/>
      </c>
      <c r="AO292" s="248">
        <f>IFERROR(AO284/AO$287,"")</f>
        <v/>
      </c>
      <c r="AP292" s="1107">
        <f>IFERROR(AP284/AP$287,"")</f>
        <v/>
      </c>
      <c r="AQ292" s="248">
        <f>IFERROR(AQ284/AQ$287,"")</f>
        <v/>
      </c>
      <c r="AR292" s="248">
        <f>IFERROR(AR284/AR$287,"")</f>
        <v/>
      </c>
      <c r="AS292" s="248">
        <f>IFERROR(AS284/AS$287,"")</f>
        <v/>
      </c>
      <c r="AT292" s="248">
        <f>IFERROR(AT284/AT$287,"")</f>
        <v/>
      </c>
      <c r="AU292" s="1107">
        <f>IFERROR(AU284/AU$287,"")</f>
        <v/>
      </c>
      <c r="AV292" s="248">
        <f>IFERROR(AV284/AV$287,"")</f>
        <v/>
      </c>
      <c r="AW292" s="248">
        <f>IFERROR(AW284/AW$287,"")</f>
        <v/>
      </c>
      <c r="AX292" s="248">
        <f>IFERROR(AX284/AX$287,"")</f>
        <v/>
      </c>
      <c r="AY292" s="248">
        <f>IFERROR(AY284/AY$287,"")</f>
        <v/>
      </c>
      <c r="AZ292" s="1107">
        <f>IFERROR(AZ284/AZ$287,"")</f>
        <v/>
      </c>
      <c r="BA292" s="248">
        <f>IFERROR(BA284/BA$287,"")</f>
        <v/>
      </c>
      <c r="BB292" s="248">
        <f>IFERROR(BB284/BB$287,"")</f>
        <v/>
      </c>
      <c r="BC292" s="248">
        <f>IFERROR(BC284/BC$287,"")</f>
        <v/>
      </c>
      <c r="BD292" s="248">
        <f>IFERROR(BD284/BD$287,"")</f>
        <v/>
      </c>
      <c r="BE292" s="1107">
        <f>IFERROR(BE284/BE$287,"")</f>
        <v/>
      </c>
      <c r="BF292" s="248">
        <f>IFERROR(BF284/BF$287,"")</f>
        <v/>
      </c>
      <c r="BG292" s="248">
        <f>IFERROR(BG284/BG$287,"")</f>
        <v/>
      </c>
      <c r="BH292" s="248">
        <f>IFERROR(BH284/BH$287,"")</f>
        <v/>
      </c>
      <c r="BI292" s="248">
        <f>IFERROR(BI284/BI$287,"")</f>
        <v/>
      </c>
      <c r="BJ292" s="1107">
        <f>IFERROR(BJ284/BJ$287,"")</f>
        <v/>
      </c>
      <c r="BK292" s="248">
        <f>IFERROR(BK284/BK$287,"")</f>
        <v/>
      </c>
      <c r="BL292" s="248">
        <f>IFERROR(BL284/BL$287,"")</f>
        <v/>
      </c>
      <c r="BM292" s="248">
        <f>IFERROR(BM284/BM$287,"")</f>
        <v/>
      </c>
      <c r="BN292" s="248">
        <f>IFERROR(BN284/BN$287,"")</f>
        <v/>
      </c>
      <c r="BO292" s="1108">
        <f>IFERROR(BO284/BO$287,"")</f>
        <v/>
      </c>
      <c r="BP292" s="331" t="n"/>
      <c r="BQ292" s="331" t="n"/>
      <c r="BR292" s="331" t="n"/>
      <c r="BS292" s="331" t="n"/>
      <c r="BT292" s="1109" t="n"/>
      <c r="BU292" s="331" t="n"/>
      <c r="BV292" s="331" t="n"/>
      <c r="BW292" s="331" t="n"/>
      <c r="BX292" s="331" t="n"/>
      <c r="BY292" s="1109" t="n"/>
      <c r="BZ292" s="1109" t="n"/>
      <c r="CA292" s="1109" t="n"/>
      <c r="CB292" s="1109" t="n"/>
      <c r="CC292" s="1294" t="n"/>
    </row>
    <row r="293" hidden="1" outlineLevel="1" ht="14.4" customFormat="1" customHeight="1" s="1290">
      <c r="A293" s="1467" t="inlineStr">
        <is>
          <t>Other revenue contribution, %</t>
        </is>
      </c>
      <c r="B293" s="1468" t="n"/>
      <c r="C293" s="1412">
        <f>IFERROR(C286/C$287,"")</f>
        <v/>
      </c>
      <c r="D293" s="1412">
        <f>IFERROR(D286/D$287,"")</f>
        <v/>
      </c>
      <c r="E293" s="1412">
        <f>IFERROR(E286/E$287,"")</f>
        <v/>
      </c>
      <c r="F293" s="1548">
        <f>IFERROR(F286/F$287,"")</f>
        <v/>
      </c>
      <c r="G293" s="1548">
        <f>IFERROR(G286/G$287,"")</f>
        <v/>
      </c>
      <c r="H293" s="1411">
        <f>IFERROR(H286/H$287,"")</f>
        <v/>
      </c>
      <c r="I293" s="1411">
        <f>IFERROR(I286/I$287,"")</f>
        <v/>
      </c>
      <c r="J293" s="1411">
        <f>IFERROR(J286/J$287,"")</f>
        <v/>
      </c>
      <c r="K293" s="1411">
        <f>IFERROR(K286/K$287,"")</f>
        <v/>
      </c>
      <c r="L293" s="1412">
        <f>IFERROR(L286/L$287,"")</f>
        <v/>
      </c>
      <c r="M293" s="1411">
        <f>IFERROR(M286/M$287,"")</f>
        <v/>
      </c>
      <c r="N293" s="1411">
        <f>IFERROR(N286/N$287,"")</f>
        <v/>
      </c>
      <c r="O293" s="1411">
        <f>IFERROR(O286/O$287,"")</f>
        <v/>
      </c>
      <c r="P293" s="1411">
        <f>IFERROR(P286/P$287,"")</f>
        <v/>
      </c>
      <c r="Q293" s="1412">
        <f>IFERROR(Q286/Q$287,"")</f>
        <v/>
      </c>
      <c r="R293" s="1411">
        <f>IFERROR(R286/R$287,"")</f>
        <v/>
      </c>
      <c r="S293" s="1411">
        <f>IFERROR(S286/S$287,"")</f>
        <v/>
      </c>
      <c r="T293" s="1411">
        <f>IFERROR(T286/T$287,"")</f>
        <v/>
      </c>
      <c r="U293" s="1411">
        <f>IFERROR(U286/U$287,"")</f>
        <v/>
      </c>
      <c r="V293" s="1412">
        <f>IFERROR(V286/V$287,"")</f>
        <v/>
      </c>
      <c r="W293" s="1411">
        <f>IFERROR(W286/W$287,"")</f>
        <v/>
      </c>
      <c r="X293" s="1411">
        <f>IFERROR(X286/X$287,"")</f>
        <v/>
      </c>
      <c r="Y293" s="1411">
        <f>IFERROR(Y286/Y$287,"")</f>
        <v/>
      </c>
      <c r="Z293" s="1411">
        <f>IFERROR(Z286/Z$287,"")</f>
        <v/>
      </c>
      <c r="AA293" s="1412">
        <f>IFERROR(AA286/AA$287,"")</f>
        <v/>
      </c>
      <c r="AB293" s="1411">
        <f>IFERROR(AB286/AB$287,"")</f>
        <v/>
      </c>
      <c r="AC293" s="1411">
        <f>IFERROR(AC286/AC$287,"")</f>
        <v/>
      </c>
      <c r="AD293" s="1411">
        <f>IFERROR(AD286/AD$287,"")</f>
        <v/>
      </c>
      <c r="AE293" s="1411">
        <f>IFERROR(AE286/AE$287,"")</f>
        <v/>
      </c>
      <c r="AF293" s="1412">
        <f>IFERROR(AF286/AF$287,"")</f>
        <v/>
      </c>
      <c r="AG293" s="1411">
        <f>IFERROR(AG286/AG$287,"")</f>
        <v/>
      </c>
      <c r="AH293" s="1411">
        <f>IFERROR(AH286/AH$287,"")</f>
        <v/>
      </c>
      <c r="AI293" s="1411">
        <f>IFERROR(AI286/AI$287,"")</f>
        <v/>
      </c>
      <c r="AJ293" s="1411">
        <f>IFERROR(AJ286/AJ$287,"")</f>
        <v/>
      </c>
      <c r="AK293" s="1412">
        <f>IFERROR(AK286/AK$287,"")</f>
        <v/>
      </c>
      <c r="AL293" s="1411">
        <f>IFERROR(AL286/AL$287,"")</f>
        <v/>
      </c>
      <c r="AM293" s="1411">
        <f>IFERROR(AM286/AM$287,"")</f>
        <v/>
      </c>
      <c r="AN293" s="1411">
        <f>IFERROR(AN286/AN$287,"")</f>
        <v/>
      </c>
      <c r="AO293" s="1411">
        <f>IFERROR(AO286/AO$287,"")</f>
        <v/>
      </c>
      <c r="AP293" s="1412">
        <f>IFERROR(AP286/AP$287,"")</f>
        <v/>
      </c>
      <c r="AQ293" s="1411">
        <f>IFERROR(AQ286/AQ$287,"")</f>
        <v/>
      </c>
      <c r="AR293" s="1411">
        <f>IFERROR(AR286/AR$287,"")</f>
        <v/>
      </c>
      <c r="AS293" s="1411">
        <f>IFERROR(AS286/AS$287,"")</f>
        <v/>
      </c>
      <c r="AT293" s="1411">
        <f>IFERROR(AT286/AT$287,"")</f>
        <v/>
      </c>
      <c r="AU293" s="1412">
        <f>IFERROR(AU286/AU$287,"")</f>
        <v/>
      </c>
      <c r="AV293" s="1411">
        <f>IFERROR(AV286/AV$287,"")</f>
        <v/>
      </c>
      <c r="AW293" s="1411">
        <f>IFERROR(AW286/AW$287,"")</f>
        <v/>
      </c>
      <c r="AX293" s="1411">
        <f>IFERROR(AX286/AX$287,"")</f>
        <v/>
      </c>
      <c r="AY293" s="1411">
        <f>IFERROR(AY286/AY$287,"")</f>
        <v/>
      </c>
      <c r="AZ293" s="1412">
        <f>IFERROR(AZ286/AZ$287,"")</f>
        <v/>
      </c>
      <c r="BA293" s="1411">
        <f>IFERROR(BA286/BA$287,"")</f>
        <v/>
      </c>
      <c r="BB293" s="1411">
        <f>IFERROR(BB286/BB$287,"")</f>
        <v/>
      </c>
      <c r="BC293" s="1411">
        <f>IFERROR(BC286/BC$287,"")</f>
        <v/>
      </c>
      <c r="BD293" s="1411">
        <f>IFERROR(BD286/BD$287,"")</f>
        <v/>
      </c>
      <c r="BE293" s="1412">
        <f>IFERROR(BE286/BE$287,"")</f>
        <v/>
      </c>
      <c r="BF293" s="1411">
        <f>IFERROR(BF286/BF$287,"")</f>
        <v/>
      </c>
      <c r="BG293" s="1411">
        <f>IFERROR(BG286/BG$287,"")</f>
        <v/>
      </c>
      <c r="BH293" s="1411">
        <f>IFERROR(BH286/BH$287,"")</f>
        <v/>
      </c>
      <c r="BI293" s="1411">
        <f>IFERROR(BI286/BI$287,"")</f>
        <v/>
      </c>
      <c r="BJ293" s="1412">
        <f>IFERROR(BJ286/BJ$287,"")</f>
        <v/>
      </c>
      <c r="BK293" s="1411">
        <f>IFERROR(BK286/BK$287,"")</f>
        <v/>
      </c>
      <c r="BL293" s="1411">
        <f>IFERROR(BL286/BL$287,"")</f>
        <v/>
      </c>
      <c r="BM293" s="1411">
        <f>IFERROR(BM286/BM$287,"")</f>
        <v/>
      </c>
      <c r="BN293" s="1411">
        <f>IFERROR(BN286/BN$287,"")</f>
        <v/>
      </c>
      <c r="BO293" s="1414">
        <f>IFERROR(BO286/BO$287,"")</f>
        <v/>
      </c>
      <c r="BP293" s="1410" t="n"/>
      <c r="BQ293" s="1410" t="n"/>
      <c r="BR293" s="1410" t="n"/>
      <c r="BS293" s="1410" t="n"/>
      <c r="BT293" s="1409" t="n"/>
      <c r="BU293" s="1410" t="n"/>
      <c r="BV293" s="1410" t="n"/>
      <c r="BW293" s="1410" t="n"/>
      <c r="BX293" s="1410" t="n"/>
      <c r="BY293" s="1409" t="n"/>
      <c r="BZ293" s="1409" t="n"/>
      <c r="CA293" s="1409" t="n"/>
      <c r="CB293" s="1409" t="n"/>
      <c r="CC293" s="1294" t="n"/>
    </row>
    <row r="294" hidden="1" outlineLevel="1" ht="14.4" customFormat="1" customHeight="1" s="1350">
      <c r="A294" s="1471" t="inlineStr">
        <is>
          <t>Total revenue contribution, %</t>
        </is>
      </c>
      <c r="B294" s="1472" t="n"/>
      <c r="C294" s="1419">
        <f>IFERROR(C287/C$287,"")</f>
        <v/>
      </c>
      <c r="D294" s="1419">
        <f>IFERROR(D287/D$287,"")</f>
        <v/>
      </c>
      <c r="E294" s="1419">
        <f>IFERROR(E287/E$287,"")</f>
        <v/>
      </c>
      <c r="F294" s="1419">
        <f>IFERROR(F287/F$287,"")</f>
        <v/>
      </c>
      <c r="G294" s="1419">
        <f>IFERROR(G287/G$287,"")</f>
        <v/>
      </c>
      <c r="H294" s="1420">
        <f>IFERROR(H287/H$287,"")</f>
        <v/>
      </c>
      <c r="I294" s="1420">
        <f>IFERROR(I287/I$287,"")</f>
        <v/>
      </c>
      <c r="J294" s="1420">
        <f>IFERROR(J287/J$287,"")</f>
        <v/>
      </c>
      <c r="K294" s="1420">
        <f>IFERROR(K287/K$287,"")</f>
        <v/>
      </c>
      <c r="L294" s="1419">
        <f>IFERROR(L287/L$287,"")</f>
        <v/>
      </c>
      <c r="M294" s="1420">
        <f>IFERROR(M287/M$287,"")</f>
        <v/>
      </c>
      <c r="N294" s="1420">
        <f>IFERROR(N287/N$287,"")</f>
        <v/>
      </c>
      <c r="O294" s="1420">
        <f>IFERROR(O287/O$287,"")</f>
        <v/>
      </c>
      <c r="P294" s="1420">
        <f>IFERROR(P287/P$287,"")</f>
        <v/>
      </c>
      <c r="Q294" s="1419">
        <f>IFERROR(Q287/Q$287,"")</f>
        <v/>
      </c>
      <c r="R294" s="1420">
        <f>IFERROR(R287/R$287,"")</f>
        <v/>
      </c>
      <c r="S294" s="1420">
        <f>IFERROR(S287/S$287,"")</f>
        <v/>
      </c>
      <c r="T294" s="1420">
        <f>IFERROR(T287/T$287,"")</f>
        <v/>
      </c>
      <c r="U294" s="1420">
        <f>IFERROR(U287/U$287,"")</f>
        <v/>
      </c>
      <c r="V294" s="1419">
        <f>IFERROR(V287/V$287,"")</f>
        <v/>
      </c>
      <c r="W294" s="1420">
        <f>IFERROR(W287/W$287,"")</f>
        <v/>
      </c>
      <c r="X294" s="1420">
        <f>IFERROR(X287/X$287,"")</f>
        <v/>
      </c>
      <c r="Y294" s="1420">
        <f>IFERROR(Y287/Y$287,"")</f>
        <v/>
      </c>
      <c r="Z294" s="1420">
        <f>IFERROR(Z287/Z$287,"")</f>
        <v/>
      </c>
      <c r="AA294" s="1419">
        <f>IFERROR(AA287/AA$287,"")</f>
        <v/>
      </c>
      <c r="AB294" s="1420">
        <f>IFERROR(AB287/AB$287,"")</f>
        <v/>
      </c>
      <c r="AC294" s="1420">
        <f>IFERROR(AC287/AC$287,"")</f>
        <v/>
      </c>
      <c r="AD294" s="1420">
        <f>IFERROR(AD287/AD$287,"")</f>
        <v/>
      </c>
      <c r="AE294" s="1420">
        <f>IFERROR(AE287/AE$287,"")</f>
        <v/>
      </c>
      <c r="AF294" s="1419">
        <f>IFERROR(AF287/AF$287,"")</f>
        <v/>
      </c>
      <c r="AG294" s="1420">
        <f>IFERROR(AG287/AG$287,"")</f>
        <v/>
      </c>
      <c r="AH294" s="1420">
        <f>IFERROR(AH287/AH$287,"")</f>
        <v/>
      </c>
      <c r="AI294" s="1420">
        <f>IFERROR(AI287/AI$287,"")</f>
        <v/>
      </c>
      <c r="AJ294" s="1420">
        <f>IFERROR(AJ287/AJ$287,"")</f>
        <v/>
      </c>
      <c r="AK294" s="1419">
        <f>IFERROR(AK287/AK$287,"")</f>
        <v/>
      </c>
      <c r="AL294" s="1420">
        <f>IFERROR(AL287/AL$287,"")</f>
        <v/>
      </c>
      <c r="AM294" s="1420">
        <f>IFERROR(AM287/AM$287,"")</f>
        <v/>
      </c>
      <c r="AN294" s="1420">
        <f>IFERROR(AN287/AN$287,"")</f>
        <v/>
      </c>
      <c r="AO294" s="1420">
        <f>IFERROR(AO287/AO$287,"")</f>
        <v/>
      </c>
      <c r="AP294" s="1419">
        <f>IFERROR(AP287/AP$287,"")</f>
        <v/>
      </c>
      <c r="AQ294" s="1420">
        <f>IFERROR(AQ287/AQ$287,"")</f>
        <v/>
      </c>
      <c r="AR294" s="1420">
        <f>IFERROR(AR287/AR$287,"")</f>
        <v/>
      </c>
      <c r="AS294" s="1420">
        <f>IFERROR(AS287/AS$287,"")</f>
        <v/>
      </c>
      <c r="AT294" s="1420">
        <f>IFERROR(AT287/AT$287,"")</f>
        <v/>
      </c>
      <c r="AU294" s="1419">
        <f>IFERROR(AU287/AU$287,"")</f>
        <v/>
      </c>
      <c r="AV294" s="1420">
        <f>IFERROR(AV287/AV$287,"")</f>
        <v/>
      </c>
      <c r="AW294" s="1420">
        <f>IFERROR(AW287/AW$287,"")</f>
        <v/>
      </c>
      <c r="AX294" s="1420">
        <f>IFERROR(AX287/AX$287,"")</f>
        <v/>
      </c>
      <c r="AY294" s="1420">
        <f>IFERROR(AY287/AY$287,"")</f>
        <v/>
      </c>
      <c r="AZ294" s="1419">
        <f>IFERROR(AZ287/AZ$287,"")</f>
        <v/>
      </c>
      <c r="BA294" s="1420">
        <f>IFERROR(BA287/BA$287,"")</f>
        <v/>
      </c>
      <c r="BB294" s="1420">
        <f>IFERROR(BB287/BB$287,"")</f>
        <v/>
      </c>
      <c r="BC294" s="1420">
        <f>IFERROR(BC287/BC$287,"")</f>
        <v/>
      </c>
      <c r="BD294" s="1420">
        <f>IFERROR(BD287/BD$287,"")</f>
        <v/>
      </c>
      <c r="BE294" s="1419">
        <f>IFERROR(BE287/BE$287,"")</f>
        <v/>
      </c>
      <c r="BF294" s="1420">
        <f>IFERROR(BF287/BF$287,"")</f>
        <v/>
      </c>
      <c r="BG294" s="1420">
        <f>IFERROR(BG287/BG$287,"")</f>
        <v/>
      </c>
      <c r="BH294" s="1420">
        <f>IFERROR(BH287/BH$287,"")</f>
        <v/>
      </c>
      <c r="BI294" s="1420">
        <f>IFERROR(BI287/BI$287,"")</f>
        <v/>
      </c>
      <c r="BJ294" s="1419">
        <f>IFERROR(BJ287/BJ$287,"")</f>
        <v/>
      </c>
      <c r="BK294" s="1420">
        <f>IFERROR(BK287/BK$287,"")</f>
        <v/>
      </c>
      <c r="BL294" s="1420">
        <f>IFERROR(BL287/BL$287,"")</f>
        <v/>
      </c>
      <c r="BM294" s="1420">
        <f>IFERROR(BM287/BM$287,"")</f>
        <v/>
      </c>
      <c r="BN294" s="1420">
        <f>IFERROR(BN287/BN$287,"")</f>
        <v/>
      </c>
      <c r="BO294" s="1422">
        <f>IFERROR(BO287/BO$287,"")</f>
        <v/>
      </c>
      <c r="BP294" s="1421" t="n"/>
      <c r="BQ294" s="1421" t="n"/>
      <c r="BR294" s="1421" t="n"/>
      <c r="BS294" s="1421" t="n"/>
      <c r="BT294" s="1423" t="n"/>
      <c r="BU294" s="1421" t="n"/>
      <c r="BV294" s="1421" t="n"/>
      <c r="BW294" s="1421" t="n"/>
      <c r="BX294" s="1421" t="n"/>
      <c r="BY294" s="1423" t="n"/>
      <c r="BZ294" s="1423" t="n"/>
      <c r="CA294" s="1423" t="n"/>
      <c r="CB294" s="1423" t="n"/>
      <c r="CC294" s="1356" t="n"/>
    </row>
    <row r="295" hidden="1" outlineLevel="1" ht="14.4" customFormat="1" customHeight="1" s="1350">
      <c r="A295" s="1458" t="n"/>
      <c r="B295" s="1459" t="n"/>
      <c r="C295" s="1353" t="n"/>
      <c r="D295" s="1353" t="n"/>
      <c r="E295" s="1353" t="n"/>
      <c r="F295" s="1353" t="n"/>
      <c r="G295" s="1353" t="n"/>
      <c r="H295" s="1354" t="n"/>
      <c r="I295" s="1354" t="n"/>
      <c r="J295" s="1354" t="n"/>
      <c r="K295" s="1354" t="n"/>
      <c r="L295" s="1353" t="n"/>
      <c r="M295" s="1354" t="n"/>
      <c r="N295" s="1354" t="n"/>
      <c r="O295" s="1354" t="n"/>
      <c r="P295" s="1354" t="n"/>
      <c r="Q295" s="1353" t="n"/>
      <c r="R295" s="1354" t="n"/>
      <c r="S295" s="1354" t="n"/>
      <c r="T295" s="1354" t="n"/>
      <c r="U295" s="1354" t="n"/>
      <c r="V295" s="1353" t="n"/>
      <c r="W295" s="1354" t="n"/>
      <c r="X295" s="1354" t="n"/>
      <c r="Y295" s="1354" t="n"/>
      <c r="Z295" s="1354" t="n"/>
      <c r="AA295" s="1353" t="n"/>
      <c r="AB295" s="1354" t="n"/>
      <c r="AC295" s="1354" t="n"/>
      <c r="AD295" s="1354" t="n"/>
      <c r="AE295" s="1354" t="n"/>
      <c r="AF295" s="1353" t="n"/>
      <c r="AG295" s="1354" t="n"/>
      <c r="AH295" s="1354" t="n"/>
      <c r="AI295" s="1354" t="n"/>
      <c r="AJ295" s="1354" t="n"/>
      <c r="AK295" s="1353" t="n"/>
      <c r="AL295" s="1354" t="n"/>
      <c r="AM295" s="1354" t="n"/>
      <c r="AN295" s="1354" t="n"/>
      <c r="AO295" s="1354" t="n"/>
      <c r="AP295" s="1353" t="n"/>
      <c r="AQ295" s="1354" t="n"/>
      <c r="AR295" s="1354" t="n"/>
      <c r="AS295" s="1354" t="n"/>
      <c r="AT295" s="1354" t="n"/>
      <c r="AU295" s="1353" t="n"/>
      <c r="AV295" s="1354" t="n"/>
      <c r="AW295" s="1354" t="n"/>
      <c r="AX295" s="1354" t="n"/>
      <c r="AY295" s="1354" t="n"/>
      <c r="AZ295" s="1353" t="n"/>
      <c r="BA295" s="1354" t="n"/>
      <c r="BB295" s="1354" t="n"/>
      <c r="BC295" s="1354" t="n"/>
      <c r="BD295" s="1354" t="n"/>
      <c r="BE295" s="1353" t="n"/>
      <c r="BF295" s="1354" t="n"/>
      <c r="BG295" s="1354" t="n"/>
      <c r="BH295" s="1354" t="n"/>
      <c r="BI295" s="1354" t="n"/>
      <c r="BJ295" s="1353" t="n"/>
      <c r="BK295" s="1354" t="n"/>
      <c r="BL295" s="1354" t="n"/>
      <c r="BM295" s="1354" t="n"/>
      <c r="BN295" s="1354" t="n"/>
      <c r="BO295" s="1355" t="n"/>
      <c r="BP295" s="1354" t="n"/>
      <c r="BQ295" s="1354" t="n"/>
      <c r="BR295" s="1354" t="n"/>
      <c r="BS295" s="1354" t="n"/>
      <c r="BT295" s="1353" t="n"/>
      <c r="BU295" s="1354" t="n"/>
      <c r="BV295" s="1354" t="n"/>
      <c r="BW295" s="1354" t="n"/>
      <c r="BX295" s="1354" t="n"/>
      <c r="BY295" s="1353" t="n"/>
      <c r="BZ295" s="1353" t="n"/>
      <c r="CA295" s="1353" t="n"/>
      <c r="CB295" s="1353" t="n"/>
      <c r="CC295" s="1356" t="n"/>
    </row>
    <row r="296" hidden="1" outlineLevel="1" ht="14.4" customFormat="1" customHeight="1" s="1275">
      <c r="A296" s="1357" t="inlineStr">
        <is>
          <t>- Segmented Results - Revenue Breakdown (FS) (Historical)</t>
        </is>
      </c>
      <c r="B296" s="1358" t="n"/>
      <c r="C296" s="1358" t="n"/>
      <c r="D296" s="1358" t="n"/>
      <c r="E296" s="1358" t="n"/>
      <c r="F296" s="1358" t="n"/>
      <c r="G296" s="1358" t="n"/>
      <c r="H296" s="1358" t="n"/>
      <c r="I296" s="1358" t="n"/>
      <c r="J296" s="1358" t="n"/>
      <c r="K296" s="1358" t="n"/>
      <c r="L296" s="1358" t="n"/>
      <c r="M296" s="1358" t="n"/>
      <c r="N296" s="1358" t="n"/>
      <c r="O296" s="1358" t="n"/>
      <c r="P296" s="1358" t="n"/>
      <c r="Q296" s="1358" t="n"/>
      <c r="R296" s="1358" t="n"/>
      <c r="S296" s="1358" t="n"/>
      <c r="T296" s="1358" t="n"/>
      <c r="U296" s="1358" t="n"/>
      <c r="V296" s="1358" t="n"/>
      <c r="W296" s="1358" t="n"/>
      <c r="X296" s="1358" t="n"/>
      <c r="Y296" s="1358" t="n"/>
      <c r="Z296" s="1358" t="n"/>
      <c r="AA296" s="1358" t="n"/>
      <c r="AB296" s="1358" t="n"/>
      <c r="AC296" s="1358" t="n"/>
      <c r="AD296" s="1358" t="n"/>
      <c r="AE296" s="1358" t="n"/>
      <c r="AF296" s="1358" t="n"/>
      <c r="AG296" s="1358" t="n"/>
      <c r="AH296" s="1358" t="n"/>
      <c r="AI296" s="1358" t="n"/>
      <c r="AJ296" s="1358" t="n"/>
      <c r="AK296" s="1358" t="n"/>
      <c r="AL296" s="1358" t="n"/>
      <c r="AM296" s="1358" t="n"/>
      <c r="AN296" s="1358" t="n"/>
      <c r="AO296" s="1358" t="n"/>
      <c r="AP296" s="1358" t="n"/>
      <c r="AQ296" s="1358" t="n"/>
      <c r="AR296" s="1358" t="n"/>
      <c r="AS296" s="1358" t="n"/>
      <c r="AT296" s="1358" t="n"/>
      <c r="AU296" s="1358" t="n"/>
      <c r="AV296" s="1358" t="n"/>
      <c r="AW296" s="1358" t="n"/>
      <c r="AX296" s="1358" t="n"/>
      <c r="AY296" s="1358" t="n"/>
      <c r="AZ296" s="1358" t="n"/>
      <c r="BA296" s="1358" t="n"/>
      <c r="BB296" s="1358" t="n"/>
      <c r="BC296" s="1358" t="n"/>
      <c r="BD296" s="1358" t="n"/>
      <c r="BE296" s="1358" t="n"/>
      <c r="BF296" s="1358" t="n"/>
      <c r="BG296" s="1358" t="n"/>
      <c r="BH296" s="1358" t="n"/>
      <c r="BI296" s="1358" t="n"/>
      <c r="BJ296" s="1358" t="n"/>
      <c r="BK296" s="1358" t="n"/>
      <c r="BL296" s="1358" t="n"/>
      <c r="BM296" s="1358" t="n"/>
      <c r="BN296" s="1358" t="n"/>
      <c r="BO296" s="1359" t="n"/>
      <c r="BP296" s="1358" t="n"/>
      <c r="BQ296" s="1358" t="n"/>
      <c r="BR296" s="1358" t="n"/>
      <c r="BS296" s="1358" t="n"/>
      <c r="BT296" s="1358" t="n"/>
      <c r="BU296" s="1358" t="n"/>
      <c r="BV296" s="1358" t="n"/>
      <c r="BW296" s="1358" t="n"/>
      <c r="BX296" s="1358" t="n"/>
      <c r="BY296" s="1358" t="n"/>
      <c r="BZ296" s="1358" t="n"/>
      <c r="CA296" s="1358" t="n"/>
      <c r="CB296" s="1358" t="n"/>
      <c r="CC296" s="1280" t="n"/>
    </row>
    <row r="297" hidden="1" outlineLevel="1" ht="14.4" customFormat="1" customHeight="1" s="1275">
      <c r="A297" s="1295" t="inlineStr">
        <is>
          <t>Net revenue from sale of goods, mm</t>
        </is>
      </c>
      <c r="B297" s="1296" t="n"/>
      <c r="C297" s="1297" t="n"/>
      <c r="D297" s="1297" t="n"/>
      <c r="E297" s="1297" t="n"/>
      <c r="F297" s="1299" t="n">
        <v>506248.58</v>
      </c>
      <c r="G297" s="1299" t="n">
        <v>596516.949</v>
      </c>
      <c r="H297" s="1298" t="n">
        <v>147997.622</v>
      </c>
      <c r="I297" s="1298" t="n">
        <v>182882.159</v>
      </c>
      <c r="J297" s="1298" t="n">
        <v>208916.301</v>
      </c>
      <c r="K297" s="1280">
        <f>L297-SUM(H297,I297,J297)</f>
        <v/>
      </c>
      <c r="L297" s="1299" t="n">
        <v>762176.835</v>
      </c>
      <c r="M297" s="1298" t="n">
        <v>221899.524</v>
      </c>
      <c r="N297" s="1298" t="n">
        <v>205306.861</v>
      </c>
      <c r="O297" s="1298" t="n">
        <v>212380.151</v>
      </c>
      <c r="P297" s="1280">
        <f>Q297-SUM(M297,N297,O297)</f>
        <v/>
      </c>
      <c r="Q297" s="1299" t="n">
        <v>842997.542</v>
      </c>
      <c r="R297" s="1298" t="n">
        <v>203383.417</v>
      </c>
      <c r="S297" s="1298" t="n">
        <v>221667.204</v>
      </c>
      <c r="T297" s="1298" t="n">
        <v>260273.538</v>
      </c>
      <c r="U297" s="1280">
        <f>V297-SUM(R297,S297,T297)</f>
        <v/>
      </c>
      <c r="V297" s="1299" t="n">
        <v>947415.9</v>
      </c>
      <c r="W297" s="1298" t="n">
        <v>233755.177</v>
      </c>
      <c r="X297" s="1298" t="n">
        <v>213731.711</v>
      </c>
      <c r="Y297" s="1298" t="n">
        <v>251984.109</v>
      </c>
      <c r="Z297" s="1280">
        <f>AA297-SUM(W297,X297,Y297)</f>
        <v/>
      </c>
      <c r="AA297" s="1299" t="n">
        <v>976923.2560000001</v>
      </c>
      <c r="AB297" s="1277" t="n"/>
      <c r="AC297" s="1277" t="n"/>
      <c r="AD297" s="1277" t="n"/>
      <c r="AE297" s="1277" t="n"/>
      <c r="AF297" s="1297" t="n"/>
      <c r="AG297" s="1277" t="n"/>
      <c r="AH297" s="1277" t="n"/>
      <c r="AI297" s="1277" t="n"/>
      <c r="AJ297" s="1277" t="n"/>
      <c r="AK297" s="1297" t="n"/>
      <c r="AL297" s="1277" t="n"/>
      <c r="AM297" s="1277" t="n"/>
      <c r="AN297" s="1277" t="n"/>
      <c r="AO297" s="1277" t="n"/>
      <c r="AP297" s="1297" t="n"/>
      <c r="AQ297" s="1277" t="n"/>
      <c r="AR297" s="1277" t="n"/>
      <c r="AS297" s="1277" t="n"/>
      <c r="AT297" s="1277" t="n"/>
      <c r="AU297" s="1297" t="n"/>
      <c r="AV297" s="1277" t="n"/>
      <c r="AW297" s="1277" t="n"/>
      <c r="AX297" s="1277" t="n"/>
      <c r="AY297" s="1277" t="n"/>
      <c r="AZ297" s="1297" t="n"/>
      <c r="BA297" s="1277" t="n"/>
      <c r="BB297" s="1277" t="n"/>
      <c r="BC297" s="1277" t="n"/>
      <c r="BD297" s="1277" t="n"/>
      <c r="BE297" s="1297" t="n"/>
      <c r="BF297" s="1277" t="n"/>
      <c r="BG297" s="1277" t="n"/>
      <c r="BH297" s="1277" t="n"/>
      <c r="BI297" s="1277" t="n"/>
      <c r="BJ297" s="1297" t="n"/>
      <c r="BK297" s="1277" t="n"/>
      <c r="BL297" s="1277" t="n"/>
      <c r="BM297" s="1277" t="n"/>
      <c r="BN297" s="1277" t="n"/>
      <c r="BO297" s="1382" t="n"/>
      <c r="BP297" s="1277" t="n"/>
      <c r="BQ297" s="1277" t="n"/>
      <c r="BR297" s="1277" t="n"/>
      <c r="BS297" s="1277" t="n"/>
      <c r="BT297" s="1297" t="n"/>
      <c r="BU297" s="1277" t="n"/>
      <c r="BV297" s="1277" t="n"/>
      <c r="BW297" s="1277" t="n"/>
      <c r="BX297" s="1277" t="n"/>
      <c r="BY297" s="1297" t="n"/>
      <c r="BZ297" s="1297" t="n"/>
      <c r="CA297" s="1297" t="n"/>
      <c r="CB297" s="1297" t="n"/>
      <c r="CC297" s="1280" t="n"/>
    </row>
    <row r="298" hidden="1" outlineLevel="1" ht="14.4" customFormat="1" customHeight="1" s="1275">
      <c r="A298" s="1460" t="inlineStr">
        <is>
          <t>Net revenue from royalties, mm</t>
        </is>
      </c>
      <c r="B298" s="1363" t="n"/>
      <c r="C298" s="1364" t="n"/>
      <c r="D298" s="1364" t="n"/>
      <c r="E298" s="1364" t="n"/>
      <c r="F298" s="1390" t="n">
        <v>496.654</v>
      </c>
      <c r="G298" s="1390" t="n">
        <v>507.248</v>
      </c>
      <c r="H298" s="1391" t="n">
        <v>217.55</v>
      </c>
      <c r="I298" s="1391" t="n">
        <v>138.325</v>
      </c>
      <c r="J298" s="1391" t="n">
        <v>133.433</v>
      </c>
      <c r="K298" s="1464">
        <f>L298-SUM(H298,I298,J298)</f>
        <v/>
      </c>
      <c r="L298" s="1390" t="n">
        <v>629.63</v>
      </c>
      <c r="M298" s="1391" t="n">
        <v>134.62</v>
      </c>
      <c r="N298" s="1391" t="n">
        <v>132.891</v>
      </c>
      <c r="O298" s="1391" t="n">
        <v>124.758</v>
      </c>
      <c r="P298" s="1464">
        <f>Q298-SUM(M298,N298,O298)</f>
        <v/>
      </c>
      <c r="Q298" s="1390" t="n">
        <v>499.826</v>
      </c>
      <c r="R298" s="1391" t="n">
        <v>111.944</v>
      </c>
      <c r="S298" s="1391" t="n">
        <v>142.642</v>
      </c>
      <c r="T298" s="1391" t="n">
        <v>132.347</v>
      </c>
      <c r="U298" s="1464">
        <f>V298-SUM(R298,S298,T298)</f>
        <v/>
      </c>
      <c r="V298" s="1390" t="n">
        <v>522.444</v>
      </c>
      <c r="W298" s="1391" t="n">
        <v>159.223</v>
      </c>
      <c r="X298" s="1391" t="n">
        <v>123.501</v>
      </c>
      <c r="Y298" s="1391" t="n">
        <v>123.236</v>
      </c>
      <c r="Z298" s="1464">
        <f>AA298-SUM(W298,X298,Y298)</f>
        <v/>
      </c>
      <c r="AA298" s="1390" t="n">
        <v>523.985</v>
      </c>
      <c r="AB298" s="1365" t="n"/>
      <c r="AC298" s="1365" t="n"/>
      <c r="AD298" s="1365" t="n"/>
      <c r="AE298" s="1365" t="n"/>
      <c r="AF298" s="1364" t="n"/>
      <c r="AG298" s="1365" t="n"/>
      <c r="AH298" s="1365" t="n"/>
      <c r="AI298" s="1365" t="n"/>
      <c r="AJ298" s="1365" t="n"/>
      <c r="AK298" s="1364" t="n"/>
      <c r="AL298" s="1365" t="n"/>
      <c r="AM298" s="1365" t="n"/>
      <c r="AN298" s="1365" t="n"/>
      <c r="AO298" s="1365" t="n"/>
      <c r="AP298" s="1364" t="n"/>
      <c r="AQ298" s="1365" t="n"/>
      <c r="AR298" s="1365" t="n"/>
      <c r="AS298" s="1365" t="n"/>
      <c r="AT298" s="1365" t="n"/>
      <c r="AU298" s="1364" t="n"/>
      <c r="AV298" s="1365" t="n"/>
      <c r="AW298" s="1365" t="n"/>
      <c r="AX298" s="1365" t="n"/>
      <c r="AY298" s="1365" t="n"/>
      <c r="AZ298" s="1364" t="n"/>
      <c r="BA298" s="1365" t="n"/>
      <c r="BB298" s="1365" t="n"/>
      <c r="BC298" s="1365" t="n"/>
      <c r="BD298" s="1365" t="n"/>
      <c r="BE298" s="1364" t="n"/>
      <c r="BF298" s="1365" t="n"/>
      <c r="BG298" s="1365" t="n"/>
      <c r="BH298" s="1365" t="n"/>
      <c r="BI298" s="1365" t="n"/>
      <c r="BJ298" s="1364" t="n"/>
      <c r="BK298" s="1365" t="n"/>
      <c r="BL298" s="1365" t="n"/>
      <c r="BM298" s="1365" t="n"/>
      <c r="BN298" s="1365" t="n"/>
      <c r="BO298" s="1366" t="n"/>
      <c r="BP298" s="1365" t="n"/>
      <c r="BQ298" s="1365" t="n"/>
      <c r="BR298" s="1365" t="n"/>
      <c r="BS298" s="1365" t="n"/>
      <c r="BT298" s="1364" t="n"/>
      <c r="BU298" s="1365" t="n"/>
      <c r="BV298" s="1365" t="n"/>
      <c r="BW298" s="1365" t="n"/>
      <c r="BX298" s="1365" t="n"/>
      <c r="BY298" s="1364" t="n"/>
      <c r="BZ298" s="1364" t="n"/>
      <c r="CA298" s="1364" t="n"/>
      <c r="CB298" s="1364" t="n"/>
      <c r="CC298" s="1280" t="n"/>
    </row>
    <row r="299" hidden="1" outlineLevel="1" ht="14.4" customFormat="1" customHeight="1" s="1323">
      <c r="A299" s="1324" t="inlineStr">
        <is>
          <t>Total Revenue, mm</t>
        </is>
      </c>
      <c r="B299" s="1325" t="n"/>
      <c r="C299" s="1329">
        <f>C369</f>
        <v/>
      </c>
      <c r="D299" s="1329">
        <f>D369</f>
        <v/>
      </c>
      <c r="E299" s="1329">
        <f>E369</f>
        <v/>
      </c>
      <c r="F299" s="1329">
        <f>SUM(F297:F298)</f>
        <v/>
      </c>
      <c r="G299" s="1329">
        <f>SUM(G297:G298)</f>
        <v/>
      </c>
      <c r="H299" s="1328">
        <f>SUM(H297:H298)</f>
        <v/>
      </c>
      <c r="I299" s="1328">
        <f>SUM(I297:I298)</f>
        <v/>
      </c>
      <c r="J299" s="1328">
        <f>SUM(J297:J298)</f>
        <v/>
      </c>
      <c r="K299" s="1328">
        <f>SUM(K297:K298)</f>
        <v/>
      </c>
      <c r="L299" s="1329">
        <f>SUM(L297:L298)</f>
        <v/>
      </c>
      <c r="M299" s="1328">
        <f>SUM(M297:M298)</f>
        <v/>
      </c>
      <c r="N299" s="1328">
        <f>SUM(N297:N298)</f>
        <v/>
      </c>
      <c r="O299" s="1328">
        <f>SUM(O297:O298)</f>
        <v/>
      </c>
      <c r="P299" s="1328">
        <f>SUM(P297:P298)</f>
        <v/>
      </c>
      <c r="Q299" s="1329">
        <f>SUM(Q297:Q298)</f>
        <v/>
      </c>
      <c r="R299" s="1328">
        <f>SUM(R297:R298)</f>
        <v/>
      </c>
      <c r="S299" s="1328">
        <f>SUM(S297:S298)</f>
        <v/>
      </c>
      <c r="T299" s="1328">
        <f>SUM(T297:T298)</f>
        <v/>
      </c>
      <c r="U299" s="1328">
        <f>SUM(U297:U298)</f>
        <v/>
      </c>
      <c r="V299" s="1329">
        <f>SUM(V297:V298)</f>
        <v/>
      </c>
      <c r="W299" s="1328">
        <f>SUM(W297:W298)</f>
        <v/>
      </c>
      <c r="X299" s="1328">
        <f>SUM(X297:X298)</f>
        <v/>
      </c>
      <c r="Y299" s="1328">
        <f>SUM(Y297:Y298)</f>
        <v/>
      </c>
      <c r="Z299" s="1328">
        <f>SUM(Z297:Z298)</f>
        <v/>
      </c>
      <c r="AA299" s="1329">
        <f>SUM(AA297:AA298)</f>
        <v/>
      </c>
      <c r="AB299" s="1327" t="n"/>
      <c r="AC299" s="1327" t="n"/>
      <c r="AD299" s="1327" t="n"/>
      <c r="AE299" s="1327" t="n"/>
      <c r="AF299" s="1326" t="n"/>
      <c r="AG299" s="1327" t="n"/>
      <c r="AH299" s="1327" t="n"/>
      <c r="AI299" s="1327" t="n"/>
      <c r="AJ299" s="1327" t="n"/>
      <c r="AK299" s="1326" t="n"/>
      <c r="AL299" s="1327" t="n"/>
      <c r="AM299" s="1327" t="n"/>
      <c r="AN299" s="1327" t="n"/>
      <c r="AO299" s="1327" t="n"/>
      <c r="AP299" s="1326" t="n"/>
      <c r="AQ299" s="1327" t="n"/>
      <c r="AR299" s="1327" t="n"/>
      <c r="AS299" s="1327" t="n"/>
      <c r="AT299" s="1327" t="n"/>
      <c r="AU299" s="1326" t="n"/>
      <c r="AV299" s="1327" t="n"/>
      <c r="AW299" s="1327" t="n"/>
      <c r="AX299" s="1327" t="n"/>
      <c r="AY299" s="1327" t="n"/>
      <c r="AZ299" s="1326" t="n"/>
      <c r="BA299" s="1327" t="n"/>
      <c r="BB299" s="1327" t="n"/>
      <c r="BC299" s="1327" t="n"/>
      <c r="BD299" s="1327" t="n"/>
      <c r="BE299" s="1326" t="n"/>
      <c r="BF299" s="1327" t="n"/>
      <c r="BG299" s="1327" t="n"/>
      <c r="BH299" s="1327" t="n"/>
      <c r="BI299" s="1327" t="n"/>
      <c r="BJ299" s="1326" t="n"/>
      <c r="BK299" s="1327" t="n"/>
      <c r="BL299" s="1327" t="n"/>
      <c r="BM299" s="1327" t="n"/>
      <c r="BN299" s="1327" t="n"/>
      <c r="BO299" s="1386" t="n"/>
      <c r="BP299" s="1327" t="n"/>
      <c r="BQ299" s="1327" t="n"/>
      <c r="BR299" s="1327" t="n"/>
      <c r="BS299" s="1327" t="n"/>
      <c r="BT299" s="1326" t="n"/>
      <c r="BU299" s="1327" t="n"/>
      <c r="BV299" s="1327" t="n"/>
      <c r="BW299" s="1327" t="n"/>
      <c r="BX299" s="1327" t="n"/>
      <c r="BY299" s="1326" t="n"/>
      <c r="BZ299" s="1326" t="n"/>
      <c r="CA299" s="1326" t="n"/>
      <c r="CB299" s="1326" t="n"/>
      <c r="CC299" s="1331" t="n"/>
    </row>
    <row r="300" collapsed="1" ht="14.4" customFormat="1" customHeight="1" s="1290">
      <c r="A300" s="1549" t="n"/>
      <c r="B300" s="1550" t="n"/>
      <c r="C300" s="1551" t="n"/>
      <c r="D300" s="1551" t="n"/>
      <c r="E300" s="1551" t="n"/>
      <c r="F300" s="1551" t="n"/>
      <c r="G300" s="1551" t="n"/>
      <c r="H300" s="1552" t="n"/>
      <c r="I300" s="1552" t="n"/>
      <c r="J300" s="1552" t="n"/>
      <c r="K300" s="1552" t="n"/>
      <c r="L300" s="1551" t="n"/>
      <c r="M300" s="1552" t="n"/>
      <c r="N300" s="1552" t="n"/>
      <c r="O300" s="1552" t="n"/>
      <c r="P300" s="1552" t="n"/>
      <c r="Q300" s="1551" t="n"/>
      <c r="R300" s="1552" t="n"/>
      <c r="S300" s="1552" t="n"/>
      <c r="T300" s="1552" t="n"/>
      <c r="U300" s="1552" t="n"/>
      <c r="V300" s="1551" t="n"/>
      <c r="W300" s="1552" t="n"/>
      <c r="X300" s="1552" t="n"/>
      <c r="Y300" s="1552" t="n"/>
      <c r="Z300" s="1552" t="n"/>
      <c r="AA300" s="1551" t="n"/>
      <c r="AB300" s="1552" t="n"/>
      <c r="AC300" s="1552" t="n"/>
      <c r="AD300" s="1552" t="n"/>
      <c r="AE300" s="1552" t="n"/>
      <c r="AF300" s="1551" t="n"/>
      <c r="AG300" s="1552" t="n"/>
      <c r="AH300" s="1552" t="n"/>
      <c r="AI300" s="1552" t="n"/>
      <c r="AJ300" s="1552" t="n"/>
      <c r="AK300" s="1551" t="n"/>
      <c r="AL300" s="1552" t="n"/>
      <c r="AM300" s="1552" t="n"/>
      <c r="AN300" s="1552" t="n"/>
      <c r="AO300" s="1552" t="n"/>
      <c r="AP300" s="1551" t="n"/>
      <c r="AQ300" s="1552" t="n"/>
      <c r="AR300" s="1552" t="n"/>
      <c r="AS300" s="1552" t="n"/>
      <c r="AT300" s="1552" t="n"/>
      <c r="AU300" s="1551" t="n"/>
      <c r="AV300" s="1552" t="n"/>
      <c r="AW300" s="1552" t="n"/>
      <c r="AX300" s="1552" t="n"/>
      <c r="AY300" s="1552" t="n"/>
      <c r="AZ300" s="1551" t="n"/>
      <c r="BA300" s="1552" t="n"/>
      <c r="BB300" s="1552" t="n"/>
      <c r="BC300" s="1552" t="n"/>
      <c r="BD300" s="1552" t="n"/>
      <c r="BE300" s="1551" t="n"/>
      <c r="BF300" s="1552" t="n"/>
      <c r="BG300" s="1552" t="n"/>
      <c r="BH300" s="1552" t="n"/>
      <c r="BI300" s="1552" t="n"/>
      <c r="BJ300" s="1551" t="n"/>
      <c r="BK300" s="1552" t="n"/>
      <c r="BL300" s="1552" t="n"/>
      <c r="BM300" s="1552" t="n"/>
      <c r="BN300" s="1552" t="n"/>
      <c r="BO300" s="1553" t="n"/>
      <c r="BP300" s="1552" t="n"/>
      <c r="BQ300" s="1552" t="n"/>
      <c r="BR300" s="1552" t="n"/>
      <c r="BS300" s="1552" t="n"/>
      <c r="BT300" s="1551" t="n"/>
      <c r="BU300" s="1552" t="n"/>
      <c r="BV300" s="1552" t="n"/>
      <c r="BW300" s="1552" t="n"/>
      <c r="BX300" s="1552" t="n"/>
      <c r="BY300" s="1551" t="n"/>
      <c r="BZ300" s="1551" t="n"/>
      <c r="CA300" s="1551" t="n"/>
      <c r="CB300" s="1551" t="n"/>
      <c r="CC300" s="1294" t="n"/>
    </row>
    <row r="301" ht="14.4" customFormat="1" customHeight="1" s="1290">
      <c r="A301" s="1291" t="inlineStr">
        <is>
          <t>Margin Analysis</t>
        </is>
      </c>
      <c r="B301" s="1292" t="n"/>
      <c r="C301" s="1292" t="n"/>
      <c r="D301" s="1292" t="n"/>
      <c r="E301" s="1292" t="n"/>
      <c r="F301" s="1292" t="n"/>
      <c r="G301" s="1292" t="n"/>
      <c r="H301" s="1292" t="n"/>
      <c r="I301" s="1292" t="n"/>
      <c r="J301" s="1292" t="n"/>
      <c r="K301" s="1292" t="n"/>
      <c r="L301" s="1292" t="n"/>
      <c r="M301" s="1292" t="n"/>
      <c r="N301" s="1292" t="n"/>
      <c r="O301" s="1292" t="n"/>
      <c r="P301" s="1292" t="n"/>
      <c r="Q301" s="1292" t="n"/>
      <c r="R301" s="1292" t="n"/>
      <c r="S301" s="1292" t="n"/>
      <c r="T301" s="1292" t="n"/>
      <c r="U301" s="1292" t="n"/>
      <c r="V301" s="1292" t="n"/>
      <c r="W301" s="1292" t="n"/>
      <c r="X301" s="1292" t="n"/>
      <c r="Y301" s="1292" t="n"/>
      <c r="Z301" s="1292" t="n"/>
      <c r="AA301" s="1292" t="n"/>
      <c r="AB301" s="1292" t="n"/>
      <c r="AC301" s="1292" t="n"/>
      <c r="AD301" s="1292" t="n"/>
      <c r="AE301" s="1292" t="n"/>
      <c r="AF301" s="1292" t="n"/>
      <c r="AG301" s="1292" t="n"/>
      <c r="AH301" s="1292" t="n"/>
      <c r="AI301" s="1292" t="n"/>
      <c r="AJ301" s="1292" t="n"/>
      <c r="AK301" s="1292" t="n"/>
      <c r="AL301" s="1292" t="n"/>
      <c r="AM301" s="1292" t="n"/>
      <c r="AN301" s="1292" t="n"/>
      <c r="AO301" s="1292" t="n"/>
      <c r="AP301" s="1292" t="n"/>
      <c r="AQ301" s="1292" t="n"/>
      <c r="AR301" s="1292" t="n"/>
      <c r="AS301" s="1292" t="n"/>
      <c r="AT301" s="1292" t="n"/>
      <c r="AU301" s="1292" t="n"/>
      <c r="AV301" s="1292" t="n"/>
      <c r="AW301" s="1292" t="n"/>
      <c r="AX301" s="1292" t="n"/>
      <c r="AY301" s="1292" t="n"/>
      <c r="AZ301" s="1292" t="n"/>
      <c r="BA301" s="1292" t="n"/>
      <c r="BB301" s="1292" t="n"/>
      <c r="BC301" s="1292" t="n"/>
      <c r="BD301" s="1292" t="n"/>
      <c r="BE301" s="1292" t="n"/>
      <c r="BF301" s="1292" t="n"/>
      <c r="BG301" s="1292" t="n"/>
      <c r="BH301" s="1292" t="n"/>
      <c r="BI301" s="1292" t="n"/>
      <c r="BJ301" s="1292" t="n"/>
      <c r="BK301" s="1292" t="n"/>
      <c r="BL301" s="1292" t="n"/>
      <c r="BM301" s="1292" t="n"/>
      <c r="BN301" s="1292" t="n"/>
      <c r="BO301" s="1293" t="n"/>
      <c r="BP301" s="1292" t="n"/>
      <c r="BQ301" s="1292" t="n"/>
      <c r="BR301" s="1292" t="n"/>
      <c r="BS301" s="1292" t="n"/>
      <c r="BT301" s="1292" t="n"/>
      <c r="BU301" s="1292" t="n"/>
      <c r="BV301" s="1292" t="n"/>
      <c r="BW301" s="1292" t="n"/>
      <c r="BX301" s="1292" t="n"/>
      <c r="BY301" s="1292" t="n"/>
      <c r="BZ301" s="1292" t="n"/>
      <c r="CA301" s="1292" t="n"/>
      <c r="CB301" s="1292" t="n"/>
      <c r="CC301" s="1294" t="n"/>
    </row>
    <row r="302" hidden="1" outlineLevel="1" ht="14.4" customFormat="1" customHeight="1" s="1350">
      <c r="A302" s="1554" t="inlineStr">
        <is>
          <t>COGS Margin, %</t>
        </is>
      </c>
      <c r="B302" s="1555" t="n"/>
      <c r="C302" s="1556">
        <f>C372/C369</f>
        <v/>
      </c>
      <c r="D302" s="1556">
        <f>D372/D369</f>
        <v/>
      </c>
      <c r="E302" s="1556">
        <f>E372/E369</f>
        <v/>
      </c>
      <c r="F302" s="1556">
        <f>F372/F369</f>
        <v/>
      </c>
      <c r="G302" s="1556">
        <f>G372/G369</f>
        <v/>
      </c>
      <c r="H302" s="1557">
        <f>H372/H369</f>
        <v/>
      </c>
      <c r="I302" s="1557">
        <f>I372/I369</f>
        <v/>
      </c>
      <c r="J302" s="1557">
        <f>J372/J369</f>
        <v/>
      </c>
      <c r="K302" s="1557">
        <f>K372/K369</f>
        <v/>
      </c>
      <c r="L302" s="1556">
        <f>L372/L369</f>
        <v/>
      </c>
      <c r="M302" s="1557">
        <f>M372/M369</f>
        <v/>
      </c>
      <c r="N302" s="1557">
        <f>N372/N369</f>
        <v/>
      </c>
      <c r="O302" s="1557">
        <f>O372/O369</f>
        <v/>
      </c>
      <c r="P302" s="1557">
        <f>P372/P369</f>
        <v/>
      </c>
      <c r="Q302" s="1556">
        <f>Q372/Q369</f>
        <v/>
      </c>
      <c r="R302" s="1557">
        <f>R372/R369</f>
        <v/>
      </c>
      <c r="S302" s="1557">
        <f>S372/S369</f>
        <v/>
      </c>
      <c r="T302" s="1557">
        <f>T372/T369</f>
        <v/>
      </c>
      <c r="U302" s="1557">
        <f>U372/U369</f>
        <v/>
      </c>
      <c r="V302" s="1556">
        <f>V372/V369</f>
        <v/>
      </c>
      <c r="W302" s="1557">
        <f>W372/W369</f>
        <v/>
      </c>
      <c r="X302" s="1557">
        <f>X372/X369</f>
        <v/>
      </c>
      <c r="Y302" s="1557">
        <f>Y372/Y369</f>
        <v/>
      </c>
      <c r="Z302" s="1557">
        <f>Z372/Z369</f>
        <v/>
      </c>
      <c r="AA302" s="1556">
        <f>AA372/AA369</f>
        <v/>
      </c>
      <c r="AB302" s="1557">
        <f>AB372/AB369</f>
        <v/>
      </c>
      <c r="AC302" s="1557">
        <f>AC372/AC369</f>
        <v/>
      </c>
      <c r="AD302" s="1557">
        <f>AD372/AD369</f>
        <v/>
      </c>
      <c r="AE302" s="1557">
        <f>AE372/AE369</f>
        <v/>
      </c>
      <c r="AF302" s="1556">
        <f>AF372/AF369</f>
        <v/>
      </c>
      <c r="AG302" s="1557">
        <f>AG372/AG369</f>
        <v/>
      </c>
      <c r="AH302" s="1557">
        <f>AH372/AH369</f>
        <v/>
      </c>
      <c r="AI302" s="1557">
        <f>AI372/AI369</f>
        <v/>
      </c>
      <c r="AJ302" s="1557">
        <f>AJ372/AJ369</f>
        <v/>
      </c>
      <c r="AK302" s="1556">
        <f>AK372/AK369</f>
        <v/>
      </c>
      <c r="AL302" s="1557">
        <f>AL372/AL369</f>
        <v/>
      </c>
      <c r="AM302" s="1557">
        <f>AM372/AM369</f>
        <v/>
      </c>
      <c r="AN302" s="1557">
        <f>AN372/AN369</f>
        <v/>
      </c>
      <c r="AO302" s="1557">
        <f>AO372/AO369</f>
        <v/>
      </c>
      <c r="AP302" s="1556">
        <f>AP372/AP369</f>
        <v/>
      </c>
      <c r="AQ302" s="1557">
        <f>AQ372/AQ369</f>
        <v/>
      </c>
      <c r="AR302" s="1557">
        <f>AR372/AR369</f>
        <v/>
      </c>
      <c r="AS302" s="1557">
        <f>AS372/AS369</f>
        <v/>
      </c>
      <c r="AT302" s="1557">
        <f>AT372/AT369</f>
        <v/>
      </c>
      <c r="AU302" s="1556">
        <f>AU372/AU369</f>
        <v/>
      </c>
      <c r="AV302" s="1557">
        <f>AV372/AV369</f>
        <v/>
      </c>
      <c r="AW302" s="1557">
        <f>AW372/AW369</f>
        <v/>
      </c>
      <c r="AX302" s="1557">
        <f>AX372/AX369</f>
        <v/>
      </c>
      <c r="AY302" s="1557">
        <f>AY372/AY369</f>
        <v/>
      </c>
      <c r="AZ302" s="1556">
        <f>AZ372/AZ369</f>
        <v/>
      </c>
      <c r="BA302" s="1557">
        <f>BA372/BA369</f>
        <v/>
      </c>
      <c r="BB302" s="1557">
        <f>BB372/BB369</f>
        <v/>
      </c>
      <c r="BC302" s="1557">
        <f>BC372/BC369</f>
        <v/>
      </c>
      <c r="BD302" s="1557">
        <f>BD372/BD369</f>
        <v/>
      </c>
      <c r="BE302" s="1556">
        <f>BE372/BE369</f>
        <v/>
      </c>
      <c r="BF302" s="1557">
        <f>BF372/BF369</f>
        <v/>
      </c>
      <c r="BG302" s="1557">
        <f>BG372/BG369</f>
        <v/>
      </c>
      <c r="BH302" s="1557">
        <f>BH372/BH369</f>
        <v/>
      </c>
      <c r="BI302" s="1557">
        <f>BI372/BI369</f>
        <v/>
      </c>
      <c r="BJ302" s="1556">
        <f>BJ372/BJ369</f>
        <v/>
      </c>
      <c r="BK302" s="1557">
        <f>BK372/BK369</f>
        <v/>
      </c>
      <c r="BL302" s="1557">
        <f>BL372/BL369</f>
        <v/>
      </c>
      <c r="BM302" s="1557">
        <f>BM372/BM369</f>
        <v/>
      </c>
      <c r="BN302" s="1557">
        <f>BN372/BN369</f>
        <v/>
      </c>
      <c r="BO302" s="1558">
        <f>BO372/BO369</f>
        <v/>
      </c>
      <c r="BP302" s="1557">
        <f>BP372/BP369</f>
        <v/>
      </c>
      <c r="BQ302" s="1557">
        <f>BQ372/BQ369</f>
        <v/>
      </c>
      <c r="BR302" s="1557">
        <f>BR372/BR369</f>
        <v/>
      </c>
      <c r="BS302" s="1557">
        <f>BS372/BS369</f>
        <v/>
      </c>
      <c r="BT302" s="1556">
        <f>BT372/BT369</f>
        <v/>
      </c>
      <c r="BU302" s="1557">
        <f>BU372/BU369</f>
        <v/>
      </c>
      <c r="BV302" s="1557">
        <f>BV372/BV369</f>
        <v/>
      </c>
      <c r="BW302" s="1557">
        <f>BW372/BW369</f>
        <v/>
      </c>
      <c r="BX302" s="1557">
        <f>BX372/BX369</f>
        <v/>
      </c>
      <c r="BY302" s="1556">
        <f>BY372/BY369</f>
        <v/>
      </c>
      <c r="BZ302" s="1556">
        <f>BZ372/BZ369</f>
        <v/>
      </c>
      <c r="CA302" s="1556">
        <f>CA372/CA369</f>
        <v/>
      </c>
      <c r="CB302" s="1556">
        <f>CB372/CB369</f>
        <v/>
      </c>
      <c r="CC302" s="1356" t="n"/>
    </row>
    <row r="303" hidden="1" outlineLevel="1" ht="14.4" customFormat="1" customHeight="1" s="1350">
      <c r="A303" s="1559" t="inlineStr">
        <is>
          <t>Gross Margin, %</t>
        </is>
      </c>
      <c r="B303" s="1458" t="n"/>
      <c r="C303" s="1560">
        <f>1-C302</f>
        <v/>
      </c>
      <c r="D303" s="1560">
        <f>1-D302</f>
        <v/>
      </c>
      <c r="E303" s="1560">
        <f>1-E302</f>
        <v/>
      </c>
      <c r="F303" s="1560">
        <f>1-F302</f>
        <v/>
      </c>
      <c r="G303" s="1560">
        <f>1-G302</f>
        <v/>
      </c>
      <c r="H303" s="1561">
        <f>1-H302</f>
        <v/>
      </c>
      <c r="I303" s="1561">
        <f>1-I302</f>
        <v/>
      </c>
      <c r="J303" s="1561">
        <f>1-J302</f>
        <v/>
      </c>
      <c r="K303" s="1561">
        <f>1-K302</f>
        <v/>
      </c>
      <c r="L303" s="1560">
        <f>1-L302</f>
        <v/>
      </c>
      <c r="M303" s="1561">
        <f>1-M302</f>
        <v/>
      </c>
      <c r="N303" s="1561">
        <f>1-N302</f>
        <v/>
      </c>
      <c r="O303" s="1561">
        <f>1-O302</f>
        <v/>
      </c>
      <c r="P303" s="1561">
        <f>1-P302</f>
        <v/>
      </c>
      <c r="Q303" s="1560">
        <f>1-Q302</f>
        <v/>
      </c>
      <c r="R303" s="1561">
        <f>1-R302</f>
        <v/>
      </c>
      <c r="S303" s="1561">
        <f>1-S302</f>
        <v/>
      </c>
      <c r="T303" s="1561">
        <f>1-T302</f>
        <v/>
      </c>
      <c r="U303" s="1561">
        <f>1-U302</f>
        <v/>
      </c>
      <c r="V303" s="1560">
        <f>1-V302</f>
        <v/>
      </c>
      <c r="W303" s="1561">
        <f>1-W302</f>
        <v/>
      </c>
      <c r="X303" s="1561">
        <f>1-X302</f>
        <v/>
      </c>
      <c r="Y303" s="1561">
        <f>1-Y302</f>
        <v/>
      </c>
      <c r="Z303" s="1561">
        <f>1-Z302</f>
        <v/>
      </c>
      <c r="AA303" s="1560">
        <f>1-AA302</f>
        <v/>
      </c>
      <c r="AB303" s="1561">
        <f>1-AB302</f>
        <v/>
      </c>
      <c r="AC303" s="1561">
        <f>1-AC302</f>
        <v/>
      </c>
      <c r="AD303" s="1561">
        <f>1-AD302</f>
        <v/>
      </c>
      <c r="AE303" s="1561">
        <f>1-AE302</f>
        <v/>
      </c>
      <c r="AF303" s="1560">
        <f>1-AF302</f>
        <v/>
      </c>
      <c r="AG303" s="1561">
        <f>1-AG302</f>
        <v/>
      </c>
      <c r="AH303" s="1561">
        <f>1-AH302</f>
        <v/>
      </c>
      <c r="AI303" s="1561">
        <f>1-AI302</f>
        <v/>
      </c>
      <c r="AJ303" s="1561">
        <f>1-AJ302</f>
        <v/>
      </c>
      <c r="AK303" s="1560">
        <f>1-AK302</f>
        <v/>
      </c>
      <c r="AL303" s="1561">
        <f>1-AL302</f>
        <v/>
      </c>
      <c r="AM303" s="1561">
        <f>1-AM302</f>
        <v/>
      </c>
      <c r="AN303" s="1561">
        <f>1-AN302</f>
        <v/>
      </c>
      <c r="AO303" s="1561">
        <f>1-AO302</f>
        <v/>
      </c>
      <c r="AP303" s="1560">
        <f>1-AP302</f>
        <v/>
      </c>
      <c r="AQ303" s="1561">
        <f>1-AQ302</f>
        <v/>
      </c>
      <c r="AR303" s="1561">
        <f>1-AR302</f>
        <v/>
      </c>
      <c r="AS303" s="1561">
        <f>1-AS302</f>
        <v/>
      </c>
      <c r="AT303" s="1561">
        <f>1-AT302</f>
        <v/>
      </c>
      <c r="AU303" s="1560">
        <f>1-AU302</f>
        <v/>
      </c>
      <c r="AV303" s="1561">
        <f>1-AV302</f>
        <v/>
      </c>
      <c r="AW303" s="1561">
        <f>1-AW302</f>
        <v/>
      </c>
      <c r="AX303" s="1561">
        <f>1-AX302</f>
        <v/>
      </c>
      <c r="AY303" s="1561">
        <f>1-AY302</f>
        <v/>
      </c>
      <c r="AZ303" s="1560">
        <f>1-AZ302</f>
        <v/>
      </c>
      <c r="BA303" s="1561">
        <f>1-BA302</f>
        <v/>
      </c>
      <c r="BB303" s="1561">
        <f>1-BB302</f>
        <v/>
      </c>
      <c r="BC303" s="1561">
        <f>1-BC302</f>
        <v/>
      </c>
      <c r="BD303" s="1561">
        <f>1-BD302</f>
        <v/>
      </c>
      <c r="BE303" s="1560">
        <f>1-BE302</f>
        <v/>
      </c>
      <c r="BF303" s="1561">
        <f>1-BF302</f>
        <v/>
      </c>
      <c r="BG303" s="1561">
        <f>1-BG302</f>
        <v/>
      </c>
      <c r="BH303" s="1561">
        <f>1-BH302</f>
        <v/>
      </c>
      <c r="BI303" s="1561">
        <f>1-BI302</f>
        <v/>
      </c>
      <c r="BJ303" s="1560">
        <f>1-BJ302</f>
        <v/>
      </c>
      <c r="BK303" s="1561">
        <f>1-BK302</f>
        <v/>
      </c>
      <c r="BL303" s="1561">
        <f>1-BL302</f>
        <v/>
      </c>
      <c r="BM303" s="1561">
        <f>1-BM302</f>
        <v/>
      </c>
      <c r="BN303" s="1561">
        <f>1-BN302</f>
        <v/>
      </c>
      <c r="BO303" s="1562">
        <f>1-BO302</f>
        <v/>
      </c>
      <c r="BP303" s="1563">
        <f>1-BP302</f>
        <v/>
      </c>
      <c r="BQ303" s="1563">
        <f>1-BQ302</f>
        <v/>
      </c>
      <c r="BR303" s="1563">
        <f>1-BR302</f>
        <v/>
      </c>
      <c r="BS303" s="1563">
        <f>1-BS302</f>
        <v/>
      </c>
      <c r="BT303" s="1564">
        <f>1-BT302</f>
        <v/>
      </c>
      <c r="BU303" s="1563">
        <f>1-BU302</f>
        <v/>
      </c>
      <c r="BV303" s="1563">
        <f>1-BV302</f>
        <v/>
      </c>
      <c r="BW303" s="1563">
        <f>1-BW302</f>
        <v/>
      </c>
      <c r="BX303" s="1563">
        <f>1-BX302</f>
        <v/>
      </c>
      <c r="BY303" s="1564">
        <f>1-BY302</f>
        <v/>
      </c>
      <c r="BZ303" s="1564">
        <f>1-BZ302</f>
        <v/>
      </c>
      <c r="CA303" s="1564">
        <f>1-CA302</f>
        <v/>
      </c>
      <c r="CB303" s="1564">
        <f>1-CB302</f>
        <v/>
      </c>
      <c r="CC303" s="1356" t="n"/>
    </row>
    <row r="304" hidden="1" outlineLevel="1" ht="14.4" customFormat="1" customHeight="1" s="1565">
      <c r="A304" s="1372" t="inlineStr">
        <is>
          <t>Consensus Estimates - Gross Margin, %</t>
        </is>
      </c>
      <c r="B304" s="1476" t="n"/>
      <c r="C304" s="1305" t="n"/>
      <c r="D304" s="1305" t="n"/>
      <c r="E304" s="1305" t="n"/>
      <c r="F304" s="1305" t="n"/>
      <c r="G304" s="1305" t="n"/>
      <c r="H304" s="1306" t="n"/>
      <c r="I304" s="1306" t="n"/>
      <c r="J304" s="1306" t="n"/>
      <c r="K304" s="1306" t="n"/>
      <c r="L304" s="1305" t="n"/>
      <c r="M304" s="1306" t="n"/>
      <c r="N304" s="1306" t="n"/>
      <c r="O304" s="1306" t="n"/>
      <c r="P304" s="1306" t="n"/>
      <c r="Q304" s="1305" t="n"/>
      <c r="R304" s="1306" t="n"/>
      <c r="S304" s="1566" t="n"/>
      <c r="T304" s="1306" t="n"/>
      <c r="U304" s="1306" t="n"/>
      <c r="V304" s="1305" t="n"/>
      <c r="W304" s="1306" t="n"/>
      <c r="X304" s="1566" t="n"/>
      <c r="Y304" s="1306" t="n"/>
      <c r="Z304" s="1306" t="n"/>
      <c r="AA304" s="1305" t="n"/>
      <c r="AB304" s="1306" t="n"/>
      <c r="AC304" s="1566" t="n"/>
      <c r="AD304" s="1306" t="n"/>
      <c r="AE304" s="1306" t="n"/>
      <c r="AF304" s="1305" t="n"/>
      <c r="AG304" s="1306" t="n"/>
      <c r="AH304" s="1566" t="n"/>
      <c r="AI304" s="1306" t="n"/>
      <c r="AJ304" s="1306" t="n"/>
      <c r="AK304" s="1305" t="n"/>
      <c r="AL304" s="1306" t="n"/>
      <c r="AM304" s="1566" t="n"/>
      <c r="AN304" s="1306" t="n"/>
      <c r="AO304" s="1306" t="n"/>
      <c r="AP304" s="1305" t="n"/>
      <c r="AQ304" s="1306" t="n"/>
      <c r="AR304" s="1566" t="n"/>
      <c r="AS304" s="1306" t="n"/>
      <c r="AT304" s="1306" t="n"/>
      <c r="AU304" s="1305" t="n"/>
      <c r="AV304" s="1306" t="n"/>
      <c r="AW304" s="1566" t="n"/>
      <c r="AX304" s="1306" t="n"/>
      <c r="AY304" s="1306" t="n"/>
      <c r="AZ304" s="1305" t="n"/>
      <c r="BA304" s="1306" t="n"/>
      <c r="BB304" s="1566" t="n"/>
      <c r="BC304" s="1306" t="n"/>
      <c r="BD304" s="1306" t="n"/>
      <c r="BE304" s="1305" t="n"/>
      <c r="BF304" s="1306" t="n"/>
      <c r="BG304" s="1566" t="n"/>
      <c r="BH304" s="1306" t="n"/>
      <c r="BI304" s="1306" t="n"/>
      <c r="BJ304" s="1305" t="n"/>
      <c r="BK304" s="1306" t="n"/>
      <c r="BL304" s="1566" t="n"/>
      <c r="BM304" s="1306" t="n"/>
      <c r="BN304" s="1306" t="n"/>
      <c r="BO304" s="1308" t="n"/>
      <c r="BP304" s="1312">
        <f>IFERROR(VLOOKUP($A304,tb_ConsensusEstimate,MATCH(BP$5,OFFSET(tb_ConsensusEstimate,0,0,1,COLUMNS(tb_ConsensusEstimate)),0),FALSE),"-")</f>
        <v/>
      </c>
      <c r="BQ304" s="1312">
        <f>IFERROR(VLOOKUP($A304,tb_ConsensusEstimate,MATCH(BQ$5,OFFSET(tb_ConsensusEstimate,0,0,1,COLUMNS(tb_ConsensusEstimate)),0),FALSE),"-")</f>
        <v/>
      </c>
      <c r="BR304" s="1312">
        <f>IFERROR(VLOOKUP($A304,tb_ConsensusEstimate,MATCH(BR$5,OFFSET(tb_ConsensusEstimate,0,0,1,COLUMNS(tb_ConsensusEstimate)),0),FALSE),"-")</f>
        <v/>
      </c>
      <c r="BS304" s="1312">
        <f>IFERROR(VLOOKUP($A304,tb_ConsensusEstimate,MATCH(BS$5,OFFSET(tb_ConsensusEstimate,0,0,1,COLUMNS(tb_ConsensusEstimate)),0),FALSE),"-")</f>
        <v/>
      </c>
      <c r="BT304" s="1311">
        <f>IFERROR(VLOOKUP($A304,tb_ConsensusEstimate,MATCH(BT$5,OFFSET(tb_ConsensusEstimate,0,0,1,COLUMNS(tb_ConsensusEstimate)),0),FALSE),"-")</f>
        <v/>
      </c>
      <c r="BU304" s="1312">
        <f>IFERROR(VLOOKUP($A304,tb_ConsensusEstimate,MATCH(BU$5,OFFSET(tb_ConsensusEstimate,0,0,1,COLUMNS(tb_ConsensusEstimate)),0),FALSE),"-")</f>
        <v/>
      </c>
      <c r="BV304" s="1312">
        <f>IFERROR(VLOOKUP($A304,tb_ConsensusEstimate,MATCH(BV$5,OFFSET(tb_ConsensusEstimate,0,0,1,COLUMNS(tb_ConsensusEstimate)),0),FALSE),"-")</f>
        <v/>
      </c>
      <c r="BW304" s="1312">
        <f>IFERROR(VLOOKUP($A304,tb_ConsensusEstimate,MATCH(BW$5,OFFSET(tb_ConsensusEstimate,0,0,1,COLUMNS(tb_ConsensusEstimate)),0),FALSE),"-")</f>
        <v/>
      </c>
      <c r="BX304" s="1312">
        <f>IFERROR(VLOOKUP($A304,tb_ConsensusEstimate,MATCH(BX$5,OFFSET(tb_ConsensusEstimate,0,0,1,COLUMNS(tb_ConsensusEstimate)),0),FALSE),"-")</f>
        <v/>
      </c>
      <c r="BY304" s="1311">
        <f>IFERROR(VLOOKUP($A304,tb_ConsensusEstimate,MATCH(BY$5,OFFSET(tb_ConsensusEstimate,0,0,1,COLUMNS(tb_ConsensusEstimate)),0),FALSE),"-")</f>
        <v/>
      </c>
      <c r="BZ304" s="1311">
        <f>IFERROR(VLOOKUP($A304,tb_ConsensusEstimate,MATCH(BZ$5,OFFSET(tb_ConsensusEstimate,0,0,1,COLUMNS(tb_ConsensusEstimate)),0),FALSE),"-")</f>
        <v/>
      </c>
      <c r="CA304" s="1311">
        <f>IFERROR(VLOOKUP($A304,tb_ConsensusEstimate,MATCH(CA$5,OFFSET(tb_ConsensusEstimate,0,0,1,COLUMNS(tb_ConsensusEstimate)),0),FALSE),"-")</f>
        <v/>
      </c>
      <c r="CB304" s="1311">
        <f>IFERROR(VLOOKUP($A304,tb_ConsensusEstimate,MATCH(CB$5,OFFSET(tb_ConsensusEstimate,0,0,1,COLUMNS(tb_ConsensusEstimate)),0),FALSE),"-")</f>
        <v/>
      </c>
      <c r="CC304" s="1306" t="n"/>
    </row>
    <row r="305" hidden="1" outlineLevel="1" ht="14.4" customFormat="1" customHeight="1" s="1350">
      <c r="A305" s="1559" t="n"/>
      <c r="B305" s="1458" t="n"/>
      <c r="C305" s="1564" t="n"/>
      <c r="D305" s="1564" t="n"/>
      <c r="E305" s="1564" t="n"/>
      <c r="F305" s="1564" t="n"/>
      <c r="G305" s="1564" t="n"/>
      <c r="H305" s="1563" t="n"/>
      <c r="I305" s="1563" t="n"/>
      <c r="J305" s="1563" t="n"/>
      <c r="K305" s="1563" t="n"/>
      <c r="L305" s="1564" t="n"/>
      <c r="M305" s="1563" t="n"/>
      <c r="N305" s="1563" t="n"/>
      <c r="O305" s="1563" t="n"/>
      <c r="P305" s="1563" t="n"/>
      <c r="Q305" s="1564" t="n"/>
      <c r="R305" s="1563" t="n"/>
      <c r="S305" s="1563" t="n"/>
      <c r="T305" s="1563" t="n"/>
      <c r="U305" s="1563" t="n"/>
      <c r="V305" s="1564" t="n"/>
      <c r="W305" s="1563" t="n"/>
      <c r="X305" s="1563" t="n"/>
      <c r="Y305" s="1563" t="n"/>
      <c r="Z305" s="1563" t="n"/>
      <c r="AA305" s="1564" t="n"/>
      <c r="AB305" s="1563" t="n"/>
      <c r="AC305" s="1563" t="n"/>
      <c r="AD305" s="1563" t="n"/>
      <c r="AE305" s="1563" t="n"/>
      <c r="AF305" s="1564" t="n"/>
      <c r="AG305" s="1563" t="n"/>
      <c r="AH305" s="1563" t="n"/>
      <c r="AI305" s="1563" t="n"/>
      <c r="AJ305" s="1563" t="n"/>
      <c r="AK305" s="1564" t="n"/>
      <c r="AL305" s="1563" t="n"/>
      <c r="AM305" s="1563" t="n"/>
      <c r="AN305" s="1563" t="n"/>
      <c r="AO305" s="1563" t="n"/>
      <c r="AP305" s="1564" t="n"/>
      <c r="AQ305" s="1563" t="n"/>
      <c r="AR305" s="1563" t="n"/>
      <c r="AS305" s="1563" t="n"/>
      <c r="AT305" s="1563" t="n"/>
      <c r="AU305" s="1564" t="n"/>
      <c r="AV305" s="1563" t="n"/>
      <c r="AW305" s="1563" t="n"/>
      <c r="AX305" s="1563" t="n"/>
      <c r="AY305" s="1563" t="n"/>
      <c r="AZ305" s="1564" t="n"/>
      <c r="BA305" s="1563" t="n"/>
      <c r="BB305" s="1563" t="n"/>
      <c r="BC305" s="1563" t="n"/>
      <c r="BD305" s="1563" t="n"/>
      <c r="BE305" s="1564" t="n"/>
      <c r="BF305" s="1563" t="n"/>
      <c r="BG305" s="1563" t="n"/>
      <c r="BH305" s="1563" t="n"/>
      <c r="BI305" s="1563" t="n"/>
      <c r="BJ305" s="1564" t="n"/>
      <c r="BK305" s="1563" t="n"/>
      <c r="BL305" s="1563" t="n"/>
      <c r="BM305" s="1563" t="n"/>
      <c r="BN305" s="1563" t="n"/>
      <c r="BO305" s="1567" t="n"/>
      <c r="BP305" s="1563" t="n"/>
      <c r="BQ305" s="1563" t="n"/>
      <c r="BR305" s="1563" t="n"/>
      <c r="BS305" s="1563" t="n"/>
      <c r="BT305" s="1564" t="n"/>
      <c r="BU305" s="1563" t="n"/>
      <c r="BV305" s="1563" t="n"/>
      <c r="BW305" s="1563" t="n"/>
      <c r="BX305" s="1563" t="n"/>
      <c r="BY305" s="1564" t="n"/>
      <c r="BZ305" s="1564" t="n"/>
      <c r="CA305" s="1564" t="n"/>
      <c r="CB305" s="1564" t="n"/>
      <c r="CC305" s="1356" t="n"/>
    </row>
    <row r="306" hidden="1" outlineLevel="1" ht="14.4" customFormat="1" customHeight="1" s="1350">
      <c r="A306" s="1559" t="inlineStr">
        <is>
          <t>R&amp;D Margin, %</t>
        </is>
      </c>
      <c r="B306" s="1458" t="n"/>
      <c r="C306" s="1564">
        <f>C$375/C$369</f>
        <v/>
      </c>
      <c r="D306" s="1564">
        <f>D$375/D$369</f>
        <v/>
      </c>
      <c r="E306" s="1564">
        <f>E$375/E$369</f>
        <v/>
      </c>
      <c r="F306" s="1564">
        <f>F$375/F$369</f>
        <v/>
      </c>
      <c r="G306" s="1564">
        <f>G$375/G$369</f>
        <v/>
      </c>
      <c r="H306" s="1563">
        <f>H$375/H$369</f>
        <v/>
      </c>
      <c r="I306" s="1563">
        <f>I$375/I$369</f>
        <v/>
      </c>
      <c r="J306" s="1563">
        <f>J$375/J$369</f>
        <v/>
      </c>
      <c r="K306" s="1563">
        <f>K$375/K$369</f>
        <v/>
      </c>
      <c r="L306" s="1564">
        <f>L$375/L$369</f>
        <v/>
      </c>
      <c r="M306" s="1563">
        <f>M$375/M$369</f>
        <v/>
      </c>
      <c r="N306" s="1563">
        <f>N$375/N$369</f>
        <v/>
      </c>
      <c r="O306" s="1563">
        <f>O$375/O$369</f>
        <v/>
      </c>
      <c r="P306" s="1563">
        <f>P$375/P$369</f>
        <v/>
      </c>
      <c r="Q306" s="1564">
        <f>Q$375/Q$369</f>
        <v/>
      </c>
      <c r="R306" s="1563">
        <f>R$375/R$369</f>
        <v/>
      </c>
      <c r="S306" s="1563">
        <f>S$375/S$369</f>
        <v/>
      </c>
      <c r="T306" s="1563">
        <f>T$375/T$369</f>
        <v/>
      </c>
      <c r="U306" s="1563">
        <f>U$375/U$369</f>
        <v/>
      </c>
      <c r="V306" s="1564">
        <f>V$375/V$369</f>
        <v/>
      </c>
      <c r="W306" s="1563">
        <f>W$375/W$369</f>
        <v/>
      </c>
      <c r="X306" s="1563">
        <f>X$375/X$369</f>
        <v/>
      </c>
      <c r="Y306" s="1563">
        <f>Y$375/Y$369</f>
        <v/>
      </c>
      <c r="Z306" s="1563">
        <f>Z$375/Z$369</f>
        <v/>
      </c>
      <c r="AA306" s="1564">
        <f>AA$375/AA$369</f>
        <v/>
      </c>
      <c r="AB306" s="1563">
        <f>AB$375/AB$369</f>
        <v/>
      </c>
      <c r="AC306" s="1563">
        <f>AC$375/AC$369</f>
        <v/>
      </c>
      <c r="AD306" s="1563">
        <f>AD$375/AD$369</f>
        <v/>
      </c>
      <c r="AE306" s="1563">
        <f>AE$375/AE$369</f>
        <v/>
      </c>
      <c r="AF306" s="1564">
        <f>AF$375/AF$369</f>
        <v/>
      </c>
      <c r="AG306" s="1563">
        <f>AG$375/AG$369</f>
        <v/>
      </c>
      <c r="AH306" s="1563">
        <f>AH$375/AH$369</f>
        <v/>
      </c>
      <c r="AI306" s="1563">
        <f>AI$375/AI$369</f>
        <v/>
      </c>
      <c r="AJ306" s="1563">
        <f>AJ$375/AJ$369</f>
        <v/>
      </c>
      <c r="AK306" s="1564">
        <f>AK$375/AK$369</f>
        <v/>
      </c>
      <c r="AL306" s="1563">
        <f>AL$375/AL$369</f>
        <v/>
      </c>
      <c r="AM306" s="1563">
        <f>AM$375/AM$369</f>
        <v/>
      </c>
      <c r="AN306" s="1563">
        <f>AN$375/AN$369</f>
        <v/>
      </c>
      <c r="AO306" s="1563">
        <f>AO$375/AO$369</f>
        <v/>
      </c>
      <c r="AP306" s="1564">
        <f>AP$375/AP$369</f>
        <v/>
      </c>
      <c r="AQ306" s="1563">
        <f>AQ$375/AQ$369</f>
        <v/>
      </c>
      <c r="AR306" s="1563">
        <f>AR$375/AR$369</f>
        <v/>
      </c>
      <c r="AS306" s="1563">
        <f>AS$375/AS$369</f>
        <v/>
      </c>
      <c r="AT306" s="1563">
        <f>AT$375/AT$369</f>
        <v/>
      </c>
      <c r="AU306" s="1564">
        <f>AU$375/AU$369</f>
        <v/>
      </c>
      <c r="AV306" s="1563">
        <f>AV$375/AV$369</f>
        <v/>
      </c>
      <c r="AW306" s="1563">
        <f>AW$375/AW$369</f>
        <v/>
      </c>
      <c r="AX306" s="1563">
        <f>AX$375/AX$369</f>
        <v/>
      </c>
      <c r="AY306" s="1563">
        <f>AY$375/AY$369</f>
        <v/>
      </c>
      <c r="AZ306" s="1564">
        <f>AZ$375/AZ$369</f>
        <v/>
      </c>
      <c r="BA306" s="1563">
        <f>BA$375/BA$369</f>
        <v/>
      </c>
      <c r="BB306" s="1563">
        <f>BB$375/BB$369</f>
        <v/>
      </c>
      <c r="BC306" s="1563">
        <f>BC$375/BC$369</f>
        <v/>
      </c>
      <c r="BD306" s="1563">
        <f>BD$375/BD$369</f>
        <v/>
      </c>
      <c r="BE306" s="1564">
        <f>BE$375/BE$369</f>
        <v/>
      </c>
      <c r="BF306" s="1563">
        <f>BF$375/BF$369</f>
        <v/>
      </c>
      <c r="BG306" s="1563">
        <f>BG$375/BG$369</f>
        <v/>
      </c>
      <c r="BH306" s="1563">
        <f>BH$375/BH$369</f>
        <v/>
      </c>
      <c r="BI306" s="1563">
        <f>BI$375/BI$369</f>
        <v/>
      </c>
      <c r="BJ306" s="1564">
        <f>BJ$375/BJ$369</f>
        <v/>
      </c>
      <c r="BK306" s="1563">
        <f>BK$375/BK$369</f>
        <v/>
      </c>
      <c r="BL306" s="1563">
        <f>BL$375/BL$369</f>
        <v/>
      </c>
      <c r="BM306" s="1563">
        <f>BM$375/BM$369</f>
        <v/>
      </c>
      <c r="BN306" s="1563">
        <f>BN$375/BN$369</f>
        <v/>
      </c>
      <c r="BO306" s="1567">
        <f>BO$375/BO$369</f>
        <v/>
      </c>
      <c r="BP306" s="1563">
        <f>(BP$375+BP66+BP75+BP385)/BP$369</f>
        <v/>
      </c>
      <c r="BQ306" s="1563">
        <f>(BQ$375+BQ66+BQ75+BQ385)/BQ$369</f>
        <v/>
      </c>
      <c r="BR306" s="1563">
        <f>(BR$375+BR66+BR75+BR385)/BR$369</f>
        <v/>
      </c>
      <c r="BS306" s="1563">
        <f>(BS$375+BS66+BS75+BS385)/BS$369</f>
        <v/>
      </c>
      <c r="BT306" s="1564">
        <f>(BT$375+BT66+BT75+BT385)/BT$369</f>
        <v/>
      </c>
      <c r="BU306" s="1563">
        <f>(BU$375+BU66+BU75+BU385)/BU$369</f>
        <v/>
      </c>
      <c r="BV306" s="1563">
        <f>(BV$375+BV66+BV75+BV385)/BV$369</f>
        <v/>
      </c>
      <c r="BW306" s="1563">
        <f>(BW$375+BW66+BW75+BW385)/BW$369</f>
        <v/>
      </c>
      <c r="BX306" s="1563">
        <f>(BX$375+BX66+BX75+BX385)/BX$369</f>
        <v/>
      </c>
      <c r="BY306" s="1564">
        <f>(BY$375+BY66+BY75+BY385)/BY$369</f>
        <v/>
      </c>
      <c r="BZ306" s="1564">
        <f>(BZ$375+BZ66+BZ75+BZ385)/BZ$369</f>
        <v/>
      </c>
      <c r="CA306" s="1564">
        <f>(CA$375+CA66+CA75+CA385)/CA$369</f>
        <v/>
      </c>
      <c r="CB306" s="1564">
        <f>(CB$375+CB66+CB75+CB385)/CB$369</f>
        <v/>
      </c>
      <c r="CC306" s="1356" t="n"/>
    </row>
    <row r="307" hidden="1" outlineLevel="1" ht="14.4" customFormat="1" customHeight="1" s="1350">
      <c r="A307" s="1568" t="inlineStr">
        <is>
          <t>G&amp;A Margin, %</t>
        </is>
      </c>
      <c r="B307" s="1458" t="n"/>
      <c r="C307" s="1564">
        <f>(C376)/C$369</f>
        <v/>
      </c>
      <c r="D307" s="1564">
        <f>(D376)/D$369</f>
        <v/>
      </c>
      <c r="E307" s="1564">
        <f>(E376)/E$369</f>
        <v/>
      </c>
      <c r="F307" s="1564">
        <f>(F376)/F$369</f>
        <v/>
      </c>
      <c r="G307" s="1564">
        <f>(G376)/G$369</f>
        <v/>
      </c>
      <c r="H307" s="1563">
        <f>(H376)/H$369</f>
        <v/>
      </c>
      <c r="I307" s="1563">
        <f>(I376)/I$369</f>
        <v/>
      </c>
      <c r="J307" s="1563">
        <f>(J376)/J$369</f>
        <v/>
      </c>
      <c r="K307" s="1563">
        <f>(K376)/K$369</f>
        <v/>
      </c>
      <c r="L307" s="1564">
        <f>(L376)/L$369</f>
        <v/>
      </c>
      <c r="M307" s="1563">
        <f>(M376)/M$369</f>
        <v/>
      </c>
      <c r="N307" s="1563">
        <f>(N376)/N$369</f>
        <v/>
      </c>
      <c r="O307" s="1563">
        <f>(O376)/O$369</f>
        <v/>
      </c>
      <c r="P307" s="1563">
        <f>(P376)/P$369</f>
        <v/>
      </c>
      <c r="Q307" s="1564">
        <f>(Q376)/Q$369</f>
        <v/>
      </c>
      <c r="R307" s="1563">
        <f>(R376)/R$369</f>
        <v/>
      </c>
      <c r="S307" s="1563">
        <f>(S376)/S$369</f>
        <v/>
      </c>
      <c r="T307" s="1563">
        <f>(T376)/T$369</f>
        <v/>
      </c>
      <c r="U307" s="1563">
        <f>(U376)/U$369</f>
        <v/>
      </c>
      <c r="V307" s="1564">
        <f>(V376)/V$369</f>
        <v/>
      </c>
      <c r="W307" s="1563">
        <f>(W376)/W$369</f>
        <v/>
      </c>
      <c r="X307" s="1563">
        <f>(X376)/X$369</f>
        <v/>
      </c>
      <c r="Y307" s="1563">
        <f>(Y376)/Y$369</f>
        <v/>
      </c>
      <c r="Z307" s="1563">
        <f>(Z376)/Z$369</f>
        <v/>
      </c>
      <c r="AA307" s="1564">
        <f>(AA376)/AA$369</f>
        <v/>
      </c>
      <c r="AB307" s="1563">
        <f>(AB376)/AB$369</f>
        <v/>
      </c>
      <c r="AC307" s="1563">
        <f>(AC376)/AC$369</f>
        <v/>
      </c>
      <c r="AD307" s="1563">
        <f>(AD376)/AD$369</f>
        <v/>
      </c>
      <c r="AE307" s="1563">
        <f>(AE376)/AE$369</f>
        <v/>
      </c>
      <c r="AF307" s="1564">
        <f>(AF376)/AF$369</f>
        <v/>
      </c>
      <c r="AG307" s="1563">
        <f>(AG376)/AG$369</f>
        <v/>
      </c>
      <c r="AH307" s="1563">
        <f>(AH376)/AH$369</f>
        <v/>
      </c>
      <c r="AI307" s="1563">
        <f>(AI376)/AI$369</f>
        <v/>
      </c>
      <c r="AJ307" s="1563">
        <f>(AJ376)/AJ$369</f>
        <v/>
      </c>
      <c r="AK307" s="1564">
        <f>(AK376)/AK$369</f>
        <v/>
      </c>
      <c r="AL307" s="1563">
        <f>(AL376)/AL$369</f>
        <v/>
      </c>
      <c r="AM307" s="1563">
        <f>(AM376)/AM$369</f>
        <v/>
      </c>
      <c r="AN307" s="1563">
        <f>(AN376)/AN$369</f>
        <v/>
      </c>
      <c r="AO307" s="1563">
        <f>(AO376)/AO$369</f>
        <v/>
      </c>
      <c r="AP307" s="1564">
        <f>(AP376)/AP$369</f>
        <v/>
      </c>
      <c r="AQ307" s="1563">
        <f>(AQ376)/AQ$369</f>
        <v/>
      </c>
      <c r="AR307" s="1563">
        <f>(AR376)/AR$369</f>
        <v/>
      </c>
      <c r="AS307" s="1563">
        <f>(AS376)/AS$369</f>
        <v/>
      </c>
      <c r="AT307" s="1563">
        <f>(AT376)/AT$369</f>
        <v/>
      </c>
      <c r="AU307" s="1564">
        <f>(AU376)/AU$369</f>
        <v/>
      </c>
      <c r="AV307" s="1563">
        <f>(AV376)/AV$369</f>
        <v/>
      </c>
      <c r="AW307" s="1563">
        <f>(AW376)/AW$369</f>
        <v/>
      </c>
      <c r="AX307" s="1563">
        <f>(AX376)/AX$369</f>
        <v/>
      </c>
      <c r="AY307" s="1563">
        <f>(AY376)/AY$369</f>
        <v/>
      </c>
      <c r="AZ307" s="1564">
        <f>(AZ376)/AZ$369</f>
        <v/>
      </c>
      <c r="BA307" s="1563">
        <f>(BA376)/BA$369</f>
        <v/>
      </c>
      <c r="BB307" s="1563">
        <f>(BB376)/BB$369</f>
        <v/>
      </c>
      <c r="BC307" s="1563">
        <f>(BC376)/BC$369</f>
        <v/>
      </c>
      <c r="BD307" s="1563">
        <f>(BD376)/BD$369</f>
        <v/>
      </c>
      <c r="BE307" s="1564">
        <f>(BE376)/BE$369</f>
        <v/>
      </c>
      <c r="BF307" s="1563">
        <f>(BF376)/BF$369</f>
        <v/>
      </c>
      <c r="BG307" s="1563">
        <f>(BG376)/BG$369</f>
        <v/>
      </c>
      <c r="BH307" s="1563">
        <f>(BH376)/BH$369</f>
        <v/>
      </c>
      <c r="BI307" s="1563">
        <f>(BI376)/BI$369</f>
        <v/>
      </c>
      <c r="BJ307" s="1564">
        <f>(BJ376)/BJ$369</f>
        <v/>
      </c>
      <c r="BK307" s="1563">
        <f>(BK376)/BK$369</f>
        <v/>
      </c>
      <c r="BL307" s="1563">
        <f>(BL376)/BL$369</f>
        <v/>
      </c>
      <c r="BM307" s="1563">
        <f>(BM376)/BM$369</f>
        <v/>
      </c>
      <c r="BN307" s="1563">
        <f>(BN376)/BN$369</f>
        <v/>
      </c>
      <c r="BO307" s="1567">
        <f>(BO376)/BO$369</f>
        <v/>
      </c>
      <c r="BP307" s="1563">
        <f>(BP376)/BP$369</f>
        <v/>
      </c>
      <c r="BQ307" s="1563">
        <f>(BQ376)/BQ$369</f>
        <v/>
      </c>
      <c r="BR307" s="1563">
        <f>(BR376)/BR$369</f>
        <v/>
      </c>
      <c r="BS307" s="1563">
        <f>(BS376)/BS$369</f>
        <v/>
      </c>
      <c r="BT307" s="1564">
        <f>(BT376)/BT$369</f>
        <v/>
      </c>
      <c r="BU307" s="1563">
        <f>(BU376)/BU$369</f>
        <v/>
      </c>
      <c r="BV307" s="1563">
        <f>(BV376)/BV$369</f>
        <v/>
      </c>
      <c r="BW307" s="1563">
        <f>(BW376)/BW$369</f>
        <v/>
      </c>
      <c r="BX307" s="1563">
        <f>(BX376)/BX$369</f>
        <v/>
      </c>
      <c r="BY307" s="1564">
        <f>(BY376)/BY$369</f>
        <v/>
      </c>
      <c r="BZ307" s="1564">
        <f>(BZ376)/BZ$369</f>
        <v/>
      </c>
      <c r="CA307" s="1564">
        <f>(CA376)/CA$369</f>
        <v/>
      </c>
      <c r="CB307" s="1564">
        <f>(CB376)/CB$369</f>
        <v/>
      </c>
      <c r="CC307" s="1356" t="n"/>
    </row>
    <row r="308" hidden="1" outlineLevel="1" ht="14.4" customFormat="1" customHeight="1" s="1350">
      <c r="A308" s="1554" t="inlineStr">
        <is>
          <t>S&amp;M Margin, %</t>
        </is>
      </c>
      <c r="B308" s="1555" t="n"/>
      <c r="C308" s="1556">
        <f>C377/C$369</f>
        <v/>
      </c>
      <c r="D308" s="1556">
        <f>D377/D$369</f>
        <v/>
      </c>
      <c r="E308" s="1556">
        <f>E377/E$369</f>
        <v/>
      </c>
      <c r="F308" s="1556">
        <f>F377/F$369</f>
        <v/>
      </c>
      <c r="G308" s="1556">
        <f>G377/G$369</f>
        <v/>
      </c>
      <c r="H308" s="1557">
        <f>H377/H$369</f>
        <v/>
      </c>
      <c r="I308" s="1557">
        <f>I377/I$369</f>
        <v/>
      </c>
      <c r="J308" s="1557">
        <f>J377/J$369</f>
        <v/>
      </c>
      <c r="K308" s="1557">
        <f>K377/K$369</f>
        <v/>
      </c>
      <c r="L308" s="1556">
        <f>L377/L$369</f>
        <v/>
      </c>
      <c r="M308" s="1557">
        <f>M377/M$369</f>
        <v/>
      </c>
      <c r="N308" s="1557">
        <f>N377/N$369</f>
        <v/>
      </c>
      <c r="O308" s="1557">
        <f>O377/O$369</f>
        <v/>
      </c>
      <c r="P308" s="1557">
        <f>P377/P$369</f>
        <v/>
      </c>
      <c r="Q308" s="1556">
        <f>Q377/Q$369</f>
        <v/>
      </c>
      <c r="R308" s="1557">
        <f>R377/R$369</f>
        <v/>
      </c>
      <c r="S308" s="1557">
        <f>S377/S$369</f>
        <v/>
      </c>
      <c r="T308" s="1557">
        <f>T377/T$369</f>
        <v/>
      </c>
      <c r="U308" s="1557">
        <f>U377/U$369</f>
        <v/>
      </c>
      <c r="V308" s="1556">
        <f>V377/V$369</f>
        <v/>
      </c>
      <c r="W308" s="1557">
        <f>W377/W$369</f>
        <v/>
      </c>
      <c r="X308" s="1557">
        <f>X377/X$369</f>
        <v/>
      </c>
      <c r="Y308" s="1557">
        <f>Y377/Y$369</f>
        <v/>
      </c>
      <c r="Z308" s="1557">
        <f>Z377/Z$369</f>
        <v/>
      </c>
      <c r="AA308" s="1556">
        <f>AA377/AA$369</f>
        <v/>
      </c>
      <c r="AB308" s="1557">
        <f>AB377/AB$369</f>
        <v/>
      </c>
      <c r="AC308" s="1557">
        <f>AC377/AC$369</f>
        <v/>
      </c>
      <c r="AD308" s="1557">
        <f>AD377/AD$369</f>
        <v/>
      </c>
      <c r="AE308" s="1557">
        <f>AE377/AE$369</f>
        <v/>
      </c>
      <c r="AF308" s="1556">
        <f>AF377/AF$369</f>
        <v/>
      </c>
      <c r="AG308" s="1557">
        <f>AG377/AG$369</f>
        <v/>
      </c>
      <c r="AH308" s="1557">
        <f>AH377/AH$369</f>
        <v/>
      </c>
      <c r="AI308" s="1557">
        <f>AI377/AI$369</f>
        <v/>
      </c>
      <c r="AJ308" s="1557">
        <f>AJ377/AJ$369</f>
        <v/>
      </c>
      <c r="AK308" s="1556">
        <f>AK377/AK$369</f>
        <v/>
      </c>
      <c r="AL308" s="1557">
        <f>AL377/AL$369</f>
        <v/>
      </c>
      <c r="AM308" s="1557">
        <f>AM377/AM$369</f>
        <v/>
      </c>
      <c r="AN308" s="1557">
        <f>AN377/AN$369</f>
        <v/>
      </c>
      <c r="AO308" s="1557">
        <f>AO377/AO$369</f>
        <v/>
      </c>
      <c r="AP308" s="1556">
        <f>AP377/AP$369</f>
        <v/>
      </c>
      <c r="AQ308" s="1557">
        <f>AQ377/AQ$369</f>
        <v/>
      </c>
      <c r="AR308" s="1557">
        <f>AR377/AR$369</f>
        <v/>
      </c>
      <c r="AS308" s="1557">
        <f>AS377/AS$369</f>
        <v/>
      </c>
      <c r="AT308" s="1557">
        <f>AT377/AT$369</f>
        <v/>
      </c>
      <c r="AU308" s="1556">
        <f>AU377/AU$369</f>
        <v/>
      </c>
      <c r="AV308" s="1557">
        <f>AV377/AV$369</f>
        <v/>
      </c>
      <c r="AW308" s="1557">
        <f>AW377/AW$369</f>
        <v/>
      </c>
      <c r="AX308" s="1557">
        <f>AX377/AX$369</f>
        <v/>
      </c>
      <c r="AY308" s="1557">
        <f>AY377/AY$369</f>
        <v/>
      </c>
      <c r="AZ308" s="1556">
        <f>AZ377/AZ$369</f>
        <v/>
      </c>
      <c r="BA308" s="1557">
        <f>BA377/BA$369</f>
        <v/>
      </c>
      <c r="BB308" s="1557">
        <f>BB377/BB$369</f>
        <v/>
      </c>
      <c r="BC308" s="1557">
        <f>BC377/BC$369</f>
        <v/>
      </c>
      <c r="BD308" s="1557">
        <f>BD377/BD$369</f>
        <v/>
      </c>
      <c r="BE308" s="1556">
        <f>BE377/BE$369</f>
        <v/>
      </c>
      <c r="BF308" s="1557">
        <f>BF377/BF$369</f>
        <v/>
      </c>
      <c r="BG308" s="1557">
        <f>BG377/BG$369</f>
        <v/>
      </c>
      <c r="BH308" s="1557">
        <f>BH377/BH$369</f>
        <v/>
      </c>
      <c r="BI308" s="1557">
        <f>BI377/BI$369</f>
        <v/>
      </c>
      <c r="BJ308" s="1556">
        <f>BJ377/BJ$369</f>
        <v/>
      </c>
      <c r="BK308" s="1557">
        <f>BK377/BK$369</f>
        <v/>
      </c>
      <c r="BL308" s="1557">
        <f>BL377/BL$369</f>
        <v/>
      </c>
      <c r="BM308" s="1557">
        <f>BM377/BM$369</f>
        <v/>
      </c>
      <c r="BN308" s="1557">
        <f>BN377/BN$369</f>
        <v/>
      </c>
      <c r="BO308" s="1558">
        <f>BO377/BO$369</f>
        <v/>
      </c>
      <c r="BP308" s="1557">
        <f>BP377/BP$369</f>
        <v/>
      </c>
      <c r="BQ308" s="1557">
        <f>BQ377/BQ$369</f>
        <v/>
      </c>
      <c r="BR308" s="1557">
        <f>BR377/BR$369</f>
        <v/>
      </c>
      <c r="BS308" s="1557">
        <f>BS377/BS$369</f>
        <v/>
      </c>
      <c r="BT308" s="1556">
        <f>BT377/BT$369</f>
        <v/>
      </c>
      <c r="BU308" s="1557">
        <f>BU377/BU$369</f>
        <v/>
      </c>
      <c r="BV308" s="1557">
        <f>BV377/BV$369</f>
        <v/>
      </c>
      <c r="BW308" s="1557">
        <f>BW377/BW$369</f>
        <v/>
      </c>
      <c r="BX308" s="1557">
        <f>BX377/BX$369</f>
        <v/>
      </c>
      <c r="BY308" s="1556">
        <f>BY377/BY$369</f>
        <v/>
      </c>
      <c r="BZ308" s="1556">
        <f>BZ377/BZ$369</f>
        <v/>
      </c>
      <c r="CA308" s="1556">
        <f>CA377/CA$369</f>
        <v/>
      </c>
      <c r="CB308" s="1556">
        <f>CB377/CB$369</f>
        <v/>
      </c>
      <c r="CC308" s="1356" t="n"/>
    </row>
    <row r="309" hidden="1" outlineLevel="1" ht="14.4" customFormat="1" customHeight="1" s="1350">
      <c r="A309" s="1569" t="inlineStr">
        <is>
          <t>SG&amp;A Margin, %</t>
        </is>
      </c>
      <c r="B309" s="1570" t="n"/>
      <c r="C309" s="1571">
        <f>C378/C$369</f>
        <v/>
      </c>
      <c r="D309" s="1571">
        <f>D378/D$369</f>
        <v/>
      </c>
      <c r="E309" s="1571">
        <f>E378/E$369</f>
        <v/>
      </c>
      <c r="F309" s="1571">
        <f>F378/F$369</f>
        <v/>
      </c>
      <c r="G309" s="1571">
        <f>G378/G$369</f>
        <v/>
      </c>
      <c r="H309" s="1572">
        <f>H378/H$369</f>
        <v/>
      </c>
      <c r="I309" s="1572">
        <f>I378/I$369</f>
        <v/>
      </c>
      <c r="J309" s="1572">
        <f>J378/J$369</f>
        <v/>
      </c>
      <c r="K309" s="1572">
        <f>K378/K$369</f>
        <v/>
      </c>
      <c r="L309" s="1571">
        <f>L378/L$369</f>
        <v/>
      </c>
      <c r="M309" s="1572">
        <f>M378/M$369</f>
        <v/>
      </c>
      <c r="N309" s="1572">
        <f>N378/N$369</f>
        <v/>
      </c>
      <c r="O309" s="1572">
        <f>O378/O$369</f>
        <v/>
      </c>
      <c r="P309" s="1572">
        <f>P378/P$369</f>
        <v/>
      </c>
      <c r="Q309" s="1571">
        <f>Q378/Q$369</f>
        <v/>
      </c>
      <c r="R309" s="1572">
        <f>R378/R$369</f>
        <v/>
      </c>
      <c r="S309" s="1572">
        <f>S378/S$369</f>
        <v/>
      </c>
      <c r="T309" s="1572">
        <f>T378/T$369</f>
        <v/>
      </c>
      <c r="U309" s="1572">
        <f>U378/U$369</f>
        <v/>
      </c>
      <c r="V309" s="1571">
        <f>V378/V$369</f>
        <v/>
      </c>
      <c r="W309" s="1572">
        <f>W378/W$369</f>
        <v/>
      </c>
      <c r="X309" s="1572">
        <f>X378/X$369</f>
        <v/>
      </c>
      <c r="Y309" s="1572">
        <f>Y378/Y$369</f>
        <v/>
      </c>
      <c r="Z309" s="1572">
        <f>Z378/Z$369</f>
        <v/>
      </c>
      <c r="AA309" s="1571">
        <f>AA378/AA$369</f>
        <v/>
      </c>
      <c r="AB309" s="1572">
        <f>AB378/AB$369</f>
        <v/>
      </c>
      <c r="AC309" s="1572">
        <f>AC378/AC$369</f>
        <v/>
      </c>
      <c r="AD309" s="1572">
        <f>AD378/AD$369</f>
        <v/>
      </c>
      <c r="AE309" s="1572">
        <f>AE378/AE$369</f>
        <v/>
      </c>
      <c r="AF309" s="1571">
        <f>AF378/AF$369</f>
        <v/>
      </c>
      <c r="AG309" s="1572">
        <f>AG378/AG$369</f>
        <v/>
      </c>
      <c r="AH309" s="1572">
        <f>AH378/AH$369</f>
        <v/>
      </c>
      <c r="AI309" s="1572">
        <f>AI378/AI$369</f>
        <v/>
      </c>
      <c r="AJ309" s="1572">
        <f>AJ378/AJ$369</f>
        <v/>
      </c>
      <c r="AK309" s="1571">
        <f>AK378/AK$369</f>
        <v/>
      </c>
      <c r="AL309" s="1572">
        <f>AL378/AL$369</f>
        <v/>
      </c>
      <c r="AM309" s="1572">
        <f>AM378/AM$369</f>
        <v/>
      </c>
      <c r="AN309" s="1572">
        <f>AN378/AN$369</f>
        <v/>
      </c>
      <c r="AO309" s="1572">
        <f>AO378/AO$369</f>
        <v/>
      </c>
      <c r="AP309" s="1571">
        <f>AP378/AP$369</f>
        <v/>
      </c>
      <c r="AQ309" s="1572">
        <f>AQ378/AQ$369</f>
        <v/>
      </c>
      <c r="AR309" s="1572">
        <f>AR378/AR$369</f>
        <v/>
      </c>
      <c r="AS309" s="1572">
        <f>AS378/AS$369</f>
        <v/>
      </c>
      <c r="AT309" s="1572">
        <f>AT378/AT$369</f>
        <v/>
      </c>
      <c r="AU309" s="1571">
        <f>AU378/AU$369</f>
        <v/>
      </c>
      <c r="AV309" s="1572">
        <f>AV378/AV$369</f>
        <v/>
      </c>
      <c r="AW309" s="1572">
        <f>AW378/AW$369</f>
        <v/>
      </c>
      <c r="AX309" s="1572">
        <f>AX378/AX$369</f>
        <v/>
      </c>
      <c r="AY309" s="1572">
        <f>AY378/AY$369</f>
        <v/>
      </c>
      <c r="AZ309" s="1571">
        <f>AZ378/AZ$369</f>
        <v/>
      </c>
      <c r="BA309" s="1572">
        <f>BA378/BA$369</f>
        <v/>
      </c>
      <c r="BB309" s="1572">
        <f>BB378/BB$369</f>
        <v/>
      </c>
      <c r="BC309" s="1572">
        <f>BC378/BC$369</f>
        <v/>
      </c>
      <c r="BD309" s="1572">
        <f>BD378/BD$369</f>
        <v/>
      </c>
      <c r="BE309" s="1571">
        <f>BE378/BE$369</f>
        <v/>
      </c>
      <c r="BF309" s="1572">
        <f>BF378/BF$369</f>
        <v/>
      </c>
      <c r="BG309" s="1572">
        <f>BG378/BG$369</f>
        <v/>
      </c>
      <c r="BH309" s="1572">
        <f>BH378/BH$369</f>
        <v/>
      </c>
      <c r="BI309" s="1572">
        <f>BI378/BI$369</f>
        <v/>
      </c>
      <c r="BJ309" s="1571">
        <f>BJ378/BJ$369</f>
        <v/>
      </c>
      <c r="BK309" s="1572">
        <f>BK378/BK$369</f>
        <v/>
      </c>
      <c r="BL309" s="1572">
        <f>BL378/BL$369</f>
        <v/>
      </c>
      <c r="BM309" s="1572">
        <f>BM378/BM$369</f>
        <v/>
      </c>
      <c r="BN309" s="1572">
        <f>BN378/BN$369</f>
        <v/>
      </c>
      <c r="BO309" s="1573">
        <f>BO378/BO$369</f>
        <v/>
      </c>
      <c r="BP309" s="1572">
        <f>BP378/BP$369</f>
        <v/>
      </c>
      <c r="BQ309" s="1572">
        <f>BQ378/BQ$369</f>
        <v/>
      </c>
      <c r="BR309" s="1572">
        <f>BR378/BR$369</f>
        <v/>
      </c>
      <c r="BS309" s="1572">
        <f>BS378/BS$369</f>
        <v/>
      </c>
      <c r="BT309" s="1571">
        <f>BT378/BT$369</f>
        <v/>
      </c>
      <c r="BU309" s="1572">
        <f>BU378/BU$369</f>
        <v/>
      </c>
      <c r="BV309" s="1572">
        <f>BV378/BV$369</f>
        <v/>
      </c>
      <c r="BW309" s="1572">
        <f>BW378/BW$369</f>
        <v/>
      </c>
      <c r="BX309" s="1572">
        <f>BX378/BX$369</f>
        <v/>
      </c>
      <c r="BY309" s="1571">
        <f>BY378/BY$369</f>
        <v/>
      </c>
      <c r="BZ309" s="1571">
        <f>BZ378/BZ$369</f>
        <v/>
      </c>
      <c r="CA309" s="1571">
        <f>CA378/CA$369</f>
        <v/>
      </c>
      <c r="CB309" s="1571">
        <f>CB378/CB$369</f>
        <v/>
      </c>
      <c r="CC309" s="1356" t="n"/>
    </row>
    <row r="310" hidden="1" outlineLevel="1" ht="14.4" customFormat="1" customHeight="1" s="1350">
      <c r="A310" s="1574" t="inlineStr">
        <is>
          <t>Other items Margin, %</t>
        </is>
      </c>
      <c r="B310" s="1555" t="n"/>
      <c r="C310" s="1556">
        <f>C379/C369</f>
        <v/>
      </c>
      <c r="D310" s="1556">
        <f>D379/D369</f>
        <v/>
      </c>
      <c r="E310" s="1556">
        <f>E379/E369</f>
        <v/>
      </c>
      <c r="F310" s="1556">
        <f>F379/F369</f>
        <v/>
      </c>
      <c r="G310" s="1556">
        <f>G379/G369</f>
        <v/>
      </c>
      <c r="H310" s="1557">
        <f>H379/H369</f>
        <v/>
      </c>
      <c r="I310" s="1557">
        <f>I379/I369</f>
        <v/>
      </c>
      <c r="J310" s="1557">
        <f>J379/J369</f>
        <v/>
      </c>
      <c r="K310" s="1557">
        <f>K379/K369</f>
        <v/>
      </c>
      <c r="L310" s="1556">
        <f>L379/L369</f>
        <v/>
      </c>
      <c r="M310" s="1557">
        <f>M379/M369</f>
        <v/>
      </c>
      <c r="N310" s="1557">
        <f>N379/N369</f>
        <v/>
      </c>
      <c r="O310" s="1557">
        <f>O379/O369</f>
        <v/>
      </c>
      <c r="P310" s="1557">
        <f>P379/P369</f>
        <v/>
      </c>
      <c r="Q310" s="1556">
        <f>Q379/Q369</f>
        <v/>
      </c>
      <c r="R310" s="1557">
        <f>R379/R369</f>
        <v/>
      </c>
      <c r="S310" s="1557">
        <f>S379/S369</f>
        <v/>
      </c>
      <c r="T310" s="1557">
        <f>T379/T369</f>
        <v/>
      </c>
      <c r="U310" s="1557">
        <f>U379/U369</f>
        <v/>
      </c>
      <c r="V310" s="1556">
        <f>V379/V369</f>
        <v/>
      </c>
      <c r="W310" s="1557">
        <f>W379/W369</f>
        <v/>
      </c>
      <c r="X310" s="1557">
        <f>X379/X369</f>
        <v/>
      </c>
      <c r="Y310" s="1557">
        <f>Y379/Y369</f>
        <v/>
      </c>
      <c r="Z310" s="1557">
        <f>Z379/Z369</f>
        <v/>
      </c>
      <c r="AA310" s="1556">
        <f>AA379/AA369</f>
        <v/>
      </c>
      <c r="AB310" s="1557">
        <f>AB379/AB369</f>
        <v/>
      </c>
      <c r="AC310" s="1557">
        <f>AC379/AC369</f>
        <v/>
      </c>
      <c r="AD310" s="1557">
        <f>AD379/AD369</f>
        <v/>
      </c>
      <c r="AE310" s="1557">
        <f>AE379/AE369</f>
        <v/>
      </c>
      <c r="AF310" s="1556">
        <f>AF379/AF369</f>
        <v/>
      </c>
      <c r="AG310" s="1557">
        <f>AG379/AG369</f>
        <v/>
      </c>
      <c r="AH310" s="1557">
        <f>AH379/AH369</f>
        <v/>
      </c>
      <c r="AI310" s="1557">
        <f>AI379/AI369</f>
        <v/>
      </c>
      <c r="AJ310" s="1557">
        <f>AJ379/AJ369</f>
        <v/>
      </c>
      <c r="AK310" s="1556">
        <f>AK379/AK369</f>
        <v/>
      </c>
      <c r="AL310" s="1557">
        <f>AL379/AL369</f>
        <v/>
      </c>
      <c r="AM310" s="1557">
        <f>AM379/AM369</f>
        <v/>
      </c>
      <c r="AN310" s="1557">
        <f>AN379/AN369</f>
        <v/>
      </c>
      <c r="AO310" s="1557">
        <f>AO379/AO369</f>
        <v/>
      </c>
      <c r="AP310" s="1556">
        <f>AP379/AP369</f>
        <v/>
      </c>
      <c r="AQ310" s="1557">
        <f>AQ379/AQ369</f>
        <v/>
      </c>
      <c r="AR310" s="1557">
        <f>AR379/AR369</f>
        <v/>
      </c>
      <c r="AS310" s="1557">
        <f>AS379/AS369</f>
        <v/>
      </c>
      <c r="AT310" s="1557">
        <f>AT379/AT369</f>
        <v/>
      </c>
      <c r="AU310" s="1556">
        <f>AU379/AU369</f>
        <v/>
      </c>
      <c r="AV310" s="1557">
        <f>AV379/AV369</f>
        <v/>
      </c>
      <c r="AW310" s="1557">
        <f>AW379/AW369</f>
        <v/>
      </c>
      <c r="AX310" s="1557">
        <f>AX379/AX369</f>
        <v/>
      </c>
      <c r="AY310" s="1557">
        <f>AY379/AY369</f>
        <v/>
      </c>
      <c r="AZ310" s="1556">
        <f>AZ379/AZ369</f>
        <v/>
      </c>
      <c r="BA310" s="1557">
        <f>BA379/BA369</f>
        <v/>
      </c>
      <c r="BB310" s="1557">
        <f>BB379/BB369</f>
        <v/>
      </c>
      <c r="BC310" s="1557">
        <f>BC379/BC369</f>
        <v/>
      </c>
      <c r="BD310" s="1557">
        <f>BD379/BD369</f>
        <v/>
      </c>
      <c r="BE310" s="1556">
        <f>BE379/BE369</f>
        <v/>
      </c>
      <c r="BF310" s="1557">
        <f>BF379/BF369</f>
        <v/>
      </c>
      <c r="BG310" s="1557">
        <f>BG379/BG369</f>
        <v/>
      </c>
      <c r="BH310" s="1557">
        <f>BH379/BH369</f>
        <v/>
      </c>
      <c r="BI310" s="1557">
        <f>BI379/BI369</f>
        <v/>
      </c>
      <c r="BJ310" s="1556">
        <f>BJ379/BJ369</f>
        <v/>
      </c>
      <c r="BK310" s="1557">
        <f>BK379/BK369</f>
        <v/>
      </c>
      <c r="BL310" s="1557">
        <f>BL379/BL369</f>
        <v/>
      </c>
      <c r="BM310" s="1557">
        <f>BM379/BM369</f>
        <v/>
      </c>
      <c r="BN310" s="1557">
        <f>BN379/BN369</f>
        <v/>
      </c>
      <c r="BO310" s="1558">
        <f>BO379/BO369</f>
        <v/>
      </c>
      <c r="BP310" s="1557">
        <f>BP379/BP369</f>
        <v/>
      </c>
      <c r="BQ310" s="1557">
        <f>BQ379/BQ369</f>
        <v/>
      </c>
      <c r="BR310" s="1557">
        <f>BR379/BR369</f>
        <v/>
      </c>
      <c r="BS310" s="1557">
        <f>BS379/BS369</f>
        <v/>
      </c>
      <c r="BT310" s="1556">
        <f>BT379/BT369</f>
        <v/>
      </c>
      <c r="BU310" s="1557">
        <f>BU379/BU369</f>
        <v/>
      </c>
      <c r="BV310" s="1557">
        <f>BV379/BV369</f>
        <v/>
      </c>
      <c r="BW310" s="1557">
        <f>BW379/BW369</f>
        <v/>
      </c>
      <c r="BX310" s="1557">
        <f>BX379/BX369</f>
        <v/>
      </c>
      <c r="BY310" s="1556">
        <f>BY379/BY369</f>
        <v/>
      </c>
      <c r="BZ310" s="1556">
        <f>BZ379/BZ369</f>
        <v/>
      </c>
      <c r="CA310" s="1556">
        <f>CA379/CA369</f>
        <v/>
      </c>
      <c r="CB310" s="1556">
        <f>CB379/CB369</f>
        <v/>
      </c>
      <c r="CC310" s="1356" t="n"/>
    </row>
    <row r="311" hidden="1" outlineLevel="1" ht="14.4" customFormat="1" customHeight="1" s="1290">
      <c r="A311" s="1351" t="inlineStr">
        <is>
          <t>EBIT Margin, %</t>
        </is>
      </c>
      <c r="B311" s="1458" t="n"/>
      <c r="C311" s="1564">
        <f>C380/C369</f>
        <v/>
      </c>
      <c r="D311" s="1564">
        <f>D380/D369</f>
        <v/>
      </c>
      <c r="E311" s="1564">
        <f>E380/E369</f>
        <v/>
      </c>
      <c r="F311" s="1564">
        <f>F380/F369</f>
        <v/>
      </c>
      <c r="G311" s="1564">
        <f>G380/G369</f>
        <v/>
      </c>
      <c r="H311" s="1563">
        <f>H380/H369</f>
        <v/>
      </c>
      <c r="I311" s="1563">
        <f>I380/I369</f>
        <v/>
      </c>
      <c r="J311" s="1563">
        <f>J380/J369</f>
        <v/>
      </c>
      <c r="K311" s="1563">
        <f>K380/K369</f>
        <v/>
      </c>
      <c r="L311" s="1564">
        <f>L380/L369</f>
        <v/>
      </c>
      <c r="M311" s="1563">
        <f>M380/M369</f>
        <v/>
      </c>
      <c r="N311" s="1563">
        <f>N380/N369</f>
        <v/>
      </c>
      <c r="O311" s="1563">
        <f>O380/O369</f>
        <v/>
      </c>
      <c r="P311" s="1563">
        <f>P380/P369</f>
        <v/>
      </c>
      <c r="Q311" s="1564">
        <f>Q380/Q369</f>
        <v/>
      </c>
      <c r="R311" s="1563">
        <f>R380/R369</f>
        <v/>
      </c>
      <c r="S311" s="1563">
        <f>S380/S369</f>
        <v/>
      </c>
      <c r="T311" s="1563">
        <f>T380/T369</f>
        <v/>
      </c>
      <c r="U311" s="1563">
        <f>U380/U369</f>
        <v/>
      </c>
      <c r="V311" s="1564">
        <f>V380/V369</f>
        <v/>
      </c>
      <c r="W311" s="1563">
        <f>W380/W369</f>
        <v/>
      </c>
      <c r="X311" s="1563">
        <f>X380/X369</f>
        <v/>
      </c>
      <c r="Y311" s="1563">
        <f>Y380/Y369</f>
        <v/>
      </c>
      <c r="Z311" s="1563">
        <f>Z380/Z369</f>
        <v/>
      </c>
      <c r="AA311" s="1564">
        <f>AA380/AA369</f>
        <v/>
      </c>
      <c r="AB311" s="1563">
        <f>AB380/AB369</f>
        <v/>
      </c>
      <c r="AC311" s="1563">
        <f>AC380/AC369</f>
        <v/>
      </c>
      <c r="AD311" s="1563">
        <f>AD380/AD369</f>
        <v/>
      </c>
      <c r="AE311" s="1563">
        <f>AE380/AE369</f>
        <v/>
      </c>
      <c r="AF311" s="1564">
        <f>AF380/AF369</f>
        <v/>
      </c>
      <c r="AG311" s="1563">
        <f>AG380/AG369</f>
        <v/>
      </c>
      <c r="AH311" s="1563">
        <f>AH380/AH369</f>
        <v/>
      </c>
      <c r="AI311" s="1563">
        <f>AI380/AI369</f>
        <v/>
      </c>
      <c r="AJ311" s="1563">
        <f>AJ380/AJ369</f>
        <v/>
      </c>
      <c r="AK311" s="1564">
        <f>AK380/AK369</f>
        <v/>
      </c>
      <c r="AL311" s="1563">
        <f>AL380/AL369</f>
        <v/>
      </c>
      <c r="AM311" s="1563">
        <f>AM380/AM369</f>
        <v/>
      </c>
      <c r="AN311" s="1563">
        <f>AN380/AN369</f>
        <v/>
      </c>
      <c r="AO311" s="1563">
        <f>AO380/AO369</f>
        <v/>
      </c>
      <c r="AP311" s="1564">
        <f>AP380/AP369</f>
        <v/>
      </c>
      <c r="AQ311" s="1563">
        <f>AQ380/AQ369</f>
        <v/>
      </c>
      <c r="AR311" s="1563">
        <f>AR380/AR369</f>
        <v/>
      </c>
      <c r="AS311" s="1563">
        <f>AS380/AS369</f>
        <v/>
      </c>
      <c r="AT311" s="1563">
        <f>AT380/AT369</f>
        <v/>
      </c>
      <c r="AU311" s="1564">
        <f>AU380/AU369</f>
        <v/>
      </c>
      <c r="AV311" s="1563">
        <f>AV380/AV369</f>
        <v/>
      </c>
      <c r="AW311" s="1563">
        <f>AW380/AW369</f>
        <v/>
      </c>
      <c r="AX311" s="1563">
        <f>AX380/AX369</f>
        <v/>
      </c>
      <c r="AY311" s="1563">
        <f>AY380/AY369</f>
        <v/>
      </c>
      <c r="AZ311" s="1564">
        <f>AZ380/AZ369</f>
        <v/>
      </c>
      <c r="BA311" s="1563">
        <f>BA380/BA369</f>
        <v/>
      </c>
      <c r="BB311" s="1563">
        <f>BB380/BB369</f>
        <v/>
      </c>
      <c r="BC311" s="1563">
        <f>BC380/BC369</f>
        <v/>
      </c>
      <c r="BD311" s="1563">
        <f>BD380/BD369</f>
        <v/>
      </c>
      <c r="BE311" s="1564">
        <f>BE380/BE369</f>
        <v/>
      </c>
      <c r="BF311" s="1563">
        <f>BF380/BF369</f>
        <v/>
      </c>
      <c r="BG311" s="1563">
        <f>BG380/BG369</f>
        <v/>
      </c>
      <c r="BH311" s="1563">
        <f>BH380/BH369</f>
        <v/>
      </c>
      <c r="BI311" s="1563">
        <f>BI380/BI369</f>
        <v/>
      </c>
      <c r="BJ311" s="1564">
        <f>BJ380/BJ369</f>
        <v/>
      </c>
      <c r="BK311" s="1563">
        <f>BK380/BK369</f>
        <v/>
      </c>
      <c r="BL311" s="1563">
        <f>BL380/BL369</f>
        <v/>
      </c>
      <c r="BM311" s="1563">
        <f>BM380/BM369</f>
        <v/>
      </c>
      <c r="BN311" s="1563">
        <f>BN380/BN369</f>
        <v/>
      </c>
      <c r="BO311" s="1567">
        <f>BO380/BO369</f>
        <v/>
      </c>
      <c r="BP311" s="1563">
        <f>BP380/BP369</f>
        <v/>
      </c>
      <c r="BQ311" s="1563">
        <f>BQ380/BQ369</f>
        <v/>
      </c>
      <c r="BR311" s="1563">
        <f>BR380/BR369</f>
        <v/>
      </c>
      <c r="BS311" s="1563">
        <f>BS380/BS369</f>
        <v/>
      </c>
      <c r="BT311" s="1564">
        <f>BT380/BT369</f>
        <v/>
      </c>
      <c r="BU311" s="1563">
        <f>BU380/BU369</f>
        <v/>
      </c>
      <c r="BV311" s="1563">
        <f>BV380/BV369</f>
        <v/>
      </c>
      <c r="BW311" s="1563">
        <f>BW380/BW369</f>
        <v/>
      </c>
      <c r="BX311" s="1563">
        <f>BX380/BX369</f>
        <v/>
      </c>
      <c r="BY311" s="1564">
        <f>BY380/BY369</f>
        <v/>
      </c>
      <c r="BZ311" s="1564">
        <f>BZ380/BZ369</f>
        <v/>
      </c>
      <c r="CA311" s="1564">
        <f>CA380/CA369</f>
        <v/>
      </c>
      <c r="CB311" s="1564">
        <f>CB380/CB369</f>
        <v/>
      </c>
      <c r="CC311" s="1356" t="n"/>
    </row>
    <row r="312" hidden="1" outlineLevel="1" ht="14.4" customFormat="1" customHeight="1" s="1290">
      <c r="A312" s="1351" t="inlineStr">
        <is>
          <t>Adjusted EBIT Margin (No Adjustments), %</t>
        </is>
      </c>
      <c r="B312" s="1458" t="n"/>
      <c r="C312" s="1564">
        <f>C381/C369</f>
        <v/>
      </c>
      <c r="D312" s="1564">
        <f>D381/D369</f>
        <v/>
      </c>
      <c r="E312" s="1564">
        <f>E381/E369</f>
        <v/>
      </c>
      <c r="F312" s="1564">
        <f>F381/F369</f>
        <v/>
      </c>
      <c r="G312" s="1564">
        <f>G381/G369</f>
        <v/>
      </c>
      <c r="H312" s="1563">
        <f>H381/H369</f>
        <v/>
      </c>
      <c r="I312" s="1563">
        <f>I381/I369</f>
        <v/>
      </c>
      <c r="J312" s="1563">
        <f>J381/J369</f>
        <v/>
      </c>
      <c r="K312" s="1563">
        <f>K381/K369</f>
        <v/>
      </c>
      <c r="L312" s="1564">
        <f>L381/L369</f>
        <v/>
      </c>
      <c r="M312" s="1563">
        <f>M381/M369</f>
        <v/>
      </c>
      <c r="N312" s="1563">
        <f>N381/N369</f>
        <v/>
      </c>
      <c r="O312" s="1563">
        <f>O381/O369</f>
        <v/>
      </c>
      <c r="P312" s="1563">
        <f>P381/P369</f>
        <v/>
      </c>
      <c r="Q312" s="1564">
        <f>Q381/Q369</f>
        <v/>
      </c>
      <c r="R312" s="1563">
        <f>R381/R369</f>
        <v/>
      </c>
      <c r="S312" s="1563">
        <f>S381/S369</f>
        <v/>
      </c>
      <c r="T312" s="1563">
        <f>T381/T369</f>
        <v/>
      </c>
      <c r="U312" s="1563">
        <f>U381/U369</f>
        <v/>
      </c>
      <c r="V312" s="1564">
        <f>V381/V369</f>
        <v/>
      </c>
      <c r="W312" s="1563">
        <f>W381/W369</f>
        <v/>
      </c>
      <c r="X312" s="1563">
        <f>X381/X369</f>
        <v/>
      </c>
      <c r="Y312" s="1563">
        <f>Y381/Y369</f>
        <v/>
      </c>
      <c r="Z312" s="1563">
        <f>Z381/Z369</f>
        <v/>
      </c>
      <c r="AA312" s="1564">
        <f>AA381/AA369</f>
        <v/>
      </c>
      <c r="AB312" s="1563">
        <f>AB381/AB369</f>
        <v/>
      </c>
      <c r="AC312" s="1563">
        <f>AC381/AC369</f>
        <v/>
      </c>
      <c r="AD312" s="1563">
        <f>AD381/AD369</f>
        <v/>
      </c>
      <c r="AE312" s="1563">
        <f>AE381/AE369</f>
        <v/>
      </c>
      <c r="AF312" s="1564">
        <f>AF381/AF369</f>
        <v/>
      </c>
      <c r="AG312" s="1563">
        <f>AG381/AG369</f>
        <v/>
      </c>
      <c r="AH312" s="1563">
        <f>AH381/AH369</f>
        <v/>
      </c>
      <c r="AI312" s="1563">
        <f>AI381/AI369</f>
        <v/>
      </c>
      <c r="AJ312" s="1563">
        <f>AJ381/AJ369</f>
        <v/>
      </c>
      <c r="AK312" s="1564">
        <f>AK381/AK369</f>
        <v/>
      </c>
      <c r="AL312" s="1563">
        <f>AL381/AL369</f>
        <v/>
      </c>
      <c r="AM312" s="1563">
        <f>AM381/AM369</f>
        <v/>
      </c>
      <c r="AN312" s="1563">
        <f>AN381/AN369</f>
        <v/>
      </c>
      <c r="AO312" s="1563">
        <f>AO381/AO369</f>
        <v/>
      </c>
      <c r="AP312" s="1564">
        <f>AP381/AP369</f>
        <v/>
      </c>
      <c r="AQ312" s="1563">
        <f>AQ381/AQ369</f>
        <v/>
      </c>
      <c r="AR312" s="1563">
        <f>AR381/AR369</f>
        <v/>
      </c>
      <c r="AS312" s="1563">
        <f>AS381/AS369</f>
        <v/>
      </c>
      <c r="AT312" s="1563">
        <f>AT381/AT369</f>
        <v/>
      </c>
      <c r="AU312" s="1564">
        <f>AU381/AU369</f>
        <v/>
      </c>
      <c r="AV312" s="1563">
        <f>AV381/AV369</f>
        <v/>
      </c>
      <c r="AW312" s="1563">
        <f>AW381/AW369</f>
        <v/>
      </c>
      <c r="AX312" s="1563">
        <f>AX381/AX369</f>
        <v/>
      </c>
      <c r="AY312" s="1563">
        <f>AY381/AY369</f>
        <v/>
      </c>
      <c r="AZ312" s="1564">
        <f>AZ381/AZ369</f>
        <v/>
      </c>
      <c r="BA312" s="1563">
        <f>BA381/BA369</f>
        <v/>
      </c>
      <c r="BB312" s="1563">
        <f>BB381/BB369</f>
        <v/>
      </c>
      <c r="BC312" s="1563">
        <f>BC381/BC369</f>
        <v/>
      </c>
      <c r="BD312" s="1563">
        <f>BD381/BD369</f>
        <v/>
      </c>
      <c r="BE312" s="1564">
        <f>BE381/BE369</f>
        <v/>
      </c>
      <c r="BF312" s="1563">
        <f>BF381/BF369</f>
        <v/>
      </c>
      <c r="BG312" s="1563">
        <f>BG381/BG369</f>
        <v/>
      </c>
      <c r="BH312" s="1563">
        <f>BH381/BH369</f>
        <v/>
      </c>
      <c r="BI312" s="1563">
        <f>BI381/BI369</f>
        <v/>
      </c>
      <c r="BJ312" s="1564">
        <f>BJ381/BJ369</f>
        <v/>
      </c>
      <c r="BK312" s="1563">
        <f>BK381/BK369</f>
        <v/>
      </c>
      <c r="BL312" s="1563">
        <f>BL381/BL369</f>
        <v/>
      </c>
      <c r="BM312" s="1563">
        <f>BM381/BM369</f>
        <v/>
      </c>
      <c r="BN312" s="1563">
        <f>BN381/BN369</f>
        <v/>
      </c>
      <c r="BO312" s="1567">
        <f>BO381/BO369</f>
        <v/>
      </c>
      <c r="BP312" s="1563">
        <f>BP381/BP369</f>
        <v/>
      </c>
      <c r="BQ312" s="1563">
        <f>BQ381/BQ369</f>
        <v/>
      </c>
      <c r="BR312" s="1563">
        <f>BR381/BR369</f>
        <v/>
      </c>
      <c r="BS312" s="1563">
        <f>BS381/BS369</f>
        <v/>
      </c>
      <c r="BT312" s="1564">
        <f>BT381/BT369</f>
        <v/>
      </c>
      <c r="BU312" s="1563">
        <f>BU381/BU369</f>
        <v/>
      </c>
      <c r="BV312" s="1563">
        <f>BV381/BV369</f>
        <v/>
      </c>
      <c r="BW312" s="1563">
        <f>BW381/BW369</f>
        <v/>
      </c>
      <c r="BX312" s="1563">
        <f>BX381/BX369</f>
        <v/>
      </c>
      <c r="BY312" s="1564">
        <f>BY381/BY369</f>
        <v/>
      </c>
      <c r="BZ312" s="1564">
        <f>BZ381/BZ369</f>
        <v/>
      </c>
      <c r="CA312" s="1564">
        <f>CA381/CA369</f>
        <v/>
      </c>
      <c r="CB312" s="1564">
        <f>CB381/CB369</f>
        <v/>
      </c>
      <c r="CC312" s="1356" t="n"/>
    </row>
    <row r="313" hidden="1" outlineLevel="1" ht="14.4" customFormat="1" customHeight="1" s="1290">
      <c r="A313" s="1342" t="inlineStr">
        <is>
          <t>Consensus Estimates - Adjusted EBIT Margin, %</t>
        </is>
      </c>
      <c r="B313" s="1310" t="n"/>
      <c r="C313" s="1311" t="n"/>
      <c r="D313" s="1311" t="n"/>
      <c r="E313" s="1311" t="n"/>
      <c r="F313" s="1311" t="n"/>
      <c r="G313" s="1311" t="n"/>
      <c r="H313" s="1312" t="n"/>
      <c r="I313" s="1312" t="n"/>
      <c r="J313" s="1312" t="n"/>
      <c r="K313" s="1312" t="n"/>
      <c r="L313" s="1311" t="n"/>
      <c r="M313" s="1312" t="n"/>
      <c r="N313" s="1312" t="n"/>
      <c r="O313" s="1312" t="n"/>
      <c r="P313" s="1312" t="n"/>
      <c r="Q313" s="1311" t="n"/>
      <c r="R313" s="1312" t="n"/>
      <c r="S313" s="1312" t="n"/>
      <c r="T313" s="1312" t="n"/>
      <c r="U313" s="1312" t="n"/>
      <c r="V313" s="1311" t="n"/>
      <c r="W313" s="1312" t="n"/>
      <c r="X313" s="1312" t="n"/>
      <c r="Y313" s="1312" t="n"/>
      <c r="Z313" s="1312" t="n"/>
      <c r="AA313" s="1311" t="n"/>
      <c r="AB313" s="1312" t="n"/>
      <c r="AC313" s="1312" t="n"/>
      <c r="AD313" s="1312" t="n"/>
      <c r="AE313" s="1312" t="n"/>
      <c r="AF313" s="1311" t="n"/>
      <c r="AG313" s="1312" t="n"/>
      <c r="AH313" s="1312" t="n"/>
      <c r="AI313" s="1312" t="n"/>
      <c r="AJ313" s="1312" t="n"/>
      <c r="AK313" s="1311" t="n"/>
      <c r="AL313" s="1312" t="n"/>
      <c r="AM313" s="1312" t="n"/>
      <c r="AN313" s="1312" t="n"/>
      <c r="AO313" s="1312" t="n"/>
      <c r="AP313" s="1311" t="n"/>
      <c r="AQ313" s="1312" t="n"/>
      <c r="AR313" s="1312" t="n"/>
      <c r="AS313" s="1312" t="n"/>
      <c r="AT313" s="1312" t="n"/>
      <c r="AU313" s="1311" t="n"/>
      <c r="AV313" s="1312" t="n"/>
      <c r="AW313" s="1312" t="n"/>
      <c r="AX313" s="1312" t="n"/>
      <c r="AY313" s="1312" t="n"/>
      <c r="AZ313" s="1311" t="n"/>
      <c r="BA313" s="1312" t="n"/>
      <c r="BB313" s="1312" t="n"/>
      <c r="BC313" s="1312" t="n"/>
      <c r="BD313" s="1312" t="n"/>
      <c r="BE313" s="1311" t="n"/>
      <c r="BF313" s="1312" t="n"/>
      <c r="BG313" s="1312" t="n"/>
      <c r="BH313" s="1312" t="n"/>
      <c r="BI313" s="1312" t="n"/>
      <c r="BJ313" s="1311" t="n"/>
      <c r="BK313" s="1312" t="n"/>
      <c r="BL313" s="1312" t="n"/>
      <c r="BM313" s="1312" t="n"/>
      <c r="BN313" s="1312" t="n"/>
      <c r="BO313" s="1313" t="n"/>
      <c r="BP313" s="1312">
        <f>IFERROR(BP382/BP370,0)</f>
        <v/>
      </c>
      <c r="BQ313" s="1312">
        <f>IFERROR(BQ382/BQ370,0)</f>
        <v/>
      </c>
      <c r="BR313" s="1312">
        <f>IFERROR(BR382/BR370,0)</f>
        <v/>
      </c>
      <c r="BS313" s="1312">
        <f>IFERROR(BS382/BS370,0)</f>
        <v/>
      </c>
      <c r="BT313" s="1311">
        <f>IFERROR(BT382/BT370,0)</f>
        <v/>
      </c>
      <c r="BU313" s="1312">
        <f>IFERROR(BU382/BU370,0)</f>
        <v/>
      </c>
      <c r="BV313" s="1312">
        <f>IFERROR(BV382/BV370,0)</f>
        <v/>
      </c>
      <c r="BW313" s="1312">
        <f>IFERROR(BW382/BW370,0)</f>
        <v/>
      </c>
      <c r="BX313" s="1312">
        <f>IFERROR(BX382/BX370,0)</f>
        <v/>
      </c>
      <c r="BY313" s="1311">
        <f>IFERROR(BY382/BY370,0)</f>
        <v/>
      </c>
      <c r="BZ313" s="1311">
        <f>IFERROR(BZ382/BZ370,0)</f>
        <v/>
      </c>
      <c r="CA313" s="1311">
        <f>IFERROR(CA382/CA370,0)</f>
        <v/>
      </c>
      <c r="CB313" s="1311">
        <f>IFERROR(CB382/CB370,0)</f>
        <v/>
      </c>
      <c r="CC313" s="1356" t="n"/>
    </row>
    <row r="314" hidden="1" outlineLevel="1" ht="14.4" customFormat="1" customHeight="1" s="1290">
      <c r="A314" s="1351" t="n"/>
      <c r="B314" s="1458" t="n"/>
      <c r="C314" s="1564" t="n"/>
      <c r="D314" s="1564" t="n"/>
      <c r="E314" s="1564" t="n"/>
      <c r="F314" s="1564" t="n"/>
      <c r="G314" s="1564" t="n"/>
      <c r="H314" s="1563" t="n"/>
      <c r="I314" s="1563" t="n"/>
      <c r="J314" s="1563" t="n"/>
      <c r="K314" s="1563" t="n"/>
      <c r="L314" s="1564" t="n"/>
      <c r="M314" s="1563" t="n"/>
      <c r="N314" s="1563" t="n"/>
      <c r="O314" s="1563" t="n"/>
      <c r="P314" s="1563" t="n"/>
      <c r="Q314" s="1564" t="n"/>
      <c r="R314" s="1563" t="n"/>
      <c r="S314" s="1563" t="n"/>
      <c r="T314" s="1563" t="n"/>
      <c r="U314" s="1563" t="n"/>
      <c r="V314" s="1564" t="n"/>
      <c r="W314" s="1563" t="n"/>
      <c r="X314" s="1563" t="n"/>
      <c r="Y314" s="1563" t="n"/>
      <c r="Z314" s="1563" t="n"/>
      <c r="AA314" s="1564" t="n"/>
      <c r="AB314" s="1563" t="n"/>
      <c r="AC314" s="1563" t="n"/>
      <c r="AD314" s="1563" t="n"/>
      <c r="AE314" s="1563" t="n"/>
      <c r="AF314" s="1564" t="n"/>
      <c r="AG314" s="1563" t="n"/>
      <c r="AH314" s="1563" t="n"/>
      <c r="AI314" s="1563" t="n"/>
      <c r="AJ314" s="1563" t="n"/>
      <c r="AK314" s="1564" t="n"/>
      <c r="AL314" s="1563" t="n"/>
      <c r="AM314" s="1563" t="n"/>
      <c r="AN314" s="1563" t="n"/>
      <c r="AO314" s="1563" t="n"/>
      <c r="AP314" s="1564" t="n"/>
      <c r="AQ314" s="1563" t="n"/>
      <c r="AR314" s="1563" t="n"/>
      <c r="AS314" s="1563" t="n"/>
      <c r="AT314" s="1563" t="n"/>
      <c r="AU314" s="1564" t="n"/>
      <c r="AV314" s="1563" t="n"/>
      <c r="AW314" s="1563" t="n"/>
      <c r="AX314" s="1563" t="n"/>
      <c r="AY314" s="1563" t="n"/>
      <c r="AZ314" s="1564" t="n"/>
      <c r="BA314" s="1563" t="n"/>
      <c r="BB314" s="1563" t="n"/>
      <c r="BC314" s="1563" t="n"/>
      <c r="BD314" s="1563" t="n"/>
      <c r="BE314" s="1564" t="n"/>
      <c r="BF314" s="1563" t="n"/>
      <c r="BG314" s="1563" t="n"/>
      <c r="BH314" s="1563" t="n"/>
      <c r="BI314" s="1563" t="n"/>
      <c r="BJ314" s="1564" t="n"/>
      <c r="BK314" s="1563" t="n"/>
      <c r="BL314" s="1563" t="n"/>
      <c r="BM314" s="1563" t="n"/>
      <c r="BN314" s="1563" t="n"/>
      <c r="BO314" s="1567" t="n"/>
      <c r="BP314" s="1563" t="n"/>
      <c r="BQ314" s="1563" t="n"/>
      <c r="BR314" s="1563" t="n"/>
      <c r="BS314" s="1563" t="n"/>
      <c r="BT314" s="1564" t="n"/>
      <c r="BU314" s="1563" t="n"/>
      <c r="BV314" s="1563" t="n"/>
      <c r="BW314" s="1563" t="n"/>
      <c r="BX314" s="1563" t="n"/>
      <c r="BY314" s="1564" t="n"/>
      <c r="BZ314" s="1564" t="n"/>
      <c r="CA314" s="1564" t="n"/>
      <c r="CB314" s="1564" t="n"/>
      <c r="CC314" s="1356" t="n"/>
    </row>
    <row r="315" hidden="1" outlineLevel="1" ht="14.4" customFormat="1" customHeight="1" s="1290">
      <c r="A315" s="1549" t="inlineStr">
        <is>
          <t>Add back: D&amp;A Margin, %</t>
        </is>
      </c>
      <c r="B315" s="1550" t="n"/>
      <c r="C315" s="1551">
        <f>C384/C369</f>
        <v/>
      </c>
      <c r="D315" s="1551">
        <f>D384/D369</f>
        <v/>
      </c>
      <c r="E315" s="1551">
        <f>E384/E369</f>
        <v/>
      </c>
      <c r="F315" s="1551">
        <f>F384/F369</f>
        <v/>
      </c>
      <c r="G315" s="1551">
        <f>G384/G369</f>
        <v/>
      </c>
      <c r="H315" s="1552">
        <f>H384/H369</f>
        <v/>
      </c>
      <c r="I315" s="1552">
        <f>I384/I369</f>
        <v/>
      </c>
      <c r="J315" s="1552">
        <f>J384/J369</f>
        <v/>
      </c>
      <c r="K315" s="1552">
        <f>K384/K369</f>
        <v/>
      </c>
      <c r="L315" s="1551">
        <f>L384/L369</f>
        <v/>
      </c>
      <c r="M315" s="1552">
        <f>M384/M369</f>
        <v/>
      </c>
      <c r="N315" s="1552">
        <f>N384/N369</f>
        <v/>
      </c>
      <c r="O315" s="1552">
        <f>O384/O369</f>
        <v/>
      </c>
      <c r="P315" s="1552">
        <f>P384/P369</f>
        <v/>
      </c>
      <c r="Q315" s="1551">
        <f>Q384/Q369</f>
        <v/>
      </c>
      <c r="R315" s="1552">
        <f>R384/R369</f>
        <v/>
      </c>
      <c r="S315" s="1552">
        <f>S384/S369</f>
        <v/>
      </c>
      <c r="T315" s="1552">
        <f>T384/T369</f>
        <v/>
      </c>
      <c r="U315" s="1552">
        <f>U384/U369</f>
        <v/>
      </c>
      <c r="V315" s="1551">
        <f>V384/V369</f>
        <v/>
      </c>
      <c r="W315" s="1552">
        <f>W384/W369</f>
        <v/>
      </c>
      <c r="X315" s="1552">
        <f>X384/X369</f>
        <v/>
      </c>
      <c r="Y315" s="1552">
        <f>Y384/Y369</f>
        <v/>
      </c>
      <c r="Z315" s="1552">
        <f>Z384/Z369</f>
        <v/>
      </c>
      <c r="AA315" s="1551">
        <f>AA384/AA369</f>
        <v/>
      </c>
      <c r="AB315" s="1552">
        <f>AB384/AB369</f>
        <v/>
      </c>
      <c r="AC315" s="1552">
        <f>AC384/AC369</f>
        <v/>
      </c>
      <c r="AD315" s="1552">
        <f>AD384/AD369</f>
        <v/>
      </c>
      <c r="AE315" s="1552">
        <f>AE384/AE369</f>
        <v/>
      </c>
      <c r="AF315" s="1551">
        <f>AF384/AF369</f>
        <v/>
      </c>
      <c r="AG315" s="1552">
        <f>AG384/AG369</f>
        <v/>
      </c>
      <c r="AH315" s="1552">
        <f>AH384/AH369</f>
        <v/>
      </c>
      <c r="AI315" s="1552">
        <f>AI384/AI369</f>
        <v/>
      </c>
      <c r="AJ315" s="1552">
        <f>AJ384/AJ369</f>
        <v/>
      </c>
      <c r="AK315" s="1551">
        <f>AK384/AK369</f>
        <v/>
      </c>
      <c r="AL315" s="1552">
        <f>AL384/AL369</f>
        <v/>
      </c>
      <c r="AM315" s="1552">
        <f>AM384/AM369</f>
        <v/>
      </c>
      <c r="AN315" s="1552">
        <f>AN384/AN369</f>
        <v/>
      </c>
      <c r="AO315" s="1552">
        <f>AO384/AO369</f>
        <v/>
      </c>
      <c r="AP315" s="1551">
        <f>AP384/AP369</f>
        <v/>
      </c>
      <c r="AQ315" s="1552">
        <f>AQ384/AQ369</f>
        <v/>
      </c>
      <c r="AR315" s="1552">
        <f>AR384/AR369</f>
        <v/>
      </c>
      <c r="AS315" s="1552">
        <f>AS384/AS369</f>
        <v/>
      </c>
      <c r="AT315" s="1552">
        <f>AT384/AT369</f>
        <v/>
      </c>
      <c r="AU315" s="1551">
        <f>AU384/AU369</f>
        <v/>
      </c>
      <c r="AV315" s="1552">
        <f>AV384/AV369</f>
        <v/>
      </c>
      <c r="AW315" s="1552">
        <f>AW384/AW369</f>
        <v/>
      </c>
      <c r="AX315" s="1552">
        <f>AX384/AX369</f>
        <v/>
      </c>
      <c r="AY315" s="1552">
        <f>AY384/AY369</f>
        <v/>
      </c>
      <c r="AZ315" s="1551">
        <f>AZ384/AZ369</f>
        <v/>
      </c>
      <c r="BA315" s="1552">
        <f>BA384/BA369</f>
        <v/>
      </c>
      <c r="BB315" s="1552">
        <f>BB384/BB369</f>
        <v/>
      </c>
      <c r="BC315" s="1552">
        <f>BC384/BC369</f>
        <v/>
      </c>
      <c r="BD315" s="1552">
        <f>BD384/BD369</f>
        <v/>
      </c>
      <c r="BE315" s="1551">
        <f>BE384/BE369</f>
        <v/>
      </c>
      <c r="BF315" s="1552">
        <f>BF384/BF369</f>
        <v/>
      </c>
      <c r="BG315" s="1552">
        <f>BG384/BG369</f>
        <v/>
      </c>
      <c r="BH315" s="1552">
        <f>BH384/BH369</f>
        <v/>
      </c>
      <c r="BI315" s="1552">
        <f>BI384/BI369</f>
        <v/>
      </c>
      <c r="BJ315" s="1551">
        <f>BJ384/BJ369</f>
        <v/>
      </c>
      <c r="BK315" s="1552">
        <f>BK384/BK369</f>
        <v/>
      </c>
      <c r="BL315" s="1552">
        <f>BL384/BL369</f>
        <v/>
      </c>
      <c r="BM315" s="1552">
        <f>BM384/BM369</f>
        <v/>
      </c>
      <c r="BN315" s="1552">
        <f>BN384/BN369</f>
        <v/>
      </c>
      <c r="BO315" s="1553">
        <f>BO384/BO369</f>
        <v/>
      </c>
      <c r="BP315" s="1552">
        <f>BP384/BP369</f>
        <v/>
      </c>
      <c r="BQ315" s="1552">
        <f>BQ384/BQ369</f>
        <v/>
      </c>
      <c r="BR315" s="1552">
        <f>BR384/BR369</f>
        <v/>
      </c>
      <c r="BS315" s="1552">
        <f>BS384/BS369</f>
        <v/>
      </c>
      <c r="BT315" s="1551">
        <f>BT384/BT369</f>
        <v/>
      </c>
      <c r="BU315" s="1552">
        <f>BU384/BU369</f>
        <v/>
      </c>
      <c r="BV315" s="1552">
        <f>BV384/BV369</f>
        <v/>
      </c>
      <c r="BW315" s="1552">
        <f>BW384/BW369</f>
        <v/>
      </c>
      <c r="BX315" s="1552">
        <f>BX384/BX369</f>
        <v/>
      </c>
      <c r="BY315" s="1551">
        <f>BY384/BY369</f>
        <v/>
      </c>
      <c r="BZ315" s="1551">
        <f>BZ384/BZ369</f>
        <v/>
      </c>
      <c r="CA315" s="1551">
        <f>CA384/CA369</f>
        <v/>
      </c>
      <c r="CB315" s="1551">
        <f>CB384/CB369</f>
        <v/>
      </c>
      <c r="CC315" s="1356" t="n"/>
    </row>
    <row r="316" hidden="1" outlineLevel="1" ht="14.4" customFormat="1" customHeight="1" s="1290">
      <c r="A316" s="1549" t="inlineStr">
        <is>
          <t>Add back: SBC Margin, %</t>
        </is>
      </c>
      <c r="B316" s="1550" t="n"/>
      <c r="C316" s="1551">
        <f>C385/C369</f>
        <v/>
      </c>
      <c r="D316" s="1551">
        <f>D385/D369</f>
        <v/>
      </c>
      <c r="E316" s="1551">
        <f>E385/E369</f>
        <v/>
      </c>
      <c r="F316" s="1551">
        <f>F385/F369</f>
        <v/>
      </c>
      <c r="G316" s="1551">
        <f>G385/G369</f>
        <v/>
      </c>
      <c r="H316" s="1552">
        <f>H385/H369</f>
        <v/>
      </c>
      <c r="I316" s="1552">
        <f>I385/I369</f>
        <v/>
      </c>
      <c r="J316" s="1552">
        <f>J385/J369</f>
        <v/>
      </c>
      <c r="K316" s="1552">
        <f>K385/K369</f>
        <v/>
      </c>
      <c r="L316" s="1551">
        <f>L385/L369</f>
        <v/>
      </c>
      <c r="M316" s="1552">
        <f>M385/M369</f>
        <v/>
      </c>
      <c r="N316" s="1552">
        <f>N385/N369</f>
        <v/>
      </c>
      <c r="O316" s="1552">
        <f>O385/O369</f>
        <v/>
      </c>
      <c r="P316" s="1552">
        <f>P385/P369</f>
        <v/>
      </c>
      <c r="Q316" s="1551">
        <f>Q385/Q369</f>
        <v/>
      </c>
      <c r="R316" s="1552">
        <f>R385/R369</f>
        <v/>
      </c>
      <c r="S316" s="1552">
        <f>S385/S369</f>
        <v/>
      </c>
      <c r="T316" s="1552">
        <f>T385/T369</f>
        <v/>
      </c>
      <c r="U316" s="1552">
        <f>U385/U369</f>
        <v/>
      </c>
      <c r="V316" s="1551">
        <f>V385/V369</f>
        <v/>
      </c>
      <c r="W316" s="1552">
        <f>W385/W369</f>
        <v/>
      </c>
      <c r="X316" s="1552">
        <f>X385/X369</f>
        <v/>
      </c>
      <c r="Y316" s="1552">
        <f>Y385/Y369</f>
        <v/>
      </c>
      <c r="Z316" s="1552">
        <f>Z385/Z369</f>
        <v/>
      </c>
      <c r="AA316" s="1551">
        <f>AA385/AA369</f>
        <v/>
      </c>
      <c r="AB316" s="1552">
        <f>AB385/AB369</f>
        <v/>
      </c>
      <c r="AC316" s="1552">
        <f>AC385/AC369</f>
        <v/>
      </c>
      <c r="AD316" s="1552">
        <f>AD385/AD369</f>
        <v/>
      </c>
      <c r="AE316" s="1552">
        <f>AE385/AE369</f>
        <v/>
      </c>
      <c r="AF316" s="1551">
        <f>AF385/AF369</f>
        <v/>
      </c>
      <c r="AG316" s="1552">
        <f>AG385/AG369</f>
        <v/>
      </c>
      <c r="AH316" s="1552">
        <f>AH385/AH369</f>
        <v/>
      </c>
      <c r="AI316" s="1552">
        <f>AI385/AI369</f>
        <v/>
      </c>
      <c r="AJ316" s="1552">
        <f>AJ385/AJ369</f>
        <v/>
      </c>
      <c r="AK316" s="1551">
        <f>AK385/AK369</f>
        <v/>
      </c>
      <c r="AL316" s="1552">
        <f>AL385/AL369</f>
        <v/>
      </c>
      <c r="AM316" s="1552">
        <f>AM385/AM369</f>
        <v/>
      </c>
      <c r="AN316" s="1552">
        <f>AN385/AN369</f>
        <v/>
      </c>
      <c r="AO316" s="1552">
        <f>AO385/AO369</f>
        <v/>
      </c>
      <c r="AP316" s="1551">
        <f>AP385/AP369</f>
        <v/>
      </c>
      <c r="AQ316" s="1552">
        <f>AQ385/AQ369</f>
        <v/>
      </c>
      <c r="AR316" s="1552">
        <f>AR385/AR369</f>
        <v/>
      </c>
      <c r="AS316" s="1552">
        <f>AS385/AS369</f>
        <v/>
      </c>
      <c r="AT316" s="1552">
        <f>AT385/AT369</f>
        <v/>
      </c>
      <c r="AU316" s="1551">
        <f>AU385/AU369</f>
        <v/>
      </c>
      <c r="AV316" s="1552">
        <f>AV385/AV369</f>
        <v/>
      </c>
      <c r="AW316" s="1552">
        <f>AW385/AW369</f>
        <v/>
      </c>
      <c r="AX316" s="1552">
        <f>AX385/AX369</f>
        <v/>
      </c>
      <c r="AY316" s="1552">
        <f>AY385/AY369</f>
        <v/>
      </c>
      <c r="AZ316" s="1551">
        <f>AZ385/AZ369</f>
        <v/>
      </c>
      <c r="BA316" s="1552">
        <f>BA385/BA369</f>
        <v/>
      </c>
      <c r="BB316" s="1552">
        <f>BB385/BB369</f>
        <v/>
      </c>
      <c r="BC316" s="1552">
        <f>BC385/BC369</f>
        <v/>
      </c>
      <c r="BD316" s="1552">
        <f>BD385/BD369</f>
        <v/>
      </c>
      <c r="BE316" s="1551">
        <f>BE385/BE369</f>
        <v/>
      </c>
      <c r="BF316" s="1552">
        <f>BF385/BF369</f>
        <v/>
      </c>
      <c r="BG316" s="1552">
        <f>BG385/BG369</f>
        <v/>
      </c>
      <c r="BH316" s="1552">
        <f>BH385/BH369</f>
        <v/>
      </c>
      <c r="BI316" s="1552">
        <f>BI385/BI369</f>
        <v/>
      </c>
      <c r="BJ316" s="1551">
        <f>BJ385/BJ369</f>
        <v/>
      </c>
      <c r="BK316" s="1552">
        <f>BK385/BK369</f>
        <v/>
      </c>
      <c r="BL316" s="1552">
        <f>BL385/BL369</f>
        <v/>
      </c>
      <c r="BM316" s="1552">
        <f>BM385/BM369</f>
        <v/>
      </c>
      <c r="BN316" s="1552">
        <f>BN385/BN369</f>
        <v/>
      </c>
      <c r="BO316" s="1553">
        <f>BO385/BO369</f>
        <v/>
      </c>
      <c r="BP316" s="1552">
        <f>BP385/BP369</f>
        <v/>
      </c>
      <c r="BQ316" s="1552">
        <f>BQ385/BQ369</f>
        <v/>
      </c>
      <c r="BR316" s="1552">
        <f>BR385/BR369</f>
        <v/>
      </c>
      <c r="BS316" s="1552">
        <f>BS385/BS369</f>
        <v/>
      </c>
      <c r="BT316" s="1551">
        <f>BT385/BT369</f>
        <v/>
      </c>
      <c r="BU316" s="1552">
        <f>BU385/BU369</f>
        <v/>
      </c>
      <c r="BV316" s="1552">
        <f>BV385/BV369</f>
        <v/>
      </c>
      <c r="BW316" s="1552">
        <f>BW385/BW369</f>
        <v/>
      </c>
      <c r="BX316" s="1552">
        <f>BX385/BX369</f>
        <v/>
      </c>
      <c r="BY316" s="1551">
        <f>BY385/BY369</f>
        <v/>
      </c>
      <c r="BZ316" s="1551">
        <f>BZ385/BZ369</f>
        <v/>
      </c>
      <c r="CA316" s="1551">
        <f>CA385/CA369</f>
        <v/>
      </c>
      <c r="CB316" s="1551">
        <f>CB385/CB369</f>
        <v/>
      </c>
      <c r="CC316" s="1356" t="n"/>
    </row>
    <row r="317" hidden="1" outlineLevel="1" ht="14.4" customFormat="1" customHeight="1" s="1350">
      <c r="A317" s="1575" t="inlineStr">
        <is>
          <t>EBITDA Margin, %</t>
        </is>
      </c>
      <c r="B317" s="1570" t="n"/>
      <c r="C317" s="1571">
        <f>C386/C369</f>
        <v/>
      </c>
      <c r="D317" s="1571">
        <f>D386/D369</f>
        <v/>
      </c>
      <c r="E317" s="1571">
        <f>E386/E369</f>
        <v/>
      </c>
      <c r="F317" s="1571">
        <f>F386/F369</f>
        <v/>
      </c>
      <c r="G317" s="1571">
        <f>G386/G369</f>
        <v/>
      </c>
      <c r="H317" s="1572">
        <f>H386/H369</f>
        <v/>
      </c>
      <c r="I317" s="1572">
        <f>I386/I369</f>
        <v/>
      </c>
      <c r="J317" s="1572">
        <f>J386/J369</f>
        <v/>
      </c>
      <c r="K317" s="1572">
        <f>K386/K369</f>
        <v/>
      </c>
      <c r="L317" s="1571">
        <f>L386/L369</f>
        <v/>
      </c>
      <c r="M317" s="1572">
        <f>M386/M369</f>
        <v/>
      </c>
      <c r="N317" s="1572">
        <f>N386/N369</f>
        <v/>
      </c>
      <c r="O317" s="1572">
        <f>O386/O369</f>
        <v/>
      </c>
      <c r="P317" s="1572">
        <f>P386/P369</f>
        <v/>
      </c>
      <c r="Q317" s="1571">
        <f>Q386/Q369</f>
        <v/>
      </c>
      <c r="R317" s="1572">
        <f>R386/R369</f>
        <v/>
      </c>
      <c r="S317" s="1572">
        <f>S386/S369</f>
        <v/>
      </c>
      <c r="T317" s="1572">
        <f>T386/T369</f>
        <v/>
      </c>
      <c r="U317" s="1572">
        <f>U386/U369</f>
        <v/>
      </c>
      <c r="V317" s="1571">
        <f>V386/V369</f>
        <v/>
      </c>
      <c r="W317" s="1572">
        <f>W386/W369</f>
        <v/>
      </c>
      <c r="X317" s="1572">
        <f>X386/X369</f>
        <v/>
      </c>
      <c r="Y317" s="1572">
        <f>Y386/Y369</f>
        <v/>
      </c>
      <c r="Z317" s="1572">
        <f>Z386/Z369</f>
        <v/>
      </c>
      <c r="AA317" s="1571">
        <f>AA386/AA369</f>
        <v/>
      </c>
      <c r="AB317" s="1572">
        <f>AB386/AB369</f>
        <v/>
      </c>
      <c r="AC317" s="1572">
        <f>AC386/AC369</f>
        <v/>
      </c>
      <c r="AD317" s="1572">
        <f>AD386/AD369</f>
        <v/>
      </c>
      <c r="AE317" s="1572">
        <f>AE386/AE369</f>
        <v/>
      </c>
      <c r="AF317" s="1571">
        <f>AF386/AF369</f>
        <v/>
      </c>
      <c r="AG317" s="1572">
        <f>AG386/AG369</f>
        <v/>
      </c>
      <c r="AH317" s="1572">
        <f>AH386/AH369</f>
        <v/>
      </c>
      <c r="AI317" s="1572">
        <f>AI386/AI369</f>
        <v/>
      </c>
      <c r="AJ317" s="1572">
        <f>AJ386/AJ369</f>
        <v/>
      </c>
      <c r="AK317" s="1571">
        <f>AK386/AK369</f>
        <v/>
      </c>
      <c r="AL317" s="1572">
        <f>AL386/AL369</f>
        <v/>
      </c>
      <c r="AM317" s="1572">
        <f>AM386/AM369</f>
        <v/>
      </c>
      <c r="AN317" s="1572">
        <f>AN386/AN369</f>
        <v/>
      </c>
      <c r="AO317" s="1572">
        <f>AO386/AO369</f>
        <v/>
      </c>
      <c r="AP317" s="1571">
        <f>AP386/AP369</f>
        <v/>
      </c>
      <c r="AQ317" s="1572">
        <f>AQ386/AQ369</f>
        <v/>
      </c>
      <c r="AR317" s="1572">
        <f>AR386/AR369</f>
        <v/>
      </c>
      <c r="AS317" s="1572">
        <f>AS386/AS369</f>
        <v/>
      </c>
      <c r="AT317" s="1572">
        <f>AT386/AT369</f>
        <v/>
      </c>
      <c r="AU317" s="1571">
        <f>AU386/AU369</f>
        <v/>
      </c>
      <c r="AV317" s="1572">
        <f>AV386/AV369</f>
        <v/>
      </c>
      <c r="AW317" s="1572">
        <f>AW386/AW369</f>
        <v/>
      </c>
      <c r="AX317" s="1572">
        <f>AX386/AX369</f>
        <v/>
      </c>
      <c r="AY317" s="1572">
        <f>AY386/AY369</f>
        <v/>
      </c>
      <c r="AZ317" s="1571">
        <f>AZ386/AZ369</f>
        <v/>
      </c>
      <c r="BA317" s="1572">
        <f>BA386/BA369</f>
        <v/>
      </c>
      <c r="BB317" s="1572">
        <f>BB386/BB369</f>
        <v/>
      </c>
      <c r="BC317" s="1572">
        <f>BC386/BC369</f>
        <v/>
      </c>
      <c r="BD317" s="1572">
        <f>BD386/BD369</f>
        <v/>
      </c>
      <c r="BE317" s="1571">
        <f>BE386/BE369</f>
        <v/>
      </c>
      <c r="BF317" s="1572">
        <f>BF386/BF369</f>
        <v/>
      </c>
      <c r="BG317" s="1572">
        <f>BG386/BG369</f>
        <v/>
      </c>
      <c r="BH317" s="1572">
        <f>BH386/BH369</f>
        <v/>
      </c>
      <c r="BI317" s="1572">
        <f>BI386/BI369</f>
        <v/>
      </c>
      <c r="BJ317" s="1571">
        <f>BJ386/BJ369</f>
        <v/>
      </c>
      <c r="BK317" s="1572">
        <f>BK386/BK369</f>
        <v/>
      </c>
      <c r="BL317" s="1572">
        <f>BL386/BL369</f>
        <v/>
      </c>
      <c r="BM317" s="1572">
        <f>BM386/BM369</f>
        <v/>
      </c>
      <c r="BN317" s="1572">
        <f>BN386/BN369</f>
        <v/>
      </c>
      <c r="BO317" s="1573">
        <f>BO386/BO369</f>
        <v/>
      </c>
      <c r="BP317" s="1572">
        <f>BP386/BP369</f>
        <v/>
      </c>
      <c r="BQ317" s="1572">
        <f>BQ386/BQ369</f>
        <v/>
      </c>
      <c r="BR317" s="1572">
        <f>BR386/BR369</f>
        <v/>
      </c>
      <c r="BS317" s="1572">
        <f>BS386/BS369</f>
        <v/>
      </c>
      <c r="BT317" s="1571">
        <f>BT386/BT369</f>
        <v/>
      </c>
      <c r="BU317" s="1572">
        <f>BU386/BU369</f>
        <v/>
      </c>
      <c r="BV317" s="1572">
        <f>BV386/BV369</f>
        <v/>
      </c>
      <c r="BW317" s="1572">
        <f>BW386/BW369</f>
        <v/>
      </c>
      <c r="BX317" s="1572">
        <f>BX386/BX369</f>
        <v/>
      </c>
      <c r="BY317" s="1571">
        <f>BY386/BY369</f>
        <v/>
      </c>
      <c r="BZ317" s="1571">
        <f>BZ386/BZ369</f>
        <v/>
      </c>
      <c r="CA317" s="1571">
        <f>CA386/CA369</f>
        <v/>
      </c>
      <c r="CB317" s="1571">
        <f>CB386/CB369</f>
        <v/>
      </c>
      <c r="CC317" s="1356" t="n"/>
    </row>
    <row r="318" hidden="1" outlineLevel="1" ht="14.4" customFormat="1" customHeight="1" s="1350">
      <c r="A318" s="1351" t="inlineStr">
        <is>
          <t>Adjusted EBITDA Margin (No Adjustments), %</t>
        </is>
      </c>
      <c r="B318" s="1458" t="n"/>
      <c r="C318" s="1564">
        <f>C387/C369</f>
        <v/>
      </c>
      <c r="D318" s="1564">
        <f>D387/D369</f>
        <v/>
      </c>
      <c r="E318" s="1564">
        <f>E387/E369</f>
        <v/>
      </c>
      <c r="F318" s="1564">
        <f>F387/F369</f>
        <v/>
      </c>
      <c r="G318" s="1564">
        <f>G387/G369</f>
        <v/>
      </c>
      <c r="H318" s="1563">
        <f>H387/H369</f>
        <v/>
      </c>
      <c r="I318" s="1563">
        <f>I387/I369</f>
        <v/>
      </c>
      <c r="J318" s="1563">
        <f>J387/J369</f>
        <v/>
      </c>
      <c r="K318" s="1563">
        <f>K387/K369</f>
        <v/>
      </c>
      <c r="L318" s="1564">
        <f>L387/L369</f>
        <v/>
      </c>
      <c r="M318" s="1563">
        <f>M387/M369</f>
        <v/>
      </c>
      <c r="N318" s="1563">
        <f>N387/N369</f>
        <v/>
      </c>
      <c r="O318" s="1563">
        <f>O387/O369</f>
        <v/>
      </c>
      <c r="P318" s="1563">
        <f>P387/P369</f>
        <v/>
      </c>
      <c r="Q318" s="1564">
        <f>Q387/Q369</f>
        <v/>
      </c>
      <c r="R318" s="1563">
        <f>R387/R369</f>
        <v/>
      </c>
      <c r="S318" s="1563">
        <f>S387/S369</f>
        <v/>
      </c>
      <c r="T318" s="1563">
        <f>T387/T369</f>
        <v/>
      </c>
      <c r="U318" s="1563">
        <f>U387/U369</f>
        <v/>
      </c>
      <c r="V318" s="1564">
        <f>V387/V369</f>
        <v/>
      </c>
      <c r="W318" s="1563">
        <f>W387/W369</f>
        <v/>
      </c>
      <c r="X318" s="1563">
        <f>X387/X369</f>
        <v/>
      </c>
      <c r="Y318" s="1563">
        <f>Y387/Y369</f>
        <v/>
      </c>
      <c r="Z318" s="1563">
        <f>Z387/Z369</f>
        <v/>
      </c>
      <c r="AA318" s="1564">
        <f>AA387/AA369</f>
        <v/>
      </c>
      <c r="AB318" s="1563">
        <f>AB387/AB369</f>
        <v/>
      </c>
      <c r="AC318" s="1563">
        <f>AC387/AC369</f>
        <v/>
      </c>
      <c r="AD318" s="1563">
        <f>AD387/AD369</f>
        <v/>
      </c>
      <c r="AE318" s="1563">
        <f>AE387/AE369</f>
        <v/>
      </c>
      <c r="AF318" s="1564">
        <f>AF387/AF369</f>
        <v/>
      </c>
      <c r="AG318" s="1563">
        <f>AG387/AG369</f>
        <v/>
      </c>
      <c r="AH318" s="1563">
        <f>AH387/AH369</f>
        <v/>
      </c>
      <c r="AI318" s="1563">
        <f>AI387/AI369</f>
        <v/>
      </c>
      <c r="AJ318" s="1563">
        <f>AJ387/AJ369</f>
        <v/>
      </c>
      <c r="AK318" s="1564">
        <f>AK387/AK369</f>
        <v/>
      </c>
      <c r="AL318" s="1563">
        <f>AL387/AL369</f>
        <v/>
      </c>
      <c r="AM318" s="1563">
        <f>AM387/AM369</f>
        <v/>
      </c>
      <c r="AN318" s="1563">
        <f>AN387/AN369</f>
        <v/>
      </c>
      <c r="AO318" s="1563">
        <f>AO387/AO369</f>
        <v/>
      </c>
      <c r="AP318" s="1564">
        <f>AP387/AP369</f>
        <v/>
      </c>
      <c r="AQ318" s="1563">
        <f>AQ387/AQ369</f>
        <v/>
      </c>
      <c r="AR318" s="1563">
        <f>AR387/AR369</f>
        <v/>
      </c>
      <c r="AS318" s="1563">
        <f>AS387/AS369</f>
        <v/>
      </c>
      <c r="AT318" s="1563">
        <f>AT387/AT369</f>
        <v/>
      </c>
      <c r="AU318" s="1564">
        <f>AU387/AU369</f>
        <v/>
      </c>
      <c r="AV318" s="1563">
        <f>AV387/AV369</f>
        <v/>
      </c>
      <c r="AW318" s="1563">
        <f>AW387/AW369</f>
        <v/>
      </c>
      <c r="AX318" s="1563">
        <f>AX387/AX369</f>
        <v/>
      </c>
      <c r="AY318" s="1563">
        <f>AY387/AY369</f>
        <v/>
      </c>
      <c r="AZ318" s="1564">
        <f>AZ387/AZ369</f>
        <v/>
      </c>
      <c r="BA318" s="1563">
        <f>BA387/BA369</f>
        <v/>
      </c>
      <c r="BB318" s="1563">
        <f>BB387/BB369</f>
        <v/>
      </c>
      <c r="BC318" s="1563">
        <f>BC387/BC369</f>
        <v/>
      </c>
      <c r="BD318" s="1563">
        <f>BD387/BD369</f>
        <v/>
      </c>
      <c r="BE318" s="1564">
        <f>BE387/BE369</f>
        <v/>
      </c>
      <c r="BF318" s="1563">
        <f>BF387/BF369</f>
        <v/>
      </c>
      <c r="BG318" s="1563">
        <f>BG387/BG369</f>
        <v/>
      </c>
      <c r="BH318" s="1563">
        <f>BH387/BH369</f>
        <v/>
      </c>
      <c r="BI318" s="1563">
        <f>BI387/BI369</f>
        <v/>
      </c>
      <c r="BJ318" s="1564">
        <f>BJ387/BJ369</f>
        <v/>
      </c>
      <c r="BK318" s="1563">
        <f>BK387/BK369</f>
        <v/>
      </c>
      <c r="BL318" s="1563">
        <f>BL387/BL369</f>
        <v/>
      </c>
      <c r="BM318" s="1563">
        <f>BM387/BM369</f>
        <v/>
      </c>
      <c r="BN318" s="1563">
        <f>BN387/BN369</f>
        <v/>
      </c>
      <c r="BO318" s="1567">
        <f>BO387/BO369</f>
        <v/>
      </c>
      <c r="BP318" s="1563">
        <f>BP387/BP369</f>
        <v/>
      </c>
      <c r="BQ318" s="1563">
        <f>BQ387/BQ369</f>
        <v/>
      </c>
      <c r="BR318" s="1563">
        <f>BR387/BR369</f>
        <v/>
      </c>
      <c r="BS318" s="1563">
        <f>BS387/BS369</f>
        <v/>
      </c>
      <c r="BT318" s="1564">
        <f>BT387/BT369</f>
        <v/>
      </c>
      <c r="BU318" s="1563">
        <f>BU387/BU369</f>
        <v/>
      </c>
      <c r="BV318" s="1563">
        <f>BV387/BV369</f>
        <v/>
      </c>
      <c r="BW318" s="1563">
        <f>BW387/BW369</f>
        <v/>
      </c>
      <c r="BX318" s="1563">
        <f>BX387/BX369</f>
        <v/>
      </c>
      <c r="BY318" s="1564">
        <f>BY387/BY369</f>
        <v/>
      </c>
      <c r="BZ318" s="1564">
        <f>BZ387/BZ369</f>
        <v/>
      </c>
      <c r="CA318" s="1564">
        <f>CA387/CA369</f>
        <v/>
      </c>
      <c r="CB318" s="1564">
        <f>CB387/CB369</f>
        <v/>
      </c>
      <c r="CC318" s="1356" t="n"/>
    </row>
    <row r="319" hidden="1" outlineLevel="1" ht="14.4" customFormat="1" customHeight="1" s="1565">
      <c r="A319" s="1372" t="inlineStr">
        <is>
          <t>Consensus Estimates - Adjusted EBITDA Margin, %</t>
        </is>
      </c>
      <c r="B319" s="1476" t="n"/>
      <c r="C319" s="1305" t="n"/>
      <c r="D319" s="1305" t="n"/>
      <c r="E319" s="1305" t="n"/>
      <c r="F319" s="1305" t="n"/>
      <c r="G319" s="1305" t="n"/>
      <c r="H319" s="1306" t="n"/>
      <c r="I319" s="1306" t="n"/>
      <c r="J319" s="1306" t="n"/>
      <c r="K319" s="1306" t="n"/>
      <c r="L319" s="1305" t="n"/>
      <c r="M319" s="1306" t="n"/>
      <c r="N319" s="1306" t="n"/>
      <c r="O319" s="1306" t="n"/>
      <c r="P319" s="1306" t="n"/>
      <c r="Q319" s="1305" t="n"/>
      <c r="R319" s="1306" t="n"/>
      <c r="S319" s="1566" t="n"/>
      <c r="T319" s="1306" t="n"/>
      <c r="U319" s="1306" t="n"/>
      <c r="V319" s="1305" t="n"/>
      <c r="W319" s="1306" t="n"/>
      <c r="X319" s="1566" t="n"/>
      <c r="Y319" s="1306" t="n"/>
      <c r="Z319" s="1306" t="n"/>
      <c r="AA319" s="1305" t="n"/>
      <c r="AB319" s="1306" t="n"/>
      <c r="AC319" s="1566" t="n"/>
      <c r="AD319" s="1306" t="n"/>
      <c r="AE319" s="1306" t="n"/>
      <c r="AF319" s="1305" t="n"/>
      <c r="AG319" s="1306" t="n"/>
      <c r="AH319" s="1566" t="n"/>
      <c r="AI319" s="1306" t="n"/>
      <c r="AJ319" s="1306" t="n"/>
      <c r="AK319" s="1305" t="n"/>
      <c r="AL319" s="1306" t="n"/>
      <c r="AM319" s="1566" t="n"/>
      <c r="AN319" s="1306" t="n"/>
      <c r="AO319" s="1306" t="n"/>
      <c r="AP319" s="1305" t="n"/>
      <c r="AQ319" s="1306" t="n"/>
      <c r="AR319" s="1566" t="n"/>
      <c r="AS319" s="1306" t="n"/>
      <c r="AT319" s="1306" t="n"/>
      <c r="AU319" s="1305" t="n"/>
      <c r="AV319" s="1306" t="n"/>
      <c r="AW319" s="1566" t="n"/>
      <c r="AX319" s="1306" t="n"/>
      <c r="AY319" s="1306" t="n"/>
      <c r="AZ319" s="1305" t="n"/>
      <c r="BA319" s="1306" t="n"/>
      <c r="BB319" s="1566" t="n"/>
      <c r="BC319" s="1306" t="n"/>
      <c r="BD319" s="1306" t="n"/>
      <c r="BE319" s="1305" t="n"/>
      <c r="BF319" s="1306" t="n"/>
      <c r="BG319" s="1566" t="n"/>
      <c r="BH319" s="1306" t="n"/>
      <c r="BI319" s="1306" t="n"/>
      <c r="BJ319" s="1305" t="n"/>
      <c r="BK319" s="1306" t="n"/>
      <c r="BL319" s="1566" t="n"/>
      <c r="BM319" s="1306" t="n"/>
      <c r="BN319" s="1306" t="n"/>
      <c r="BO319" s="1308" t="n"/>
      <c r="BP319" s="1312">
        <f>IFERROR(BP388/BP370,0)</f>
        <v/>
      </c>
      <c r="BQ319" s="1312">
        <f>IFERROR(BQ388/BQ370,0)</f>
        <v/>
      </c>
      <c r="BR319" s="1312">
        <f>IFERROR(BR388/BR370,0)</f>
        <v/>
      </c>
      <c r="BS319" s="1312">
        <f>IFERROR(BS388/BS370,0)</f>
        <v/>
      </c>
      <c r="BT319" s="1311">
        <f>IFERROR(BT388/BT370,0)</f>
        <v/>
      </c>
      <c r="BU319" s="1312">
        <f>IFERROR(BU388/BU370,0)</f>
        <v/>
      </c>
      <c r="BV319" s="1312">
        <f>IFERROR(BV388/BV370,0)</f>
        <v/>
      </c>
      <c r="BW319" s="1312">
        <f>IFERROR(BW388/BW370,0)</f>
        <v/>
      </c>
      <c r="BX319" s="1312">
        <f>IFERROR(BX388/BX370,0)</f>
        <v/>
      </c>
      <c r="BY319" s="1311">
        <f>IFERROR(BY388/BY370,0)</f>
        <v/>
      </c>
      <c r="BZ319" s="1311">
        <f>IFERROR(BZ388/BZ370,0)</f>
        <v/>
      </c>
      <c r="CA319" s="1311">
        <f>IFERROR(CA388/CA370,0)</f>
        <v/>
      </c>
      <c r="CB319" s="1311">
        <f>IFERROR(CB388/CB370,0)</f>
        <v/>
      </c>
      <c r="CC319" s="1306" t="n"/>
    </row>
    <row r="320" collapsed="1" ht="14.4" customFormat="1" customHeight="1" s="1565">
      <c r="A320" s="1372" t="n"/>
      <c r="B320" s="1476" t="n"/>
      <c r="C320" s="1305" t="n"/>
      <c r="D320" s="1305" t="n"/>
      <c r="E320" s="1305" t="n"/>
      <c r="F320" s="1305" t="n"/>
      <c r="G320" s="1305" t="n"/>
      <c r="H320" s="1306" t="n"/>
      <c r="I320" s="1306" t="n"/>
      <c r="J320" s="1306" t="n"/>
      <c r="K320" s="1306" t="n"/>
      <c r="L320" s="1305" t="n"/>
      <c r="M320" s="1306" t="n"/>
      <c r="N320" s="1306" t="n"/>
      <c r="O320" s="1306" t="n"/>
      <c r="P320" s="1306" t="n"/>
      <c r="Q320" s="1305" t="n"/>
      <c r="R320" s="1306" t="n"/>
      <c r="S320" s="1566" t="n"/>
      <c r="T320" s="1306" t="n"/>
      <c r="U320" s="1306" t="n"/>
      <c r="V320" s="1305" t="n"/>
      <c r="W320" s="1306" t="n"/>
      <c r="X320" s="1566" t="n"/>
      <c r="Y320" s="1306" t="n"/>
      <c r="Z320" s="1306" t="n"/>
      <c r="AA320" s="1305" t="n"/>
      <c r="AB320" s="1306" t="n"/>
      <c r="AC320" s="1566" t="n"/>
      <c r="AD320" s="1306" t="n"/>
      <c r="AE320" s="1306" t="n"/>
      <c r="AF320" s="1305" t="n"/>
      <c r="AG320" s="1306" t="n"/>
      <c r="AH320" s="1566" t="n"/>
      <c r="AI320" s="1306" t="n"/>
      <c r="AJ320" s="1306" t="n"/>
      <c r="AK320" s="1305" t="n"/>
      <c r="AL320" s="1306" t="n"/>
      <c r="AM320" s="1566" t="n"/>
      <c r="AN320" s="1306" t="n"/>
      <c r="AO320" s="1306" t="n"/>
      <c r="AP320" s="1305" t="n"/>
      <c r="AQ320" s="1306" t="n"/>
      <c r="AR320" s="1566" t="n"/>
      <c r="AS320" s="1306" t="n"/>
      <c r="AT320" s="1306" t="n"/>
      <c r="AU320" s="1305" t="n"/>
      <c r="AV320" s="1306" t="n"/>
      <c r="AW320" s="1566" t="n"/>
      <c r="AX320" s="1306" t="n"/>
      <c r="AY320" s="1306" t="n"/>
      <c r="AZ320" s="1305" t="n"/>
      <c r="BA320" s="1306" t="n"/>
      <c r="BB320" s="1566" t="n"/>
      <c r="BC320" s="1306" t="n"/>
      <c r="BD320" s="1306" t="n"/>
      <c r="BE320" s="1305" t="n"/>
      <c r="BF320" s="1306" t="n"/>
      <c r="BG320" s="1566" t="n"/>
      <c r="BH320" s="1306" t="n"/>
      <c r="BI320" s="1306" t="n"/>
      <c r="BJ320" s="1305" t="n"/>
      <c r="BK320" s="1306" t="n"/>
      <c r="BL320" s="1566" t="n"/>
      <c r="BM320" s="1306" t="n"/>
      <c r="BN320" s="1306" t="n"/>
      <c r="BO320" s="1308" t="n"/>
      <c r="BP320" s="1306" t="n"/>
      <c r="BQ320" s="1306" t="n"/>
      <c r="BR320" s="1306" t="n"/>
      <c r="BS320" s="1306" t="n"/>
      <c r="BT320" s="1576" t="n"/>
      <c r="BU320" s="1306" t="n"/>
      <c r="BV320" s="1306" t="n"/>
      <c r="BW320" s="1306" t="n"/>
      <c r="BX320" s="1306" t="n"/>
      <c r="BY320" s="1576" t="n"/>
      <c r="BZ320" s="1576" t="n"/>
      <c r="CA320" s="1576" t="n"/>
      <c r="CB320" s="1576" t="n"/>
      <c r="CC320" s="1306" t="n"/>
    </row>
    <row r="321" ht="14.4" customFormat="1" customHeight="1" s="1275">
      <c r="A321" s="1357" t="inlineStr">
        <is>
          <t>Income Statement - As Reported</t>
        </is>
      </c>
      <c r="B321" s="1358" t="n"/>
      <c r="C321" s="1358" t="n"/>
      <c r="D321" s="1358" t="n"/>
      <c r="E321" s="1358" t="n"/>
      <c r="F321" s="1358" t="n"/>
      <c r="G321" s="1358" t="n"/>
      <c r="H321" s="1358" t="n"/>
      <c r="I321" s="1358" t="n"/>
      <c r="J321" s="1358" t="n"/>
      <c r="K321" s="1358" t="n"/>
      <c r="L321" s="1358" t="n"/>
      <c r="M321" s="1358" t="n"/>
      <c r="N321" s="1358" t="n"/>
      <c r="O321" s="1358" t="n"/>
      <c r="P321" s="1358" t="n"/>
      <c r="Q321" s="1358" t="n"/>
      <c r="R321" s="1358" t="n"/>
      <c r="S321" s="1358" t="n"/>
      <c r="T321" s="1358" t="n"/>
      <c r="U321" s="1358" t="n"/>
      <c r="V321" s="1358" t="n"/>
      <c r="W321" s="1358" t="n"/>
      <c r="X321" s="1358" t="n"/>
      <c r="Y321" s="1358" t="n"/>
      <c r="Z321" s="1358" t="n"/>
      <c r="AA321" s="1358" t="n"/>
      <c r="AB321" s="1358" t="n"/>
      <c r="AC321" s="1358" t="n"/>
      <c r="AD321" s="1358" t="n"/>
      <c r="AE321" s="1358" t="n"/>
      <c r="AF321" s="1358" t="n"/>
      <c r="AG321" s="1358" t="n"/>
      <c r="AH321" s="1358" t="n"/>
      <c r="AI321" s="1358" t="n"/>
      <c r="AJ321" s="1358" t="n"/>
      <c r="AK321" s="1358" t="n"/>
      <c r="AL321" s="1358" t="n"/>
      <c r="AM321" s="1358" t="n"/>
      <c r="AN321" s="1358" t="n"/>
      <c r="AO321" s="1358" t="n"/>
      <c r="AP321" s="1358" t="n"/>
      <c r="AQ321" s="1358" t="n"/>
      <c r="AR321" s="1358" t="n"/>
      <c r="AS321" s="1358" t="n"/>
      <c r="AT321" s="1358" t="n"/>
      <c r="AU321" s="1358" t="n"/>
      <c r="AV321" s="1517" t="n"/>
      <c r="AW321" s="1517" t="n"/>
      <c r="AX321" s="1517" t="n"/>
      <c r="AY321" s="1358" t="n"/>
      <c r="AZ321" s="1358" t="n"/>
      <c r="BA321" s="1358" t="n"/>
      <c r="BB321" s="1517" t="n"/>
      <c r="BC321" s="1517" t="n"/>
      <c r="BD321" s="1358" t="n"/>
      <c r="BE321" s="1358" t="n"/>
      <c r="BF321" s="1358" t="n"/>
      <c r="BG321" s="1517" t="n"/>
      <c r="BH321" s="1517" t="n"/>
      <c r="BI321" s="1358" t="n"/>
      <c r="BJ321" s="1358" t="n"/>
      <c r="BK321" s="1358" t="n"/>
      <c r="BL321" s="1517" t="n"/>
      <c r="BM321" s="1517" t="n"/>
      <c r="BN321" s="1358" t="n"/>
      <c r="BO321" s="1359" t="n"/>
      <c r="BP321" s="1358" t="n"/>
      <c r="BQ321" s="1358" t="n"/>
      <c r="BR321" s="1358" t="n"/>
      <c r="BS321" s="1358" t="n"/>
      <c r="BT321" s="1358" t="n"/>
      <c r="BU321" s="1358" t="n"/>
      <c r="BV321" s="1358" t="n"/>
      <c r="BW321" s="1358" t="n"/>
      <c r="BX321" s="1358" t="n"/>
      <c r="BY321" s="1358" t="n"/>
      <c r="BZ321" s="1358" t="n"/>
      <c r="CA321" s="1358" t="n"/>
      <c r="CB321" s="1358" t="n"/>
      <c r="CC321" s="1280" t="n"/>
    </row>
    <row r="322" hidden="1" outlineLevel="1" ht="14.4" customFormat="1" customHeight="1" s="1323">
      <c r="A322" s="1577" t="inlineStr">
        <is>
          <t>Net Revenue</t>
        </is>
      </c>
      <c r="B322" s="1394" t="n"/>
      <c r="C322" s="1348" t="n">
        <v>295742.239</v>
      </c>
      <c r="D322" s="1348" t="n">
        <v>419537.911</v>
      </c>
      <c r="E322" s="1348" t="n">
        <v>427080.645</v>
      </c>
      <c r="F322" s="1348" t="n">
        <v>506745.234</v>
      </c>
      <c r="G322" s="1348" t="n">
        <v>597024.197</v>
      </c>
      <c r="H322" s="1349" t="n">
        <v>148215.172</v>
      </c>
      <c r="I322" s="1349" t="n">
        <v>183020.484</v>
      </c>
      <c r="J322" s="1349" t="n">
        <v>209049.734</v>
      </c>
      <c r="K322" s="1331">
        <f>L322-H322-I322-J322</f>
        <v/>
      </c>
      <c r="L322" s="1348" t="n">
        <v>762806.465</v>
      </c>
      <c r="M322" s="1349" t="n">
        <v>222034.144</v>
      </c>
      <c r="N322" s="1349" t="n">
        <v>205439.752</v>
      </c>
      <c r="O322" s="1349" t="n">
        <v>212504.909</v>
      </c>
      <c r="P322" s="1331">
        <f>Q322-M322-N322-O322</f>
        <v/>
      </c>
      <c r="Q322" s="1348" t="n">
        <v>843497.368</v>
      </c>
      <c r="R322" s="1349" t="n">
        <v>203495.361</v>
      </c>
      <c r="S322" s="1349" t="n">
        <v>221809.846</v>
      </c>
      <c r="T322" s="1349" t="n">
        <v>260405.885</v>
      </c>
      <c r="U322" s="1331">
        <f>V322-R322-S322-T322</f>
        <v/>
      </c>
      <c r="V322" s="1348" t="n">
        <v>947938.344</v>
      </c>
      <c r="W322" s="1349" t="n">
        <v>233914.4</v>
      </c>
      <c r="X322" s="1349" t="n">
        <v>213855.212</v>
      </c>
      <c r="Y322" s="1349" t="n">
        <v>252107.345</v>
      </c>
      <c r="Z322" s="1331">
        <f>AA322-W322-X322-Y322</f>
        <v/>
      </c>
      <c r="AA322" s="1348" t="n">
        <v>977447.241</v>
      </c>
      <c r="AB322" s="1349" t="n">
        <v>248078.671</v>
      </c>
      <c r="AC322" s="1349" t="n">
        <v>233276.811</v>
      </c>
      <c r="AD322" s="1349" t="n">
        <v>260347.882</v>
      </c>
      <c r="AE322" s="1331">
        <f>AF322-SUM(AB322,AC322,AD322)</f>
        <v/>
      </c>
      <c r="AF322" s="1348" t="n">
        <v>1031473.557</v>
      </c>
      <c r="AG322" s="1349" t="n">
        <v>218704.469</v>
      </c>
      <c r="AH322" s="1349" t="n">
        <v>240998.475</v>
      </c>
      <c r="AI322" s="1349" t="n">
        <v>293045.439</v>
      </c>
      <c r="AJ322" s="1331">
        <f>AK322-SUM(AG322,AH322,AI322)</f>
        <v/>
      </c>
      <c r="AK322" s="1348" t="n">
        <v>1069985.448</v>
      </c>
      <c r="AL322" s="1349" t="n">
        <v>310597.183</v>
      </c>
      <c r="AM322" s="1349" t="n">
        <v>310698.367</v>
      </c>
      <c r="AN322" s="1349" t="n">
        <v>356426.204</v>
      </c>
      <c r="AO322" s="1331">
        <f>AP322-SUM(AL322,AM322,AN322)</f>
        <v/>
      </c>
      <c r="AP322" s="1348" t="n">
        <v>1339254.811</v>
      </c>
      <c r="AQ322" s="1349" t="n">
        <v>362410.23</v>
      </c>
      <c r="AR322" s="1349" t="n">
        <v>372145.122</v>
      </c>
      <c r="AS322" s="1349" t="n">
        <v>414670.379</v>
      </c>
      <c r="AT322" s="1331">
        <f>AU322-SUM(AQ322,AR322,AS322)</f>
        <v/>
      </c>
      <c r="AU322" s="1348" t="n">
        <v>1587415.037</v>
      </c>
      <c r="AV322" s="1349" t="n">
        <v>491075.873</v>
      </c>
      <c r="AW322" s="1349" t="n">
        <v>534140.808</v>
      </c>
      <c r="AX322" s="1349" t="n">
        <v>613142.743</v>
      </c>
      <c r="AY322" s="1331">
        <f>AZ322-SUM(AV322,AW322,AX322)</f>
        <v/>
      </c>
      <c r="AZ322" s="1348" t="n">
        <v>2263891.292</v>
      </c>
      <c r="BA322" s="1349" t="n">
        <v>508632.973</v>
      </c>
      <c r="BB322" s="1349" t="n">
        <v>480841.254</v>
      </c>
      <c r="BC322" s="1349" t="n">
        <v>546732.758</v>
      </c>
      <c r="BD322" s="1331">
        <f>BE322-SUM(BA322,BB322,BC322)</f>
        <v/>
      </c>
      <c r="BE322" s="1348" t="n">
        <v>2161735.841</v>
      </c>
      <c r="BF322" s="1349" t="n">
        <v>592644.201</v>
      </c>
      <c r="BG322" s="1349" t="n">
        <v>673510.177</v>
      </c>
      <c r="BH322" s="1349" t="n">
        <v>759692.143</v>
      </c>
      <c r="BI322" s="1331">
        <f>BJ322-SUM(BF322,BG322,BH322)</f>
        <v/>
      </c>
      <c r="BJ322" s="1348" t="n">
        <v>2894307.699</v>
      </c>
      <c r="BK322" s="1349" t="n">
        <v>839253.664</v>
      </c>
      <c r="BL322" s="1349" t="n">
        <v>933791.8689999999</v>
      </c>
      <c r="BM322" s="1349" t="n">
        <v>989918.318</v>
      </c>
      <c r="BN322" s="1349" t="n">
        <v>1046090</v>
      </c>
      <c r="BO322" s="1578">
        <f>SUM(BK322,BL322,BM322,BN322)</f>
        <v/>
      </c>
      <c r="BP322" s="1346" t="n"/>
      <c r="BQ322" s="1346" t="n"/>
      <c r="BR322" s="1346" t="n"/>
      <c r="BS322" s="1346" t="n"/>
      <c r="BT322" s="1345" t="n"/>
      <c r="BU322" s="1346" t="n"/>
      <c r="BV322" s="1346" t="n"/>
      <c r="BW322" s="1346" t="n"/>
      <c r="BX322" s="1346" t="n"/>
      <c r="BY322" s="1345" t="n"/>
      <c r="BZ322" s="1345" t="n"/>
      <c r="CA322" s="1345" t="n"/>
      <c r="CB322" s="1345" t="n"/>
      <c r="CC322" s="1331" t="n"/>
    </row>
    <row r="323" hidden="1" outlineLevel="1" ht="14.4" customFormat="1" customHeight="1" s="1275">
      <c r="A323" s="1460" t="inlineStr">
        <is>
          <t>Cost of Revenue</t>
        </is>
      </c>
      <c r="B323" s="1389" t="n"/>
      <c r="C323" s="1390" t="n">
        <v>166413.628</v>
      </c>
      <c r="D323" s="1390" t="n">
        <v>212484.32</v>
      </c>
      <c r="E323" s="1390" t="n">
        <v>232937.388</v>
      </c>
      <c r="F323" s="1390" t="n">
        <v>262583.098</v>
      </c>
      <c r="G323" s="1390" t="n">
        <v>316057.82</v>
      </c>
      <c r="H323" s="1391" t="n">
        <v>77839.185</v>
      </c>
      <c r="I323" s="1391" t="n">
        <v>91826.284</v>
      </c>
      <c r="J323" s="1391" t="n">
        <v>103471.256</v>
      </c>
      <c r="K323" s="1464">
        <f>L323-H323-I323-J323</f>
        <v/>
      </c>
      <c r="L323" s="1390" t="n">
        <v>385113.005</v>
      </c>
      <c r="M323" s="1391" t="n">
        <v>112585.333</v>
      </c>
      <c r="N323" s="1391" t="n">
        <v>105735.807</v>
      </c>
      <c r="O323" s="1391" t="n">
        <v>110188.424</v>
      </c>
      <c r="P323" s="1464">
        <f>Q323-M323-N323-O323</f>
        <v/>
      </c>
      <c r="Q323" s="1390" t="n">
        <v>433117.601</v>
      </c>
      <c r="R323" s="1391" t="n">
        <v>112124.894</v>
      </c>
      <c r="S323" s="1391" t="n">
        <v>107468.601</v>
      </c>
      <c r="T323" s="1391" t="n">
        <v>128366.813</v>
      </c>
      <c r="U323" s="1464">
        <f>V323-R323-S323-T323</f>
        <v/>
      </c>
      <c r="V323" s="1390" t="n">
        <v>473077.173</v>
      </c>
      <c r="W323" s="1391" t="n">
        <v>112428.734</v>
      </c>
      <c r="X323" s="1391" t="n">
        <v>105101.969</v>
      </c>
      <c r="Y323" s="1391" t="n">
        <v>126230.664</v>
      </c>
      <c r="Z323" s="1464">
        <f>AA323-W323-X323-Y323</f>
        <v/>
      </c>
      <c r="AA323" s="1390" t="n">
        <v>482616.286</v>
      </c>
      <c r="AB323" s="1391" t="n">
        <v>123103.977</v>
      </c>
      <c r="AC323" s="1391" t="n">
        <v>121688.707</v>
      </c>
      <c r="AD323" s="1391" t="n">
        <v>136967.039</v>
      </c>
      <c r="AE323" s="1464">
        <f>AF323-SUM(AB323,AC323,AD323)</f>
        <v/>
      </c>
      <c r="AF323" s="1390" t="n">
        <v>533487.5159999999</v>
      </c>
      <c r="AG323" s="1391" t="n">
        <v>128352.344</v>
      </c>
      <c r="AH323" s="1391" t="n">
        <v>137325.245</v>
      </c>
      <c r="AI323" s="1391" t="n">
        <v>153613.278</v>
      </c>
      <c r="AJ323" s="1464">
        <f>AK323-SUM(AG323,AH323,AI323)</f>
        <v/>
      </c>
      <c r="AK323" s="1390" t="n">
        <v>577286.947</v>
      </c>
      <c r="AL323" s="1391" t="n">
        <v>149813.002</v>
      </c>
      <c r="AM323" s="1391" t="n">
        <v>146005.542</v>
      </c>
      <c r="AN323" s="1391" t="n">
        <v>165945.534</v>
      </c>
      <c r="AO323" s="1464">
        <f>AP323-SUM(AL323,AM323,AN323)</f>
        <v/>
      </c>
      <c r="AP323" s="1390" t="n">
        <v>628108.309</v>
      </c>
      <c r="AQ323" s="1391" t="n">
        <v>172635.011</v>
      </c>
      <c r="AR323" s="1391" t="n">
        <v>185910.987</v>
      </c>
      <c r="AS323" s="1391" t="n">
        <v>201821.695</v>
      </c>
      <c r="AT323" s="1464">
        <f>AU323-SUM(AQ323,AR323,AS323)</f>
        <v/>
      </c>
      <c r="AU323" s="1463">
        <f>767877.771+AU325</f>
        <v/>
      </c>
      <c r="AV323" s="1464">
        <f>217872.707+AV325</f>
        <v/>
      </c>
      <c r="AW323" s="1464">
        <f>218672.814+AW325</f>
        <v/>
      </c>
      <c r="AX323" s="1464">
        <f>242644.026+AX325</f>
        <v/>
      </c>
      <c r="AY323" s="1464">
        <f>AZ323-SUM(AV323,AW323,AX323)</f>
        <v/>
      </c>
      <c r="AZ323" s="1463">
        <f>915536.486+AZ325</f>
        <v/>
      </c>
      <c r="BA323" s="1464">
        <f>222132.581+BA325</f>
        <v/>
      </c>
      <c r="BB323" s="1464">
        <f>220641.407+BB325</f>
        <v/>
      </c>
      <c r="BC323" s="1464">
        <f>250090.294+BC325</f>
        <v/>
      </c>
      <c r="BD323" s="1464">
        <f>BE323-SUM(BA323,BB323,BC323)</f>
        <v/>
      </c>
      <c r="BE323" s="1463">
        <f>986625.213+BE325</f>
        <v/>
      </c>
      <c r="BF323" s="1464">
        <f>278138.932+BF325</f>
        <v/>
      </c>
      <c r="BG323" s="1464">
        <f>315385.699+BG325</f>
        <v/>
      </c>
      <c r="BH323" s="1464">
        <f>320346.477+BH325</f>
        <v/>
      </c>
      <c r="BI323" s="1464">
        <f>BJ323-SUM(BF323,BG323,BH323)</f>
        <v/>
      </c>
      <c r="BJ323" s="1463">
        <f>1269954.135+BJ325</f>
        <v/>
      </c>
      <c r="BK323" s="1464">
        <f>345858.588+BK325</f>
        <v/>
      </c>
      <c r="BL323" s="1464">
        <f>386422.631+BL325</f>
        <v/>
      </c>
      <c r="BM323" s="1464">
        <f>401375.489+BM325</f>
        <v/>
      </c>
      <c r="BN323" s="1464">
        <f>394103+BN325</f>
        <v/>
      </c>
      <c r="BO323" s="1465">
        <f>SUM(BK323,BL323,BM323,BN323)</f>
        <v/>
      </c>
      <c r="BP323" s="1365" t="n"/>
      <c r="BQ323" s="1365" t="n"/>
      <c r="BR323" s="1365" t="n"/>
      <c r="BS323" s="1365" t="n"/>
      <c r="BT323" s="1364" t="n"/>
      <c r="BU323" s="1365" t="n"/>
      <c r="BV323" s="1365" t="n"/>
      <c r="BW323" s="1365" t="n"/>
      <c r="BX323" s="1365" t="n"/>
      <c r="BY323" s="1364" t="n"/>
      <c r="BZ323" s="1364" t="n"/>
      <c r="CA323" s="1364" t="n"/>
      <c r="CB323" s="1364" t="n"/>
      <c r="CC323" s="1280" t="n"/>
    </row>
    <row r="324" hidden="1" outlineLevel="1" ht="14.4" customFormat="1" customHeight="1" s="1323">
      <c r="A324" s="1324" t="inlineStr">
        <is>
          <t>Gross Profit before realized (unrealized) gross profit on sales to associates</t>
        </is>
      </c>
      <c r="B324" s="1393" t="n"/>
      <c r="C324" s="1329">
        <f>C322-C323</f>
        <v/>
      </c>
      <c r="D324" s="1329">
        <f>D322-D323</f>
        <v/>
      </c>
      <c r="E324" s="1329">
        <f>E322-E323</f>
        <v/>
      </c>
      <c r="F324" s="1329">
        <f>F322-F323</f>
        <v/>
      </c>
      <c r="G324" s="1329">
        <f>G322-G323</f>
        <v/>
      </c>
      <c r="H324" s="1328">
        <f>H322-H323</f>
        <v/>
      </c>
      <c r="I324" s="1328">
        <f>I322-I323</f>
        <v/>
      </c>
      <c r="J324" s="1328">
        <f>J322-J323</f>
        <v/>
      </c>
      <c r="K324" s="1328">
        <f>K322-K323</f>
        <v/>
      </c>
      <c r="L324" s="1329">
        <f>L322-L323</f>
        <v/>
      </c>
      <c r="M324" s="1328">
        <f>M322-M323</f>
        <v/>
      </c>
      <c r="N324" s="1328">
        <f>N322-N323</f>
        <v/>
      </c>
      <c r="O324" s="1328">
        <f>O322-O323</f>
        <v/>
      </c>
      <c r="P324" s="1328">
        <f>P322-P323</f>
        <v/>
      </c>
      <c r="Q324" s="1329">
        <f>Q322-Q323</f>
        <v/>
      </c>
      <c r="R324" s="1328">
        <f>R322-R323</f>
        <v/>
      </c>
      <c r="S324" s="1328">
        <f>S322-S323</f>
        <v/>
      </c>
      <c r="T324" s="1328">
        <f>T322-T323</f>
        <v/>
      </c>
      <c r="U324" s="1328">
        <f>U322-U323</f>
        <v/>
      </c>
      <c r="V324" s="1329">
        <f>V322-V323</f>
        <v/>
      </c>
      <c r="W324" s="1328">
        <f>W322-W323</f>
        <v/>
      </c>
      <c r="X324" s="1328">
        <f>X322-X323</f>
        <v/>
      </c>
      <c r="Y324" s="1328">
        <f>Y322-Y323</f>
        <v/>
      </c>
      <c r="Z324" s="1328">
        <f>Z322-Z323</f>
        <v/>
      </c>
      <c r="AA324" s="1329">
        <f>AA322-AA323</f>
        <v/>
      </c>
      <c r="AB324" s="1328">
        <f>AB322-AB323</f>
        <v/>
      </c>
      <c r="AC324" s="1328">
        <f>AC322-AC323</f>
        <v/>
      </c>
      <c r="AD324" s="1328">
        <f>AD322-AD323</f>
        <v/>
      </c>
      <c r="AE324" s="1328">
        <f>AE322-AE323</f>
        <v/>
      </c>
      <c r="AF324" s="1329">
        <f>AF322-AF323</f>
        <v/>
      </c>
      <c r="AG324" s="1328">
        <f>AG322-AG323</f>
        <v/>
      </c>
      <c r="AH324" s="1328">
        <f>AH322-AH323</f>
        <v/>
      </c>
      <c r="AI324" s="1328">
        <f>AI322-AI323</f>
        <v/>
      </c>
      <c r="AJ324" s="1328">
        <f>AJ322-AJ323</f>
        <v/>
      </c>
      <c r="AK324" s="1329">
        <f>AK322-AK323</f>
        <v/>
      </c>
      <c r="AL324" s="1328">
        <f>AL322-AL323</f>
        <v/>
      </c>
      <c r="AM324" s="1328">
        <f>AM322-AM323</f>
        <v/>
      </c>
      <c r="AN324" s="1328">
        <f>AN322-AN323</f>
        <v/>
      </c>
      <c r="AO324" s="1328">
        <f>AO322-AO323</f>
        <v/>
      </c>
      <c r="AP324" s="1329">
        <f>AP322-AP323</f>
        <v/>
      </c>
      <c r="AQ324" s="1328">
        <f>AQ322-AQ323</f>
        <v/>
      </c>
      <c r="AR324" s="1328">
        <f>AR322-AR323</f>
        <v/>
      </c>
      <c r="AS324" s="1328">
        <f>AS322-AS323</f>
        <v/>
      </c>
      <c r="AT324" s="1328">
        <f>AT322-AT323</f>
        <v/>
      </c>
      <c r="AU324" s="1329">
        <f>AU322-AU323</f>
        <v/>
      </c>
      <c r="AV324" s="1328">
        <f>AV322-AV323</f>
        <v/>
      </c>
      <c r="AW324" s="1328">
        <f>AW322-AW323</f>
        <v/>
      </c>
      <c r="AX324" s="1328">
        <f>AX322-AX323</f>
        <v/>
      </c>
      <c r="AY324" s="1328">
        <f>AY322-AY323</f>
        <v/>
      </c>
      <c r="AZ324" s="1329">
        <f>AZ322-AZ323</f>
        <v/>
      </c>
      <c r="BA324" s="1328">
        <f>BA322-BA323</f>
        <v/>
      </c>
      <c r="BB324" s="1328">
        <f>BB322-BB323</f>
        <v/>
      </c>
      <c r="BC324" s="1328">
        <f>BC322-BC323</f>
        <v/>
      </c>
      <c r="BD324" s="1328">
        <f>BD322-BD323</f>
        <v/>
      </c>
      <c r="BE324" s="1329">
        <f>BE322-BE323</f>
        <v/>
      </c>
      <c r="BF324" s="1328">
        <f>BF322-BF323</f>
        <v/>
      </c>
      <c r="BG324" s="1328">
        <f>BG322-BG323</f>
        <v/>
      </c>
      <c r="BH324" s="1328">
        <f>BH322-BH323</f>
        <v/>
      </c>
      <c r="BI324" s="1328">
        <f>BI322-BI323</f>
        <v/>
      </c>
      <c r="BJ324" s="1329">
        <f>BJ322-BJ323</f>
        <v/>
      </c>
      <c r="BK324" s="1328">
        <f>BK322-BK323</f>
        <v/>
      </c>
      <c r="BL324" s="1328">
        <f>BL322-BL323</f>
        <v/>
      </c>
      <c r="BM324" s="1328">
        <f>BM322-BM323</f>
        <v/>
      </c>
      <c r="BN324" s="1328">
        <f>BN322-BN323</f>
        <v/>
      </c>
      <c r="BO324" s="1330">
        <f>BO322-BO323</f>
        <v/>
      </c>
      <c r="BP324" s="1327" t="n"/>
      <c r="BQ324" s="1327" t="n"/>
      <c r="BR324" s="1327" t="n"/>
      <c r="BS324" s="1327" t="n"/>
      <c r="BT324" s="1326" t="n"/>
      <c r="BU324" s="1327" t="n"/>
      <c r="BV324" s="1327" t="n"/>
      <c r="BW324" s="1327" t="n"/>
      <c r="BX324" s="1327" t="n"/>
      <c r="BY324" s="1326" t="n"/>
      <c r="BZ324" s="1326" t="n"/>
      <c r="CA324" s="1326" t="n"/>
      <c r="CB324" s="1326" t="n"/>
      <c r="CC324" s="1331" t="n"/>
    </row>
    <row r="325" hidden="1" outlineLevel="1" ht="14.4" customFormat="1" customHeight="1" s="1275">
      <c r="A325" s="1388" t="inlineStr">
        <is>
          <t>Realized (unrealized) gross profit on sales to associates</t>
        </is>
      </c>
      <c r="B325" s="1389" t="n"/>
      <c r="C325" s="1390" t="n">
        <v>0</v>
      </c>
      <c r="D325" s="1390" t="n">
        <v>0</v>
      </c>
      <c r="E325" s="1390" t="n">
        <v>-74.029</v>
      </c>
      <c r="F325" s="1390" t="n">
        <v>-25.029</v>
      </c>
      <c r="G325" s="1390" t="n">
        <v>-20.87</v>
      </c>
      <c r="H325" s="1391" t="n">
        <v>21.017</v>
      </c>
      <c r="I325" s="1391" t="n">
        <v>-4.369</v>
      </c>
      <c r="J325" s="1391" t="n">
        <v>-3.206</v>
      </c>
      <c r="K325" s="1365">
        <f>L325-H325-I325-J325</f>
        <v/>
      </c>
      <c r="L325" s="1390" t="n">
        <v>28.556</v>
      </c>
      <c r="M325" s="1391" t="n">
        <v>-19.547</v>
      </c>
      <c r="N325" s="1391" t="n">
        <v>1.011</v>
      </c>
      <c r="O325" s="1391" t="n">
        <v>19.271</v>
      </c>
      <c r="P325" s="1365">
        <f>Q325-M325-N325-O325</f>
        <v/>
      </c>
      <c r="Q325" s="1390" t="n">
        <v>15.126</v>
      </c>
      <c r="R325" s="1391" t="n">
        <v>-32.889</v>
      </c>
      <c r="S325" s="1391" t="n">
        <v>-7.009</v>
      </c>
      <c r="T325" s="1391" t="n">
        <v>11.717</v>
      </c>
      <c r="U325" s="1365">
        <f>V325-R325-S325-T325</f>
        <v/>
      </c>
      <c r="V325" s="1390" t="n">
        <v>-29.073</v>
      </c>
      <c r="W325" s="1391" t="n">
        <v>3.97</v>
      </c>
      <c r="X325" s="1391" t="n">
        <v>-44.589</v>
      </c>
      <c r="Y325" s="1391" t="n">
        <v>3.467</v>
      </c>
      <c r="Z325" s="1365">
        <f>AA325-W325-X325-Y325</f>
        <v/>
      </c>
      <c r="AA325" s="1390" t="n">
        <v>-4.553</v>
      </c>
      <c r="AB325" s="1391" t="n">
        <v>-117.155</v>
      </c>
      <c r="AC325" s="1391" t="n">
        <v>-57.17</v>
      </c>
      <c r="AD325" s="1391" t="n">
        <v>-14.203</v>
      </c>
      <c r="AE325" s="1365">
        <f>AF325-SUM(AB325,AC325,AD325)</f>
        <v/>
      </c>
      <c r="AF325" s="1390" t="n">
        <v>-111.788</v>
      </c>
      <c r="AG325" s="1391" t="n">
        <v>5.432</v>
      </c>
      <c r="AH325" s="1391" t="n">
        <v>56.83</v>
      </c>
      <c r="AI325" s="1391" t="n">
        <v>-19.727</v>
      </c>
      <c r="AJ325" s="1365">
        <f>AK325-SUM(AG325,AH325,AI325)</f>
        <v/>
      </c>
      <c r="AK325" s="1390" t="n">
        <v>3.395</v>
      </c>
      <c r="AL325" s="1391" t="n">
        <v>-7.673</v>
      </c>
      <c r="AM325" s="1391" t="n">
        <v>-69.03400000000001</v>
      </c>
      <c r="AN325" s="1391" t="n">
        <v>12.826</v>
      </c>
      <c r="AO325" s="1365">
        <f>AP325-SUM(AL325,AM325,AN325)</f>
        <v/>
      </c>
      <c r="AP325" s="1390" t="n">
        <v>-16.382</v>
      </c>
      <c r="AQ325" s="1391" t="n">
        <v>64.211</v>
      </c>
      <c r="AR325" s="1391" t="n">
        <v>-37.317</v>
      </c>
      <c r="AS325" s="1391" t="n">
        <v>-102.489</v>
      </c>
      <c r="AT325" s="1365">
        <f>AU325-SUM(AQ325,AR325,AS325)</f>
        <v/>
      </c>
      <c r="AU325" s="1390" t="n">
        <v>-20</v>
      </c>
      <c r="AV325" s="1391" t="n">
        <v>-30</v>
      </c>
      <c r="AW325" s="1391" t="n">
        <v>-30</v>
      </c>
      <c r="AX325" s="1391" t="n">
        <v>-30</v>
      </c>
      <c r="AY325" s="1365">
        <f>AZ325-SUM(AV325,AW325,AX325)</f>
        <v/>
      </c>
      <c r="AZ325" s="1390" t="n">
        <v>-120</v>
      </c>
      <c r="BA325" s="1391" t="n">
        <v>-30</v>
      </c>
      <c r="BB325" s="1391" t="n">
        <v>-30</v>
      </c>
      <c r="BC325" s="1391" t="n">
        <v>-30</v>
      </c>
      <c r="BD325" s="1365">
        <f>BE325-SUM(BA325,BB325,BC325)</f>
        <v/>
      </c>
      <c r="BE325" s="1390" t="n">
        <v>-120</v>
      </c>
      <c r="BF325" s="1391" t="n">
        <v>-30</v>
      </c>
      <c r="BG325" s="1391" t="n">
        <v>-30</v>
      </c>
      <c r="BH325" s="1391" t="n">
        <v>-30</v>
      </c>
      <c r="BI325" s="1365">
        <f>BJ325-SUM(BF325,BG325,BH325)</f>
        <v/>
      </c>
      <c r="BJ325" s="1390" t="n">
        <v>-120</v>
      </c>
      <c r="BK325" s="1391" t="n">
        <v>-30</v>
      </c>
      <c r="BL325" s="1391" t="n">
        <v>-30</v>
      </c>
      <c r="BM325" s="1391" t="n">
        <v>-30</v>
      </c>
      <c r="BN325" s="1365">
        <f>BO325-SUM(BK325,BL325,BM325)</f>
        <v/>
      </c>
      <c r="BO325" s="1579" t="n">
        <v>-120</v>
      </c>
      <c r="BP325" s="1365" t="n"/>
      <c r="BQ325" s="1365" t="n"/>
      <c r="BR325" s="1365" t="n"/>
      <c r="BS325" s="1365" t="n"/>
      <c r="BT325" s="1364" t="n"/>
      <c r="BU325" s="1365" t="n"/>
      <c r="BV325" s="1365" t="n"/>
      <c r="BW325" s="1365" t="n"/>
      <c r="BX325" s="1365" t="n"/>
      <c r="BY325" s="1364" t="n"/>
      <c r="BZ325" s="1364" t="n"/>
      <c r="CA325" s="1364" t="n"/>
      <c r="CB325" s="1364" t="n"/>
      <c r="CC325" s="1280" t="n"/>
    </row>
    <row r="326" hidden="1" outlineLevel="1" ht="14.4" customFormat="1" customHeight="1" s="1323">
      <c r="A326" s="1324" t="inlineStr">
        <is>
          <t>Gross Profit</t>
        </is>
      </c>
      <c r="B326" s="1393" t="n"/>
      <c r="C326" s="1329">
        <f>SUM(C324:C325)</f>
        <v/>
      </c>
      <c r="D326" s="1329">
        <f>SUM(D324:D325)</f>
        <v/>
      </c>
      <c r="E326" s="1329">
        <f>SUM(E324:E325)</f>
        <v/>
      </c>
      <c r="F326" s="1329">
        <f>SUM(F324:F325)</f>
        <v/>
      </c>
      <c r="G326" s="1329">
        <f>SUM(G324:G325)</f>
        <v/>
      </c>
      <c r="H326" s="1328">
        <f>SUM(H324:H325)</f>
        <v/>
      </c>
      <c r="I326" s="1328">
        <f>SUM(I324:I325)</f>
        <v/>
      </c>
      <c r="J326" s="1328">
        <f>SUM(J324:J325)</f>
        <v/>
      </c>
      <c r="K326" s="1328">
        <f>SUM(K324:K325)</f>
        <v/>
      </c>
      <c r="L326" s="1329">
        <f>SUM(L324:L325)</f>
        <v/>
      </c>
      <c r="M326" s="1328">
        <f>SUM(M324:M325)</f>
        <v/>
      </c>
      <c r="N326" s="1328">
        <f>SUM(N324:N325)</f>
        <v/>
      </c>
      <c r="O326" s="1328">
        <f>SUM(O324:O325)</f>
        <v/>
      </c>
      <c r="P326" s="1328">
        <f>SUM(P324:P325)</f>
        <v/>
      </c>
      <c r="Q326" s="1329">
        <f>SUM(Q324:Q325)</f>
        <v/>
      </c>
      <c r="R326" s="1328">
        <f>SUM(R324:R325)</f>
        <v/>
      </c>
      <c r="S326" s="1328">
        <f>SUM(S324:S325)</f>
        <v/>
      </c>
      <c r="T326" s="1328">
        <f>SUM(T324:T325)</f>
        <v/>
      </c>
      <c r="U326" s="1328">
        <f>SUM(U324:U325)</f>
        <v/>
      </c>
      <c r="V326" s="1329">
        <f>SUM(V324:V325)</f>
        <v/>
      </c>
      <c r="W326" s="1328">
        <f>SUM(W324:W325)</f>
        <v/>
      </c>
      <c r="X326" s="1328">
        <f>SUM(X324:X325)</f>
        <v/>
      </c>
      <c r="Y326" s="1328">
        <f>SUM(Y324:Y325)</f>
        <v/>
      </c>
      <c r="Z326" s="1328">
        <f>SUM(Z324:Z325)</f>
        <v/>
      </c>
      <c r="AA326" s="1329">
        <f>SUM(AA324:AA325)</f>
        <v/>
      </c>
      <c r="AB326" s="1328">
        <f>SUM(AB324:AB325)</f>
        <v/>
      </c>
      <c r="AC326" s="1328">
        <f>SUM(AC324:AC325)</f>
        <v/>
      </c>
      <c r="AD326" s="1328">
        <f>SUM(AD324:AD325)</f>
        <v/>
      </c>
      <c r="AE326" s="1328">
        <f>SUM(AE324:AE325)</f>
        <v/>
      </c>
      <c r="AF326" s="1329">
        <f>SUM(AF324:AF325)</f>
        <v/>
      </c>
      <c r="AG326" s="1328">
        <f>SUM(AG324:AG325)</f>
        <v/>
      </c>
      <c r="AH326" s="1328">
        <f>SUM(AH324:AH325)</f>
        <v/>
      </c>
      <c r="AI326" s="1328">
        <f>SUM(AI324:AI325)</f>
        <v/>
      </c>
      <c r="AJ326" s="1328">
        <f>SUM(AJ324:AJ325)</f>
        <v/>
      </c>
      <c r="AK326" s="1329">
        <f>SUM(AK324:AK325)</f>
        <v/>
      </c>
      <c r="AL326" s="1328">
        <f>SUM(AL324:AL325)</f>
        <v/>
      </c>
      <c r="AM326" s="1328">
        <f>SUM(AM324:AM325)</f>
        <v/>
      </c>
      <c r="AN326" s="1328">
        <f>SUM(AN324:AN325)</f>
        <v/>
      </c>
      <c r="AO326" s="1328">
        <f>SUM(AO324:AO325)</f>
        <v/>
      </c>
      <c r="AP326" s="1329">
        <f>SUM(AP324:AP325)</f>
        <v/>
      </c>
      <c r="AQ326" s="1328">
        <f>SUM(AQ324:AQ325)</f>
        <v/>
      </c>
      <c r="AR326" s="1328">
        <f>SUM(AR324:AR325)</f>
        <v/>
      </c>
      <c r="AS326" s="1328">
        <f>SUM(AS324:AS325)</f>
        <v/>
      </c>
      <c r="AT326" s="1328">
        <f>SUM(AT324:AT325)</f>
        <v/>
      </c>
      <c r="AU326" s="1329">
        <f>SUM(AU324:AU325)</f>
        <v/>
      </c>
      <c r="AV326" s="1328">
        <f>SUM(AV324:AV325)</f>
        <v/>
      </c>
      <c r="AW326" s="1328">
        <f>SUM(AW324:AW325)</f>
        <v/>
      </c>
      <c r="AX326" s="1328">
        <f>SUM(AX324:AX325)</f>
        <v/>
      </c>
      <c r="AY326" s="1328">
        <f>SUM(AY324:AY325)</f>
        <v/>
      </c>
      <c r="AZ326" s="1329">
        <f>SUM(AZ324:AZ325)</f>
        <v/>
      </c>
      <c r="BA326" s="1328">
        <f>SUM(BA324:BA325)</f>
        <v/>
      </c>
      <c r="BB326" s="1328">
        <f>SUM(BB324:BB325)</f>
        <v/>
      </c>
      <c r="BC326" s="1328">
        <f>SUM(BC324:BC325)</f>
        <v/>
      </c>
      <c r="BD326" s="1328">
        <f>SUM(BD324:BD325)</f>
        <v/>
      </c>
      <c r="BE326" s="1329">
        <f>SUM(BE324:BE325)</f>
        <v/>
      </c>
      <c r="BF326" s="1328">
        <f>SUM(BF324:BF325)</f>
        <v/>
      </c>
      <c r="BG326" s="1328">
        <f>SUM(BG324:BG325)</f>
        <v/>
      </c>
      <c r="BH326" s="1328">
        <f>SUM(BH324:BH325)</f>
        <v/>
      </c>
      <c r="BI326" s="1328">
        <f>SUM(BI324:BI325)</f>
        <v/>
      </c>
      <c r="BJ326" s="1329">
        <f>SUM(BJ324:BJ325)</f>
        <v/>
      </c>
      <c r="BK326" s="1328">
        <f>SUM(BK324:BK325)</f>
        <v/>
      </c>
      <c r="BL326" s="1328">
        <f>SUM(BL324:BL325)</f>
        <v/>
      </c>
      <c r="BM326" s="1328">
        <f>SUM(BM324:BM325)</f>
        <v/>
      </c>
      <c r="BN326" s="1328">
        <f>SUM(BN324:BN325)</f>
        <v/>
      </c>
      <c r="BO326" s="1330">
        <f>SUM(BO324:BO325)</f>
        <v/>
      </c>
      <c r="BP326" s="1327" t="n"/>
      <c r="BQ326" s="1327" t="n"/>
      <c r="BR326" s="1327" t="n"/>
      <c r="BS326" s="1327" t="n"/>
      <c r="BT326" s="1326" t="n"/>
      <c r="BU326" s="1327" t="n"/>
      <c r="BV326" s="1327" t="n"/>
      <c r="BW326" s="1327" t="n"/>
      <c r="BX326" s="1327" t="n"/>
      <c r="BY326" s="1326" t="n"/>
      <c r="BZ326" s="1326" t="n"/>
      <c r="CA326" s="1326" t="n"/>
      <c r="CB326" s="1326" t="n"/>
      <c r="CC326" s="1331" t="n"/>
    </row>
    <row r="327" hidden="1" outlineLevel="1" ht="14.4" customFormat="1" customHeight="1" s="1275">
      <c r="A327" s="1295" t="inlineStr">
        <is>
          <t>Research and development</t>
        </is>
      </c>
      <c r="B327" s="1387" t="n"/>
      <c r="C327" s="1299" t="n">
        <v>21593.398</v>
      </c>
      <c r="D327" s="1299" t="n">
        <v>29706.662</v>
      </c>
      <c r="E327" s="1299" t="n">
        <v>33829.88</v>
      </c>
      <c r="F327" s="1299" t="n">
        <v>40383.195</v>
      </c>
      <c r="G327" s="1299" t="n">
        <v>48118.165</v>
      </c>
      <c r="H327" s="1298" t="n">
        <v>12067.892</v>
      </c>
      <c r="I327" s="1298" t="n">
        <v>13610.337</v>
      </c>
      <c r="J327" s="1298" t="n">
        <v>15207.282</v>
      </c>
      <c r="K327" s="1280">
        <f>L327-H327-I327-J327</f>
        <v/>
      </c>
      <c r="L327" s="1299" t="n">
        <v>56828.815</v>
      </c>
      <c r="M327" s="1298" t="n">
        <v>16781.463</v>
      </c>
      <c r="N327" s="1298" t="n">
        <v>16612.213</v>
      </c>
      <c r="O327" s="1298" t="n">
        <v>16486.365</v>
      </c>
      <c r="P327" s="1280">
        <f>Q327-M327-N327-O327</f>
        <v/>
      </c>
      <c r="Q327" s="1299" t="n">
        <v>65544.579</v>
      </c>
      <c r="R327" s="1298" t="n">
        <v>15618.963</v>
      </c>
      <c r="S327" s="1298" t="n">
        <v>16903.54</v>
      </c>
      <c r="T327" s="1298" t="n">
        <v>18724.32</v>
      </c>
      <c r="U327" s="1280">
        <f>V327-R327-S327-T327</f>
        <v/>
      </c>
      <c r="V327" s="1299" t="n">
        <v>71207.70299999999</v>
      </c>
      <c r="W327" s="1298" t="n">
        <v>19412.393</v>
      </c>
      <c r="X327" s="1298" t="n">
        <v>19057.456</v>
      </c>
      <c r="Y327" s="1298" t="n">
        <v>21045.439</v>
      </c>
      <c r="Z327" s="1280">
        <f>AA327-W327-X327-Y327</f>
        <v/>
      </c>
      <c r="AA327" s="1299" t="n">
        <v>80732.463</v>
      </c>
      <c r="AB327" s="1298" t="n">
        <v>20428.594</v>
      </c>
      <c r="AC327" s="1298" t="n">
        <v>19891.553</v>
      </c>
      <c r="AD327" s="1298" t="n">
        <v>21886.199</v>
      </c>
      <c r="AE327" s="1280">
        <f>AF327-SUM(AB327,AC327,AD327)</f>
        <v/>
      </c>
      <c r="AF327" s="1299" t="n">
        <v>85895.569</v>
      </c>
      <c r="AG327" s="1298" t="n">
        <v>20417.311</v>
      </c>
      <c r="AH327" s="1298" t="n">
        <v>21393.728</v>
      </c>
      <c r="AI327" s="1298" t="n">
        <v>23972.076</v>
      </c>
      <c r="AJ327" s="1280">
        <f>AK327-SUM(AG327,AH327,AI327)</f>
        <v/>
      </c>
      <c r="AK327" s="1299" t="n">
        <v>91418.746</v>
      </c>
      <c r="AL327" s="1298" t="n">
        <v>24968.883</v>
      </c>
      <c r="AM327" s="1298" t="n">
        <v>24893.043</v>
      </c>
      <c r="AN327" s="1298" t="n">
        <v>29683.751</v>
      </c>
      <c r="AO327" s="1280">
        <f>AP327-SUM(AL327,AM327,AN327)</f>
        <v/>
      </c>
      <c r="AP327" s="1299" t="n">
        <v>109486.089</v>
      </c>
      <c r="AQ327" s="1298" t="n">
        <v>30756.358</v>
      </c>
      <c r="AR327" s="1298" t="n">
        <v>30873.376</v>
      </c>
      <c r="AS327" s="1298" t="n">
        <v>30866.634</v>
      </c>
      <c r="AT327" s="1280">
        <f>AU327-SUM(AQ327,AR327,AS327)</f>
        <v/>
      </c>
      <c r="AU327" s="1299" t="n">
        <v>124734.755</v>
      </c>
      <c r="AV327" s="1298" t="n">
        <v>36048.54</v>
      </c>
      <c r="AW327" s="1298" t="n">
        <v>39649.13</v>
      </c>
      <c r="AX327" s="1298" t="n">
        <v>42977.507</v>
      </c>
      <c r="AY327" s="1280">
        <f>AZ327-SUM(AV327,AW327,AX327)</f>
        <v/>
      </c>
      <c r="AZ327" s="1299" t="n">
        <v>163262.208</v>
      </c>
      <c r="BA327" s="1298" t="n">
        <v>39157.036</v>
      </c>
      <c r="BB327" s="1298" t="n">
        <v>41665.278</v>
      </c>
      <c r="BC327" s="1298" t="n">
        <v>51137.762</v>
      </c>
      <c r="BD327" s="1280">
        <f>BE327-SUM(BA327,BB327,BC327)</f>
        <v/>
      </c>
      <c r="BE327" s="1299" t="n">
        <v>182370.17</v>
      </c>
      <c r="BF327" s="1298" t="n">
        <v>46108.936</v>
      </c>
      <c r="BG327" s="1298" t="n">
        <v>48057.704</v>
      </c>
      <c r="BH327" s="1298" t="n">
        <v>52783.826</v>
      </c>
      <c r="BI327" s="1280">
        <f>BJ327-SUM(BF327,BG327,BH327)</f>
        <v/>
      </c>
      <c r="BJ327" s="1299" t="n">
        <v>204181.823</v>
      </c>
      <c r="BK327" s="1298" t="n">
        <v>56547.493</v>
      </c>
      <c r="BL327" s="1298" t="n">
        <v>61279.719</v>
      </c>
      <c r="BM327" s="1298" t="n">
        <v>63742.245</v>
      </c>
      <c r="BN327" s="1298" t="n">
        <v>64857</v>
      </c>
      <c r="BO327" s="1300">
        <f>SUM(BK327,BL327,BM327,BN327)</f>
        <v/>
      </c>
      <c r="BP327" s="1277" t="n"/>
      <c r="BQ327" s="1277" t="n"/>
      <c r="BR327" s="1277" t="n"/>
      <c r="BS327" s="1277" t="n"/>
      <c r="BT327" s="1297" t="n"/>
      <c r="BU327" s="1277" t="n"/>
      <c r="BV327" s="1277" t="n"/>
      <c r="BW327" s="1277" t="n"/>
      <c r="BX327" s="1277" t="n"/>
      <c r="BY327" s="1297" t="n"/>
      <c r="BZ327" s="1297" t="n"/>
      <c r="CA327" s="1297" t="n"/>
      <c r="CB327" s="1297" t="n"/>
      <c r="CC327" s="1280" t="n"/>
    </row>
    <row r="328" hidden="1" outlineLevel="1" ht="14.4" customFormat="1" customHeight="1" s="1275">
      <c r="A328" s="1425" t="inlineStr">
        <is>
          <t>General and administrative</t>
        </is>
      </c>
      <c r="B328" s="1387" t="n"/>
      <c r="C328" s="1299" t="n">
        <v>11285.478</v>
      </c>
      <c r="D328" s="1299" t="n">
        <v>12803.997</v>
      </c>
      <c r="E328" s="1299" t="n">
        <v>14164.114</v>
      </c>
      <c r="F328" s="1299" t="n">
        <v>17631.694</v>
      </c>
      <c r="G328" s="1299" t="n">
        <v>18928.544</v>
      </c>
      <c r="H328" s="1298" t="n">
        <v>4655.977</v>
      </c>
      <c r="I328" s="1298" t="n">
        <v>5408.174</v>
      </c>
      <c r="J328" s="1298" t="n">
        <v>4612.193</v>
      </c>
      <c r="K328" s="1277">
        <f>L328-H328-I328-J328</f>
        <v/>
      </c>
      <c r="L328" s="1299" t="n">
        <v>18933.335</v>
      </c>
      <c r="M328" s="1298" t="n">
        <v>4366.053</v>
      </c>
      <c r="N328" s="1298" t="n">
        <v>4463.58</v>
      </c>
      <c r="O328" s="1298" t="n">
        <v>4296.668</v>
      </c>
      <c r="P328" s="1277">
        <f>Q328-M328-N328-O328</f>
        <v/>
      </c>
      <c r="Q328" s="1299" t="n">
        <v>17257.237</v>
      </c>
      <c r="R328" s="1298" t="n">
        <v>3844.935</v>
      </c>
      <c r="S328" s="1298" t="n">
        <v>4667.198</v>
      </c>
      <c r="T328" s="1298" t="n">
        <v>5584.814</v>
      </c>
      <c r="U328" s="1277">
        <f>V328-R328-S328-T328</f>
        <v/>
      </c>
      <c r="V328" s="1299" t="n">
        <v>19795.593</v>
      </c>
      <c r="W328" s="1298" t="n">
        <v>5247.603</v>
      </c>
      <c r="X328" s="1298" t="n">
        <v>4927.159</v>
      </c>
      <c r="Y328" s="1298" t="n">
        <v>5003.679</v>
      </c>
      <c r="Z328" s="1277">
        <f>AA328-W328-X328-Y328</f>
        <v/>
      </c>
      <c r="AA328" s="1299" t="n">
        <v>21196.717</v>
      </c>
      <c r="AB328" s="1298" t="n">
        <v>4851.708</v>
      </c>
      <c r="AC328" s="1298" t="n">
        <v>5070.594</v>
      </c>
      <c r="AD328" s="1298" t="n">
        <v>4656.73</v>
      </c>
      <c r="AE328" s="1277">
        <f>AF328-SUM(AB328,AC328,AD328)</f>
        <v/>
      </c>
      <c r="AF328" s="1299" t="n">
        <v>20265.883</v>
      </c>
      <c r="AG328" s="1298" t="n">
        <v>4140.729</v>
      </c>
      <c r="AH328" s="1298" t="n">
        <v>4288.263</v>
      </c>
      <c r="AI328" s="1298" t="n">
        <v>5810.048</v>
      </c>
      <c r="AJ328" s="1277">
        <f>AK328-SUM(AG328,AH328,AI328)</f>
        <v/>
      </c>
      <c r="AK328" s="1299" t="n">
        <v>21737.21</v>
      </c>
      <c r="AL328" s="1298" t="n">
        <v>5903.061</v>
      </c>
      <c r="AM328" s="1298" t="n">
        <v>6894.405</v>
      </c>
      <c r="AN328" s="1298" t="n">
        <v>9272.555</v>
      </c>
      <c r="AO328" s="1277">
        <f>AP328-SUM(AL328,AM328,AN328)</f>
        <v/>
      </c>
      <c r="AP328" s="1299" t="n">
        <v>28457.593</v>
      </c>
      <c r="AQ328" s="1298" t="n">
        <v>6524.245</v>
      </c>
      <c r="AR328" s="1298" t="n">
        <v>7826.613</v>
      </c>
      <c r="AS328" s="1298" t="n">
        <v>8929.793</v>
      </c>
      <c r="AT328" s="1277">
        <f>AU328-SUM(AQ328,AR328,AS328)</f>
        <v/>
      </c>
      <c r="AU328" s="1299" t="n">
        <v>36929.588</v>
      </c>
      <c r="AV328" s="1298" t="n">
        <v>10500.027</v>
      </c>
      <c r="AW328" s="1298" t="n">
        <v>11568.594</v>
      </c>
      <c r="AX328" s="1298" t="n">
        <v>14499.002</v>
      </c>
      <c r="AY328" s="1277">
        <f>AZ328-SUM(AV328,AW328,AX328)</f>
        <v/>
      </c>
      <c r="AZ328" s="1299" t="n">
        <v>53524.898</v>
      </c>
      <c r="BA328" s="1298" t="n">
        <v>13475.948</v>
      </c>
      <c r="BB328" s="1298" t="n">
        <v>14163.389</v>
      </c>
      <c r="BC328" s="1298" t="n">
        <v>14998.124</v>
      </c>
      <c r="BD328" s="1277">
        <f>BE328-SUM(BA328,BB328,BC328)</f>
        <v/>
      </c>
      <c r="BE328" s="1299" t="n">
        <v>60872.841</v>
      </c>
      <c r="BF328" s="1298" t="n">
        <v>16137.086</v>
      </c>
      <c r="BG328" s="1298" t="n">
        <v>19290.282</v>
      </c>
      <c r="BH328" s="1298" t="n">
        <v>22890.591</v>
      </c>
      <c r="BI328" s="1280">
        <f>BJ328-SUM(BF328,BG328,BH328)</f>
        <v/>
      </c>
      <c r="BJ328" s="1299" t="n">
        <v>83744.96799999999</v>
      </c>
      <c r="BK328" s="1298" t="n">
        <v>24883.748</v>
      </c>
      <c r="BL328" s="1298" t="n">
        <v>18955.373</v>
      </c>
      <c r="BM328" s="1298" t="n">
        <v>20048.234</v>
      </c>
      <c r="BN328" s="1280">
        <f>BN330-BN329</f>
        <v/>
      </c>
      <c r="BO328" s="1382">
        <f>SUM(BK328,BL328,BM328,BN328)</f>
        <v/>
      </c>
      <c r="BP328" s="1277" t="n"/>
      <c r="BQ328" s="1277" t="n"/>
      <c r="BR328" s="1277" t="n"/>
      <c r="BS328" s="1277" t="n"/>
      <c r="BT328" s="1297" t="n"/>
      <c r="BU328" s="1277" t="n"/>
      <c r="BV328" s="1277" t="n"/>
      <c r="BW328" s="1277" t="n"/>
      <c r="BX328" s="1277" t="n"/>
      <c r="BY328" s="1297" t="n"/>
      <c r="BZ328" s="1297" t="n"/>
      <c r="CA328" s="1297" t="n"/>
      <c r="CB328" s="1297" t="n"/>
      <c r="CC328" s="1280" t="n"/>
    </row>
    <row r="329" hidden="1" outlineLevel="1" ht="14.4" customFormat="1" customHeight="1" s="1275">
      <c r="A329" s="1431" t="inlineStr">
        <is>
          <t>Marketing</t>
        </is>
      </c>
      <c r="B329" s="1389" t="n"/>
      <c r="C329" s="1390" t="n">
        <v>4487.849</v>
      </c>
      <c r="D329" s="1390" t="n">
        <v>5367.597</v>
      </c>
      <c r="E329" s="1390" t="n">
        <v>4517.816</v>
      </c>
      <c r="F329" s="1390" t="n">
        <v>4495.986</v>
      </c>
      <c r="G329" s="1390" t="n">
        <v>4516.525</v>
      </c>
      <c r="H329" s="1391" t="n">
        <v>1152.78</v>
      </c>
      <c r="I329" s="1391" t="n">
        <v>1234.897</v>
      </c>
      <c r="J329" s="1391" t="n">
        <v>1323.259</v>
      </c>
      <c r="K329" s="1365">
        <f>L329-H329-I329-J329</f>
        <v/>
      </c>
      <c r="L329" s="1390" t="n">
        <v>5087.42</v>
      </c>
      <c r="M329" s="1391" t="n">
        <v>1390.996</v>
      </c>
      <c r="N329" s="1391" t="n">
        <v>1479.419</v>
      </c>
      <c r="O329" s="1391" t="n">
        <v>1377.131</v>
      </c>
      <c r="P329" s="1365">
        <f>Q329-M329-N329-O329</f>
        <v/>
      </c>
      <c r="Q329" s="1390" t="n">
        <v>5664.684</v>
      </c>
      <c r="R329" s="1391" t="n">
        <v>1415.099</v>
      </c>
      <c r="S329" s="1391" t="n">
        <v>1436.902</v>
      </c>
      <c r="T329" s="1391" t="n">
        <v>1531.454</v>
      </c>
      <c r="U329" s="1365">
        <f>V329-R329-S329-T329</f>
        <v/>
      </c>
      <c r="V329" s="1390" t="n">
        <v>5900.837</v>
      </c>
      <c r="W329" s="1391" t="n">
        <v>1496.487</v>
      </c>
      <c r="X329" s="1391" t="n">
        <v>1382.199</v>
      </c>
      <c r="Y329" s="1391" t="n">
        <v>1487.598</v>
      </c>
      <c r="Z329" s="1365">
        <f>AA329-W329-X329-Y329</f>
        <v/>
      </c>
      <c r="AA329" s="1390" t="n">
        <v>5972.488</v>
      </c>
      <c r="AB329" s="1391" t="n">
        <v>1448.092</v>
      </c>
      <c r="AC329" s="1391" t="n">
        <v>1477.977</v>
      </c>
      <c r="AD329" s="1391" t="n">
        <v>1585.523</v>
      </c>
      <c r="AE329" s="1365">
        <f>AF329-SUM(AB329,AC329,AD329)</f>
        <v/>
      </c>
      <c r="AF329" s="1390" t="n">
        <v>5987.828</v>
      </c>
      <c r="AG329" s="1391" t="n">
        <v>1459.973</v>
      </c>
      <c r="AH329" s="1391" t="n">
        <v>1483.004</v>
      </c>
      <c r="AI329" s="1391" t="n">
        <v>1596.829</v>
      </c>
      <c r="AJ329" s="1365">
        <f>AK329-SUM(AG329,AH329,AI329)</f>
        <v/>
      </c>
      <c r="AK329" s="1390" t="n">
        <v>6348.626</v>
      </c>
      <c r="AL329" s="1391" t="n">
        <v>1451.102</v>
      </c>
      <c r="AM329" s="1391" t="n">
        <v>1733.261</v>
      </c>
      <c r="AN329" s="1391" t="n">
        <v>1935.049</v>
      </c>
      <c r="AO329" s="1365">
        <f>AP329-SUM(AL329,AM329,AN329)</f>
        <v/>
      </c>
      <c r="AP329" s="1390" t="n">
        <v>7112.867</v>
      </c>
      <c r="AQ329" s="1391" t="n">
        <v>1831.23</v>
      </c>
      <c r="AR329" s="1391" t="n">
        <v>1883.434</v>
      </c>
      <c r="AS329" s="1391" t="n">
        <v>1853.489</v>
      </c>
      <c r="AT329" s="1365">
        <f>AU329-SUM(AQ329,AR329,AS329)</f>
        <v/>
      </c>
      <c r="AU329" s="1390" t="n">
        <v>7558.591</v>
      </c>
      <c r="AV329" s="1391" t="n">
        <v>2062.623</v>
      </c>
      <c r="AW329" s="1391" t="n">
        <v>2156.794</v>
      </c>
      <c r="AX329" s="1391" t="n">
        <v>2709.953</v>
      </c>
      <c r="AY329" s="1365">
        <f>AZ329-SUM(AV329,AW329,AX329)</f>
        <v/>
      </c>
      <c r="AZ329" s="1390" t="n">
        <v>9920.446</v>
      </c>
      <c r="BA329" s="1391" t="n">
        <v>2676.36</v>
      </c>
      <c r="BB329" s="1391" t="n">
        <v>2365.893</v>
      </c>
      <c r="BC329" s="1391" t="n">
        <v>2572.905</v>
      </c>
      <c r="BD329" s="1365">
        <f>BE329-SUM(BA329,BB329,BC329)</f>
        <v/>
      </c>
      <c r="BE329" s="1390" t="n">
        <v>10590.705</v>
      </c>
      <c r="BF329" s="1391" t="n">
        <v>3111.259</v>
      </c>
      <c r="BG329" s="1391" t="n">
        <v>2947.324</v>
      </c>
      <c r="BH329" s="1391" t="n">
        <v>3404.487</v>
      </c>
      <c r="BI329" s="1464">
        <f>BJ329-SUM(BF329,BG329,BH329)</f>
        <v/>
      </c>
      <c r="BJ329" s="1390" t="n">
        <v>13143.524</v>
      </c>
      <c r="BK329" s="1391" t="n">
        <v>3754.815</v>
      </c>
      <c r="BL329" s="1391" t="n">
        <v>4273.247</v>
      </c>
      <c r="BM329" s="1391" t="n">
        <v>3973.966</v>
      </c>
      <c r="BN329" s="1391" t="n">
        <v>4000</v>
      </c>
      <c r="BO329" s="1366">
        <f>SUM(BK329,BL329,BM329,BN329)</f>
        <v/>
      </c>
      <c r="BP329" s="1365" t="n"/>
      <c r="BQ329" s="1365" t="n"/>
      <c r="BR329" s="1365" t="n"/>
      <c r="BS329" s="1365" t="n"/>
      <c r="BT329" s="1364" t="n"/>
      <c r="BU329" s="1365" t="n"/>
      <c r="BV329" s="1365" t="n"/>
      <c r="BW329" s="1365" t="n"/>
      <c r="BX329" s="1365" t="n"/>
      <c r="BY329" s="1364" t="n"/>
      <c r="BZ329" s="1364" t="n"/>
      <c r="CA329" s="1364" t="n"/>
      <c r="CB329" s="1364" t="n"/>
      <c r="CC329" s="1280" t="n"/>
    </row>
    <row r="330" hidden="1" outlineLevel="1" ht="14.4" customFormat="1" customHeight="1" s="1275">
      <c r="A330" s="1580" t="inlineStr">
        <is>
          <t>Sales, General and administrative</t>
        </is>
      </c>
      <c r="B330" s="1581" t="n"/>
      <c r="C330" s="1582">
        <f>SUM(C328:C329)</f>
        <v/>
      </c>
      <c r="D330" s="1582">
        <f>SUM(D328:D329)</f>
        <v/>
      </c>
      <c r="E330" s="1582">
        <f>SUM(E328:E329)</f>
        <v/>
      </c>
      <c r="F330" s="1582">
        <f>SUM(F328:F329)</f>
        <v/>
      </c>
      <c r="G330" s="1582">
        <f>SUM(G328:G329)</f>
        <v/>
      </c>
      <c r="H330" s="1583">
        <f>SUM(H328:H329)</f>
        <v/>
      </c>
      <c r="I330" s="1583">
        <f>SUM(I328:I329)</f>
        <v/>
      </c>
      <c r="J330" s="1583">
        <f>SUM(J328:J329)</f>
        <v/>
      </c>
      <c r="K330" s="1583">
        <f>SUM(K328:K329)</f>
        <v/>
      </c>
      <c r="L330" s="1582">
        <f>SUM(L328:L329)</f>
        <v/>
      </c>
      <c r="M330" s="1583">
        <f>SUM(M328:M329)</f>
        <v/>
      </c>
      <c r="N330" s="1583">
        <f>SUM(N328:N329)</f>
        <v/>
      </c>
      <c r="O330" s="1583">
        <f>SUM(O328:O329)</f>
        <v/>
      </c>
      <c r="P330" s="1583">
        <f>SUM(P328:P329)</f>
        <v/>
      </c>
      <c r="Q330" s="1582">
        <f>SUM(Q328:Q329)</f>
        <v/>
      </c>
      <c r="R330" s="1583">
        <f>SUM(R328:R329)</f>
        <v/>
      </c>
      <c r="S330" s="1583">
        <f>SUM(S328:S329)</f>
        <v/>
      </c>
      <c r="T330" s="1583">
        <f>SUM(T328:T329)</f>
        <v/>
      </c>
      <c r="U330" s="1583">
        <f>SUM(U328:U329)</f>
        <v/>
      </c>
      <c r="V330" s="1582">
        <f>SUM(V328:V329)</f>
        <v/>
      </c>
      <c r="W330" s="1583">
        <f>SUM(W328:W329)</f>
        <v/>
      </c>
      <c r="X330" s="1583">
        <f>SUM(X328:X329)</f>
        <v/>
      </c>
      <c r="Y330" s="1583">
        <f>SUM(Y328:Y329)</f>
        <v/>
      </c>
      <c r="Z330" s="1583">
        <f>SUM(Z328:Z329)</f>
        <v/>
      </c>
      <c r="AA330" s="1582">
        <f>SUM(AA328:AA329)</f>
        <v/>
      </c>
      <c r="AB330" s="1583">
        <f>SUM(AB328:AB329)</f>
        <v/>
      </c>
      <c r="AC330" s="1583">
        <f>SUM(AC328:AC329)</f>
        <v/>
      </c>
      <c r="AD330" s="1583">
        <f>SUM(AD328:AD329)</f>
        <v/>
      </c>
      <c r="AE330" s="1583">
        <f>SUM(AE328:AE329)</f>
        <v/>
      </c>
      <c r="AF330" s="1582">
        <f>SUM(AF328:AF329)</f>
        <v/>
      </c>
      <c r="AG330" s="1583">
        <f>SUM(AG328:AG329)</f>
        <v/>
      </c>
      <c r="AH330" s="1583">
        <f>SUM(AH328:AH329)</f>
        <v/>
      </c>
      <c r="AI330" s="1583">
        <f>SUM(AI328:AI329)</f>
        <v/>
      </c>
      <c r="AJ330" s="1583">
        <f>SUM(AJ328:AJ329)</f>
        <v/>
      </c>
      <c r="AK330" s="1582">
        <f>SUM(AK328:AK329)</f>
        <v/>
      </c>
      <c r="AL330" s="1583">
        <f>SUM(AL328:AL329)</f>
        <v/>
      </c>
      <c r="AM330" s="1583">
        <f>SUM(AM328:AM329)</f>
        <v/>
      </c>
      <c r="AN330" s="1583">
        <f>SUM(AN328:AN329)</f>
        <v/>
      </c>
      <c r="AO330" s="1583">
        <f>AP330-SUM(AL330,AM330,AN330)</f>
        <v/>
      </c>
      <c r="AP330" s="1582">
        <f>SUM(AP328:AP329)</f>
        <v/>
      </c>
      <c r="AQ330" s="1583">
        <f>SUM(AQ328:AQ329)</f>
        <v/>
      </c>
      <c r="AR330" s="1583">
        <f>SUM(AR328:AR329)</f>
        <v/>
      </c>
      <c r="AS330" s="1583">
        <f>SUM(AS328:AS329)</f>
        <v/>
      </c>
      <c r="AT330" s="1583">
        <f>AU330-SUM(AQ330,AR330,AS330)</f>
        <v/>
      </c>
      <c r="AU330" s="1582">
        <f>SUM(AU328:AU329)</f>
        <v/>
      </c>
      <c r="AV330" s="1583">
        <f>SUM(AV328:AV329)</f>
        <v/>
      </c>
      <c r="AW330" s="1583">
        <f>SUM(AW328:AW329)</f>
        <v/>
      </c>
      <c r="AX330" s="1583">
        <f>SUM(AX328:AX329)</f>
        <v/>
      </c>
      <c r="AY330" s="1583">
        <f>AZ330-SUM(AV330,AW330,AX330)</f>
        <v/>
      </c>
      <c r="AZ330" s="1582">
        <f>SUM(AZ328:AZ329)</f>
        <v/>
      </c>
      <c r="BA330" s="1583">
        <f>SUM(BA328:BA329)</f>
        <v/>
      </c>
      <c r="BB330" s="1583">
        <f>SUM(BB328:BB329)</f>
        <v/>
      </c>
      <c r="BC330" s="1583">
        <f>SUM(BC328:BC329)</f>
        <v/>
      </c>
      <c r="BD330" s="1583">
        <f>BE330-SUM(BA330,BB330,BC330)</f>
        <v/>
      </c>
      <c r="BE330" s="1582">
        <f>SUM(BE328:BE329)</f>
        <v/>
      </c>
      <c r="BF330" s="1584">
        <f>SUM(BF328:BF329)</f>
        <v/>
      </c>
      <c r="BG330" s="1583">
        <f>SUM(BG328:BG329)</f>
        <v/>
      </c>
      <c r="BH330" s="1583">
        <f>SUM(BH328:BH329)</f>
        <v/>
      </c>
      <c r="BI330" s="1583">
        <f>SUM(BI328:BI329)</f>
        <v/>
      </c>
      <c r="BJ330" s="1582">
        <f>SUM(BJ328:BJ329)</f>
        <v/>
      </c>
      <c r="BK330" s="1584">
        <f>SUM(BK328:BK329)</f>
        <v/>
      </c>
      <c r="BL330" s="1584">
        <f>SUM(BL328:BL329)</f>
        <v/>
      </c>
      <c r="BM330" s="1583">
        <f>SUM(BM328:BM329)</f>
        <v/>
      </c>
      <c r="BN330" s="1585" t="n">
        <v>23333</v>
      </c>
      <c r="BO330" s="1586">
        <f>SUM(BK330,BL330,BM330,BN330)</f>
        <v/>
      </c>
      <c r="BP330" s="1584" t="n"/>
      <c r="BQ330" s="1584" t="n"/>
      <c r="BR330" s="1584" t="n"/>
      <c r="BS330" s="1584" t="n"/>
      <c r="BT330" s="1587" t="n"/>
      <c r="BU330" s="1584" t="n"/>
      <c r="BV330" s="1584" t="n"/>
      <c r="BW330" s="1584" t="n"/>
      <c r="BX330" s="1584" t="n"/>
      <c r="BY330" s="1587" t="n"/>
      <c r="BZ330" s="1587" t="n"/>
      <c r="CA330" s="1587" t="n"/>
      <c r="CB330" s="1587" t="n"/>
      <c r="CC330" s="1280" t="n"/>
    </row>
    <row r="331" hidden="1" outlineLevel="1" ht="14.4" customFormat="1" customHeight="1" s="1323">
      <c r="A331" s="1324" t="inlineStr">
        <is>
          <t>Total operating expense</t>
        </is>
      </c>
      <c r="B331" s="1393" t="n"/>
      <c r="C331" s="1329">
        <f>SUM(C327,C330)</f>
        <v/>
      </c>
      <c r="D331" s="1329">
        <f>SUM(D327,D330)</f>
        <v/>
      </c>
      <c r="E331" s="1329">
        <f>SUM(E327,E330)</f>
        <v/>
      </c>
      <c r="F331" s="1329">
        <f>SUM(F327,F330)</f>
        <v/>
      </c>
      <c r="G331" s="1329">
        <f>SUM(G327,G330)</f>
        <v/>
      </c>
      <c r="H331" s="1328">
        <f>SUM(H327,H330)</f>
        <v/>
      </c>
      <c r="I331" s="1328">
        <f>SUM(I327,I330)</f>
        <v/>
      </c>
      <c r="J331" s="1328">
        <f>SUM(J327,J330)</f>
        <v/>
      </c>
      <c r="K331" s="1328">
        <f>SUM(K327,K330)</f>
        <v/>
      </c>
      <c r="L331" s="1329">
        <f>SUM(L327,L330)</f>
        <v/>
      </c>
      <c r="M331" s="1328">
        <f>SUM(M327,M330)</f>
        <v/>
      </c>
      <c r="N331" s="1328">
        <f>SUM(N327,N330)</f>
        <v/>
      </c>
      <c r="O331" s="1328">
        <f>SUM(O327,O330)</f>
        <v/>
      </c>
      <c r="P331" s="1328">
        <f>SUM(P327,P330)</f>
        <v/>
      </c>
      <c r="Q331" s="1329">
        <f>SUM(Q327,Q330)</f>
        <v/>
      </c>
      <c r="R331" s="1328">
        <f>SUM(R327,R330)</f>
        <v/>
      </c>
      <c r="S331" s="1328">
        <f>SUM(S327,S330)</f>
        <v/>
      </c>
      <c r="T331" s="1328">
        <f>SUM(T327,T330)</f>
        <v/>
      </c>
      <c r="U331" s="1328">
        <f>SUM(U327,U330)</f>
        <v/>
      </c>
      <c r="V331" s="1329">
        <f>SUM(V327,V330)</f>
        <v/>
      </c>
      <c r="W331" s="1328">
        <f>SUM(W327,W330)</f>
        <v/>
      </c>
      <c r="X331" s="1328">
        <f>SUM(X327,X330)</f>
        <v/>
      </c>
      <c r="Y331" s="1328">
        <f>SUM(Y327,Y330)</f>
        <v/>
      </c>
      <c r="Z331" s="1328">
        <f>SUM(Z327,Z330)</f>
        <v/>
      </c>
      <c r="AA331" s="1329">
        <f>SUM(AA327,AA330)</f>
        <v/>
      </c>
      <c r="AB331" s="1328">
        <f>SUM(AB327,AB330)</f>
        <v/>
      </c>
      <c r="AC331" s="1328">
        <f>SUM(AC327,AC330)</f>
        <v/>
      </c>
      <c r="AD331" s="1328">
        <f>SUM(AD327,AD330)</f>
        <v/>
      </c>
      <c r="AE331" s="1328">
        <f>SUM(AE327,AE330)</f>
        <v/>
      </c>
      <c r="AF331" s="1329">
        <f>SUM(AF327,AF330)</f>
        <v/>
      </c>
      <c r="AG331" s="1328">
        <f>SUM(AG327,AG330)</f>
        <v/>
      </c>
      <c r="AH331" s="1328">
        <f>SUM(AH327,AH330)</f>
        <v/>
      </c>
      <c r="AI331" s="1328">
        <f>SUM(AI327,AI330)</f>
        <v/>
      </c>
      <c r="AJ331" s="1328">
        <f>SUM(AJ327,AJ330)</f>
        <v/>
      </c>
      <c r="AK331" s="1329">
        <f>SUM(AK327,AK330)</f>
        <v/>
      </c>
      <c r="AL331" s="1328">
        <f>SUM(AL327,AL330)</f>
        <v/>
      </c>
      <c r="AM331" s="1328">
        <f>SUM(AM327,AM330)</f>
        <v/>
      </c>
      <c r="AN331" s="1328">
        <f>SUM(AN327,AN330)</f>
        <v/>
      </c>
      <c r="AO331" s="1328">
        <f>SUM(AO327,AO330)</f>
        <v/>
      </c>
      <c r="AP331" s="1329">
        <f>SUM(AP327,AP330)</f>
        <v/>
      </c>
      <c r="AQ331" s="1328">
        <f>SUM(AQ327,AQ330)</f>
        <v/>
      </c>
      <c r="AR331" s="1328">
        <f>SUM(AR327,AR330)</f>
        <v/>
      </c>
      <c r="AS331" s="1328">
        <f>SUM(AS327,AS330)</f>
        <v/>
      </c>
      <c r="AT331" s="1328">
        <f>SUM(AT327,AT330)</f>
        <v/>
      </c>
      <c r="AU331" s="1329">
        <f>SUM(AU327,AU330)</f>
        <v/>
      </c>
      <c r="AV331" s="1328">
        <f>SUM(AV327,AV330)</f>
        <v/>
      </c>
      <c r="AW331" s="1328">
        <f>SUM(AW327,AW330)</f>
        <v/>
      </c>
      <c r="AX331" s="1328">
        <f>SUM(AX327,AX330)</f>
        <v/>
      </c>
      <c r="AY331" s="1328">
        <f>SUM(AY327,AY330)</f>
        <v/>
      </c>
      <c r="AZ331" s="1329">
        <f>SUM(AZ327,AZ330)</f>
        <v/>
      </c>
      <c r="BA331" s="1328">
        <f>SUM(BA327,BA330)</f>
        <v/>
      </c>
      <c r="BB331" s="1328">
        <f>SUM(BB327,BB330)</f>
        <v/>
      </c>
      <c r="BC331" s="1328">
        <f>SUM(BC327,BC330)</f>
        <v/>
      </c>
      <c r="BD331" s="1328">
        <f>SUM(BD327,BD330)</f>
        <v/>
      </c>
      <c r="BE331" s="1329">
        <f>SUM(BE327,BE330)</f>
        <v/>
      </c>
      <c r="BF331" s="1328">
        <f>SUM(BF327,BF330)</f>
        <v/>
      </c>
      <c r="BG331" s="1328">
        <f>SUM(BG327,BG330)</f>
        <v/>
      </c>
      <c r="BH331" s="1328">
        <f>SUM(BH327,BH330)</f>
        <v/>
      </c>
      <c r="BI331" s="1328">
        <f>SUM(BI327,BI330)</f>
        <v/>
      </c>
      <c r="BJ331" s="1329">
        <f>SUM(BJ327,BJ330)</f>
        <v/>
      </c>
      <c r="BK331" s="1328">
        <f>SUM(BK327,BK330)</f>
        <v/>
      </c>
      <c r="BL331" s="1328">
        <f>SUM(BL327,BL330)</f>
        <v/>
      </c>
      <c r="BM331" s="1328">
        <f>SUM(BM327,BM330)</f>
        <v/>
      </c>
      <c r="BN331" s="1328">
        <f>SUM(BN327,BN330)</f>
        <v/>
      </c>
      <c r="BO331" s="1330">
        <f>SUM(BO327,BO330)</f>
        <v/>
      </c>
      <c r="BP331" s="1327" t="n"/>
      <c r="BQ331" s="1327" t="n"/>
      <c r="BR331" s="1327" t="n"/>
      <c r="BS331" s="1327" t="n"/>
      <c r="BT331" s="1326" t="n"/>
      <c r="BU331" s="1327" t="n"/>
      <c r="BV331" s="1327" t="n"/>
      <c r="BW331" s="1327" t="n"/>
      <c r="BX331" s="1327" t="n"/>
      <c r="BY331" s="1326" t="n"/>
      <c r="BZ331" s="1326" t="n"/>
      <c r="CA331" s="1326" t="n"/>
      <c r="CB331" s="1326" t="n"/>
      <c r="CC331" s="1331" t="n"/>
    </row>
    <row r="332" hidden="1" outlineLevel="1" ht="14.4" customFormat="1" customHeight="1" s="1275">
      <c r="A332" s="1460" t="inlineStr">
        <is>
          <t>Other operating income and expenses, net</t>
        </is>
      </c>
      <c r="B332" s="1389" t="n"/>
      <c r="C332" s="1390" t="n">
        <v>0</v>
      </c>
      <c r="D332" s="1390" t="n">
        <v>0</v>
      </c>
      <c r="E332" s="1390" t="n">
        <v>0</v>
      </c>
      <c r="F332" s="1390" t="n">
        <v>-449.364</v>
      </c>
      <c r="G332" s="1390" t="n">
        <v>47.09</v>
      </c>
      <c r="H332" s="1391" t="n">
        <v>-2.741</v>
      </c>
      <c r="I332" s="1391" t="n">
        <v>-227.251</v>
      </c>
      <c r="J332" s="1391" t="n">
        <v>-5.3</v>
      </c>
      <c r="K332" s="1464">
        <f>L332-H332-I332-J332</f>
        <v/>
      </c>
      <c r="L332" s="1390" t="n">
        <v>-1002.137</v>
      </c>
      <c r="M332" s="1391" t="n">
        <v>-264.629</v>
      </c>
      <c r="N332" s="1391" t="n">
        <v>-80.68600000000001</v>
      </c>
      <c r="O332" s="1391" t="n">
        <v>-1786.668</v>
      </c>
      <c r="P332" s="1464">
        <f>Q332-M332-N332-O332</f>
        <v/>
      </c>
      <c r="Q332" s="1390" t="n">
        <v>-1880.618</v>
      </c>
      <c r="R332" s="1391" t="n">
        <v>8.733000000000001</v>
      </c>
      <c r="S332" s="1391" t="n">
        <v>-5.595</v>
      </c>
      <c r="T332" s="1391" t="n">
        <v>51.921</v>
      </c>
      <c r="U332" s="1464">
        <f>V332-R332-S332-T332</f>
        <v/>
      </c>
      <c r="V332" s="1390" t="n">
        <v>29.813</v>
      </c>
      <c r="W332" s="1391" t="n">
        <v>19.237</v>
      </c>
      <c r="X332" s="1391" t="n">
        <v>-86.43899999999999</v>
      </c>
      <c r="Y332" s="1391" t="n">
        <v>-286.999</v>
      </c>
      <c r="Z332" s="1464">
        <f>AA332-W332-X332-Y332</f>
        <v/>
      </c>
      <c r="AA332" s="1390" t="n">
        <v>-1365.511</v>
      </c>
      <c r="AB332" s="1391" t="n">
        <v>-1302.199</v>
      </c>
      <c r="AC332" s="1391" t="n">
        <v>-662.664</v>
      </c>
      <c r="AD332" s="1391" t="n">
        <v>6.993</v>
      </c>
      <c r="AE332" s="1464">
        <f>AF332-SUM(AB332,AC332,AD332)</f>
        <v/>
      </c>
      <c r="AF332" s="1390" t="n">
        <v>-2101.449</v>
      </c>
      <c r="AG332" s="1391" t="n">
        <v>-73.521</v>
      </c>
      <c r="AH332" s="1391" t="n">
        <v>-261.012</v>
      </c>
      <c r="AI332" s="1391" t="n">
        <v>-146.189</v>
      </c>
      <c r="AJ332" s="1464">
        <f>AK332-SUM(AG332,AH332,AI332)</f>
        <v/>
      </c>
      <c r="AK332" s="1390" t="n">
        <v>-496.224</v>
      </c>
      <c r="AL332" s="1391" t="n">
        <v>68.175</v>
      </c>
      <c r="AM332" s="1391" t="n">
        <v>-8.544</v>
      </c>
      <c r="AN332" s="1391" t="n">
        <v>445.208</v>
      </c>
      <c r="AO332" s="1464">
        <f>AP332-SUM(AL332,AM332,AN332)</f>
        <v/>
      </c>
      <c r="AP332" s="1390" t="n">
        <v>710.127</v>
      </c>
      <c r="AQ332" s="1391" t="n">
        <v>-189.407</v>
      </c>
      <c r="AR332" s="1391" t="n">
        <v>53.81</v>
      </c>
      <c r="AS332" s="1391" t="n">
        <v>-92.73099999999999</v>
      </c>
      <c r="AT332" s="1464">
        <f>AU332-SUM(AQ332,AR332,AS332)</f>
        <v/>
      </c>
      <c r="AU332" s="1390" t="n">
        <v>-333.435</v>
      </c>
      <c r="AV332" s="1391" t="n">
        <v>-801.8579999999999</v>
      </c>
      <c r="AW332" s="1391" t="n">
        <v>30.273</v>
      </c>
      <c r="AX332" s="1391" t="n">
        <v>11.959</v>
      </c>
      <c r="AY332" s="1464">
        <f>AZ332-SUM(AV332,AW332,AX332)</f>
        <v/>
      </c>
      <c r="AZ332" s="1390" t="n">
        <v>-368.403</v>
      </c>
      <c r="BA332" s="1391" t="n">
        <v>47.109</v>
      </c>
      <c r="BB332" s="1391" t="n">
        <v>-47.244</v>
      </c>
      <c r="BC332" s="1391" t="n">
        <v>131.23</v>
      </c>
      <c r="BD332" s="1464">
        <f>BE332-SUM(BA332,BB332,BC332)</f>
        <v/>
      </c>
      <c r="BE332" s="1390" t="n">
        <v>188.694</v>
      </c>
      <c r="BF332" s="1391" t="n">
        <v>-129.682</v>
      </c>
      <c r="BG332" s="1391" t="n">
        <v>-1273.626</v>
      </c>
      <c r="BH332" s="1391" t="n">
        <v>499.527</v>
      </c>
      <c r="BI332" s="1464">
        <f>BJ332-SUM(BF332,BG332,BH332)</f>
        <v/>
      </c>
      <c r="BJ332" s="1390" t="n">
        <v>-1230.199</v>
      </c>
      <c r="BK332" s="1391" t="n">
        <v>-1128.212</v>
      </c>
      <c r="BL332" s="1391" t="n">
        <v>562.739</v>
      </c>
      <c r="BM332" s="1391" t="n">
        <v>-93.566</v>
      </c>
      <c r="BN332" s="1391" t="n">
        <v>1106</v>
      </c>
      <c r="BO332" s="1465">
        <f>SUM(BK332,BL332,BM332,BN332)</f>
        <v/>
      </c>
      <c r="BP332" s="1365" t="n"/>
      <c r="BQ332" s="1365" t="n"/>
      <c r="BR332" s="1365" t="n"/>
      <c r="BS332" s="1365" t="n"/>
      <c r="BT332" s="1364" t="n"/>
      <c r="BU332" s="1365" t="n"/>
      <c r="BV332" s="1365" t="n"/>
      <c r="BW332" s="1365" t="n"/>
      <c r="BX332" s="1365" t="n"/>
      <c r="BY332" s="1364" t="n"/>
      <c r="BZ332" s="1364" t="n"/>
      <c r="CA332" s="1364" t="n"/>
      <c r="CB332" s="1364" t="n"/>
      <c r="CC332" s="1280" t="n"/>
    </row>
    <row r="333" hidden="1" outlineLevel="1" ht="14.4" customFormat="1" customHeight="1" s="1323">
      <c r="A333" s="1324" t="inlineStr">
        <is>
          <t>Income from operations</t>
        </is>
      </c>
      <c r="B333" s="1393" t="n"/>
      <c r="C333" s="1329">
        <f>C326-C331+C332</f>
        <v/>
      </c>
      <c r="D333" s="1329">
        <f>D326-D331+D332</f>
        <v/>
      </c>
      <c r="E333" s="1329">
        <f>E326-E331+E332</f>
        <v/>
      </c>
      <c r="F333" s="1329">
        <f>F326-F331+F332</f>
        <v/>
      </c>
      <c r="G333" s="1329">
        <f>G326-G331+G332</f>
        <v/>
      </c>
      <c r="H333" s="1328">
        <f>H326-H331+H332</f>
        <v/>
      </c>
      <c r="I333" s="1328">
        <f>I326-I331+I332</f>
        <v/>
      </c>
      <c r="J333" s="1328">
        <f>J326-J331+J332</f>
        <v/>
      </c>
      <c r="K333" s="1328">
        <f>K326-K331+K332</f>
        <v/>
      </c>
      <c r="L333" s="1329">
        <f>L326-L331+L332</f>
        <v/>
      </c>
      <c r="M333" s="1328">
        <f>M326-M331+M332</f>
        <v/>
      </c>
      <c r="N333" s="1328">
        <f>N326-N331+N332</f>
        <v/>
      </c>
      <c r="O333" s="1328">
        <f>O326-O331+O332</f>
        <v/>
      </c>
      <c r="P333" s="1328">
        <f>P326-P331+P332</f>
        <v/>
      </c>
      <c r="Q333" s="1329">
        <f>Q326-Q331+Q332</f>
        <v/>
      </c>
      <c r="R333" s="1328">
        <f>R326-R331+R332</f>
        <v/>
      </c>
      <c r="S333" s="1328">
        <f>S326-S331+S332</f>
        <v/>
      </c>
      <c r="T333" s="1328">
        <f>T326-T331+T332</f>
        <v/>
      </c>
      <c r="U333" s="1328">
        <f>U326-U331+U332</f>
        <v/>
      </c>
      <c r="V333" s="1329">
        <f>V326-V331+V332</f>
        <v/>
      </c>
      <c r="W333" s="1328">
        <f>W326-W331+W332</f>
        <v/>
      </c>
      <c r="X333" s="1328">
        <f>X326-X331+X332</f>
        <v/>
      </c>
      <c r="Y333" s="1328">
        <f>Y326-Y331+Y332</f>
        <v/>
      </c>
      <c r="Z333" s="1328">
        <f>Z326-Z331+Z332</f>
        <v/>
      </c>
      <c r="AA333" s="1329">
        <f>AA326-AA331+AA332</f>
        <v/>
      </c>
      <c r="AB333" s="1328">
        <f>AB326-AB331+AB332</f>
        <v/>
      </c>
      <c r="AC333" s="1328">
        <f>AC326-AC331+AC332</f>
        <v/>
      </c>
      <c r="AD333" s="1328">
        <f>AD326-AD331+AD332</f>
        <v/>
      </c>
      <c r="AE333" s="1328">
        <f>AE326-AE331+AE332</f>
        <v/>
      </c>
      <c r="AF333" s="1329">
        <f>AF326-AF331+AF332</f>
        <v/>
      </c>
      <c r="AG333" s="1328">
        <f>AG326-AG331+AG332</f>
        <v/>
      </c>
      <c r="AH333" s="1328">
        <f>AH326-AH331+AH332</f>
        <v/>
      </c>
      <c r="AI333" s="1328">
        <f>AI326-AI331+AI332</f>
        <v/>
      </c>
      <c r="AJ333" s="1328">
        <f>AJ326-AJ331+AJ332</f>
        <v/>
      </c>
      <c r="AK333" s="1329">
        <f>AK326-AK331+AK332</f>
        <v/>
      </c>
      <c r="AL333" s="1328">
        <f>AL326-AL331+AL332</f>
        <v/>
      </c>
      <c r="AM333" s="1328">
        <f>AM326-AM331+AM332</f>
        <v/>
      </c>
      <c r="AN333" s="1328">
        <f>AN326-AN331+AN332</f>
        <v/>
      </c>
      <c r="AO333" s="1328">
        <f>AO326-AO331+AO332</f>
        <v/>
      </c>
      <c r="AP333" s="1329">
        <f>AP326-AP331+AP332</f>
        <v/>
      </c>
      <c r="AQ333" s="1328">
        <f>AQ326-AQ331+AQ332</f>
        <v/>
      </c>
      <c r="AR333" s="1328">
        <f>AR326-AR331+AR332</f>
        <v/>
      </c>
      <c r="AS333" s="1328">
        <f>AS326-AS331+AS332</f>
        <v/>
      </c>
      <c r="AT333" s="1328">
        <f>AT326-AT331+AT332</f>
        <v/>
      </c>
      <c r="AU333" s="1329">
        <f>AU326-AU331+AU332</f>
        <v/>
      </c>
      <c r="AV333" s="1328">
        <f>AV326-AV331+AV332</f>
        <v/>
      </c>
      <c r="AW333" s="1328">
        <f>AW326-AW331+AW332</f>
        <v/>
      </c>
      <c r="AX333" s="1328">
        <f>AX326-AX331+AX332</f>
        <v/>
      </c>
      <c r="AY333" s="1328">
        <f>AY326-AY331+AY332</f>
        <v/>
      </c>
      <c r="AZ333" s="1329">
        <f>AZ326-AZ331+AZ332</f>
        <v/>
      </c>
      <c r="BA333" s="1328">
        <f>BA326-BA331+BA332</f>
        <v/>
      </c>
      <c r="BB333" s="1328">
        <f>BB326-BB331+BB332</f>
        <v/>
      </c>
      <c r="BC333" s="1328">
        <f>BC326-BC331+BC332</f>
        <v/>
      </c>
      <c r="BD333" s="1328">
        <f>BD326-BD331+BD332</f>
        <v/>
      </c>
      <c r="BE333" s="1329">
        <f>BE326-BE331+BE332</f>
        <v/>
      </c>
      <c r="BF333" s="1328">
        <f>BF326-BF331+BF332</f>
        <v/>
      </c>
      <c r="BG333" s="1328">
        <f>BG326-BG331+BG332</f>
        <v/>
      </c>
      <c r="BH333" s="1328">
        <f>BH326-BH331+BH332</f>
        <v/>
      </c>
      <c r="BI333" s="1328">
        <f>BI326-BI331+BI332</f>
        <v/>
      </c>
      <c r="BJ333" s="1329">
        <f>BJ326-BJ331+BJ332</f>
        <v/>
      </c>
      <c r="BK333" s="1328">
        <f>BK326-BK331+BK332</f>
        <v/>
      </c>
      <c r="BL333" s="1328">
        <f>BL326-BL331+BL332</f>
        <v/>
      </c>
      <c r="BM333" s="1328">
        <f>BM326-BM331+BM332</f>
        <v/>
      </c>
      <c r="BN333" s="1328">
        <f>BN326-BN331+BN332</f>
        <v/>
      </c>
      <c r="BO333" s="1330">
        <f>BO326-BO331+BO332</f>
        <v/>
      </c>
      <c r="BP333" s="1327" t="n"/>
      <c r="BQ333" s="1327" t="n"/>
      <c r="BR333" s="1327" t="n"/>
      <c r="BS333" s="1327" t="n"/>
      <c r="BT333" s="1326" t="n"/>
      <c r="BU333" s="1327" t="n"/>
      <c r="BV333" s="1327" t="n"/>
      <c r="BW333" s="1327" t="n"/>
      <c r="BX333" s="1327" t="n"/>
      <c r="BY333" s="1326" t="n"/>
      <c r="BZ333" s="1326" t="n"/>
      <c r="CA333" s="1326" t="n"/>
      <c r="CB333" s="1326" t="n"/>
      <c r="CC333" s="1331" t="n"/>
    </row>
    <row r="334" hidden="1" outlineLevel="1" ht="14.4" customFormat="1" customHeight="1" s="1275">
      <c r="A334" s="1295" t="inlineStr">
        <is>
          <t>Share of profits of associates</t>
        </is>
      </c>
      <c r="B334" s="1387" t="n"/>
      <c r="C334" s="1299" t="n">
        <v>0</v>
      </c>
      <c r="D334" s="1299" t="n">
        <v>0</v>
      </c>
      <c r="E334" s="1299" t="n">
        <v>0</v>
      </c>
      <c r="F334" s="1299" t="n">
        <v>2073.729</v>
      </c>
      <c r="G334" s="1299" t="n">
        <v>3972.031</v>
      </c>
      <c r="H334" s="1298" t="n">
        <v>955.609</v>
      </c>
      <c r="I334" s="1298" t="n">
        <v>1047.825</v>
      </c>
      <c r="J334" s="1298" t="n">
        <v>1036.725</v>
      </c>
      <c r="K334" s="1280">
        <f>L334-H334-I334-J334</f>
        <v/>
      </c>
      <c r="L334" s="1299" t="n">
        <v>3950.469</v>
      </c>
      <c r="M334" s="1298" t="n">
        <v>1134.649</v>
      </c>
      <c r="N334" s="1298" t="n">
        <v>815.749</v>
      </c>
      <c r="O334" s="1298" t="n">
        <v>925.854</v>
      </c>
      <c r="P334" s="1280">
        <f>Q334-M334-N334-O334</f>
        <v/>
      </c>
      <c r="Q334" s="1299" t="n">
        <v>4132.128</v>
      </c>
      <c r="R334" s="1298" t="n">
        <v>840.895</v>
      </c>
      <c r="S334" s="1298" t="n">
        <v>892.266</v>
      </c>
      <c r="T334" s="1298" t="n">
        <v>881.376</v>
      </c>
      <c r="U334" s="1280">
        <f>V334-R334-S334-T334</f>
        <v/>
      </c>
      <c r="V334" s="1299" t="n">
        <v>3495.6</v>
      </c>
      <c r="W334" s="1298" t="n">
        <v>666.8099999999999</v>
      </c>
      <c r="X334" s="1298" t="n">
        <v>618.451</v>
      </c>
      <c r="Y334" s="1298" t="n">
        <v>751.6180000000001</v>
      </c>
      <c r="Z334" s="1280">
        <f>AA334-W334-X334-Y334</f>
        <v/>
      </c>
      <c r="AA334" s="1299" t="n">
        <v>2985.941</v>
      </c>
      <c r="AB334" s="1298" t="n">
        <v>681.7910000000001</v>
      </c>
      <c r="AC334" s="1298" t="n">
        <v>266.493</v>
      </c>
      <c r="AD334" s="1298" t="n">
        <v>997.827</v>
      </c>
      <c r="AE334" s="1280">
        <f>AF334-SUM(AB334,AC334,AD334)</f>
        <v/>
      </c>
      <c r="AF334" s="1299" t="n">
        <v>3057.781</v>
      </c>
      <c r="AG334" s="1298" t="n">
        <v>433.491</v>
      </c>
      <c r="AH334" s="1298" t="n">
        <v>628.535</v>
      </c>
      <c r="AI334" s="1298" t="n">
        <v>915.7140000000001</v>
      </c>
      <c r="AJ334" s="1280">
        <f>AK334-SUM(AG334,AH334,AI334)</f>
        <v/>
      </c>
      <c r="AK334" s="1299" t="n">
        <v>2844.222</v>
      </c>
      <c r="AL334" s="1298" t="n">
        <v>725.968</v>
      </c>
      <c r="AM334" s="1298" t="n">
        <v>678.7569999999999</v>
      </c>
      <c r="AN334" s="1298" t="n">
        <v>833.165</v>
      </c>
      <c r="AO334" s="1280">
        <f>AP334-SUM(AL334,AM334,AN334)</f>
        <v/>
      </c>
      <c r="AP334" s="1299" t="n">
        <v>3592.818</v>
      </c>
      <c r="AQ334" s="1298" t="n">
        <v>1267.112</v>
      </c>
      <c r="AR334" s="1298" t="n">
        <v>1171.888</v>
      </c>
      <c r="AS334" s="1298" t="n">
        <v>1513.156</v>
      </c>
      <c r="AT334" s="1280">
        <f>AU334-SUM(AQ334,AR334,AS334)</f>
        <v/>
      </c>
      <c r="AU334" s="1299" t="n">
        <v>5603.084</v>
      </c>
      <c r="AV334" s="1298" t="n">
        <v>1725.49</v>
      </c>
      <c r="AW334" s="1298" t="n">
        <v>2258.005</v>
      </c>
      <c r="AX334" s="1298" t="n">
        <v>2077.809</v>
      </c>
      <c r="AY334" s="1280">
        <f>AZ334-SUM(AV334,AW334,AX334)</f>
        <v/>
      </c>
      <c r="AZ334" s="1299" t="n">
        <v>7798.359</v>
      </c>
      <c r="BA334" s="1298" t="n">
        <v>1038.817</v>
      </c>
      <c r="BB334" s="1298" t="n">
        <v>1134.187</v>
      </c>
      <c r="BC334" s="1298" t="n">
        <v>1166.97</v>
      </c>
      <c r="BD334" s="1280">
        <f>BE334-SUM(BA334,BB334,BC334)</f>
        <v/>
      </c>
      <c r="BE334" s="1299" t="n">
        <v>4655.098</v>
      </c>
      <c r="BF334" s="1298" t="n">
        <v>878.001</v>
      </c>
      <c r="BG334" s="1298" t="n">
        <v>1152.225</v>
      </c>
      <c r="BH334" s="1298" t="n">
        <v>1560.733</v>
      </c>
      <c r="BI334" s="1280">
        <f>BJ334-SUM(BF334,BG334,BH334)</f>
        <v/>
      </c>
      <c r="BJ334" s="1299" t="n">
        <v>4879.367</v>
      </c>
      <c r="BK334" s="1298" t="n">
        <v>1368.307</v>
      </c>
      <c r="BL334" s="1298" t="n">
        <v>1220.948</v>
      </c>
      <c r="BM334" s="1298" t="n">
        <v>1424.738</v>
      </c>
      <c r="BN334" s="1298" t="n">
        <v>1483</v>
      </c>
      <c r="BO334" s="1300">
        <f>SUM(BK334,BL334,BM334,BN334)</f>
        <v/>
      </c>
      <c r="BP334" s="1277" t="n"/>
      <c r="BQ334" s="1277" t="n"/>
      <c r="BR334" s="1277" t="n"/>
      <c r="BS334" s="1277" t="n"/>
      <c r="BT334" s="1297" t="n"/>
      <c r="BU334" s="1277" t="n"/>
      <c r="BV334" s="1277" t="n"/>
      <c r="BW334" s="1277" t="n"/>
      <c r="BX334" s="1277" t="n"/>
      <c r="BY334" s="1297" t="n"/>
      <c r="BZ334" s="1297" t="n"/>
      <c r="CA334" s="1297" t="n"/>
      <c r="CB334" s="1297" t="n"/>
      <c r="CC334" s="1280" t="n"/>
    </row>
    <row r="335" hidden="1" outlineLevel="1" ht="14.4" customFormat="1" customHeight="1" s="1275">
      <c r="A335" s="1295" t="inlineStr">
        <is>
          <t>Equity in earnings of equity method investees, net</t>
        </is>
      </c>
      <c r="B335" s="1387" t="n"/>
      <c r="C335" s="1299" t="n">
        <v>45.994</v>
      </c>
      <c r="D335" s="1299" t="n">
        <v>2298.159</v>
      </c>
      <c r="E335" s="1299" t="n">
        <v>897.611</v>
      </c>
      <c r="F335" s="1297" t="n"/>
      <c r="G335" s="1297" t="n"/>
      <c r="H335" s="1277" t="n"/>
      <c r="I335" s="1277" t="n"/>
      <c r="J335" s="1277" t="n"/>
      <c r="K335" s="1280">
        <f>L335-H335-I335-J335</f>
        <v/>
      </c>
      <c r="L335" s="1297" t="n"/>
      <c r="M335" s="1277" t="n"/>
      <c r="N335" s="1277" t="n"/>
      <c r="O335" s="1277" t="n"/>
      <c r="P335" s="1280">
        <f>Q335-M335-N335-O335</f>
        <v/>
      </c>
      <c r="Q335" s="1297" t="n"/>
      <c r="R335" s="1277" t="n"/>
      <c r="S335" s="1277" t="n"/>
      <c r="T335" s="1277" t="n"/>
      <c r="U335" s="1280">
        <f>V335-R335-S335-T335</f>
        <v/>
      </c>
      <c r="V335" s="1297" t="n"/>
      <c r="W335" s="1277" t="n"/>
      <c r="X335" s="1277" t="n"/>
      <c r="Y335" s="1277" t="n"/>
      <c r="Z335" s="1280">
        <f>AA335-W335-X335-Y335</f>
        <v/>
      </c>
      <c r="AA335" s="1297" t="n"/>
      <c r="AB335" s="1277" t="n"/>
      <c r="AC335" s="1277" t="n"/>
      <c r="AD335" s="1277" t="n"/>
      <c r="AE335" s="1280">
        <f>AF335-SUM(AB335,AC335,AD335)</f>
        <v/>
      </c>
      <c r="AF335" s="1297" t="n"/>
      <c r="AG335" s="1277" t="n"/>
      <c r="AH335" s="1277" t="n"/>
      <c r="AI335" s="1277" t="n"/>
      <c r="AJ335" s="1277" t="n"/>
      <c r="AK335" s="1297" t="n"/>
      <c r="AL335" s="1277" t="n"/>
      <c r="AM335" s="1277" t="n"/>
      <c r="AN335" s="1277" t="n"/>
      <c r="AO335" s="1277" t="n"/>
      <c r="AP335" s="1297" t="n"/>
      <c r="AQ335" s="1277" t="n"/>
      <c r="AR335" s="1277" t="n"/>
      <c r="AS335" s="1277" t="n"/>
      <c r="AT335" s="1277" t="n"/>
      <c r="AU335" s="1297" t="n"/>
      <c r="AV335" s="1277" t="n"/>
      <c r="AW335" s="1277" t="n"/>
      <c r="AX335" s="1277" t="n"/>
      <c r="AY335" s="1277" t="n"/>
      <c r="AZ335" s="1297" t="n"/>
      <c r="BA335" s="1277" t="n"/>
      <c r="BB335" s="1277" t="n"/>
      <c r="BC335" s="1277" t="n"/>
      <c r="BD335" s="1277" t="n"/>
      <c r="BE335" s="1297" t="n"/>
      <c r="BF335" s="1277" t="n"/>
      <c r="BG335" s="1277" t="n"/>
      <c r="BH335" s="1277" t="n"/>
      <c r="BI335" s="1277" t="n"/>
      <c r="BJ335" s="1297" t="n"/>
      <c r="BK335" s="1277" t="n"/>
      <c r="BL335" s="1277" t="n"/>
      <c r="BM335" s="1277" t="n"/>
      <c r="BN335" s="1277" t="n"/>
      <c r="BO335" s="1382" t="n"/>
      <c r="BP335" s="1277" t="n"/>
      <c r="BQ335" s="1277" t="n"/>
      <c r="BR335" s="1277" t="n"/>
      <c r="BS335" s="1277" t="n"/>
      <c r="BT335" s="1297" t="n"/>
      <c r="BU335" s="1277" t="n"/>
      <c r="BV335" s="1277" t="n"/>
      <c r="BW335" s="1277" t="n"/>
      <c r="BX335" s="1277" t="n"/>
      <c r="BY335" s="1297" t="n"/>
      <c r="BZ335" s="1297" t="n"/>
      <c r="CA335" s="1297" t="n"/>
      <c r="CB335" s="1297" t="n"/>
      <c r="CC335" s="1280" t="n"/>
    </row>
    <row r="336" hidden="1" outlineLevel="1" ht="14.4" customFormat="1" customHeight="1" s="1275">
      <c r="A336" s="1295" t="inlineStr">
        <is>
          <t>Interest income</t>
        </is>
      </c>
      <c r="B336" s="1387" t="n"/>
      <c r="C336" s="1299" t="n">
        <v>2600.925</v>
      </c>
      <c r="D336" s="1299" t="n">
        <v>1665.193</v>
      </c>
      <c r="E336" s="1299" t="n">
        <v>1479.514</v>
      </c>
      <c r="F336" s="1297" t="n"/>
      <c r="G336" s="1297" t="n"/>
      <c r="H336" s="1277" t="n"/>
      <c r="I336" s="1277" t="n"/>
      <c r="J336" s="1277" t="n"/>
      <c r="K336" s="1280">
        <f>L336-H336-I336-J336</f>
        <v/>
      </c>
      <c r="L336" s="1297" t="n"/>
      <c r="M336" s="1277" t="n"/>
      <c r="N336" s="1277" t="n"/>
      <c r="O336" s="1277" t="n"/>
      <c r="P336" s="1280">
        <f>Q336-M336-N336-O336</f>
        <v/>
      </c>
      <c r="Q336" s="1297" t="n"/>
      <c r="R336" s="1277" t="n"/>
      <c r="S336" s="1277" t="n"/>
      <c r="T336" s="1277" t="n"/>
      <c r="U336" s="1280">
        <f>V336-R336-S336-T336</f>
        <v/>
      </c>
      <c r="V336" s="1297" t="n"/>
      <c r="W336" s="1277" t="n"/>
      <c r="X336" s="1277" t="n"/>
      <c r="Y336" s="1277" t="n"/>
      <c r="Z336" s="1280">
        <f>AA336-W336-X336-Y336</f>
        <v/>
      </c>
      <c r="AA336" s="1297" t="n"/>
      <c r="AB336" s="1277" t="n"/>
      <c r="AC336" s="1277" t="n"/>
      <c r="AD336" s="1277" t="n"/>
      <c r="AE336" s="1280">
        <f>AF336-SUM(AB336,AC336,AD336)</f>
        <v/>
      </c>
      <c r="AF336" s="1297" t="n"/>
      <c r="AG336" s="1277" t="n"/>
      <c r="AH336" s="1277" t="n"/>
      <c r="AI336" s="1277" t="n"/>
      <c r="AJ336" s="1277" t="n"/>
      <c r="AK336" s="1297" t="n"/>
      <c r="AL336" s="1277" t="n"/>
      <c r="AM336" s="1298" t="n">
        <v>2478.362</v>
      </c>
      <c r="AN336" s="1298" t="n">
        <v>1897.963</v>
      </c>
      <c r="AO336" s="1280">
        <f>AP336-SUM(AL336,AM336,AN336)</f>
        <v/>
      </c>
      <c r="AP336" s="1299" t="n">
        <v>9018.4</v>
      </c>
      <c r="AQ336" s="1298" t="n">
        <v>1460.904</v>
      </c>
      <c r="AR336" s="1298" t="n">
        <v>1428.681</v>
      </c>
      <c r="AS336" s="1298" t="n">
        <v>1356.544</v>
      </c>
      <c r="AT336" s="1280">
        <f>AU336-SUM(AQ336,AR336,AS336)</f>
        <v/>
      </c>
      <c r="AU336" s="1299" t="n">
        <v>5708.765</v>
      </c>
      <c r="AV336" s="1298" t="n">
        <v>1673.879</v>
      </c>
      <c r="AW336" s="1298" t="n">
        <v>3545.945</v>
      </c>
      <c r="AX336" s="1298" t="n">
        <v>6615.044</v>
      </c>
      <c r="AY336" s="1280">
        <f>AZ336-SUM(AV336,AW336,AX336)</f>
        <v/>
      </c>
      <c r="AZ336" s="1299" t="n">
        <v>22422.209</v>
      </c>
      <c r="BA336" s="1298" t="n">
        <v>13617.818</v>
      </c>
      <c r="BB336" s="1298" t="n">
        <v>13672.021</v>
      </c>
      <c r="BC336" s="1298" t="n">
        <v>15595.274</v>
      </c>
      <c r="BD336" s="1280">
        <f>BE336-SUM(BA336,BB336,BC336)</f>
        <v/>
      </c>
      <c r="BE336" s="1299" t="n">
        <v>60293.901</v>
      </c>
      <c r="BF336" s="1298" t="n">
        <v>19359.172</v>
      </c>
      <c r="BG336" s="1298" t="n">
        <v>20979.233</v>
      </c>
      <c r="BH336" s="1298" t="n">
        <v>22601.654</v>
      </c>
      <c r="BI336" s="1280">
        <f>BJ336-SUM(BF336,BG336,BH336)</f>
        <v/>
      </c>
      <c r="BJ336" s="1299" t="n">
        <v>87213.399</v>
      </c>
      <c r="BK336" s="1298" t="n">
        <v>24859.312</v>
      </c>
      <c r="BL336" s="1298" t="n">
        <v>25191.998</v>
      </c>
      <c r="BM336" s="1298" t="n">
        <v>26180.345</v>
      </c>
      <c r="BN336" s="1298" t="n">
        <v>26463</v>
      </c>
      <c r="BO336" s="1382">
        <f>SUM(BK336,BL336,BM336,BN336)</f>
        <v/>
      </c>
      <c r="BP336" s="1277" t="n"/>
      <c r="BQ336" s="1277" t="n"/>
      <c r="BR336" s="1277" t="n"/>
      <c r="BS336" s="1277" t="n"/>
      <c r="BT336" s="1297" t="n"/>
      <c r="BU336" s="1277" t="n"/>
      <c r="BV336" s="1277" t="n"/>
      <c r="BW336" s="1277" t="n"/>
      <c r="BX336" s="1277" t="n"/>
      <c r="BY336" s="1297" t="n"/>
      <c r="BZ336" s="1297" t="n"/>
      <c r="CA336" s="1297" t="n"/>
      <c r="CB336" s="1297" t="n"/>
      <c r="CC336" s="1280" t="n"/>
    </row>
    <row r="337" hidden="1" outlineLevel="1" ht="14.4" customFormat="1" customHeight="1" s="1275">
      <c r="A337" s="1295" t="inlineStr">
        <is>
          <t>Settlement income</t>
        </is>
      </c>
      <c r="B337" s="1387" t="n"/>
      <c r="C337" s="1299" t="n">
        <v>1464.915</v>
      </c>
      <c r="D337" s="1299" t="n">
        <v>6939.764</v>
      </c>
      <c r="E337" s="1299" t="n">
        <v>947.34</v>
      </c>
      <c r="F337" s="1297" t="n"/>
      <c r="G337" s="1297" t="n"/>
      <c r="H337" s="1277" t="n"/>
      <c r="I337" s="1277" t="n"/>
      <c r="J337" s="1277" t="n"/>
      <c r="K337" s="1280">
        <f>L337-H337-I337-J337</f>
        <v/>
      </c>
      <c r="L337" s="1297" t="n"/>
      <c r="M337" s="1277" t="n"/>
      <c r="N337" s="1277" t="n"/>
      <c r="O337" s="1277" t="n"/>
      <c r="P337" s="1280">
        <f>Q337-M337-N337-O337</f>
        <v/>
      </c>
      <c r="Q337" s="1297" t="n"/>
      <c r="R337" s="1277" t="n"/>
      <c r="S337" s="1277" t="n"/>
      <c r="T337" s="1277" t="n"/>
      <c r="U337" s="1280">
        <f>V337-R337-S337-T337</f>
        <v/>
      </c>
      <c r="V337" s="1297" t="n"/>
      <c r="W337" s="1277" t="n"/>
      <c r="X337" s="1277" t="n"/>
      <c r="Y337" s="1277" t="n"/>
      <c r="Z337" s="1280">
        <f>AA337-W337-X337-Y337</f>
        <v/>
      </c>
      <c r="AA337" s="1297" t="n"/>
      <c r="AB337" s="1277" t="n"/>
      <c r="AC337" s="1277" t="n"/>
      <c r="AD337" s="1277" t="n"/>
      <c r="AE337" s="1280">
        <f>AF337-SUM(AB337,AC337,AD337)</f>
        <v/>
      </c>
      <c r="AF337" s="1297" t="n"/>
      <c r="AG337" s="1277" t="n"/>
      <c r="AH337" s="1277" t="n"/>
      <c r="AI337" s="1277" t="n"/>
      <c r="AJ337" s="1277" t="n"/>
      <c r="AK337" s="1297" t="n"/>
      <c r="AL337" s="1277" t="n"/>
      <c r="AM337" s="1277" t="n"/>
      <c r="AN337" s="1277" t="n"/>
      <c r="AO337" s="1277" t="n"/>
      <c r="AP337" s="1297" t="n"/>
      <c r="AQ337" s="1277" t="n"/>
      <c r="AR337" s="1277" t="n"/>
      <c r="AS337" s="1277" t="n"/>
      <c r="AT337" s="1277" t="n"/>
      <c r="AU337" s="1297" t="n"/>
      <c r="AV337" s="1277" t="n"/>
      <c r="AW337" s="1277" t="n"/>
      <c r="AX337" s="1277" t="n"/>
      <c r="AY337" s="1277" t="n"/>
      <c r="AZ337" s="1297" t="n"/>
      <c r="BA337" s="1277" t="n"/>
      <c r="BB337" s="1277" t="n"/>
      <c r="BC337" s="1277" t="n"/>
      <c r="BD337" s="1277" t="n"/>
      <c r="BE337" s="1297" t="n"/>
      <c r="BF337" s="1277" t="n"/>
      <c r="BG337" s="1277" t="n"/>
      <c r="BH337" s="1277" t="n"/>
      <c r="BI337" s="1277" t="n"/>
      <c r="BJ337" s="1297" t="n"/>
      <c r="BK337" s="1277" t="n"/>
      <c r="BL337" s="1277" t="n"/>
      <c r="BM337" s="1277" t="n"/>
      <c r="BN337" s="1277" t="n"/>
      <c r="BO337" s="1382" t="n"/>
      <c r="BP337" s="1277" t="n"/>
      <c r="BQ337" s="1277" t="n"/>
      <c r="BR337" s="1277" t="n"/>
      <c r="BS337" s="1277" t="n"/>
      <c r="BT337" s="1297" t="n"/>
      <c r="BU337" s="1277" t="n"/>
      <c r="BV337" s="1277" t="n"/>
      <c r="BW337" s="1277" t="n"/>
      <c r="BX337" s="1277" t="n"/>
      <c r="BY337" s="1297" t="n"/>
      <c r="BZ337" s="1297" t="n"/>
      <c r="CA337" s="1297" t="n"/>
      <c r="CB337" s="1297" t="n"/>
      <c r="CC337" s="1280" t="n"/>
    </row>
    <row r="338" hidden="1" outlineLevel="1" ht="14.4" customFormat="1" customHeight="1" s="1275">
      <c r="A338" s="1295" t="inlineStr">
        <is>
          <t>Foreign exchange gain, net</t>
        </is>
      </c>
      <c r="B338" s="1387" t="n"/>
      <c r="C338" s="1297" t="n"/>
      <c r="D338" s="1297" t="n"/>
      <c r="E338" s="1299" t="n">
        <v>0</v>
      </c>
      <c r="F338" s="1299" t="n">
        <v>582.498</v>
      </c>
      <c r="G338" s="1299" t="n">
        <v>285.46</v>
      </c>
      <c r="H338" s="1277" t="n"/>
      <c r="I338" s="1277" t="n"/>
      <c r="J338" s="1277" t="n"/>
      <c r="K338" s="1280">
        <f>L338-H338-I338-J338</f>
        <v/>
      </c>
      <c r="L338" s="1297" t="n"/>
      <c r="M338" s="1277" t="n"/>
      <c r="N338" s="1277" t="n"/>
      <c r="O338" s="1277" t="n"/>
      <c r="P338" s="1280">
        <f>Q338-M338-N338-O338</f>
        <v/>
      </c>
      <c r="Q338" s="1297" t="n"/>
      <c r="R338" s="1277" t="n"/>
      <c r="S338" s="1277" t="n"/>
      <c r="T338" s="1277" t="n"/>
      <c r="U338" s="1280">
        <f>V338-R338-S338-T338</f>
        <v/>
      </c>
      <c r="V338" s="1297" t="n"/>
      <c r="W338" s="1277" t="n"/>
      <c r="X338" s="1277" t="n"/>
      <c r="Y338" s="1277" t="n"/>
      <c r="Z338" s="1280">
        <f>AA338-W338-X338-Y338</f>
        <v/>
      </c>
      <c r="AA338" s="1297" t="n"/>
      <c r="AB338" s="1277" t="n"/>
      <c r="AC338" s="1277" t="n"/>
      <c r="AD338" s="1277" t="n"/>
      <c r="AE338" s="1280">
        <f>AF338-SUM(AB338,AC338,AD338)</f>
        <v/>
      </c>
      <c r="AF338" s="1297" t="n"/>
      <c r="AG338" s="1277" t="n"/>
      <c r="AH338" s="1277" t="n"/>
      <c r="AI338" s="1277" t="n"/>
      <c r="AJ338" s="1277" t="n"/>
      <c r="AK338" s="1297" t="n"/>
      <c r="AL338" s="1277" t="n"/>
      <c r="AM338" s="1277" t="n"/>
      <c r="AN338" s="1277" t="n"/>
      <c r="AO338" s="1277" t="n"/>
      <c r="AP338" s="1297" t="n"/>
      <c r="AQ338" s="1277" t="n"/>
      <c r="AR338" s="1277" t="n"/>
      <c r="AS338" s="1277" t="n"/>
      <c r="AT338" s="1277" t="n"/>
      <c r="AU338" s="1297" t="n"/>
      <c r="AV338" s="1277" t="n"/>
      <c r="AW338" s="1277" t="n"/>
      <c r="AX338" s="1277" t="n"/>
      <c r="AY338" s="1277" t="n"/>
      <c r="AZ338" s="1297" t="n"/>
      <c r="BA338" s="1277" t="n"/>
      <c r="BB338" s="1277" t="n"/>
      <c r="BC338" s="1277" t="n"/>
      <c r="BD338" s="1277" t="n"/>
      <c r="BE338" s="1297" t="n"/>
      <c r="BF338" s="1277" t="n"/>
      <c r="BG338" s="1277" t="n"/>
      <c r="BH338" s="1277" t="n"/>
      <c r="BI338" s="1277" t="n"/>
      <c r="BJ338" s="1297" t="n"/>
      <c r="BK338" s="1277" t="n"/>
      <c r="BL338" s="1277" t="n"/>
      <c r="BM338" s="1277" t="n"/>
      <c r="BN338" s="1277" t="n"/>
      <c r="BO338" s="1382" t="n"/>
      <c r="BP338" s="1277" t="n"/>
      <c r="BQ338" s="1277" t="n"/>
      <c r="BR338" s="1277" t="n"/>
      <c r="BS338" s="1277" t="n"/>
      <c r="BT338" s="1297" t="n"/>
      <c r="BU338" s="1277" t="n"/>
      <c r="BV338" s="1277" t="n"/>
      <c r="BW338" s="1277" t="n"/>
      <c r="BX338" s="1277" t="n"/>
      <c r="BY338" s="1297" t="n"/>
      <c r="BZ338" s="1297" t="n"/>
      <c r="CA338" s="1297" t="n"/>
      <c r="CB338" s="1297" t="n"/>
      <c r="CC338" s="1280" t="n"/>
    </row>
    <row r="339" hidden="1" outlineLevel="1" ht="14.4" customFormat="1" customHeight="1" s="1275">
      <c r="A339" s="1295" t="inlineStr">
        <is>
          <t>Gain on settlement and disposal of financial assets, net</t>
        </is>
      </c>
      <c r="B339" s="1387" t="n"/>
      <c r="C339" s="1299" t="n">
        <v>15.999</v>
      </c>
      <c r="D339" s="1299" t="n">
        <v>736.843</v>
      </c>
      <c r="E339" s="1299" t="n">
        <v>233.214</v>
      </c>
      <c r="F339" s="1297" t="n"/>
      <c r="G339" s="1297" t="n"/>
      <c r="H339" s="1277" t="n"/>
      <c r="I339" s="1277" t="n"/>
      <c r="J339" s="1277" t="n"/>
      <c r="K339" s="1280">
        <f>L339-H339-I339-J339</f>
        <v/>
      </c>
      <c r="L339" s="1297" t="n"/>
      <c r="M339" s="1277" t="n"/>
      <c r="N339" s="1277" t="n"/>
      <c r="O339" s="1277" t="n"/>
      <c r="P339" s="1280">
        <f>Q339-M339-N339-O339</f>
        <v/>
      </c>
      <c r="Q339" s="1297" t="n"/>
      <c r="R339" s="1277" t="n"/>
      <c r="S339" s="1277" t="n"/>
      <c r="T339" s="1277" t="n"/>
      <c r="U339" s="1280">
        <f>V339-R339-S339-T339</f>
        <v/>
      </c>
      <c r="V339" s="1297" t="n"/>
      <c r="W339" s="1277" t="n"/>
      <c r="X339" s="1277" t="n"/>
      <c r="Y339" s="1277" t="n"/>
      <c r="Z339" s="1280">
        <f>AA339-W339-X339-Y339</f>
        <v/>
      </c>
      <c r="AA339" s="1297" t="n"/>
      <c r="AB339" s="1277" t="n"/>
      <c r="AC339" s="1277" t="n"/>
      <c r="AD339" s="1277" t="n"/>
      <c r="AE339" s="1280">
        <f>AF339-SUM(AB339,AC339,AD339)</f>
        <v/>
      </c>
      <c r="AF339" s="1297" t="n"/>
      <c r="AG339" s="1277" t="n"/>
      <c r="AH339" s="1277" t="n"/>
      <c r="AI339" s="1277" t="n"/>
      <c r="AJ339" s="1277" t="n"/>
      <c r="AK339" s="1297" t="n"/>
      <c r="AL339" s="1277" t="n"/>
      <c r="AM339" s="1277" t="n"/>
      <c r="AN339" s="1277" t="n"/>
      <c r="AO339" s="1277" t="n"/>
      <c r="AP339" s="1297" t="n"/>
      <c r="AQ339" s="1277" t="n"/>
      <c r="AR339" s="1277" t="n"/>
      <c r="AS339" s="1277" t="n"/>
      <c r="AT339" s="1277" t="n"/>
      <c r="AU339" s="1297" t="n"/>
      <c r="AV339" s="1277" t="n"/>
      <c r="AW339" s="1277" t="n"/>
      <c r="AX339" s="1277" t="n"/>
      <c r="AY339" s="1277" t="n"/>
      <c r="AZ339" s="1297" t="n"/>
      <c r="BA339" s="1277" t="n"/>
      <c r="BB339" s="1277" t="n"/>
      <c r="BC339" s="1277" t="n"/>
      <c r="BD339" s="1277" t="n"/>
      <c r="BE339" s="1297" t="n"/>
      <c r="BF339" s="1277" t="n"/>
      <c r="BG339" s="1277" t="n"/>
      <c r="BH339" s="1277" t="n"/>
      <c r="BI339" s="1277" t="n"/>
      <c r="BJ339" s="1297" t="n"/>
      <c r="BK339" s="1277" t="n"/>
      <c r="BL339" s="1277" t="n"/>
      <c r="BM339" s="1277" t="n"/>
      <c r="BN339" s="1277" t="n"/>
      <c r="BO339" s="1382" t="n"/>
      <c r="BP339" s="1277" t="n"/>
      <c r="BQ339" s="1277" t="n"/>
      <c r="BR339" s="1277" t="n"/>
      <c r="BS339" s="1277" t="n"/>
      <c r="BT339" s="1297" t="n"/>
      <c r="BU339" s="1277" t="n"/>
      <c r="BV339" s="1277" t="n"/>
      <c r="BW339" s="1277" t="n"/>
      <c r="BX339" s="1277" t="n"/>
      <c r="BY339" s="1297" t="n"/>
      <c r="BZ339" s="1297" t="n"/>
      <c r="CA339" s="1297" t="n"/>
      <c r="CB339" s="1297" t="n"/>
      <c r="CC339" s="1280" t="n"/>
    </row>
    <row r="340" hidden="1" outlineLevel="1" ht="14.4" customFormat="1" customHeight="1" s="1275">
      <c r="A340" s="1295" t="inlineStr">
        <is>
          <t>Technical service income</t>
        </is>
      </c>
      <c r="B340" s="1387" t="n"/>
      <c r="C340" s="1299" t="n">
        <v>367.013</v>
      </c>
      <c r="D340" s="1299" t="n">
        <v>450.503</v>
      </c>
      <c r="E340" s="1299" t="n">
        <v>407.089</v>
      </c>
      <c r="F340" s="1297" t="n"/>
      <c r="G340" s="1297" t="n"/>
      <c r="H340" s="1277" t="n"/>
      <c r="I340" s="1277" t="n"/>
      <c r="J340" s="1277" t="n"/>
      <c r="K340" s="1280">
        <f>L340-H340-I340-J340</f>
        <v/>
      </c>
      <c r="L340" s="1297" t="n"/>
      <c r="M340" s="1277" t="n"/>
      <c r="N340" s="1277" t="n"/>
      <c r="O340" s="1277" t="n"/>
      <c r="P340" s="1280">
        <f>Q340-M340-N340-O340</f>
        <v/>
      </c>
      <c r="Q340" s="1297" t="n"/>
      <c r="R340" s="1277" t="n"/>
      <c r="S340" s="1277" t="n"/>
      <c r="T340" s="1277" t="n"/>
      <c r="U340" s="1280">
        <f>V340-R340-S340-T340</f>
        <v/>
      </c>
      <c r="V340" s="1297" t="n"/>
      <c r="W340" s="1277" t="n"/>
      <c r="X340" s="1277" t="n"/>
      <c r="Y340" s="1277" t="n"/>
      <c r="Z340" s="1280">
        <f>AA340-W340-X340-Y340</f>
        <v/>
      </c>
      <c r="AA340" s="1297" t="n"/>
      <c r="AB340" s="1277" t="n"/>
      <c r="AC340" s="1277" t="n"/>
      <c r="AD340" s="1277" t="n"/>
      <c r="AE340" s="1280">
        <f>AF340-SUM(AB340,AC340,AD340)</f>
        <v/>
      </c>
      <c r="AF340" s="1297" t="n"/>
      <c r="AG340" s="1277" t="n"/>
      <c r="AH340" s="1277" t="n"/>
      <c r="AI340" s="1277" t="n"/>
      <c r="AJ340" s="1277" t="n"/>
      <c r="AK340" s="1297" t="n"/>
      <c r="AL340" s="1277" t="n"/>
      <c r="AM340" s="1277" t="n"/>
      <c r="AN340" s="1277" t="n"/>
      <c r="AO340" s="1277" t="n"/>
      <c r="AP340" s="1297" t="n"/>
      <c r="AQ340" s="1277" t="n"/>
      <c r="AR340" s="1277" t="n"/>
      <c r="AS340" s="1277" t="n"/>
      <c r="AT340" s="1277" t="n"/>
      <c r="AU340" s="1297" t="n"/>
      <c r="AV340" s="1277" t="n"/>
      <c r="AW340" s="1277" t="n"/>
      <c r="AX340" s="1277" t="n"/>
      <c r="AY340" s="1277" t="n"/>
      <c r="AZ340" s="1297" t="n"/>
      <c r="BA340" s="1277" t="n"/>
      <c r="BB340" s="1277" t="n"/>
      <c r="BC340" s="1277" t="n"/>
      <c r="BD340" s="1277" t="n"/>
      <c r="BE340" s="1297" t="n"/>
      <c r="BF340" s="1277" t="n"/>
      <c r="BG340" s="1277" t="n"/>
      <c r="BH340" s="1277" t="n"/>
      <c r="BI340" s="1277" t="n"/>
      <c r="BJ340" s="1297" t="n"/>
      <c r="BK340" s="1277" t="n"/>
      <c r="BL340" s="1277" t="n"/>
      <c r="BM340" s="1277" t="n"/>
      <c r="BN340" s="1277" t="n"/>
      <c r="BO340" s="1382" t="n"/>
      <c r="BP340" s="1277" t="n"/>
      <c r="BQ340" s="1277" t="n"/>
      <c r="BR340" s="1277" t="n"/>
      <c r="BS340" s="1277" t="n"/>
      <c r="BT340" s="1297" t="n"/>
      <c r="BU340" s="1277" t="n"/>
      <c r="BV340" s="1277" t="n"/>
      <c r="BW340" s="1277" t="n"/>
      <c r="BX340" s="1277" t="n"/>
      <c r="BY340" s="1297" t="n"/>
      <c r="BZ340" s="1297" t="n"/>
      <c r="CA340" s="1297" t="n"/>
      <c r="CB340" s="1297" t="n"/>
      <c r="CC340" s="1280" t="n"/>
    </row>
    <row r="341" hidden="1" outlineLevel="1" ht="14.4" customFormat="1" customHeight="1" s="1275">
      <c r="A341" s="1295" t="inlineStr">
        <is>
          <t>Valuation gain on financial instruments, net</t>
        </is>
      </c>
      <c r="B341" s="1387" t="n"/>
      <c r="C341" s="1299" t="n">
        <v>594.66</v>
      </c>
      <c r="D341" s="1299" t="n">
        <v>320.73</v>
      </c>
      <c r="E341" s="1299" t="n">
        <v>507.432</v>
      </c>
      <c r="F341" s="1297" t="n"/>
      <c r="G341" s="1297" t="n"/>
      <c r="H341" s="1277" t="n"/>
      <c r="I341" s="1277" t="n"/>
      <c r="J341" s="1277" t="n"/>
      <c r="K341" s="1280">
        <f>L341-H341-I341-J341</f>
        <v/>
      </c>
      <c r="L341" s="1297" t="n"/>
      <c r="M341" s="1277" t="n"/>
      <c r="N341" s="1277" t="n"/>
      <c r="O341" s="1277" t="n"/>
      <c r="P341" s="1280">
        <f>Q341-M341-N341-O341</f>
        <v/>
      </c>
      <c r="Q341" s="1297" t="n"/>
      <c r="R341" s="1277" t="n"/>
      <c r="S341" s="1277" t="n"/>
      <c r="T341" s="1277" t="n"/>
      <c r="U341" s="1280">
        <f>V341-R341-S341-T341</f>
        <v/>
      </c>
      <c r="V341" s="1297" t="n"/>
      <c r="W341" s="1277" t="n"/>
      <c r="X341" s="1277" t="n"/>
      <c r="Y341" s="1277" t="n"/>
      <c r="Z341" s="1280">
        <f>AA341-W341-X341-Y341</f>
        <v/>
      </c>
      <c r="AA341" s="1297" t="n"/>
      <c r="AB341" s="1277" t="n"/>
      <c r="AC341" s="1277" t="n"/>
      <c r="AD341" s="1277" t="n"/>
      <c r="AE341" s="1280">
        <f>AF341-SUM(AB341,AC341,AD341)</f>
        <v/>
      </c>
      <c r="AF341" s="1297" t="n"/>
      <c r="AG341" s="1277" t="n"/>
      <c r="AH341" s="1277" t="n"/>
      <c r="AI341" s="1277" t="n"/>
      <c r="AJ341" s="1277" t="n"/>
      <c r="AK341" s="1297" t="n"/>
      <c r="AL341" s="1277" t="n"/>
      <c r="AM341" s="1277" t="n"/>
      <c r="AN341" s="1277" t="n"/>
      <c r="AO341" s="1277" t="n"/>
      <c r="AP341" s="1297" t="n"/>
      <c r="AQ341" s="1277" t="n"/>
      <c r="AR341" s="1277" t="n"/>
      <c r="AS341" s="1277" t="n"/>
      <c r="AT341" s="1277" t="n"/>
      <c r="AU341" s="1297" t="n"/>
      <c r="AV341" s="1277" t="n"/>
      <c r="AW341" s="1277" t="n"/>
      <c r="AX341" s="1277" t="n"/>
      <c r="AY341" s="1277" t="n"/>
      <c r="AZ341" s="1297" t="n"/>
      <c r="BA341" s="1277" t="n"/>
      <c r="BB341" s="1277" t="n"/>
      <c r="BC341" s="1277" t="n"/>
      <c r="BD341" s="1277" t="n"/>
      <c r="BE341" s="1297" t="n"/>
      <c r="BF341" s="1277" t="n"/>
      <c r="BG341" s="1277" t="n"/>
      <c r="BH341" s="1277" t="n"/>
      <c r="BI341" s="1277" t="n"/>
      <c r="BJ341" s="1297" t="n"/>
      <c r="BK341" s="1277" t="n"/>
      <c r="BL341" s="1277" t="n"/>
      <c r="BM341" s="1277" t="n"/>
      <c r="BN341" s="1277" t="n"/>
      <c r="BO341" s="1382" t="n"/>
      <c r="BP341" s="1277" t="n"/>
      <c r="BQ341" s="1277" t="n"/>
      <c r="BR341" s="1277" t="n"/>
      <c r="BS341" s="1277" t="n"/>
      <c r="BT341" s="1297" t="n"/>
      <c r="BU341" s="1277" t="n"/>
      <c r="BV341" s="1277" t="n"/>
      <c r="BW341" s="1277" t="n"/>
      <c r="BX341" s="1277" t="n"/>
      <c r="BY341" s="1297" t="n"/>
      <c r="BZ341" s="1297" t="n"/>
      <c r="CA341" s="1297" t="n"/>
      <c r="CB341" s="1297" t="n"/>
      <c r="CC341" s="1280" t="n"/>
    </row>
    <row r="342" hidden="1" outlineLevel="1" ht="14.4" customFormat="1" customHeight="1" s="1275">
      <c r="A342" s="1384" t="inlineStr">
        <is>
          <t>Other income</t>
        </is>
      </c>
      <c r="B342" s="1387" t="n"/>
      <c r="C342" s="1299" t="n">
        <v>564.042</v>
      </c>
      <c r="D342" s="1299" t="n">
        <v>724.88</v>
      </c>
      <c r="E342" s="1299" t="n">
        <v>886.327</v>
      </c>
      <c r="F342" s="1299" t="n">
        <v>1716.093</v>
      </c>
      <c r="G342" s="1299" t="n">
        <v>2342.123</v>
      </c>
      <c r="H342" s="1298" t="n">
        <v>613.699</v>
      </c>
      <c r="I342" s="1298" t="n">
        <v>1316.583</v>
      </c>
      <c r="J342" s="1298" t="n">
        <v>688.325</v>
      </c>
      <c r="K342" s="1277">
        <f>L342-H342-I342-J342</f>
        <v/>
      </c>
      <c r="L342" s="1299" t="n">
        <v>3380.407</v>
      </c>
      <c r="M342" s="1298" t="n">
        <v>881.782</v>
      </c>
      <c r="N342" s="1298" t="n">
        <v>1544.75</v>
      </c>
      <c r="O342" s="1298" t="n">
        <v>1066.001</v>
      </c>
      <c r="P342" s="1277">
        <f>Q342-M342-N342-O342</f>
        <v/>
      </c>
      <c r="Q342" s="1299" t="n">
        <v>4750.829</v>
      </c>
      <c r="R342" s="1298" t="n">
        <v>1332.589</v>
      </c>
      <c r="S342" s="1298" t="n">
        <v>1792.766</v>
      </c>
      <c r="T342" s="1298" t="n">
        <v>1521.234</v>
      </c>
      <c r="U342" s="1277">
        <f>V342-R342-S342-T342</f>
        <v/>
      </c>
      <c r="V342" s="1299" t="n">
        <v>6454.901</v>
      </c>
      <c r="W342" s="1298" t="n">
        <v>2104.979</v>
      </c>
      <c r="X342" s="1298" t="n">
        <v>2626.21</v>
      </c>
      <c r="Y342" s="1298" t="n">
        <v>2128.556</v>
      </c>
      <c r="Z342" s="1277">
        <f>AA342-W342-X342-Y342</f>
        <v/>
      </c>
      <c r="AA342" s="1299" t="n">
        <v>9610.294</v>
      </c>
      <c r="AB342" s="1298" t="n">
        <v>3154.642</v>
      </c>
      <c r="AC342" s="1298" t="n">
        <v>3729.835</v>
      </c>
      <c r="AD342" s="1298" t="n">
        <v>3817.473</v>
      </c>
      <c r="AE342" s="1277">
        <f>AF342-SUM(AB342,AC342,AD342)</f>
        <v/>
      </c>
      <c r="AF342" s="1299" t="n">
        <v>14852.814</v>
      </c>
      <c r="AG342" s="1298" t="n">
        <v>4408.776</v>
      </c>
      <c r="AH342" s="1298" t="n">
        <v>4791.347</v>
      </c>
      <c r="AI342" s="1298" t="n">
        <v>3918.123</v>
      </c>
      <c r="AJ342" s="1277">
        <f>AK342-SUM(AG342,AH342,AI342)</f>
        <v/>
      </c>
      <c r="AK342" s="1299" t="n">
        <v>16189.374</v>
      </c>
      <c r="AL342" s="1298" t="n">
        <v>3099.578</v>
      </c>
      <c r="AM342" s="1298" t="n">
        <v>233.415</v>
      </c>
      <c r="AN342" s="1298" t="n">
        <v>117.634</v>
      </c>
      <c r="AO342" s="1277">
        <f>AP342-SUM(AL342,AM342,AN342)</f>
        <v/>
      </c>
      <c r="AP342" s="1299" t="n">
        <v>660.607</v>
      </c>
      <c r="AQ342" s="1298" t="n">
        <v>308.084</v>
      </c>
      <c r="AR342" s="1298" t="n">
        <v>349.186</v>
      </c>
      <c r="AS342" s="1298" t="n">
        <v>155.818</v>
      </c>
      <c r="AT342" s="1277">
        <f>AU342-SUM(AQ342,AR342,AS342)</f>
        <v/>
      </c>
      <c r="AU342" s="1299" t="n">
        <v>973.141</v>
      </c>
      <c r="AV342" s="1298" t="n">
        <v>308.383</v>
      </c>
      <c r="AW342" s="1298" t="n">
        <v>512.177</v>
      </c>
      <c r="AX342" s="1298" t="n">
        <v>120.905</v>
      </c>
      <c r="AY342" s="1277">
        <f>AZ342-SUM(AV342,AW342,AX342)</f>
        <v/>
      </c>
      <c r="AZ342" s="1299" t="n">
        <v>947.697</v>
      </c>
      <c r="BA342" s="1298" t="n">
        <v>87.91</v>
      </c>
      <c r="BB342" s="1298" t="n">
        <v>237.652</v>
      </c>
      <c r="BC342" s="1298" t="n">
        <v>78.16500000000001</v>
      </c>
      <c r="BD342" s="1277">
        <f>BE342-SUM(BA342,BB342,BC342)</f>
        <v/>
      </c>
      <c r="BE342" s="1299" t="n">
        <v>479.984</v>
      </c>
      <c r="BF342" s="1298" t="n">
        <v>71.879</v>
      </c>
      <c r="BG342" s="1298" t="n">
        <v>203.256</v>
      </c>
      <c r="BH342" s="1298" t="n">
        <v>40.921</v>
      </c>
      <c r="BI342" s="1277">
        <f>BJ342-SUM(BF342,BG342,BH342)</f>
        <v/>
      </c>
      <c r="BJ342" s="1299" t="n">
        <v>566.879</v>
      </c>
      <c r="BK342" s="1298" t="n">
        <v>51.509</v>
      </c>
      <c r="BL342" s="1298" t="n">
        <v>412.043</v>
      </c>
      <c r="BM342" s="1298" t="n">
        <v>80.218</v>
      </c>
      <c r="BN342" s="1277" t="n"/>
      <c r="BO342" s="1382">
        <f>SUM(BK342,BL342,BM342,BN342)</f>
        <v/>
      </c>
      <c r="BP342" s="1277" t="n"/>
      <c r="BQ342" s="1277" t="n"/>
      <c r="BR342" s="1277" t="n"/>
      <c r="BS342" s="1277" t="n"/>
      <c r="BT342" s="1297" t="n"/>
      <c r="BU342" s="1277" t="n"/>
      <c r="BV342" s="1277" t="n"/>
      <c r="BW342" s="1277" t="n"/>
      <c r="BX342" s="1277" t="n"/>
      <c r="BY342" s="1297" t="n"/>
      <c r="BZ342" s="1297" t="n"/>
      <c r="CA342" s="1297" t="n"/>
      <c r="CB342" s="1297" t="n"/>
      <c r="CC342" s="1280" t="n"/>
    </row>
    <row r="343" hidden="1" outlineLevel="1" ht="14.4" customFormat="1" customHeight="1" s="1275">
      <c r="A343" s="1295" t="inlineStr">
        <is>
          <t>Impairment of financial assets</t>
        </is>
      </c>
      <c r="B343" s="1387" t="n"/>
      <c r="C343" s="1299" t="n">
        <v>-913.23</v>
      </c>
      <c r="D343" s="1299" t="n">
        <v>-159.798</v>
      </c>
      <c r="E343" s="1299" t="n">
        <v>-265.515</v>
      </c>
      <c r="F343" s="1297" t="n"/>
      <c r="G343" s="1297" t="n"/>
      <c r="H343" s="1277" t="n"/>
      <c r="I343" s="1277" t="n"/>
      <c r="J343" s="1277" t="n"/>
      <c r="K343" s="1280">
        <f>L343-H343-I343-J343</f>
        <v/>
      </c>
      <c r="L343" s="1297" t="n"/>
      <c r="M343" s="1277" t="n"/>
      <c r="N343" s="1277" t="n"/>
      <c r="O343" s="1277" t="n"/>
      <c r="P343" s="1280">
        <f>Q343-M343-N343-O343</f>
        <v/>
      </c>
      <c r="Q343" s="1297" t="n"/>
      <c r="R343" s="1277" t="n"/>
      <c r="S343" s="1277" t="n"/>
      <c r="T343" s="1277" t="n"/>
      <c r="U343" s="1280">
        <f>V343-R343-S343-T343</f>
        <v/>
      </c>
      <c r="V343" s="1297" t="n"/>
      <c r="W343" s="1277" t="n"/>
      <c r="X343" s="1277" t="n"/>
      <c r="Y343" s="1277" t="n"/>
      <c r="Z343" s="1280">
        <f>AA343-W343-X343-Y343</f>
        <v/>
      </c>
      <c r="AA343" s="1297" t="n"/>
      <c r="AB343" s="1277" t="n"/>
      <c r="AC343" s="1277" t="n"/>
      <c r="AD343" s="1277" t="n"/>
      <c r="AE343" s="1280">
        <f>AF343-SUM(AB343,AC343,AD343)</f>
        <v/>
      </c>
      <c r="AF343" s="1297" t="n"/>
      <c r="AG343" s="1277" t="n"/>
      <c r="AH343" s="1277" t="n"/>
      <c r="AI343" s="1277" t="n"/>
      <c r="AJ343" s="1277" t="n"/>
      <c r="AK343" s="1297" t="n"/>
      <c r="AL343" s="1277" t="n"/>
      <c r="AM343" s="1277" t="n"/>
      <c r="AN343" s="1277" t="n"/>
      <c r="AO343" s="1277" t="n"/>
      <c r="AP343" s="1297" t="n"/>
      <c r="AQ343" s="1277" t="n"/>
      <c r="AR343" s="1277" t="n"/>
      <c r="AS343" s="1277" t="n"/>
      <c r="AT343" s="1277" t="n"/>
      <c r="AU343" s="1297" t="n"/>
      <c r="AV343" s="1277" t="n"/>
      <c r="AW343" s="1277" t="n"/>
      <c r="AX343" s="1277" t="n"/>
      <c r="AY343" s="1277" t="n"/>
      <c r="AZ343" s="1297" t="n"/>
      <c r="BA343" s="1277" t="n"/>
      <c r="BB343" s="1277" t="n"/>
      <c r="BC343" s="1277" t="n"/>
      <c r="BD343" s="1277" t="n"/>
      <c r="BE343" s="1297" t="n"/>
      <c r="BF343" s="1277" t="n"/>
      <c r="BG343" s="1277" t="n"/>
      <c r="BH343" s="1277" t="n"/>
      <c r="BI343" s="1277" t="n"/>
      <c r="BJ343" s="1297" t="n"/>
      <c r="BK343" s="1277" t="n"/>
      <c r="BL343" s="1277" t="n"/>
      <c r="BM343" s="1277" t="n"/>
      <c r="BN343" s="1277" t="n"/>
      <c r="BO343" s="1382" t="n"/>
      <c r="BP343" s="1277" t="n"/>
      <c r="BQ343" s="1277" t="n"/>
      <c r="BR343" s="1277" t="n"/>
      <c r="BS343" s="1277" t="n"/>
      <c r="BT343" s="1297" t="n"/>
      <c r="BU343" s="1277" t="n"/>
      <c r="BV343" s="1277" t="n"/>
      <c r="BW343" s="1277" t="n"/>
      <c r="BX343" s="1277" t="n"/>
      <c r="BY343" s="1297" t="n"/>
      <c r="BZ343" s="1297" t="n"/>
      <c r="CA343" s="1297" t="n"/>
      <c r="CB343" s="1297" t="n"/>
      <c r="CC343" s="1280" t="n"/>
    </row>
    <row r="344" hidden="1" outlineLevel="1" ht="14.4" customFormat="1" customHeight="1" s="1275">
      <c r="A344" s="1295" t="inlineStr">
        <is>
          <t>Interest expense</t>
        </is>
      </c>
      <c r="B344" s="1387" t="n"/>
      <c r="C344" s="1299" t="n">
        <v>-391.479</v>
      </c>
      <c r="D344" s="1299" t="n">
        <v>-425.356</v>
      </c>
      <c r="E344" s="1299" t="n">
        <v>-626.725</v>
      </c>
      <c r="F344" s="1297" t="n"/>
      <c r="G344" s="1297" t="n"/>
      <c r="H344" s="1277" t="n"/>
      <c r="I344" s="1277" t="n"/>
      <c r="J344" s="1277" t="n"/>
      <c r="K344" s="1280">
        <f>L344-H344-I344-J344</f>
        <v/>
      </c>
      <c r="L344" s="1297" t="n"/>
      <c r="M344" s="1277" t="n"/>
      <c r="N344" s="1277" t="n"/>
      <c r="O344" s="1277" t="n"/>
      <c r="P344" s="1280">
        <f>Q344-M344-N344-O344</f>
        <v/>
      </c>
      <c r="Q344" s="1297" t="n"/>
      <c r="R344" s="1277" t="n"/>
      <c r="S344" s="1277" t="n"/>
      <c r="T344" s="1277" t="n"/>
      <c r="U344" s="1280">
        <f>V344-R344-S344-T344</f>
        <v/>
      </c>
      <c r="V344" s="1297" t="n"/>
      <c r="W344" s="1277" t="n"/>
      <c r="X344" s="1277" t="n"/>
      <c r="Y344" s="1277" t="n"/>
      <c r="Z344" s="1280">
        <f>AA344-W344-X344-Y344</f>
        <v/>
      </c>
      <c r="AA344" s="1297" t="n"/>
      <c r="AB344" s="1277" t="n"/>
      <c r="AC344" s="1277" t="n"/>
      <c r="AD344" s="1277" t="n"/>
      <c r="AE344" s="1280">
        <f>AF344-SUM(AB344,AC344,AD344)</f>
        <v/>
      </c>
      <c r="AF344" s="1297" t="n"/>
      <c r="AG344" s="1277" t="n"/>
      <c r="AH344" s="1277" t="n"/>
      <c r="AI344" s="1277" t="n"/>
      <c r="AJ344" s="1277" t="n"/>
      <c r="AK344" s="1297" t="n"/>
      <c r="AL344" s="1277" t="n"/>
      <c r="AM344" s="1277" t="n"/>
      <c r="AN344" s="1277" t="n"/>
      <c r="AO344" s="1277" t="n"/>
      <c r="AP344" s="1297" t="n"/>
      <c r="AQ344" s="1277" t="n"/>
      <c r="AR344" s="1277" t="n"/>
      <c r="AS344" s="1277" t="n"/>
      <c r="AT344" s="1277" t="n"/>
      <c r="AU344" s="1297" t="n"/>
      <c r="AV344" s="1277" t="n"/>
      <c r="AW344" s="1277" t="n"/>
      <c r="AX344" s="1277" t="n"/>
      <c r="AY344" s="1277" t="n"/>
      <c r="AZ344" s="1297" t="n"/>
      <c r="BA344" s="1277" t="n"/>
      <c r="BB344" s="1277" t="n"/>
      <c r="BC344" s="1277" t="n"/>
      <c r="BD344" s="1277" t="n"/>
      <c r="BE344" s="1297" t="n"/>
      <c r="BF344" s="1277" t="n"/>
      <c r="BG344" s="1277" t="n"/>
      <c r="BH344" s="1277" t="n"/>
      <c r="BI344" s="1277" t="n"/>
      <c r="BJ344" s="1297" t="n"/>
      <c r="BK344" s="1277" t="n"/>
      <c r="BL344" s="1277" t="n"/>
      <c r="BM344" s="1277" t="n"/>
      <c r="BN344" s="1277" t="n"/>
      <c r="BO344" s="1382" t="n"/>
      <c r="BP344" s="1277" t="n"/>
      <c r="BQ344" s="1277" t="n"/>
      <c r="BR344" s="1277" t="n"/>
      <c r="BS344" s="1277" t="n"/>
      <c r="BT344" s="1297" t="n"/>
      <c r="BU344" s="1277" t="n"/>
      <c r="BV344" s="1277" t="n"/>
      <c r="BW344" s="1277" t="n"/>
      <c r="BX344" s="1277" t="n"/>
      <c r="BY344" s="1297" t="n"/>
      <c r="BZ344" s="1297" t="n"/>
      <c r="CA344" s="1297" t="n"/>
      <c r="CB344" s="1297" t="n"/>
      <c r="CC344" s="1280" t="n"/>
    </row>
    <row r="345" hidden="1" outlineLevel="1" ht="14.4" customFormat="1" customHeight="1" s="1275">
      <c r="A345" s="1295" t="inlineStr">
        <is>
          <t>Impairment loss on idle assets</t>
        </is>
      </c>
      <c r="B345" s="1387" t="n"/>
      <c r="C345" s="1297" t="n"/>
      <c r="D345" s="1299" t="n">
        <v>-0.319</v>
      </c>
      <c r="E345" s="1299" t="n">
        <v>-98.009</v>
      </c>
      <c r="F345" s="1297" t="n"/>
      <c r="G345" s="1297" t="n"/>
      <c r="H345" s="1277" t="n"/>
      <c r="I345" s="1277" t="n"/>
      <c r="J345" s="1277" t="n"/>
      <c r="K345" s="1280">
        <f>L345-H345-I345-J345</f>
        <v/>
      </c>
      <c r="L345" s="1297" t="n"/>
      <c r="M345" s="1277" t="n"/>
      <c r="N345" s="1277" t="n"/>
      <c r="O345" s="1277" t="n"/>
      <c r="P345" s="1280">
        <f>Q345-M345-N345-O345</f>
        <v/>
      </c>
      <c r="Q345" s="1297" t="n"/>
      <c r="R345" s="1277" t="n"/>
      <c r="S345" s="1277" t="n"/>
      <c r="T345" s="1277" t="n"/>
      <c r="U345" s="1280">
        <f>V345-R345-S345-T345</f>
        <v/>
      </c>
      <c r="V345" s="1297" t="n"/>
      <c r="W345" s="1277" t="n"/>
      <c r="X345" s="1277" t="n"/>
      <c r="Y345" s="1277" t="n"/>
      <c r="Z345" s="1280">
        <f>AA345-W345-X345-Y345</f>
        <v/>
      </c>
      <c r="AA345" s="1297" t="n"/>
      <c r="AB345" s="1277" t="n"/>
      <c r="AC345" s="1277" t="n"/>
      <c r="AD345" s="1277" t="n"/>
      <c r="AE345" s="1280">
        <f>AF345-SUM(AB345,AC345,AD345)</f>
        <v/>
      </c>
      <c r="AF345" s="1297" t="n"/>
      <c r="AG345" s="1277" t="n"/>
      <c r="AH345" s="1277" t="n"/>
      <c r="AI345" s="1277" t="n"/>
      <c r="AJ345" s="1277" t="n"/>
      <c r="AK345" s="1297" t="n"/>
      <c r="AL345" s="1277" t="n"/>
      <c r="AM345" s="1277" t="n"/>
      <c r="AN345" s="1277" t="n"/>
      <c r="AO345" s="1277" t="n"/>
      <c r="AP345" s="1297" t="n"/>
      <c r="AQ345" s="1277" t="n"/>
      <c r="AR345" s="1277" t="n"/>
      <c r="AS345" s="1277" t="n"/>
      <c r="AT345" s="1277" t="n"/>
      <c r="AU345" s="1297" t="n"/>
      <c r="AV345" s="1277" t="n"/>
      <c r="AW345" s="1277" t="n"/>
      <c r="AX345" s="1277" t="n"/>
      <c r="AY345" s="1277" t="n"/>
      <c r="AZ345" s="1297" t="n"/>
      <c r="BA345" s="1277" t="n"/>
      <c r="BB345" s="1277" t="n"/>
      <c r="BC345" s="1277" t="n"/>
      <c r="BD345" s="1277" t="n"/>
      <c r="BE345" s="1297" t="n"/>
      <c r="BF345" s="1277" t="n"/>
      <c r="BG345" s="1277" t="n"/>
      <c r="BH345" s="1277" t="n"/>
      <c r="BI345" s="1277" t="n"/>
      <c r="BJ345" s="1297" t="n"/>
      <c r="BK345" s="1277" t="n"/>
      <c r="BL345" s="1277" t="n"/>
      <c r="BM345" s="1277" t="n"/>
      <c r="BN345" s="1277" t="n"/>
      <c r="BO345" s="1382" t="n"/>
      <c r="BP345" s="1277" t="n"/>
      <c r="BQ345" s="1277" t="n"/>
      <c r="BR345" s="1277" t="n"/>
      <c r="BS345" s="1277" t="n"/>
      <c r="BT345" s="1297" t="n"/>
      <c r="BU345" s="1277" t="n"/>
      <c r="BV345" s="1277" t="n"/>
      <c r="BW345" s="1277" t="n"/>
      <c r="BX345" s="1277" t="n"/>
      <c r="BY345" s="1297" t="n"/>
      <c r="BZ345" s="1297" t="n"/>
      <c r="CA345" s="1297" t="n"/>
      <c r="CB345" s="1297" t="n"/>
      <c r="CC345" s="1280" t="n"/>
    </row>
    <row r="346" hidden="1" outlineLevel="1" ht="14.4" customFormat="1" customHeight="1" s="1275">
      <c r="A346" s="1295" t="inlineStr">
        <is>
          <t>Loss on disposal of property, plant and equipment</t>
        </is>
      </c>
      <c r="B346" s="1387" t="n"/>
      <c r="C346" s="1297" t="n"/>
      <c r="D346" s="1299" t="n">
        <v>-849.254</v>
      </c>
      <c r="E346" s="1299" t="n">
        <v>-200.673</v>
      </c>
      <c r="F346" s="1297" t="n"/>
      <c r="G346" s="1297" t="n"/>
      <c r="H346" s="1277" t="n"/>
      <c r="I346" s="1277" t="n"/>
      <c r="J346" s="1277" t="n"/>
      <c r="K346" s="1280">
        <f>L346-H346-I346-J346</f>
        <v/>
      </c>
      <c r="L346" s="1297" t="n"/>
      <c r="M346" s="1277" t="n"/>
      <c r="N346" s="1277" t="n"/>
      <c r="O346" s="1277" t="n"/>
      <c r="P346" s="1280">
        <f>Q346-M346-N346-O346</f>
        <v/>
      </c>
      <c r="Q346" s="1297" t="n"/>
      <c r="R346" s="1277" t="n"/>
      <c r="S346" s="1277" t="n"/>
      <c r="T346" s="1277" t="n"/>
      <c r="U346" s="1280">
        <f>V346-R346-S346-T346</f>
        <v/>
      </c>
      <c r="V346" s="1297" t="n"/>
      <c r="W346" s="1277" t="n"/>
      <c r="X346" s="1277" t="n"/>
      <c r="Y346" s="1277" t="n"/>
      <c r="Z346" s="1280">
        <f>AA346-W346-X346-Y346</f>
        <v/>
      </c>
      <c r="AA346" s="1297" t="n"/>
      <c r="AB346" s="1277" t="n"/>
      <c r="AC346" s="1277" t="n"/>
      <c r="AD346" s="1277" t="n"/>
      <c r="AE346" s="1280">
        <f>AF346-SUM(AB346,AC346,AD346)</f>
        <v/>
      </c>
      <c r="AF346" s="1297" t="n"/>
      <c r="AG346" s="1277" t="n"/>
      <c r="AH346" s="1277" t="n"/>
      <c r="AI346" s="1277" t="n"/>
      <c r="AJ346" s="1277" t="n"/>
      <c r="AK346" s="1297" t="n"/>
      <c r="AL346" s="1277" t="n"/>
      <c r="AM346" s="1277" t="n"/>
      <c r="AN346" s="1277" t="n"/>
      <c r="AO346" s="1277" t="n"/>
      <c r="AP346" s="1297" t="n"/>
      <c r="AQ346" s="1277" t="n"/>
      <c r="AR346" s="1277" t="n"/>
      <c r="AS346" s="1277" t="n"/>
      <c r="AT346" s="1277" t="n"/>
      <c r="AU346" s="1297" t="n"/>
      <c r="AV346" s="1277" t="n"/>
      <c r="AW346" s="1277" t="n"/>
      <c r="AX346" s="1277" t="n"/>
      <c r="AY346" s="1277" t="n"/>
      <c r="AZ346" s="1297" t="n"/>
      <c r="BA346" s="1277" t="n"/>
      <c r="BB346" s="1277" t="n"/>
      <c r="BC346" s="1277" t="n"/>
      <c r="BD346" s="1277" t="n"/>
      <c r="BE346" s="1297" t="n"/>
      <c r="BF346" s="1277" t="n"/>
      <c r="BG346" s="1277" t="n"/>
      <c r="BH346" s="1277" t="n"/>
      <c r="BI346" s="1277" t="n"/>
      <c r="BJ346" s="1297" t="n"/>
      <c r="BK346" s="1277" t="n"/>
      <c r="BL346" s="1277" t="n"/>
      <c r="BM346" s="1277" t="n"/>
      <c r="BN346" s="1277" t="n"/>
      <c r="BO346" s="1382" t="n"/>
      <c r="BP346" s="1277" t="n"/>
      <c r="BQ346" s="1277" t="n"/>
      <c r="BR346" s="1277" t="n"/>
      <c r="BS346" s="1277" t="n"/>
      <c r="BT346" s="1297" t="n"/>
      <c r="BU346" s="1277" t="n"/>
      <c r="BV346" s="1277" t="n"/>
      <c r="BW346" s="1277" t="n"/>
      <c r="BX346" s="1277" t="n"/>
      <c r="BY346" s="1297" t="n"/>
      <c r="BZ346" s="1297" t="n"/>
      <c r="CA346" s="1297" t="n"/>
      <c r="CB346" s="1297" t="n"/>
      <c r="CC346" s="1280" t="n"/>
    </row>
    <row r="347" hidden="1" outlineLevel="1" ht="14.4" customFormat="1" customHeight="1" s="1275">
      <c r="A347" s="1384" t="inlineStr">
        <is>
          <t>Foreign exchange loss, net</t>
        </is>
      </c>
      <c r="B347" s="1387" t="n"/>
      <c r="C347" s="1299" t="n">
        <v>-626.971</v>
      </c>
      <c r="D347" s="1299" t="n">
        <v>-99.13</v>
      </c>
      <c r="E347" s="1299" t="n">
        <v>-185.555</v>
      </c>
      <c r="F347" s="1297" t="n"/>
      <c r="G347" s="1297" t="n"/>
      <c r="H347" s="1298" t="n">
        <v>-36.401</v>
      </c>
      <c r="I347" s="1298" t="n">
        <v>-355.207</v>
      </c>
      <c r="J347" s="1298" t="n">
        <v>1150.993</v>
      </c>
      <c r="K347" s="1277">
        <f>L347-H347-I347-J347</f>
        <v/>
      </c>
      <c r="L347" s="1299" t="n">
        <v>2111.31</v>
      </c>
      <c r="M347" s="1298" t="n">
        <v>48.183</v>
      </c>
      <c r="N347" s="1298" t="n">
        <v>-292.295</v>
      </c>
      <c r="O347" s="1298" t="n">
        <v>2571.011</v>
      </c>
      <c r="P347" s="1277">
        <f>Q347-M347-N347-O347</f>
        <v/>
      </c>
      <c r="Q347" s="1299" t="n">
        <v>2481.446</v>
      </c>
      <c r="R347" s="1298" t="n">
        <v>-1093.618</v>
      </c>
      <c r="S347" s="1298" t="n">
        <v>-807.218</v>
      </c>
      <c r="T347" s="1298" t="n">
        <v>-409.625</v>
      </c>
      <c r="U347" s="1277">
        <f>V347-R347-S347-T347</f>
        <v/>
      </c>
      <c r="V347" s="1299" t="n">
        <v>1161.322</v>
      </c>
      <c r="W347" s="1298" t="n">
        <v>99.795</v>
      </c>
      <c r="X347" s="1298" t="n">
        <v>-551.533</v>
      </c>
      <c r="Y347" s="1298" t="n">
        <v>-462.31</v>
      </c>
      <c r="Z347" s="1277">
        <f>AA347-W347-X347-Y347</f>
        <v/>
      </c>
      <c r="AA347" s="1299" t="n">
        <v>-1509.473</v>
      </c>
      <c r="AB347" s="1298" t="n">
        <v>-676.98</v>
      </c>
      <c r="AC347" s="1298" t="n">
        <v>2330.616</v>
      </c>
      <c r="AD347" s="1298" t="n">
        <v>444.202</v>
      </c>
      <c r="AE347" s="1277">
        <f>AF347-SUM(AB347,AC347,AD347)</f>
        <v/>
      </c>
      <c r="AF347" s="1299" t="n">
        <v>2438.171</v>
      </c>
      <c r="AG347" s="1298" t="n">
        <v>230.682</v>
      </c>
      <c r="AH347" s="1298" t="n">
        <v>-738.611</v>
      </c>
      <c r="AI347" s="1298" t="n">
        <v>1038.425</v>
      </c>
      <c r="AJ347" s="1277">
        <f>AK347-SUM(AG347,AH347,AI347)</f>
        <v/>
      </c>
      <c r="AK347" s="1299" t="n">
        <v>2095.217</v>
      </c>
      <c r="AL347" s="1298" t="n">
        <v>375.791</v>
      </c>
      <c r="AM347" s="1298" t="n">
        <v>2779.312</v>
      </c>
      <c r="AN347" s="1298" t="n">
        <v>-3549.939</v>
      </c>
      <c r="AO347" s="1277">
        <f>AP347-SUM(AL347,AM347,AN347)</f>
        <v/>
      </c>
      <c r="AP347" s="1299" t="n">
        <v>-3303.298</v>
      </c>
      <c r="AQ347" s="1298" t="n">
        <v>5473.989</v>
      </c>
      <c r="AR347" s="1298" t="n">
        <v>649.8819999999999</v>
      </c>
      <c r="AS347" s="1298" t="n">
        <v>3724.723</v>
      </c>
      <c r="AT347" s="1277">
        <f>AU347-SUM(AQ347,AR347,AS347)</f>
        <v/>
      </c>
      <c r="AU347" s="1299" t="n">
        <v>13662.655</v>
      </c>
      <c r="AV347" s="1298" t="n">
        <v>1742.888</v>
      </c>
      <c r="AW347" s="1298" t="n">
        <v>7864.798</v>
      </c>
      <c r="AX347" s="1298" t="n">
        <v>-3748.421</v>
      </c>
      <c r="AY347" s="1277">
        <f>AZ347-SUM(AV347,AW347,AX347)</f>
        <v/>
      </c>
      <c r="AZ347" s="1299" t="n">
        <v>4505.784</v>
      </c>
      <c r="BA347" s="1298" t="n">
        <v>-44.363</v>
      </c>
      <c r="BB347" s="1298" t="n">
        <v>-1002.814</v>
      </c>
      <c r="BC347" s="1298" t="n">
        <v>-791.543</v>
      </c>
      <c r="BD347" s="1277">
        <f>BE347-SUM(BA347,BB347,BC347)</f>
        <v/>
      </c>
      <c r="BE347" s="1299" t="n">
        <v>-2685.484</v>
      </c>
      <c r="BF347" s="1298" t="n">
        <v>3196.993</v>
      </c>
      <c r="BG347" s="1298" t="n">
        <v>2184.993</v>
      </c>
      <c r="BH347" s="1298" t="n">
        <v>202.642</v>
      </c>
      <c r="BI347" s="1277">
        <f>BJ347-SUM(BF347,BG347,BH347)</f>
        <v/>
      </c>
      <c r="BJ347" s="1299" t="n">
        <v>10000.653</v>
      </c>
      <c r="BK347" s="1298" t="n">
        <v>3538.319</v>
      </c>
      <c r="BL347" s="1298" t="n">
        <v>-4782.532</v>
      </c>
      <c r="BM347" s="1298" t="n">
        <v>6761.013</v>
      </c>
      <c r="BN347" s="1277" t="n"/>
      <c r="BO347" s="1382">
        <f>SUM(BK347,BL347,BM347,BN347)</f>
        <v/>
      </c>
      <c r="BP347" s="1277" t="n"/>
      <c r="BQ347" s="1277" t="n"/>
      <c r="BR347" s="1277" t="n"/>
      <c r="BS347" s="1277" t="n"/>
      <c r="BT347" s="1297" t="n"/>
      <c r="BU347" s="1277" t="n"/>
      <c r="BV347" s="1277" t="n"/>
      <c r="BW347" s="1277" t="n"/>
      <c r="BX347" s="1277" t="n"/>
      <c r="BY347" s="1297" t="n"/>
      <c r="BZ347" s="1297" t="n"/>
      <c r="CA347" s="1297" t="n"/>
      <c r="CB347" s="1297" t="n"/>
      <c r="CC347" s="1280" t="n"/>
    </row>
    <row r="348" hidden="1" outlineLevel="2" ht="14.4" customFormat="1" customHeight="1" s="1275">
      <c r="A348" s="1588" t="inlineStr">
        <is>
          <t>Interest on corporate bonds</t>
        </is>
      </c>
      <c r="B348" s="1387" t="n"/>
      <c r="C348" s="1297" t="n"/>
      <c r="D348" s="1297" t="n"/>
      <c r="E348" s="1297" t="n"/>
      <c r="F348" s="1297" t="n"/>
      <c r="G348" s="1297" t="n"/>
      <c r="H348" s="1277" t="n"/>
      <c r="I348" s="1277" t="n"/>
      <c r="J348" s="1277" t="n"/>
      <c r="K348" s="1277" t="n"/>
      <c r="L348" s="1297" t="n"/>
      <c r="M348" s="1277" t="n"/>
      <c r="N348" s="1277" t="n"/>
      <c r="O348" s="1277" t="n"/>
      <c r="P348" s="1277" t="n"/>
      <c r="Q348" s="1297" t="n"/>
      <c r="R348" s="1277" t="n"/>
      <c r="S348" s="1277" t="n"/>
      <c r="T348" s="1277" t="n"/>
      <c r="U348" s="1277" t="n"/>
      <c r="V348" s="1297" t="n"/>
      <c r="W348" s="1277" t="n"/>
      <c r="X348" s="1277" t="n"/>
      <c r="Y348" s="1277" t="n"/>
      <c r="Z348" s="1277" t="n"/>
      <c r="AA348" s="1297" t="n"/>
      <c r="AB348" s="1277" t="n"/>
      <c r="AC348" s="1277" t="n"/>
      <c r="AD348" s="1277" t="n"/>
      <c r="AE348" s="1277" t="n"/>
      <c r="AF348" s="1297" t="n"/>
      <c r="AG348" s="1277" t="n"/>
      <c r="AH348" s="1277" t="n"/>
      <c r="AI348" s="1277" t="n"/>
      <c r="AJ348" s="1277" t="n"/>
      <c r="AK348" s="1297" t="n"/>
      <c r="AL348" s="1277" t="n"/>
      <c r="AM348" s="1277" t="n"/>
      <c r="AN348" s="1277" t="n"/>
      <c r="AO348" s="1277" t="n"/>
      <c r="AP348" s="1297" t="n"/>
      <c r="AQ348" s="1277" t="n"/>
      <c r="AR348" s="1277" t="n"/>
      <c r="AS348" s="1277" t="n"/>
      <c r="AT348" s="1277" t="n"/>
      <c r="AU348" s="1297" t="n"/>
      <c r="AV348" s="1277" t="n"/>
      <c r="AW348" s="1277" t="n"/>
      <c r="AX348" s="1277" t="n"/>
      <c r="AY348" s="1277" t="n"/>
      <c r="AZ348" s="1297" t="n"/>
      <c r="BA348" s="1277" t="n"/>
      <c r="BB348" s="1277" t="n"/>
      <c r="BC348" s="1277" t="n"/>
      <c r="BD348" s="1277" t="n"/>
      <c r="BE348" s="1297" t="n"/>
      <c r="BF348" s="1277" t="n"/>
      <c r="BG348" s="1277" t="n"/>
      <c r="BH348" s="1277" t="n"/>
      <c r="BI348" s="1277" t="n"/>
      <c r="BJ348" s="1297" t="n"/>
      <c r="BK348" s="1277" t="n"/>
      <c r="BL348" s="1277" t="n"/>
      <c r="BM348" s="1277" t="n"/>
      <c r="BN348" s="1277" t="n"/>
      <c r="BO348" s="1382" t="n"/>
      <c r="BP348" s="1277" t="n"/>
      <c r="BQ348" s="1277" t="n"/>
      <c r="BR348" s="1277" t="n"/>
      <c r="BS348" s="1277" t="n"/>
      <c r="BT348" s="1297" t="n"/>
      <c r="BU348" s="1277" t="n"/>
      <c r="BV348" s="1277" t="n"/>
      <c r="BW348" s="1277" t="n"/>
      <c r="BX348" s="1277" t="n"/>
      <c r="BY348" s="1297" t="n"/>
      <c r="BZ348" s="1297" t="n"/>
      <c r="CA348" s="1297" t="n"/>
      <c r="CB348" s="1297" t="n"/>
      <c r="CC348" s="1280" t="n"/>
    </row>
    <row r="349" hidden="1" outlineLevel="2" ht="14.4" customFormat="1" customHeight="1" s="1275">
      <c r="A349" s="1588" t="inlineStr">
        <is>
          <t>Interest on lease liabilities</t>
        </is>
      </c>
      <c r="B349" s="1387" t="n"/>
      <c r="C349" s="1297" t="n"/>
      <c r="D349" s="1297" t="n"/>
      <c r="E349" s="1297" t="n"/>
      <c r="F349" s="1297" t="n"/>
      <c r="G349" s="1297" t="n"/>
      <c r="H349" s="1277" t="n"/>
      <c r="I349" s="1277" t="n"/>
      <c r="J349" s="1277" t="n"/>
      <c r="K349" s="1277" t="n"/>
      <c r="L349" s="1297" t="n"/>
      <c r="M349" s="1277" t="n"/>
      <c r="N349" s="1277" t="n"/>
      <c r="O349" s="1277" t="n"/>
      <c r="P349" s="1277" t="n"/>
      <c r="Q349" s="1297" t="n"/>
      <c r="R349" s="1277" t="n"/>
      <c r="S349" s="1277" t="n"/>
      <c r="T349" s="1277" t="n"/>
      <c r="U349" s="1277" t="n"/>
      <c r="V349" s="1297" t="n"/>
      <c r="W349" s="1277" t="n"/>
      <c r="X349" s="1277" t="n"/>
      <c r="Y349" s="1277" t="n"/>
      <c r="Z349" s="1277" t="n"/>
      <c r="AA349" s="1297" t="n"/>
      <c r="AB349" s="1277" t="n"/>
      <c r="AC349" s="1277" t="n"/>
      <c r="AD349" s="1277" t="n"/>
      <c r="AE349" s="1277" t="n"/>
      <c r="AF349" s="1297" t="n"/>
      <c r="AG349" s="1277" t="n"/>
      <c r="AH349" s="1277" t="n"/>
      <c r="AI349" s="1277" t="n"/>
      <c r="AJ349" s="1277" t="n"/>
      <c r="AK349" s="1297" t="n"/>
      <c r="AL349" s="1277" t="n"/>
      <c r="AM349" s="1277" t="n"/>
      <c r="AN349" s="1277" t="n"/>
      <c r="AO349" s="1277" t="n"/>
      <c r="AP349" s="1297" t="n"/>
      <c r="AQ349" s="1277" t="n"/>
      <c r="AR349" s="1277" t="n"/>
      <c r="AS349" s="1277" t="n"/>
      <c r="AT349" s="1277" t="n"/>
      <c r="AU349" s="1297" t="n"/>
      <c r="AV349" s="1277" t="n"/>
      <c r="AW349" s="1277" t="n"/>
      <c r="AX349" s="1277" t="n"/>
      <c r="AY349" s="1277" t="n"/>
      <c r="AZ349" s="1297" t="n"/>
      <c r="BA349" s="1277" t="n"/>
      <c r="BB349" s="1277" t="n"/>
      <c r="BC349" s="1277" t="n"/>
      <c r="BD349" s="1277" t="n"/>
      <c r="BE349" s="1297" t="n"/>
      <c r="BF349" s="1277" t="n"/>
      <c r="BG349" s="1277" t="n"/>
      <c r="BH349" s="1277" t="n"/>
      <c r="BI349" s="1277" t="n"/>
      <c r="BJ349" s="1297" t="n"/>
      <c r="BK349" s="1277" t="n"/>
      <c r="BL349" s="1277" t="n"/>
      <c r="BM349" s="1277" t="n"/>
      <c r="BN349" s="1277" t="n"/>
      <c r="BO349" s="1382" t="n"/>
      <c r="BP349" s="1277" t="n"/>
      <c r="BQ349" s="1277" t="n"/>
      <c r="BR349" s="1277" t="n"/>
      <c r="BS349" s="1277" t="n"/>
      <c r="BT349" s="1297" t="n"/>
      <c r="BU349" s="1277" t="n"/>
      <c r="BV349" s="1277" t="n"/>
      <c r="BW349" s="1277" t="n"/>
      <c r="BX349" s="1277" t="n"/>
      <c r="BY349" s="1297" t="n"/>
      <c r="BZ349" s="1297" t="n"/>
      <c r="CA349" s="1297" t="n"/>
      <c r="CB349" s="1297" t="n"/>
      <c r="CC349" s="1280" t="n"/>
    </row>
    <row r="350" hidden="1" outlineLevel="2" ht="14.4" customFormat="1" customHeight="1" s="1275">
      <c r="A350" s="1588" t="inlineStr">
        <is>
          <t>Interest on bank loans</t>
        </is>
      </c>
      <c r="B350" s="1387" t="n"/>
      <c r="C350" s="1297" t="n"/>
      <c r="D350" s="1297" t="n"/>
      <c r="E350" s="1297" t="n"/>
      <c r="F350" s="1297" t="n"/>
      <c r="G350" s="1297" t="n"/>
      <c r="H350" s="1277" t="n"/>
      <c r="I350" s="1277" t="n"/>
      <c r="J350" s="1277" t="n"/>
      <c r="K350" s="1277" t="n"/>
      <c r="L350" s="1297" t="n"/>
      <c r="M350" s="1277" t="n"/>
      <c r="N350" s="1277" t="n"/>
      <c r="O350" s="1277" t="n"/>
      <c r="P350" s="1277" t="n"/>
      <c r="Q350" s="1297" t="n"/>
      <c r="R350" s="1277" t="n"/>
      <c r="S350" s="1277" t="n"/>
      <c r="T350" s="1277" t="n"/>
      <c r="U350" s="1277" t="n"/>
      <c r="V350" s="1297" t="n"/>
      <c r="W350" s="1277" t="n"/>
      <c r="X350" s="1277" t="n"/>
      <c r="Y350" s="1277" t="n"/>
      <c r="Z350" s="1277" t="n"/>
      <c r="AA350" s="1297" t="n"/>
      <c r="AB350" s="1277" t="n"/>
      <c r="AC350" s="1277" t="n"/>
      <c r="AD350" s="1277" t="n"/>
      <c r="AE350" s="1277" t="n"/>
      <c r="AF350" s="1297" t="n"/>
      <c r="AG350" s="1277" t="n"/>
      <c r="AH350" s="1277" t="n"/>
      <c r="AI350" s="1277" t="n"/>
      <c r="AJ350" s="1277" t="n"/>
      <c r="AK350" s="1297" t="n"/>
      <c r="AL350" s="1277" t="n"/>
      <c r="AM350" s="1277" t="n"/>
      <c r="AN350" s="1277" t="n"/>
      <c r="AO350" s="1277" t="n"/>
      <c r="AP350" s="1297" t="n"/>
      <c r="AQ350" s="1277" t="n"/>
      <c r="AR350" s="1277" t="n"/>
      <c r="AS350" s="1277" t="n"/>
      <c r="AT350" s="1277" t="n"/>
      <c r="AU350" s="1297" t="n"/>
      <c r="AV350" s="1277" t="n"/>
      <c r="AW350" s="1277" t="n"/>
      <c r="AX350" s="1277" t="n"/>
      <c r="AY350" s="1277" t="n"/>
      <c r="AZ350" s="1297" t="n"/>
      <c r="BA350" s="1277" t="n"/>
      <c r="BB350" s="1277" t="n"/>
      <c r="BC350" s="1277" t="n"/>
      <c r="BD350" s="1277" t="n"/>
      <c r="BE350" s="1297" t="n"/>
      <c r="BF350" s="1277" t="n"/>
      <c r="BG350" s="1277" t="n"/>
      <c r="BH350" s="1277" t="n"/>
      <c r="BI350" s="1277" t="n"/>
      <c r="BJ350" s="1297" t="n"/>
      <c r="BK350" s="1277" t="n"/>
      <c r="BL350" s="1277" t="n"/>
      <c r="BM350" s="1277" t="n"/>
      <c r="BN350" s="1277" t="n"/>
      <c r="BO350" s="1382" t="n"/>
      <c r="BP350" s="1277" t="n"/>
      <c r="BQ350" s="1277" t="n"/>
      <c r="BR350" s="1277" t="n"/>
      <c r="BS350" s="1277" t="n"/>
      <c r="BT350" s="1297" t="n"/>
      <c r="BU350" s="1277" t="n"/>
      <c r="BV350" s="1277" t="n"/>
      <c r="BW350" s="1277" t="n"/>
      <c r="BX350" s="1277" t="n"/>
      <c r="BY350" s="1297" t="n"/>
      <c r="BZ350" s="1297" t="n"/>
      <c r="CA350" s="1297" t="n"/>
      <c r="CB350" s="1297" t="n"/>
      <c r="CC350" s="1280" t="n"/>
    </row>
    <row r="351" hidden="1" outlineLevel="2" ht="14.4" customFormat="1" customHeight="1" s="1275">
      <c r="A351" s="1589" t="inlineStr">
        <is>
          <t>Other interest</t>
        </is>
      </c>
      <c r="B351" s="1389" t="n"/>
      <c r="C351" s="1364" t="n"/>
      <c r="D351" s="1364" t="n"/>
      <c r="E351" s="1364" t="n"/>
      <c r="F351" s="1364" t="n"/>
      <c r="G351" s="1364" t="n"/>
      <c r="H351" s="1365" t="n"/>
      <c r="I351" s="1365" t="n"/>
      <c r="J351" s="1365" t="n"/>
      <c r="K351" s="1365" t="n"/>
      <c r="L351" s="1364" t="n"/>
      <c r="M351" s="1365" t="n"/>
      <c r="N351" s="1365" t="n"/>
      <c r="O351" s="1365" t="n"/>
      <c r="P351" s="1365" t="n"/>
      <c r="Q351" s="1364" t="n"/>
      <c r="R351" s="1365" t="n"/>
      <c r="S351" s="1365" t="n"/>
      <c r="T351" s="1365" t="n"/>
      <c r="U351" s="1365" t="n"/>
      <c r="V351" s="1364" t="n"/>
      <c r="W351" s="1365" t="n"/>
      <c r="X351" s="1365" t="n"/>
      <c r="Y351" s="1365" t="n"/>
      <c r="Z351" s="1365" t="n"/>
      <c r="AA351" s="1364" t="n"/>
      <c r="AB351" s="1365" t="n"/>
      <c r="AC351" s="1365" t="n"/>
      <c r="AD351" s="1365" t="n"/>
      <c r="AE351" s="1365" t="n"/>
      <c r="AF351" s="1364" t="n"/>
      <c r="AG351" s="1365" t="n"/>
      <c r="AH351" s="1365" t="n"/>
      <c r="AI351" s="1365" t="n"/>
      <c r="AJ351" s="1365" t="n"/>
      <c r="AK351" s="1364" t="n"/>
      <c r="AL351" s="1365" t="n"/>
      <c r="AM351" s="1365" t="n"/>
      <c r="AN351" s="1365" t="n"/>
      <c r="AO351" s="1365" t="n"/>
      <c r="AP351" s="1364" t="n"/>
      <c r="AQ351" s="1365" t="n"/>
      <c r="AR351" s="1365" t="n"/>
      <c r="AS351" s="1365" t="n"/>
      <c r="AT351" s="1365" t="n"/>
      <c r="AU351" s="1364" t="n"/>
      <c r="AV351" s="1365" t="n"/>
      <c r="AW351" s="1365" t="n"/>
      <c r="AX351" s="1365" t="n"/>
      <c r="AY351" s="1365" t="n"/>
      <c r="AZ351" s="1364" t="n"/>
      <c r="BA351" s="1365" t="n"/>
      <c r="BB351" s="1365" t="n"/>
      <c r="BC351" s="1365" t="n"/>
      <c r="BD351" s="1365" t="n"/>
      <c r="BE351" s="1364" t="n"/>
      <c r="BF351" s="1365" t="n"/>
      <c r="BG351" s="1365" t="n"/>
      <c r="BH351" s="1365" t="n"/>
      <c r="BI351" s="1365" t="n"/>
      <c r="BJ351" s="1364" t="n"/>
      <c r="BK351" s="1365" t="n"/>
      <c r="BL351" s="1365" t="n"/>
      <c r="BM351" s="1365" t="n"/>
      <c r="BN351" s="1365" t="n"/>
      <c r="BO351" s="1366" t="n"/>
      <c r="BP351" s="1365" t="n"/>
      <c r="BQ351" s="1365" t="n"/>
      <c r="BR351" s="1365" t="n"/>
      <c r="BS351" s="1365" t="n"/>
      <c r="BT351" s="1364" t="n"/>
      <c r="BU351" s="1365" t="n"/>
      <c r="BV351" s="1365" t="n"/>
      <c r="BW351" s="1365" t="n"/>
      <c r="BX351" s="1365" t="n"/>
      <c r="BY351" s="1364" t="n"/>
      <c r="BZ351" s="1364" t="n"/>
      <c r="CA351" s="1364" t="n"/>
      <c r="CB351" s="1364" t="n"/>
      <c r="CC351" s="1280" t="n"/>
    </row>
    <row r="352" hidden="1" outlineLevel="2" ht="14.4" customFormat="1" customHeight="1" s="1275">
      <c r="A352" s="1590" t="inlineStr">
        <is>
          <t>Interest expense</t>
        </is>
      </c>
      <c r="B352" s="1387" t="n"/>
      <c r="C352" s="1297" t="n"/>
      <c r="D352" s="1297" t="n"/>
      <c r="E352" s="1297" t="n"/>
      <c r="F352" s="1297" t="n"/>
      <c r="G352" s="1297" t="n"/>
      <c r="H352" s="1277" t="n"/>
      <c r="I352" s="1277" t="n"/>
      <c r="J352" s="1277" t="n"/>
      <c r="K352" s="1277" t="n"/>
      <c r="L352" s="1297" t="n"/>
      <c r="M352" s="1277" t="n"/>
      <c r="N352" s="1277" t="n"/>
      <c r="O352" s="1277" t="n"/>
      <c r="P352" s="1277" t="n"/>
      <c r="Q352" s="1297" t="n"/>
      <c r="R352" s="1277" t="n"/>
      <c r="S352" s="1277" t="n"/>
      <c r="T352" s="1277" t="n"/>
      <c r="U352" s="1277" t="n"/>
      <c r="V352" s="1297" t="n"/>
      <c r="W352" s="1277" t="n"/>
      <c r="X352" s="1277" t="n"/>
      <c r="Y352" s="1277" t="n"/>
      <c r="Z352" s="1277" t="n"/>
      <c r="AA352" s="1297" t="n"/>
      <c r="AB352" s="1277" t="n"/>
      <c r="AC352" s="1277" t="n"/>
      <c r="AD352" s="1277" t="n"/>
      <c r="AE352" s="1277" t="n"/>
      <c r="AF352" s="1297" t="n"/>
      <c r="AG352" s="1277" t="n"/>
      <c r="AH352" s="1277" t="n"/>
      <c r="AI352" s="1277" t="n"/>
      <c r="AJ352" s="1277" t="n"/>
      <c r="AK352" s="1297" t="n"/>
      <c r="AL352" s="1277" t="n"/>
      <c r="AM352" s="1277" t="n"/>
      <c r="AN352" s="1277" t="n"/>
      <c r="AO352" s="1277" t="n"/>
      <c r="AP352" s="1297" t="n"/>
      <c r="AQ352" s="1277" t="n"/>
      <c r="AR352" s="1277" t="n"/>
      <c r="AS352" s="1277" t="n"/>
      <c r="AT352" s="1277" t="n"/>
      <c r="AU352" s="1297" t="n"/>
      <c r="AV352" s="1277" t="n"/>
      <c r="AW352" s="1277" t="n"/>
      <c r="AX352" s="1277" t="n"/>
      <c r="AY352" s="1277" t="n"/>
      <c r="AZ352" s="1297" t="n"/>
      <c r="BA352" s="1277" t="n"/>
      <c r="BB352" s="1277" t="n"/>
      <c r="BC352" s="1277" t="n"/>
      <c r="BD352" s="1277" t="n"/>
      <c r="BE352" s="1297" t="n"/>
      <c r="BF352" s="1277" t="n"/>
      <c r="BG352" s="1277" t="n"/>
      <c r="BH352" s="1277" t="n"/>
      <c r="BI352" s="1277" t="n"/>
      <c r="BJ352" s="1297" t="n"/>
      <c r="BK352" s="1277" t="n"/>
      <c r="BL352" s="1277" t="n"/>
      <c r="BM352" s="1277" t="n"/>
      <c r="BN352" s="1277" t="n"/>
      <c r="BO352" s="1382" t="n"/>
      <c r="BP352" s="1277" t="n"/>
      <c r="BQ352" s="1277" t="n"/>
      <c r="BR352" s="1277" t="n"/>
      <c r="BS352" s="1277" t="n"/>
      <c r="BT352" s="1297" t="n"/>
      <c r="BU352" s="1277" t="n"/>
      <c r="BV352" s="1277" t="n"/>
      <c r="BW352" s="1277" t="n"/>
      <c r="BX352" s="1277" t="n"/>
      <c r="BY352" s="1297" t="n"/>
      <c r="BZ352" s="1297" t="n"/>
      <c r="CA352" s="1297" t="n"/>
      <c r="CB352" s="1297" t="n"/>
      <c r="CC352" s="1280" t="n"/>
    </row>
    <row r="353" hidden="1" outlineLevel="2" ht="14.4" customFormat="1" customHeight="1" s="1275">
      <c r="A353" s="1591" t="inlineStr">
        <is>
          <t>Capitalized interest under PP&amp;E</t>
        </is>
      </c>
      <c r="B353" s="1389" t="n"/>
      <c r="C353" s="1364" t="n"/>
      <c r="D353" s="1364" t="n"/>
      <c r="E353" s="1364" t="n"/>
      <c r="F353" s="1364" t="n"/>
      <c r="G353" s="1364" t="n"/>
      <c r="H353" s="1365" t="n"/>
      <c r="I353" s="1365" t="n"/>
      <c r="J353" s="1365" t="n"/>
      <c r="K353" s="1365" t="n"/>
      <c r="L353" s="1364" t="n"/>
      <c r="M353" s="1365" t="n"/>
      <c r="N353" s="1365" t="n"/>
      <c r="O353" s="1365" t="n"/>
      <c r="P353" s="1365" t="n"/>
      <c r="Q353" s="1364" t="n"/>
      <c r="R353" s="1365" t="n"/>
      <c r="S353" s="1365" t="n"/>
      <c r="T353" s="1365" t="n"/>
      <c r="U353" s="1365" t="n"/>
      <c r="V353" s="1364" t="n"/>
      <c r="W353" s="1365" t="n"/>
      <c r="X353" s="1365" t="n"/>
      <c r="Y353" s="1365" t="n"/>
      <c r="Z353" s="1365" t="n"/>
      <c r="AA353" s="1364" t="n"/>
      <c r="AB353" s="1365" t="n"/>
      <c r="AC353" s="1365" t="n"/>
      <c r="AD353" s="1365" t="n"/>
      <c r="AE353" s="1365" t="n"/>
      <c r="AF353" s="1364" t="n"/>
      <c r="AG353" s="1365" t="n"/>
      <c r="AH353" s="1365" t="n"/>
      <c r="AI353" s="1365" t="n"/>
      <c r="AJ353" s="1365" t="n"/>
      <c r="AK353" s="1364" t="n"/>
      <c r="AL353" s="1365" t="n"/>
      <c r="AM353" s="1365" t="n"/>
      <c r="AN353" s="1365" t="n"/>
      <c r="AO353" s="1365" t="n"/>
      <c r="AP353" s="1364" t="n"/>
      <c r="AQ353" s="1365" t="n"/>
      <c r="AR353" s="1365" t="n"/>
      <c r="AS353" s="1365" t="n"/>
      <c r="AT353" s="1365" t="n"/>
      <c r="AU353" s="1364" t="n"/>
      <c r="AV353" s="1365" t="n"/>
      <c r="AW353" s="1365" t="n"/>
      <c r="AX353" s="1365" t="n"/>
      <c r="AY353" s="1365" t="n"/>
      <c r="AZ353" s="1364" t="n"/>
      <c r="BA353" s="1365" t="n"/>
      <c r="BB353" s="1365" t="n"/>
      <c r="BC353" s="1365" t="n"/>
      <c r="BD353" s="1365" t="n"/>
      <c r="BE353" s="1364" t="n"/>
      <c r="BF353" s="1365" t="n"/>
      <c r="BG353" s="1277" t="n"/>
      <c r="BH353" s="1365" t="n"/>
      <c r="BI353" s="1365" t="n"/>
      <c r="BJ353" s="1364" t="n"/>
      <c r="BK353" s="1365" t="n"/>
      <c r="BL353" s="1277" t="n"/>
      <c r="BM353" s="1365" t="n"/>
      <c r="BN353" s="1365" t="n"/>
      <c r="BO353" s="1366" t="n"/>
      <c r="BP353" s="1365" t="n"/>
      <c r="BQ353" s="1365" t="n"/>
      <c r="BR353" s="1365" t="n"/>
      <c r="BS353" s="1365" t="n"/>
      <c r="BT353" s="1364" t="n"/>
      <c r="BU353" s="1365" t="n"/>
      <c r="BV353" s="1365" t="n"/>
      <c r="BW353" s="1365" t="n"/>
      <c r="BX353" s="1365" t="n"/>
      <c r="BY353" s="1364" t="n"/>
      <c r="BZ353" s="1364" t="n"/>
      <c r="CA353" s="1364" t="n"/>
      <c r="CB353" s="1364" t="n"/>
      <c r="CC353" s="1280" t="n"/>
    </row>
    <row r="354" hidden="1" outlineLevel="1" collapsed="1" ht="14.4" customFormat="1" customHeight="1" s="1275">
      <c r="A354" s="1384" t="inlineStr">
        <is>
          <t>Finance costs</t>
        </is>
      </c>
      <c r="B354" s="1387" t="n"/>
      <c r="C354" s="1299" t="n">
        <v>0</v>
      </c>
      <c r="D354" s="1299" t="n">
        <v>0</v>
      </c>
      <c r="E354" s="1299" t="n">
        <v>0</v>
      </c>
      <c r="F354" s="1299" t="n">
        <v>-1020.422</v>
      </c>
      <c r="G354" s="1299" t="n">
        <v>-2646.776</v>
      </c>
      <c r="H354" s="1298" t="n">
        <v>-796.58</v>
      </c>
      <c r="I354" s="1298" t="n">
        <v>-801.45</v>
      </c>
      <c r="J354" s="1298" t="n">
        <v>-816.054</v>
      </c>
      <c r="K354" s="1277">
        <f>L354-H354-I354-J354</f>
        <v/>
      </c>
      <c r="L354" s="1299" t="n">
        <v>-3236.345</v>
      </c>
      <c r="M354" s="1298" t="n">
        <v>-793.942</v>
      </c>
      <c r="N354" s="1298" t="n">
        <v>-783.401</v>
      </c>
      <c r="O354" s="1298" t="n">
        <v>-792.941</v>
      </c>
      <c r="P354" s="1277">
        <f>Q354-M354-N354-O354</f>
        <v/>
      </c>
      <c r="Q354" s="1299" t="n">
        <v>-3190.331</v>
      </c>
      <c r="R354" s="1298" t="n">
        <v>-850.58</v>
      </c>
      <c r="S354" s="1298" t="n">
        <v>-821.425</v>
      </c>
      <c r="T354" s="1298" t="n">
        <v>-822.667</v>
      </c>
      <c r="U354" s="1277">
        <f>V354-R354-S354-T354</f>
        <v/>
      </c>
      <c r="V354" s="1299" t="n">
        <v>-3306.153</v>
      </c>
      <c r="W354" s="1298" t="n">
        <v>-816.664</v>
      </c>
      <c r="X354" s="1298" t="n">
        <v>-839.913</v>
      </c>
      <c r="Y354" s="1298" t="n">
        <v>-843.2140000000001</v>
      </c>
      <c r="Z354" s="1277">
        <f>AA354-W354-X354-Y354</f>
        <v/>
      </c>
      <c r="AA354" s="1299" t="n">
        <v>-3330.313</v>
      </c>
      <c r="AB354" s="1298" t="n">
        <v>-807.966</v>
      </c>
      <c r="AC354" s="1298" t="n">
        <v>-628.284</v>
      </c>
      <c r="AD354" s="1298" t="n">
        <v>-739.068</v>
      </c>
      <c r="AE354" s="1277">
        <f>AF354-SUM(AB354,AC354,AD354)</f>
        <v/>
      </c>
      <c r="AF354" s="1299" t="n">
        <v>-3051.223</v>
      </c>
      <c r="AG354" s="1298" t="n">
        <v>-899.0650000000001</v>
      </c>
      <c r="AH354" s="1298" t="n">
        <v>-864.751</v>
      </c>
      <c r="AI354" s="1298" t="n">
        <v>-843.434</v>
      </c>
      <c r="AJ354" s="1277">
        <f>AK354-SUM(AG354,AH354,AI354)</f>
        <v/>
      </c>
      <c r="AK354" s="1299" t="n">
        <v>-3250.847</v>
      </c>
      <c r="AL354" s="1298" t="n">
        <v>-530.564</v>
      </c>
      <c r="AM354" s="1298" t="n">
        <v>-409.145</v>
      </c>
      <c r="AN354" s="1298" t="n">
        <v>-373.164</v>
      </c>
      <c r="AO354" s="1277">
        <f>AP354-SUM(AL354,AM354,AN354)</f>
        <v/>
      </c>
      <c r="AP354" s="1299" t="n">
        <v>-2081.455</v>
      </c>
      <c r="AQ354" s="1298" t="n">
        <v>-772.095</v>
      </c>
      <c r="AR354" s="1298" t="n">
        <v>-1134.399</v>
      </c>
      <c r="AS354" s="1298" t="n">
        <v>-1334.063</v>
      </c>
      <c r="AT354" s="1277">
        <f>AU354-SUM(AQ354,AR354,AS354)</f>
        <v/>
      </c>
      <c r="AU354" s="1299" t="n">
        <v>-5414.218</v>
      </c>
      <c r="AV354" s="1298" t="n">
        <v>-2140.766</v>
      </c>
      <c r="AW354" s="1298" t="n">
        <v>-2904.231</v>
      </c>
      <c r="AX354" s="1298" t="n">
        <v>-3370.018</v>
      </c>
      <c r="AY354" s="1277">
        <f>AZ354-SUM(AV354,AW354,AX354)</f>
        <v/>
      </c>
      <c r="AZ354" s="1299" t="n">
        <v>-11749.984</v>
      </c>
      <c r="BA354" s="1298" t="n">
        <v>-2963.686</v>
      </c>
      <c r="BB354" s="1298" t="n">
        <v>-3005.155</v>
      </c>
      <c r="BC354" s="1298" t="n">
        <v>-3111.922</v>
      </c>
      <c r="BD354" s="1277">
        <f>BE354-SUM(BA354,BB354,BC354)</f>
        <v/>
      </c>
      <c r="BE354" s="1299" t="n">
        <v>-11999.36</v>
      </c>
      <c r="BF354" s="1298" t="n">
        <v>-2698.255</v>
      </c>
      <c r="BG354" s="1592" t="n">
        <v>-2638.14</v>
      </c>
      <c r="BH354" s="1298" t="n">
        <v>-2635.79</v>
      </c>
      <c r="BI354" s="1280">
        <f>BJ354-SUM(BF354,BG354,BH354)</f>
        <v/>
      </c>
      <c r="BJ354" s="1299" t="n">
        <v>-10495.32</v>
      </c>
      <c r="BK354" s="1298" t="n">
        <v>-2677.274</v>
      </c>
      <c r="BL354" s="1592" t="n">
        <v>-3691.095</v>
      </c>
      <c r="BM354" s="1298" t="n">
        <v>-2958.568</v>
      </c>
      <c r="BN354" s="1298" t="n">
        <v>-3000</v>
      </c>
      <c r="BO354" s="1382">
        <f>SUM(BK354,BL354,BM354,BN354)</f>
        <v/>
      </c>
      <c r="BP354" s="1277" t="n"/>
      <c r="BQ354" s="1277" t="n"/>
      <c r="BR354" s="1277" t="n"/>
      <c r="BS354" s="1277" t="n"/>
      <c r="BT354" s="1297" t="n"/>
      <c r="BU354" s="1277" t="n"/>
      <c r="BV354" s="1277" t="n"/>
      <c r="BW354" s="1277" t="n"/>
      <c r="BX354" s="1277" t="n"/>
      <c r="BY354" s="1297" t="n"/>
      <c r="BZ354" s="1297" t="n"/>
      <c r="CA354" s="1297" t="n"/>
      <c r="CB354" s="1297" t="n"/>
      <c r="CC354" s="1280" t="n"/>
    </row>
    <row r="355" hidden="1" outlineLevel="1" ht="14.4" customFormat="1" customHeight="1" s="1275">
      <c r="A355" s="1295" t="inlineStr">
        <is>
          <t>Casualty loss</t>
        </is>
      </c>
      <c r="B355" s="1387" t="n"/>
      <c r="C355" s="1299" t="n">
        <v>0</v>
      </c>
      <c r="D355" s="1299" t="n">
        <v>-190.992</v>
      </c>
      <c r="E355" s="1299" t="n">
        <v>0</v>
      </c>
      <c r="F355" s="1297" t="n"/>
      <c r="G355" s="1297" t="n"/>
      <c r="H355" s="1277" t="n"/>
      <c r="I355" s="1277" t="n"/>
      <c r="J355" s="1277" t="n"/>
      <c r="K355" s="1280">
        <f>L355-H355-I355-J355</f>
        <v/>
      </c>
      <c r="L355" s="1297" t="n"/>
      <c r="M355" s="1277" t="n"/>
      <c r="N355" s="1277" t="n"/>
      <c r="O355" s="1277" t="n"/>
      <c r="P355" s="1280">
        <f>Q355-M355-N355-O355</f>
        <v/>
      </c>
      <c r="Q355" s="1297" t="n"/>
      <c r="R355" s="1277" t="n"/>
      <c r="S355" s="1277" t="n"/>
      <c r="T355" s="1277" t="n"/>
      <c r="U355" s="1280">
        <f>V355-R355-S355-T355</f>
        <v/>
      </c>
      <c r="V355" s="1297" t="n"/>
      <c r="W355" s="1277" t="n"/>
      <c r="X355" s="1277" t="n"/>
      <c r="Y355" s="1277" t="n"/>
      <c r="Z355" s="1280">
        <f>AA355-W355-X355-Y355</f>
        <v/>
      </c>
      <c r="AA355" s="1297" t="n"/>
      <c r="AB355" s="1277" t="n"/>
      <c r="AC355" s="1277" t="n"/>
      <c r="AD355" s="1277" t="n"/>
      <c r="AE355" s="1280">
        <f>AF355-SUM(AB355,AC355,AD355)</f>
        <v/>
      </c>
      <c r="AF355" s="1297" t="n"/>
      <c r="AG355" s="1277" t="n"/>
      <c r="AH355" s="1277" t="n"/>
      <c r="AI355" s="1277" t="n"/>
      <c r="AJ355" s="1277" t="n"/>
      <c r="AK355" s="1297" t="n"/>
      <c r="AL355" s="1277" t="n"/>
      <c r="AM355" s="1277" t="n"/>
      <c r="AN355" s="1277" t="n"/>
      <c r="AO355" s="1277" t="n"/>
      <c r="AP355" s="1297" t="n"/>
      <c r="AQ355" s="1277" t="n"/>
      <c r="AR355" s="1277" t="n"/>
      <c r="AS355" s="1277" t="n"/>
      <c r="AT355" s="1277" t="n"/>
      <c r="AU355" s="1297" t="n"/>
      <c r="AV355" s="1277" t="n"/>
      <c r="AW355" s="1277" t="n"/>
      <c r="AX355" s="1277" t="n"/>
      <c r="AY355" s="1277" t="n"/>
      <c r="AZ355" s="1297" t="n"/>
      <c r="BA355" s="1277" t="n"/>
      <c r="BB355" s="1277" t="n"/>
      <c r="BC355" s="1277" t="n"/>
      <c r="BD355" s="1277" t="n"/>
      <c r="BE355" s="1297" t="n"/>
      <c r="BF355" s="1277" t="n"/>
      <c r="BG355" s="1277" t="n"/>
      <c r="BH355" s="1277" t="n"/>
      <c r="BI355" s="1277" t="n"/>
      <c r="BJ355" s="1297" t="n"/>
      <c r="BK355" s="1277" t="n"/>
      <c r="BL355" s="1277" t="n"/>
      <c r="BM355" s="1277" t="n"/>
      <c r="BN355" s="1277" t="n"/>
      <c r="BO355" s="1382" t="n"/>
      <c r="BP355" s="1277" t="n"/>
      <c r="BQ355" s="1277" t="n"/>
      <c r="BR355" s="1277" t="n"/>
      <c r="BS355" s="1277" t="n"/>
      <c r="BT355" s="1297" t="n"/>
      <c r="BU355" s="1277" t="n"/>
      <c r="BV355" s="1277" t="n"/>
      <c r="BW355" s="1277" t="n"/>
      <c r="BX355" s="1277" t="n"/>
      <c r="BY355" s="1297" t="n"/>
      <c r="BZ355" s="1297" t="n"/>
      <c r="CA355" s="1297" t="n"/>
      <c r="CB355" s="1297" t="n"/>
      <c r="CC355" s="1280" t="n"/>
    </row>
    <row r="356" hidden="1" outlineLevel="1" ht="14.4" customFormat="1" customHeight="1" s="1275">
      <c r="A356" s="1460" t="inlineStr">
        <is>
          <t>Other gains and losses, net</t>
        </is>
      </c>
      <c r="B356" s="1389" t="n"/>
      <c r="C356" s="1390" t="n">
        <v>-221.107</v>
      </c>
      <c r="D356" s="1390" t="n">
        <v>-316.163</v>
      </c>
      <c r="E356" s="1390" t="n">
        <v>-391.791</v>
      </c>
      <c r="F356" s="1390" t="n">
        <v>-2852.31</v>
      </c>
      <c r="G356" s="1390" t="n">
        <v>2104.921</v>
      </c>
      <c r="H356" s="1391" t="n">
        <v>43.384</v>
      </c>
      <c r="I356" s="1391" t="n">
        <v>2176.649</v>
      </c>
      <c r="J356" s="1391" t="n">
        <v>-1110.583</v>
      </c>
      <c r="K356" s="1464">
        <f>L356-H356-I356-J356</f>
        <v/>
      </c>
      <c r="L356" s="1390" t="n">
        <v>2.207</v>
      </c>
      <c r="M356" s="1391" t="n">
        <v>362.185</v>
      </c>
      <c r="N356" s="1391" t="n">
        <v>19777.822</v>
      </c>
      <c r="O356" s="1391" t="n">
        <v>1235.77</v>
      </c>
      <c r="P356" s="1464">
        <f>Q356-M356-N356-O356</f>
        <v/>
      </c>
      <c r="Q356" s="1390" t="n">
        <v>22207.064</v>
      </c>
      <c r="R356" s="1391" t="n">
        <v>1559.299</v>
      </c>
      <c r="S356" s="1391" t="n">
        <v>1029.001</v>
      </c>
      <c r="T356" s="1391" t="n">
        <v>817.175</v>
      </c>
      <c r="U356" s="1464">
        <f>V356-R356-S356-T356</f>
        <v/>
      </c>
      <c r="V356" s="1390" t="n">
        <v>195.932</v>
      </c>
      <c r="W356" s="1391" t="n">
        <v>415.189</v>
      </c>
      <c r="X356" s="1391" t="n">
        <v>1008.851</v>
      </c>
      <c r="Y356" s="1391" t="n">
        <v>887.081</v>
      </c>
      <c r="Z356" s="1464">
        <f>AA356-W356-X356-Y356</f>
        <v/>
      </c>
      <c r="AA356" s="1390" t="n">
        <v>2817.358</v>
      </c>
      <c r="AB356" s="1391" t="n">
        <v>765.188</v>
      </c>
      <c r="AC356" s="1391" t="n">
        <v>-2539.198</v>
      </c>
      <c r="AD356" s="1391" t="n">
        <v>-868.673</v>
      </c>
      <c r="AE356" s="1464">
        <f>AF356-SUM(AB356,AC356,AD356)</f>
        <v/>
      </c>
      <c r="AF356" s="1390" t="n">
        <v>-3410.804</v>
      </c>
      <c r="AG356" s="1391" t="n">
        <v>-258.255</v>
      </c>
      <c r="AH356" s="1391" t="n">
        <v>424.867</v>
      </c>
      <c r="AI356" s="1391" t="n">
        <v>-579.849</v>
      </c>
      <c r="AJ356" s="1464">
        <f>AK356-SUM(AG356,AH356,AI356)</f>
        <v/>
      </c>
      <c r="AK356" s="1390">
        <f>-1151.015+417.295</f>
        <v/>
      </c>
      <c r="AL356" s="1391" t="n">
        <v>-45.232</v>
      </c>
      <c r="AM356" s="1391" t="n">
        <v>-456.601</v>
      </c>
      <c r="AN356" s="1391" t="n">
        <v>6150.995</v>
      </c>
      <c r="AO356" s="1464">
        <f>AP356-SUM(AL356,AM356,AN356)</f>
        <v/>
      </c>
      <c r="AP356" s="1390" t="n">
        <v>10106.41</v>
      </c>
      <c r="AQ356" s="1391" t="n">
        <v>-3211.795</v>
      </c>
      <c r="AR356" s="1391" t="n">
        <v>1258.632</v>
      </c>
      <c r="AS356" s="1391" t="n">
        <v>-2568.087</v>
      </c>
      <c r="AT356" s="1464">
        <f>AU356-SUM(AQ356,AR356,AS356)</f>
        <v/>
      </c>
      <c r="AU356" s="1390" t="n">
        <v>-7388.01</v>
      </c>
      <c r="AV356" s="1391" t="n">
        <v>-268.296</v>
      </c>
      <c r="AW356" s="1391" t="n">
        <v>-7402.162</v>
      </c>
      <c r="AX356" s="1391" t="n">
        <v>4671.334</v>
      </c>
      <c r="AY356" s="1464">
        <f>AZ356-SUM(AV356,AW356,AX356)</f>
        <v/>
      </c>
      <c r="AZ356" s="1390" t="n">
        <v>-1012.198</v>
      </c>
      <c r="BA356" s="1391" t="n">
        <v>1300.278</v>
      </c>
      <c r="BB356" s="1391" t="n">
        <v>1680.975</v>
      </c>
      <c r="BC356" s="1391" t="n">
        <v>938.648</v>
      </c>
      <c r="BD356" s="1464">
        <f>BE356-SUM(BA356,BB356,BC356)</f>
        <v/>
      </c>
      <c r="BE356" s="1390" t="n">
        <v>6961.579</v>
      </c>
      <c r="BF356" s="1391" t="n">
        <v>-3282.892</v>
      </c>
      <c r="BG356" s="1391" t="n">
        <v>-2126.534</v>
      </c>
      <c r="BH356" s="1391" t="n">
        <v>1650.403</v>
      </c>
      <c r="BI356" s="1277">
        <f>BJ356-SUM(BF356,BG356,BH356)</f>
        <v/>
      </c>
      <c r="BJ356" s="1299" t="n">
        <v>-8379.393</v>
      </c>
      <c r="BK356" s="1391" t="n">
        <v>-3325.569</v>
      </c>
      <c r="BL356" s="1391" t="n">
        <v>11260.204</v>
      </c>
      <c r="BM356" s="1391" t="n">
        <v>-6803.541</v>
      </c>
      <c r="BN356" s="1277">
        <f>-486-BN354</f>
        <v/>
      </c>
      <c r="BO356" s="1382">
        <f>SUM(BK356,BL356,BM356,BN356)</f>
        <v/>
      </c>
      <c r="BP356" s="1365" t="n"/>
      <c r="BQ356" s="1365" t="n"/>
      <c r="BR356" s="1365" t="n"/>
      <c r="BS356" s="1365" t="n"/>
      <c r="BT356" s="1364" t="n"/>
      <c r="BU356" s="1365" t="n"/>
      <c r="BV356" s="1365" t="n"/>
      <c r="BW356" s="1365" t="n"/>
      <c r="BX356" s="1365" t="n"/>
      <c r="BY356" s="1364" t="n"/>
      <c r="BZ356" s="1364" t="n"/>
      <c r="CA356" s="1364" t="n"/>
      <c r="CB356" s="1364" t="n"/>
      <c r="CC356" s="1280" t="n"/>
    </row>
    <row r="357" hidden="1" outlineLevel="1" ht="14.4" customFormat="1" customHeight="1" s="1323">
      <c r="A357" s="1324" t="inlineStr">
        <is>
          <t>Total non-operating income and expenses</t>
        </is>
      </c>
      <c r="B357" s="1393" t="n"/>
      <c r="C357" s="1329">
        <f>SUM(C354:C356)+SUM(C334:C347)</f>
        <v/>
      </c>
      <c r="D357" s="1329">
        <f>SUM(D354:D356)+SUM(D334:D347)</f>
        <v/>
      </c>
      <c r="E357" s="1329">
        <f>SUM(E354:E356)+SUM(E334:E347)</f>
        <v/>
      </c>
      <c r="F357" s="1329">
        <f>SUM(F354:F356)+SUM(F334:F347)</f>
        <v/>
      </c>
      <c r="G357" s="1329">
        <f>SUM(G354:G356)+SUM(G334:G347)</f>
        <v/>
      </c>
      <c r="H357" s="1328">
        <f>SUM(H354:H356)+SUM(H334:H347)</f>
        <v/>
      </c>
      <c r="I357" s="1328">
        <f>SUM(I354:I356)+SUM(I334:I347)</f>
        <v/>
      </c>
      <c r="J357" s="1328">
        <f>SUM(J354:J356)+SUM(J334:J347)</f>
        <v/>
      </c>
      <c r="K357" s="1328">
        <f>SUM(K354:K356)+SUM(K334:K347)</f>
        <v/>
      </c>
      <c r="L357" s="1329">
        <f>SUM(L354:L356)+SUM(L334:L347)</f>
        <v/>
      </c>
      <c r="M357" s="1328">
        <f>SUM(M354:M356)+SUM(M334:M347)</f>
        <v/>
      </c>
      <c r="N357" s="1328">
        <f>SUM(N354:N356)+SUM(N334:N347)</f>
        <v/>
      </c>
      <c r="O357" s="1328">
        <f>SUM(O354:O356)+SUM(O334:O347)</f>
        <v/>
      </c>
      <c r="P357" s="1328">
        <f>SUM(P354:P356)+SUM(P334:P347)</f>
        <v/>
      </c>
      <c r="Q357" s="1329">
        <f>SUM(Q354:Q356)+SUM(Q334:Q347)</f>
        <v/>
      </c>
      <c r="R357" s="1328">
        <f>SUM(R354:R356)+SUM(R334:R347)</f>
        <v/>
      </c>
      <c r="S357" s="1328">
        <f>SUM(S354:S356)+SUM(S334:S347)</f>
        <v/>
      </c>
      <c r="T357" s="1328">
        <f>SUM(T354:T356)+SUM(T334:T347)</f>
        <v/>
      </c>
      <c r="U357" s="1328">
        <f>SUM(U354:U356)+SUM(U334:U347)</f>
        <v/>
      </c>
      <c r="V357" s="1329">
        <f>SUM(V354:V356)+SUM(V334:V347)</f>
        <v/>
      </c>
      <c r="W357" s="1328">
        <f>SUM(W354:W356)+SUM(W334:W347)</f>
        <v/>
      </c>
      <c r="X357" s="1328">
        <f>SUM(X354:X356)+SUM(X334:X347)</f>
        <v/>
      </c>
      <c r="Y357" s="1328">
        <f>SUM(Y354:Y356)+SUM(Y334:Y347)</f>
        <v/>
      </c>
      <c r="Z357" s="1328">
        <f>SUM(Z354:Z356)+SUM(Z334:Z347)</f>
        <v/>
      </c>
      <c r="AA357" s="1329">
        <f>SUM(AA354:AA356)+SUM(AA334:AA347)</f>
        <v/>
      </c>
      <c r="AB357" s="1328">
        <f>SUM(AB354:AB356)+SUM(AB334:AB347)</f>
        <v/>
      </c>
      <c r="AC357" s="1328">
        <f>SUM(AC354:AC356)+SUM(AC334:AC347)</f>
        <v/>
      </c>
      <c r="AD357" s="1328">
        <f>SUM(AD354:AD356)+SUM(AD334:AD347)</f>
        <v/>
      </c>
      <c r="AE357" s="1328">
        <f>SUM(AE354:AE356)+SUM(AE334:AE347)</f>
        <v/>
      </c>
      <c r="AF357" s="1329">
        <f>SUM(AF354:AF356)+SUM(AF334:AF347)</f>
        <v/>
      </c>
      <c r="AG357" s="1328">
        <f>SUM(AG354:AG356)+SUM(AG334:AG347)</f>
        <v/>
      </c>
      <c r="AH357" s="1328">
        <f>SUM(AH354:AH356)+SUM(AH334:AH347)</f>
        <v/>
      </c>
      <c r="AI357" s="1328">
        <f>SUM(AI354:AI356)+SUM(AI334:AI347)</f>
        <v/>
      </c>
      <c r="AJ357" s="1328">
        <f>SUM(AJ354:AJ356)+SUM(AJ334:AJ347)</f>
        <v/>
      </c>
      <c r="AK357" s="1329">
        <f>SUM(AK354:AK356)+SUM(AK334:AK347)</f>
        <v/>
      </c>
      <c r="AL357" s="1328">
        <f>SUM(AL354:AL356)+SUM(AL334:AL347)</f>
        <v/>
      </c>
      <c r="AM357" s="1328">
        <f>SUM(AM354:AM356)+SUM(AM334:AM347)</f>
        <v/>
      </c>
      <c r="AN357" s="1328">
        <f>SUM(AN354:AN356)+SUM(AN334:AN347)</f>
        <v/>
      </c>
      <c r="AO357" s="1328">
        <f>SUM(AO354:AO356)+SUM(AO334:AO347)</f>
        <v/>
      </c>
      <c r="AP357" s="1329">
        <f>SUM(AP354:AP356)+SUM(AP334:AP347)</f>
        <v/>
      </c>
      <c r="AQ357" s="1328">
        <f>SUM(AQ354:AQ356)+SUM(AQ334:AQ347)</f>
        <v/>
      </c>
      <c r="AR357" s="1328">
        <f>SUM(AR354:AR356)+SUM(AR334:AR347)</f>
        <v/>
      </c>
      <c r="AS357" s="1328">
        <f>SUM(AS354:AS356)+SUM(AS334:AS347)</f>
        <v/>
      </c>
      <c r="AT357" s="1328">
        <f>SUM(AT354:AT356)+SUM(AT334:AT347)</f>
        <v/>
      </c>
      <c r="AU357" s="1329">
        <f>SUM(AU354:AU356)+SUM(AU334:AU347)</f>
        <v/>
      </c>
      <c r="AV357" s="1328">
        <f>SUM(AV354:AV356)+SUM(AV334:AV347)</f>
        <v/>
      </c>
      <c r="AW357" s="1328">
        <f>SUM(AW354:AW356)+SUM(AW334:AW347)</f>
        <v/>
      </c>
      <c r="AX357" s="1328">
        <f>SUM(AX354:AX356)+SUM(AX334:AX347)</f>
        <v/>
      </c>
      <c r="AY357" s="1328">
        <f>SUM(AY354:AY356)+SUM(AY334:AY347)</f>
        <v/>
      </c>
      <c r="AZ357" s="1329">
        <f>SUM(AZ354:AZ356)+SUM(AZ334:AZ347)</f>
        <v/>
      </c>
      <c r="BA357" s="1328">
        <f>SUM(BA354:BA356)+SUM(BA334:BA347)</f>
        <v/>
      </c>
      <c r="BB357" s="1328">
        <f>SUM(BB354:BB356)+SUM(BB334:BB347)</f>
        <v/>
      </c>
      <c r="BC357" s="1328">
        <f>SUM(BC354:BC356)+SUM(BC334:BC347)</f>
        <v/>
      </c>
      <c r="BD357" s="1328">
        <f>SUM(BD354:BD356)+SUM(BD334:BD347)</f>
        <v/>
      </c>
      <c r="BE357" s="1329">
        <f>SUM(BE354:BE356)+SUM(BE334:BE347)</f>
        <v/>
      </c>
      <c r="BF357" s="1328">
        <f>SUM(BF354:BF356)+SUM(BF334:BF347)</f>
        <v/>
      </c>
      <c r="BG357" s="1331">
        <f>SUM(BG354:BG356)+SUM(BG334:BG347)</f>
        <v/>
      </c>
      <c r="BH357" s="1328">
        <f>SUM(BH354:BH356)+SUM(BH334:BH347)</f>
        <v/>
      </c>
      <c r="BI357" s="1328">
        <f>SUM(BI354:BI356)+SUM(BI334:BI347)</f>
        <v/>
      </c>
      <c r="BJ357" s="1329">
        <f>SUM(BJ354:BJ356)+SUM(BJ334:BJ347)</f>
        <v/>
      </c>
      <c r="BK357" s="1328">
        <f>SUM(BK354:BK356)+SUM(BK334:BK347)</f>
        <v/>
      </c>
      <c r="BL357" s="1331">
        <f>SUM(BL354:BL356)+SUM(BL334:BL347)</f>
        <v/>
      </c>
      <c r="BM357" s="1328">
        <f>SUM(BM354:BM356)+SUM(BM334:BM347)</f>
        <v/>
      </c>
      <c r="BN357" s="1328">
        <f>SUM(BN354:BN356)+SUM(BN334:BN347)</f>
        <v/>
      </c>
      <c r="BO357" s="1330">
        <f>SUM(BO354:BO356)+SUM(BO334:BO347)</f>
        <v/>
      </c>
      <c r="BP357" s="1327" t="n"/>
      <c r="BQ357" s="1327" t="n"/>
      <c r="BR357" s="1327" t="n"/>
      <c r="BS357" s="1327" t="n"/>
      <c r="BT357" s="1326" t="n"/>
      <c r="BU357" s="1327" t="n"/>
      <c r="BV357" s="1327" t="n"/>
      <c r="BW357" s="1327" t="n"/>
      <c r="BX357" s="1327" t="n"/>
      <c r="BY357" s="1326" t="n"/>
      <c r="BZ357" s="1326" t="n"/>
      <c r="CA357" s="1326" t="n"/>
      <c r="CB357" s="1326" t="n"/>
      <c r="CC357" s="1331" t="n"/>
    </row>
    <row r="358" hidden="1" outlineLevel="1" ht="14.4" customFormat="1" customHeight="1" s="1323">
      <c r="A358" s="1577" t="inlineStr">
        <is>
          <t>Income before income tax</t>
        </is>
      </c>
      <c r="B358" s="1394" t="n"/>
      <c r="C358" s="1593">
        <f>C333+C357</f>
        <v/>
      </c>
      <c r="D358" s="1593">
        <f>D333+D357</f>
        <v/>
      </c>
      <c r="E358" s="1593">
        <f>E333+E357</f>
        <v/>
      </c>
      <c r="F358" s="1593">
        <f>F333+F357</f>
        <v/>
      </c>
      <c r="G358" s="1593">
        <f>G333+G357</f>
        <v/>
      </c>
      <c r="H358" s="1331">
        <f>H333+H357</f>
        <v/>
      </c>
      <c r="I358" s="1331">
        <f>I333+I357</f>
        <v/>
      </c>
      <c r="J358" s="1331">
        <f>J333+J357</f>
        <v/>
      </c>
      <c r="K358" s="1331">
        <f>K333+K357</f>
        <v/>
      </c>
      <c r="L358" s="1593">
        <f>L333+L357</f>
        <v/>
      </c>
      <c r="M358" s="1331">
        <f>M333+M357</f>
        <v/>
      </c>
      <c r="N358" s="1331">
        <f>N333+N357</f>
        <v/>
      </c>
      <c r="O358" s="1331">
        <f>O333+O357</f>
        <v/>
      </c>
      <c r="P358" s="1331">
        <f>P333+P357</f>
        <v/>
      </c>
      <c r="Q358" s="1593">
        <f>Q333+Q357</f>
        <v/>
      </c>
      <c r="R358" s="1331">
        <f>R333+R357</f>
        <v/>
      </c>
      <c r="S358" s="1331">
        <f>S333+S357</f>
        <v/>
      </c>
      <c r="T358" s="1331">
        <f>T333+T357</f>
        <v/>
      </c>
      <c r="U358" s="1331">
        <f>U333+U357</f>
        <v/>
      </c>
      <c r="V358" s="1593">
        <f>V333+V357</f>
        <v/>
      </c>
      <c r="W358" s="1331">
        <f>W333+W357</f>
        <v/>
      </c>
      <c r="X358" s="1331">
        <f>X333+X357</f>
        <v/>
      </c>
      <c r="Y358" s="1331">
        <f>Y333+Y357</f>
        <v/>
      </c>
      <c r="Z358" s="1331">
        <f>Z333+Z357</f>
        <v/>
      </c>
      <c r="AA358" s="1593">
        <f>AA333+AA357</f>
        <v/>
      </c>
      <c r="AB358" s="1331">
        <f>AB333+AB357</f>
        <v/>
      </c>
      <c r="AC358" s="1331">
        <f>AC333+AC357</f>
        <v/>
      </c>
      <c r="AD358" s="1331">
        <f>AD333+AD357</f>
        <v/>
      </c>
      <c r="AE358" s="1331">
        <f>AE333+AE357</f>
        <v/>
      </c>
      <c r="AF358" s="1593">
        <f>AF333+AF357</f>
        <v/>
      </c>
      <c r="AG358" s="1331">
        <f>AG333+AG357</f>
        <v/>
      </c>
      <c r="AH358" s="1331">
        <f>AH333+AH357</f>
        <v/>
      </c>
      <c r="AI358" s="1331">
        <f>AI333+AI357</f>
        <v/>
      </c>
      <c r="AJ358" s="1331">
        <f>AJ333+AJ357</f>
        <v/>
      </c>
      <c r="AK358" s="1593">
        <f>AK333+AK357</f>
        <v/>
      </c>
      <c r="AL358" s="1331">
        <f>AL333+AL357</f>
        <v/>
      </c>
      <c r="AM358" s="1331">
        <f>AM333+AM357</f>
        <v/>
      </c>
      <c r="AN358" s="1331">
        <f>AN333+AN357</f>
        <v/>
      </c>
      <c r="AO358" s="1331">
        <f>AO333+AO357</f>
        <v/>
      </c>
      <c r="AP358" s="1593">
        <f>AP333+AP357</f>
        <v/>
      </c>
      <c r="AQ358" s="1331">
        <f>AQ333+AQ357</f>
        <v/>
      </c>
      <c r="AR358" s="1331">
        <f>AR333+AR357</f>
        <v/>
      </c>
      <c r="AS358" s="1331">
        <f>AS333+AS357</f>
        <v/>
      </c>
      <c r="AT358" s="1331">
        <f>AT333+AT357</f>
        <v/>
      </c>
      <c r="AU358" s="1593">
        <f>AU333+AU357</f>
        <v/>
      </c>
      <c r="AV358" s="1331">
        <f>AV333+AV357</f>
        <v/>
      </c>
      <c r="AW358" s="1331">
        <f>AW333+AW357</f>
        <v/>
      </c>
      <c r="AX358" s="1331">
        <f>AX333+AX357</f>
        <v/>
      </c>
      <c r="AY358" s="1331">
        <f>AY333+AY357</f>
        <v/>
      </c>
      <c r="AZ358" s="1593">
        <f>AZ333+AZ357</f>
        <v/>
      </c>
      <c r="BA358" s="1331">
        <f>BA333+BA357</f>
        <v/>
      </c>
      <c r="BB358" s="1331">
        <f>BB333+BB357</f>
        <v/>
      </c>
      <c r="BC358" s="1331">
        <f>BC333+BC357</f>
        <v/>
      </c>
      <c r="BD358" s="1331">
        <f>BD333+BD357</f>
        <v/>
      </c>
      <c r="BE358" s="1593">
        <f>BE333+BE357</f>
        <v/>
      </c>
      <c r="BF358" s="1331">
        <f>BF333+BF357</f>
        <v/>
      </c>
      <c r="BG358" s="1331">
        <f>BG333+BG357</f>
        <v/>
      </c>
      <c r="BH358" s="1331">
        <f>BH333+BH357</f>
        <v/>
      </c>
      <c r="BI358" s="1331">
        <f>BI333+BI357</f>
        <v/>
      </c>
      <c r="BJ358" s="1593">
        <f>BJ333+BJ357</f>
        <v/>
      </c>
      <c r="BK358" s="1331">
        <f>BK333+BK357</f>
        <v/>
      </c>
      <c r="BL358" s="1331">
        <f>BL333+BL357</f>
        <v/>
      </c>
      <c r="BM358" s="1331">
        <f>BM333+BM357</f>
        <v/>
      </c>
      <c r="BN358" s="1331">
        <f>BN333+BN357</f>
        <v/>
      </c>
      <c r="BO358" s="1578">
        <f>BO333+BO357</f>
        <v/>
      </c>
      <c r="BP358" s="1346" t="n"/>
      <c r="BQ358" s="1346" t="n"/>
      <c r="BR358" s="1346" t="n"/>
      <c r="BS358" s="1346" t="n"/>
      <c r="BT358" s="1345" t="n"/>
      <c r="BU358" s="1346" t="n"/>
      <c r="BV358" s="1346" t="n"/>
      <c r="BW358" s="1346" t="n"/>
      <c r="BX358" s="1346" t="n"/>
      <c r="BY358" s="1345" t="n"/>
      <c r="BZ358" s="1345" t="n"/>
      <c r="CA358" s="1345" t="n"/>
      <c r="CB358" s="1345" t="n"/>
      <c r="CC358" s="1331" t="n"/>
    </row>
    <row r="359" hidden="1" outlineLevel="2" ht="14.4" customFormat="1" customHeight="1" s="1275">
      <c r="A359" s="1425" t="inlineStr">
        <is>
          <t>Current income tax expense</t>
        </is>
      </c>
      <c r="B359" s="1387" t="n"/>
      <c r="C359" s="1297" t="n"/>
      <c r="D359" s="1297" t="n"/>
      <c r="E359" s="1297" t="n"/>
      <c r="F359" s="1299" t="n">
        <v>15457.87</v>
      </c>
      <c r="G359" s="1299" t="n">
        <v>21468.832</v>
      </c>
      <c r="H359" s="1277" t="n"/>
      <c r="I359" s="1277" t="n"/>
      <c r="J359" s="1277" t="n"/>
      <c r="K359" s="1277" t="n"/>
      <c r="L359" s="1299" t="n">
        <v>36016.048</v>
      </c>
      <c r="M359" s="1277" t="n"/>
      <c r="N359" s="1277" t="n"/>
      <c r="O359" s="1277" t="n"/>
      <c r="P359" s="1277" t="n"/>
      <c r="Q359" s="1299" t="n">
        <v>45112.344</v>
      </c>
      <c r="R359" s="1277" t="n"/>
      <c r="S359" s="1277" t="n"/>
      <c r="T359" s="1277" t="n"/>
      <c r="U359" s="1277" t="n"/>
      <c r="V359" s="1299" t="n">
        <v>53396.132</v>
      </c>
      <c r="W359" s="1277" t="n"/>
      <c r="X359" s="1277" t="n"/>
      <c r="Y359" s="1277" t="n"/>
      <c r="Z359" s="1277" t="n"/>
      <c r="AA359" s="1299" t="n">
        <v>56760.474</v>
      </c>
      <c r="AB359" s="1277" t="n"/>
      <c r="AC359" s="1277" t="n"/>
      <c r="AD359" s="1277" t="n"/>
      <c r="AE359" s="1277" t="n"/>
      <c r="AF359" s="1299" t="n">
        <v>50873.219</v>
      </c>
      <c r="AG359" s="1277" t="n"/>
      <c r="AH359" s="1277" t="n"/>
      <c r="AI359" s="1277" t="n"/>
      <c r="AJ359" s="1277" t="n"/>
      <c r="AK359" s="1299" t="n">
        <v>45566.595</v>
      </c>
      <c r="AL359" s="1277" t="n"/>
      <c r="AM359" s="1277" t="n"/>
      <c r="AN359" s="1277" t="n"/>
      <c r="AO359" s="1277" t="n"/>
      <c r="AP359" s="1299" t="n">
        <v>72894.28999999999</v>
      </c>
      <c r="AQ359" s="1277" t="n"/>
      <c r="AR359" s="1277" t="n"/>
      <c r="AS359" s="1277" t="n"/>
      <c r="AT359" s="1277" t="n"/>
      <c r="AU359" s="1299" t="n">
        <v>89204.948</v>
      </c>
      <c r="AV359" s="1277" t="n"/>
      <c r="AW359" s="1277" t="n"/>
      <c r="AX359" s="1277" t="n"/>
      <c r="AY359" s="1277" t="n"/>
      <c r="AZ359" s="1299" t="n">
        <v>147327.984</v>
      </c>
      <c r="BA359" s="1277" t="n"/>
      <c r="BB359" s="1277" t="n"/>
      <c r="BC359" s="1277" t="n"/>
      <c r="BD359" s="1277" t="n"/>
      <c r="BE359" s="1299" t="n">
        <v>137267.816</v>
      </c>
      <c r="BF359" s="1277" t="n"/>
      <c r="BG359" s="1277" t="n"/>
      <c r="BH359" s="1277" t="n"/>
      <c r="BI359" s="1277" t="n"/>
      <c r="BJ359" s="1299" t="n">
        <v>231220.56</v>
      </c>
      <c r="BK359" s="1277" t="n"/>
      <c r="BL359" s="1277" t="n"/>
      <c r="BM359" s="1277" t="n"/>
      <c r="BN359" s="1277" t="n"/>
      <c r="BO359" s="1382" t="n"/>
      <c r="BP359" s="1277" t="n"/>
      <c r="BQ359" s="1277" t="n"/>
      <c r="BR359" s="1277" t="n"/>
      <c r="BS359" s="1277" t="n"/>
      <c r="BT359" s="1297" t="n"/>
      <c r="BU359" s="1277" t="n"/>
      <c r="BV359" s="1277" t="n"/>
      <c r="BW359" s="1277" t="n"/>
      <c r="BX359" s="1277" t="n"/>
      <c r="BY359" s="1297" t="n"/>
      <c r="BZ359" s="1297" t="n"/>
      <c r="CA359" s="1297" t="n"/>
      <c r="CB359" s="1297" t="n"/>
      <c r="CC359" s="1280" t="n"/>
    </row>
    <row r="360" hidden="1" outlineLevel="2" ht="14.4" customFormat="1" customHeight="1" s="1275">
      <c r="A360" s="1591" t="inlineStr">
        <is>
          <t>Deferred income tax benefit</t>
        </is>
      </c>
      <c r="B360" s="1389" t="n"/>
      <c r="C360" s="1364" t="n"/>
      <c r="D360" s="1364" t="n"/>
      <c r="E360" s="1364" t="n"/>
      <c r="F360" s="1463">
        <f>F361-F359</f>
        <v/>
      </c>
      <c r="G360" s="1463">
        <f>G361-G359</f>
        <v/>
      </c>
      <c r="H360" s="1365" t="n"/>
      <c r="I360" s="1365" t="n"/>
      <c r="J360" s="1365" t="n"/>
      <c r="K360" s="1365" t="n"/>
      <c r="L360" s="1463">
        <f>L361-L359</f>
        <v/>
      </c>
      <c r="M360" s="1365" t="n"/>
      <c r="N360" s="1365" t="n"/>
      <c r="O360" s="1365" t="n"/>
      <c r="P360" s="1365" t="n"/>
      <c r="Q360" s="1463">
        <f>Q361-Q359</f>
        <v/>
      </c>
      <c r="R360" s="1365" t="n"/>
      <c r="S360" s="1365" t="n"/>
      <c r="T360" s="1365" t="n"/>
      <c r="U360" s="1365" t="n"/>
      <c r="V360" s="1463">
        <f>V361-V359</f>
        <v/>
      </c>
      <c r="W360" s="1365" t="n"/>
      <c r="X360" s="1365" t="n"/>
      <c r="Y360" s="1365" t="n"/>
      <c r="Z360" s="1365" t="n"/>
      <c r="AA360" s="1463">
        <f>AA361-AA359</f>
        <v/>
      </c>
      <c r="AB360" s="1365" t="n"/>
      <c r="AC360" s="1365" t="n"/>
      <c r="AD360" s="1365" t="n"/>
      <c r="AE360" s="1365" t="n"/>
      <c r="AF360" s="1463">
        <f>AF361-AF359</f>
        <v/>
      </c>
      <c r="AG360" s="1365" t="n"/>
      <c r="AH360" s="1365" t="n"/>
      <c r="AI360" s="1365" t="n"/>
      <c r="AJ360" s="1365" t="n"/>
      <c r="AK360" s="1463">
        <f>AK361-AK359</f>
        <v/>
      </c>
      <c r="AL360" s="1365" t="n"/>
      <c r="AM360" s="1365" t="n"/>
      <c r="AN360" s="1365" t="n"/>
      <c r="AO360" s="1365" t="n"/>
      <c r="AP360" s="1463">
        <f>AP361-AP359</f>
        <v/>
      </c>
      <c r="AQ360" s="1365" t="n"/>
      <c r="AR360" s="1365" t="n"/>
      <c r="AS360" s="1365" t="n"/>
      <c r="AT360" s="1365" t="n"/>
      <c r="AU360" s="1463">
        <f>AU361-AU359</f>
        <v/>
      </c>
      <c r="AV360" s="1365" t="n"/>
      <c r="AW360" s="1365" t="n"/>
      <c r="AX360" s="1365" t="n"/>
      <c r="AY360" s="1365" t="n"/>
      <c r="AZ360" s="1463">
        <f>AZ361-AZ359</f>
        <v/>
      </c>
      <c r="BA360" s="1365" t="n"/>
      <c r="BB360" s="1365" t="n"/>
      <c r="BC360" s="1365" t="n"/>
      <c r="BD360" s="1365" t="n"/>
      <c r="BE360" s="1463">
        <f>BE361-BE359</f>
        <v/>
      </c>
      <c r="BF360" s="1365" t="n"/>
      <c r="BG360" s="1277" t="n"/>
      <c r="BH360" s="1365" t="n"/>
      <c r="BI360" s="1365" t="n"/>
      <c r="BJ360" s="1364">
        <f>BJ361-BJ359</f>
        <v/>
      </c>
      <c r="BK360" s="1365" t="n"/>
      <c r="BL360" s="1277" t="n"/>
      <c r="BM360" s="1365" t="n"/>
      <c r="BN360" s="1365" t="n"/>
      <c r="BO360" s="1366" t="n"/>
      <c r="BP360" s="1365" t="n"/>
      <c r="BQ360" s="1365" t="n"/>
      <c r="BR360" s="1365" t="n"/>
      <c r="BS360" s="1365" t="n"/>
      <c r="BT360" s="1364" t="n"/>
      <c r="BU360" s="1365" t="n"/>
      <c r="BV360" s="1365" t="n"/>
      <c r="BW360" s="1365" t="n"/>
      <c r="BX360" s="1365" t="n"/>
      <c r="BY360" s="1364" t="n"/>
      <c r="BZ360" s="1364" t="n"/>
      <c r="CA360" s="1364" t="n"/>
      <c r="CB360" s="1364" t="n"/>
      <c r="CC360" s="1280" t="n"/>
    </row>
    <row r="361" hidden="1" outlineLevel="1" collapsed="1" ht="14.4" customFormat="1" customHeight="1" s="1275">
      <c r="A361" s="1460" t="inlineStr">
        <is>
          <t>Income tax expense</t>
        </is>
      </c>
      <c r="B361" s="1389" t="n"/>
      <c r="C361" s="1390" t="n">
        <v>5996.424</v>
      </c>
      <c r="D361" s="1390" t="n">
        <v>7988.465</v>
      </c>
      <c r="E361" s="1390" t="n">
        <v>10694.417</v>
      </c>
      <c r="F361" s="1390" t="n">
        <v>15552.654</v>
      </c>
      <c r="G361" s="1390" t="n">
        <v>27468.185</v>
      </c>
      <c r="H361" s="1391" t="n">
        <v>5455.495</v>
      </c>
      <c r="I361" s="1391" t="n">
        <v>14437.693</v>
      </c>
      <c r="J361" s="1391" t="n">
        <v>9076.017</v>
      </c>
      <c r="K361" s="1464">
        <f>L361-H361-I361-J361</f>
        <v/>
      </c>
      <c r="L361" s="1390" t="n">
        <v>38314.399</v>
      </c>
      <c r="M361" s="1391" t="n">
        <v>9275.072</v>
      </c>
      <c r="N361" s="1391" t="n">
        <v>18718.779</v>
      </c>
      <c r="O361" s="1391" t="n">
        <v>8077.319</v>
      </c>
      <c r="P361" s="1464">
        <f>Q361-M361-N361-O361</f>
        <v/>
      </c>
      <c r="Q361" s="1390" t="n">
        <v>43872.744</v>
      </c>
      <c r="R361" s="1391" t="n">
        <v>7463.302</v>
      </c>
      <c r="S361" s="1391" t="n">
        <v>20878.112</v>
      </c>
      <c r="T361" s="1391" t="n">
        <v>11460.502</v>
      </c>
      <c r="U361" s="1464">
        <f>V361-R361-S361-T361</f>
        <v/>
      </c>
      <c r="V361" s="1390" t="n">
        <v>51621.144</v>
      </c>
      <c r="W361" s="1391" t="n">
        <v>10201.591</v>
      </c>
      <c r="X361" s="1391" t="n">
        <v>19846.815</v>
      </c>
      <c r="Y361" s="1391" t="n">
        <v>10568.936</v>
      </c>
      <c r="Z361" s="1464">
        <f>AA361-W361-X361-Y361</f>
        <v/>
      </c>
      <c r="AA361" s="1390" t="n">
        <v>52986.182</v>
      </c>
      <c r="AB361" s="1391" t="n">
        <v>10156.047</v>
      </c>
      <c r="AC361" s="1391" t="n">
        <v>15294.233</v>
      </c>
      <c r="AD361" s="1391" t="n">
        <v>9798.870000000001</v>
      </c>
      <c r="AE361" s="1464">
        <f>AF361-AB361-AC361-AD361</f>
        <v/>
      </c>
      <c r="AF361" s="1390" t="n">
        <v>46325.857</v>
      </c>
      <c r="AG361" s="1391" t="n">
        <v>6794.342</v>
      </c>
      <c r="AH361" s="1391" t="n">
        <v>13769.589</v>
      </c>
      <c r="AI361" s="1391" t="n">
        <v>11233.817</v>
      </c>
      <c r="AJ361" s="1464">
        <f>AK361-SUM(AG361,AH361,AI361)</f>
        <v/>
      </c>
      <c r="AK361" s="1390" t="n">
        <v>44501.527</v>
      </c>
      <c r="AL361" s="1391" t="n">
        <v>15084.285</v>
      </c>
      <c r="AM361" s="1391" t="n">
        <v>15506.124</v>
      </c>
      <c r="AN361" s="1391" t="n">
        <v>17745.852</v>
      </c>
      <c r="AO361" s="1464">
        <f>AP361-SUM(AL361,AM361,AN361)</f>
        <v/>
      </c>
      <c r="AP361" s="1390" t="n">
        <v>66619.098</v>
      </c>
      <c r="AQ361" s="1391" t="n">
        <v>15325.64</v>
      </c>
      <c r="AR361" s="1391" t="n">
        <v>14909.359</v>
      </c>
      <c r="AS361" s="1391" t="n">
        <v>17372.485</v>
      </c>
      <c r="AT361" s="1464">
        <f>AU361-SUM(AQ361,AR361,AS361)</f>
        <v/>
      </c>
      <c r="AU361" s="1390" t="n">
        <v>66053.17999999999</v>
      </c>
      <c r="AV361" s="1391" t="n">
        <v>23958.322</v>
      </c>
      <c r="AW361" s="1391" t="n">
        <v>28818.029</v>
      </c>
      <c r="AX361" s="1391" t="n">
        <v>35722.46</v>
      </c>
      <c r="AY361" s="1464">
        <f>AZ361-SUM(AV361,AW361,AX361)</f>
        <v/>
      </c>
      <c r="AZ361" s="1390" t="n">
        <v>127290.203</v>
      </c>
      <c r="BA361" s="1391" t="n">
        <v>37325.895</v>
      </c>
      <c r="BB361" s="1391" t="n">
        <v>32957.903</v>
      </c>
      <c r="BC361" s="1391" t="n">
        <v>31145.221</v>
      </c>
      <c r="BD361" s="1464">
        <f>BE361-SUM(BA361,BB361,BC361)</f>
        <v/>
      </c>
      <c r="BE361" s="1390" t="n">
        <v>141403.807</v>
      </c>
      <c r="BF361" s="1391" t="n">
        <v>41321.941</v>
      </c>
      <c r="BG361" s="1592" t="n">
        <v>58649.137</v>
      </c>
      <c r="BH361" s="1391" t="n">
        <v>59106.682</v>
      </c>
      <c r="BI361" s="1464">
        <f>BJ361-SUM(BF361,BG361,BH361)</f>
        <v/>
      </c>
      <c r="BJ361" s="1390" t="n">
        <v>233406.876</v>
      </c>
      <c r="BK361" s="1391" t="n">
        <v>70162.751</v>
      </c>
      <c r="BL361" s="1592" t="n">
        <v>95541.78</v>
      </c>
      <c r="BM361" s="1391" t="n">
        <v>73613.66099999999</v>
      </c>
      <c r="BN361" s="1391" t="n">
        <v>86947</v>
      </c>
      <c r="BO361" s="1465">
        <f>SUM(BK361,BL361,BM361,BN361)</f>
        <v/>
      </c>
      <c r="BP361" s="1365" t="n"/>
      <c r="BQ361" s="1365" t="n"/>
      <c r="BR361" s="1365" t="n"/>
      <c r="BS361" s="1365" t="n"/>
      <c r="BT361" s="1364" t="n"/>
      <c r="BU361" s="1365" t="n"/>
      <c r="BV361" s="1365" t="n"/>
      <c r="BW361" s="1365" t="n"/>
      <c r="BX361" s="1365" t="n"/>
      <c r="BY361" s="1364" t="n"/>
      <c r="BZ361" s="1364" t="n"/>
      <c r="CA361" s="1364" t="n"/>
      <c r="CB361" s="1364" t="n"/>
      <c r="CC361" s="1280" t="n"/>
    </row>
    <row r="362" hidden="1" outlineLevel="1" ht="14.4" customFormat="1" customHeight="1" s="1323">
      <c r="A362" s="1324" t="inlineStr">
        <is>
          <t>Net Income</t>
        </is>
      </c>
      <c r="B362" s="1393" t="n"/>
      <c r="C362" s="1329">
        <f>C358-C361</f>
        <v/>
      </c>
      <c r="D362" s="1329">
        <f>D358-D361</f>
        <v/>
      </c>
      <c r="E362" s="1329">
        <f>E358-E361</f>
        <v/>
      </c>
      <c r="F362" s="1329">
        <f>F358-F361</f>
        <v/>
      </c>
      <c r="G362" s="1329">
        <f>G358-G361</f>
        <v/>
      </c>
      <c r="H362" s="1328">
        <f>H358-H361</f>
        <v/>
      </c>
      <c r="I362" s="1328">
        <f>I358-I361</f>
        <v/>
      </c>
      <c r="J362" s="1328">
        <f>J358-J361</f>
        <v/>
      </c>
      <c r="K362" s="1328">
        <f>K358-K361</f>
        <v/>
      </c>
      <c r="L362" s="1329">
        <f>L358-L361</f>
        <v/>
      </c>
      <c r="M362" s="1328">
        <f>M358-M361</f>
        <v/>
      </c>
      <c r="N362" s="1328">
        <f>N358-N361</f>
        <v/>
      </c>
      <c r="O362" s="1328">
        <f>O358-O361</f>
        <v/>
      </c>
      <c r="P362" s="1328">
        <f>P358-P361</f>
        <v/>
      </c>
      <c r="Q362" s="1329">
        <f>Q358-Q361</f>
        <v/>
      </c>
      <c r="R362" s="1328">
        <f>R358-R361</f>
        <v/>
      </c>
      <c r="S362" s="1328">
        <f>S358-S361</f>
        <v/>
      </c>
      <c r="T362" s="1328">
        <f>T358-T361</f>
        <v/>
      </c>
      <c r="U362" s="1328">
        <f>U358-U361</f>
        <v/>
      </c>
      <c r="V362" s="1329">
        <f>V358-V361</f>
        <v/>
      </c>
      <c r="W362" s="1328">
        <f>W358-W361</f>
        <v/>
      </c>
      <c r="X362" s="1328">
        <f>X358-X361</f>
        <v/>
      </c>
      <c r="Y362" s="1328">
        <f>Y358-Y361</f>
        <v/>
      </c>
      <c r="Z362" s="1328">
        <f>Z358-Z361</f>
        <v/>
      </c>
      <c r="AA362" s="1329">
        <f>AA358-AA361</f>
        <v/>
      </c>
      <c r="AB362" s="1328">
        <f>AB358-AB361</f>
        <v/>
      </c>
      <c r="AC362" s="1328">
        <f>AC358-AC361</f>
        <v/>
      </c>
      <c r="AD362" s="1328">
        <f>AD358-AD361</f>
        <v/>
      </c>
      <c r="AE362" s="1328">
        <f>AE358-AE361</f>
        <v/>
      </c>
      <c r="AF362" s="1329">
        <f>AF358-AF361</f>
        <v/>
      </c>
      <c r="AG362" s="1328">
        <f>AG358-AG361</f>
        <v/>
      </c>
      <c r="AH362" s="1328">
        <f>AH358-AH361</f>
        <v/>
      </c>
      <c r="AI362" s="1328">
        <f>AI358-AI361</f>
        <v/>
      </c>
      <c r="AJ362" s="1328">
        <f>AJ358-AJ361</f>
        <v/>
      </c>
      <c r="AK362" s="1329">
        <f>AK358-AK361</f>
        <v/>
      </c>
      <c r="AL362" s="1328">
        <f>AL358-AL361</f>
        <v/>
      </c>
      <c r="AM362" s="1328">
        <f>AM358-AM361</f>
        <v/>
      </c>
      <c r="AN362" s="1328">
        <f>AN358-AN361</f>
        <v/>
      </c>
      <c r="AO362" s="1328">
        <f>AO358-AO361</f>
        <v/>
      </c>
      <c r="AP362" s="1329">
        <f>AP358-AP361</f>
        <v/>
      </c>
      <c r="AQ362" s="1328">
        <f>AQ358-AQ361</f>
        <v/>
      </c>
      <c r="AR362" s="1328">
        <f>AR358-AR361</f>
        <v/>
      </c>
      <c r="AS362" s="1328">
        <f>AS358-AS361</f>
        <v/>
      </c>
      <c r="AT362" s="1328">
        <f>AT358-AT361</f>
        <v/>
      </c>
      <c r="AU362" s="1329">
        <f>AU358-AU361</f>
        <v/>
      </c>
      <c r="AV362" s="1328">
        <f>AV358-AV361</f>
        <v/>
      </c>
      <c r="AW362" s="1328">
        <f>AW358-AW361</f>
        <v/>
      </c>
      <c r="AX362" s="1328">
        <f>AX358-AX361</f>
        <v/>
      </c>
      <c r="AY362" s="1328">
        <f>AY358-AY361</f>
        <v/>
      </c>
      <c r="AZ362" s="1329">
        <f>AZ358-AZ361</f>
        <v/>
      </c>
      <c r="BA362" s="1328">
        <f>BA358-BA361</f>
        <v/>
      </c>
      <c r="BB362" s="1328">
        <f>BB358-BB361</f>
        <v/>
      </c>
      <c r="BC362" s="1328">
        <f>BC358-BC361</f>
        <v/>
      </c>
      <c r="BD362" s="1328">
        <f>BD358-BD361</f>
        <v/>
      </c>
      <c r="BE362" s="1329">
        <f>BE358-BE361</f>
        <v/>
      </c>
      <c r="BF362" s="1328">
        <f>BF358-BF361</f>
        <v/>
      </c>
      <c r="BG362" s="1328">
        <f>BG358-BG361</f>
        <v/>
      </c>
      <c r="BH362" s="1328">
        <f>BH358-BH361</f>
        <v/>
      </c>
      <c r="BI362" s="1328">
        <f>BI358-BI361</f>
        <v/>
      </c>
      <c r="BJ362" s="1329">
        <f>BJ358-BJ361</f>
        <v/>
      </c>
      <c r="BK362" s="1328">
        <f>BK358-BK361</f>
        <v/>
      </c>
      <c r="BL362" s="1328">
        <f>BL358-BL361</f>
        <v/>
      </c>
      <c r="BM362" s="1328">
        <f>BM358-BM361</f>
        <v/>
      </c>
      <c r="BN362" s="1328">
        <f>BN358-BN361</f>
        <v/>
      </c>
      <c r="BO362" s="1330">
        <f>BO358-BO361</f>
        <v/>
      </c>
      <c r="BP362" s="1327" t="n"/>
      <c r="BQ362" s="1327" t="n"/>
      <c r="BR362" s="1327" t="n"/>
      <c r="BS362" s="1327" t="n"/>
      <c r="BT362" s="1326" t="n"/>
      <c r="BU362" s="1327" t="n"/>
      <c r="BV362" s="1327" t="n"/>
      <c r="BW362" s="1327" t="n"/>
      <c r="BX362" s="1327" t="n"/>
      <c r="BY362" s="1326" t="n"/>
      <c r="BZ362" s="1326" t="n"/>
      <c r="CA362" s="1326" t="n"/>
      <c r="CB362" s="1326" t="n"/>
      <c r="CC362" s="1331" t="n"/>
    </row>
    <row r="363" hidden="1" outlineLevel="1" ht="14.4" customFormat="1" customHeight="1" s="1275">
      <c r="A363" s="1460" t="inlineStr">
        <is>
          <t>Noncontrolling interests</t>
        </is>
      </c>
      <c r="B363" s="1389" t="n"/>
      <c r="C363" s="1390" t="n">
        <v>248.387</v>
      </c>
      <c r="D363" s="1390" t="n">
        <v>676.921</v>
      </c>
      <c r="E363" s="1390" t="n">
        <v>251.981</v>
      </c>
      <c r="F363" s="1390" t="n">
        <v>-194.484</v>
      </c>
      <c r="G363" s="1390" t="n">
        <v>-127.853</v>
      </c>
      <c r="H363" s="1391" t="n">
        <v>-24.963</v>
      </c>
      <c r="I363" s="1391" t="n">
        <v>-42.424</v>
      </c>
      <c r="J363" s="1391" t="n">
        <v>-30.628</v>
      </c>
      <c r="K363" s="1464">
        <f>L363-SUM(H363,I363,J363)</f>
        <v/>
      </c>
      <c r="L363" s="1390" t="n">
        <v>-117.813</v>
      </c>
      <c r="M363" s="1391" t="n">
        <v>-6.003</v>
      </c>
      <c r="N363" s="1391" t="n">
        <v>-4.61</v>
      </c>
      <c r="O363" s="1391" t="n">
        <v>-11.924</v>
      </c>
      <c r="P363" s="1464">
        <f>Q363-SUM(M363,N363,O363)</f>
        <v/>
      </c>
      <c r="Q363" s="1390" t="n">
        <v>-17.67</v>
      </c>
      <c r="R363" s="1391" t="n">
        <v>11.104</v>
      </c>
      <c r="S363" s="1391" t="n">
        <v>21.958</v>
      </c>
      <c r="T363" s="1391" t="n">
        <v>30.057</v>
      </c>
      <c r="U363" s="1464">
        <f>V363-SUM(R363,S363,T363)</f>
        <v/>
      </c>
      <c r="V363" s="1390" t="n">
        <v>91.056</v>
      </c>
      <c r="W363" s="1391" t="n">
        <v>-7.99</v>
      </c>
      <c r="X363" s="1391" t="n">
        <v>-0.367</v>
      </c>
      <c r="Y363" s="1391" t="n">
        <v>23.791</v>
      </c>
      <c r="Z363" s="1464">
        <f>AA363-SUM(W363,X363,Y363)</f>
        <v/>
      </c>
      <c r="AA363" s="1390" t="n">
        <v>35.372</v>
      </c>
      <c r="AB363" s="1391" t="n">
        <v>2.952</v>
      </c>
      <c r="AC363" s="1391" t="n">
        <v>2.836</v>
      </c>
      <c r="AD363" s="1391" t="n">
        <v>26.444</v>
      </c>
      <c r="AE363" s="1464">
        <f>AF363-SUM(AB363,AC363,AD363)</f>
        <v/>
      </c>
      <c r="AF363" s="1390" t="n">
        <v>53.522</v>
      </c>
      <c r="AG363" s="1391" t="n">
        <v>-6.541</v>
      </c>
      <c r="AH363" s="1391" t="n">
        <v>11.001</v>
      </c>
      <c r="AI363" s="1391" t="n">
        <v>32.568</v>
      </c>
      <c r="AJ363" s="1464">
        <f>AK363-SUM(AG363,AH363,AI363)</f>
        <v/>
      </c>
      <c r="AK363" s="1390" t="n">
        <v>80.14100000000001</v>
      </c>
      <c r="AL363" s="1391" t="n">
        <v>76.173</v>
      </c>
      <c r="AM363" s="1391" t="n">
        <v>70.321</v>
      </c>
      <c r="AN363" s="1391" t="n">
        <v>68.111</v>
      </c>
      <c r="AO363" s="1464">
        <f>AP363-SUM(AL363,AM363,AN363)</f>
        <v/>
      </c>
      <c r="AP363" s="1390" t="n">
        <v>272.695</v>
      </c>
      <c r="AQ363" s="1391" t="n">
        <v>48.256</v>
      </c>
      <c r="AR363" s="1391" t="n">
        <v>122.774</v>
      </c>
      <c r="AS363" s="1391" t="n">
        <v>220.867</v>
      </c>
      <c r="AT363" s="1464">
        <f>AU363-SUM(AQ363,AR363,AS363)</f>
        <v/>
      </c>
      <c r="AU363" s="1390" t="n">
        <v>533.121</v>
      </c>
      <c r="AV363" s="1391" t="n">
        <v>140.399</v>
      </c>
      <c r="AW363" s="1391" t="n">
        <v>152.935</v>
      </c>
      <c r="AX363" s="1391" t="n">
        <v>102.627</v>
      </c>
      <c r="AY363" s="1464">
        <f>AZ363-SUM(AV363,AW363,AX363)</f>
        <v/>
      </c>
      <c r="AZ363" s="1390" t="n">
        <v>370.266</v>
      </c>
      <c r="BA363" s="1391" t="n">
        <v>-37.525</v>
      </c>
      <c r="BB363" s="1391" t="n">
        <v>-82.015</v>
      </c>
      <c r="BC363" s="1391" t="n">
        <v>-204.665</v>
      </c>
      <c r="BD363" s="1464">
        <f>BE363-SUM(BA363,BB363,BC363)</f>
        <v/>
      </c>
      <c r="BE363" s="1390" t="n">
        <v>-730.147</v>
      </c>
      <c r="BF363" s="1391" t="n">
        <v>-263.614</v>
      </c>
      <c r="BG363" s="1298" t="n">
        <v>-184.09</v>
      </c>
      <c r="BH363" s="1391" t="n">
        <v>-177.401</v>
      </c>
      <c r="BI363" s="1464">
        <f>BJ363-SUM(BF363,BG363,BH363)</f>
        <v/>
      </c>
      <c r="BJ363" s="1390" t="n">
        <v>-835.944</v>
      </c>
      <c r="BK363" s="1391" t="n">
        <v>-831.467</v>
      </c>
      <c r="BL363" s="1298" t="n">
        <v>-779.678</v>
      </c>
      <c r="BM363" s="1391" t="n">
        <v>-546.045</v>
      </c>
      <c r="BN363" s="1391" t="n">
        <v>-328</v>
      </c>
      <c r="BO363" s="1465">
        <f>SUM(BK363,BL363,BM363,BN363)</f>
        <v/>
      </c>
      <c r="BP363" s="1365" t="n"/>
      <c r="BQ363" s="1365" t="n"/>
      <c r="BR363" s="1365" t="n"/>
      <c r="BS363" s="1365" t="n"/>
      <c r="BT363" s="1364" t="n"/>
      <c r="BU363" s="1365" t="n"/>
      <c r="BV363" s="1365" t="n"/>
      <c r="BW363" s="1365" t="n"/>
      <c r="BX363" s="1365" t="n"/>
      <c r="BY363" s="1364" t="n"/>
      <c r="BZ363" s="1364" t="n"/>
      <c r="CA363" s="1364" t="n"/>
      <c r="CB363" s="1364" t="n"/>
      <c r="CC363" s="1280" t="n"/>
    </row>
    <row r="364" hidden="1" outlineLevel="1" ht="14.4" customFormat="1" customHeight="1" s="1323">
      <c r="A364" s="1594" t="inlineStr">
        <is>
          <t>Net income available to common shareholders of the parent</t>
        </is>
      </c>
      <c r="B364" s="1595" t="n"/>
      <c r="C364" s="1596">
        <f>C362-C363</f>
        <v/>
      </c>
      <c r="D364" s="1596">
        <f>D362-D363</f>
        <v/>
      </c>
      <c r="E364" s="1596">
        <f>E362-E363</f>
        <v/>
      </c>
      <c r="F364" s="1596">
        <f>F362-F363</f>
        <v/>
      </c>
      <c r="G364" s="1596">
        <f>G362-G363</f>
        <v/>
      </c>
      <c r="H364" s="1597">
        <f>H362-H363</f>
        <v/>
      </c>
      <c r="I364" s="1597">
        <f>I362-I363</f>
        <v/>
      </c>
      <c r="J364" s="1597">
        <f>J362-J363</f>
        <v/>
      </c>
      <c r="K364" s="1597">
        <f>K362-K363</f>
        <v/>
      </c>
      <c r="L364" s="1596">
        <f>L362-L363</f>
        <v/>
      </c>
      <c r="M364" s="1597">
        <f>M362-M363</f>
        <v/>
      </c>
      <c r="N364" s="1597">
        <f>N362-N363</f>
        <v/>
      </c>
      <c r="O364" s="1597">
        <f>O362-O363</f>
        <v/>
      </c>
      <c r="P364" s="1597">
        <f>P362-P363</f>
        <v/>
      </c>
      <c r="Q364" s="1596">
        <f>Q362-Q363</f>
        <v/>
      </c>
      <c r="R364" s="1597">
        <f>R362-R363</f>
        <v/>
      </c>
      <c r="S364" s="1597">
        <f>S362-S363</f>
        <v/>
      </c>
      <c r="T364" s="1597">
        <f>T362-T363</f>
        <v/>
      </c>
      <c r="U364" s="1597">
        <f>U362-U363</f>
        <v/>
      </c>
      <c r="V364" s="1596">
        <f>V362-V363</f>
        <v/>
      </c>
      <c r="W364" s="1597">
        <f>W362-W363</f>
        <v/>
      </c>
      <c r="X364" s="1597">
        <f>X362-X363</f>
        <v/>
      </c>
      <c r="Y364" s="1597">
        <f>Y362-Y363</f>
        <v/>
      </c>
      <c r="Z364" s="1597">
        <f>Z362-Z363</f>
        <v/>
      </c>
      <c r="AA364" s="1596">
        <f>AA362-AA363</f>
        <v/>
      </c>
      <c r="AB364" s="1597">
        <f>AB362-AB363</f>
        <v/>
      </c>
      <c r="AC364" s="1597">
        <f>AC362-AC363</f>
        <v/>
      </c>
      <c r="AD364" s="1597">
        <f>AD362-AD363</f>
        <v/>
      </c>
      <c r="AE364" s="1597">
        <f>AE362-AE363</f>
        <v/>
      </c>
      <c r="AF364" s="1596">
        <f>AF362-AF363</f>
        <v/>
      </c>
      <c r="AG364" s="1597">
        <f>AG362-AG363</f>
        <v/>
      </c>
      <c r="AH364" s="1597">
        <f>AH362-AH363</f>
        <v/>
      </c>
      <c r="AI364" s="1597">
        <f>AI362-AI363</f>
        <v/>
      </c>
      <c r="AJ364" s="1597">
        <f>AJ362-AJ363</f>
        <v/>
      </c>
      <c r="AK364" s="1596">
        <f>AK362-AK363</f>
        <v/>
      </c>
      <c r="AL364" s="1597">
        <f>AL362-AL363</f>
        <v/>
      </c>
      <c r="AM364" s="1597">
        <f>AM362-AM363</f>
        <v/>
      </c>
      <c r="AN364" s="1597">
        <f>AN362-AN363</f>
        <v/>
      </c>
      <c r="AO364" s="1597">
        <f>AO362-AO363</f>
        <v/>
      </c>
      <c r="AP364" s="1598" t="n">
        <v>517885.387</v>
      </c>
      <c r="AQ364" s="1597">
        <f>AQ362-AQ363</f>
        <v/>
      </c>
      <c r="AR364" s="1597">
        <f>AR362-AR363</f>
        <v/>
      </c>
      <c r="AS364" s="1597">
        <f>AS362-AS363</f>
        <v/>
      </c>
      <c r="AT364" s="1597">
        <f>AT362-AT363</f>
        <v/>
      </c>
      <c r="AU364" s="1596">
        <f>AU362-AU363</f>
        <v/>
      </c>
      <c r="AV364" s="1597">
        <f>AV362-AV363</f>
        <v/>
      </c>
      <c r="AW364" s="1597">
        <f>AW362-AW363</f>
        <v/>
      </c>
      <c r="AX364" s="1597">
        <f>AX362-AX363</f>
        <v/>
      </c>
      <c r="AY364" s="1597">
        <f>AY362-AY363</f>
        <v/>
      </c>
      <c r="AZ364" s="1596">
        <f>AZ362-AZ363</f>
        <v/>
      </c>
      <c r="BA364" s="1597">
        <f>BA362-BA363</f>
        <v/>
      </c>
      <c r="BB364" s="1597">
        <f>BB362-BB363</f>
        <v/>
      </c>
      <c r="BC364" s="1597">
        <f>BC362-BC363</f>
        <v/>
      </c>
      <c r="BD364" s="1597">
        <f>BD362-BD363</f>
        <v/>
      </c>
      <c r="BE364" s="1596">
        <f>BE362-BE363</f>
        <v/>
      </c>
      <c r="BF364" s="1597">
        <f>BF362-BF363</f>
        <v/>
      </c>
      <c r="BG364" s="1597">
        <f>BG362-BG363</f>
        <v/>
      </c>
      <c r="BH364" s="1597">
        <f>BH362-BH363</f>
        <v/>
      </c>
      <c r="BI364" s="1597">
        <f>BI362-BI363</f>
        <v/>
      </c>
      <c r="BJ364" s="1596">
        <f>BJ362-BJ363</f>
        <v/>
      </c>
      <c r="BK364" s="1597">
        <f>BK362-BK363</f>
        <v/>
      </c>
      <c r="BL364" s="1597">
        <f>BL362-BL363</f>
        <v/>
      </c>
      <c r="BM364" s="1597">
        <f>BM362-BM363</f>
        <v/>
      </c>
      <c r="BN364" s="1597">
        <f>BN362-BN363</f>
        <v/>
      </c>
      <c r="BO364" s="1599">
        <f>BO362-BO363</f>
        <v/>
      </c>
      <c r="BP364" s="1600" t="n"/>
      <c r="BQ364" s="1600" t="n"/>
      <c r="BR364" s="1600" t="n"/>
      <c r="BS364" s="1600" t="n"/>
      <c r="BT364" s="1601" t="n"/>
      <c r="BU364" s="1600" t="n"/>
      <c r="BV364" s="1600" t="n"/>
      <c r="BW364" s="1600" t="n"/>
      <c r="BX364" s="1600" t="n"/>
      <c r="BY364" s="1601" t="n"/>
      <c r="BZ364" s="1601" t="n"/>
      <c r="CA364" s="1601" t="n"/>
      <c r="CB364" s="1601" t="n"/>
      <c r="CC364" s="1331" t="n"/>
    </row>
    <row r="365" hidden="1" outlineLevel="1" ht="14.4" customFormat="1" customHeight="1" s="1323">
      <c r="A365" s="1602" t="n"/>
      <c r="B365" s="1393" t="n"/>
      <c r="C365" s="1603" t="n"/>
      <c r="D365" s="1603" t="n"/>
      <c r="E365" s="1603" t="n"/>
      <c r="F365" s="1603" t="n"/>
      <c r="G365" s="1603" t="n"/>
      <c r="H365" s="1528" t="n"/>
      <c r="I365" s="1528" t="n"/>
      <c r="J365" s="1528" t="n"/>
      <c r="K365" s="1528" t="n"/>
      <c r="L365" s="1603" t="n"/>
      <c r="M365" s="1528" t="n"/>
      <c r="N365" s="1528" t="n"/>
      <c r="O365" s="1528" t="n"/>
      <c r="P365" s="1528" t="n"/>
      <c r="Q365" s="1603" t="n"/>
      <c r="R365" s="1528" t="n"/>
      <c r="S365" s="1327" t="n"/>
      <c r="T365" s="1528" t="n"/>
      <c r="U365" s="1528" t="n"/>
      <c r="V365" s="1603" t="n"/>
      <c r="W365" s="1528" t="n"/>
      <c r="X365" s="1327" t="n"/>
      <c r="Y365" s="1327" t="n"/>
      <c r="Z365" s="1528" t="n"/>
      <c r="AA365" s="1603" t="n"/>
      <c r="AB365" s="1528" t="n"/>
      <c r="AC365" s="1327" t="n"/>
      <c r="AD365" s="1327" t="n"/>
      <c r="AE365" s="1528" t="n"/>
      <c r="AF365" s="1603" t="n"/>
      <c r="AG365" s="1528" t="n"/>
      <c r="AH365" s="1327" t="n"/>
      <c r="AI365" s="1327" t="n"/>
      <c r="AJ365" s="1528" t="n"/>
      <c r="AK365" s="1603" t="n"/>
      <c r="AL365" s="1528" t="n"/>
      <c r="AM365" s="1327" t="n"/>
      <c r="AN365" s="1327" t="n"/>
      <c r="AO365" s="1528" t="n"/>
      <c r="AP365" s="1603" t="n"/>
      <c r="AQ365" s="1528" t="n"/>
      <c r="AR365" s="1327" t="n"/>
      <c r="AS365" s="1327" t="n"/>
      <c r="AT365" s="1528" t="n"/>
      <c r="AU365" s="1603" t="n"/>
      <c r="AV365" s="1528" t="n"/>
      <c r="AW365" s="1327" t="n"/>
      <c r="AX365" s="1327" t="n"/>
      <c r="AY365" s="1528" t="n"/>
      <c r="AZ365" s="1603" t="n"/>
      <c r="BA365" s="1528" t="n"/>
      <c r="BB365" s="1327" t="n"/>
      <c r="BC365" s="1327" t="n"/>
      <c r="BD365" s="1528" t="n"/>
      <c r="BE365" s="1603" t="n"/>
      <c r="BF365" s="1528" t="n"/>
      <c r="BG365" s="1346" t="n"/>
      <c r="BH365" s="1346" t="n"/>
      <c r="BI365" s="1528" t="n"/>
      <c r="BJ365" s="1603" t="n"/>
      <c r="BK365" s="1528" t="n"/>
      <c r="BL365" s="1346" t="n"/>
      <c r="BM365" s="1346" t="n"/>
      <c r="BN365" s="1528" t="n"/>
      <c r="BO365" s="1604" t="n"/>
      <c r="BP365" s="1327" t="n"/>
      <c r="BQ365" s="1327" t="n"/>
      <c r="BR365" s="1327" t="n"/>
      <c r="BS365" s="1327" t="n"/>
      <c r="BT365" s="1326" t="n"/>
      <c r="BU365" s="1327" t="n"/>
      <c r="BV365" s="1327" t="n"/>
      <c r="BW365" s="1327" t="n"/>
      <c r="BX365" s="1327" t="n"/>
      <c r="BY365" s="1326" t="n"/>
      <c r="BZ365" s="1326" t="n"/>
      <c r="CA365" s="1326" t="n"/>
      <c r="CB365" s="1326" t="n"/>
      <c r="CC365" s="1331" t="n"/>
    </row>
    <row r="366" hidden="1" outlineLevel="1" ht="14.4" customFormat="1" customHeight="1" s="1275">
      <c r="A366" s="1605" t="inlineStr">
        <is>
          <t>IS Check</t>
        </is>
      </c>
      <c r="B366" s="1605" t="n"/>
      <c r="C366" s="1606">
        <f>IF(ISBLANK(INDEX(MO_IS_FirstRow,0,COLUMN())),0,ROUND(C362-C675-C676,6))</f>
        <v/>
      </c>
      <c r="D366" s="1606">
        <f>IF(ISBLANK(INDEX(MO_IS_FirstRow,0,COLUMN())),0,ROUND(D362-D675-D676,6))</f>
        <v/>
      </c>
      <c r="E366" s="1606">
        <f>IF(ISBLANK(INDEX(MO_IS_FirstRow,0,COLUMN())),0,ROUND(E362-E675-E676,6))</f>
        <v/>
      </c>
      <c r="F366" s="1606">
        <f>IF(ISBLANK(INDEX(MO_IS_FirstRow,0,COLUMN())),0,ROUND(F358-F674,6))</f>
        <v/>
      </c>
      <c r="G366" s="1606">
        <f>IF(ISBLANK(INDEX(MO_IS_FirstRow,0,COLUMN())),0,ROUND(G358-G674,6))</f>
        <v/>
      </c>
      <c r="H366" s="1606">
        <f>IF(ISBLANK(INDEX(MO_IS_FirstRow,0,COLUMN())),0,ROUND(H358-H674,6))</f>
        <v/>
      </c>
      <c r="I366" s="1606">
        <f>IF(ISBLANK(INDEX(MO_IS_FirstRow,0,COLUMN())),0,ROUND(I358-I674,6))</f>
        <v/>
      </c>
      <c r="J366" s="1606">
        <f>IF(ISBLANK(INDEX(MO_IS_FirstRow,0,COLUMN())),0,ROUND(J358-J674,6))</f>
        <v/>
      </c>
      <c r="K366" s="1606">
        <f>IF(ISBLANK(INDEX(MO_IS_FirstRow,0,COLUMN())),0,ROUND(K358-K674,6))</f>
        <v/>
      </c>
      <c r="L366" s="1606">
        <f>IF(ISBLANK(INDEX(MO_IS_FirstRow,0,COLUMN())),0,ROUND(L358-L674,6))</f>
        <v/>
      </c>
      <c r="M366" s="1606">
        <f>IF(ISBLANK(INDEX(MO_IS_FirstRow,0,COLUMN())),0,ROUND(M358-M674,6))</f>
        <v/>
      </c>
      <c r="N366" s="1606">
        <f>IF(ISBLANK(INDEX(MO_IS_FirstRow,0,COLUMN())),0,ROUND(N358-N674,6))</f>
        <v/>
      </c>
      <c r="O366" s="1606">
        <f>IF(ISBLANK(INDEX(MO_IS_FirstRow,0,COLUMN())),0,ROUND(O358-O674,6))</f>
        <v/>
      </c>
      <c r="P366" s="1606">
        <f>IF(ISBLANK(INDEX(MO_IS_FirstRow,0,COLUMN())),0,ROUND(P358-P674,6))</f>
        <v/>
      </c>
      <c r="Q366" s="1606">
        <f>IF(ISBLANK(INDEX(MO_IS_FirstRow,0,COLUMN())),0,ROUND(Q358-Q674,6))</f>
        <v/>
      </c>
      <c r="R366" s="1606">
        <f>IF(ISBLANK(INDEX(MO_IS_FirstRow,0,COLUMN())),0,ROUND(R358-R674,6))</f>
        <v/>
      </c>
      <c r="S366" s="1606">
        <f>IF(ISBLANK(INDEX(MO_IS_FirstRow,0,COLUMN())),0,ROUND(S358-S674,6))</f>
        <v/>
      </c>
      <c r="T366" s="1606">
        <f>IF(ISBLANK(INDEX(MO_IS_FirstRow,0,COLUMN())),0,ROUND(T358-T674,6))</f>
        <v/>
      </c>
      <c r="U366" s="1606">
        <f>IF(ISBLANK(INDEX(MO_IS_FirstRow,0,COLUMN())),0,ROUND(U358-U674,6))</f>
        <v/>
      </c>
      <c r="V366" s="1606">
        <f>IF(ISBLANK(INDEX(MO_IS_FirstRow,0,COLUMN())),0,ROUND(V358-V674,6))</f>
        <v/>
      </c>
      <c r="W366" s="1606">
        <f>IF(ISBLANK(INDEX(MO_IS_FirstRow,0,COLUMN())),0,ROUND(W358-W674,6))</f>
        <v/>
      </c>
      <c r="X366" s="1606">
        <f>IF(ISBLANK(INDEX(MO_IS_FirstRow,0,COLUMN())),0,ROUND(X358-X674,6))</f>
        <v/>
      </c>
      <c r="Y366" s="1606">
        <f>IF(ISBLANK(INDEX(MO_IS_FirstRow,0,COLUMN())),0,ROUND(Y358-Y674,6))</f>
        <v/>
      </c>
      <c r="Z366" s="1606">
        <f>IF(ISBLANK(INDEX(MO_IS_FirstRow,0,COLUMN())),0,ROUND(Z358-Z674,6))</f>
        <v/>
      </c>
      <c r="AA366" s="1606">
        <f>IF(ISBLANK(INDEX(MO_IS_FirstRow,0,COLUMN())),0,ROUND(AA358-AA674,6))</f>
        <v/>
      </c>
      <c r="AB366" s="1606">
        <f>IF(ISBLANK(INDEX(MO_IS_FirstRow,0,COLUMN())),0,ROUND(AB358-AB674,6))</f>
        <v/>
      </c>
      <c r="AC366" s="1606">
        <f>IF(ISBLANK(INDEX(MO_IS_FirstRow,0,COLUMN())),0,ROUND(AC358-AC674,6))</f>
        <v/>
      </c>
      <c r="AD366" s="1606">
        <f>IF(ISBLANK(INDEX(MO_IS_FirstRow,0,COLUMN())),0,ROUND(AD358-AD674,6))</f>
        <v/>
      </c>
      <c r="AE366" s="1606">
        <f>IF(ISBLANK(INDEX(MO_IS_FirstRow,0,COLUMN())),0,ROUND(AE358-AE674,6))</f>
        <v/>
      </c>
      <c r="AF366" s="1606">
        <f>IF(ISBLANK(INDEX(MO_IS_FirstRow,0,COLUMN())),0,ROUND(AF358-AF674,6))</f>
        <v/>
      </c>
      <c r="AG366" s="1606">
        <f>IF(ISBLANK(INDEX(MO_IS_FirstRow,0,COLUMN())),0,ROUND(AG358-AG674,6))</f>
        <v/>
      </c>
      <c r="AH366" s="1606">
        <f>IF(ISBLANK(INDEX(MO_IS_FirstRow,0,COLUMN())),0,ROUND(AH358-AH674,6))</f>
        <v/>
      </c>
      <c r="AI366" s="1606">
        <f>IF(ISBLANK(INDEX(MO_IS_FirstRow,0,COLUMN())),0,ROUND(AI358-AI674,6))</f>
        <v/>
      </c>
      <c r="AJ366" s="1606">
        <f>IF(ISBLANK(INDEX(MO_IS_FirstRow,0,COLUMN())),0,ROUND(AJ358-AJ674,6))</f>
        <v/>
      </c>
      <c r="AK366" s="1606">
        <f>IF(ISBLANK(INDEX(MO_IS_FirstRow,0,COLUMN())),0,ROUND(AK358-AK674,6))</f>
        <v/>
      </c>
      <c r="AL366" s="1606">
        <f>IF(ISBLANK(INDEX(MO_IS_FirstRow,0,COLUMN())),0,ROUND(AL358-AL674,6))</f>
        <v/>
      </c>
      <c r="AM366" s="1606">
        <f>IF(ISBLANK(INDEX(MO_IS_FirstRow,0,COLUMN())),0,ROUND(AM358-AM674,6))</f>
        <v/>
      </c>
      <c r="AN366" s="1606">
        <f>IF(ISBLANK(INDEX(MO_IS_FirstRow,0,COLUMN())),0,ROUND(AN358-AN674,6))</f>
        <v/>
      </c>
      <c r="AO366" s="1606">
        <f>IF(ISBLANK(INDEX(MO_IS_FirstRow,0,COLUMN())),0,ROUND(AO358-AO674,6))</f>
        <v/>
      </c>
      <c r="AP366" s="1606">
        <f>IF(ISBLANK(INDEX(MO_IS_FirstRow,0,COLUMN())),0,ROUND(AP358-AP674,6))</f>
        <v/>
      </c>
      <c r="AQ366" s="1606">
        <f>IF(ISBLANK(INDEX(MO_IS_FirstRow,0,COLUMN())),0,ROUND(AQ358-AQ674,6))</f>
        <v/>
      </c>
      <c r="AR366" s="1606">
        <f>IF(ISBLANK(INDEX(MO_IS_FirstRow,0,COLUMN())),0,ROUND(AR358-AR674,6))</f>
        <v/>
      </c>
      <c r="AS366" s="1606">
        <f>IF(ISBLANK(INDEX(MO_IS_FirstRow,0,COLUMN())),0,ROUND(AS358-AS674,6))</f>
        <v/>
      </c>
      <c r="AT366" s="1606">
        <f>IF(ISBLANK(INDEX(MO_IS_FirstRow,0,COLUMN())),0,ROUND(AT358-AT674,6))</f>
        <v/>
      </c>
      <c r="AU366" s="1606">
        <f>IF(ISBLANK(INDEX(MO_IS_FirstRow,0,COLUMN())),0,ROUND(AU358-AU674,6))</f>
        <v/>
      </c>
      <c r="AV366" s="1606">
        <f>IF(ISBLANK(INDEX(MO_IS_FirstRow,0,COLUMN())),0,ROUND(AV358-AV674,6))</f>
        <v/>
      </c>
      <c r="AW366" s="1606">
        <f>IF(ISBLANK(INDEX(MO_IS_FirstRow,0,COLUMN())),0,ROUND(AW358-AW674,6))</f>
        <v/>
      </c>
      <c r="AX366" s="1606">
        <f>IF(ISBLANK(INDEX(MO_IS_FirstRow,0,COLUMN())),0,ROUND(AX358-AX674,6))</f>
        <v/>
      </c>
      <c r="AY366" s="1606">
        <f>IF(ISBLANK(INDEX(MO_IS_FirstRow,0,COLUMN())),0,ROUND(AY358-AY674,6))</f>
        <v/>
      </c>
      <c r="AZ366" s="1606">
        <f>IF(ISBLANK(INDEX(MO_IS_FirstRow,0,COLUMN())),0,ROUND(AZ358-AZ674,6))</f>
        <v/>
      </c>
      <c r="BA366" s="1606">
        <f>IF(ISBLANK(INDEX(MO_IS_FirstRow,0,COLUMN())),0,ROUND(BA358-BA674,6))</f>
        <v/>
      </c>
      <c r="BB366" s="1606">
        <f>IF(ISBLANK(INDEX(MO_IS_FirstRow,0,COLUMN())),0,ROUND(BB358-BB674,6))</f>
        <v/>
      </c>
      <c r="BC366" s="1606">
        <f>IF(ISBLANK(INDEX(MO_IS_FirstRow,0,COLUMN())),0,ROUND(BC358-BC674,6))</f>
        <v/>
      </c>
      <c r="BD366" s="1606">
        <f>IF(ISBLANK(INDEX(MO_IS_FirstRow,0,COLUMN())),0,ROUND(BD358-BD674,6))</f>
        <v/>
      </c>
      <c r="BE366" s="1606">
        <f>IF(ISBLANK(INDEX(MO_IS_FirstRow,0,COLUMN())),0,ROUND(BE358-BE674,6))</f>
        <v/>
      </c>
      <c r="BF366" s="1606">
        <f>IF(ISBLANK(INDEX(MO_IS_FirstRow,0,COLUMN())),0,ROUND(BF358-BF674,6))</f>
        <v/>
      </c>
      <c r="BG366" s="1606">
        <f>IF(ISBLANK(INDEX(MO_IS_FirstRow,0,COLUMN())),0,ROUND(BG358-BG674,6))</f>
        <v/>
      </c>
      <c r="BH366" s="1606">
        <f>IF(ISBLANK(INDEX(MO_IS_FirstRow,0,COLUMN())),0,ROUND(BH358-BH674,6))</f>
        <v/>
      </c>
      <c r="BI366" s="1606">
        <f>IF(ISBLANK(INDEX(MO_IS_FirstRow,0,COLUMN())),0,ROUND(BI358-BI674,6))</f>
        <v/>
      </c>
      <c r="BJ366" s="1606">
        <f>IF(ISBLANK(INDEX(MO_IS_FirstRow,0,COLUMN())),0,ROUND(BJ358-BJ674,6))</f>
        <v/>
      </c>
      <c r="BK366" s="1606">
        <f>IF(ISBLANK(INDEX(MO_IS_FirstRow,0,COLUMN())),0,ROUND(BK358-BK674,6))</f>
        <v/>
      </c>
      <c r="BL366" s="1606">
        <f>IF(ISBLANK(INDEX(MO_IS_FirstRow,0,COLUMN())),0,ROUND(BL358-BL674,6))</f>
        <v/>
      </c>
      <c r="BM366" s="1606">
        <f>IF(ISBLANK(INDEX(MO_IS_FirstRow,0,COLUMN())),0,ROUND(BM358-BM674,6))</f>
        <v/>
      </c>
      <c r="BN366" s="1606">
        <f>IF(ISBLANK(INDEX(MO_IS_FirstRow,0,COLUMN())),0,ROUND(BN358-BN674,6))</f>
        <v/>
      </c>
      <c r="BO366" s="1607">
        <f>IF(ISBLANK(INDEX(MO_IS_FirstRow,0,COLUMN())),0,ROUND(BO358-BO674,6))</f>
        <v/>
      </c>
      <c r="BP366" s="1606">
        <f>IF(ISBLANK(INDEX(MO_IS_FirstRow,0,COLUMN())),0,ROUND(BP358-BP674,0))</f>
        <v/>
      </c>
      <c r="BQ366" s="1606">
        <f>IF(ISBLANK(INDEX(MO_IS_FirstRow,0,COLUMN())),0,ROUND(BQ358-BQ674,0))</f>
        <v/>
      </c>
      <c r="BR366" s="1606">
        <f>IF(ISBLANK(INDEX(MO_IS_FirstRow,0,COLUMN())),0,ROUND(BR358-BR674,0))</f>
        <v/>
      </c>
      <c r="BS366" s="1606">
        <f>IF(ISBLANK(INDEX(MO_IS_FirstRow,0,COLUMN())),0,ROUND(BS358-BS674,0))</f>
        <v/>
      </c>
      <c r="BT366" s="1606">
        <f>IF(ISBLANK(INDEX(MO_IS_FirstRow,0,COLUMN())),0,ROUND(BT358-BT674,0))</f>
        <v/>
      </c>
      <c r="BU366" s="1606">
        <f>IF(ISBLANK(INDEX(MO_IS_FirstRow,0,COLUMN())),0,ROUND(BU358-BU674,0))</f>
        <v/>
      </c>
      <c r="BV366" s="1606">
        <f>IF(ISBLANK(INDEX(MO_IS_FirstRow,0,COLUMN())),0,ROUND(BV358-BV674,0))</f>
        <v/>
      </c>
      <c r="BW366" s="1606">
        <f>IF(ISBLANK(INDEX(MO_IS_FirstRow,0,COLUMN())),0,ROUND(BW358-BW674,0))</f>
        <v/>
      </c>
      <c r="BX366" s="1606">
        <f>IF(ISBLANK(INDEX(MO_IS_FirstRow,0,COLUMN())),0,ROUND(BX358-BX674,0))</f>
        <v/>
      </c>
      <c r="BY366" s="1606">
        <f>IF(ISBLANK(INDEX(MO_IS_FirstRow,0,COLUMN())),0,ROUND(BY358-BY674,0))</f>
        <v/>
      </c>
      <c r="BZ366" s="1606">
        <f>IF(ISBLANK(INDEX(MO_IS_FirstRow,0,COLUMN())),0,ROUND(BZ358-BZ674,0))</f>
        <v/>
      </c>
      <c r="CA366" s="1606">
        <f>IF(ISBLANK(INDEX(MO_IS_FirstRow,0,COLUMN())),0,ROUND(CA358-CA674,0))</f>
        <v/>
      </c>
      <c r="CB366" s="1606">
        <f>IF(ISBLANK(INDEX(MO_IS_FirstRow,0,COLUMN())),0,ROUND(CB358-CB674,0))</f>
        <v/>
      </c>
      <c r="CC366" s="1280" t="n"/>
    </row>
    <row r="367" collapsed="1" ht="14.4" customFormat="1" customHeight="1" s="1323">
      <c r="A367" s="1384" t="n"/>
      <c r="B367" s="1394" t="n"/>
      <c r="C367" s="1297" t="n"/>
      <c r="D367" s="1297" t="n"/>
      <c r="E367" s="1297" t="n"/>
      <c r="F367" s="1297" t="n"/>
      <c r="G367" s="1297" t="n"/>
      <c r="H367" s="1277" t="n"/>
      <c r="I367" s="1277" t="n"/>
      <c r="J367" s="1277" t="n"/>
      <c r="K367" s="1277" t="n"/>
      <c r="L367" s="1297" t="n"/>
      <c r="M367" s="1277" t="n"/>
      <c r="N367" s="1277" t="n"/>
      <c r="O367" s="1277" t="n"/>
      <c r="P367" s="1277" t="n"/>
      <c r="Q367" s="1297" t="n"/>
      <c r="R367" s="1277" t="n"/>
      <c r="S367" s="1346" t="n"/>
      <c r="T367" s="1277" t="n"/>
      <c r="U367" s="1277" t="n"/>
      <c r="V367" s="1297" t="n"/>
      <c r="W367" s="1277" t="n"/>
      <c r="X367" s="1346" t="n"/>
      <c r="Y367" s="1346" t="n"/>
      <c r="Z367" s="1277" t="n"/>
      <c r="AA367" s="1297" t="n"/>
      <c r="AB367" s="1277" t="n"/>
      <c r="AC367" s="1346" t="n"/>
      <c r="AD367" s="1346" t="n"/>
      <c r="AE367" s="1277" t="n"/>
      <c r="AF367" s="1297" t="n"/>
      <c r="AG367" s="1277" t="n"/>
      <c r="AH367" s="1346" t="n"/>
      <c r="AI367" s="1346" t="n"/>
      <c r="AJ367" s="1277" t="n"/>
      <c r="AK367" s="1297" t="n"/>
      <c r="AL367" s="1277" t="n"/>
      <c r="AM367" s="1346" t="n"/>
      <c r="AN367" s="1346" t="n"/>
      <c r="AO367" s="1277" t="n"/>
      <c r="AP367" s="1297" t="n"/>
      <c r="AQ367" s="1277" t="n"/>
      <c r="AR367" s="1346" t="n"/>
      <c r="AS367" s="1346" t="n"/>
      <c r="AT367" s="1277" t="n"/>
      <c r="AU367" s="1297" t="n"/>
      <c r="AV367" s="1277" t="n"/>
      <c r="AW367" s="1346" t="n"/>
      <c r="AX367" s="1346" t="n"/>
      <c r="AY367" s="1277" t="n"/>
      <c r="AZ367" s="1297" t="n"/>
      <c r="BA367" s="1277" t="n"/>
      <c r="BB367" s="1346" t="n"/>
      <c r="BC367" s="1346" t="n"/>
      <c r="BD367" s="1277" t="n"/>
      <c r="BE367" s="1297" t="n"/>
      <c r="BF367" s="1277" t="n"/>
      <c r="BG367" s="1346" t="n"/>
      <c r="BH367" s="1346" t="n"/>
      <c r="BI367" s="1277" t="n"/>
      <c r="BJ367" s="1297" t="n"/>
      <c r="BK367" s="1277" t="n"/>
      <c r="BL367" s="1346" t="n"/>
      <c r="BM367" s="1346" t="n"/>
      <c r="BN367" s="1277" t="n"/>
      <c r="BO367" s="1382" t="n"/>
      <c r="BP367" s="1346" t="n"/>
      <c r="BQ367" s="1346" t="n"/>
      <c r="BR367" s="1346" t="n"/>
      <c r="BS367" s="1346" t="n"/>
      <c r="BT367" s="1345" t="n"/>
      <c r="BU367" s="1346" t="n"/>
      <c r="BV367" s="1346" t="n"/>
      <c r="BW367" s="1346" t="n"/>
      <c r="BX367" s="1346" t="n"/>
      <c r="BY367" s="1345" t="n"/>
      <c r="BZ367" s="1345" t="n"/>
      <c r="CA367" s="1345" t="n"/>
      <c r="CB367" s="1345" t="n"/>
      <c r="CC367" s="1331" t="n"/>
    </row>
    <row r="368" ht="14.4" customFormat="1" customHeight="1" s="1275">
      <c r="A368" s="1357" t="inlineStr">
        <is>
          <t>Revised Income Statement</t>
        </is>
      </c>
      <c r="B368" s="1358" t="n"/>
      <c r="C368" s="1358" t="n"/>
      <c r="D368" s="1358" t="n"/>
      <c r="E368" s="1358" t="n"/>
      <c r="F368" s="1358" t="n"/>
      <c r="G368" s="1358" t="n"/>
      <c r="H368" s="1358" t="n"/>
      <c r="I368" s="1358" t="n"/>
      <c r="J368" s="1358" t="n"/>
      <c r="K368" s="1358" t="n"/>
      <c r="L368" s="1358" t="n"/>
      <c r="M368" s="1358" t="n"/>
      <c r="N368" s="1358" t="n"/>
      <c r="O368" s="1358" t="n"/>
      <c r="P368" s="1358" t="n"/>
      <c r="Q368" s="1358" t="n"/>
      <c r="R368" s="1358" t="n"/>
      <c r="S368" s="1358" t="n"/>
      <c r="T368" s="1358" t="n"/>
      <c r="U368" s="1358" t="n"/>
      <c r="V368" s="1358" t="n"/>
      <c r="W368" s="1358" t="n"/>
      <c r="X368" s="1358" t="n"/>
      <c r="Y368" s="1358" t="n"/>
      <c r="Z368" s="1358" t="n"/>
      <c r="AA368" s="1358" t="n"/>
      <c r="AB368" s="1358" t="n"/>
      <c r="AC368" s="1358" t="n"/>
      <c r="AD368" s="1358" t="n"/>
      <c r="AE368" s="1358" t="n"/>
      <c r="AF368" s="1358" t="n"/>
      <c r="AG368" s="1358" t="n"/>
      <c r="AH368" s="1358" t="n"/>
      <c r="AI368" s="1358" t="n"/>
      <c r="AJ368" s="1358" t="n"/>
      <c r="AK368" s="1358" t="n"/>
      <c r="AL368" s="1358" t="n"/>
      <c r="AM368" s="1358" t="n"/>
      <c r="AN368" s="1358" t="n"/>
      <c r="AO368" s="1358" t="n"/>
      <c r="AP368" s="1358" t="n"/>
      <c r="AQ368" s="1358" t="n"/>
      <c r="AR368" s="1358" t="n"/>
      <c r="AS368" s="1358" t="n"/>
      <c r="AT368" s="1358" t="n"/>
      <c r="AU368" s="1358" t="n"/>
      <c r="AV368" s="1358" t="n"/>
      <c r="AW368" s="1358" t="n"/>
      <c r="AX368" s="1358" t="n"/>
      <c r="AY368" s="1358" t="n"/>
      <c r="AZ368" s="1358" t="n"/>
      <c r="BA368" s="1358" t="n"/>
      <c r="BB368" s="1358" t="n"/>
      <c r="BC368" s="1358" t="n"/>
      <c r="BD368" s="1358" t="n"/>
      <c r="BE368" s="1358" t="n"/>
      <c r="BF368" s="1358" t="n"/>
      <c r="BG368" s="1358" t="n"/>
      <c r="BH368" s="1358" t="n"/>
      <c r="BI368" s="1358" t="n"/>
      <c r="BJ368" s="1358" t="n"/>
      <c r="BK368" s="1358" t="n"/>
      <c r="BL368" s="1358" t="n"/>
      <c r="BM368" s="1358" t="n"/>
      <c r="BN368" s="1358" t="n"/>
      <c r="BO368" s="1359" t="n"/>
      <c r="BP368" s="1358" t="n"/>
      <c r="BQ368" s="1358" t="n"/>
      <c r="BR368" s="1358" t="n"/>
      <c r="BS368" s="1358" t="n"/>
      <c r="BT368" s="1358" t="n"/>
      <c r="BU368" s="1358" t="n"/>
      <c r="BV368" s="1358" t="n"/>
      <c r="BW368" s="1358" t="n"/>
      <c r="BX368" s="1358" t="n"/>
      <c r="BY368" s="1358" t="n"/>
      <c r="BZ368" s="1358" t="n"/>
      <c r="CA368" s="1358" t="n"/>
      <c r="CB368" s="1358" t="n"/>
      <c r="CC368" s="1280" t="n"/>
    </row>
    <row r="369" ht="14.4" customFormat="1" customHeight="1" s="1323">
      <c r="A369" s="1577" t="inlineStr">
        <is>
          <t>Net Revenue</t>
        </is>
      </c>
      <c r="B369" s="1394" t="n"/>
      <c r="C369" s="1593">
        <f>C322</f>
        <v/>
      </c>
      <c r="D369" s="1593">
        <f>D322</f>
        <v/>
      </c>
      <c r="E369" s="1593">
        <f>E322</f>
        <v/>
      </c>
      <c r="F369" s="1593">
        <f>F322</f>
        <v/>
      </c>
      <c r="G369" s="1593">
        <f>G322</f>
        <v/>
      </c>
      <c r="H369" s="1331">
        <f>H322</f>
        <v/>
      </c>
      <c r="I369" s="1331">
        <f>I322</f>
        <v/>
      </c>
      <c r="J369" s="1331">
        <f>J322</f>
        <v/>
      </c>
      <c r="K369" s="1331">
        <f>K322</f>
        <v/>
      </c>
      <c r="L369" s="1593">
        <f>L322</f>
        <v/>
      </c>
      <c r="M369" s="1331">
        <f>M322</f>
        <v/>
      </c>
      <c r="N369" s="1331">
        <f>N322</f>
        <v/>
      </c>
      <c r="O369" s="1331">
        <f>O322</f>
        <v/>
      </c>
      <c r="P369" s="1331">
        <f>P322</f>
        <v/>
      </c>
      <c r="Q369" s="1593">
        <f>Q322</f>
        <v/>
      </c>
      <c r="R369" s="1331">
        <f>R322</f>
        <v/>
      </c>
      <c r="S369" s="1331">
        <f>S322</f>
        <v/>
      </c>
      <c r="T369" s="1331">
        <f>T322</f>
        <v/>
      </c>
      <c r="U369" s="1331">
        <f>U322</f>
        <v/>
      </c>
      <c r="V369" s="1593">
        <f>V322</f>
        <v/>
      </c>
      <c r="W369" s="1331">
        <f>W322</f>
        <v/>
      </c>
      <c r="X369" s="1331">
        <f>X322</f>
        <v/>
      </c>
      <c r="Y369" s="1331">
        <f>Y322</f>
        <v/>
      </c>
      <c r="Z369" s="1331">
        <f>Z322</f>
        <v/>
      </c>
      <c r="AA369" s="1593">
        <f>AA322</f>
        <v/>
      </c>
      <c r="AB369" s="1331">
        <f>AB322</f>
        <v/>
      </c>
      <c r="AC369" s="1331">
        <f>AC322</f>
        <v/>
      </c>
      <c r="AD369" s="1331">
        <f>AD322</f>
        <v/>
      </c>
      <c r="AE369" s="1331">
        <f>AE322</f>
        <v/>
      </c>
      <c r="AF369" s="1593">
        <f>AF322</f>
        <v/>
      </c>
      <c r="AG369" s="1331">
        <f>AG322</f>
        <v/>
      </c>
      <c r="AH369" s="1331">
        <f>AH322</f>
        <v/>
      </c>
      <c r="AI369" s="1331">
        <f>AI322</f>
        <v/>
      </c>
      <c r="AJ369" s="1331">
        <f>AJ322</f>
        <v/>
      </c>
      <c r="AK369" s="1593">
        <f>AK322</f>
        <v/>
      </c>
      <c r="AL369" s="1331">
        <f>AL322</f>
        <v/>
      </c>
      <c r="AM369" s="1331">
        <f>AM322</f>
        <v/>
      </c>
      <c r="AN369" s="1331">
        <f>AN322</f>
        <v/>
      </c>
      <c r="AO369" s="1331">
        <f>AO322</f>
        <v/>
      </c>
      <c r="AP369" s="1593">
        <f>AP322</f>
        <v/>
      </c>
      <c r="AQ369" s="1331">
        <f>AQ322</f>
        <v/>
      </c>
      <c r="AR369" s="1331">
        <f>AR322</f>
        <v/>
      </c>
      <c r="AS369" s="1331">
        <f>AS322</f>
        <v/>
      </c>
      <c r="AT369" s="1331">
        <f>AT322</f>
        <v/>
      </c>
      <c r="AU369" s="1593">
        <f>AU322</f>
        <v/>
      </c>
      <c r="AV369" s="1331">
        <f>AV322</f>
        <v/>
      </c>
      <c r="AW369" s="1331">
        <f>AW322</f>
        <v/>
      </c>
      <c r="AX369" s="1331">
        <f>AX322</f>
        <v/>
      </c>
      <c r="AY369" s="1331">
        <f>AY322</f>
        <v/>
      </c>
      <c r="AZ369" s="1593">
        <f>AZ322</f>
        <v/>
      </c>
      <c r="BA369" s="1331">
        <f>BA322</f>
        <v/>
      </c>
      <c r="BB369" s="1331">
        <f>BB322</f>
        <v/>
      </c>
      <c r="BC369" s="1331">
        <f>BC322</f>
        <v/>
      </c>
      <c r="BD369" s="1331">
        <f>BD322</f>
        <v/>
      </c>
      <c r="BE369" s="1593">
        <f>BE322</f>
        <v/>
      </c>
      <c r="BF369" s="1331">
        <f>BF322</f>
        <v/>
      </c>
      <c r="BG369" s="1331">
        <f>BG322</f>
        <v/>
      </c>
      <c r="BH369" s="1331">
        <f>BH322</f>
        <v/>
      </c>
      <c r="BI369" s="1331">
        <f>BI322</f>
        <v/>
      </c>
      <c r="BJ369" s="1593">
        <f>BJ322</f>
        <v/>
      </c>
      <c r="BK369" s="1331">
        <f>BK322</f>
        <v/>
      </c>
      <c r="BL369" s="1331">
        <f>BL322</f>
        <v/>
      </c>
      <c r="BM369" s="1331">
        <f>BM322</f>
        <v/>
      </c>
      <c r="BN369" s="1331">
        <f>BN322</f>
        <v/>
      </c>
      <c r="BO369" s="1578">
        <f>BO322</f>
        <v/>
      </c>
      <c r="BP369" s="1346">
        <f>BP34</f>
        <v/>
      </c>
      <c r="BQ369" s="1346">
        <f>BQ34</f>
        <v/>
      </c>
      <c r="BR369" s="1346">
        <f>BR34</f>
        <v/>
      </c>
      <c r="BS369" s="1346">
        <f>BS34</f>
        <v/>
      </c>
      <c r="BT369" s="1345">
        <f>BT34</f>
        <v/>
      </c>
      <c r="BU369" s="1346">
        <f>BU34</f>
        <v/>
      </c>
      <c r="BV369" s="1346">
        <f>BV34</f>
        <v/>
      </c>
      <c r="BW369" s="1346">
        <f>BW34</f>
        <v/>
      </c>
      <c r="BX369" s="1346">
        <f>BX34</f>
        <v/>
      </c>
      <c r="BY369" s="1345">
        <f>BY34</f>
        <v/>
      </c>
      <c r="BZ369" s="1345">
        <f>BZ34</f>
        <v/>
      </c>
      <c r="CA369" s="1345">
        <f>CA34</f>
        <v/>
      </c>
      <c r="CB369" s="1345">
        <f>CB34</f>
        <v/>
      </c>
      <c r="CC369" s="1331" t="n"/>
    </row>
    <row r="370" ht="14.4" customFormat="1" customHeight="1" s="1608">
      <c r="A370" s="1609">
        <f>CONCATENATE("Consensus Estimates - ",IFERROR(LEFT(A369,FIND("(",A369)-1),A369))</f>
        <v/>
      </c>
      <c r="B370" s="1610" t="n"/>
      <c r="C370" s="1335" t="n"/>
      <c r="D370" s="1335" t="n"/>
      <c r="E370" s="1335" t="n"/>
      <c r="F370" s="1335" t="n"/>
      <c r="G370" s="1335" t="n"/>
      <c r="H370" s="1336" t="n"/>
      <c r="I370" s="1336" t="n"/>
      <c r="J370" s="1336" t="n"/>
      <c r="K370" s="1336" t="n"/>
      <c r="L370" s="1335" t="n"/>
      <c r="M370" s="1336" t="n"/>
      <c r="N370" s="1336" t="n"/>
      <c r="O370" s="1336" t="n"/>
      <c r="P370" s="1336" t="n"/>
      <c r="Q370" s="1335" t="n"/>
      <c r="R370" s="1336" t="n"/>
      <c r="S370" s="1611" t="n"/>
      <c r="T370" s="1336" t="n"/>
      <c r="U370" s="1336" t="n"/>
      <c r="V370" s="1335" t="n"/>
      <c r="W370" s="1336" t="n"/>
      <c r="X370" s="1611" t="n"/>
      <c r="Y370" s="1336" t="n"/>
      <c r="Z370" s="1336" t="n"/>
      <c r="AA370" s="1335" t="n"/>
      <c r="AB370" s="1336" t="n"/>
      <c r="AC370" s="1611" t="n"/>
      <c r="AD370" s="1336" t="n"/>
      <c r="AE370" s="1336" t="n"/>
      <c r="AF370" s="1335" t="n"/>
      <c r="AG370" s="1336" t="n"/>
      <c r="AH370" s="1611" t="n"/>
      <c r="AI370" s="1336" t="n"/>
      <c r="AJ370" s="1336" t="n"/>
      <c r="AK370" s="1335" t="n"/>
      <c r="AL370" s="1336" t="n"/>
      <c r="AM370" s="1611" t="n"/>
      <c r="AN370" s="1336" t="n"/>
      <c r="AO370" s="1336" t="n"/>
      <c r="AP370" s="1335" t="n"/>
      <c r="AQ370" s="1336" t="n"/>
      <c r="AR370" s="1611" t="n"/>
      <c r="AS370" s="1336" t="n"/>
      <c r="AT370" s="1336" t="n"/>
      <c r="AU370" s="1335" t="n"/>
      <c r="AV370" s="1336" t="n"/>
      <c r="AW370" s="1611" t="n"/>
      <c r="AX370" s="1336" t="n"/>
      <c r="AY370" s="1336" t="n"/>
      <c r="AZ370" s="1335" t="n"/>
      <c r="BA370" s="1336" t="n"/>
      <c r="BB370" s="1611" t="n"/>
      <c r="BC370" s="1336" t="n"/>
      <c r="BD370" s="1336" t="n"/>
      <c r="BE370" s="1335" t="n"/>
      <c r="BF370" s="1336" t="n"/>
      <c r="BG370" s="1611" t="n"/>
      <c r="BH370" s="1336" t="n"/>
      <c r="BI370" s="1336" t="n"/>
      <c r="BJ370" s="1335" t="n"/>
      <c r="BK370" s="1336" t="n"/>
      <c r="BL370" s="1611" t="n"/>
      <c r="BM370" s="1336" t="n"/>
      <c r="BN370" s="1336" t="n"/>
      <c r="BO370" s="1337" t="n"/>
      <c r="BP370" s="1338">
        <f>IFERROR(VLOOKUP($A370,tb_ConsensusEstimate,MATCH(BP$5,OFFSET(tb_ConsensusEstimate,0,0,1,COLUMNS(tb_ConsensusEstimate)),0),FALSE)/BP1075,"-")</f>
        <v/>
      </c>
      <c r="BQ370" s="1338">
        <f>IFERROR(VLOOKUP($A370,tb_ConsensusEstimate,MATCH(BQ$5,OFFSET(tb_ConsensusEstimate,0,0,1,COLUMNS(tb_ConsensusEstimate)),0),FALSE)/BQ1075,"-")</f>
        <v/>
      </c>
      <c r="BR370" s="1338">
        <f>IFERROR(VLOOKUP($A370,tb_ConsensusEstimate,MATCH(BR$5,OFFSET(tb_ConsensusEstimate,0,0,1,COLUMNS(tb_ConsensusEstimate)),0),FALSE)/BR1075,"-")</f>
        <v/>
      </c>
      <c r="BS370" s="1338">
        <f>IFERROR(VLOOKUP($A370,tb_ConsensusEstimate,MATCH(BS$5,OFFSET(tb_ConsensusEstimate,0,0,1,COLUMNS(tb_ConsensusEstimate)),0),FALSE)/BS1075,"-")</f>
        <v/>
      </c>
      <c r="BT370" s="1339">
        <f>IFERROR(VLOOKUP($A370,tb_ConsensusEstimate,MATCH(BT$5,OFFSET(tb_ConsensusEstimate,0,0,1,COLUMNS(tb_ConsensusEstimate)),0),FALSE)/BT1075,"-")</f>
        <v/>
      </c>
      <c r="BU370" s="1338">
        <f>IFERROR(VLOOKUP($A370,tb_ConsensusEstimate,MATCH(BU$5,OFFSET(tb_ConsensusEstimate,0,0,1,COLUMNS(tb_ConsensusEstimate)),0),FALSE)/BU1075,"-")</f>
        <v/>
      </c>
      <c r="BV370" s="1338">
        <f>IFERROR(VLOOKUP($A370,tb_ConsensusEstimate,MATCH(BV$5,OFFSET(tb_ConsensusEstimate,0,0,1,COLUMNS(tb_ConsensusEstimate)),0),FALSE)/BV1075,"-")</f>
        <v/>
      </c>
      <c r="BW370" s="1338">
        <f>IFERROR(VLOOKUP($A370,tb_ConsensusEstimate,MATCH(BW$5,OFFSET(tb_ConsensusEstimate,0,0,1,COLUMNS(tb_ConsensusEstimate)),0),FALSE)/BW1075,"-")</f>
        <v/>
      </c>
      <c r="BX370" s="1338">
        <f>IFERROR(VLOOKUP($A370,tb_ConsensusEstimate,MATCH(BX$5,OFFSET(tb_ConsensusEstimate,0,0,1,COLUMNS(tb_ConsensusEstimate)),0),FALSE)/BX1075,"-")</f>
        <v/>
      </c>
      <c r="BY370" s="1339">
        <f>IFERROR(VLOOKUP($A370,tb_ConsensusEstimate,MATCH(BY$5,OFFSET(tb_ConsensusEstimate,0,0,1,COLUMNS(tb_ConsensusEstimate)),0),FALSE)/BY1075,"-")</f>
        <v/>
      </c>
      <c r="BZ370" s="1339">
        <f>IFERROR(VLOOKUP($A370,tb_ConsensusEstimate,MATCH(BZ$5,OFFSET(tb_ConsensusEstimate,0,0,1,COLUMNS(tb_ConsensusEstimate)),0),FALSE)/BZ1075,"-")</f>
        <v/>
      </c>
      <c r="CA370" s="1339">
        <f>IFERROR(VLOOKUP($A370,tb_ConsensusEstimate,MATCH(CA$5,OFFSET(tb_ConsensusEstimate,0,0,1,COLUMNS(tb_ConsensusEstimate)),0),FALSE)/CA1075,"-")</f>
        <v/>
      </c>
      <c r="CB370" s="1339">
        <f>IFERROR(VLOOKUP($A370,tb_ConsensusEstimate,MATCH(CB$5,OFFSET(tb_ConsensusEstimate,0,0,1,COLUMNS(tb_ConsensusEstimate)),0),FALSE)/CB1075,"-")</f>
        <v/>
      </c>
      <c r="CC370" s="1336" t="n"/>
    </row>
    <row r="371" ht="14.4" customFormat="1" customHeight="1" s="1323">
      <c r="A371" s="1344" t="n"/>
      <c r="B371" s="1394" t="n"/>
      <c r="C371" s="1345" t="n"/>
      <c r="D371" s="1345" t="n"/>
      <c r="E371" s="1345" t="n"/>
      <c r="F371" s="1345" t="n"/>
      <c r="G371" s="1345" t="n"/>
      <c r="H371" s="1346" t="n"/>
      <c r="I371" s="1346" t="n"/>
      <c r="J371" s="1346" t="n"/>
      <c r="K371" s="1346" t="n"/>
      <c r="L371" s="1345" t="n"/>
      <c r="M371" s="1346" t="n"/>
      <c r="N371" s="1346" t="n"/>
      <c r="O371" s="1346" t="n"/>
      <c r="P371" s="1346" t="n"/>
      <c r="Q371" s="1345" t="n"/>
      <c r="R371" s="1346" t="n"/>
      <c r="S371" s="1346" t="n"/>
      <c r="T371" s="1346" t="n"/>
      <c r="U371" s="1346" t="n"/>
      <c r="V371" s="1345" t="n"/>
      <c r="W371" s="1346" t="n"/>
      <c r="X371" s="1346" t="n"/>
      <c r="Y371" s="1346" t="n"/>
      <c r="Z371" s="1346" t="n"/>
      <c r="AA371" s="1345" t="n"/>
      <c r="AB371" s="1346" t="n"/>
      <c r="AC371" s="1346" t="n"/>
      <c r="AD371" s="1346" t="n"/>
      <c r="AE371" s="1346" t="n"/>
      <c r="AF371" s="1345" t="n"/>
      <c r="AG371" s="1346" t="n"/>
      <c r="AH371" s="1346" t="n"/>
      <c r="AI371" s="1346" t="n"/>
      <c r="AJ371" s="1346" t="n"/>
      <c r="AK371" s="1345" t="n"/>
      <c r="AL371" s="1346" t="n"/>
      <c r="AM371" s="1346" t="n"/>
      <c r="AN371" s="1346" t="n"/>
      <c r="AO371" s="1346" t="n"/>
      <c r="AP371" s="1345" t="n"/>
      <c r="AQ371" s="1346" t="n"/>
      <c r="AR371" s="1346" t="n"/>
      <c r="AS371" s="1346" t="n"/>
      <c r="AT371" s="1346" t="n"/>
      <c r="AU371" s="1345" t="n"/>
      <c r="AV371" s="1346" t="n"/>
      <c r="AW371" s="1346" t="n"/>
      <c r="AX371" s="1346" t="n"/>
      <c r="AY371" s="1346" t="n"/>
      <c r="AZ371" s="1345" t="n"/>
      <c r="BA371" s="1346" t="n"/>
      <c r="BB371" s="1346" t="n"/>
      <c r="BC371" s="1346" t="n"/>
      <c r="BD371" s="1346" t="n"/>
      <c r="BE371" s="1345" t="n"/>
      <c r="BF371" s="1346" t="n"/>
      <c r="BG371" s="1346" t="n"/>
      <c r="BH371" s="1346" t="n"/>
      <c r="BI371" s="1346" t="n"/>
      <c r="BJ371" s="1345" t="n"/>
      <c r="BK371" s="1346" t="n"/>
      <c r="BL371" s="1346" t="n"/>
      <c r="BM371" s="1346" t="n"/>
      <c r="BN371" s="1346" t="n"/>
      <c r="BO371" s="1347" t="n"/>
      <c r="BP371" s="1346" t="n"/>
      <c r="BQ371" s="1346" t="n"/>
      <c r="BR371" s="1346" t="n"/>
      <c r="BS371" s="1346" t="n"/>
      <c r="BT371" s="1345" t="n"/>
      <c r="BU371" s="1346" t="n"/>
      <c r="BV371" s="1346" t="n"/>
      <c r="BW371" s="1346" t="n"/>
      <c r="BX371" s="1346" t="n"/>
      <c r="BY371" s="1345" t="n"/>
      <c r="BZ371" s="1345" t="n"/>
      <c r="CA371" s="1345" t="n"/>
      <c r="CB371" s="1345" t="n"/>
      <c r="CC371" s="1331" t="n"/>
    </row>
    <row r="372" ht="14.4" customFormat="1" customHeight="1" s="1275">
      <c r="A372" s="1460" t="inlineStr">
        <is>
          <t>COGS</t>
        </is>
      </c>
      <c r="B372" s="1389" t="n"/>
      <c r="C372" s="1463">
        <f>C323-C325</f>
        <v/>
      </c>
      <c r="D372" s="1463">
        <f>D323-D325</f>
        <v/>
      </c>
      <c r="E372" s="1463">
        <f>E323-E325</f>
        <v/>
      </c>
      <c r="F372" s="1463">
        <f>F323-F325</f>
        <v/>
      </c>
      <c r="G372" s="1463">
        <f>G323-G325</f>
        <v/>
      </c>
      <c r="H372" s="1464">
        <f>H323-H325</f>
        <v/>
      </c>
      <c r="I372" s="1464">
        <f>I323-I325</f>
        <v/>
      </c>
      <c r="J372" s="1464">
        <f>J323-J325</f>
        <v/>
      </c>
      <c r="K372" s="1464">
        <f>K323-K325</f>
        <v/>
      </c>
      <c r="L372" s="1463">
        <f>L323-L325</f>
        <v/>
      </c>
      <c r="M372" s="1464">
        <f>M323-M325</f>
        <v/>
      </c>
      <c r="N372" s="1464">
        <f>N323-N325</f>
        <v/>
      </c>
      <c r="O372" s="1464">
        <f>O323-O325</f>
        <v/>
      </c>
      <c r="P372" s="1464">
        <f>P323-P325</f>
        <v/>
      </c>
      <c r="Q372" s="1463">
        <f>Q323-Q325</f>
        <v/>
      </c>
      <c r="R372" s="1464">
        <f>R323-R325</f>
        <v/>
      </c>
      <c r="S372" s="1464">
        <f>S323-S325</f>
        <v/>
      </c>
      <c r="T372" s="1464">
        <f>T323-T325</f>
        <v/>
      </c>
      <c r="U372" s="1464">
        <f>U323-U325</f>
        <v/>
      </c>
      <c r="V372" s="1463">
        <f>V323-V325</f>
        <v/>
      </c>
      <c r="W372" s="1464">
        <f>W323-W325</f>
        <v/>
      </c>
      <c r="X372" s="1464">
        <f>X323-X325</f>
        <v/>
      </c>
      <c r="Y372" s="1464">
        <f>Y323-Y325</f>
        <v/>
      </c>
      <c r="Z372" s="1464">
        <f>Z323-Z325</f>
        <v/>
      </c>
      <c r="AA372" s="1463">
        <f>AA323-AA325</f>
        <v/>
      </c>
      <c r="AB372" s="1464">
        <f>AB323-AB325</f>
        <v/>
      </c>
      <c r="AC372" s="1464">
        <f>AC323-AC325</f>
        <v/>
      </c>
      <c r="AD372" s="1464">
        <f>AD323-AD325</f>
        <v/>
      </c>
      <c r="AE372" s="1464">
        <f>AE323-AE325</f>
        <v/>
      </c>
      <c r="AF372" s="1463">
        <f>AF323-AF325</f>
        <v/>
      </c>
      <c r="AG372" s="1464">
        <f>AG323-AG325</f>
        <v/>
      </c>
      <c r="AH372" s="1464">
        <f>AH323-AH325</f>
        <v/>
      </c>
      <c r="AI372" s="1464">
        <f>AI323-AI325</f>
        <v/>
      </c>
      <c r="AJ372" s="1464">
        <f>AJ323-AJ325</f>
        <v/>
      </c>
      <c r="AK372" s="1463">
        <f>AK323-AK325</f>
        <v/>
      </c>
      <c r="AL372" s="1464">
        <f>AL323-AL325</f>
        <v/>
      </c>
      <c r="AM372" s="1464">
        <f>AM323-AM325</f>
        <v/>
      </c>
      <c r="AN372" s="1464">
        <f>AN323-AN325</f>
        <v/>
      </c>
      <c r="AO372" s="1464">
        <f>AO323-AO325</f>
        <v/>
      </c>
      <c r="AP372" s="1463">
        <f>AP323-AP325</f>
        <v/>
      </c>
      <c r="AQ372" s="1464">
        <f>AQ323-AQ325</f>
        <v/>
      </c>
      <c r="AR372" s="1464">
        <f>AR323-AR325</f>
        <v/>
      </c>
      <c r="AS372" s="1464">
        <f>AS323-AS325</f>
        <v/>
      </c>
      <c r="AT372" s="1464">
        <f>AT323-AT325</f>
        <v/>
      </c>
      <c r="AU372" s="1463">
        <f>AU323-AU325</f>
        <v/>
      </c>
      <c r="AV372" s="1464">
        <f>AV323-AV325</f>
        <v/>
      </c>
      <c r="AW372" s="1464">
        <f>AW323-AW325</f>
        <v/>
      </c>
      <c r="AX372" s="1464">
        <f>AX323-AX325</f>
        <v/>
      </c>
      <c r="AY372" s="1464">
        <f>AY323-AY325</f>
        <v/>
      </c>
      <c r="AZ372" s="1463">
        <f>AZ323-AZ325</f>
        <v/>
      </c>
      <c r="BA372" s="1464">
        <f>BA323-BA325</f>
        <v/>
      </c>
      <c r="BB372" s="1464">
        <f>BB323-BB325</f>
        <v/>
      </c>
      <c r="BC372" s="1464">
        <f>BC323-BC325</f>
        <v/>
      </c>
      <c r="BD372" s="1464">
        <f>BD323-BD325</f>
        <v/>
      </c>
      <c r="BE372" s="1463">
        <f>BE323-BE325</f>
        <v/>
      </c>
      <c r="BF372" s="1464">
        <f>BF323-BF325</f>
        <v/>
      </c>
      <c r="BG372" s="1464">
        <f>BG323-BG325</f>
        <v/>
      </c>
      <c r="BH372" s="1464">
        <f>BH323-BH325</f>
        <v/>
      </c>
      <c r="BI372" s="1464">
        <f>BI323-BI325</f>
        <v/>
      </c>
      <c r="BJ372" s="1463">
        <f>BJ323-BJ325</f>
        <v/>
      </c>
      <c r="BK372" s="1464">
        <f>BK323-BK325</f>
        <v/>
      </c>
      <c r="BL372" s="1464">
        <f>BL323-BL325</f>
        <v/>
      </c>
      <c r="BM372" s="1464">
        <f>BM323-BM325</f>
        <v/>
      </c>
      <c r="BN372" s="1464">
        <f>BN323-BN325</f>
        <v/>
      </c>
      <c r="BO372" s="1465">
        <f>BO323-BO325</f>
        <v/>
      </c>
      <c r="BP372" s="1365">
        <f>BP369-BP373</f>
        <v/>
      </c>
      <c r="BQ372" s="1365">
        <f>BQ369-BQ373</f>
        <v/>
      </c>
      <c r="BR372" s="1365">
        <f>BR369-BR373</f>
        <v/>
      </c>
      <c r="BS372" s="1365">
        <f>BS369-BS373</f>
        <v/>
      </c>
      <c r="BT372" s="1364">
        <f>BT35</f>
        <v/>
      </c>
      <c r="BU372" s="1365">
        <f>BU369-BU373</f>
        <v/>
      </c>
      <c r="BV372" s="1365">
        <f>BV369-BV373</f>
        <v/>
      </c>
      <c r="BW372" s="1365">
        <f>BW369-BW373</f>
        <v/>
      </c>
      <c r="BX372" s="1365">
        <f>BX369-BX373</f>
        <v/>
      </c>
      <c r="BY372" s="1364">
        <f>BY35</f>
        <v/>
      </c>
      <c r="BZ372" s="1364">
        <f>BZ369-BZ373</f>
        <v/>
      </c>
      <c r="CA372" s="1364">
        <f>CA369-CA373</f>
        <v/>
      </c>
      <c r="CB372" s="1364">
        <f>CB369-CB373</f>
        <v/>
      </c>
      <c r="CC372" s="1280" t="n"/>
    </row>
    <row r="373" ht="14.4" customFormat="1" customHeight="1" s="1323">
      <c r="A373" s="1324" t="inlineStr">
        <is>
          <t>Gross Profit</t>
        </is>
      </c>
      <c r="B373" s="1393" t="n"/>
      <c r="C373" s="1329">
        <f>C369-C372</f>
        <v/>
      </c>
      <c r="D373" s="1329">
        <f>D369-D372</f>
        <v/>
      </c>
      <c r="E373" s="1329">
        <f>E369-E372</f>
        <v/>
      </c>
      <c r="F373" s="1329">
        <f>F369-F372</f>
        <v/>
      </c>
      <c r="G373" s="1329">
        <f>G369-G372</f>
        <v/>
      </c>
      <c r="H373" s="1328">
        <f>H369-H372</f>
        <v/>
      </c>
      <c r="I373" s="1328">
        <f>I369-I372</f>
        <v/>
      </c>
      <c r="J373" s="1328">
        <f>J369-J372</f>
        <v/>
      </c>
      <c r="K373" s="1328">
        <f>K369-K372</f>
        <v/>
      </c>
      <c r="L373" s="1329">
        <f>L369-L372</f>
        <v/>
      </c>
      <c r="M373" s="1328">
        <f>M369-M372</f>
        <v/>
      </c>
      <c r="N373" s="1328">
        <f>N369-N372</f>
        <v/>
      </c>
      <c r="O373" s="1328">
        <f>O369-O372</f>
        <v/>
      </c>
      <c r="P373" s="1328">
        <f>P369-P372</f>
        <v/>
      </c>
      <c r="Q373" s="1329">
        <f>Q369-Q372</f>
        <v/>
      </c>
      <c r="R373" s="1328">
        <f>R369-R372</f>
        <v/>
      </c>
      <c r="S373" s="1328">
        <f>S369-S372</f>
        <v/>
      </c>
      <c r="T373" s="1328">
        <f>T369-T372</f>
        <v/>
      </c>
      <c r="U373" s="1328">
        <f>U369-U372</f>
        <v/>
      </c>
      <c r="V373" s="1329">
        <f>V369-V372</f>
        <v/>
      </c>
      <c r="W373" s="1328">
        <f>W369-W372</f>
        <v/>
      </c>
      <c r="X373" s="1328">
        <f>X369-X372</f>
        <v/>
      </c>
      <c r="Y373" s="1328">
        <f>Y369-Y372</f>
        <v/>
      </c>
      <c r="Z373" s="1328">
        <f>Z369-Z372</f>
        <v/>
      </c>
      <c r="AA373" s="1329">
        <f>AA369-AA372</f>
        <v/>
      </c>
      <c r="AB373" s="1328">
        <f>AB369-AB372</f>
        <v/>
      </c>
      <c r="AC373" s="1328">
        <f>AC369-AC372</f>
        <v/>
      </c>
      <c r="AD373" s="1328">
        <f>AD369-AD372</f>
        <v/>
      </c>
      <c r="AE373" s="1328">
        <f>AE369-AE372</f>
        <v/>
      </c>
      <c r="AF373" s="1329">
        <f>AF369-AF372</f>
        <v/>
      </c>
      <c r="AG373" s="1328">
        <f>AG369-AG372</f>
        <v/>
      </c>
      <c r="AH373" s="1328">
        <f>AH369-AH372</f>
        <v/>
      </c>
      <c r="AI373" s="1328">
        <f>AI369-AI372</f>
        <v/>
      </c>
      <c r="AJ373" s="1328">
        <f>AJ369-AJ372</f>
        <v/>
      </c>
      <c r="AK373" s="1329">
        <f>AK369-AK372</f>
        <v/>
      </c>
      <c r="AL373" s="1328">
        <f>AL369-AL372</f>
        <v/>
      </c>
      <c r="AM373" s="1328">
        <f>AM369-AM372</f>
        <v/>
      </c>
      <c r="AN373" s="1328">
        <f>AN369-AN372</f>
        <v/>
      </c>
      <c r="AO373" s="1328">
        <f>AO369-AO372</f>
        <v/>
      </c>
      <c r="AP373" s="1329">
        <f>AP369-AP372</f>
        <v/>
      </c>
      <c r="AQ373" s="1328">
        <f>AQ369-AQ372</f>
        <v/>
      </c>
      <c r="AR373" s="1328">
        <f>AR369-AR372</f>
        <v/>
      </c>
      <c r="AS373" s="1328">
        <f>AS369-AS372</f>
        <v/>
      </c>
      <c r="AT373" s="1328">
        <f>AT369-AT372</f>
        <v/>
      </c>
      <c r="AU373" s="1329">
        <f>AU369-AU372</f>
        <v/>
      </c>
      <c r="AV373" s="1328">
        <f>AV369-AV372</f>
        <v/>
      </c>
      <c r="AW373" s="1328">
        <f>AW369-AW372</f>
        <v/>
      </c>
      <c r="AX373" s="1328">
        <f>AX369-AX372</f>
        <v/>
      </c>
      <c r="AY373" s="1328">
        <f>AY369-AY372</f>
        <v/>
      </c>
      <c r="AZ373" s="1329">
        <f>AZ369-AZ372</f>
        <v/>
      </c>
      <c r="BA373" s="1328">
        <f>BA369-BA372</f>
        <v/>
      </c>
      <c r="BB373" s="1328">
        <f>BB369-BB372</f>
        <v/>
      </c>
      <c r="BC373" s="1328">
        <f>BC369-BC372</f>
        <v/>
      </c>
      <c r="BD373" s="1328">
        <f>BD369-BD372</f>
        <v/>
      </c>
      <c r="BE373" s="1329">
        <f>BE369-BE372</f>
        <v/>
      </c>
      <c r="BF373" s="1328">
        <f>BF369-BF372</f>
        <v/>
      </c>
      <c r="BG373" s="1328">
        <f>BG369-BG372</f>
        <v/>
      </c>
      <c r="BH373" s="1328">
        <f>BH369-BH372</f>
        <v/>
      </c>
      <c r="BI373" s="1328">
        <f>BI369-BI372</f>
        <v/>
      </c>
      <c r="BJ373" s="1329">
        <f>BJ369-BJ372</f>
        <v/>
      </c>
      <c r="BK373" s="1328">
        <f>BK369-BK372</f>
        <v/>
      </c>
      <c r="BL373" s="1328">
        <f>BL369-BL372</f>
        <v/>
      </c>
      <c r="BM373" s="1328">
        <f>BM369-BM372</f>
        <v/>
      </c>
      <c r="BN373" s="1328">
        <f>BN369-BN372</f>
        <v/>
      </c>
      <c r="BO373" s="1330">
        <f>BO369-BO372</f>
        <v/>
      </c>
      <c r="BP373" s="1327">
        <f>BP36</f>
        <v/>
      </c>
      <c r="BQ373" s="1327">
        <f>BQ36</f>
        <v/>
      </c>
      <c r="BR373" s="1327">
        <f>BR36</f>
        <v/>
      </c>
      <c r="BS373" s="1327">
        <f>BS36</f>
        <v/>
      </c>
      <c r="BT373" s="1326">
        <f>BT369-BT372</f>
        <v/>
      </c>
      <c r="BU373" s="1327">
        <f>BU36</f>
        <v/>
      </c>
      <c r="BV373" s="1327">
        <f>BV36</f>
        <v/>
      </c>
      <c r="BW373" s="1327">
        <f>BW36</f>
        <v/>
      </c>
      <c r="BX373" s="1327">
        <f>BX36</f>
        <v/>
      </c>
      <c r="BY373" s="1326">
        <f>BY369-BY372</f>
        <v/>
      </c>
      <c r="BZ373" s="1326">
        <f>BZ36</f>
        <v/>
      </c>
      <c r="CA373" s="1326">
        <f>CA36</f>
        <v/>
      </c>
      <c r="CB373" s="1326">
        <f>CB36</f>
        <v/>
      </c>
      <c r="CC373" s="1331" t="n"/>
    </row>
    <row r="374" ht="14.4" customFormat="1" customHeight="1" s="1323">
      <c r="A374" s="1344" t="n"/>
      <c r="B374" s="1394" t="n"/>
      <c r="C374" s="1345" t="n"/>
      <c r="D374" s="1345" t="n"/>
      <c r="E374" s="1345" t="n"/>
      <c r="F374" s="1345" t="n"/>
      <c r="G374" s="1345" t="n"/>
      <c r="H374" s="1346" t="n"/>
      <c r="I374" s="1346" t="n"/>
      <c r="J374" s="1346" t="n"/>
      <c r="K374" s="1346" t="n"/>
      <c r="L374" s="1345" t="n"/>
      <c r="M374" s="1346" t="n"/>
      <c r="N374" s="1346" t="n"/>
      <c r="O374" s="1346" t="n"/>
      <c r="P374" s="1346" t="n"/>
      <c r="Q374" s="1345" t="n"/>
      <c r="R374" s="1346" t="n"/>
      <c r="S374" s="1346" t="n"/>
      <c r="T374" s="1346" t="n"/>
      <c r="U374" s="1346" t="n"/>
      <c r="V374" s="1345" t="n"/>
      <c r="W374" s="1346" t="n"/>
      <c r="X374" s="1346" t="n"/>
      <c r="Y374" s="1346" t="n"/>
      <c r="Z374" s="1346" t="n"/>
      <c r="AA374" s="1345" t="n"/>
      <c r="AB374" s="1346" t="n"/>
      <c r="AC374" s="1346" t="n"/>
      <c r="AD374" s="1346" t="n"/>
      <c r="AE374" s="1346" t="n"/>
      <c r="AF374" s="1345" t="n"/>
      <c r="AG374" s="1346" t="n"/>
      <c r="AH374" s="1346" t="n"/>
      <c r="AI374" s="1346" t="n"/>
      <c r="AJ374" s="1346" t="n"/>
      <c r="AK374" s="1345" t="n"/>
      <c r="AL374" s="1346" t="n"/>
      <c r="AM374" s="1346" t="n"/>
      <c r="AN374" s="1346" t="n"/>
      <c r="AO374" s="1346" t="n"/>
      <c r="AP374" s="1345" t="n"/>
      <c r="AQ374" s="1346" t="n"/>
      <c r="AR374" s="1346" t="n"/>
      <c r="AS374" s="1346" t="n"/>
      <c r="AT374" s="1346" t="n"/>
      <c r="AU374" s="1345" t="n"/>
      <c r="AV374" s="1346" t="n"/>
      <c r="AW374" s="1346" t="n"/>
      <c r="AX374" s="1346" t="n"/>
      <c r="AY374" s="1346" t="n"/>
      <c r="AZ374" s="1345" t="n"/>
      <c r="BA374" s="1346" t="n"/>
      <c r="BB374" s="1346" t="n"/>
      <c r="BC374" s="1346" t="n"/>
      <c r="BD374" s="1346" t="n"/>
      <c r="BE374" s="1345" t="n"/>
      <c r="BF374" s="1346" t="n"/>
      <c r="BG374" s="1346" t="n"/>
      <c r="BH374" s="1346" t="n"/>
      <c r="BI374" s="1346" t="n"/>
      <c r="BJ374" s="1345" t="n"/>
      <c r="BK374" s="1346" t="n"/>
      <c r="BL374" s="1346" t="n"/>
      <c r="BM374" s="1346" t="n"/>
      <c r="BN374" s="1346" t="n"/>
      <c r="BO374" s="1347" t="n"/>
      <c r="BP374" s="1346" t="n"/>
      <c r="BQ374" s="1346" t="n"/>
      <c r="BR374" s="1346" t="n"/>
      <c r="BS374" s="1346" t="n"/>
      <c r="BT374" s="1345" t="n"/>
      <c r="BU374" s="1346" t="n"/>
      <c r="BV374" s="1346" t="n"/>
      <c r="BW374" s="1346" t="n"/>
      <c r="BX374" s="1346" t="n"/>
      <c r="BY374" s="1345" t="n"/>
      <c r="BZ374" s="1345" t="n"/>
      <c r="CA374" s="1345" t="n"/>
      <c r="CB374" s="1345" t="n"/>
      <c r="CC374" s="1331" t="n"/>
    </row>
    <row r="375" ht="14.4" customFormat="1" customHeight="1" s="1275">
      <c r="A375" s="1295" t="inlineStr">
        <is>
          <t>R&amp;D</t>
        </is>
      </c>
      <c r="B375" s="1387" t="n"/>
      <c r="C375" s="1446">
        <f>C327</f>
        <v/>
      </c>
      <c r="D375" s="1446">
        <f>D327</f>
        <v/>
      </c>
      <c r="E375" s="1446">
        <f>E327</f>
        <v/>
      </c>
      <c r="F375" s="1446">
        <f>F327</f>
        <v/>
      </c>
      <c r="G375" s="1446">
        <f>G327</f>
        <v/>
      </c>
      <c r="H375" s="1280">
        <f>H327</f>
        <v/>
      </c>
      <c r="I375" s="1280">
        <f>I327</f>
        <v/>
      </c>
      <c r="J375" s="1280">
        <f>J327</f>
        <v/>
      </c>
      <c r="K375" s="1280">
        <f>K327</f>
        <v/>
      </c>
      <c r="L375" s="1446">
        <f>L327</f>
        <v/>
      </c>
      <c r="M375" s="1280">
        <f>M327</f>
        <v/>
      </c>
      <c r="N375" s="1280">
        <f>N327</f>
        <v/>
      </c>
      <c r="O375" s="1280">
        <f>O327</f>
        <v/>
      </c>
      <c r="P375" s="1280">
        <f>P327</f>
        <v/>
      </c>
      <c r="Q375" s="1446">
        <f>Q327</f>
        <v/>
      </c>
      <c r="R375" s="1280">
        <f>R327</f>
        <v/>
      </c>
      <c r="S375" s="1280">
        <f>S327</f>
        <v/>
      </c>
      <c r="T375" s="1280">
        <f>T327</f>
        <v/>
      </c>
      <c r="U375" s="1280">
        <f>U327</f>
        <v/>
      </c>
      <c r="V375" s="1446">
        <f>V327</f>
        <v/>
      </c>
      <c r="W375" s="1280">
        <f>W327</f>
        <v/>
      </c>
      <c r="X375" s="1280">
        <f>X327</f>
        <v/>
      </c>
      <c r="Y375" s="1280">
        <f>Y327</f>
        <v/>
      </c>
      <c r="Z375" s="1280">
        <f>Z327</f>
        <v/>
      </c>
      <c r="AA375" s="1446">
        <f>AA327</f>
        <v/>
      </c>
      <c r="AB375" s="1280">
        <f>AB327</f>
        <v/>
      </c>
      <c r="AC375" s="1280">
        <f>AC327</f>
        <v/>
      </c>
      <c r="AD375" s="1280">
        <f>AD327</f>
        <v/>
      </c>
      <c r="AE375" s="1280">
        <f>AE327</f>
        <v/>
      </c>
      <c r="AF375" s="1446">
        <f>AF327</f>
        <v/>
      </c>
      <c r="AG375" s="1280">
        <f>AG327</f>
        <v/>
      </c>
      <c r="AH375" s="1280">
        <f>AH327</f>
        <v/>
      </c>
      <c r="AI375" s="1280">
        <f>AI327</f>
        <v/>
      </c>
      <c r="AJ375" s="1280">
        <f>AJ327</f>
        <v/>
      </c>
      <c r="AK375" s="1446">
        <f>AK327</f>
        <v/>
      </c>
      <c r="AL375" s="1280">
        <f>AL327</f>
        <v/>
      </c>
      <c r="AM375" s="1280">
        <f>AM327</f>
        <v/>
      </c>
      <c r="AN375" s="1280">
        <f>AN327</f>
        <v/>
      </c>
      <c r="AO375" s="1280">
        <f>AO327</f>
        <v/>
      </c>
      <c r="AP375" s="1446">
        <f>AP327</f>
        <v/>
      </c>
      <c r="AQ375" s="1280">
        <f>AQ327</f>
        <v/>
      </c>
      <c r="AR375" s="1280">
        <f>AR327</f>
        <v/>
      </c>
      <c r="AS375" s="1280">
        <f>AS327</f>
        <v/>
      </c>
      <c r="AT375" s="1280">
        <f>AT327</f>
        <v/>
      </c>
      <c r="AU375" s="1446">
        <f>AU327</f>
        <v/>
      </c>
      <c r="AV375" s="1280">
        <f>AV327</f>
        <v/>
      </c>
      <c r="AW375" s="1280">
        <f>AW327</f>
        <v/>
      </c>
      <c r="AX375" s="1280">
        <f>AX327</f>
        <v/>
      </c>
      <c r="AY375" s="1280">
        <f>AY327</f>
        <v/>
      </c>
      <c r="AZ375" s="1446">
        <f>AZ327</f>
        <v/>
      </c>
      <c r="BA375" s="1280">
        <f>BA327</f>
        <v/>
      </c>
      <c r="BB375" s="1280">
        <f>BB327</f>
        <v/>
      </c>
      <c r="BC375" s="1280">
        <f>BC327</f>
        <v/>
      </c>
      <c r="BD375" s="1280">
        <f>BD327</f>
        <v/>
      </c>
      <c r="BE375" s="1446">
        <f>BE327</f>
        <v/>
      </c>
      <c r="BF375" s="1280">
        <f>BF327</f>
        <v/>
      </c>
      <c r="BG375" s="1280">
        <f>BG327</f>
        <v/>
      </c>
      <c r="BH375" s="1280">
        <f>BH327</f>
        <v/>
      </c>
      <c r="BI375" s="1280">
        <f>BI327</f>
        <v/>
      </c>
      <c r="BJ375" s="1446">
        <f>BJ327</f>
        <v/>
      </c>
      <c r="BK375" s="1280">
        <f>BK327</f>
        <v/>
      </c>
      <c r="BL375" s="1280">
        <f>BL327</f>
        <v/>
      </c>
      <c r="BM375" s="1280">
        <f>BM327</f>
        <v/>
      </c>
      <c r="BN375" s="1280">
        <f>BN327</f>
        <v/>
      </c>
      <c r="BO375" s="1300">
        <f>BO327</f>
        <v/>
      </c>
      <c r="BP375" s="1277">
        <f>BP42</f>
        <v/>
      </c>
      <c r="BQ375" s="1277">
        <f>BQ42</f>
        <v/>
      </c>
      <c r="BR375" s="1277">
        <f>BR42</f>
        <v/>
      </c>
      <c r="BS375" s="1277">
        <f>BS42</f>
        <v/>
      </c>
      <c r="BT375" s="1297">
        <f>SUM(BP375,BQ375,BR375,BS375)</f>
        <v/>
      </c>
      <c r="BU375" s="1277">
        <f>BU42</f>
        <v/>
      </c>
      <c r="BV375" s="1277">
        <f>BV42</f>
        <v/>
      </c>
      <c r="BW375" s="1277">
        <f>BW42</f>
        <v/>
      </c>
      <c r="BX375" s="1277">
        <f>BX42</f>
        <v/>
      </c>
      <c r="BY375" s="1297">
        <f>SUM(BU375,BV375,BW375,BX375)</f>
        <v/>
      </c>
      <c r="BZ375" s="1297">
        <f>BZ42</f>
        <v/>
      </c>
      <c r="CA375" s="1297">
        <f>CA42</f>
        <v/>
      </c>
      <c r="CB375" s="1297">
        <f>CB42</f>
        <v/>
      </c>
      <c r="CC375" s="1280" t="n"/>
    </row>
    <row r="376" ht="14.4" customFormat="1" customHeight="1" s="1275">
      <c r="A376" s="1425" t="inlineStr">
        <is>
          <t>General and administrative</t>
        </is>
      </c>
      <c r="B376" s="1387" t="n"/>
      <c r="C376" s="1297">
        <f>C328</f>
        <v/>
      </c>
      <c r="D376" s="1297">
        <f>D328</f>
        <v/>
      </c>
      <c r="E376" s="1297">
        <f>E328</f>
        <v/>
      </c>
      <c r="F376" s="1297">
        <f>F328</f>
        <v/>
      </c>
      <c r="G376" s="1297">
        <f>G328</f>
        <v/>
      </c>
      <c r="H376" s="1277">
        <f>H328</f>
        <v/>
      </c>
      <c r="I376" s="1277">
        <f>I328</f>
        <v/>
      </c>
      <c r="J376" s="1277">
        <f>J328</f>
        <v/>
      </c>
      <c r="K376" s="1277">
        <f>K328</f>
        <v/>
      </c>
      <c r="L376" s="1297">
        <f>L328</f>
        <v/>
      </c>
      <c r="M376" s="1277">
        <f>M328</f>
        <v/>
      </c>
      <c r="N376" s="1277">
        <f>N328</f>
        <v/>
      </c>
      <c r="O376" s="1277">
        <f>O328</f>
        <v/>
      </c>
      <c r="P376" s="1277">
        <f>P328</f>
        <v/>
      </c>
      <c r="Q376" s="1297">
        <f>Q328</f>
        <v/>
      </c>
      <c r="R376" s="1277">
        <f>R328</f>
        <v/>
      </c>
      <c r="S376" s="1277">
        <f>S328</f>
        <v/>
      </c>
      <c r="T376" s="1277">
        <f>T328</f>
        <v/>
      </c>
      <c r="U376" s="1277">
        <f>U328</f>
        <v/>
      </c>
      <c r="V376" s="1297">
        <f>V328</f>
        <v/>
      </c>
      <c r="W376" s="1277">
        <f>W328</f>
        <v/>
      </c>
      <c r="X376" s="1277">
        <f>X328</f>
        <v/>
      </c>
      <c r="Y376" s="1277">
        <f>Y328</f>
        <v/>
      </c>
      <c r="Z376" s="1277">
        <f>Z328</f>
        <v/>
      </c>
      <c r="AA376" s="1297">
        <f>AA328</f>
        <v/>
      </c>
      <c r="AB376" s="1277">
        <f>AB328</f>
        <v/>
      </c>
      <c r="AC376" s="1277">
        <f>AC328</f>
        <v/>
      </c>
      <c r="AD376" s="1277">
        <f>AD328</f>
        <v/>
      </c>
      <c r="AE376" s="1277">
        <f>AE328</f>
        <v/>
      </c>
      <c r="AF376" s="1297">
        <f>AF328</f>
        <v/>
      </c>
      <c r="AG376" s="1277">
        <f>AG328</f>
        <v/>
      </c>
      <c r="AH376" s="1277">
        <f>AH328</f>
        <v/>
      </c>
      <c r="AI376" s="1277">
        <f>AI328</f>
        <v/>
      </c>
      <c r="AJ376" s="1277">
        <f>AJ328</f>
        <v/>
      </c>
      <c r="AK376" s="1297">
        <f>AK328</f>
        <v/>
      </c>
      <c r="AL376" s="1277">
        <f>AL328</f>
        <v/>
      </c>
      <c r="AM376" s="1277">
        <f>AM328</f>
        <v/>
      </c>
      <c r="AN376" s="1277">
        <f>AN328</f>
        <v/>
      </c>
      <c r="AO376" s="1277">
        <f>AO328</f>
        <v/>
      </c>
      <c r="AP376" s="1297">
        <f>AP328</f>
        <v/>
      </c>
      <c r="AQ376" s="1277">
        <f>AQ328</f>
        <v/>
      </c>
      <c r="AR376" s="1277">
        <f>AR328</f>
        <v/>
      </c>
      <c r="AS376" s="1277">
        <f>AS328</f>
        <v/>
      </c>
      <c r="AT376" s="1277">
        <f>AT328</f>
        <v/>
      </c>
      <c r="AU376" s="1297">
        <f>AU328</f>
        <v/>
      </c>
      <c r="AV376" s="1277">
        <f>AV328</f>
        <v/>
      </c>
      <c r="AW376" s="1277">
        <f>AW328</f>
        <v/>
      </c>
      <c r="AX376" s="1277">
        <f>AX328</f>
        <v/>
      </c>
      <c r="AY376" s="1277">
        <f>AY328</f>
        <v/>
      </c>
      <c r="AZ376" s="1297">
        <f>AZ328</f>
        <v/>
      </c>
      <c r="BA376" s="1277">
        <f>BA328</f>
        <v/>
      </c>
      <c r="BB376" s="1277">
        <f>BB328</f>
        <v/>
      </c>
      <c r="BC376" s="1277">
        <f>BC328</f>
        <v/>
      </c>
      <c r="BD376" s="1277">
        <f>BD328</f>
        <v/>
      </c>
      <c r="BE376" s="1297">
        <f>BE328</f>
        <v/>
      </c>
      <c r="BF376" s="1277">
        <f>BF328</f>
        <v/>
      </c>
      <c r="BG376" s="1277">
        <f>BG328</f>
        <v/>
      </c>
      <c r="BH376" s="1277">
        <f>BH328</f>
        <v/>
      </c>
      <c r="BI376" s="1277">
        <f>BI328</f>
        <v/>
      </c>
      <c r="BJ376" s="1297">
        <f>BJ328</f>
        <v/>
      </c>
      <c r="BK376" s="1277">
        <f>BK328</f>
        <v/>
      </c>
      <c r="BL376" s="1277">
        <f>BL328</f>
        <v/>
      </c>
      <c r="BM376" s="1277">
        <f>BM328</f>
        <v/>
      </c>
      <c r="BN376" s="1277">
        <f>BN328</f>
        <v/>
      </c>
      <c r="BO376" s="1382">
        <f>BO328</f>
        <v/>
      </c>
      <c r="BP376" s="1277">
        <f>BP47</f>
        <v/>
      </c>
      <c r="BQ376" s="1277">
        <f>BQ47</f>
        <v/>
      </c>
      <c r="BR376" s="1277">
        <f>BR47</f>
        <v/>
      </c>
      <c r="BS376" s="1277">
        <f>BS47</f>
        <v/>
      </c>
      <c r="BT376" s="1297">
        <f>SUM(BP376,BQ376,BR376,BS376)</f>
        <v/>
      </c>
      <c r="BU376" s="1277">
        <f>BU47</f>
        <v/>
      </c>
      <c r="BV376" s="1277">
        <f>BV47</f>
        <v/>
      </c>
      <c r="BW376" s="1277">
        <f>BW47</f>
        <v/>
      </c>
      <c r="BX376" s="1277">
        <f>BX47</f>
        <v/>
      </c>
      <c r="BY376" s="1297">
        <f>SUM(BU376,BV376,BW376,BX376)</f>
        <v/>
      </c>
      <c r="BZ376" s="1297">
        <f>BZ47</f>
        <v/>
      </c>
      <c r="CA376" s="1297">
        <f>CA47</f>
        <v/>
      </c>
      <c r="CB376" s="1297">
        <f>CB47</f>
        <v/>
      </c>
      <c r="CC376" s="1280" t="n"/>
    </row>
    <row r="377" ht="14.4" customFormat="1" customHeight="1" s="1275">
      <c r="A377" s="1425" t="inlineStr">
        <is>
          <t>Marketing</t>
        </is>
      </c>
      <c r="B377" s="1387" t="n"/>
      <c r="C377" s="1297">
        <f>C329</f>
        <v/>
      </c>
      <c r="D377" s="1297">
        <f>D329</f>
        <v/>
      </c>
      <c r="E377" s="1297">
        <f>E329</f>
        <v/>
      </c>
      <c r="F377" s="1297">
        <f>F329</f>
        <v/>
      </c>
      <c r="G377" s="1297">
        <f>G329</f>
        <v/>
      </c>
      <c r="H377" s="1277">
        <f>H329</f>
        <v/>
      </c>
      <c r="I377" s="1277">
        <f>I329</f>
        <v/>
      </c>
      <c r="J377" s="1277">
        <f>J329</f>
        <v/>
      </c>
      <c r="K377" s="1277">
        <f>K329</f>
        <v/>
      </c>
      <c r="L377" s="1297">
        <f>L329</f>
        <v/>
      </c>
      <c r="M377" s="1277">
        <f>M329</f>
        <v/>
      </c>
      <c r="N377" s="1277">
        <f>N329</f>
        <v/>
      </c>
      <c r="O377" s="1277">
        <f>O329</f>
        <v/>
      </c>
      <c r="P377" s="1277">
        <f>P329</f>
        <v/>
      </c>
      <c r="Q377" s="1297">
        <f>Q329</f>
        <v/>
      </c>
      <c r="R377" s="1277">
        <f>R329</f>
        <v/>
      </c>
      <c r="S377" s="1277">
        <f>S329</f>
        <v/>
      </c>
      <c r="T377" s="1277">
        <f>T329</f>
        <v/>
      </c>
      <c r="U377" s="1277">
        <f>U329</f>
        <v/>
      </c>
      <c r="V377" s="1297">
        <f>V329</f>
        <v/>
      </c>
      <c r="W377" s="1277">
        <f>W329</f>
        <v/>
      </c>
      <c r="X377" s="1277">
        <f>X329</f>
        <v/>
      </c>
      <c r="Y377" s="1277">
        <f>Y329</f>
        <v/>
      </c>
      <c r="Z377" s="1277">
        <f>Z329</f>
        <v/>
      </c>
      <c r="AA377" s="1297">
        <f>AA329</f>
        <v/>
      </c>
      <c r="AB377" s="1277">
        <f>AB329</f>
        <v/>
      </c>
      <c r="AC377" s="1277">
        <f>AC329</f>
        <v/>
      </c>
      <c r="AD377" s="1277">
        <f>AD329</f>
        <v/>
      </c>
      <c r="AE377" s="1277">
        <f>AE329</f>
        <v/>
      </c>
      <c r="AF377" s="1297">
        <f>AF329</f>
        <v/>
      </c>
      <c r="AG377" s="1277">
        <f>AG329</f>
        <v/>
      </c>
      <c r="AH377" s="1277">
        <f>AH329</f>
        <v/>
      </c>
      <c r="AI377" s="1277">
        <f>AI329</f>
        <v/>
      </c>
      <c r="AJ377" s="1277">
        <f>AJ329</f>
        <v/>
      </c>
      <c r="AK377" s="1297">
        <f>AK329</f>
        <v/>
      </c>
      <c r="AL377" s="1277">
        <f>AL329</f>
        <v/>
      </c>
      <c r="AM377" s="1277">
        <f>AM329</f>
        <v/>
      </c>
      <c r="AN377" s="1277">
        <f>AN329</f>
        <v/>
      </c>
      <c r="AO377" s="1277">
        <f>AO329</f>
        <v/>
      </c>
      <c r="AP377" s="1297">
        <f>AP329</f>
        <v/>
      </c>
      <c r="AQ377" s="1277">
        <f>AQ329</f>
        <v/>
      </c>
      <c r="AR377" s="1277">
        <f>AR329</f>
        <v/>
      </c>
      <c r="AS377" s="1277">
        <f>AS329</f>
        <v/>
      </c>
      <c r="AT377" s="1277">
        <f>AT329</f>
        <v/>
      </c>
      <c r="AU377" s="1297">
        <f>AU329</f>
        <v/>
      </c>
      <c r="AV377" s="1277">
        <f>AV329</f>
        <v/>
      </c>
      <c r="AW377" s="1277">
        <f>AW329</f>
        <v/>
      </c>
      <c r="AX377" s="1277">
        <f>AX329</f>
        <v/>
      </c>
      <c r="AY377" s="1277">
        <f>AY329</f>
        <v/>
      </c>
      <c r="AZ377" s="1297">
        <f>AZ329</f>
        <v/>
      </c>
      <c r="BA377" s="1277">
        <f>BA329</f>
        <v/>
      </c>
      <c r="BB377" s="1277">
        <f>BB329</f>
        <v/>
      </c>
      <c r="BC377" s="1277">
        <f>BC329</f>
        <v/>
      </c>
      <c r="BD377" s="1277">
        <f>BD329</f>
        <v/>
      </c>
      <c r="BE377" s="1297">
        <f>BE329</f>
        <v/>
      </c>
      <c r="BF377" s="1277">
        <f>BF329</f>
        <v/>
      </c>
      <c r="BG377" s="1277">
        <f>BG329</f>
        <v/>
      </c>
      <c r="BH377" s="1277">
        <f>BH329</f>
        <v/>
      </c>
      <c r="BI377" s="1277">
        <f>BI329</f>
        <v/>
      </c>
      <c r="BJ377" s="1297">
        <f>BJ329</f>
        <v/>
      </c>
      <c r="BK377" s="1277">
        <f>BK329</f>
        <v/>
      </c>
      <c r="BL377" s="1277">
        <f>BL329</f>
        <v/>
      </c>
      <c r="BM377" s="1277">
        <f>BM329</f>
        <v/>
      </c>
      <c r="BN377" s="1277">
        <f>BN329</f>
        <v/>
      </c>
      <c r="BO377" s="1382">
        <f>BO329</f>
        <v/>
      </c>
      <c r="BP377" s="1277">
        <f>BP52</f>
        <v/>
      </c>
      <c r="BQ377" s="1277">
        <f>BQ52</f>
        <v/>
      </c>
      <c r="BR377" s="1277">
        <f>BR52</f>
        <v/>
      </c>
      <c r="BS377" s="1277">
        <f>BS52</f>
        <v/>
      </c>
      <c r="BT377" s="1297">
        <f>SUM(BP377,BQ377,BR377,BS377)</f>
        <v/>
      </c>
      <c r="BU377" s="1277">
        <f>BU52</f>
        <v/>
      </c>
      <c r="BV377" s="1277">
        <f>BV52</f>
        <v/>
      </c>
      <c r="BW377" s="1277">
        <f>BW52</f>
        <v/>
      </c>
      <c r="BX377" s="1277">
        <f>BX52</f>
        <v/>
      </c>
      <c r="BY377" s="1297">
        <f>SUM(BU377,BV377,BW377,BX377)</f>
        <v/>
      </c>
      <c r="BZ377" s="1297">
        <f>BZ52</f>
        <v/>
      </c>
      <c r="CA377" s="1297">
        <f>CA52</f>
        <v/>
      </c>
      <c r="CB377" s="1297">
        <f>CB52</f>
        <v/>
      </c>
      <c r="CC377" s="1280" t="n"/>
    </row>
    <row r="378" ht="14.4" customFormat="1" customHeight="1" s="1275">
      <c r="A378" s="1612" t="inlineStr">
        <is>
          <t>SG&amp;A</t>
        </is>
      </c>
      <c r="B378" s="1613" t="n"/>
      <c r="C378" s="1614">
        <f>C330</f>
        <v/>
      </c>
      <c r="D378" s="1614">
        <f>D330</f>
        <v/>
      </c>
      <c r="E378" s="1614">
        <f>E330</f>
        <v/>
      </c>
      <c r="F378" s="1614">
        <f>F330</f>
        <v/>
      </c>
      <c r="G378" s="1614">
        <f>G330</f>
        <v/>
      </c>
      <c r="H378" s="1615">
        <f>H330</f>
        <v/>
      </c>
      <c r="I378" s="1615">
        <f>I330</f>
        <v/>
      </c>
      <c r="J378" s="1615">
        <f>J330</f>
        <v/>
      </c>
      <c r="K378" s="1615">
        <f>K330</f>
        <v/>
      </c>
      <c r="L378" s="1614">
        <f>L330</f>
        <v/>
      </c>
      <c r="M378" s="1615">
        <f>M330</f>
        <v/>
      </c>
      <c r="N378" s="1615">
        <f>N330</f>
        <v/>
      </c>
      <c r="O378" s="1615">
        <f>O330</f>
        <v/>
      </c>
      <c r="P378" s="1615">
        <f>P330</f>
        <v/>
      </c>
      <c r="Q378" s="1614">
        <f>Q330</f>
        <v/>
      </c>
      <c r="R378" s="1615">
        <f>R330</f>
        <v/>
      </c>
      <c r="S378" s="1615">
        <f>S330</f>
        <v/>
      </c>
      <c r="T378" s="1615">
        <f>T330</f>
        <v/>
      </c>
      <c r="U378" s="1615">
        <f>U330</f>
        <v/>
      </c>
      <c r="V378" s="1614">
        <f>V330</f>
        <v/>
      </c>
      <c r="W378" s="1615">
        <f>W330</f>
        <v/>
      </c>
      <c r="X378" s="1615">
        <f>X330</f>
        <v/>
      </c>
      <c r="Y378" s="1615">
        <f>Y330</f>
        <v/>
      </c>
      <c r="Z378" s="1615">
        <f>Z330</f>
        <v/>
      </c>
      <c r="AA378" s="1614">
        <f>AA330</f>
        <v/>
      </c>
      <c r="AB378" s="1615">
        <f>AB330</f>
        <v/>
      </c>
      <c r="AC378" s="1615">
        <f>AC330</f>
        <v/>
      </c>
      <c r="AD378" s="1615">
        <f>AD330</f>
        <v/>
      </c>
      <c r="AE378" s="1615">
        <f>AE330</f>
        <v/>
      </c>
      <c r="AF378" s="1614">
        <f>AF330</f>
        <v/>
      </c>
      <c r="AG378" s="1615">
        <f>AG330</f>
        <v/>
      </c>
      <c r="AH378" s="1615">
        <f>AH330</f>
        <v/>
      </c>
      <c r="AI378" s="1615">
        <f>AI330</f>
        <v/>
      </c>
      <c r="AJ378" s="1615">
        <f>AJ330</f>
        <v/>
      </c>
      <c r="AK378" s="1614">
        <f>AK330</f>
        <v/>
      </c>
      <c r="AL378" s="1615">
        <f>AL330</f>
        <v/>
      </c>
      <c r="AM378" s="1615">
        <f>AM330</f>
        <v/>
      </c>
      <c r="AN378" s="1615">
        <f>AN330</f>
        <v/>
      </c>
      <c r="AO378" s="1615">
        <f>AO330</f>
        <v/>
      </c>
      <c r="AP378" s="1614">
        <f>AP330</f>
        <v/>
      </c>
      <c r="AQ378" s="1615">
        <f>AQ330</f>
        <v/>
      </c>
      <c r="AR378" s="1615">
        <f>AR330</f>
        <v/>
      </c>
      <c r="AS378" s="1615">
        <f>AS330</f>
        <v/>
      </c>
      <c r="AT378" s="1615">
        <f>AT330</f>
        <v/>
      </c>
      <c r="AU378" s="1614">
        <f>AU330</f>
        <v/>
      </c>
      <c r="AV378" s="1615">
        <f>AV330</f>
        <v/>
      </c>
      <c r="AW378" s="1615">
        <f>AW330</f>
        <v/>
      </c>
      <c r="AX378" s="1615">
        <f>AX330</f>
        <v/>
      </c>
      <c r="AY378" s="1615">
        <f>AY330</f>
        <v/>
      </c>
      <c r="AZ378" s="1614">
        <f>AZ330</f>
        <v/>
      </c>
      <c r="BA378" s="1615">
        <f>BA330</f>
        <v/>
      </c>
      <c r="BB378" s="1615">
        <f>BB330</f>
        <v/>
      </c>
      <c r="BC378" s="1615">
        <f>BC330</f>
        <v/>
      </c>
      <c r="BD378" s="1615">
        <f>BD330</f>
        <v/>
      </c>
      <c r="BE378" s="1614">
        <f>BE330</f>
        <v/>
      </c>
      <c r="BF378" s="1615">
        <f>BF330</f>
        <v/>
      </c>
      <c r="BG378" s="1615">
        <f>BG330</f>
        <v/>
      </c>
      <c r="BH378" s="1615">
        <f>BH330</f>
        <v/>
      </c>
      <c r="BI378" s="1615">
        <f>BI330</f>
        <v/>
      </c>
      <c r="BJ378" s="1614">
        <f>BJ330</f>
        <v/>
      </c>
      <c r="BK378" s="1615">
        <f>BK330</f>
        <v/>
      </c>
      <c r="BL378" s="1615">
        <f>BL330</f>
        <v/>
      </c>
      <c r="BM378" s="1615">
        <f>BM330</f>
        <v/>
      </c>
      <c r="BN378" s="1615">
        <f>BN330</f>
        <v/>
      </c>
      <c r="BO378" s="1616">
        <f>BO330</f>
        <v/>
      </c>
      <c r="BP378" s="1528">
        <f>SUM(BP376:BP377)</f>
        <v/>
      </c>
      <c r="BQ378" s="1528">
        <f>SUM(BQ376:BQ377)</f>
        <v/>
      </c>
      <c r="BR378" s="1528">
        <f>SUM(BR376:BR377)</f>
        <v/>
      </c>
      <c r="BS378" s="1528">
        <f>SUM(BS376:BS377)</f>
        <v/>
      </c>
      <c r="BT378" s="1603">
        <f>SUM(BP378,BQ378,BR378,BS378)</f>
        <v/>
      </c>
      <c r="BU378" s="1528">
        <f>SUM(BU376:BU377)</f>
        <v/>
      </c>
      <c r="BV378" s="1528">
        <f>SUM(BV376:BV377)</f>
        <v/>
      </c>
      <c r="BW378" s="1528">
        <f>SUM(BW376:BW377)</f>
        <v/>
      </c>
      <c r="BX378" s="1528">
        <f>SUM(BX376:BX377)</f>
        <v/>
      </c>
      <c r="BY378" s="1603">
        <f>SUM(BU378,BV378,BW378,BX378)</f>
        <v/>
      </c>
      <c r="BZ378" s="1603">
        <f>SUM(BZ376:BZ377)</f>
        <v/>
      </c>
      <c r="CA378" s="1603">
        <f>SUM(CA376:CA377)</f>
        <v/>
      </c>
      <c r="CB378" s="1603">
        <f>SUM(CB376:CB377)</f>
        <v/>
      </c>
      <c r="CC378" s="1280" t="n"/>
    </row>
    <row r="379" ht="14.4" customFormat="1" customHeight="1" s="1275">
      <c r="A379" s="1388" t="inlineStr">
        <is>
          <t>Other items</t>
        </is>
      </c>
      <c r="B379" s="1389" t="n"/>
      <c r="C379" s="1364">
        <f>-C332</f>
        <v/>
      </c>
      <c r="D379" s="1364">
        <f>-D332</f>
        <v/>
      </c>
      <c r="E379" s="1364">
        <f>-E332</f>
        <v/>
      </c>
      <c r="F379" s="1364">
        <f>-F332</f>
        <v/>
      </c>
      <c r="G379" s="1364">
        <f>-G332</f>
        <v/>
      </c>
      <c r="H379" s="1365">
        <f>-H332</f>
        <v/>
      </c>
      <c r="I379" s="1365">
        <f>-I332</f>
        <v/>
      </c>
      <c r="J379" s="1365">
        <f>-J332</f>
        <v/>
      </c>
      <c r="K379" s="1365">
        <f>-K332</f>
        <v/>
      </c>
      <c r="L379" s="1364">
        <f>-L332</f>
        <v/>
      </c>
      <c r="M379" s="1365">
        <f>-M332</f>
        <v/>
      </c>
      <c r="N379" s="1365">
        <f>-N332</f>
        <v/>
      </c>
      <c r="O379" s="1365">
        <f>-O332</f>
        <v/>
      </c>
      <c r="P379" s="1365">
        <f>-P332</f>
        <v/>
      </c>
      <c r="Q379" s="1364">
        <f>-Q332</f>
        <v/>
      </c>
      <c r="R379" s="1365">
        <f>-R332</f>
        <v/>
      </c>
      <c r="S379" s="1365">
        <f>-S332</f>
        <v/>
      </c>
      <c r="T379" s="1365">
        <f>-T332</f>
        <v/>
      </c>
      <c r="U379" s="1365">
        <f>-U332</f>
        <v/>
      </c>
      <c r="V379" s="1364">
        <f>-V332</f>
        <v/>
      </c>
      <c r="W379" s="1365">
        <f>-W332</f>
        <v/>
      </c>
      <c r="X379" s="1365">
        <f>-X332</f>
        <v/>
      </c>
      <c r="Y379" s="1365">
        <f>-Y332</f>
        <v/>
      </c>
      <c r="Z379" s="1365">
        <f>-Z332</f>
        <v/>
      </c>
      <c r="AA379" s="1364">
        <f>-AA332</f>
        <v/>
      </c>
      <c r="AB379" s="1365">
        <f>-AB332</f>
        <v/>
      </c>
      <c r="AC379" s="1365">
        <f>-AC332</f>
        <v/>
      </c>
      <c r="AD379" s="1365">
        <f>-AD332</f>
        <v/>
      </c>
      <c r="AE379" s="1365">
        <f>-AE332</f>
        <v/>
      </c>
      <c r="AF379" s="1364">
        <f>-AF332</f>
        <v/>
      </c>
      <c r="AG379" s="1365">
        <f>-AG332</f>
        <v/>
      </c>
      <c r="AH379" s="1365">
        <f>-AH332</f>
        <v/>
      </c>
      <c r="AI379" s="1365">
        <f>-AI332</f>
        <v/>
      </c>
      <c r="AJ379" s="1365">
        <f>-AJ332</f>
        <v/>
      </c>
      <c r="AK379" s="1364">
        <f>-AK332</f>
        <v/>
      </c>
      <c r="AL379" s="1365">
        <f>-AL332</f>
        <v/>
      </c>
      <c r="AM379" s="1365">
        <f>-AM332</f>
        <v/>
      </c>
      <c r="AN379" s="1365">
        <f>-AN332</f>
        <v/>
      </c>
      <c r="AO379" s="1365">
        <f>-AO332</f>
        <v/>
      </c>
      <c r="AP379" s="1364">
        <f>-AP332</f>
        <v/>
      </c>
      <c r="AQ379" s="1365">
        <f>-AQ332</f>
        <v/>
      </c>
      <c r="AR379" s="1365">
        <f>-AR332</f>
        <v/>
      </c>
      <c r="AS379" s="1365">
        <f>-AS332</f>
        <v/>
      </c>
      <c r="AT379" s="1365">
        <f>-AT332</f>
        <v/>
      </c>
      <c r="AU379" s="1364">
        <f>-AU332</f>
        <v/>
      </c>
      <c r="AV379" s="1365">
        <f>-AV332</f>
        <v/>
      </c>
      <c r="AW379" s="1365">
        <f>-AW332</f>
        <v/>
      </c>
      <c r="AX379" s="1365">
        <f>-AX332</f>
        <v/>
      </c>
      <c r="AY379" s="1365">
        <f>-AY332</f>
        <v/>
      </c>
      <c r="AZ379" s="1364">
        <f>-AZ332</f>
        <v/>
      </c>
      <c r="BA379" s="1365">
        <f>-BA332</f>
        <v/>
      </c>
      <c r="BB379" s="1365">
        <f>-BB332</f>
        <v/>
      </c>
      <c r="BC379" s="1365">
        <f>-BC332</f>
        <v/>
      </c>
      <c r="BD379" s="1365">
        <f>-BD332</f>
        <v/>
      </c>
      <c r="BE379" s="1364">
        <f>-BE332</f>
        <v/>
      </c>
      <c r="BF379" s="1365">
        <f>-BF332</f>
        <v/>
      </c>
      <c r="BG379" s="1365">
        <f>-BG332</f>
        <v/>
      </c>
      <c r="BH379" s="1365">
        <f>-BH332</f>
        <v/>
      </c>
      <c r="BI379" s="1365">
        <f>-BI332</f>
        <v/>
      </c>
      <c r="BJ379" s="1364">
        <f>-BJ332</f>
        <v/>
      </c>
      <c r="BK379" s="1365">
        <f>-BK332</f>
        <v/>
      </c>
      <c r="BL379" s="1365">
        <f>-BL332</f>
        <v/>
      </c>
      <c r="BM379" s="1365">
        <f>-BM332</f>
        <v/>
      </c>
      <c r="BN379" s="1365">
        <f>-BN332</f>
        <v/>
      </c>
      <c r="BO379" s="1366">
        <f>-BO332</f>
        <v/>
      </c>
      <c r="BP379" s="1365">
        <f>BP57</f>
        <v/>
      </c>
      <c r="BQ379" s="1365">
        <f>BQ57</f>
        <v/>
      </c>
      <c r="BR379" s="1365">
        <f>BR57</f>
        <v/>
      </c>
      <c r="BS379" s="1365">
        <f>BS57</f>
        <v/>
      </c>
      <c r="BT379" s="1364">
        <f>SUM(BP379,BQ379,BR379,BS379)</f>
        <v/>
      </c>
      <c r="BU379" s="1365">
        <f>BU57</f>
        <v/>
      </c>
      <c r="BV379" s="1365">
        <f>BV57</f>
        <v/>
      </c>
      <c r="BW379" s="1365">
        <f>BW57</f>
        <v/>
      </c>
      <c r="BX379" s="1365">
        <f>BX57</f>
        <v/>
      </c>
      <c r="BY379" s="1364">
        <f>SUM(BU379,BV379,BW379,BX379)</f>
        <v/>
      </c>
      <c r="BZ379" s="1364">
        <f>BZ57</f>
        <v/>
      </c>
      <c r="CA379" s="1364">
        <f>CA57</f>
        <v/>
      </c>
      <c r="CB379" s="1364">
        <f>CB57</f>
        <v/>
      </c>
      <c r="CC379" s="1280" t="n"/>
    </row>
    <row r="380" ht="14.4" customFormat="1" customHeight="1" s="1323">
      <c r="A380" s="1324" t="inlineStr">
        <is>
          <t>EBIT</t>
        </is>
      </c>
      <c r="B380" s="1393" t="n"/>
      <c r="C380" s="1329">
        <f>C373-C375-C378-C379</f>
        <v/>
      </c>
      <c r="D380" s="1329">
        <f>D373-D375-D378-D379</f>
        <v/>
      </c>
      <c r="E380" s="1329">
        <f>E373-E375-E378-E379</f>
        <v/>
      </c>
      <c r="F380" s="1329">
        <f>F373-F375-F378-F379</f>
        <v/>
      </c>
      <c r="G380" s="1329">
        <f>G373-G375-G378-G379</f>
        <v/>
      </c>
      <c r="H380" s="1328">
        <f>H373-H375-H378-H379</f>
        <v/>
      </c>
      <c r="I380" s="1328">
        <f>I373-I375-I378-I379</f>
        <v/>
      </c>
      <c r="J380" s="1328">
        <f>J373-J375-J378-J379</f>
        <v/>
      </c>
      <c r="K380" s="1328">
        <f>K373-K375-K378-K379</f>
        <v/>
      </c>
      <c r="L380" s="1329">
        <f>L373-L375-L378-L379</f>
        <v/>
      </c>
      <c r="M380" s="1328">
        <f>M373-M375-M378-M379</f>
        <v/>
      </c>
      <c r="N380" s="1328">
        <f>N373-N375-N378-N379</f>
        <v/>
      </c>
      <c r="O380" s="1328">
        <f>O373-O375-O378-O379</f>
        <v/>
      </c>
      <c r="P380" s="1328">
        <f>P373-P375-P378-P379</f>
        <v/>
      </c>
      <c r="Q380" s="1329">
        <f>Q373-Q375-Q378-Q379</f>
        <v/>
      </c>
      <c r="R380" s="1328">
        <f>R373-R375-R378-R379</f>
        <v/>
      </c>
      <c r="S380" s="1328">
        <f>S373-S375-S378-S379</f>
        <v/>
      </c>
      <c r="T380" s="1328">
        <f>T373-T375-T378-T379</f>
        <v/>
      </c>
      <c r="U380" s="1328">
        <f>U373-U375-U378-U379</f>
        <v/>
      </c>
      <c r="V380" s="1329">
        <f>V373-V375-V378-V379</f>
        <v/>
      </c>
      <c r="W380" s="1328">
        <f>W373-W375-W378-W379</f>
        <v/>
      </c>
      <c r="X380" s="1328">
        <f>X373-X375-X378-X379</f>
        <v/>
      </c>
      <c r="Y380" s="1328">
        <f>Y373-Y375-Y378-Y379</f>
        <v/>
      </c>
      <c r="Z380" s="1328">
        <f>Z373-Z375-Z378-Z379</f>
        <v/>
      </c>
      <c r="AA380" s="1329">
        <f>AA373-AA375-AA378-AA379</f>
        <v/>
      </c>
      <c r="AB380" s="1328">
        <f>AB373-AB375-AB378-AB379</f>
        <v/>
      </c>
      <c r="AC380" s="1328">
        <f>AC373-AC375-AC378-AC379</f>
        <v/>
      </c>
      <c r="AD380" s="1328">
        <f>AD373-AD375-AD378-AD379</f>
        <v/>
      </c>
      <c r="AE380" s="1328">
        <f>AE373-AE375-AE378-AE379</f>
        <v/>
      </c>
      <c r="AF380" s="1329">
        <f>AF373-AF375-AF378-AF379</f>
        <v/>
      </c>
      <c r="AG380" s="1328">
        <f>AG373-AG375-AG378-AG379</f>
        <v/>
      </c>
      <c r="AH380" s="1328">
        <f>AH373-AH375-AH378-AH379</f>
        <v/>
      </c>
      <c r="AI380" s="1328">
        <f>AI373-AI375-AI378-AI379</f>
        <v/>
      </c>
      <c r="AJ380" s="1328">
        <f>AJ373-AJ375-AJ378-AJ379</f>
        <v/>
      </c>
      <c r="AK380" s="1329">
        <f>AK373-AK375-AK378-AK379</f>
        <v/>
      </c>
      <c r="AL380" s="1328">
        <f>AL373-AL375-AL378-AL379</f>
        <v/>
      </c>
      <c r="AM380" s="1328">
        <f>AM373-AM375-AM378-AM379</f>
        <v/>
      </c>
      <c r="AN380" s="1328">
        <f>AN373-AN375-AN378-AN379</f>
        <v/>
      </c>
      <c r="AO380" s="1328">
        <f>AO373-AO375-AO378-AO379</f>
        <v/>
      </c>
      <c r="AP380" s="1329">
        <f>AP373-AP375-AP378-AP379</f>
        <v/>
      </c>
      <c r="AQ380" s="1328">
        <f>AQ373-AQ375-AQ378-AQ379</f>
        <v/>
      </c>
      <c r="AR380" s="1328">
        <f>AR373-AR375-AR378-AR379</f>
        <v/>
      </c>
      <c r="AS380" s="1328">
        <f>AS373-AS375-AS378-AS379</f>
        <v/>
      </c>
      <c r="AT380" s="1328">
        <f>AT373-AT375-AT378-AT379</f>
        <v/>
      </c>
      <c r="AU380" s="1329">
        <f>AU373-AU375-AU378-AU379</f>
        <v/>
      </c>
      <c r="AV380" s="1328">
        <f>AV373-AV375-AV378-AV379</f>
        <v/>
      </c>
      <c r="AW380" s="1328">
        <f>AW373-AW375-AW378-AW379</f>
        <v/>
      </c>
      <c r="AX380" s="1328">
        <f>AX373-AX375-AX378-AX379</f>
        <v/>
      </c>
      <c r="AY380" s="1328">
        <f>AY373-AY375-AY378-AY379</f>
        <v/>
      </c>
      <c r="AZ380" s="1329">
        <f>AZ373-AZ375-AZ378-AZ379</f>
        <v/>
      </c>
      <c r="BA380" s="1328">
        <f>BA373-BA375-BA378-BA379</f>
        <v/>
      </c>
      <c r="BB380" s="1328">
        <f>BB373-BB375-BB378-BB379</f>
        <v/>
      </c>
      <c r="BC380" s="1328">
        <f>BC373-BC375-BC378-BC379</f>
        <v/>
      </c>
      <c r="BD380" s="1328">
        <f>BD373-BD375-BD378-BD379</f>
        <v/>
      </c>
      <c r="BE380" s="1329">
        <f>BE373-BE375-BE378-BE379</f>
        <v/>
      </c>
      <c r="BF380" s="1328">
        <f>BF373-BF375-BF378-BF379</f>
        <v/>
      </c>
      <c r="BG380" s="1328">
        <f>BG373-BG375-BG378-BG379</f>
        <v/>
      </c>
      <c r="BH380" s="1328">
        <f>BH373-BH375-BH378-BH379</f>
        <v/>
      </c>
      <c r="BI380" s="1328">
        <f>BI373-BI375-BI378-BI379</f>
        <v/>
      </c>
      <c r="BJ380" s="1329">
        <f>BJ373-BJ375-BJ378-BJ379</f>
        <v/>
      </c>
      <c r="BK380" s="1328">
        <f>BK373-BK375-BK378-BK379</f>
        <v/>
      </c>
      <c r="BL380" s="1328">
        <f>BL373-BL375-BL378-BL379</f>
        <v/>
      </c>
      <c r="BM380" s="1328">
        <f>BM373-BM375-BM378-BM379</f>
        <v/>
      </c>
      <c r="BN380" s="1328">
        <f>BN373-BN375-BN378-BN379</f>
        <v/>
      </c>
      <c r="BO380" s="1330">
        <f>BO373-BO375-BO378-BO379</f>
        <v/>
      </c>
      <c r="BP380" s="1327">
        <f>BP373-BP375-BP378-BP379</f>
        <v/>
      </c>
      <c r="BQ380" s="1327">
        <f>BQ373-BQ375-BQ378-BQ379</f>
        <v/>
      </c>
      <c r="BR380" s="1327">
        <f>BR373-BR375-BR378-BR379</f>
        <v/>
      </c>
      <c r="BS380" s="1327">
        <f>BS373-BS375-BS378-BS379</f>
        <v/>
      </c>
      <c r="BT380" s="1326">
        <f>BT373-BT375-BT378-BT379</f>
        <v/>
      </c>
      <c r="BU380" s="1327">
        <f>BU373-BU375-BU378-BU379</f>
        <v/>
      </c>
      <c r="BV380" s="1327">
        <f>BV373-BV375-BV378-BV379</f>
        <v/>
      </c>
      <c r="BW380" s="1327">
        <f>BW373-BW375-BW378-BW379</f>
        <v/>
      </c>
      <c r="BX380" s="1327">
        <f>BX373-BX375-BX378-BX379</f>
        <v/>
      </c>
      <c r="BY380" s="1326">
        <f>BY373-BY375-BY378-BY379</f>
        <v/>
      </c>
      <c r="BZ380" s="1326">
        <f>BZ373-BZ375-BZ378-BZ379</f>
        <v/>
      </c>
      <c r="CA380" s="1326">
        <f>CA373-CA375-CA378-CA379</f>
        <v/>
      </c>
      <c r="CB380" s="1326">
        <f>CB373-CB375-CB378-CB379</f>
        <v/>
      </c>
      <c r="CC380" s="1331" t="n"/>
    </row>
    <row r="381" ht="14.4" customFormat="1" customHeight="1" s="1323">
      <c r="A381" s="1344">
        <f>CONCATENATE("Adjusted ",A380,IF(AND(ROUND(SUM(C380:CC380)-SUM(C381:CC381),6)=0)," (No Adjustments)",""))</f>
        <v/>
      </c>
      <c r="B381" s="1394" t="n"/>
      <c r="C381" s="1345">
        <f>C380</f>
        <v/>
      </c>
      <c r="D381" s="1345">
        <f>D380</f>
        <v/>
      </c>
      <c r="E381" s="1345">
        <f>E380</f>
        <v/>
      </c>
      <c r="F381" s="1345">
        <f>F380</f>
        <v/>
      </c>
      <c r="G381" s="1345">
        <f>G380</f>
        <v/>
      </c>
      <c r="H381" s="1346">
        <f>H380</f>
        <v/>
      </c>
      <c r="I381" s="1346">
        <f>I380</f>
        <v/>
      </c>
      <c r="J381" s="1346">
        <f>J380</f>
        <v/>
      </c>
      <c r="K381" s="1346">
        <f>K380</f>
        <v/>
      </c>
      <c r="L381" s="1345">
        <f>L380</f>
        <v/>
      </c>
      <c r="M381" s="1346">
        <f>M380</f>
        <v/>
      </c>
      <c r="N381" s="1346">
        <f>N380</f>
        <v/>
      </c>
      <c r="O381" s="1346">
        <f>O380</f>
        <v/>
      </c>
      <c r="P381" s="1346">
        <f>P380</f>
        <v/>
      </c>
      <c r="Q381" s="1345">
        <f>Q380</f>
        <v/>
      </c>
      <c r="R381" s="1346">
        <f>R380</f>
        <v/>
      </c>
      <c r="S381" s="1346">
        <f>S380</f>
        <v/>
      </c>
      <c r="T381" s="1346">
        <f>T380</f>
        <v/>
      </c>
      <c r="U381" s="1346">
        <f>U380</f>
        <v/>
      </c>
      <c r="V381" s="1345">
        <f>V380</f>
        <v/>
      </c>
      <c r="W381" s="1346">
        <f>W380</f>
        <v/>
      </c>
      <c r="X381" s="1346">
        <f>X380</f>
        <v/>
      </c>
      <c r="Y381" s="1346">
        <f>Y380</f>
        <v/>
      </c>
      <c r="Z381" s="1346">
        <f>Z380</f>
        <v/>
      </c>
      <c r="AA381" s="1345">
        <f>AA380</f>
        <v/>
      </c>
      <c r="AB381" s="1346">
        <f>AB380</f>
        <v/>
      </c>
      <c r="AC381" s="1346">
        <f>AC380</f>
        <v/>
      </c>
      <c r="AD381" s="1346">
        <f>AD380</f>
        <v/>
      </c>
      <c r="AE381" s="1346">
        <f>AE380</f>
        <v/>
      </c>
      <c r="AF381" s="1345">
        <f>AF380</f>
        <v/>
      </c>
      <c r="AG381" s="1346">
        <f>AG380</f>
        <v/>
      </c>
      <c r="AH381" s="1346">
        <f>AH380</f>
        <v/>
      </c>
      <c r="AI381" s="1346">
        <f>AI380</f>
        <v/>
      </c>
      <c r="AJ381" s="1346">
        <f>AJ380</f>
        <v/>
      </c>
      <c r="AK381" s="1345">
        <f>AK380</f>
        <v/>
      </c>
      <c r="AL381" s="1346">
        <f>AL380</f>
        <v/>
      </c>
      <c r="AM381" s="1346">
        <f>AM380</f>
        <v/>
      </c>
      <c r="AN381" s="1346">
        <f>AN380</f>
        <v/>
      </c>
      <c r="AO381" s="1346">
        <f>AO380</f>
        <v/>
      </c>
      <c r="AP381" s="1345">
        <f>AP380</f>
        <v/>
      </c>
      <c r="AQ381" s="1346">
        <f>AQ380</f>
        <v/>
      </c>
      <c r="AR381" s="1346">
        <f>AR380</f>
        <v/>
      </c>
      <c r="AS381" s="1346">
        <f>AS380</f>
        <v/>
      </c>
      <c r="AT381" s="1346">
        <f>AT380</f>
        <v/>
      </c>
      <c r="AU381" s="1345">
        <f>AU380</f>
        <v/>
      </c>
      <c r="AV381" s="1346">
        <f>AV380</f>
        <v/>
      </c>
      <c r="AW381" s="1346">
        <f>AW380</f>
        <v/>
      </c>
      <c r="AX381" s="1346">
        <f>AX380</f>
        <v/>
      </c>
      <c r="AY381" s="1346">
        <f>AY380</f>
        <v/>
      </c>
      <c r="AZ381" s="1345">
        <f>AZ380</f>
        <v/>
      </c>
      <c r="BA381" s="1346">
        <f>BA380</f>
        <v/>
      </c>
      <c r="BB381" s="1346">
        <f>BB380</f>
        <v/>
      </c>
      <c r="BC381" s="1346">
        <f>BC380</f>
        <v/>
      </c>
      <c r="BD381" s="1346">
        <f>BD380</f>
        <v/>
      </c>
      <c r="BE381" s="1345">
        <f>BE380</f>
        <v/>
      </c>
      <c r="BF381" s="1346">
        <f>BF380</f>
        <v/>
      </c>
      <c r="BG381" s="1346">
        <f>BG380</f>
        <v/>
      </c>
      <c r="BH381" s="1346">
        <f>BH380</f>
        <v/>
      </c>
      <c r="BI381" s="1346">
        <f>BI380</f>
        <v/>
      </c>
      <c r="BJ381" s="1345">
        <f>BJ380</f>
        <v/>
      </c>
      <c r="BK381" s="1346">
        <f>BK380</f>
        <v/>
      </c>
      <c r="BL381" s="1346">
        <f>BL380</f>
        <v/>
      </c>
      <c r="BM381" s="1346">
        <f>BM380</f>
        <v/>
      </c>
      <c r="BN381" s="1346">
        <f>BN380</f>
        <v/>
      </c>
      <c r="BO381" s="1347">
        <f>BO380</f>
        <v/>
      </c>
      <c r="BP381" s="1346">
        <f>BP380</f>
        <v/>
      </c>
      <c r="BQ381" s="1346">
        <f>BQ380</f>
        <v/>
      </c>
      <c r="BR381" s="1346">
        <f>BR380</f>
        <v/>
      </c>
      <c r="BS381" s="1346">
        <f>BS380</f>
        <v/>
      </c>
      <c r="BT381" s="1345">
        <f>BT380</f>
        <v/>
      </c>
      <c r="BU381" s="1346">
        <f>BU380</f>
        <v/>
      </c>
      <c r="BV381" s="1346">
        <f>BV380</f>
        <v/>
      </c>
      <c r="BW381" s="1346">
        <f>BW380</f>
        <v/>
      </c>
      <c r="BX381" s="1346">
        <f>BX380</f>
        <v/>
      </c>
      <c r="BY381" s="1345">
        <f>BY380</f>
        <v/>
      </c>
      <c r="BZ381" s="1345">
        <f>BZ380</f>
        <v/>
      </c>
      <c r="CA381" s="1345">
        <f>CA380</f>
        <v/>
      </c>
      <c r="CB381" s="1345">
        <f>CB380</f>
        <v/>
      </c>
      <c r="CC381" s="1331" t="n"/>
    </row>
    <row r="382" ht="14.4" customFormat="1" customHeight="1" s="1323">
      <c r="A382" s="1617" t="inlineStr">
        <is>
          <t>Consensus Estimates - Adjusted EBIT</t>
        </is>
      </c>
      <c r="B382" s="1610" t="n"/>
      <c r="C382" s="1335" t="n"/>
      <c r="D382" s="1335" t="n"/>
      <c r="E382" s="1335" t="n"/>
      <c r="F382" s="1335" t="n"/>
      <c r="G382" s="1335" t="n"/>
      <c r="H382" s="1336" t="n"/>
      <c r="I382" s="1336" t="n"/>
      <c r="J382" s="1336" t="n"/>
      <c r="K382" s="1336" t="n"/>
      <c r="L382" s="1335" t="n"/>
      <c r="M382" s="1336" t="n"/>
      <c r="N382" s="1336" t="n"/>
      <c r="O382" s="1336" t="n"/>
      <c r="P382" s="1336" t="n"/>
      <c r="Q382" s="1335" t="n"/>
      <c r="R382" s="1336" t="n"/>
      <c r="S382" s="1336" t="n"/>
      <c r="T382" s="1336" t="n"/>
      <c r="U382" s="1336" t="n"/>
      <c r="V382" s="1335" t="n"/>
      <c r="W382" s="1336" t="n"/>
      <c r="X382" s="1336" t="n"/>
      <c r="Y382" s="1336" t="n"/>
      <c r="Z382" s="1336" t="n"/>
      <c r="AA382" s="1335" t="n"/>
      <c r="AB382" s="1336" t="n"/>
      <c r="AC382" s="1336" t="n"/>
      <c r="AD382" s="1336" t="n"/>
      <c r="AE382" s="1336" t="n"/>
      <c r="AF382" s="1335" t="n"/>
      <c r="AG382" s="1336" t="n"/>
      <c r="AH382" s="1336" t="n"/>
      <c r="AI382" s="1336" t="n"/>
      <c r="AJ382" s="1336" t="n"/>
      <c r="AK382" s="1335" t="n"/>
      <c r="AL382" s="1336" t="n"/>
      <c r="AM382" s="1336" t="n"/>
      <c r="AN382" s="1336" t="n"/>
      <c r="AO382" s="1336" t="n"/>
      <c r="AP382" s="1335" t="n"/>
      <c r="AQ382" s="1336" t="n"/>
      <c r="AR382" s="1336" t="n"/>
      <c r="AS382" s="1336" t="n"/>
      <c r="AT382" s="1336" t="n"/>
      <c r="AU382" s="1335" t="n"/>
      <c r="AV382" s="1336" t="n"/>
      <c r="AW382" s="1336" t="n"/>
      <c r="AX382" s="1336" t="n"/>
      <c r="AY382" s="1336" t="n"/>
      <c r="AZ382" s="1335" t="n"/>
      <c r="BA382" s="1336" t="n"/>
      <c r="BB382" s="1336" t="n"/>
      <c r="BC382" s="1336" t="n"/>
      <c r="BD382" s="1336" t="n"/>
      <c r="BE382" s="1335" t="n"/>
      <c r="BF382" s="1336" t="n"/>
      <c r="BG382" s="1336" t="n"/>
      <c r="BH382" s="1336" t="n"/>
      <c r="BI382" s="1336" t="n"/>
      <c r="BJ382" s="1335" t="n"/>
      <c r="BK382" s="1336" t="n"/>
      <c r="BL382" s="1336" t="n"/>
      <c r="BM382" s="1336" t="n"/>
      <c r="BN382" s="1336" t="n"/>
      <c r="BO382" s="1337" t="n"/>
      <c r="BP382" s="1338">
        <f>IFERROR(VLOOKUP($A382,tb_ConsensusEstimate,MATCH(BP$5,OFFSET(tb_ConsensusEstimate,0,0,1,COLUMNS(tb_ConsensusEstimate)),0),FALSE)/BP1075,"-")</f>
        <v/>
      </c>
      <c r="BQ382" s="1338">
        <f>IFERROR(VLOOKUP($A382,tb_ConsensusEstimate,MATCH(BQ$5,OFFSET(tb_ConsensusEstimate,0,0,1,COLUMNS(tb_ConsensusEstimate)),0),FALSE)/BQ1075,"-")</f>
        <v/>
      </c>
      <c r="BR382" s="1338">
        <f>IFERROR(VLOOKUP($A382,tb_ConsensusEstimate,MATCH(BR$5,OFFSET(tb_ConsensusEstimate,0,0,1,COLUMNS(tb_ConsensusEstimate)),0),FALSE)/BR1075,"-")</f>
        <v/>
      </c>
      <c r="BS382" s="1338">
        <f>IFERROR(VLOOKUP($A382,tb_ConsensusEstimate,MATCH(BS$5,OFFSET(tb_ConsensusEstimate,0,0,1,COLUMNS(tb_ConsensusEstimate)),0),FALSE)/BS1075,"-")</f>
        <v/>
      </c>
      <c r="BT382" s="1339">
        <f>IFERROR(VLOOKUP($A382,tb_ConsensusEstimate,MATCH(BT$5,OFFSET(tb_ConsensusEstimate,0,0,1,COLUMNS(tb_ConsensusEstimate)),0),FALSE)/BT1075,"-")</f>
        <v/>
      </c>
      <c r="BU382" s="1338">
        <f>IFERROR(VLOOKUP($A382,tb_ConsensusEstimate,MATCH(BU$5,OFFSET(tb_ConsensusEstimate,0,0,1,COLUMNS(tb_ConsensusEstimate)),0),FALSE)/BU1075,"-")</f>
        <v/>
      </c>
      <c r="BV382" s="1338">
        <f>IFERROR(VLOOKUP($A382,tb_ConsensusEstimate,MATCH(BV$5,OFFSET(tb_ConsensusEstimate,0,0,1,COLUMNS(tb_ConsensusEstimate)),0),FALSE)/BV1075,"-")</f>
        <v/>
      </c>
      <c r="BW382" s="1338">
        <f>IFERROR(VLOOKUP($A382,tb_ConsensusEstimate,MATCH(BW$5,OFFSET(tb_ConsensusEstimate,0,0,1,COLUMNS(tb_ConsensusEstimate)),0),FALSE)/BW1075,"-")</f>
        <v/>
      </c>
      <c r="BX382" s="1338">
        <f>IFERROR(VLOOKUP($A382,tb_ConsensusEstimate,MATCH(BX$5,OFFSET(tb_ConsensusEstimate,0,0,1,COLUMNS(tb_ConsensusEstimate)),0),FALSE)/BX1075,"-")</f>
        <v/>
      </c>
      <c r="BY382" s="1339">
        <f>IFERROR(VLOOKUP($A382,tb_ConsensusEstimate,MATCH(BY$5,OFFSET(tb_ConsensusEstimate,0,0,1,COLUMNS(tb_ConsensusEstimate)),0),FALSE)/BY1075,"-")</f>
        <v/>
      </c>
      <c r="BZ382" s="1339">
        <f>IFERROR(VLOOKUP($A382,tb_ConsensusEstimate,MATCH(BZ$5,OFFSET(tb_ConsensusEstimate,0,0,1,COLUMNS(tb_ConsensusEstimate)),0),FALSE)/BZ1075,"-")</f>
        <v/>
      </c>
      <c r="CA382" s="1339">
        <f>IFERROR(VLOOKUP($A382,tb_ConsensusEstimate,MATCH(CA$5,OFFSET(tb_ConsensusEstimate,0,0,1,COLUMNS(tb_ConsensusEstimate)),0),FALSE)/CA1075,"-")</f>
        <v/>
      </c>
      <c r="CB382" s="1339">
        <f>IFERROR(VLOOKUP($A382,tb_ConsensusEstimate,MATCH(CB$5,OFFSET(tb_ConsensusEstimate,0,0,1,COLUMNS(tb_ConsensusEstimate)),0),FALSE)/CB1075,"-")</f>
        <v/>
      </c>
      <c r="CC382" s="1331" t="n"/>
    </row>
    <row r="383" ht="14.4" customFormat="1" customHeight="1" s="1275">
      <c r="A383" s="1384" t="n"/>
      <c r="B383" s="1387" t="n"/>
      <c r="C383" s="1297" t="n"/>
      <c r="D383" s="1297" t="n"/>
      <c r="E383" s="1297" t="n"/>
      <c r="F383" s="1297" t="n"/>
      <c r="G383" s="1297" t="n"/>
      <c r="H383" s="1277" t="n"/>
      <c r="I383" s="1277" t="n"/>
      <c r="J383" s="1277" t="n"/>
      <c r="K383" s="1277" t="n"/>
      <c r="L383" s="1297" t="n"/>
      <c r="M383" s="1277" t="n"/>
      <c r="N383" s="1277" t="n"/>
      <c r="O383" s="1277" t="n"/>
      <c r="P383" s="1277" t="n"/>
      <c r="Q383" s="1297" t="n"/>
      <c r="R383" s="1277" t="n"/>
      <c r="S383" s="1277" t="n"/>
      <c r="T383" s="1277" t="n"/>
      <c r="U383" s="1277" t="n"/>
      <c r="V383" s="1297" t="n"/>
      <c r="W383" s="1277" t="n"/>
      <c r="X383" s="1277" t="n"/>
      <c r="Y383" s="1277" t="n"/>
      <c r="Z383" s="1277" t="n"/>
      <c r="AA383" s="1297" t="n"/>
      <c r="AB383" s="1277" t="n"/>
      <c r="AC383" s="1277" t="n"/>
      <c r="AD383" s="1277" t="n"/>
      <c r="AE383" s="1277" t="n"/>
      <c r="AF383" s="1297" t="n"/>
      <c r="AG383" s="1277" t="n"/>
      <c r="AH383" s="1277" t="n"/>
      <c r="AI383" s="1277" t="n"/>
      <c r="AJ383" s="1277" t="n"/>
      <c r="AK383" s="1297" t="n"/>
      <c r="AL383" s="1277" t="n"/>
      <c r="AM383" s="1277" t="n"/>
      <c r="AN383" s="1277" t="n"/>
      <c r="AO383" s="1277" t="n"/>
      <c r="AP383" s="1297" t="n"/>
      <c r="AQ383" s="1277" t="n"/>
      <c r="AR383" s="1277" t="n"/>
      <c r="AS383" s="1277" t="n"/>
      <c r="AT383" s="1277" t="n"/>
      <c r="AU383" s="1297" t="n"/>
      <c r="AV383" s="1277" t="n"/>
      <c r="AW383" s="1277" t="n"/>
      <c r="AX383" s="1277" t="n"/>
      <c r="AY383" s="1277" t="n"/>
      <c r="AZ383" s="1297" t="n"/>
      <c r="BA383" s="1277" t="n"/>
      <c r="BB383" s="1277" t="n"/>
      <c r="BC383" s="1277" t="n"/>
      <c r="BD383" s="1277" t="n"/>
      <c r="BE383" s="1297" t="n"/>
      <c r="BF383" s="1277" t="n"/>
      <c r="BG383" s="1277" t="n"/>
      <c r="BH383" s="1277" t="n"/>
      <c r="BI383" s="1277" t="n"/>
      <c r="BJ383" s="1297" t="n"/>
      <c r="BK383" s="1277" t="n"/>
      <c r="BL383" s="1277" t="n"/>
      <c r="BM383" s="1277" t="n"/>
      <c r="BN383" s="1277" t="n"/>
      <c r="BO383" s="1382" t="n"/>
      <c r="BP383" s="1277" t="n"/>
      <c r="BQ383" s="1277" t="n"/>
      <c r="BR383" s="1277" t="n"/>
      <c r="BS383" s="1277" t="n"/>
      <c r="BT383" s="1297" t="n"/>
      <c r="BU383" s="1277" t="n"/>
      <c r="BV383" s="1277" t="n"/>
      <c r="BW383" s="1277" t="n"/>
      <c r="BX383" s="1277" t="n"/>
      <c r="BY383" s="1297" t="n"/>
      <c r="BZ383" s="1297" t="n"/>
      <c r="CA383" s="1297" t="n"/>
      <c r="CB383" s="1297" t="n"/>
      <c r="CC383" s="1280" t="n"/>
    </row>
    <row r="384" ht="14.4" customFormat="1" customHeight="1" s="1275">
      <c r="A384" s="1384" t="inlineStr">
        <is>
          <t>Add back: D&amp;A</t>
        </is>
      </c>
      <c r="B384" s="1387" t="n"/>
      <c r="C384" s="1297">
        <f>C68+C76</f>
        <v/>
      </c>
      <c r="D384" s="1297">
        <f>D68+D76</f>
        <v/>
      </c>
      <c r="E384" s="1297">
        <f>E68+E76</f>
        <v/>
      </c>
      <c r="F384" s="1297">
        <f>F68+F76</f>
        <v/>
      </c>
      <c r="G384" s="1297">
        <f>G68+G76</f>
        <v/>
      </c>
      <c r="H384" s="1277">
        <f>H68+H76</f>
        <v/>
      </c>
      <c r="I384" s="1277">
        <f>I68+I76</f>
        <v/>
      </c>
      <c r="J384" s="1277">
        <f>J68+J76</f>
        <v/>
      </c>
      <c r="K384" s="1277">
        <f>K68+K76</f>
        <v/>
      </c>
      <c r="L384" s="1297">
        <f>L68+L76</f>
        <v/>
      </c>
      <c r="M384" s="1277">
        <f>M68+M76</f>
        <v/>
      </c>
      <c r="N384" s="1277">
        <f>N68+N76</f>
        <v/>
      </c>
      <c r="O384" s="1277">
        <f>O68+O76</f>
        <v/>
      </c>
      <c r="P384" s="1277">
        <f>P68+P76</f>
        <v/>
      </c>
      <c r="Q384" s="1297">
        <f>Q68+Q76</f>
        <v/>
      </c>
      <c r="R384" s="1277">
        <f>R68+R76</f>
        <v/>
      </c>
      <c r="S384" s="1277">
        <f>S68+S76</f>
        <v/>
      </c>
      <c r="T384" s="1277">
        <f>T68+T76</f>
        <v/>
      </c>
      <c r="U384" s="1277">
        <f>U68+U76</f>
        <v/>
      </c>
      <c r="V384" s="1297">
        <f>V68+V76</f>
        <v/>
      </c>
      <c r="W384" s="1277">
        <f>W68+W76</f>
        <v/>
      </c>
      <c r="X384" s="1277">
        <f>X68+X76</f>
        <v/>
      </c>
      <c r="Y384" s="1277">
        <f>Y68+Y76</f>
        <v/>
      </c>
      <c r="Z384" s="1277">
        <f>Z68+Z76</f>
        <v/>
      </c>
      <c r="AA384" s="1297">
        <f>AA68+AA76</f>
        <v/>
      </c>
      <c r="AB384" s="1277">
        <f>AB68+AB76</f>
        <v/>
      </c>
      <c r="AC384" s="1277">
        <f>AC68+AC76</f>
        <v/>
      </c>
      <c r="AD384" s="1277">
        <f>AD68+AD76</f>
        <v/>
      </c>
      <c r="AE384" s="1277">
        <f>AE68+AE76</f>
        <v/>
      </c>
      <c r="AF384" s="1297">
        <f>AF68+AF76</f>
        <v/>
      </c>
      <c r="AG384" s="1277">
        <f>AG68+AG76</f>
        <v/>
      </c>
      <c r="AH384" s="1277">
        <f>AH68+AH76</f>
        <v/>
      </c>
      <c r="AI384" s="1277">
        <f>AI68+AI76</f>
        <v/>
      </c>
      <c r="AJ384" s="1277">
        <f>AJ68+AJ76</f>
        <v/>
      </c>
      <c r="AK384" s="1297">
        <f>AK68+AK76</f>
        <v/>
      </c>
      <c r="AL384" s="1277">
        <f>AL68+AL76</f>
        <v/>
      </c>
      <c r="AM384" s="1277">
        <f>AM68+AM76</f>
        <v/>
      </c>
      <c r="AN384" s="1277">
        <f>AN68+AN76</f>
        <v/>
      </c>
      <c r="AO384" s="1277">
        <f>AO68+AO76</f>
        <v/>
      </c>
      <c r="AP384" s="1297">
        <f>AP68+AP76</f>
        <v/>
      </c>
      <c r="AQ384" s="1277">
        <f>AQ68+AQ76</f>
        <v/>
      </c>
      <c r="AR384" s="1277">
        <f>AR68+AR76</f>
        <v/>
      </c>
      <c r="AS384" s="1277">
        <f>AS68+AS76</f>
        <v/>
      </c>
      <c r="AT384" s="1277">
        <f>AT68+AT76</f>
        <v/>
      </c>
      <c r="AU384" s="1297">
        <f>AU68+AU76</f>
        <v/>
      </c>
      <c r="AV384" s="1277">
        <f>AV68+AV76</f>
        <v/>
      </c>
      <c r="AW384" s="1277">
        <f>AW68+AW76</f>
        <v/>
      </c>
      <c r="AX384" s="1277">
        <f>AX68+AX76</f>
        <v/>
      </c>
      <c r="AY384" s="1277">
        <f>AY68+AY76</f>
        <v/>
      </c>
      <c r="AZ384" s="1297">
        <f>AZ68+AZ76</f>
        <v/>
      </c>
      <c r="BA384" s="1277">
        <f>BA68+BA76</f>
        <v/>
      </c>
      <c r="BB384" s="1277">
        <f>BB68+BB76</f>
        <v/>
      </c>
      <c r="BC384" s="1277">
        <f>BC68+BC76</f>
        <v/>
      </c>
      <c r="BD384" s="1277">
        <f>BD68+BD76</f>
        <v/>
      </c>
      <c r="BE384" s="1297">
        <f>BE68+BE76</f>
        <v/>
      </c>
      <c r="BF384" s="1277">
        <f>BF68+BF76</f>
        <v/>
      </c>
      <c r="BG384" s="1277">
        <f>BG68+BG76</f>
        <v/>
      </c>
      <c r="BH384" s="1277">
        <f>BH68+BH76</f>
        <v/>
      </c>
      <c r="BI384" s="1277">
        <f>BI68+BI76</f>
        <v/>
      </c>
      <c r="BJ384" s="1297">
        <f>BJ68+BJ76</f>
        <v/>
      </c>
      <c r="BK384" s="1277">
        <f>BK68+BK76</f>
        <v/>
      </c>
      <c r="BL384" s="1277">
        <f>BL68+BL76</f>
        <v/>
      </c>
      <c r="BM384" s="1277">
        <f>BM68+BM76</f>
        <v/>
      </c>
      <c r="BN384" s="1277">
        <f>BN68+BN76</f>
        <v/>
      </c>
      <c r="BO384" s="1382">
        <f>BO68+BO76</f>
        <v/>
      </c>
      <c r="BP384" s="1277">
        <f>BP72+BP76</f>
        <v/>
      </c>
      <c r="BQ384" s="1277">
        <f>BQ72+BQ76</f>
        <v/>
      </c>
      <c r="BR384" s="1277">
        <f>BR72+BR76</f>
        <v/>
      </c>
      <c r="BS384" s="1277">
        <f>BS72+BS76</f>
        <v/>
      </c>
      <c r="BT384" s="1297">
        <f>SUM(BP384,BQ384,BR384,BS384)</f>
        <v/>
      </c>
      <c r="BU384" s="1277">
        <f>BU72+BU76</f>
        <v/>
      </c>
      <c r="BV384" s="1277">
        <f>BV72+BV76</f>
        <v/>
      </c>
      <c r="BW384" s="1277">
        <f>BW72+BW76</f>
        <v/>
      </c>
      <c r="BX384" s="1277">
        <f>BX72+BX76</f>
        <v/>
      </c>
      <c r="BY384" s="1297">
        <f>SUM(BU384,BV384,BW384,BX384)</f>
        <v/>
      </c>
      <c r="BZ384" s="1297">
        <f>BZ72+BZ76</f>
        <v/>
      </c>
      <c r="CA384" s="1297">
        <f>CA72+CA76</f>
        <v/>
      </c>
      <c r="CB384" s="1297">
        <f>CB72+CB76</f>
        <v/>
      </c>
      <c r="CC384" s="1280" t="n"/>
    </row>
    <row r="385" ht="14.4" customFormat="1" customHeight="1" s="1275">
      <c r="A385" s="1460" t="inlineStr">
        <is>
          <t>Add back: SBC</t>
        </is>
      </c>
      <c r="B385" s="1389" t="n"/>
      <c r="C385" s="1463">
        <f>C681+C687</f>
        <v/>
      </c>
      <c r="D385" s="1463">
        <f>D681+D687</f>
        <v/>
      </c>
      <c r="E385" s="1463">
        <f>E681+E687</f>
        <v/>
      </c>
      <c r="F385" s="1463">
        <f>F681+F687</f>
        <v/>
      </c>
      <c r="G385" s="1463">
        <f>G681+G687</f>
        <v/>
      </c>
      <c r="H385" s="1464">
        <f>H681+H687</f>
        <v/>
      </c>
      <c r="I385" s="1464">
        <f>I681+I687</f>
        <v/>
      </c>
      <c r="J385" s="1464">
        <f>J681+J687</f>
        <v/>
      </c>
      <c r="K385" s="1464">
        <f>K681+K687</f>
        <v/>
      </c>
      <c r="L385" s="1463">
        <f>L681+L687</f>
        <v/>
      </c>
      <c r="M385" s="1464">
        <f>M681+M687</f>
        <v/>
      </c>
      <c r="N385" s="1464">
        <f>N681+N687</f>
        <v/>
      </c>
      <c r="O385" s="1464">
        <f>O681+O687</f>
        <v/>
      </c>
      <c r="P385" s="1464">
        <f>P681+P687</f>
        <v/>
      </c>
      <c r="Q385" s="1463">
        <f>Q681+Q687</f>
        <v/>
      </c>
      <c r="R385" s="1464">
        <f>R681+R687</f>
        <v/>
      </c>
      <c r="S385" s="1464">
        <f>S681+S687</f>
        <v/>
      </c>
      <c r="T385" s="1464">
        <f>T681+T687</f>
        <v/>
      </c>
      <c r="U385" s="1464">
        <f>U681+U687</f>
        <v/>
      </c>
      <c r="V385" s="1463">
        <f>V681+V687</f>
        <v/>
      </c>
      <c r="W385" s="1464">
        <f>W681+W687</f>
        <v/>
      </c>
      <c r="X385" s="1464">
        <f>X681+X687</f>
        <v/>
      </c>
      <c r="Y385" s="1464">
        <f>Y681+Y687</f>
        <v/>
      </c>
      <c r="Z385" s="1464">
        <f>Z681+Z687</f>
        <v/>
      </c>
      <c r="AA385" s="1463">
        <f>AA681+AA687</f>
        <v/>
      </c>
      <c r="AB385" s="1464">
        <f>AB681+AB687</f>
        <v/>
      </c>
      <c r="AC385" s="1464">
        <f>AC681+AC687</f>
        <v/>
      </c>
      <c r="AD385" s="1464">
        <f>AD681+AD687</f>
        <v/>
      </c>
      <c r="AE385" s="1464">
        <f>AE681+AE687</f>
        <v/>
      </c>
      <c r="AF385" s="1463">
        <f>AF681+AF687</f>
        <v/>
      </c>
      <c r="AG385" s="1464">
        <f>AG681+AG687</f>
        <v/>
      </c>
      <c r="AH385" s="1464">
        <f>AH681+AH687</f>
        <v/>
      </c>
      <c r="AI385" s="1464">
        <f>AI681+AI687</f>
        <v/>
      </c>
      <c r="AJ385" s="1464">
        <f>AJ681+AJ687</f>
        <v/>
      </c>
      <c r="AK385" s="1463">
        <f>AK681+AK687</f>
        <v/>
      </c>
      <c r="AL385" s="1464">
        <f>AL681+AL687</f>
        <v/>
      </c>
      <c r="AM385" s="1464">
        <f>AM681+AM687</f>
        <v/>
      </c>
      <c r="AN385" s="1464">
        <f>AN681+AN687</f>
        <v/>
      </c>
      <c r="AO385" s="1464">
        <f>AO681+AO687</f>
        <v/>
      </c>
      <c r="AP385" s="1463">
        <f>AP681+AP687</f>
        <v/>
      </c>
      <c r="AQ385" s="1464">
        <f>AQ681+AQ687</f>
        <v/>
      </c>
      <c r="AR385" s="1464">
        <f>AR681+AR687</f>
        <v/>
      </c>
      <c r="AS385" s="1464">
        <f>AS681+AS687</f>
        <v/>
      </c>
      <c r="AT385" s="1464">
        <f>AT681+AT687</f>
        <v/>
      </c>
      <c r="AU385" s="1463">
        <f>AU681+AU687</f>
        <v/>
      </c>
      <c r="AV385" s="1464">
        <f>AV681+AV687</f>
        <v/>
      </c>
      <c r="AW385" s="1464">
        <f>AW681+AW687</f>
        <v/>
      </c>
      <c r="AX385" s="1464">
        <f>AX681+AX687</f>
        <v/>
      </c>
      <c r="AY385" s="1464">
        <f>AY681+AY687</f>
        <v/>
      </c>
      <c r="AZ385" s="1463">
        <f>AZ681+AZ687</f>
        <v/>
      </c>
      <c r="BA385" s="1464">
        <f>BA681+BA687</f>
        <v/>
      </c>
      <c r="BB385" s="1464">
        <f>BB681+BB687</f>
        <v/>
      </c>
      <c r="BC385" s="1464">
        <f>BC681+BC687</f>
        <v/>
      </c>
      <c r="BD385" s="1464">
        <f>BD681+BD687</f>
        <v/>
      </c>
      <c r="BE385" s="1463">
        <f>BE681+BE687</f>
        <v/>
      </c>
      <c r="BF385" s="1464">
        <f>BF681+BF687</f>
        <v/>
      </c>
      <c r="BG385" s="1464">
        <f>BG681+BG687</f>
        <v/>
      </c>
      <c r="BH385" s="1464">
        <f>BH681+BH687</f>
        <v/>
      </c>
      <c r="BI385" s="1464">
        <f>BI681+BI687</f>
        <v/>
      </c>
      <c r="BJ385" s="1463">
        <f>BJ681+BJ687</f>
        <v/>
      </c>
      <c r="BK385" s="1464">
        <f>BK681+BK687</f>
        <v/>
      </c>
      <c r="BL385" s="1464">
        <f>BL681+BL687</f>
        <v/>
      </c>
      <c r="BM385" s="1464">
        <f>BM681+BM687</f>
        <v/>
      </c>
      <c r="BN385" s="1464">
        <f>BN681+BN687</f>
        <v/>
      </c>
      <c r="BO385" s="1465">
        <f>BO681+BO687</f>
        <v/>
      </c>
      <c r="BP385" s="1391" t="n">
        <v>0</v>
      </c>
      <c r="BQ385" s="1391" t="n">
        <v>0</v>
      </c>
      <c r="BR385" s="1391" t="n">
        <v>0</v>
      </c>
      <c r="BS385" s="1391" t="n">
        <v>0</v>
      </c>
      <c r="BT385" s="1364">
        <f>SUM(BP385,BQ385,BR385,BS385)</f>
        <v/>
      </c>
      <c r="BU385" s="1391" t="n">
        <v>0</v>
      </c>
      <c r="BV385" s="1391" t="n">
        <v>0</v>
      </c>
      <c r="BW385" s="1391" t="n">
        <v>0</v>
      </c>
      <c r="BX385" s="1391" t="n">
        <v>0</v>
      </c>
      <c r="BY385" s="1364">
        <f>SUM(BU385,BV385,BW385,BX385)</f>
        <v/>
      </c>
      <c r="BZ385" s="1390" t="n">
        <v>0</v>
      </c>
      <c r="CA385" s="1390" t="n">
        <v>0</v>
      </c>
      <c r="CB385" s="1390" t="n">
        <v>0</v>
      </c>
      <c r="CC385" s="1280" t="n"/>
    </row>
    <row r="386" ht="14.4" customFormat="1" customHeight="1" s="1323">
      <c r="A386" s="1324" t="inlineStr">
        <is>
          <t>EBITDA</t>
        </is>
      </c>
      <c r="B386" s="1393" t="n"/>
      <c r="C386" s="1329">
        <f>C380+SUM(C384:C385)</f>
        <v/>
      </c>
      <c r="D386" s="1329">
        <f>D380+SUM(D384:D385)</f>
        <v/>
      </c>
      <c r="E386" s="1329">
        <f>E380+SUM(E384:E385)</f>
        <v/>
      </c>
      <c r="F386" s="1329">
        <f>F380+SUM(F384:F385)</f>
        <v/>
      </c>
      <c r="G386" s="1329">
        <f>G380+SUM(G384:G385)</f>
        <v/>
      </c>
      <c r="H386" s="1328">
        <f>H380+SUM(H384:H385)</f>
        <v/>
      </c>
      <c r="I386" s="1328">
        <f>I380+SUM(I384:I385)</f>
        <v/>
      </c>
      <c r="J386" s="1328">
        <f>J380+SUM(J384:J385)</f>
        <v/>
      </c>
      <c r="K386" s="1328">
        <f>K380+SUM(K384:K385)</f>
        <v/>
      </c>
      <c r="L386" s="1329">
        <f>L380+SUM(L384:L385)</f>
        <v/>
      </c>
      <c r="M386" s="1328">
        <f>M380+SUM(M384:M385)</f>
        <v/>
      </c>
      <c r="N386" s="1328">
        <f>N380+SUM(N384:N385)</f>
        <v/>
      </c>
      <c r="O386" s="1328">
        <f>O380+SUM(O384:O385)</f>
        <v/>
      </c>
      <c r="P386" s="1328">
        <f>P380+SUM(P384:P385)</f>
        <v/>
      </c>
      <c r="Q386" s="1329">
        <f>Q380+SUM(Q384:Q385)</f>
        <v/>
      </c>
      <c r="R386" s="1328">
        <f>R380+SUM(R384:R385)</f>
        <v/>
      </c>
      <c r="S386" s="1328">
        <f>S380+SUM(S384:S385)</f>
        <v/>
      </c>
      <c r="T386" s="1328">
        <f>T380+SUM(T384:T385)</f>
        <v/>
      </c>
      <c r="U386" s="1328">
        <f>U380+SUM(U384:U385)</f>
        <v/>
      </c>
      <c r="V386" s="1329">
        <f>V380+SUM(V384:V385)</f>
        <v/>
      </c>
      <c r="W386" s="1328">
        <f>W380+SUM(W384:W385)</f>
        <v/>
      </c>
      <c r="X386" s="1328">
        <f>X380+SUM(X384:X385)</f>
        <v/>
      </c>
      <c r="Y386" s="1328">
        <f>Y380+SUM(Y384:Y385)</f>
        <v/>
      </c>
      <c r="Z386" s="1328">
        <f>Z380+SUM(Z384:Z385)</f>
        <v/>
      </c>
      <c r="AA386" s="1329">
        <f>AA380+SUM(AA384:AA385)</f>
        <v/>
      </c>
      <c r="AB386" s="1328">
        <f>AB380+SUM(AB384:AB385)</f>
        <v/>
      </c>
      <c r="AC386" s="1328">
        <f>AC380+SUM(AC384:AC385)</f>
        <v/>
      </c>
      <c r="AD386" s="1328">
        <f>AD380+SUM(AD384:AD385)</f>
        <v/>
      </c>
      <c r="AE386" s="1328">
        <f>AE380+SUM(AE384:AE385)</f>
        <v/>
      </c>
      <c r="AF386" s="1329">
        <f>AF380+SUM(AF384:AF385)</f>
        <v/>
      </c>
      <c r="AG386" s="1328">
        <f>AG380+SUM(AG384:AG385)</f>
        <v/>
      </c>
      <c r="AH386" s="1328">
        <f>AH380+SUM(AH384:AH385)</f>
        <v/>
      </c>
      <c r="AI386" s="1328">
        <f>AI380+SUM(AI384:AI385)</f>
        <v/>
      </c>
      <c r="AJ386" s="1328">
        <f>AJ380+SUM(AJ384:AJ385)</f>
        <v/>
      </c>
      <c r="AK386" s="1329">
        <f>AK380+SUM(AK384:AK385)</f>
        <v/>
      </c>
      <c r="AL386" s="1328">
        <f>AL380+SUM(AL384:AL385)</f>
        <v/>
      </c>
      <c r="AM386" s="1328">
        <f>AM380+SUM(AM384:AM385)</f>
        <v/>
      </c>
      <c r="AN386" s="1328">
        <f>AN380+SUM(AN384:AN385)</f>
        <v/>
      </c>
      <c r="AO386" s="1328">
        <f>AO380+SUM(AO384:AO385)</f>
        <v/>
      </c>
      <c r="AP386" s="1329">
        <f>AP380+SUM(AP384:AP385)</f>
        <v/>
      </c>
      <c r="AQ386" s="1328">
        <f>AQ380+SUM(AQ384:AQ385)</f>
        <v/>
      </c>
      <c r="AR386" s="1328">
        <f>AR380+SUM(AR384:AR385)</f>
        <v/>
      </c>
      <c r="AS386" s="1328">
        <f>AS380+SUM(AS384:AS385)</f>
        <v/>
      </c>
      <c r="AT386" s="1328">
        <f>AT380+SUM(AT384:AT385)</f>
        <v/>
      </c>
      <c r="AU386" s="1329">
        <f>AU380+SUM(AU384:AU385)</f>
        <v/>
      </c>
      <c r="AV386" s="1328">
        <f>AV380+SUM(AV384:AV385)</f>
        <v/>
      </c>
      <c r="AW386" s="1328">
        <f>AW380+SUM(AW384:AW385)</f>
        <v/>
      </c>
      <c r="AX386" s="1328">
        <f>AX380+SUM(AX384:AX385)</f>
        <v/>
      </c>
      <c r="AY386" s="1328">
        <f>AY380+SUM(AY384:AY385)</f>
        <v/>
      </c>
      <c r="AZ386" s="1329">
        <f>AZ380+SUM(AZ384:AZ385)</f>
        <v/>
      </c>
      <c r="BA386" s="1328">
        <f>BA380+SUM(BA384:BA385)</f>
        <v/>
      </c>
      <c r="BB386" s="1328">
        <f>BB380+SUM(BB384:BB385)</f>
        <v/>
      </c>
      <c r="BC386" s="1328">
        <f>BC380+SUM(BC384:BC385)</f>
        <v/>
      </c>
      <c r="BD386" s="1328">
        <f>BD380+SUM(BD384:BD385)</f>
        <v/>
      </c>
      <c r="BE386" s="1329">
        <f>BE380+SUM(BE384:BE385)</f>
        <v/>
      </c>
      <c r="BF386" s="1328">
        <f>BF380+SUM(BF384:BF385)</f>
        <v/>
      </c>
      <c r="BG386" s="1328">
        <f>BG380+SUM(BG384:BG385)</f>
        <v/>
      </c>
      <c r="BH386" s="1328">
        <f>BH380+SUM(BH384:BH385)</f>
        <v/>
      </c>
      <c r="BI386" s="1328">
        <f>BI380+SUM(BI384:BI385)</f>
        <v/>
      </c>
      <c r="BJ386" s="1329">
        <f>BJ380+SUM(BJ384:BJ385)</f>
        <v/>
      </c>
      <c r="BK386" s="1328">
        <f>BK380+SUM(BK384:BK385)</f>
        <v/>
      </c>
      <c r="BL386" s="1328">
        <f>BL380+SUM(BL384:BL385)</f>
        <v/>
      </c>
      <c r="BM386" s="1328">
        <f>BM380+SUM(BM384:BM385)</f>
        <v/>
      </c>
      <c r="BN386" s="1328">
        <f>BN380+SUM(BN384:BN385)</f>
        <v/>
      </c>
      <c r="BO386" s="1330">
        <f>BO380+SUM(BO384:BO385)</f>
        <v/>
      </c>
      <c r="BP386" s="1327">
        <f>BP380+SUM(BP384:BP385)</f>
        <v/>
      </c>
      <c r="BQ386" s="1327">
        <f>BQ380+SUM(BQ384:BQ385)</f>
        <v/>
      </c>
      <c r="BR386" s="1327">
        <f>BR380+SUM(BR384:BR385)</f>
        <v/>
      </c>
      <c r="BS386" s="1327">
        <f>BS380+SUM(BS384:BS385)</f>
        <v/>
      </c>
      <c r="BT386" s="1326">
        <f>BT380+SUM(BT384:BT385)</f>
        <v/>
      </c>
      <c r="BU386" s="1327">
        <f>BU380+SUM(BU384:BU385)</f>
        <v/>
      </c>
      <c r="BV386" s="1327">
        <f>BV380+SUM(BV384:BV385)</f>
        <v/>
      </c>
      <c r="BW386" s="1327">
        <f>BW380+SUM(BW384:BW385)</f>
        <v/>
      </c>
      <c r="BX386" s="1327">
        <f>BX380+SUM(BX384:BX385)</f>
        <v/>
      </c>
      <c r="BY386" s="1326">
        <f>BY380+SUM(BY384:BY385)</f>
        <v/>
      </c>
      <c r="BZ386" s="1326">
        <f>BZ380+SUM(BZ384:BZ385)</f>
        <v/>
      </c>
      <c r="CA386" s="1326">
        <f>CA380+SUM(CA384:CA385)</f>
        <v/>
      </c>
      <c r="CB386" s="1326">
        <f>CB380+SUM(CB384:CB385)</f>
        <v/>
      </c>
      <c r="CC386" s="1331" t="n"/>
    </row>
    <row r="387" ht="14.4" customFormat="1" customHeight="1" s="1323">
      <c r="A387" s="1577">
        <f>CONCATENATE("Adjusted ",A386,IF(AND(ROUND(SUM(C386:CC386)-SUM(C387:CC387),6)=0)," (No Adjustments)",""))</f>
        <v/>
      </c>
      <c r="B387" s="1394" t="n"/>
      <c r="C387" s="1593">
        <f>C386</f>
        <v/>
      </c>
      <c r="D387" s="1593">
        <f>D386</f>
        <v/>
      </c>
      <c r="E387" s="1593">
        <f>E386</f>
        <v/>
      </c>
      <c r="F387" s="1593">
        <f>F386</f>
        <v/>
      </c>
      <c r="G387" s="1593">
        <f>G386</f>
        <v/>
      </c>
      <c r="H387" s="1331">
        <f>H386</f>
        <v/>
      </c>
      <c r="I387" s="1331">
        <f>I386</f>
        <v/>
      </c>
      <c r="J387" s="1331">
        <f>J386</f>
        <v/>
      </c>
      <c r="K387" s="1331">
        <f>K386</f>
        <v/>
      </c>
      <c r="L387" s="1593">
        <f>L386</f>
        <v/>
      </c>
      <c r="M387" s="1331">
        <f>M386</f>
        <v/>
      </c>
      <c r="N387" s="1331">
        <f>N386</f>
        <v/>
      </c>
      <c r="O387" s="1331">
        <f>O386</f>
        <v/>
      </c>
      <c r="P387" s="1331">
        <f>P386</f>
        <v/>
      </c>
      <c r="Q387" s="1593">
        <f>Q386</f>
        <v/>
      </c>
      <c r="R387" s="1331">
        <f>R386</f>
        <v/>
      </c>
      <c r="S387" s="1331">
        <f>S386</f>
        <v/>
      </c>
      <c r="T387" s="1331">
        <f>T386</f>
        <v/>
      </c>
      <c r="U387" s="1331">
        <f>U386</f>
        <v/>
      </c>
      <c r="V387" s="1593">
        <f>V386</f>
        <v/>
      </c>
      <c r="W387" s="1331">
        <f>W386</f>
        <v/>
      </c>
      <c r="X387" s="1331">
        <f>X386</f>
        <v/>
      </c>
      <c r="Y387" s="1331">
        <f>Y386</f>
        <v/>
      </c>
      <c r="Z387" s="1331">
        <f>Z386</f>
        <v/>
      </c>
      <c r="AA387" s="1593">
        <f>AA386</f>
        <v/>
      </c>
      <c r="AB387" s="1331">
        <f>AB386</f>
        <v/>
      </c>
      <c r="AC387" s="1331">
        <f>AC386</f>
        <v/>
      </c>
      <c r="AD387" s="1331">
        <f>AD386</f>
        <v/>
      </c>
      <c r="AE387" s="1331">
        <f>AE386</f>
        <v/>
      </c>
      <c r="AF387" s="1593">
        <f>AF386</f>
        <v/>
      </c>
      <c r="AG387" s="1331">
        <f>AG386</f>
        <v/>
      </c>
      <c r="AH387" s="1331">
        <f>AH386</f>
        <v/>
      </c>
      <c r="AI387" s="1331">
        <f>AI386</f>
        <v/>
      </c>
      <c r="AJ387" s="1331">
        <f>AJ386</f>
        <v/>
      </c>
      <c r="AK387" s="1593">
        <f>AK386</f>
        <v/>
      </c>
      <c r="AL387" s="1331">
        <f>AL386</f>
        <v/>
      </c>
      <c r="AM387" s="1331">
        <f>AM386</f>
        <v/>
      </c>
      <c r="AN387" s="1331">
        <f>AN386</f>
        <v/>
      </c>
      <c r="AO387" s="1331">
        <f>AO386</f>
        <v/>
      </c>
      <c r="AP387" s="1593">
        <f>AP386</f>
        <v/>
      </c>
      <c r="AQ387" s="1331">
        <f>AQ386</f>
        <v/>
      </c>
      <c r="AR387" s="1331">
        <f>AR386</f>
        <v/>
      </c>
      <c r="AS387" s="1331">
        <f>AS386</f>
        <v/>
      </c>
      <c r="AT387" s="1331">
        <f>AT386</f>
        <v/>
      </c>
      <c r="AU387" s="1593">
        <f>AU386</f>
        <v/>
      </c>
      <c r="AV387" s="1331">
        <f>AV386</f>
        <v/>
      </c>
      <c r="AW387" s="1331">
        <f>AW386</f>
        <v/>
      </c>
      <c r="AX387" s="1331">
        <f>AX386</f>
        <v/>
      </c>
      <c r="AY387" s="1331">
        <f>AY386</f>
        <v/>
      </c>
      <c r="AZ387" s="1593">
        <f>AZ386</f>
        <v/>
      </c>
      <c r="BA387" s="1331">
        <f>BA386</f>
        <v/>
      </c>
      <c r="BB387" s="1331">
        <f>BB386</f>
        <v/>
      </c>
      <c r="BC387" s="1331">
        <f>BC386</f>
        <v/>
      </c>
      <c r="BD387" s="1331">
        <f>BD386</f>
        <v/>
      </c>
      <c r="BE387" s="1593">
        <f>BE386</f>
        <v/>
      </c>
      <c r="BF387" s="1331">
        <f>BF386</f>
        <v/>
      </c>
      <c r="BG387" s="1331">
        <f>BG386</f>
        <v/>
      </c>
      <c r="BH387" s="1331">
        <f>BH386</f>
        <v/>
      </c>
      <c r="BI387" s="1331">
        <f>BI386</f>
        <v/>
      </c>
      <c r="BJ387" s="1593">
        <f>BJ386</f>
        <v/>
      </c>
      <c r="BK387" s="1331">
        <f>BK386</f>
        <v/>
      </c>
      <c r="BL387" s="1331">
        <f>BL386</f>
        <v/>
      </c>
      <c r="BM387" s="1331">
        <f>BM386</f>
        <v/>
      </c>
      <c r="BN387" s="1331">
        <f>BN386</f>
        <v/>
      </c>
      <c r="BO387" s="1578">
        <f>BO386</f>
        <v/>
      </c>
      <c r="BP387" s="1346">
        <f>BP386</f>
        <v/>
      </c>
      <c r="BQ387" s="1346">
        <f>BQ386</f>
        <v/>
      </c>
      <c r="BR387" s="1346">
        <f>BR386</f>
        <v/>
      </c>
      <c r="BS387" s="1346">
        <f>BS386</f>
        <v/>
      </c>
      <c r="BT387" s="1345">
        <f>SUM(BP387,BQ387,BR387,BS387)</f>
        <v/>
      </c>
      <c r="BU387" s="1346">
        <f>BU386</f>
        <v/>
      </c>
      <c r="BV387" s="1346">
        <f>BV386</f>
        <v/>
      </c>
      <c r="BW387" s="1346">
        <f>BW386</f>
        <v/>
      </c>
      <c r="BX387" s="1346">
        <f>BX386</f>
        <v/>
      </c>
      <c r="BY387" s="1345">
        <f>SUM(BU387,BV387,BW387,BX387)</f>
        <v/>
      </c>
      <c r="BZ387" s="1345">
        <f>BZ386</f>
        <v/>
      </c>
      <c r="CA387" s="1345">
        <f>CA386</f>
        <v/>
      </c>
      <c r="CB387" s="1345">
        <f>CB386</f>
        <v/>
      </c>
      <c r="CC387" s="1331" t="n"/>
    </row>
    <row r="388" ht="14.4" customFormat="1" customHeight="1" s="1608">
      <c r="A388" s="1609">
        <f>CONCATENATE("Consensus Estimates - ",IFERROR(LEFT(A387,FIND("(",A387)-1),A387))</f>
        <v/>
      </c>
      <c r="B388" s="1610" t="n"/>
      <c r="C388" s="1335" t="n"/>
      <c r="D388" s="1335" t="n"/>
      <c r="E388" s="1335" t="n"/>
      <c r="F388" s="1335" t="n"/>
      <c r="G388" s="1335" t="n"/>
      <c r="H388" s="1336" t="n"/>
      <c r="I388" s="1336" t="n"/>
      <c r="J388" s="1336" t="n"/>
      <c r="K388" s="1336" t="n"/>
      <c r="L388" s="1335" t="n"/>
      <c r="M388" s="1336" t="n"/>
      <c r="N388" s="1336" t="n"/>
      <c r="O388" s="1336" t="n"/>
      <c r="P388" s="1336" t="n"/>
      <c r="Q388" s="1335" t="n"/>
      <c r="R388" s="1336" t="n"/>
      <c r="S388" s="1611" t="n"/>
      <c r="T388" s="1336" t="n"/>
      <c r="U388" s="1336" t="n"/>
      <c r="V388" s="1335" t="n"/>
      <c r="W388" s="1336" t="n"/>
      <c r="X388" s="1611" t="n"/>
      <c r="Y388" s="1336" t="n"/>
      <c r="Z388" s="1336" t="n"/>
      <c r="AA388" s="1335" t="n"/>
      <c r="AB388" s="1336" t="n"/>
      <c r="AC388" s="1611" t="n"/>
      <c r="AD388" s="1336" t="n"/>
      <c r="AE388" s="1336" t="n"/>
      <c r="AF388" s="1335" t="n"/>
      <c r="AG388" s="1336" t="n"/>
      <c r="AH388" s="1611" t="n"/>
      <c r="AI388" s="1336" t="n"/>
      <c r="AJ388" s="1336" t="n"/>
      <c r="AK388" s="1335" t="n"/>
      <c r="AL388" s="1336" t="n"/>
      <c r="AM388" s="1611" t="n"/>
      <c r="AN388" s="1336" t="n"/>
      <c r="AO388" s="1336" t="n"/>
      <c r="AP388" s="1335" t="n"/>
      <c r="AQ388" s="1336" t="n"/>
      <c r="AR388" s="1611" t="n"/>
      <c r="AS388" s="1336" t="n"/>
      <c r="AT388" s="1336" t="n"/>
      <c r="AU388" s="1335" t="n"/>
      <c r="AV388" s="1336" t="n"/>
      <c r="AW388" s="1611" t="n"/>
      <c r="AX388" s="1336" t="n"/>
      <c r="AY388" s="1336" t="n"/>
      <c r="AZ388" s="1335" t="n"/>
      <c r="BA388" s="1336" t="n"/>
      <c r="BB388" s="1611" t="n"/>
      <c r="BC388" s="1336" t="n"/>
      <c r="BD388" s="1336" t="n"/>
      <c r="BE388" s="1335" t="n"/>
      <c r="BF388" s="1336" t="n"/>
      <c r="BG388" s="1611" t="n"/>
      <c r="BH388" s="1336" t="n"/>
      <c r="BI388" s="1336" t="n"/>
      <c r="BJ388" s="1335" t="n"/>
      <c r="BK388" s="1336" t="n"/>
      <c r="BL388" s="1611" t="n"/>
      <c r="BM388" s="1336" t="n"/>
      <c r="BN388" s="1336" t="n"/>
      <c r="BO388" s="1337" t="n"/>
      <c r="BP388" s="1338">
        <f>IFERROR(VLOOKUP($A388,tb_ConsensusEstimate,MATCH(BP$5,OFFSET(tb_ConsensusEstimate,0,0,1,COLUMNS(tb_ConsensusEstimate)),0),FALSE)/BP1075,"-")</f>
        <v/>
      </c>
      <c r="BQ388" s="1338">
        <f>IFERROR(VLOOKUP($A388,tb_ConsensusEstimate,MATCH(BQ$5,OFFSET(tb_ConsensusEstimate,0,0,1,COLUMNS(tb_ConsensusEstimate)),0),FALSE)/BQ1075,"-")</f>
        <v/>
      </c>
      <c r="BR388" s="1338">
        <f>IFERROR(VLOOKUP($A388,tb_ConsensusEstimate,MATCH(BR$5,OFFSET(tb_ConsensusEstimate,0,0,1,COLUMNS(tb_ConsensusEstimate)),0),FALSE)/BR1075,"-")</f>
        <v/>
      </c>
      <c r="BS388" s="1338">
        <f>IFERROR(VLOOKUP($A388,tb_ConsensusEstimate,MATCH(BS$5,OFFSET(tb_ConsensusEstimate,0,0,1,COLUMNS(tb_ConsensusEstimate)),0),FALSE)/BS1075,"-")</f>
        <v/>
      </c>
      <c r="BT388" s="1339">
        <f>IFERROR(VLOOKUP($A388,tb_ConsensusEstimate,MATCH(BT$5,OFFSET(tb_ConsensusEstimate,0,0,1,COLUMNS(tb_ConsensusEstimate)),0),FALSE)/BT1075,"-")</f>
        <v/>
      </c>
      <c r="BU388" s="1338">
        <f>IFERROR(VLOOKUP($A388,tb_ConsensusEstimate,MATCH(BU$5,OFFSET(tb_ConsensusEstimate,0,0,1,COLUMNS(tb_ConsensusEstimate)),0),FALSE)/BU1075,"-")</f>
        <v/>
      </c>
      <c r="BV388" s="1338">
        <f>IFERROR(VLOOKUP($A388,tb_ConsensusEstimate,MATCH(BV$5,OFFSET(tb_ConsensusEstimate,0,0,1,COLUMNS(tb_ConsensusEstimate)),0),FALSE)/BV1075,"-")</f>
        <v/>
      </c>
      <c r="BW388" s="1338">
        <f>IFERROR(VLOOKUP($A388,tb_ConsensusEstimate,MATCH(BW$5,OFFSET(tb_ConsensusEstimate,0,0,1,COLUMNS(tb_ConsensusEstimate)),0),FALSE)/BW1075,"-")</f>
        <v/>
      </c>
      <c r="BX388" s="1338">
        <f>IFERROR(VLOOKUP($A388,tb_ConsensusEstimate,MATCH(BX$5,OFFSET(tb_ConsensusEstimate,0,0,1,COLUMNS(tb_ConsensusEstimate)),0),FALSE)/BX1075,"-")</f>
        <v/>
      </c>
      <c r="BY388" s="1339">
        <f>IFERROR(VLOOKUP($A388,tb_ConsensusEstimate,MATCH(BY$5,OFFSET(tb_ConsensusEstimate,0,0,1,COLUMNS(tb_ConsensusEstimate)),0),FALSE)/BY1075,"-")</f>
        <v/>
      </c>
      <c r="BZ388" s="1339">
        <f>IFERROR(VLOOKUP($A388,tb_ConsensusEstimate,MATCH(BZ$5,OFFSET(tb_ConsensusEstimate,0,0,1,COLUMNS(tb_ConsensusEstimate)),0),FALSE)/BZ1075,"-")</f>
        <v/>
      </c>
      <c r="CA388" s="1339">
        <f>IFERROR(VLOOKUP($A388,tb_ConsensusEstimate,MATCH(CA$5,OFFSET(tb_ConsensusEstimate,0,0,1,COLUMNS(tb_ConsensusEstimate)),0),FALSE)/CA1075,"-")</f>
        <v/>
      </c>
      <c r="CB388" s="1339">
        <f>IFERROR(VLOOKUP($A388,tb_ConsensusEstimate,MATCH(CB$5,OFFSET(tb_ConsensusEstimate,0,0,1,COLUMNS(tb_ConsensusEstimate)),0),FALSE)/CB1075,"-")</f>
        <v/>
      </c>
      <c r="CC388" s="1336" t="n"/>
    </row>
    <row r="389" ht="14.4" customFormat="1" customHeight="1" s="1275">
      <c r="A389" s="1618" t="n"/>
      <c r="B389" s="1387" t="n"/>
      <c r="C389" s="1297" t="n"/>
      <c r="D389" s="1297" t="n"/>
      <c r="E389" s="1297" t="n"/>
      <c r="F389" s="1297" t="n"/>
      <c r="G389" s="1297" t="n"/>
      <c r="H389" s="1277" t="n"/>
      <c r="I389" s="1277" t="n"/>
      <c r="J389" s="1277" t="n"/>
      <c r="K389" s="1277" t="n"/>
      <c r="L389" s="1297" t="n"/>
      <c r="M389" s="1277" t="n"/>
      <c r="N389" s="1277" t="n"/>
      <c r="O389" s="1277" t="n"/>
      <c r="P389" s="1277" t="n"/>
      <c r="Q389" s="1297" t="n"/>
      <c r="R389" s="1277" t="n"/>
      <c r="S389" s="1611" t="n"/>
      <c r="T389" s="1277" t="n"/>
      <c r="U389" s="1277" t="n"/>
      <c r="V389" s="1297" t="n"/>
      <c r="W389" s="1277" t="n"/>
      <c r="X389" s="1611" t="n"/>
      <c r="Y389" s="1336" t="n"/>
      <c r="Z389" s="1277" t="n"/>
      <c r="AA389" s="1297" t="n"/>
      <c r="AB389" s="1277" t="n"/>
      <c r="AC389" s="1611" t="n"/>
      <c r="AD389" s="1336" t="n"/>
      <c r="AE389" s="1277" t="n"/>
      <c r="AF389" s="1297" t="n"/>
      <c r="AG389" s="1277" t="n"/>
      <c r="AH389" s="1611" t="n"/>
      <c r="AI389" s="1336" t="n"/>
      <c r="AJ389" s="1277" t="n"/>
      <c r="AK389" s="1297" t="n"/>
      <c r="AL389" s="1277" t="n"/>
      <c r="AM389" s="1611" t="n"/>
      <c r="AN389" s="1336" t="n"/>
      <c r="AO389" s="1277" t="n"/>
      <c r="AP389" s="1297" t="n"/>
      <c r="AQ389" s="1277" t="n"/>
      <c r="AR389" s="1611" t="n"/>
      <c r="AS389" s="1336" t="n"/>
      <c r="AT389" s="1277" t="n"/>
      <c r="AU389" s="1297" t="n"/>
      <c r="AV389" s="1277" t="n"/>
      <c r="AW389" s="1611" t="n"/>
      <c r="AX389" s="1336" t="n"/>
      <c r="AY389" s="1277" t="n"/>
      <c r="AZ389" s="1297" t="n"/>
      <c r="BA389" s="1277" t="n"/>
      <c r="BB389" s="1611" t="n"/>
      <c r="BC389" s="1336" t="n"/>
      <c r="BD389" s="1277" t="n"/>
      <c r="BE389" s="1297" t="n"/>
      <c r="BF389" s="1277" t="n"/>
      <c r="BG389" s="1611" t="n"/>
      <c r="BH389" s="1336" t="n"/>
      <c r="BI389" s="1277" t="n"/>
      <c r="BJ389" s="1297" t="n"/>
      <c r="BK389" s="1277" t="n"/>
      <c r="BL389" s="1611" t="n"/>
      <c r="BM389" s="1336" t="n"/>
      <c r="BN389" s="1277" t="n"/>
      <c r="BO389" s="1382" t="n"/>
      <c r="BP389" s="1336" t="n"/>
      <c r="BQ389" s="1336" t="n"/>
      <c r="BR389" s="1336" t="n"/>
      <c r="BS389" s="1336" t="n"/>
      <c r="BT389" s="1619" t="n"/>
      <c r="BU389" s="1336" t="n"/>
      <c r="BV389" s="1336" t="n"/>
      <c r="BW389" s="1336" t="n"/>
      <c r="BX389" s="1336" t="n"/>
      <c r="BY389" s="1619" t="n"/>
      <c r="BZ389" s="1619" t="n"/>
      <c r="CA389" s="1619" t="n"/>
      <c r="CB389" s="1619" t="n"/>
      <c r="CC389" s="1280" t="n"/>
    </row>
    <row r="390" ht="14.4" customFormat="1" customHeight="1" s="1275">
      <c r="A390" s="1384" t="inlineStr">
        <is>
          <t>Interest expense</t>
        </is>
      </c>
      <c r="B390" s="1387" t="n"/>
      <c r="C390" s="1297">
        <f>-C344-C354</f>
        <v/>
      </c>
      <c r="D390" s="1297">
        <f>-D344-D354</f>
        <v/>
      </c>
      <c r="E390" s="1297">
        <f>-E344-E354</f>
        <v/>
      </c>
      <c r="F390" s="1297">
        <f>-F344-F354</f>
        <v/>
      </c>
      <c r="G390" s="1297">
        <f>-G344-G354</f>
        <v/>
      </c>
      <c r="H390" s="1277">
        <f>-H344-H354</f>
        <v/>
      </c>
      <c r="I390" s="1277">
        <f>-I344-I354</f>
        <v/>
      </c>
      <c r="J390" s="1277">
        <f>-J344-J354</f>
        <v/>
      </c>
      <c r="K390" s="1277">
        <f>-K344-K354</f>
        <v/>
      </c>
      <c r="L390" s="1297">
        <f>-L344-L354</f>
        <v/>
      </c>
      <c r="M390" s="1277">
        <f>-M344-M354</f>
        <v/>
      </c>
      <c r="N390" s="1277">
        <f>-N344-N354</f>
        <v/>
      </c>
      <c r="O390" s="1277">
        <f>-O344-O354</f>
        <v/>
      </c>
      <c r="P390" s="1277">
        <f>-P344-P354</f>
        <v/>
      </c>
      <c r="Q390" s="1297">
        <f>-Q344-Q354</f>
        <v/>
      </c>
      <c r="R390" s="1277">
        <f>-R344-R354</f>
        <v/>
      </c>
      <c r="S390" s="1277">
        <f>-S344-S354</f>
        <v/>
      </c>
      <c r="T390" s="1277">
        <f>-T344-T354</f>
        <v/>
      </c>
      <c r="U390" s="1277">
        <f>-U344-U354</f>
        <v/>
      </c>
      <c r="V390" s="1297">
        <f>-V344-V354</f>
        <v/>
      </c>
      <c r="W390" s="1277">
        <f>-W344-W354</f>
        <v/>
      </c>
      <c r="X390" s="1277">
        <f>-X344-X354</f>
        <v/>
      </c>
      <c r="Y390" s="1277">
        <f>-Y344-Y354</f>
        <v/>
      </c>
      <c r="Z390" s="1277">
        <f>-Z344-Z354</f>
        <v/>
      </c>
      <c r="AA390" s="1297">
        <f>-AA344-AA354</f>
        <v/>
      </c>
      <c r="AB390" s="1277">
        <f>-AB344-AB354</f>
        <v/>
      </c>
      <c r="AC390" s="1277">
        <f>-AC344-AC354</f>
        <v/>
      </c>
      <c r="AD390" s="1277">
        <f>-AD344-AD354</f>
        <v/>
      </c>
      <c r="AE390" s="1277">
        <f>-AE344-AE354</f>
        <v/>
      </c>
      <c r="AF390" s="1297">
        <f>-AF344-AF354</f>
        <v/>
      </c>
      <c r="AG390" s="1277">
        <f>-AG344-AG354</f>
        <v/>
      </c>
      <c r="AH390" s="1277">
        <f>-AH344-AH354</f>
        <v/>
      </c>
      <c r="AI390" s="1277">
        <f>-AI344-AI354</f>
        <v/>
      </c>
      <c r="AJ390" s="1277">
        <f>-AJ344-AJ354</f>
        <v/>
      </c>
      <c r="AK390" s="1297">
        <f>-AK344-AK354</f>
        <v/>
      </c>
      <c r="AL390" s="1277">
        <f>-AL344-AL354</f>
        <v/>
      </c>
      <c r="AM390" s="1277">
        <f>-AM344-AM354</f>
        <v/>
      </c>
      <c r="AN390" s="1277">
        <f>-AN344-AN354</f>
        <v/>
      </c>
      <c r="AO390" s="1277">
        <f>-AO344-AO354</f>
        <v/>
      </c>
      <c r="AP390" s="1297">
        <f>-AP344-AP354</f>
        <v/>
      </c>
      <c r="AQ390" s="1277">
        <f>-AQ344-AQ354</f>
        <v/>
      </c>
      <c r="AR390" s="1277">
        <f>-AR344-AR354</f>
        <v/>
      </c>
      <c r="AS390" s="1277">
        <f>-AS344-AS354</f>
        <v/>
      </c>
      <c r="AT390" s="1277">
        <f>-AT344-AT354</f>
        <v/>
      </c>
      <c r="AU390" s="1297">
        <f>-AU344-AU354</f>
        <v/>
      </c>
      <c r="AV390" s="1277">
        <f>-AV344-AV354</f>
        <v/>
      </c>
      <c r="AW390" s="1277">
        <f>-AW344-AW354</f>
        <v/>
      </c>
      <c r="AX390" s="1277">
        <f>-AX344-AX354</f>
        <v/>
      </c>
      <c r="AY390" s="1277">
        <f>-AY344-AY354</f>
        <v/>
      </c>
      <c r="AZ390" s="1297">
        <f>-AZ344-AZ354</f>
        <v/>
      </c>
      <c r="BA390" s="1277">
        <f>-BA344-BA354</f>
        <v/>
      </c>
      <c r="BB390" s="1277">
        <f>-BB344-BB354</f>
        <v/>
      </c>
      <c r="BC390" s="1277">
        <f>-BC344-BC354</f>
        <v/>
      </c>
      <c r="BD390" s="1277">
        <f>-BD344-BD354</f>
        <v/>
      </c>
      <c r="BE390" s="1297">
        <f>-BE344-BE354</f>
        <v/>
      </c>
      <c r="BF390" s="1277">
        <f>-BF344-BF354</f>
        <v/>
      </c>
      <c r="BG390" s="1277">
        <f>-BG344-BG354</f>
        <v/>
      </c>
      <c r="BH390" s="1277">
        <f>-BH344-BH354</f>
        <v/>
      </c>
      <c r="BI390" s="1277">
        <f>-BI344-BI354</f>
        <v/>
      </c>
      <c r="BJ390" s="1297">
        <f>-BJ344-BJ354</f>
        <v/>
      </c>
      <c r="BK390" s="1277">
        <f>-BK344-BK354</f>
        <v/>
      </c>
      <c r="BL390" s="1277">
        <f>-BL344-BL354</f>
        <v/>
      </c>
      <c r="BM390" s="1277">
        <f>-BM344-BM354</f>
        <v/>
      </c>
      <c r="BN390" s="1277">
        <f>-BN344-BN354</f>
        <v/>
      </c>
      <c r="BO390" s="1382">
        <f>-BO344-BO354</f>
        <v/>
      </c>
      <c r="BP390" s="1277">
        <f>BP489</f>
        <v/>
      </c>
      <c r="BQ390" s="1277">
        <f>BQ489</f>
        <v/>
      </c>
      <c r="BR390" s="1277">
        <f>BR489</f>
        <v/>
      </c>
      <c r="BS390" s="1277">
        <f>BS489</f>
        <v/>
      </c>
      <c r="BT390" s="1297">
        <f>SUM(BP390,BQ390,BR390,BS390)</f>
        <v/>
      </c>
      <c r="BU390" s="1277">
        <f>BU489</f>
        <v/>
      </c>
      <c r="BV390" s="1277">
        <f>BV489</f>
        <v/>
      </c>
      <c r="BW390" s="1277">
        <f>BW489</f>
        <v/>
      </c>
      <c r="BX390" s="1277">
        <f>BX489</f>
        <v/>
      </c>
      <c r="BY390" s="1297">
        <f>SUM(BU390,BV390,BW390,BX390)</f>
        <v/>
      </c>
      <c r="BZ390" s="1297">
        <f>BZ489</f>
        <v/>
      </c>
      <c r="CA390" s="1297">
        <f>CA489</f>
        <v/>
      </c>
      <c r="CB390" s="1297">
        <f>CB489</f>
        <v/>
      </c>
      <c r="CC390" s="1280" t="n"/>
    </row>
    <row r="391" ht="14.4" customFormat="1" customHeight="1" s="1275">
      <c r="A391" s="1295" t="inlineStr">
        <is>
          <t>Income from equity method investments</t>
        </is>
      </c>
      <c r="B391" s="1387" t="n"/>
      <c r="C391" s="1446">
        <f>-C335</f>
        <v/>
      </c>
      <c r="D391" s="1446">
        <f>-D335</f>
        <v/>
      </c>
      <c r="E391" s="1446">
        <f>-E335</f>
        <v/>
      </c>
      <c r="F391" s="1446">
        <f>-F335</f>
        <v/>
      </c>
      <c r="G391" s="1446">
        <f>-G335</f>
        <v/>
      </c>
      <c r="H391" s="1280">
        <f>-H335</f>
        <v/>
      </c>
      <c r="I391" s="1280">
        <f>-I335</f>
        <v/>
      </c>
      <c r="J391" s="1280">
        <f>-J335</f>
        <v/>
      </c>
      <c r="K391" s="1280">
        <f>-K335</f>
        <v/>
      </c>
      <c r="L391" s="1446">
        <f>-L335</f>
        <v/>
      </c>
      <c r="M391" s="1280">
        <f>-M335</f>
        <v/>
      </c>
      <c r="N391" s="1280">
        <f>-N335</f>
        <v/>
      </c>
      <c r="O391" s="1280">
        <f>-O335</f>
        <v/>
      </c>
      <c r="P391" s="1280">
        <f>-P335</f>
        <v/>
      </c>
      <c r="Q391" s="1446">
        <f>-Q335</f>
        <v/>
      </c>
      <c r="R391" s="1280">
        <f>-R335</f>
        <v/>
      </c>
      <c r="S391" s="1280">
        <f>-S335</f>
        <v/>
      </c>
      <c r="T391" s="1280">
        <f>-T335</f>
        <v/>
      </c>
      <c r="U391" s="1280">
        <f>-U335</f>
        <v/>
      </c>
      <c r="V391" s="1446">
        <f>-V335</f>
        <v/>
      </c>
      <c r="W391" s="1280">
        <f>-W335</f>
        <v/>
      </c>
      <c r="X391" s="1280">
        <f>-X335</f>
        <v/>
      </c>
      <c r="Y391" s="1280">
        <f>-Y335</f>
        <v/>
      </c>
      <c r="Z391" s="1280">
        <f>-Z335</f>
        <v/>
      </c>
      <c r="AA391" s="1446">
        <f>-AA335</f>
        <v/>
      </c>
      <c r="AB391" s="1280">
        <f>-AB335</f>
        <v/>
      </c>
      <c r="AC391" s="1280">
        <f>-AC335</f>
        <v/>
      </c>
      <c r="AD391" s="1280">
        <f>-AD335</f>
        <v/>
      </c>
      <c r="AE391" s="1280">
        <f>-AE335</f>
        <v/>
      </c>
      <c r="AF391" s="1446">
        <f>-AF335</f>
        <v/>
      </c>
      <c r="AG391" s="1280">
        <f>-AG335</f>
        <v/>
      </c>
      <c r="AH391" s="1280">
        <f>-AH335</f>
        <v/>
      </c>
      <c r="AI391" s="1280">
        <f>-AI335</f>
        <v/>
      </c>
      <c r="AJ391" s="1280">
        <f>-AJ335</f>
        <v/>
      </c>
      <c r="AK391" s="1446">
        <f>-AK335</f>
        <v/>
      </c>
      <c r="AL391" s="1280">
        <f>-AL335</f>
        <v/>
      </c>
      <c r="AM391" s="1280">
        <f>-AM335</f>
        <v/>
      </c>
      <c r="AN391" s="1280">
        <f>-AN335</f>
        <v/>
      </c>
      <c r="AO391" s="1280">
        <f>-AO335</f>
        <v/>
      </c>
      <c r="AP391" s="1446">
        <f>-AP335</f>
        <v/>
      </c>
      <c r="AQ391" s="1280">
        <f>-AQ335</f>
        <v/>
      </c>
      <c r="AR391" s="1280">
        <f>-AR335</f>
        <v/>
      </c>
      <c r="AS391" s="1280">
        <f>-AS335</f>
        <v/>
      </c>
      <c r="AT391" s="1280">
        <f>-AT335</f>
        <v/>
      </c>
      <c r="AU391" s="1446">
        <f>-AU335</f>
        <v/>
      </c>
      <c r="AV391" s="1280">
        <f>-AV335</f>
        <v/>
      </c>
      <c r="AW391" s="1280">
        <f>-AW335</f>
        <v/>
      </c>
      <c r="AX391" s="1280">
        <f>-AX335</f>
        <v/>
      </c>
      <c r="AY391" s="1280">
        <f>-AY335</f>
        <v/>
      </c>
      <c r="AZ391" s="1446">
        <f>-AZ335</f>
        <v/>
      </c>
      <c r="BA391" s="1280">
        <f>-BA335</f>
        <v/>
      </c>
      <c r="BB391" s="1280">
        <f>-BB335</f>
        <v/>
      </c>
      <c r="BC391" s="1280">
        <f>-BC335</f>
        <v/>
      </c>
      <c r="BD391" s="1280">
        <f>-BD335</f>
        <v/>
      </c>
      <c r="BE391" s="1446">
        <f>-BE335</f>
        <v/>
      </c>
      <c r="BF391" s="1280">
        <f>-BF335</f>
        <v/>
      </c>
      <c r="BG391" s="1280">
        <f>-BG335</f>
        <v/>
      </c>
      <c r="BH391" s="1280">
        <f>-BH335</f>
        <v/>
      </c>
      <c r="BI391" s="1280">
        <f>-BI335</f>
        <v/>
      </c>
      <c r="BJ391" s="1446">
        <f>-BJ335</f>
        <v/>
      </c>
      <c r="BK391" s="1280">
        <f>-BK335</f>
        <v/>
      </c>
      <c r="BL391" s="1280">
        <f>-BL335</f>
        <v/>
      </c>
      <c r="BM391" s="1280">
        <f>-BM335</f>
        <v/>
      </c>
      <c r="BN391" s="1280">
        <f>-BN335</f>
        <v/>
      </c>
      <c r="BO391" s="1300">
        <f>-BO335</f>
        <v/>
      </c>
      <c r="BP391" s="1298" t="n">
        <v>0</v>
      </c>
      <c r="BQ391" s="1298" t="n">
        <v>0</v>
      </c>
      <c r="BR391" s="1298" t="n">
        <v>0</v>
      </c>
      <c r="BS391" s="1298" t="n">
        <v>0</v>
      </c>
      <c r="BT391" s="1297">
        <f>SUM(BP391,BQ391,BR391,BS391)</f>
        <v/>
      </c>
      <c r="BU391" s="1298" t="n">
        <v>0</v>
      </c>
      <c r="BV391" s="1298" t="n">
        <v>0</v>
      </c>
      <c r="BW391" s="1298" t="n">
        <v>0</v>
      </c>
      <c r="BX391" s="1298" t="n">
        <v>0</v>
      </c>
      <c r="BY391" s="1297">
        <f>SUM(BU391,BV391,BW391,BX391)</f>
        <v/>
      </c>
      <c r="BZ391" s="1299" t="n">
        <v>0</v>
      </c>
      <c r="CA391" s="1299" t="n">
        <v>0</v>
      </c>
      <c r="CB391" s="1299" t="n">
        <v>0</v>
      </c>
      <c r="CC391" s="1280" t="n"/>
    </row>
    <row r="392" ht="14.4" customFormat="1" customHeight="1" s="1275">
      <c r="A392" s="1295" t="inlineStr">
        <is>
          <t>Other items</t>
        </is>
      </c>
      <c r="B392" s="1387" t="n"/>
      <c r="C392" s="1446">
        <f>-C334-C338-C340-C341-C345-C346-C347-C342-C336-C356</f>
        <v/>
      </c>
      <c r="D392" s="1446">
        <f>-D334-D338-D340-D341-D345-D346-D347-D342-D336-D356</f>
        <v/>
      </c>
      <c r="E392" s="1446">
        <f>-E334-E338-E340-E341-E345-E346-E347-E342-E336-E356</f>
        <v/>
      </c>
      <c r="F392" s="1446">
        <f>-F334-F338-F340-F341-F345-F346-F347-F342-F336-F356</f>
        <v/>
      </c>
      <c r="G392" s="1446">
        <f>-G334-G338-G340-G341-G345-G346-G347-G342-G336-G356</f>
        <v/>
      </c>
      <c r="H392" s="1280">
        <f>-H334-H338-H340-H341-H345-H346-H347-H342-H336-H356</f>
        <v/>
      </c>
      <c r="I392" s="1280">
        <f>-I334-I338-I340-I341-I345-I346-I347-I342-I336-I356</f>
        <v/>
      </c>
      <c r="J392" s="1280">
        <f>-J334-J338-J340-J341-J345-J346-J347-J342-J336-J356</f>
        <v/>
      </c>
      <c r="K392" s="1280">
        <f>-K334-K338-K340-K341-K345-K346-K347-K342-K336-K356</f>
        <v/>
      </c>
      <c r="L392" s="1446">
        <f>-L334-L338-L340-L341-L345-L346-L347-L342-L336-L356</f>
        <v/>
      </c>
      <c r="M392" s="1280">
        <f>-M334-M338-M340-M341-M345-M346-M347-M342-M336-M356</f>
        <v/>
      </c>
      <c r="N392" s="1280">
        <f>-N334-N338-N340-N341-N345-N346-N347-N342-N336-N356</f>
        <v/>
      </c>
      <c r="O392" s="1280">
        <f>-O334-O338-O340-O341-O345-O346-O347-O342-O336-O356</f>
        <v/>
      </c>
      <c r="P392" s="1280">
        <f>-P334-P338-P340-P341-P345-P346-P347-P342-P336-P356</f>
        <v/>
      </c>
      <c r="Q392" s="1446">
        <f>-Q334-Q338-Q340-Q341-Q345-Q346-Q347-Q342-Q336-Q356</f>
        <v/>
      </c>
      <c r="R392" s="1280">
        <f>-R334-R338-R340-R341-R345-R346-R347-R342-R336-R356</f>
        <v/>
      </c>
      <c r="S392" s="1280">
        <f>-S334-S338-S340-S341-S345-S346-S347-S342-S336-S356</f>
        <v/>
      </c>
      <c r="T392" s="1280">
        <f>-T334-T338-T340-T341-T345-T346-T347-T342-T336-T356</f>
        <v/>
      </c>
      <c r="U392" s="1280">
        <f>-U334-U338-U340-U341-U345-U346-U347-U342-U336-U356</f>
        <v/>
      </c>
      <c r="V392" s="1446">
        <f>-V334-V338-V340-V341-V345-V346-V347-V342-V336-V356</f>
        <v/>
      </c>
      <c r="W392" s="1280">
        <f>-W334-W338-W340-W341-W345-W346-W347-W342-W336-W356</f>
        <v/>
      </c>
      <c r="X392" s="1280">
        <f>-X334-X338-X340-X341-X345-X346-X347-X342-X336-X356</f>
        <v/>
      </c>
      <c r="Y392" s="1280">
        <f>-Y334-Y338-Y340-Y341-Y345-Y346-Y347-Y342-Y336-Y356</f>
        <v/>
      </c>
      <c r="Z392" s="1280">
        <f>-Z334-Z338-Z340-Z341-Z345-Z346-Z347-Z342-Z336-Z356</f>
        <v/>
      </c>
      <c r="AA392" s="1446">
        <f>-AA334-AA338-AA340-AA341-AA345-AA346-AA347-AA342-AA336-AA356</f>
        <v/>
      </c>
      <c r="AB392" s="1280">
        <f>-AB334-AB338-AB340-AB341-AB345-AB346-AB347-AB342-AB336-AB356</f>
        <v/>
      </c>
      <c r="AC392" s="1280">
        <f>-AC334-AC338-AC340-AC341-AC345-AC346-AC347-AC342-AC336-AC356</f>
        <v/>
      </c>
      <c r="AD392" s="1280">
        <f>-AD334-AD338-AD340-AD341-AD345-AD346-AD347-AD342-AD336-AD356</f>
        <v/>
      </c>
      <c r="AE392" s="1280">
        <f>-AE334-AE338-AE340-AE341-AE345-AE346-AE347-AE342-AE336-AE356</f>
        <v/>
      </c>
      <c r="AF392" s="1446">
        <f>-AF334-AF338-AF340-AF341-AF345-AF346-AF347-AF342-AF336-AF356</f>
        <v/>
      </c>
      <c r="AG392" s="1280">
        <f>-AG334-AG338-AG340-AG341-AG345-AG346-AG347-AG342-AG336-AG356</f>
        <v/>
      </c>
      <c r="AH392" s="1280">
        <f>-AH334-AH338-AH340-AH341-AH345-AH346-AH347-AH342-AH336-AH356</f>
        <v/>
      </c>
      <c r="AI392" s="1280">
        <f>-AI334-AI338-AI340-AI341-AI345-AI346-AI347-AI342-AI336-AI356</f>
        <v/>
      </c>
      <c r="AJ392" s="1280">
        <f>-AJ334-AJ338-AJ340-AJ341-AJ345-AJ346-AJ347-AJ342-AJ336-AJ356</f>
        <v/>
      </c>
      <c r="AK392" s="1446">
        <f>-AK334-AK338-AK340-AK341-AK345-AK346-AK347-AK342-AK336-AK356</f>
        <v/>
      </c>
      <c r="AL392" s="1280">
        <f>-AL334-AL338-AL340-AL341-AL345-AL346-AL347-AL342-AL336-AL356</f>
        <v/>
      </c>
      <c r="AM392" s="1280">
        <f>-AM334-AM338-AM340-AM341-AM345-AM346-AM347-AM342-AM336-AM356</f>
        <v/>
      </c>
      <c r="AN392" s="1280">
        <f>-AN334-AN338-AN340-AN341-AN345-AN346-AN347-AN342-AN336-AN356</f>
        <v/>
      </c>
      <c r="AO392" s="1280">
        <f>-AO334-AO338-AO340-AO341-AO345-AO346-AO347-AO342-AO336-AO356</f>
        <v/>
      </c>
      <c r="AP392" s="1446">
        <f>-AP334-AP338-AP340-AP341-AP345-AP346-AP347-AP342-AP336-AP356</f>
        <v/>
      </c>
      <c r="AQ392" s="1280">
        <f>-AQ334-AQ338-AQ340-AQ341-AQ345-AQ346-AQ347-AQ342-AQ336-AQ356</f>
        <v/>
      </c>
      <c r="AR392" s="1280">
        <f>-AR334-AR338-AR340-AR341-AR345-AR346-AR347-AR342-AR336-AR356</f>
        <v/>
      </c>
      <c r="AS392" s="1280">
        <f>-AS334-AS338-AS340-AS341-AS345-AS346-AS347-AS342-AS336-AS356</f>
        <v/>
      </c>
      <c r="AT392" s="1280">
        <f>-AT334-AT338-AT340-AT341-AT345-AT346-AT347-AT342-AT336-AT356</f>
        <v/>
      </c>
      <c r="AU392" s="1446">
        <f>-AU334-AU338-AU340-AU341-AU345-AU346-AU347-AU342-AU336-AU356</f>
        <v/>
      </c>
      <c r="AV392" s="1280">
        <f>-AV334-AV338-AV340-AV341-AV345-AV346-AV347-AV342-AV336-AV356</f>
        <v/>
      </c>
      <c r="AW392" s="1280">
        <f>-AW334-AW338-AW340-AW341-AW345-AW346-AW347-AW342-AW336-AW356</f>
        <v/>
      </c>
      <c r="AX392" s="1280">
        <f>-AX334-AX338-AX340-AX341-AX345-AX346-AX347-AX342-AX336-AX356</f>
        <v/>
      </c>
      <c r="AY392" s="1280">
        <f>-AY334-AY338-AY340-AY341-AY345-AY346-AY347-AY342-AY336-AY356</f>
        <v/>
      </c>
      <c r="AZ392" s="1446">
        <f>-AZ334-AZ338-AZ340-AZ341-AZ345-AZ346-AZ347-AZ342-AZ336-AZ356</f>
        <v/>
      </c>
      <c r="BA392" s="1280">
        <f>-BA334-BA338-BA340-BA341-BA345-BA346-BA347-BA342-BA336-BA356</f>
        <v/>
      </c>
      <c r="BB392" s="1280">
        <f>-BB334-BB338-BB340-BB341-BB345-BB346-BB347-BB342-BB336-BB356</f>
        <v/>
      </c>
      <c r="BC392" s="1280">
        <f>-BC334-BC338-BC340-BC341-BC345-BC346-BC347-BC342-BC336-BC356</f>
        <v/>
      </c>
      <c r="BD392" s="1280">
        <f>-BD334-BD338-BD340-BD341-BD345-BD346-BD347-BD342-BD336-BD356</f>
        <v/>
      </c>
      <c r="BE392" s="1446">
        <f>-BE334-BE338-BE340-BE341-BE345-BE346-BE347-BE342-BE336-BE356</f>
        <v/>
      </c>
      <c r="BF392" s="1280">
        <f>-BF334-BF338-BF340-BF341-BF345-BF346-BF347-BF342-BF336-BF356</f>
        <v/>
      </c>
      <c r="BG392" s="1280">
        <f>-BG334-BG338-BG340-BG341-BG345-BG346-BG347-BG342-BG336-BG356</f>
        <v/>
      </c>
      <c r="BH392" s="1280">
        <f>-BH334-BH338-BH340-BH341-BH345-BH346-BH347-BH342-BH336-BH356</f>
        <v/>
      </c>
      <c r="BI392" s="1280">
        <f>-BI334-BI338-BI340-BI341-BI345-BI346-BI347-BI342-BI336-BI356</f>
        <v/>
      </c>
      <c r="BJ392" s="1446">
        <f>-BJ334-BJ338-BJ340-BJ341-BJ345-BJ346-BJ347-BJ342-BJ336-BJ356</f>
        <v/>
      </c>
      <c r="BK392" s="1280">
        <f>-BK334-BK338-BK340-BK341-BK345-BK346-BK347-BK342-BK336-BK356</f>
        <v/>
      </c>
      <c r="BL392" s="1280">
        <f>-BL334-BL338-BL340-BL341-BL345-BL346-BL347-BL342-BL336-BL356</f>
        <v/>
      </c>
      <c r="BM392" s="1280">
        <f>-BM334-BM338-BM340-BM341-BM345-BM346-BM347-BM342-BM336-BM356</f>
        <v/>
      </c>
      <c r="BN392" s="1280">
        <f>-BN334-BN338-BN340-BN341-BN345-BN346-BN347-BN342-BN336-BN356</f>
        <v/>
      </c>
      <c r="BO392" s="1300">
        <f>-BO334-BO338-BO340-BO341-BO345-BO346-BO347-BO342-BO336-BO356</f>
        <v/>
      </c>
      <c r="BP392" s="1298" t="n">
        <v>-5000</v>
      </c>
      <c r="BQ392" s="1298" t="n">
        <v>-5000</v>
      </c>
      <c r="BR392" s="1298" t="n">
        <v>-5000</v>
      </c>
      <c r="BS392" s="1298" t="n">
        <v>-5000</v>
      </c>
      <c r="BT392" s="1297">
        <f>SUM(BP392,BQ392,BR392,BS392)</f>
        <v/>
      </c>
      <c r="BU392" s="1298" t="n">
        <v>-5000</v>
      </c>
      <c r="BV392" s="1298" t="n">
        <v>-5000</v>
      </c>
      <c r="BW392" s="1298" t="n">
        <v>-5000</v>
      </c>
      <c r="BX392" s="1298" t="n">
        <v>-5000</v>
      </c>
      <c r="BY392" s="1297">
        <f>SUM(BU392,BV392,BW392,BX392)</f>
        <v/>
      </c>
      <c r="BZ392" s="1299" t="n">
        <v>-20000</v>
      </c>
      <c r="CA392" s="1299" t="n">
        <v>-20000</v>
      </c>
      <c r="CB392" s="1299" t="n">
        <v>-20000</v>
      </c>
      <c r="CC392" s="1280" t="n"/>
    </row>
    <row r="393" ht="14.4" customFormat="1" customHeight="1" s="1275">
      <c r="A393" s="1460" t="inlineStr">
        <is>
          <t>One-time item</t>
        </is>
      </c>
      <c r="B393" s="1389" t="n"/>
      <c r="C393" s="1463">
        <f>-C337-C339-C355-C343</f>
        <v/>
      </c>
      <c r="D393" s="1463">
        <f>-D337-D339-D355-D343</f>
        <v/>
      </c>
      <c r="E393" s="1463">
        <f>-E337-E339-E355-E343</f>
        <v/>
      </c>
      <c r="F393" s="1463">
        <f>-F337-F339-F355-F343</f>
        <v/>
      </c>
      <c r="G393" s="1463">
        <f>-G337-G339-G355-G343</f>
        <v/>
      </c>
      <c r="H393" s="1464">
        <f>-H337-H339-H355-H343</f>
        <v/>
      </c>
      <c r="I393" s="1464">
        <f>-I337-I339-I355-I343</f>
        <v/>
      </c>
      <c r="J393" s="1464">
        <f>-J337-J339-J355-J343</f>
        <v/>
      </c>
      <c r="K393" s="1464">
        <f>-K337-K339-K355-K343</f>
        <v/>
      </c>
      <c r="L393" s="1463">
        <f>-L337-L339-L355-L343</f>
        <v/>
      </c>
      <c r="M393" s="1464">
        <f>-M337-M339-M355-M343</f>
        <v/>
      </c>
      <c r="N393" s="1464">
        <f>-N337-N339-N355-N343</f>
        <v/>
      </c>
      <c r="O393" s="1464">
        <f>-O337-O339-O355-O343</f>
        <v/>
      </c>
      <c r="P393" s="1464">
        <f>-P337-P339-P355-P343</f>
        <v/>
      </c>
      <c r="Q393" s="1463">
        <f>-Q337-Q339-Q355-Q343</f>
        <v/>
      </c>
      <c r="R393" s="1464">
        <f>-R337-R339-R355-R343</f>
        <v/>
      </c>
      <c r="S393" s="1464">
        <f>-S337-S339-S355-S343</f>
        <v/>
      </c>
      <c r="T393" s="1464">
        <f>-T337-T339-T355-T343</f>
        <v/>
      </c>
      <c r="U393" s="1464">
        <f>-U337-U339-U355-U343</f>
        <v/>
      </c>
      <c r="V393" s="1463">
        <f>-V337-V339-V355-V343</f>
        <v/>
      </c>
      <c r="W393" s="1464">
        <f>-W337-W339-W355-W343</f>
        <v/>
      </c>
      <c r="X393" s="1464">
        <f>-X337-X339-X355-X343</f>
        <v/>
      </c>
      <c r="Y393" s="1464">
        <f>-Y337-Y339-Y355-Y343</f>
        <v/>
      </c>
      <c r="Z393" s="1464">
        <f>-Z337-Z339-Z355-Z343</f>
        <v/>
      </c>
      <c r="AA393" s="1463">
        <f>-AA337-AA339-AA355-AA343</f>
        <v/>
      </c>
      <c r="AB393" s="1464">
        <f>-AB337-AB339-AB355-AB343</f>
        <v/>
      </c>
      <c r="AC393" s="1464">
        <f>-AC337-AC339-AC355-AC343</f>
        <v/>
      </c>
      <c r="AD393" s="1464">
        <f>-AD337-AD339-AD355-AD343</f>
        <v/>
      </c>
      <c r="AE393" s="1464">
        <f>-AE337-AE339-AE355-AE343</f>
        <v/>
      </c>
      <c r="AF393" s="1463">
        <f>-AF337-AF339-AF355-AF343</f>
        <v/>
      </c>
      <c r="AG393" s="1464">
        <f>-AG337-AG339-AG355-AG343</f>
        <v/>
      </c>
      <c r="AH393" s="1464">
        <f>-AH337-AH339-AH355-AH343</f>
        <v/>
      </c>
      <c r="AI393" s="1464">
        <f>-AI337-AI339-AI355-AI343</f>
        <v/>
      </c>
      <c r="AJ393" s="1464">
        <f>-AJ337-AJ339-AJ355-AJ343</f>
        <v/>
      </c>
      <c r="AK393" s="1463">
        <f>-AK337-AK339-AK355-AK343</f>
        <v/>
      </c>
      <c r="AL393" s="1464">
        <f>-AL337-AL339-AL355-AL343</f>
        <v/>
      </c>
      <c r="AM393" s="1464">
        <f>-AM337-AM339-AM355-AM343</f>
        <v/>
      </c>
      <c r="AN393" s="1464">
        <f>-AN337-AN339-AN355-AN343</f>
        <v/>
      </c>
      <c r="AO393" s="1464">
        <f>-AO337-AO339-AO355-AO343</f>
        <v/>
      </c>
      <c r="AP393" s="1463">
        <f>-AP337-AP339-AP355-AP343</f>
        <v/>
      </c>
      <c r="AQ393" s="1464">
        <f>-AQ337-AQ339-AQ355-AQ343</f>
        <v/>
      </c>
      <c r="AR393" s="1464">
        <f>-AR337-AR339-AR355-AR343</f>
        <v/>
      </c>
      <c r="AS393" s="1464">
        <f>-AS337-AS339-AS355-AS343</f>
        <v/>
      </c>
      <c r="AT393" s="1464">
        <f>-AT337-AT339-AT355-AT343</f>
        <v/>
      </c>
      <c r="AU393" s="1463">
        <f>-AU337-AU339-AU355-AU343</f>
        <v/>
      </c>
      <c r="AV393" s="1464">
        <f>-AV337-AV339-AV355-AV343</f>
        <v/>
      </c>
      <c r="AW393" s="1464">
        <f>-AW337-AW339-AW355-AW343</f>
        <v/>
      </c>
      <c r="AX393" s="1464">
        <f>-AX337-AX339-AX355-AX343</f>
        <v/>
      </c>
      <c r="AY393" s="1464">
        <f>-AY337-AY339-AY355-AY343</f>
        <v/>
      </c>
      <c r="AZ393" s="1463">
        <f>-AZ337-AZ339-AZ355-AZ343</f>
        <v/>
      </c>
      <c r="BA393" s="1464">
        <f>-BA337-BA339-BA355-BA343</f>
        <v/>
      </c>
      <c r="BB393" s="1464">
        <f>-BB337-BB339-BB355-BB343</f>
        <v/>
      </c>
      <c r="BC393" s="1464">
        <f>-BC337-BC339-BC355-BC343</f>
        <v/>
      </c>
      <c r="BD393" s="1464">
        <f>-BD337-BD339-BD355-BD343</f>
        <v/>
      </c>
      <c r="BE393" s="1463">
        <f>-BE337-BE339-BE355-BE343</f>
        <v/>
      </c>
      <c r="BF393" s="1464">
        <f>-BF337-BF339-BF355-BF343</f>
        <v/>
      </c>
      <c r="BG393" s="1464">
        <f>-BG337-BG339-BG355-BG343</f>
        <v/>
      </c>
      <c r="BH393" s="1464">
        <f>-BH337-BH339-BH355-BH343</f>
        <v/>
      </c>
      <c r="BI393" s="1464">
        <f>-BI337-BI339-BI355-BI343</f>
        <v/>
      </c>
      <c r="BJ393" s="1463">
        <f>-BJ337-BJ339-BJ355-BJ343</f>
        <v/>
      </c>
      <c r="BK393" s="1464">
        <f>-BK337-BK339-BK355-BK343</f>
        <v/>
      </c>
      <c r="BL393" s="1464">
        <f>-BL337-BL339-BL355-BL343</f>
        <v/>
      </c>
      <c r="BM393" s="1464">
        <f>-BM337-BM339-BM355-BM343</f>
        <v/>
      </c>
      <c r="BN393" s="1464">
        <f>-BN337-BN339-BN355-BN343</f>
        <v/>
      </c>
      <c r="BO393" s="1465">
        <f>-BO337-BO339-BO355-BO343</f>
        <v/>
      </c>
      <c r="BP393" s="1391" t="n">
        <v>0</v>
      </c>
      <c r="BQ393" s="1391" t="n">
        <v>0</v>
      </c>
      <c r="BR393" s="1391" t="n">
        <v>0</v>
      </c>
      <c r="BS393" s="1391" t="n">
        <v>0</v>
      </c>
      <c r="BT393" s="1364">
        <f>SUM(BP393,BQ393,BR393,BS393)</f>
        <v/>
      </c>
      <c r="BU393" s="1391" t="n">
        <v>0</v>
      </c>
      <c r="BV393" s="1391" t="n">
        <v>0</v>
      </c>
      <c r="BW393" s="1391" t="n">
        <v>0</v>
      </c>
      <c r="BX393" s="1391" t="n">
        <v>0</v>
      </c>
      <c r="BY393" s="1364">
        <f>SUM(BU393,BV393,BW393,BX393)</f>
        <v/>
      </c>
      <c r="BZ393" s="1390" t="n">
        <v>0</v>
      </c>
      <c r="CA393" s="1390" t="n">
        <v>0</v>
      </c>
      <c r="CB393" s="1390" t="n">
        <v>0</v>
      </c>
      <c r="CC393" s="1280" t="n"/>
    </row>
    <row r="394" ht="14.4" customFormat="1" customHeight="1" s="1323">
      <c r="A394" s="1324" t="inlineStr">
        <is>
          <t>EBT</t>
        </is>
      </c>
      <c r="B394" s="1393" t="n"/>
      <c r="C394" s="1329">
        <f>C380-SUM(C390:C393)</f>
        <v/>
      </c>
      <c r="D394" s="1329">
        <f>D380-SUM(D390:D393)</f>
        <v/>
      </c>
      <c r="E394" s="1329">
        <f>E380-SUM(E390:E393)</f>
        <v/>
      </c>
      <c r="F394" s="1329">
        <f>F380-SUM(F390:F393)</f>
        <v/>
      </c>
      <c r="G394" s="1329">
        <f>G380-SUM(G390:G393)</f>
        <v/>
      </c>
      <c r="H394" s="1328">
        <f>H380-SUM(H390:H393)</f>
        <v/>
      </c>
      <c r="I394" s="1328">
        <f>I380-SUM(I390:I393)</f>
        <v/>
      </c>
      <c r="J394" s="1328">
        <f>J380-SUM(J390:J393)</f>
        <v/>
      </c>
      <c r="K394" s="1328">
        <f>K380-SUM(K390:K393)</f>
        <v/>
      </c>
      <c r="L394" s="1329">
        <f>L380-SUM(L390:L393)</f>
        <v/>
      </c>
      <c r="M394" s="1328">
        <f>M380-SUM(M390:M393)</f>
        <v/>
      </c>
      <c r="N394" s="1328">
        <f>N380-SUM(N390:N393)</f>
        <v/>
      </c>
      <c r="O394" s="1328">
        <f>O380-SUM(O390:O393)</f>
        <v/>
      </c>
      <c r="P394" s="1328">
        <f>P380-SUM(P390:P393)</f>
        <v/>
      </c>
      <c r="Q394" s="1329">
        <f>Q380-SUM(Q390:Q393)</f>
        <v/>
      </c>
      <c r="R394" s="1328">
        <f>R380-SUM(R390:R393)</f>
        <v/>
      </c>
      <c r="S394" s="1328">
        <f>S380-SUM(S390:S393)</f>
        <v/>
      </c>
      <c r="T394" s="1328">
        <f>T380-SUM(T390:T393)</f>
        <v/>
      </c>
      <c r="U394" s="1328">
        <f>U380-SUM(U390:U393)</f>
        <v/>
      </c>
      <c r="V394" s="1329">
        <f>V380-SUM(V390:V393)</f>
        <v/>
      </c>
      <c r="W394" s="1328">
        <f>W380-SUM(W390:W393)</f>
        <v/>
      </c>
      <c r="X394" s="1328">
        <f>X380-SUM(X390:X393)</f>
        <v/>
      </c>
      <c r="Y394" s="1328">
        <f>Y380-SUM(Y390:Y393)</f>
        <v/>
      </c>
      <c r="Z394" s="1328">
        <f>Z380-SUM(Z390:Z393)</f>
        <v/>
      </c>
      <c r="AA394" s="1329">
        <f>AA380-SUM(AA390:AA393)</f>
        <v/>
      </c>
      <c r="AB394" s="1328">
        <f>AB380-SUM(AB390:AB393)</f>
        <v/>
      </c>
      <c r="AC394" s="1328">
        <f>AC380-SUM(AC390:AC393)</f>
        <v/>
      </c>
      <c r="AD394" s="1328">
        <f>AD380-SUM(AD390:AD393)</f>
        <v/>
      </c>
      <c r="AE394" s="1328">
        <f>AE380-SUM(AE390:AE393)</f>
        <v/>
      </c>
      <c r="AF394" s="1329">
        <f>AF380-SUM(AF390:AF393)</f>
        <v/>
      </c>
      <c r="AG394" s="1328">
        <f>AG380-SUM(AG390:AG393)</f>
        <v/>
      </c>
      <c r="AH394" s="1328">
        <f>AH380-SUM(AH390:AH393)</f>
        <v/>
      </c>
      <c r="AI394" s="1328">
        <f>AI380-SUM(AI390:AI393)</f>
        <v/>
      </c>
      <c r="AJ394" s="1328">
        <f>AJ380-SUM(AJ390:AJ393)</f>
        <v/>
      </c>
      <c r="AK394" s="1329">
        <f>AK380-SUM(AK390:AK393)</f>
        <v/>
      </c>
      <c r="AL394" s="1328">
        <f>AL380-SUM(AL390:AL393)</f>
        <v/>
      </c>
      <c r="AM394" s="1328">
        <f>AM380-SUM(AM390:AM393)</f>
        <v/>
      </c>
      <c r="AN394" s="1328">
        <f>AN380-SUM(AN390:AN393)</f>
        <v/>
      </c>
      <c r="AO394" s="1328">
        <f>AO380-SUM(AO390:AO393)</f>
        <v/>
      </c>
      <c r="AP394" s="1329">
        <f>AP380-SUM(AP390:AP393)</f>
        <v/>
      </c>
      <c r="AQ394" s="1328">
        <f>AQ380-SUM(AQ390:AQ393)</f>
        <v/>
      </c>
      <c r="AR394" s="1328">
        <f>AR380-SUM(AR390:AR393)</f>
        <v/>
      </c>
      <c r="AS394" s="1328">
        <f>AS380-SUM(AS390:AS393)</f>
        <v/>
      </c>
      <c r="AT394" s="1328">
        <f>AT380-SUM(AT390:AT393)</f>
        <v/>
      </c>
      <c r="AU394" s="1329">
        <f>AU380-SUM(AU390:AU393)</f>
        <v/>
      </c>
      <c r="AV394" s="1328">
        <f>AV380-SUM(AV390:AV393)</f>
        <v/>
      </c>
      <c r="AW394" s="1328">
        <f>AW380-SUM(AW390:AW393)</f>
        <v/>
      </c>
      <c r="AX394" s="1328">
        <f>AX380-SUM(AX390:AX393)</f>
        <v/>
      </c>
      <c r="AY394" s="1328">
        <f>AY380-SUM(AY390:AY393)</f>
        <v/>
      </c>
      <c r="AZ394" s="1329">
        <f>AZ380-SUM(AZ390:AZ393)</f>
        <v/>
      </c>
      <c r="BA394" s="1328">
        <f>BA380-SUM(BA390:BA393)</f>
        <v/>
      </c>
      <c r="BB394" s="1328">
        <f>BB380-SUM(BB390:BB393)</f>
        <v/>
      </c>
      <c r="BC394" s="1328">
        <f>BC380-SUM(BC390:BC393)</f>
        <v/>
      </c>
      <c r="BD394" s="1328">
        <f>BD380-SUM(BD390:BD393)</f>
        <v/>
      </c>
      <c r="BE394" s="1329">
        <f>BE380-SUM(BE390:BE393)</f>
        <v/>
      </c>
      <c r="BF394" s="1328">
        <f>BF380-SUM(BF390:BF393)</f>
        <v/>
      </c>
      <c r="BG394" s="1328">
        <f>BG380-SUM(BG390:BG393)</f>
        <v/>
      </c>
      <c r="BH394" s="1328">
        <f>BH380-SUM(BH390:BH393)</f>
        <v/>
      </c>
      <c r="BI394" s="1328">
        <f>BI380-SUM(BI390:BI393)</f>
        <v/>
      </c>
      <c r="BJ394" s="1329">
        <f>BJ380-SUM(BJ390:BJ393)</f>
        <v/>
      </c>
      <c r="BK394" s="1328">
        <f>BK380-SUM(BK390:BK393)</f>
        <v/>
      </c>
      <c r="BL394" s="1328">
        <f>BL380-SUM(BL390:BL393)</f>
        <v/>
      </c>
      <c r="BM394" s="1328">
        <f>BM380-SUM(BM390:BM393)</f>
        <v/>
      </c>
      <c r="BN394" s="1328">
        <f>BN380-SUM(BN390:BN393)</f>
        <v/>
      </c>
      <c r="BO394" s="1330">
        <f>BO380-SUM(BO390:BO393)</f>
        <v/>
      </c>
      <c r="BP394" s="1327">
        <f>BP380-SUM(BP390:BP393)</f>
        <v/>
      </c>
      <c r="BQ394" s="1327">
        <f>BQ380-SUM(BQ390:BQ393)</f>
        <v/>
      </c>
      <c r="BR394" s="1327">
        <f>BR380-SUM(BR390:BR393)</f>
        <v/>
      </c>
      <c r="BS394" s="1327">
        <f>BS380-SUM(BS390:BS393)</f>
        <v/>
      </c>
      <c r="BT394" s="1326">
        <f>BT380-SUM(BT390:BT393)</f>
        <v/>
      </c>
      <c r="BU394" s="1327">
        <f>BU380-SUM(BU390:BU393)</f>
        <v/>
      </c>
      <c r="BV394" s="1327">
        <f>BV380-SUM(BV390:BV393)</f>
        <v/>
      </c>
      <c r="BW394" s="1327">
        <f>BW380-SUM(BW390:BW393)</f>
        <v/>
      </c>
      <c r="BX394" s="1327">
        <f>BX380-SUM(BX390:BX393)</f>
        <v/>
      </c>
      <c r="BY394" s="1326">
        <f>BY380-SUM(BY390:BY393)</f>
        <v/>
      </c>
      <c r="BZ394" s="1326">
        <f>BZ380-SUM(BZ390:BZ393)</f>
        <v/>
      </c>
      <c r="CA394" s="1326">
        <f>CA380-SUM(CA390:CA393)</f>
        <v/>
      </c>
      <c r="CB394" s="1326">
        <f>CB380-SUM(CB390:CB393)</f>
        <v/>
      </c>
      <c r="CC394" s="1331" t="n"/>
    </row>
    <row r="395" ht="14.4" customFormat="1" customHeight="1" s="1323">
      <c r="A395" s="1609" t="n"/>
      <c r="B395" s="1394" t="n"/>
      <c r="C395" s="1345" t="n"/>
      <c r="D395" s="1345" t="n"/>
      <c r="E395" s="1345" t="n"/>
      <c r="F395" s="1345" t="n"/>
      <c r="G395" s="1345" t="n"/>
      <c r="H395" s="1346" t="n"/>
      <c r="I395" s="1346" t="n"/>
      <c r="J395" s="1346" t="n"/>
      <c r="K395" s="1346" t="n"/>
      <c r="L395" s="1345" t="n"/>
      <c r="M395" s="1346" t="n"/>
      <c r="N395" s="1346" t="n"/>
      <c r="O395" s="1346" t="n"/>
      <c r="P395" s="1346" t="n"/>
      <c r="Q395" s="1345" t="n"/>
      <c r="R395" s="1346" t="n"/>
      <c r="S395" s="1346" t="n"/>
      <c r="T395" s="1346" t="n"/>
      <c r="U395" s="1346" t="n"/>
      <c r="V395" s="1345" t="n"/>
      <c r="W395" s="1346" t="n"/>
      <c r="X395" s="1346" t="n"/>
      <c r="Y395" s="1346" t="n"/>
      <c r="Z395" s="1346" t="n"/>
      <c r="AA395" s="1345" t="n"/>
      <c r="AB395" s="1346" t="n"/>
      <c r="AC395" s="1346" t="n"/>
      <c r="AD395" s="1346" t="n"/>
      <c r="AE395" s="1346" t="n"/>
      <c r="AF395" s="1345" t="n"/>
      <c r="AG395" s="1346" t="n"/>
      <c r="AH395" s="1346" t="n"/>
      <c r="AI395" s="1346" t="n"/>
      <c r="AJ395" s="1346" t="n"/>
      <c r="AK395" s="1345" t="n"/>
      <c r="AL395" s="1346" t="n"/>
      <c r="AM395" s="1346" t="n"/>
      <c r="AN395" s="1346" t="n"/>
      <c r="AO395" s="1346" t="n"/>
      <c r="AP395" s="1345" t="n"/>
      <c r="AQ395" s="1346" t="n"/>
      <c r="AR395" s="1346" t="n"/>
      <c r="AS395" s="1346" t="n"/>
      <c r="AT395" s="1346" t="n"/>
      <c r="AU395" s="1345" t="n"/>
      <c r="AV395" s="1346" t="n"/>
      <c r="AW395" s="1346" t="n"/>
      <c r="AX395" s="1346" t="n"/>
      <c r="AY395" s="1346" t="n"/>
      <c r="AZ395" s="1345" t="n"/>
      <c r="BA395" s="1346" t="n"/>
      <c r="BB395" s="1346" t="n"/>
      <c r="BC395" s="1346" t="n"/>
      <c r="BD395" s="1346" t="n"/>
      <c r="BE395" s="1345" t="n"/>
      <c r="BF395" s="1346" t="n"/>
      <c r="BG395" s="1346" t="n"/>
      <c r="BH395" s="1346" t="n"/>
      <c r="BI395" s="1346" t="n"/>
      <c r="BJ395" s="1345" t="n"/>
      <c r="BK395" s="1346" t="n"/>
      <c r="BL395" s="1346" t="n"/>
      <c r="BM395" s="1346" t="n"/>
      <c r="BN395" s="1346" t="n"/>
      <c r="BO395" s="1347" t="n"/>
      <c r="BP395" s="1346" t="n"/>
      <c r="BQ395" s="1346" t="n"/>
      <c r="BR395" s="1346" t="n"/>
      <c r="BS395" s="1346" t="n"/>
      <c r="BT395" s="1345" t="n"/>
      <c r="BU395" s="1346" t="n"/>
      <c r="BV395" s="1346" t="n"/>
      <c r="BW395" s="1346" t="n"/>
      <c r="BX395" s="1346" t="n"/>
      <c r="BY395" s="1345" t="n"/>
      <c r="BZ395" s="1345" t="n"/>
      <c r="CA395" s="1345" t="n"/>
      <c r="CB395" s="1345" t="n"/>
      <c r="CC395" s="1331" t="n"/>
    </row>
    <row r="396" ht="14.4" customFormat="1" customHeight="1" s="1275">
      <c r="A396" s="1295" t="inlineStr">
        <is>
          <t>Current tax</t>
        </is>
      </c>
      <c r="B396" s="1387" t="n"/>
      <c r="C396" s="1446">
        <f>C361-C397</f>
        <v/>
      </c>
      <c r="D396" s="1446">
        <f>D361-D397</f>
        <v/>
      </c>
      <c r="E396" s="1446">
        <f>E361-E397</f>
        <v/>
      </c>
      <c r="F396" s="1446">
        <f>F361-F397</f>
        <v/>
      </c>
      <c r="G396" s="1446">
        <f>G361-G397</f>
        <v/>
      </c>
      <c r="H396" s="1280">
        <f>H361-H397</f>
        <v/>
      </c>
      <c r="I396" s="1280">
        <f>I361-I397</f>
        <v/>
      </c>
      <c r="J396" s="1280">
        <f>J361-J397</f>
        <v/>
      </c>
      <c r="K396" s="1280">
        <f>K361-K397</f>
        <v/>
      </c>
      <c r="L396" s="1446">
        <f>L361-L397</f>
        <v/>
      </c>
      <c r="M396" s="1280">
        <f>M361-M397</f>
        <v/>
      </c>
      <c r="N396" s="1280">
        <f>N361-N397</f>
        <v/>
      </c>
      <c r="O396" s="1280">
        <f>O361-O397</f>
        <v/>
      </c>
      <c r="P396" s="1280">
        <f>P361-P397</f>
        <v/>
      </c>
      <c r="Q396" s="1446">
        <f>Q361-Q397</f>
        <v/>
      </c>
      <c r="R396" s="1280">
        <f>R361-R397</f>
        <v/>
      </c>
      <c r="S396" s="1280">
        <f>S361-S397</f>
        <v/>
      </c>
      <c r="T396" s="1280">
        <f>T361-T397</f>
        <v/>
      </c>
      <c r="U396" s="1280">
        <f>U361-U397</f>
        <v/>
      </c>
      <c r="V396" s="1446">
        <f>V361-V397</f>
        <v/>
      </c>
      <c r="W396" s="1280">
        <f>W361-W397</f>
        <v/>
      </c>
      <c r="X396" s="1280">
        <f>X361-X397</f>
        <v/>
      </c>
      <c r="Y396" s="1280">
        <f>Y361-Y397</f>
        <v/>
      </c>
      <c r="Z396" s="1280">
        <f>Z361-Z397</f>
        <v/>
      </c>
      <c r="AA396" s="1446">
        <f>AA361-AA397</f>
        <v/>
      </c>
      <c r="AB396" s="1280">
        <f>AB361-AB397</f>
        <v/>
      </c>
      <c r="AC396" s="1280">
        <f>AC361-AC397</f>
        <v/>
      </c>
      <c r="AD396" s="1280">
        <f>AD361-AD397</f>
        <v/>
      </c>
      <c r="AE396" s="1280">
        <f>AE361-AE397</f>
        <v/>
      </c>
      <c r="AF396" s="1446">
        <f>AF361-AF397</f>
        <v/>
      </c>
      <c r="AG396" s="1280">
        <f>AG361-AG397</f>
        <v/>
      </c>
      <c r="AH396" s="1280">
        <f>AH361-AH397</f>
        <v/>
      </c>
      <c r="AI396" s="1280">
        <f>AI361-AI397</f>
        <v/>
      </c>
      <c r="AJ396" s="1280">
        <f>AJ361-AJ397</f>
        <v/>
      </c>
      <c r="AK396" s="1446">
        <f>AK361-AK397</f>
        <v/>
      </c>
      <c r="AL396" s="1280">
        <f>AL361-AL397</f>
        <v/>
      </c>
      <c r="AM396" s="1280">
        <f>AM361-AM397</f>
        <v/>
      </c>
      <c r="AN396" s="1280">
        <f>AN361-AN397</f>
        <v/>
      </c>
      <c r="AO396" s="1280">
        <f>AO361-AO397</f>
        <v/>
      </c>
      <c r="AP396" s="1446">
        <f>AP361-AP397</f>
        <v/>
      </c>
      <c r="AQ396" s="1280">
        <f>AQ361-AQ397</f>
        <v/>
      </c>
      <c r="AR396" s="1280">
        <f>AR361-AR397</f>
        <v/>
      </c>
      <c r="AS396" s="1280">
        <f>AS361-AS397</f>
        <v/>
      </c>
      <c r="AT396" s="1280">
        <f>AT361-AT397</f>
        <v/>
      </c>
      <c r="AU396" s="1446">
        <f>AU361-AU397</f>
        <v/>
      </c>
      <c r="AV396" s="1280">
        <f>AV361-AV397</f>
        <v/>
      </c>
      <c r="AW396" s="1280">
        <f>AW361-AW397</f>
        <v/>
      </c>
      <c r="AX396" s="1280">
        <f>AX361-AX397</f>
        <v/>
      </c>
      <c r="AY396" s="1280">
        <f>AY361-AY397</f>
        <v/>
      </c>
      <c r="AZ396" s="1446">
        <f>AZ361-AZ397</f>
        <v/>
      </c>
      <c r="BA396" s="1280">
        <f>BA361-BA397</f>
        <v/>
      </c>
      <c r="BB396" s="1280">
        <f>BB361-BB397</f>
        <v/>
      </c>
      <c r="BC396" s="1280">
        <f>BC361-BC397</f>
        <v/>
      </c>
      <c r="BD396" s="1280">
        <f>BD361-BD397</f>
        <v/>
      </c>
      <c r="BE396" s="1446">
        <f>BE361-BE397</f>
        <v/>
      </c>
      <c r="BF396" s="1280">
        <f>BF361-BF397</f>
        <v/>
      </c>
      <c r="BG396" s="1280">
        <f>BG361-BG397</f>
        <v/>
      </c>
      <c r="BH396" s="1280">
        <f>BH361-BH397</f>
        <v/>
      </c>
      <c r="BI396" s="1280">
        <f>BI361-BI397</f>
        <v/>
      </c>
      <c r="BJ396" s="1446">
        <f>BJ361-BJ397</f>
        <v/>
      </c>
      <c r="BK396" s="1280">
        <f>BK361-BK397</f>
        <v/>
      </c>
      <c r="BL396" s="1280">
        <f>BL361-BL397</f>
        <v/>
      </c>
      <c r="BM396" s="1280">
        <f>BM361-BM397</f>
        <v/>
      </c>
      <c r="BN396" s="1280">
        <f>BN361-BN397</f>
        <v/>
      </c>
      <c r="BO396" s="1300">
        <f>BO361-BO397</f>
        <v/>
      </c>
      <c r="BP396" s="1277">
        <f>BP409*BP$394</f>
        <v/>
      </c>
      <c r="BQ396" s="1277">
        <f>BQ409*BQ$394</f>
        <v/>
      </c>
      <c r="BR396" s="1277">
        <f>BR409*BR$394</f>
        <v/>
      </c>
      <c r="BS396" s="1277">
        <f>BS409*BS$394</f>
        <v/>
      </c>
      <c r="BT396" s="1297">
        <f>SUM(BP396,BQ396,BR396,BS396)</f>
        <v/>
      </c>
      <c r="BU396" s="1277">
        <f>BU409*BU$394</f>
        <v/>
      </c>
      <c r="BV396" s="1277">
        <f>BV409*BV$394</f>
        <v/>
      </c>
      <c r="BW396" s="1277">
        <f>BW409*BW$394</f>
        <v/>
      </c>
      <c r="BX396" s="1277">
        <f>BX409*BX$394</f>
        <v/>
      </c>
      <c r="BY396" s="1297">
        <f>SUM(BU396,BV396,BW396,BX396)</f>
        <v/>
      </c>
      <c r="BZ396" s="1297">
        <f>BZ409*BZ394</f>
        <v/>
      </c>
      <c r="CA396" s="1297">
        <f>CA409*CA394</f>
        <v/>
      </c>
      <c r="CB396" s="1297">
        <f>CB409*CB394</f>
        <v/>
      </c>
      <c r="CC396" s="1280" t="n"/>
    </row>
    <row r="397" ht="14.4" customFormat="1" customHeight="1" s="1275">
      <c r="A397" s="1460" t="inlineStr">
        <is>
          <t>Deferred tax</t>
        </is>
      </c>
      <c r="B397" s="1389" t="n"/>
      <c r="C397" s="1463">
        <f>C712</f>
        <v/>
      </c>
      <c r="D397" s="1463">
        <f>D712</f>
        <v/>
      </c>
      <c r="E397" s="1463">
        <f>E712</f>
        <v/>
      </c>
      <c r="F397" s="1463">
        <f>F712</f>
        <v/>
      </c>
      <c r="G397" s="1463">
        <f>G712</f>
        <v/>
      </c>
      <c r="H397" s="1464">
        <f>H712</f>
        <v/>
      </c>
      <c r="I397" s="1464">
        <f>I712</f>
        <v/>
      </c>
      <c r="J397" s="1464">
        <f>J712</f>
        <v/>
      </c>
      <c r="K397" s="1464">
        <f>K712</f>
        <v/>
      </c>
      <c r="L397" s="1463">
        <f>L712</f>
        <v/>
      </c>
      <c r="M397" s="1464">
        <f>M712</f>
        <v/>
      </c>
      <c r="N397" s="1464">
        <f>N712</f>
        <v/>
      </c>
      <c r="O397" s="1464">
        <f>O712</f>
        <v/>
      </c>
      <c r="P397" s="1464">
        <f>P712</f>
        <v/>
      </c>
      <c r="Q397" s="1463">
        <f>Q712</f>
        <v/>
      </c>
      <c r="R397" s="1464">
        <f>R712</f>
        <v/>
      </c>
      <c r="S397" s="1464">
        <f>S712</f>
        <v/>
      </c>
      <c r="T397" s="1464">
        <f>T712</f>
        <v/>
      </c>
      <c r="U397" s="1464">
        <f>U712</f>
        <v/>
      </c>
      <c r="V397" s="1463">
        <f>V712</f>
        <v/>
      </c>
      <c r="W397" s="1464">
        <f>W712</f>
        <v/>
      </c>
      <c r="X397" s="1464">
        <f>X712</f>
        <v/>
      </c>
      <c r="Y397" s="1464">
        <f>Y712</f>
        <v/>
      </c>
      <c r="Z397" s="1464">
        <f>Z712</f>
        <v/>
      </c>
      <c r="AA397" s="1463">
        <f>AA712</f>
        <v/>
      </c>
      <c r="AB397" s="1464">
        <f>AB712</f>
        <v/>
      </c>
      <c r="AC397" s="1464">
        <f>AC712</f>
        <v/>
      </c>
      <c r="AD397" s="1464">
        <f>AD712</f>
        <v/>
      </c>
      <c r="AE397" s="1464">
        <f>AE712</f>
        <v/>
      </c>
      <c r="AF397" s="1463">
        <f>AF712</f>
        <v/>
      </c>
      <c r="AG397" s="1464">
        <f>AG712</f>
        <v/>
      </c>
      <c r="AH397" s="1464">
        <f>AH712</f>
        <v/>
      </c>
      <c r="AI397" s="1464">
        <f>AI712</f>
        <v/>
      </c>
      <c r="AJ397" s="1464">
        <f>AJ712</f>
        <v/>
      </c>
      <c r="AK397" s="1463">
        <f>AK712</f>
        <v/>
      </c>
      <c r="AL397" s="1464">
        <f>AL712</f>
        <v/>
      </c>
      <c r="AM397" s="1464">
        <f>AM712</f>
        <v/>
      </c>
      <c r="AN397" s="1464">
        <f>AN712</f>
        <v/>
      </c>
      <c r="AO397" s="1464">
        <f>AO712</f>
        <v/>
      </c>
      <c r="AP397" s="1463">
        <f>AP712</f>
        <v/>
      </c>
      <c r="AQ397" s="1464">
        <f>AQ712</f>
        <v/>
      </c>
      <c r="AR397" s="1464">
        <f>AR712</f>
        <v/>
      </c>
      <c r="AS397" s="1464">
        <f>AS712</f>
        <v/>
      </c>
      <c r="AT397" s="1464">
        <f>AT712</f>
        <v/>
      </c>
      <c r="AU397" s="1463">
        <f>AU712</f>
        <v/>
      </c>
      <c r="AV397" s="1464">
        <f>AV712</f>
        <v/>
      </c>
      <c r="AW397" s="1464">
        <f>AW712</f>
        <v/>
      </c>
      <c r="AX397" s="1464">
        <f>AX712</f>
        <v/>
      </c>
      <c r="AY397" s="1464">
        <f>AY712</f>
        <v/>
      </c>
      <c r="AZ397" s="1463">
        <f>AZ712</f>
        <v/>
      </c>
      <c r="BA397" s="1464">
        <f>BA712</f>
        <v/>
      </c>
      <c r="BB397" s="1464">
        <f>BB712</f>
        <v/>
      </c>
      <c r="BC397" s="1464">
        <f>BC712</f>
        <v/>
      </c>
      <c r="BD397" s="1464">
        <f>BD712</f>
        <v/>
      </c>
      <c r="BE397" s="1463">
        <f>BE712</f>
        <v/>
      </c>
      <c r="BF397" s="1464">
        <f>BF712</f>
        <v/>
      </c>
      <c r="BG397" s="1464">
        <f>BG712</f>
        <v/>
      </c>
      <c r="BH397" s="1464">
        <f>BH712</f>
        <v/>
      </c>
      <c r="BI397" s="1464">
        <f>BI712</f>
        <v/>
      </c>
      <c r="BJ397" s="1463">
        <f>BJ712</f>
        <v/>
      </c>
      <c r="BK397" s="1464">
        <f>BK712</f>
        <v/>
      </c>
      <c r="BL397" s="1464">
        <f>BL712</f>
        <v/>
      </c>
      <c r="BM397" s="1464">
        <f>BM712</f>
        <v/>
      </c>
      <c r="BN397" s="1464">
        <f>BN712</f>
        <v/>
      </c>
      <c r="BO397" s="1465">
        <f>BO712</f>
        <v/>
      </c>
      <c r="BP397" s="1365">
        <f>BP410*BP$394</f>
        <v/>
      </c>
      <c r="BQ397" s="1365">
        <f>BQ410*BQ$394</f>
        <v/>
      </c>
      <c r="BR397" s="1365">
        <f>BR410*BR$394</f>
        <v/>
      </c>
      <c r="BS397" s="1365">
        <f>BS410*BS$394</f>
        <v/>
      </c>
      <c r="BT397" s="1364">
        <f>SUM(BP397,BQ397,BR397,BS397)</f>
        <v/>
      </c>
      <c r="BU397" s="1365">
        <f>BU410*BU$394</f>
        <v/>
      </c>
      <c r="BV397" s="1365">
        <f>BV410*BV$394</f>
        <v/>
      </c>
      <c r="BW397" s="1365">
        <f>BW410*BW$394</f>
        <v/>
      </c>
      <c r="BX397" s="1365">
        <f>BX410*BX$394</f>
        <v/>
      </c>
      <c r="BY397" s="1364">
        <f>SUM(BU397,BV397,BW397,BX397)</f>
        <v/>
      </c>
      <c r="BZ397" s="1364">
        <f>BZ410*BZ394</f>
        <v/>
      </c>
      <c r="CA397" s="1364">
        <f>CA410*CA394</f>
        <v/>
      </c>
      <c r="CB397" s="1364">
        <f>CB410*CB394</f>
        <v/>
      </c>
      <c r="CC397" s="1280" t="n"/>
    </row>
    <row r="398" ht="14.4" customFormat="1" customHeight="1" s="1323">
      <c r="A398" s="1324" t="inlineStr">
        <is>
          <t>Net Income from Continued Operation</t>
        </is>
      </c>
      <c r="B398" s="1393" t="n"/>
      <c r="C398" s="1329">
        <f>C394-SUM(C396:C397)</f>
        <v/>
      </c>
      <c r="D398" s="1329">
        <f>D394-SUM(D396:D397)</f>
        <v/>
      </c>
      <c r="E398" s="1329">
        <f>E394-SUM(E396:E397)</f>
        <v/>
      </c>
      <c r="F398" s="1329">
        <f>F394-SUM(F396:F397)</f>
        <v/>
      </c>
      <c r="G398" s="1329">
        <f>G394-SUM(G396:G397)</f>
        <v/>
      </c>
      <c r="H398" s="1328">
        <f>H394-SUM(H396:H397)</f>
        <v/>
      </c>
      <c r="I398" s="1328">
        <f>I394-SUM(I396:I397)</f>
        <v/>
      </c>
      <c r="J398" s="1328">
        <f>J394-SUM(J396:J397)</f>
        <v/>
      </c>
      <c r="K398" s="1328">
        <f>K394-SUM(K396:K397)</f>
        <v/>
      </c>
      <c r="L398" s="1329">
        <f>L394-SUM(L396:L397)</f>
        <v/>
      </c>
      <c r="M398" s="1328">
        <f>M394-SUM(M396:M397)</f>
        <v/>
      </c>
      <c r="N398" s="1328">
        <f>N394-SUM(N396:N397)</f>
        <v/>
      </c>
      <c r="O398" s="1328">
        <f>O394-SUM(O396:O397)</f>
        <v/>
      </c>
      <c r="P398" s="1328">
        <f>P394-SUM(P396:P397)</f>
        <v/>
      </c>
      <c r="Q398" s="1329">
        <f>Q394-SUM(Q396:Q397)</f>
        <v/>
      </c>
      <c r="R398" s="1328">
        <f>R394-SUM(R396:R397)</f>
        <v/>
      </c>
      <c r="S398" s="1328">
        <f>S394-SUM(S396:S397)</f>
        <v/>
      </c>
      <c r="T398" s="1328">
        <f>T394-SUM(T396:T397)</f>
        <v/>
      </c>
      <c r="U398" s="1328">
        <f>U394-SUM(U396:U397)</f>
        <v/>
      </c>
      <c r="V398" s="1329">
        <f>V394-SUM(V396:V397)</f>
        <v/>
      </c>
      <c r="W398" s="1328">
        <f>W394-SUM(W396:W397)</f>
        <v/>
      </c>
      <c r="X398" s="1328">
        <f>X394-SUM(X396:X397)</f>
        <v/>
      </c>
      <c r="Y398" s="1328">
        <f>Y394-SUM(Y396:Y397)</f>
        <v/>
      </c>
      <c r="Z398" s="1328">
        <f>Z394-SUM(Z396:Z397)</f>
        <v/>
      </c>
      <c r="AA398" s="1329">
        <f>AA394-SUM(AA396:AA397)</f>
        <v/>
      </c>
      <c r="AB398" s="1328">
        <f>AB394-SUM(AB396:AB397)</f>
        <v/>
      </c>
      <c r="AC398" s="1328">
        <f>AC394-SUM(AC396:AC397)</f>
        <v/>
      </c>
      <c r="AD398" s="1328">
        <f>AD394-SUM(AD396:AD397)</f>
        <v/>
      </c>
      <c r="AE398" s="1328">
        <f>AE394-SUM(AE396:AE397)</f>
        <v/>
      </c>
      <c r="AF398" s="1329">
        <f>AF394-SUM(AF396:AF397)</f>
        <v/>
      </c>
      <c r="AG398" s="1328">
        <f>AG394-SUM(AG396:AG397)</f>
        <v/>
      </c>
      <c r="AH398" s="1328">
        <f>AH394-SUM(AH396:AH397)</f>
        <v/>
      </c>
      <c r="AI398" s="1328">
        <f>AI394-SUM(AI396:AI397)</f>
        <v/>
      </c>
      <c r="AJ398" s="1328">
        <f>AJ394-SUM(AJ396:AJ397)</f>
        <v/>
      </c>
      <c r="AK398" s="1329">
        <f>AK394-SUM(AK396:AK397)</f>
        <v/>
      </c>
      <c r="AL398" s="1328">
        <f>AL394-SUM(AL396:AL397)</f>
        <v/>
      </c>
      <c r="AM398" s="1328">
        <f>AM394-SUM(AM396:AM397)</f>
        <v/>
      </c>
      <c r="AN398" s="1328">
        <f>AN394-SUM(AN396:AN397)</f>
        <v/>
      </c>
      <c r="AO398" s="1328">
        <f>AO394-SUM(AO396:AO397)</f>
        <v/>
      </c>
      <c r="AP398" s="1329">
        <f>AP394-SUM(AP396:AP397)</f>
        <v/>
      </c>
      <c r="AQ398" s="1328">
        <f>AQ394-SUM(AQ396:AQ397)</f>
        <v/>
      </c>
      <c r="AR398" s="1328">
        <f>AR394-SUM(AR396:AR397)</f>
        <v/>
      </c>
      <c r="AS398" s="1328">
        <f>AS394-SUM(AS396:AS397)</f>
        <v/>
      </c>
      <c r="AT398" s="1328">
        <f>AT394-SUM(AT396:AT397)</f>
        <v/>
      </c>
      <c r="AU398" s="1329">
        <f>AU394-SUM(AU396:AU397)</f>
        <v/>
      </c>
      <c r="AV398" s="1328">
        <f>AV394-SUM(AV396:AV397)</f>
        <v/>
      </c>
      <c r="AW398" s="1328">
        <f>AW394-SUM(AW396:AW397)</f>
        <v/>
      </c>
      <c r="AX398" s="1328">
        <f>AX394-SUM(AX396:AX397)</f>
        <v/>
      </c>
      <c r="AY398" s="1328">
        <f>AY394-SUM(AY396:AY397)</f>
        <v/>
      </c>
      <c r="AZ398" s="1329">
        <f>AZ394-SUM(AZ396:AZ397)</f>
        <v/>
      </c>
      <c r="BA398" s="1328">
        <f>BA394-SUM(BA396:BA397)</f>
        <v/>
      </c>
      <c r="BB398" s="1328">
        <f>BB394-SUM(BB396:BB397)</f>
        <v/>
      </c>
      <c r="BC398" s="1328">
        <f>BC394-SUM(BC396:BC397)</f>
        <v/>
      </c>
      <c r="BD398" s="1328">
        <f>BD394-SUM(BD396:BD397)</f>
        <v/>
      </c>
      <c r="BE398" s="1329">
        <f>BE394-SUM(BE396:BE397)</f>
        <v/>
      </c>
      <c r="BF398" s="1328">
        <f>BF394-SUM(BF396:BF397)</f>
        <v/>
      </c>
      <c r="BG398" s="1328">
        <f>BG394-SUM(BG396:BG397)</f>
        <v/>
      </c>
      <c r="BH398" s="1328">
        <f>BH394-SUM(BH396:BH397)</f>
        <v/>
      </c>
      <c r="BI398" s="1328">
        <f>BI394-SUM(BI396:BI397)</f>
        <v/>
      </c>
      <c r="BJ398" s="1329">
        <f>BJ394-SUM(BJ396:BJ397)</f>
        <v/>
      </c>
      <c r="BK398" s="1328">
        <f>BK394-SUM(BK396:BK397)</f>
        <v/>
      </c>
      <c r="BL398" s="1328">
        <f>BL394-SUM(BL396:BL397)</f>
        <v/>
      </c>
      <c r="BM398" s="1328">
        <f>BM394-SUM(BM396:BM397)</f>
        <v/>
      </c>
      <c r="BN398" s="1328">
        <f>BN394-SUM(BN396:BN397)</f>
        <v/>
      </c>
      <c r="BO398" s="1330">
        <f>BO394-SUM(BO396:BO397)</f>
        <v/>
      </c>
      <c r="BP398" s="1327">
        <f>BP394-SUM(BP396:BP397)</f>
        <v/>
      </c>
      <c r="BQ398" s="1327">
        <f>BQ394-SUM(BQ396:BQ397)</f>
        <v/>
      </c>
      <c r="BR398" s="1327">
        <f>BR394-SUM(BR396:BR397)</f>
        <v/>
      </c>
      <c r="BS398" s="1327">
        <f>BS394-SUM(BS396:BS397)</f>
        <v/>
      </c>
      <c r="BT398" s="1326">
        <f>BT394-SUM(BT396:BT397)</f>
        <v/>
      </c>
      <c r="BU398" s="1327">
        <f>BU394-SUM(BU396:BU397)</f>
        <v/>
      </c>
      <c r="BV398" s="1327">
        <f>BV394-SUM(BV396:BV397)</f>
        <v/>
      </c>
      <c r="BW398" s="1327">
        <f>BW394-SUM(BW396:BW397)</f>
        <v/>
      </c>
      <c r="BX398" s="1327">
        <f>BX394-SUM(BX396:BX397)</f>
        <v/>
      </c>
      <c r="BY398" s="1326">
        <f>BY394-SUM(BY396:BY397)</f>
        <v/>
      </c>
      <c r="BZ398" s="1326">
        <f>BZ394-SUM(BZ396:BZ397)</f>
        <v/>
      </c>
      <c r="CA398" s="1326">
        <f>CA394-SUM(CA396:CA397)</f>
        <v/>
      </c>
      <c r="CB398" s="1326">
        <f>CB394-SUM(CB396:CB397)</f>
        <v/>
      </c>
      <c r="CC398" s="1331" t="n"/>
    </row>
    <row r="399" ht="14.4" customFormat="1" customHeight="1" s="1275">
      <c r="A399" s="1295" t="inlineStr">
        <is>
          <t>Discontinued Operations</t>
        </is>
      </c>
      <c r="B399" s="1387" t="n"/>
      <c r="C399" s="1297" t="n"/>
      <c r="D399" s="1297" t="n"/>
      <c r="E399" s="1297" t="n"/>
      <c r="F399" s="1297" t="n"/>
      <c r="G399" s="1297" t="n"/>
      <c r="H399" s="1277" t="n"/>
      <c r="I399" s="1277" t="n"/>
      <c r="J399" s="1277" t="n"/>
      <c r="K399" s="1277" t="n"/>
      <c r="L399" s="1297" t="n"/>
      <c r="M399" s="1277" t="n"/>
      <c r="N399" s="1277" t="n"/>
      <c r="O399" s="1277" t="n"/>
      <c r="P399" s="1277" t="n"/>
      <c r="Q399" s="1297" t="n"/>
      <c r="R399" s="1277" t="n"/>
      <c r="S399" s="1277" t="n"/>
      <c r="T399" s="1277" t="n"/>
      <c r="U399" s="1277" t="n"/>
      <c r="V399" s="1297" t="n"/>
      <c r="W399" s="1277" t="n"/>
      <c r="X399" s="1277" t="n"/>
      <c r="Y399" s="1277" t="n"/>
      <c r="Z399" s="1277" t="n"/>
      <c r="AA399" s="1297" t="n"/>
      <c r="AB399" s="1277" t="n"/>
      <c r="AC399" s="1277" t="n"/>
      <c r="AD399" s="1277" t="n"/>
      <c r="AE399" s="1277" t="n"/>
      <c r="AF399" s="1297" t="n"/>
      <c r="AG399" s="1277" t="n"/>
      <c r="AH399" s="1277" t="n"/>
      <c r="AI399" s="1277" t="n"/>
      <c r="AJ399" s="1277" t="n"/>
      <c r="AK399" s="1297" t="n"/>
      <c r="AL399" s="1277" t="n"/>
      <c r="AM399" s="1277" t="n"/>
      <c r="AN399" s="1277" t="n"/>
      <c r="AO399" s="1277" t="n"/>
      <c r="AP399" s="1297" t="n"/>
      <c r="AQ399" s="1277" t="n"/>
      <c r="AR399" s="1277" t="n"/>
      <c r="AS399" s="1277" t="n"/>
      <c r="AT399" s="1277" t="n"/>
      <c r="AU399" s="1297" t="n"/>
      <c r="AV399" s="1277" t="n"/>
      <c r="AW399" s="1277" t="n"/>
      <c r="AX399" s="1277" t="n"/>
      <c r="AY399" s="1277" t="n"/>
      <c r="AZ399" s="1297" t="n"/>
      <c r="BA399" s="1277" t="n"/>
      <c r="BB399" s="1277" t="n"/>
      <c r="BC399" s="1277" t="n"/>
      <c r="BD399" s="1277" t="n"/>
      <c r="BE399" s="1297" t="n"/>
      <c r="BF399" s="1277" t="n"/>
      <c r="BG399" s="1277" t="n"/>
      <c r="BH399" s="1277" t="n"/>
      <c r="BI399" s="1277" t="n"/>
      <c r="BJ399" s="1297" t="n"/>
      <c r="BK399" s="1277" t="n"/>
      <c r="BL399" s="1277" t="n"/>
      <c r="BM399" s="1277" t="n"/>
      <c r="BN399" s="1277" t="n"/>
      <c r="BO399" s="1382" t="n"/>
      <c r="BP399" s="1277" t="n"/>
      <c r="BQ399" s="1277" t="n"/>
      <c r="BR399" s="1277" t="n"/>
      <c r="BS399" s="1277" t="n"/>
      <c r="BT399" s="1297">
        <f>SUM(BP399,BQ399,BR399,BS399)</f>
        <v/>
      </c>
      <c r="BU399" s="1277" t="n"/>
      <c r="BV399" s="1277" t="n"/>
      <c r="BW399" s="1277" t="n"/>
      <c r="BX399" s="1277" t="n"/>
      <c r="BY399" s="1297">
        <f>SUM(BU399,BV399,BW399,BX399)</f>
        <v/>
      </c>
      <c r="BZ399" s="1297" t="n"/>
      <c r="CA399" s="1297" t="n"/>
      <c r="CB399" s="1297" t="n"/>
      <c r="CC399" s="1280" t="n"/>
    </row>
    <row r="400" ht="14.4" customFormat="1" customHeight="1" s="1275">
      <c r="A400" s="1295" t="inlineStr">
        <is>
          <t>Net Income to NCI</t>
        </is>
      </c>
      <c r="B400" s="1387" t="n"/>
      <c r="C400" s="1446">
        <f>C363</f>
        <v/>
      </c>
      <c r="D400" s="1446">
        <f>D363</f>
        <v/>
      </c>
      <c r="E400" s="1446">
        <f>E363</f>
        <v/>
      </c>
      <c r="F400" s="1446">
        <f>F363</f>
        <v/>
      </c>
      <c r="G400" s="1446">
        <f>G363</f>
        <v/>
      </c>
      <c r="H400" s="1280">
        <f>H363</f>
        <v/>
      </c>
      <c r="I400" s="1280">
        <f>I363</f>
        <v/>
      </c>
      <c r="J400" s="1280">
        <f>J363</f>
        <v/>
      </c>
      <c r="K400" s="1280">
        <f>K363</f>
        <v/>
      </c>
      <c r="L400" s="1446">
        <f>L363</f>
        <v/>
      </c>
      <c r="M400" s="1280">
        <f>M363</f>
        <v/>
      </c>
      <c r="N400" s="1280">
        <f>N363</f>
        <v/>
      </c>
      <c r="O400" s="1280">
        <f>O363</f>
        <v/>
      </c>
      <c r="P400" s="1280">
        <f>P363</f>
        <v/>
      </c>
      <c r="Q400" s="1446">
        <f>Q363</f>
        <v/>
      </c>
      <c r="R400" s="1280">
        <f>R363</f>
        <v/>
      </c>
      <c r="S400" s="1280">
        <f>S363</f>
        <v/>
      </c>
      <c r="T400" s="1280">
        <f>T363</f>
        <v/>
      </c>
      <c r="U400" s="1280">
        <f>U363</f>
        <v/>
      </c>
      <c r="V400" s="1446">
        <f>V363</f>
        <v/>
      </c>
      <c r="W400" s="1280">
        <f>W363</f>
        <v/>
      </c>
      <c r="X400" s="1280">
        <f>X363</f>
        <v/>
      </c>
      <c r="Y400" s="1280">
        <f>Y363</f>
        <v/>
      </c>
      <c r="Z400" s="1280">
        <f>Z363</f>
        <v/>
      </c>
      <c r="AA400" s="1446">
        <f>AA363</f>
        <v/>
      </c>
      <c r="AB400" s="1280">
        <f>AB363</f>
        <v/>
      </c>
      <c r="AC400" s="1280">
        <f>AC363</f>
        <v/>
      </c>
      <c r="AD400" s="1280">
        <f>AD363</f>
        <v/>
      </c>
      <c r="AE400" s="1280">
        <f>AE363</f>
        <v/>
      </c>
      <c r="AF400" s="1446">
        <f>AF363</f>
        <v/>
      </c>
      <c r="AG400" s="1280">
        <f>AG363</f>
        <v/>
      </c>
      <c r="AH400" s="1280">
        <f>AH363</f>
        <v/>
      </c>
      <c r="AI400" s="1280">
        <f>AI363</f>
        <v/>
      </c>
      <c r="AJ400" s="1280">
        <f>AJ363</f>
        <v/>
      </c>
      <c r="AK400" s="1446">
        <f>AK363</f>
        <v/>
      </c>
      <c r="AL400" s="1280">
        <f>AL363</f>
        <v/>
      </c>
      <c r="AM400" s="1280">
        <f>AM363</f>
        <v/>
      </c>
      <c r="AN400" s="1280">
        <f>AN363</f>
        <v/>
      </c>
      <c r="AO400" s="1280">
        <f>AO363</f>
        <v/>
      </c>
      <c r="AP400" s="1446">
        <f>AP363</f>
        <v/>
      </c>
      <c r="AQ400" s="1280">
        <f>AQ363</f>
        <v/>
      </c>
      <c r="AR400" s="1280">
        <f>AR363</f>
        <v/>
      </c>
      <c r="AS400" s="1280">
        <f>AS363</f>
        <v/>
      </c>
      <c r="AT400" s="1280">
        <f>AT363</f>
        <v/>
      </c>
      <c r="AU400" s="1446">
        <f>AU363</f>
        <v/>
      </c>
      <c r="AV400" s="1280">
        <f>AV363</f>
        <v/>
      </c>
      <c r="AW400" s="1280">
        <f>AW363</f>
        <v/>
      </c>
      <c r="AX400" s="1280">
        <f>AX363</f>
        <v/>
      </c>
      <c r="AY400" s="1280">
        <f>AY363</f>
        <v/>
      </c>
      <c r="AZ400" s="1446">
        <f>AZ363</f>
        <v/>
      </c>
      <c r="BA400" s="1280">
        <f>BA363</f>
        <v/>
      </c>
      <c r="BB400" s="1280">
        <f>BB363</f>
        <v/>
      </c>
      <c r="BC400" s="1280">
        <f>BC363</f>
        <v/>
      </c>
      <c r="BD400" s="1280">
        <f>BD363</f>
        <v/>
      </c>
      <c r="BE400" s="1446">
        <f>BE363</f>
        <v/>
      </c>
      <c r="BF400" s="1280">
        <f>BF363</f>
        <v/>
      </c>
      <c r="BG400" s="1280">
        <f>BG363</f>
        <v/>
      </c>
      <c r="BH400" s="1280">
        <f>BH363</f>
        <v/>
      </c>
      <c r="BI400" s="1280">
        <f>BI363</f>
        <v/>
      </c>
      <c r="BJ400" s="1446">
        <f>BJ363</f>
        <v/>
      </c>
      <c r="BK400" s="1280">
        <f>BK363</f>
        <v/>
      </c>
      <c r="BL400" s="1280">
        <f>BL363</f>
        <v/>
      </c>
      <c r="BM400" s="1280">
        <f>BM363</f>
        <v/>
      </c>
      <c r="BN400" s="1280">
        <f>BN363</f>
        <v/>
      </c>
      <c r="BO400" s="1300">
        <f>BO363</f>
        <v/>
      </c>
      <c r="BP400" s="1298" t="n">
        <v>100</v>
      </c>
      <c r="BQ400" s="1298" t="n">
        <v>100</v>
      </c>
      <c r="BR400" s="1298" t="n">
        <v>100</v>
      </c>
      <c r="BS400" s="1298" t="n">
        <v>100</v>
      </c>
      <c r="BT400" s="1297">
        <f>SUM(BP400,BQ400,BR400,BS400)</f>
        <v/>
      </c>
      <c r="BU400" s="1298" t="n">
        <v>100</v>
      </c>
      <c r="BV400" s="1298" t="n">
        <v>100</v>
      </c>
      <c r="BW400" s="1298" t="n">
        <v>100</v>
      </c>
      <c r="BX400" s="1298" t="n">
        <v>100</v>
      </c>
      <c r="BY400" s="1297">
        <f>SUM(BU400,BV400,BW400,BX400)</f>
        <v/>
      </c>
      <c r="BZ400" s="1299" t="n">
        <v>400</v>
      </c>
      <c r="CA400" s="1299" t="n">
        <v>400</v>
      </c>
      <c r="CB400" s="1299" t="n">
        <v>400</v>
      </c>
      <c r="CC400" s="1280" t="n"/>
    </row>
    <row r="401" ht="14.4" customFormat="1" customHeight="1" s="1275">
      <c r="A401" s="1460" t="inlineStr">
        <is>
          <t>Earnings to Preferred and Other Securities</t>
        </is>
      </c>
      <c r="B401" s="1389" t="n"/>
      <c r="C401" s="1364" t="n"/>
      <c r="D401" s="1364" t="n"/>
      <c r="E401" s="1364" t="n"/>
      <c r="F401" s="1364" t="n"/>
      <c r="G401" s="1364" t="n"/>
      <c r="H401" s="1365" t="n"/>
      <c r="I401" s="1365" t="n"/>
      <c r="J401" s="1365" t="n"/>
      <c r="K401" s="1365" t="n"/>
      <c r="L401" s="1364" t="n"/>
      <c r="M401" s="1365" t="n"/>
      <c r="N401" s="1365" t="n"/>
      <c r="O401" s="1365" t="n"/>
      <c r="P401" s="1365" t="n"/>
      <c r="Q401" s="1364" t="n"/>
      <c r="R401" s="1365" t="n"/>
      <c r="S401" s="1365" t="n"/>
      <c r="T401" s="1365" t="n"/>
      <c r="U401" s="1365" t="n"/>
      <c r="V401" s="1364" t="n"/>
      <c r="W401" s="1365" t="n"/>
      <c r="X401" s="1365" t="n"/>
      <c r="Y401" s="1365" t="n"/>
      <c r="Z401" s="1365" t="n"/>
      <c r="AA401" s="1364" t="n"/>
      <c r="AB401" s="1365" t="n"/>
      <c r="AC401" s="1365" t="n"/>
      <c r="AD401" s="1365" t="n"/>
      <c r="AE401" s="1365" t="n"/>
      <c r="AF401" s="1364" t="n"/>
      <c r="AG401" s="1365" t="n"/>
      <c r="AH401" s="1365" t="n"/>
      <c r="AI401" s="1365" t="n"/>
      <c r="AJ401" s="1365" t="n"/>
      <c r="AK401" s="1364" t="n"/>
      <c r="AL401" s="1365" t="n"/>
      <c r="AM401" s="1365" t="n"/>
      <c r="AN401" s="1365" t="n"/>
      <c r="AO401" s="1365" t="n"/>
      <c r="AP401" s="1364" t="n"/>
      <c r="AQ401" s="1365" t="n"/>
      <c r="AR401" s="1365" t="n"/>
      <c r="AS401" s="1365" t="n"/>
      <c r="AT401" s="1365" t="n"/>
      <c r="AU401" s="1364" t="n"/>
      <c r="AV401" s="1365" t="n"/>
      <c r="AW401" s="1365" t="n"/>
      <c r="AX401" s="1365" t="n"/>
      <c r="AY401" s="1365" t="n"/>
      <c r="AZ401" s="1364" t="n"/>
      <c r="BA401" s="1365" t="n"/>
      <c r="BB401" s="1365" t="n"/>
      <c r="BC401" s="1365" t="n"/>
      <c r="BD401" s="1365" t="n"/>
      <c r="BE401" s="1364" t="n"/>
      <c r="BF401" s="1365" t="n"/>
      <c r="BG401" s="1365" t="n"/>
      <c r="BH401" s="1365" t="n"/>
      <c r="BI401" s="1365" t="n"/>
      <c r="BJ401" s="1364" t="n"/>
      <c r="BK401" s="1365" t="n"/>
      <c r="BL401" s="1365" t="n"/>
      <c r="BM401" s="1365" t="n"/>
      <c r="BN401" s="1365" t="n"/>
      <c r="BO401" s="1366" t="n"/>
      <c r="BP401" s="1365" t="n"/>
      <c r="BQ401" s="1365" t="n"/>
      <c r="BR401" s="1365" t="n"/>
      <c r="BS401" s="1365" t="n"/>
      <c r="BT401" s="1364">
        <f>SUM(BP401,BQ401,BR401,BS401)</f>
        <v/>
      </c>
      <c r="BU401" s="1365" t="n"/>
      <c r="BV401" s="1365" t="n"/>
      <c r="BW401" s="1365" t="n"/>
      <c r="BX401" s="1365" t="n"/>
      <c r="BY401" s="1364">
        <f>SUM(BU401,BV401,BW401,BX401)</f>
        <v/>
      </c>
      <c r="BZ401" s="1364" t="n"/>
      <c r="CA401" s="1364" t="n"/>
      <c r="CB401" s="1364" t="n"/>
      <c r="CC401" s="1280" t="n"/>
    </row>
    <row r="402" ht="14.4" customFormat="1" customHeight="1" s="1323">
      <c r="A402" s="1324" t="inlineStr">
        <is>
          <t>Net Income to Common Shareholders</t>
        </is>
      </c>
      <c r="B402" s="1393" t="n"/>
      <c r="C402" s="1329">
        <f>C398-SUM(C399:C401)</f>
        <v/>
      </c>
      <c r="D402" s="1329">
        <f>D398-SUM(D399:D401)</f>
        <v/>
      </c>
      <c r="E402" s="1329">
        <f>E398-SUM(E399:E401)</f>
        <v/>
      </c>
      <c r="F402" s="1329">
        <f>F398-SUM(F399:F401)</f>
        <v/>
      </c>
      <c r="G402" s="1329">
        <f>G398-SUM(G399:G401)</f>
        <v/>
      </c>
      <c r="H402" s="1328">
        <f>H398-SUM(H399:H401)</f>
        <v/>
      </c>
      <c r="I402" s="1328">
        <f>I398-SUM(I399:I401)</f>
        <v/>
      </c>
      <c r="J402" s="1328">
        <f>J398-SUM(J399:J401)</f>
        <v/>
      </c>
      <c r="K402" s="1328">
        <f>K398-SUM(K399:K401)</f>
        <v/>
      </c>
      <c r="L402" s="1329">
        <f>L398-SUM(L399:L401)</f>
        <v/>
      </c>
      <c r="M402" s="1328">
        <f>M398-SUM(M399:M401)</f>
        <v/>
      </c>
      <c r="N402" s="1328">
        <f>N398-SUM(N399:N401)</f>
        <v/>
      </c>
      <c r="O402" s="1328">
        <f>O398-SUM(O399:O401)</f>
        <v/>
      </c>
      <c r="P402" s="1328">
        <f>P398-SUM(P399:P401)</f>
        <v/>
      </c>
      <c r="Q402" s="1329">
        <f>Q398-SUM(Q399:Q401)</f>
        <v/>
      </c>
      <c r="R402" s="1328">
        <f>R398-SUM(R399:R401)</f>
        <v/>
      </c>
      <c r="S402" s="1328">
        <f>S398-SUM(S399:S401)</f>
        <v/>
      </c>
      <c r="T402" s="1328">
        <f>T398-SUM(T399:T401)</f>
        <v/>
      </c>
      <c r="U402" s="1328">
        <f>U398-SUM(U399:U401)</f>
        <v/>
      </c>
      <c r="V402" s="1329">
        <f>V398-SUM(V399:V401)</f>
        <v/>
      </c>
      <c r="W402" s="1328">
        <f>W398-SUM(W399:W401)</f>
        <v/>
      </c>
      <c r="X402" s="1328">
        <f>X398-SUM(X399:X401)</f>
        <v/>
      </c>
      <c r="Y402" s="1328">
        <f>Y398-SUM(Y399:Y401)</f>
        <v/>
      </c>
      <c r="Z402" s="1328">
        <f>Z398-SUM(Z399:Z401)</f>
        <v/>
      </c>
      <c r="AA402" s="1329">
        <f>AA398-SUM(AA399:AA401)</f>
        <v/>
      </c>
      <c r="AB402" s="1328">
        <f>AB398-SUM(AB399:AB401)</f>
        <v/>
      </c>
      <c r="AC402" s="1328">
        <f>AC398-SUM(AC399:AC401)</f>
        <v/>
      </c>
      <c r="AD402" s="1328">
        <f>AD398-SUM(AD399:AD401)</f>
        <v/>
      </c>
      <c r="AE402" s="1328">
        <f>AE398-SUM(AE399:AE401)</f>
        <v/>
      </c>
      <c r="AF402" s="1329">
        <f>AF398-SUM(AF399:AF401)</f>
        <v/>
      </c>
      <c r="AG402" s="1328">
        <f>AG398-SUM(AG399:AG401)</f>
        <v/>
      </c>
      <c r="AH402" s="1328">
        <f>AH398-SUM(AH399:AH401)</f>
        <v/>
      </c>
      <c r="AI402" s="1328">
        <f>AI398-SUM(AI399:AI401)</f>
        <v/>
      </c>
      <c r="AJ402" s="1328">
        <f>AJ398-SUM(AJ399:AJ401)</f>
        <v/>
      </c>
      <c r="AK402" s="1329">
        <f>AK398-SUM(AK399:AK401)</f>
        <v/>
      </c>
      <c r="AL402" s="1328">
        <f>AL398-SUM(AL399:AL401)</f>
        <v/>
      </c>
      <c r="AM402" s="1328">
        <f>AM398-SUM(AM399:AM401)</f>
        <v/>
      </c>
      <c r="AN402" s="1328">
        <f>AN398-SUM(AN399:AN401)</f>
        <v/>
      </c>
      <c r="AO402" s="1328">
        <f>AO398-SUM(AO399:AO401)</f>
        <v/>
      </c>
      <c r="AP402" s="1329">
        <f>AP398-SUM(AP399:AP401)</f>
        <v/>
      </c>
      <c r="AQ402" s="1328">
        <f>AQ398-SUM(AQ399:AQ401)</f>
        <v/>
      </c>
      <c r="AR402" s="1328">
        <f>AR398-SUM(AR399:AR401)</f>
        <v/>
      </c>
      <c r="AS402" s="1328">
        <f>AS398-SUM(AS399:AS401)</f>
        <v/>
      </c>
      <c r="AT402" s="1328">
        <f>AT398-SUM(AT399:AT401)</f>
        <v/>
      </c>
      <c r="AU402" s="1329">
        <f>AU398-SUM(AU399:AU401)</f>
        <v/>
      </c>
      <c r="AV402" s="1328">
        <f>AV398-SUM(AV399:AV401)</f>
        <v/>
      </c>
      <c r="AW402" s="1328">
        <f>AW398-SUM(AW399:AW401)</f>
        <v/>
      </c>
      <c r="AX402" s="1328">
        <f>AX398-SUM(AX399:AX401)</f>
        <v/>
      </c>
      <c r="AY402" s="1328">
        <f>AY398-SUM(AY399:AY401)</f>
        <v/>
      </c>
      <c r="AZ402" s="1329">
        <f>AZ398-SUM(AZ399:AZ401)</f>
        <v/>
      </c>
      <c r="BA402" s="1328">
        <f>BA398-SUM(BA399:BA401)</f>
        <v/>
      </c>
      <c r="BB402" s="1328">
        <f>BB398-SUM(BB399:BB401)</f>
        <v/>
      </c>
      <c r="BC402" s="1328">
        <f>BC398-SUM(BC399:BC401)</f>
        <v/>
      </c>
      <c r="BD402" s="1328">
        <f>BD398-SUM(BD399:BD401)</f>
        <v/>
      </c>
      <c r="BE402" s="1329">
        <f>BE398-SUM(BE399:BE401)</f>
        <v/>
      </c>
      <c r="BF402" s="1328">
        <f>BF398-SUM(BF399:BF401)</f>
        <v/>
      </c>
      <c r="BG402" s="1328">
        <f>BG398-SUM(BG399:BG401)</f>
        <v/>
      </c>
      <c r="BH402" s="1328">
        <f>BH398-SUM(BH399:BH401)</f>
        <v/>
      </c>
      <c r="BI402" s="1328">
        <f>BI398-SUM(BI399:BI401)</f>
        <v/>
      </c>
      <c r="BJ402" s="1329">
        <f>BJ398-SUM(BJ399:BJ401)</f>
        <v/>
      </c>
      <c r="BK402" s="1328">
        <f>BK398-SUM(BK399:BK401)</f>
        <v/>
      </c>
      <c r="BL402" s="1328">
        <f>BL398-SUM(BL399:BL401)</f>
        <v/>
      </c>
      <c r="BM402" s="1328">
        <f>BM398-SUM(BM399:BM401)</f>
        <v/>
      </c>
      <c r="BN402" s="1328">
        <f>BN398-SUM(BN399:BN401)</f>
        <v/>
      </c>
      <c r="BO402" s="1330">
        <f>BO398-SUM(BO399:BO401)</f>
        <v/>
      </c>
      <c r="BP402" s="1327">
        <f>BP398-SUM(BP399:BP401)</f>
        <v/>
      </c>
      <c r="BQ402" s="1327">
        <f>BQ398-SUM(BQ399:BQ401)</f>
        <v/>
      </c>
      <c r="BR402" s="1327">
        <f>BR398-SUM(BR399:BR401)</f>
        <v/>
      </c>
      <c r="BS402" s="1327">
        <f>BS398-SUM(BS399:BS401)</f>
        <v/>
      </c>
      <c r="BT402" s="1326">
        <f>BT398-SUM(BT399:BT401)</f>
        <v/>
      </c>
      <c r="BU402" s="1327">
        <f>BU398-SUM(BU399:BU401)</f>
        <v/>
      </c>
      <c r="BV402" s="1327">
        <f>BV398-SUM(BV399:BV401)</f>
        <v/>
      </c>
      <c r="BW402" s="1327">
        <f>BW398-SUM(BW399:BW401)</f>
        <v/>
      </c>
      <c r="BX402" s="1327">
        <f>BX398-SUM(BX399:BX401)</f>
        <v/>
      </c>
      <c r="BY402" s="1326">
        <f>BY398-SUM(BY399:BY401)</f>
        <v/>
      </c>
      <c r="BZ402" s="1326">
        <f>BZ398-SUM(BZ399:BZ401)</f>
        <v/>
      </c>
      <c r="CA402" s="1326">
        <f>CA398-SUM(CA399:CA401)</f>
        <v/>
      </c>
      <c r="CB402" s="1326">
        <f>CB398-SUM(CB399:CB401)</f>
        <v/>
      </c>
      <c r="CC402" s="1331" t="n"/>
    </row>
    <row r="403" ht="14.4" customFormat="1" customHeight="1" s="1275">
      <c r="A403" s="1580" t="inlineStr">
        <is>
          <t>Adjustments for Convertible Securities</t>
        </is>
      </c>
      <c r="B403" s="1581" t="n"/>
      <c r="C403" s="1587" t="n"/>
      <c r="D403" s="1587" t="n"/>
      <c r="E403" s="1587" t="n"/>
      <c r="F403" s="1587" t="n"/>
      <c r="G403" s="1587" t="n"/>
      <c r="H403" s="1584" t="n"/>
      <c r="I403" s="1584" t="n"/>
      <c r="J403" s="1584" t="n"/>
      <c r="K403" s="1584" t="n"/>
      <c r="L403" s="1587" t="n"/>
      <c r="M403" s="1584" t="n"/>
      <c r="N403" s="1584" t="n"/>
      <c r="O403" s="1584" t="n"/>
      <c r="P403" s="1584" t="n"/>
      <c r="Q403" s="1587" t="n"/>
      <c r="R403" s="1584" t="n"/>
      <c r="S403" s="1584" t="n"/>
      <c r="T403" s="1584" t="n"/>
      <c r="U403" s="1584" t="n"/>
      <c r="V403" s="1587" t="n"/>
      <c r="W403" s="1584" t="n"/>
      <c r="X403" s="1584" t="n"/>
      <c r="Y403" s="1584" t="n"/>
      <c r="Z403" s="1584" t="n"/>
      <c r="AA403" s="1587" t="n"/>
      <c r="AB403" s="1584" t="n"/>
      <c r="AC403" s="1584" t="n"/>
      <c r="AD403" s="1584" t="n"/>
      <c r="AE403" s="1584" t="n"/>
      <c r="AF403" s="1587" t="n"/>
      <c r="AG403" s="1584" t="n"/>
      <c r="AH403" s="1584" t="n"/>
      <c r="AI403" s="1584" t="n"/>
      <c r="AJ403" s="1584" t="n"/>
      <c r="AK403" s="1587" t="n"/>
      <c r="AL403" s="1584" t="n"/>
      <c r="AM403" s="1584" t="n"/>
      <c r="AN403" s="1584" t="n"/>
      <c r="AO403" s="1584" t="n"/>
      <c r="AP403" s="1587" t="n"/>
      <c r="AQ403" s="1584" t="n"/>
      <c r="AR403" s="1584" t="n"/>
      <c r="AS403" s="1584" t="n"/>
      <c r="AT403" s="1584" t="n"/>
      <c r="AU403" s="1587" t="n"/>
      <c r="AV403" s="1584" t="n"/>
      <c r="AW403" s="1584" t="n"/>
      <c r="AX403" s="1584" t="n"/>
      <c r="AY403" s="1584" t="n"/>
      <c r="AZ403" s="1587" t="n"/>
      <c r="BA403" s="1584" t="n"/>
      <c r="BB403" s="1584" t="n"/>
      <c r="BC403" s="1584" t="n"/>
      <c r="BD403" s="1584" t="n"/>
      <c r="BE403" s="1587" t="n"/>
      <c r="BF403" s="1584" t="n"/>
      <c r="BG403" s="1584" t="n"/>
      <c r="BH403" s="1584" t="n"/>
      <c r="BI403" s="1584" t="n"/>
      <c r="BJ403" s="1587" t="n"/>
      <c r="BK403" s="1584" t="n"/>
      <c r="BL403" s="1584" t="n"/>
      <c r="BM403" s="1584" t="n"/>
      <c r="BN403" s="1584" t="n"/>
      <c r="BO403" s="1586" t="n"/>
      <c r="BP403" s="1584" t="n"/>
      <c r="BQ403" s="1584" t="n"/>
      <c r="BR403" s="1584" t="n"/>
      <c r="BS403" s="1584" t="n"/>
      <c r="BT403" s="1587">
        <f>SUM(BP403,BQ403,BR403,BS403)</f>
        <v/>
      </c>
      <c r="BU403" s="1584" t="n"/>
      <c r="BV403" s="1584" t="n"/>
      <c r="BW403" s="1584" t="n"/>
      <c r="BX403" s="1584" t="n"/>
      <c r="BY403" s="1587">
        <f>SUM(BU403,BV403,BW403,BX403)</f>
        <v/>
      </c>
      <c r="BZ403" s="1587" t="n"/>
      <c r="CA403" s="1587" t="n"/>
      <c r="CB403" s="1587" t="n"/>
      <c r="CC403" s="1280" t="n"/>
    </row>
    <row r="404" ht="14.4" customFormat="1" customHeight="1" s="1323">
      <c r="A404" s="1324" t="inlineStr">
        <is>
          <t>Diluted Net Income to Common Shareholders</t>
        </is>
      </c>
      <c r="B404" s="1393" t="n"/>
      <c r="C404" s="1329">
        <f>C402-C403</f>
        <v/>
      </c>
      <c r="D404" s="1329">
        <f>D402-D403</f>
        <v/>
      </c>
      <c r="E404" s="1329">
        <f>E402-E403</f>
        <v/>
      </c>
      <c r="F404" s="1329">
        <f>F402-F403</f>
        <v/>
      </c>
      <c r="G404" s="1329">
        <f>G402-G403</f>
        <v/>
      </c>
      <c r="H404" s="1328">
        <f>H402-H403</f>
        <v/>
      </c>
      <c r="I404" s="1328">
        <f>I402-I403</f>
        <v/>
      </c>
      <c r="J404" s="1328">
        <f>J402-J403</f>
        <v/>
      </c>
      <c r="K404" s="1328">
        <f>K402-K403</f>
        <v/>
      </c>
      <c r="L404" s="1329">
        <f>L402-L403</f>
        <v/>
      </c>
      <c r="M404" s="1328">
        <f>M402-M403</f>
        <v/>
      </c>
      <c r="N404" s="1328">
        <f>N402-N403</f>
        <v/>
      </c>
      <c r="O404" s="1328">
        <f>O402-O403</f>
        <v/>
      </c>
      <c r="P404" s="1328">
        <f>P402-P403</f>
        <v/>
      </c>
      <c r="Q404" s="1329">
        <f>Q402-Q403</f>
        <v/>
      </c>
      <c r="R404" s="1328">
        <f>R402-R403</f>
        <v/>
      </c>
      <c r="S404" s="1328">
        <f>S402-S403</f>
        <v/>
      </c>
      <c r="T404" s="1328">
        <f>T402-T403</f>
        <v/>
      </c>
      <c r="U404" s="1328">
        <f>U402-U403</f>
        <v/>
      </c>
      <c r="V404" s="1329">
        <f>V402-V403</f>
        <v/>
      </c>
      <c r="W404" s="1328">
        <f>W402-W403</f>
        <v/>
      </c>
      <c r="X404" s="1328">
        <f>X402-X403</f>
        <v/>
      </c>
      <c r="Y404" s="1328">
        <f>Y402-Y403</f>
        <v/>
      </c>
      <c r="Z404" s="1328">
        <f>Z402-Z403</f>
        <v/>
      </c>
      <c r="AA404" s="1329">
        <f>AA402-AA403</f>
        <v/>
      </c>
      <c r="AB404" s="1328">
        <f>AB402-AB403</f>
        <v/>
      </c>
      <c r="AC404" s="1328">
        <f>AC402-AC403</f>
        <v/>
      </c>
      <c r="AD404" s="1328">
        <f>AD402-AD403</f>
        <v/>
      </c>
      <c r="AE404" s="1328">
        <f>AE402-AE403</f>
        <v/>
      </c>
      <c r="AF404" s="1329">
        <f>AF402-AF403</f>
        <v/>
      </c>
      <c r="AG404" s="1328">
        <f>AG402-AG403</f>
        <v/>
      </c>
      <c r="AH404" s="1328">
        <f>AH402-AH403</f>
        <v/>
      </c>
      <c r="AI404" s="1328">
        <f>AI402-AI403</f>
        <v/>
      </c>
      <c r="AJ404" s="1328">
        <f>AJ402-AJ403</f>
        <v/>
      </c>
      <c r="AK404" s="1329">
        <f>AK402-AK403</f>
        <v/>
      </c>
      <c r="AL404" s="1328">
        <f>AL402-AL403</f>
        <v/>
      </c>
      <c r="AM404" s="1328">
        <f>AM402-AM403</f>
        <v/>
      </c>
      <c r="AN404" s="1328">
        <f>AN402-AN403</f>
        <v/>
      </c>
      <c r="AO404" s="1328">
        <f>AO402-AO403</f>
        <v/>
      </c>
      <c r="AP404" s="1329">
        <f>AP402-AP403</f>
        <v/>
      </c>
      <c r="AQ404" s="1328">
        <f>AQ402-AQ403</f>
        <v/>
      </c>
      <c r="AR404" s="1328">
        <f>AR402-AR403</f>
        <v/>
      </c>
      <c r="AS404" s="1328">
        <f>AS402-AS403</f>
        <v/>
      </c>
      <c r="AT404" s="1328">
        <f>AT402-AT403</f>
        <v/>
      </c>
      <c r="AU404" s="1329">
        <f>AU402-AU403</f>
        <v/>
      </c>
      <c r="AV404" s="1328">
        <f>AV402-AV403</f>
        <v/>
      </c>
      <c r="AW404" s="1328">
        <f>AW402-AW403</f>
        <v/>
      </c>
      <c r="AX404" s="1328">
        <f>AX402-AX403</f>
        <v/>
      </c>
      <c r="AY404" s="1328">
        <f>AY402-AY403</f>
        <v/>
      </c>
      <c r="AZ404" s="1329">
        <f>AZ402-AZ403</f>
        <v/>
      </c>
      <c r="BA404" s="1328">
        <f>BA402-BA403</f>
        <v/>
      </c>
      <c r="BB404" s="1328">
        <f>BB402-BB403</f>
        <v/>
      </c>
      <c r="BC404" s="1328">
        <f>BC402-BC403</f>
        <v/>
      </c>
      <c r="BD404" s="1328">
        <f>BD402-BD403</f>
        <v/>
      </c>
      <c r="BE404" s="1329">
        <f>BE402-BE403</f>
        <v/>
      </c>
      <c r="BF404" s="1328">
        <f>BF402-BF403</f>
        <v/>
      </c>
      <c r="BG404" s="1328">
        <f>BG402-BG403</f>
        <v/>
      </c>
      <c r="BH404" s="1328">
        <f>BH402-BH403</f>
        <v/>
      </c>
      <c r="BI404" s="1328">
        <f>BI402-BI403</f>
        <v/>
      </c>
      <c r="BJ404" s="1329">
        <f>BJ402-BJ403</f>
        <v/>
      </c>
      <c r="BK404" s="1328">
        <f>BK402-BK403</f>
        <v/>
      </c>
      <c r="BL404" s="1328">
        <f>BL402-BL403</f>
        <v/>
      </c>
      <c r="BM404" s="1328">
        <f>BM402-BM403</f>
        <v/>
      </c>
      <c r="BN404" s="1328">
        <f>BN402-BN403</f>
        <v/>
      </c>
      <c r="BO404" s="1330">
        <f>BO402-BO403</f>
        <v/>
      </c>
      <c r="BP404" s="1327">
        <f>BP402-BP403</f>
        <v/>
      </c>
      <c r="BQ404" s="1327">
        <f>BQ402-BQ403</f>
        <v/>
      </c>
      <c r="BR404" s="1327">
        <f>BR402-BR403</f>
        <v/>
      </c>
      <c r="BS404" s="1327">
        <f>BS402-BS403</f>
        <v/>
      </c>
      <c r="BT404" s="1326">
        <f>BT402-BT403</f>
        <v/>
      </c>
      <c r="BU404" s="1327">
        <f>BU402-BU403</f>
        <v/>
      </c>
      <c r="BV404" s="1327">
        <f>BV402-BV403</f>
        <v/>
      </c>
      <c r="BW404" s="1327">
        <f>BW402-BW403</f>
        <v/>
      </c>
      <c r="BX404" s="1327">
        <f>BX402-BX403</f>
        <v/>
      </c>
      <c r="BY404" s="1326">
        <f>BY402-BY403</f>
        <v/>
      </c>
      <c r="BZ404" s="1326">
        <f>BZ402-BZ403</f>
        <v/>
      </c>
      <c r="CA404" s="1326">
        <f>CA402-CA403</f>
        <v/>
      </c>
      <c r="CB404" s="1326">
        <f>CB402-CB403</f>
        <v/>
      </c>
      <c r="CC404" s="1331" t="n"/>
    </row>
    <row r="405" ht="14.4" customFormat="1" customHeight="1" s="1275">
      <c r="A405" s="1612" t="inlineStr">
        <is>
          <t>Non-GAAP Adjustments</t>
        </is>
      </c>
      <c r="B405" s="1613" t="n"/>
      <c r="C405" s="1603" t="n"/>
      <c r="D405" s="1603" t="n"/>
      <c r="E405" s="1603" t="n"/>
      <c r="F405" s="1603" t="n"/>
      <c r="G405" s="1603" t="n"/>
      <c r="H405" s="1528" t="n"/>
      <c r="I405" s="1528" t="n"/>
      <c r="J405" s="1528" t="n"/>
      <c r="K405" s="1528" t="n"/>
      <c r="L405" s="1603" t="n"/>
      <c r="M405" s="1528" t="n"/>
      <c r="N405" s="1528" t="n"/>
      <c r="O405" s="1528" t="n"/>
      <c r="P405" s="1528" t="n"/>
      <c r="Q405" s="1603" t="n"/>
      <c r="R405" s="1528" t="n"/>
      <c r="S405" s="1528" t="n"/>
      <c r="T405" s="1528" t="n"/>
      <c r="U405" s="1528" t="n"/>
      <c r="V405" s="1603" t="n"/>
      <c r="W405" s="1528" t="n"/>
      <c r="X405" s="1528" t="n"/>
      <c r="Y405" s="1528" t="n"/>
      <c r="Z405" s="1528" t="n"/>
      <c r="AA405" s="1603" t="n"/>
      <c r="AB405" s="1528" t="n"/>
      <c r="AC405" s="1528" t="n"/>
      <c r="AD405" s="1528" t="n"/>
      <c r="AE405" s="1528" t="n"/>
      <c r="AF405" s="1603" t="n"/>
      <c r="AG405" s="1528" t="n"/>
      <c r="AH405" s="1528" t="n"/>
      <c r="AI405" s="1528" t="n"/>
      <c r="AJ405" s="1528" t="n"/>
      <c r="AK405" s="1603" t="n"/>
      <c r="AL405" s="1528" t="n"/>
      <c r="AM405" s="1528" t="n"/>
      <c r="AN405" s="1528" t="n"/>
      <c r="AO405" s="1528" t="n"/>
      <c r="AP405" s="1603" t="n"/>
      <c r="AQ405" s="1528" t="n"/>
      <c r="AR405" s="1528" t="n"/>
      <c r="AS405" s="1528" t="n"/>
      <c r="AT405" s="1528" t="n"/>
      <c r="AU405" s="1603" t="n"/>
      <c r="AV405" s="1528" t="n"/>
      <c r="AW405" s="1528" t="n"/>
      <c r="AX405" s="1528" t="n"/>
      <c r="AY405" s="1528" t="n"/>
      <c r="AZ405" s="1603" t="n"/>
      <c r="BA405" s="1528" t="n"/>
      <c r="BB405" s="1528" t="n"/>
      <c r="BC405" s="1528" t="n"/>
      <c r="BD405" s="1528" t="n"/>
      <c r="BE405" s="1603" t="n"/>
      <c r="BF405" s="1528" t="n"/>
      <c r="BG405" s="1528" t="n"/>
      <c r="BH405" s="1528" t="n"/>
      <c r="BI405" s="1528" t="n"/>
      <c r="BJ405" s="1603" t="n"/>
      <c r="BK405" s="1528" t="n"/>
      <c r="BL405" s="1528" t="n"/>
      <c r="BM405" s="1528" t="n"/>
      <c r="BN405" s="1528" t="n"/>
      <c r="BO405" s="1604" t="n"/>
      <c r="BP405" s="1528" t="n"/>
      <c r="BQ405" s="1528" t="n"/>
      <c r="BR405" s="1528" t="n"/>
      <c r="BS405" s="1528" t="n"/>
      <c r="BT405" s="1603">
        <f>SUM(BP405,BQ405,BR405,BS405)</f>
        <v/>
      </c>
      <c r="BU405" s="1528" t="n"/>
      <c r="BV405" s="1528" t="n"/>
      <c r="BW405" s="1528" t="n"/>
      <c r="BX405" s="1528" t="n"/>
      <c r="BY405" s="1603">
        <f>SUM(BU405,BV405,BW405,BX405)</f>
        <v/>
      </c>
      <c r="BZ405" s="1603" t="n"/>
      <c r="CA405" s="1603" t="n"/>
      <c r="CB405" s="1603" t="n"/>
      <c r="CC405" s="1280" t="n"/>
    </row>
    <row r="406" ht="14.4" customFormat="1" customHeight="1" s="1275">
      <c r="A406" s="1460" t="inlineStr">
        <is>
          <t>Non-GAAP Adjustments for Dilutive Securities</t>
        </is>
      </c>
      <c r="B406" s="1389" t="n"/>
      <c r="C406" s="1364" t="n"/>
      <c r="D406" s="1364" t="n"/>
      <c r="E406" s="1364" t="n"/>
      <c r="F406" s="1364" t="n"/>
      <c r="G406" s="1364" t="n"/>
      <c r="H406" s="1365" t="n"/>
      <c r="I406" s="1365" t="n"/>
      <c r="J406" s="1365" t="n"/>
      <c r="K406" s="1365" t="n"/>
      <c r="L406" s="1364" t="n"/>
      <c r="M406" s="1365" t="n"/>
      <c r="N406" s="1365" t="n"/>
      <c r="O406" s="1365" t="n"/>
      <c r="P406" s="1365" t="n"/>
      <c r="Q406" s="1364" t="n"/>
      <c r="R406" s="1365" t="n"/>
      <c r="S406" s="1365" t="n"/>
      <c r="T406" s="1365" t="n"/>
      <c r="U406" s="1365" t="n"/>
      <c r="V406" s="1364" t="n"/>
      <c r="W406" s="1365" t="n"/>
      <c r="X406" s="1365" t="n"/>
      <c r="Y406" s="1365" t="n"/>
      <c r="Z406" s="1365" t="n"/>
      <c r="AA406" s="1364" t="n"/>
      <c r="AB406" s="1365" t="n"/>
      <c r="AC406" s="1365" t="n"/>
      <c r="AD406" s="1365" t="n"/>
      <c r="AE406" s="1365" t="n"/>
      <c r="AF406" s="1364" t="n"/>
      <c r="AG406" s="1365" t="n"/>
      <c r="AH406" s="1365" t="n"/>
      <c r="AI406" s="1365" t="n"/>
      <c r="AJ406" s="1365" t="n"/>
      <c r="AK406" s="1364" t="n"/>
      <c r="AL406" s="1365" t="n"/>
      <c r="AM406" s="1365" t="n"/>
      <c r="AN406" s="1365" t="n"/>
      <c r="AO406" s="1365" t="n"/>
      <c r="AP406" s="1364" t="n"/>
      <c r="AQ406" s="1365" t="n"/>
      <c r="AR406" s="1365" t="n"/>
      <c r="AS406" s="1365" t="n"/>
      <c r="AT406" s="1365" t="n"/>
      <c r="AU406" s="1364" t="n"/>
      <c r="AV406" s="1365" t="n"/>
      <c r="AW406" s="1365" t="n"/>
      <c r="AX406" s="1365" t="n"/>
      <c r="AY406" s="1365" t="n"/>
      <c r="AZ406" s="1364" t="n"/>
      <c r="BA406" s="1365" t="n"/>
      <c r="BB406" s="1365" t="n"/>
      <c r="BC406" s="1365" t="n"/>
      <c r="BD406" s="1365" t="n"/>
      <c r="BE406" s="1364" t="n"/>
      <c r="BF406" s="1365" t="n"/>
      <c r="BG406" s="1365" t="n"/>
      <c r="BH406" s="1365" t="n"/>
      <c r="BI406" s="1365" t="n"/>
      <c r="BJ406" s="1364" t="n"/>
      <c r="BK406" s="1365" t="n"/>
      <c r="BL406" s="1365" t="n"/>
      <c r="BM406" s="1365" t="n"/>
      <c r="BN406" s="1365" t="n"/>
      <c r="BO406" s="1366" t="n"/>
      <c r="BP406" s="1365" t="n"/>
      <c r="BQ406" s="1365" t="n"/>
      <c r="BR406" s="1365" t="n"/>
      <c r="BS406" s="1365" t="n"/>
      <c r="BT406" s="1364">
        <f>SUM(BP406,BQ406,BR406,BS406)</f>
        <v/>
      </c>
      <c r="BU406" s="1365" t="n"/>
      <c r="BV406" s="1365" t="n"/>
      <c r="BW406" s="1365" t="n"/>
      <c r="BX406" s="1365" t="n"/>
      <c r="BY406" s="1364">
        <f>SUM(BU406,BV406,BW406,BX406)</f>
        <v/>
      </c>
      <c r="BZ406" s="1364" t="n"/>
      <c r="CA406" s="1364" t="n"/>
      <c r="CB406" s="1364" t="n"/>
      <c r="CC406" s="1280" t="n"/>
    </row>
    <row r="407" ht="14.4" customFormat="1" customHeight="1" s="1323">
      <c r="A407" s="1324" t="inlineStr">
        <is>
          <t>Adjusted Net Income</t>
        </is>
      </c>
      <c r="B407" s="1393" t="n"/>
      <c r="C407" s="1329">
        <f>C404-SUM(C405:C406)</f>
        <v/>
      </c>
      <c r="D407" s="1329">
        <f>D404-SUM(D405:D406)</f>
        <v/>
      </c>
      <c r="E407" s="1329">
        <f>E404-SUM(E405:E406)</f>
        <v/>
      </c>
      <c r="F407" s="1329">
        <f>F404-SUM(F405:F406)</f>
        <v/>
      </c>
      <c r="G407" s="1329">
        <f>G404-SUM(G405:G406)</f>
        <v/>
      </c>
      <c r="H407" s="1328">
        <f>H404-SUM(H405:H406)</f>
        <v/>
      </c>
      <c r="I407" s="1328">
        <f>I404-SUM(I405:I406)</f>
        <v/>
      </c>
      <c r="J407" s="1328">
        <f>J404-SUM(J405:J406)</f>
        <v/>
      </c>
      <c r="K407" s="1328">
        <f>K404-SUM(K405:K406)</f>
        <v/>
      </c>
      <c r="L407" s="1329">
        <f>L404-SUM(L405:L406)</f>
        <v/>
      </c>
      <c r="M407" s="1328">
        <f>M404-SUM(M405:M406)</f>
        <v/>
      </c>
      <c r="N407" s="1328">
        <f>N404-SUM(N405:N406)</f>
        <v/>
      </c>
      <c r="O407" s="1328">
        <f>O404-SUM(O405:O406)</f>
        <v/>
      </c>
      <c r="P407" s="1328">
        <f>P404-SUM(P405:P406)</f>
        <v/>
      </c>
      <c r="Q407" s="1329">
        <f>Q404-SUM(Q405:Q406)</f>
        <v/>
      </c>
      <c r="R407" s="1328">
        <f>R404-SUM(R405:R406)</f>
        <v/>
      </c>
      <c r="S407" s="1328">
        <f>S404-SUM(S405:S406)</f>
        <v/>
      </c>
      <c r="T407" s="1328">
        <f>T404-SUM(T405:T406)</f>
        <v/>
      </c>
      <c r="U407" s="1328">
        <f>U404-SUM(U405:U406)</f>
        <v/>
      </c>
      <c r="V407" s="1329">
        <f>V404-SUM(V405:V406)</f>
        <v/>
      </c>
      <c r="W407" s="1328">
        <f>W404-SUM(W405:W406)</f>
        <v/>
      </c>
      <c r="X407" s="1328">
        <f>X404-SUM(X405:X406)</f>
        <v/>
      </c>
      <c r="Y407" s="1328">
        <f>Y404-SUM(Y405:Y406)</f>
        <v/>
      </c>
      <c r="Z407" s="1328">
        <f>Z404-SUM(Z405:Z406)</f>
        <v/>
      </c>
      <c r="AA407" s="1329">
        <f>AA404-SUM(AA405:AA406)</f>
        <v/>
      </c>
      <c r="AB407" s="1328">
        <f>AB404-SUM(AB405:AB406)</f>
        <v/>
      </c>
      <c r="AC407" s="1328">
        <f>AC404-SUM(AC405:AC406)</f>
        <v/>
      </c>
      <c r="AD407" s="1328">
        <f>AD404-SUM(AD405:AD406)</f>
        <v/>
      </c>
      <c r="AE407" s="1328">
        <f>AE404-SUM(AE405:AE406)</f>
        <v/>
      </c>
      <c r="AF407" s="1329">
        <f>AF404-SUM(AF405:AF406)</f>
        <v/>
      </c>
      <c r="AG407" s="1328">
        <f>AG404-SUM(AG405:AG406)</f>
        <v/>
      </c>
      <c r="AH407" s="1328">
        <f>AH404-SUM(AH405:AH406)</f>
        <v/>
      </c>
      <c r="AI407" s="1328">
        <f>AI404-SUM(AI405:AI406)</f>
        <v/>
      </c>
      <c r="AJ407" s="1328">
        <f>AJ404-SUM(AJ405:AJ406)</f>
        <v/>
      </c>
      <c r="AK407" s="1329">
        <f>AK404-SUM(AK405:AK406)</f>
        <v/>
      </c>
      <c r="AL407" s="1328">
        <f>AL404-SUM(AL405:AL406)</f>
        <v/>
      </c>
      <c r="AM407" s="1328">
        <f>AM404-SUM(AM405:AM406)</f>
        <v/>
      </c>
      <c r="AN407" s="1328">
        <f>AN404-SUM(AN405:AN406)</f>
        <v/>
      </c>
      <c r="AO407" s="1328">
        <f>AO404-SUM(AO405:AO406)</f>
        <v/>
      </c>
      <c r="AP407" s="1329">
        <f>AP404-SUM(AP405:AP406)</f>
        <v/>
      </c>
      <c r="AQ407" s="1328">
        <f>AQ404-SUM(AQ405:AQ406)</f>
        <v/>
      </c>
      <c r="AR407" s="1328">
        <f>AR404-SUM(AR405:AR406)</f>
        <v/>
      </c>
      <c r="AS407" s="1328">
        <f>AS404-SUM(AS405:AS406)</f>
        <v/>
      </c>
      <c r="AT407" s="1328">
        <f>AT404-SUM(AT405:AT406)</f>
        <v/>
      </c>
      <c r="AU407" s="1329">
        <f>AU404-SUM(AU405:AU406)</f>
        <v/>
      </c>
      <c r="AV407" s="1328">
        <f>AV404-SUM(AV405:AV406)</f>
        <v/>
      </c>
      <c r="AW407" s="1328">
        <f>AW404-SUM(AW405:AW406)</f>
        <v/>
      </c>
      <c r="AX407" s="1328">
        <f>AX404-SUM(AX405:AX406)</f>
        <v/>
      </c>
      <c r="AY407" s="1328">
        <f>AY404-SUM(AY405:AY406)</f>
        <v/>
      </c>
      <c r="AZ407" s="1329">
        <f>AZ404-SUM(AZ405:AZ406)</f>
        <v/>
      </c>
      <c r="BA407" s="1328">
        <f>BA404-SUM(BA405:BA406)</f>
        <v/>
      </c>
      <c r="BB407" s="1328">
        <f>BB404-SUM(BB405:BB406)</f>
        <v/>
      </c>
      <c r="BC407" s="1328">
        <f>BC404-SUM(BC405:BC406)</f>
        <v/>
      </c>
      <c r="BD407" s="1328">
        <f>BD404-SUM(BD405:BD406)</f>
        <v/>
      </c>
      <c r="BE407" s="1329">
        <f>BE404-SUM(BE405:BE406)</f>
        <v/>
      </c>
      <c r="BF407" s="1328">
        <f>BF404-SUM(BF405:BF406)</f>
        <v/>
      </c>
      <c r="BG407" s="1328">
        <f>BG404-SUM(BG405:BG406)</f>
        <v/>
      </c>
      <c r="BH407" s="1328">
        <f>BH404-SUM(BH405:BH406)</f>
        <v/>
      </c>
      <c r="BI407" s="1328">
        <f>BI404-SUM(BI405:BI406)</f>
        <v/>
      </c>
      <c r="BJ407" s="1329">
        <f>BJ404-SUM(BJ405:BJ406)</f>
        <v/>
      </c>
      <c r="BK407" s="1328">
        <f>BK404-SUM(BK405:BK406)</f>
        <v/>
      </c>
      <c r="BL407" s="1328">
        <f>BL404-SUM(BL405:BL406)</f>
        <v/>
      </c>
      <c r="BM407" s="1328">
        <f>BM404-SUM(BM405:BM406)</f>
        <v/>
      </c>
      <c r="BN407" s="1328">
        <f>BN404-SUM(BN405:BN406)</f>
        <v/>
      </c>
      <c r="BO407" s="1330">
        <f>BO404-SUM(BO405:BO406)</f>
        <v/>
      </c>
      <c r="BP407" s="1327">
        <f>BP404-SUM(BP405:BP406)</f>
        <v/>
      </c>
      <c r="BQ407" s="1327">
        <f>BQ404-SUM(BQ405:BQ406)</f>
        <v/>
      </c>
      <c r="BR407" s="1327">
        <f>BR404-SUM(BR405:BR406)</f>
        <v/>
      </c>
      <c r="BS407" s="1327">
        <f>BS404-SUM(BS405:BS406)</f>
        <v/>
      </c>
      <c r="BT407" s="1326">
        <f>BT404-SUM(BT405:BT406)</f>
        <v/>
      </c>
      <c r="BU407" s="1327">
        <f>BU404-SUM(BU405:BU406)</f>
        <v/>
      </c>
      <c r="BV407" s="1327">
        <f>BV404-SUM(BV405:BV406)</f>
        <v/>
      </c>
      <c r="BW407" s="1327">
        <f>BW404-SUM(BW405:BW406)</f>
        <v/>
      </c>
      <c r="BX407" s="1327">
        <f>BX404-SUM(BX405:BX406)</f>
        <v/>
      </c>
      <c r="BY407" s="1326">
        <f>BY404-SUM(BY405:BY406)</f>
        <v/>
      </c>
      <c r="BZ407" s="1326">
        <f>BZ404-SUM(BZ405:BZ406)</f>
        <v/>
      </c>
      <c r="CA407" s="1326">
        <f>CA404-SUM(CA405:CA406)</f>
        <v/>
      </c>
      <c r="CB407" s="1326">
        <f>CB404-SUM(CB405:CB406)</f>
        <v/>
      </c>
      <c r="CC407" s="1331" t="n"/>
    </row>
    <row r="408" ht="14.4" customFormat="1" customHeight="1" s="1323">
      <c r="A408" s="1620" t="n"/>
      <c r="B408" s="1393" t="n"/>
      <c r="C408" s="1326" t="n"/>
      <c r="D408" s="1326" t="n"/>
      <c r="E408" s="1326" t="n"/>
      <c r="F408" s="1326" t="n"/>
      <c r="G408" s="1326" t="n"/>
      <c r="H408" s="1327" t="n"/>
      <c r="I408" s="1327" t="n"/>
      <c r="J408" s="1327" t="n"/>
      <c r="K408" s="1327" t="n"/>
      <c r="L408" s="1326" t="n"/>
      <c r="M408" s="1327" t="n"/>
      <c r="N408" s="1327" t="n"/>
      <c r="O408" s="1327" t="n"/>
      <c r="P408" s="1327" t="n"/>
      <c r="Q408" s="1326" t="n"/>
      <c r="R408" s="1327" t="n"/>
      <c r="S408" s="1327" t="n"/>
      <c r="T408" s="1327" t="n"/>
      <c r="U408" s="1327" t="n"/>
      <c r="V408" s="1326" t="n"/>
      <c r="W408" s="1327" t="n"/>
      <c r="X408" s="1327" t="n"/>
      <c r="Y408" s="1327" t="n"/>
      <c r="Z408" s="1327" t="n"/>
      <c r="AA408" s="1326" t="n"/>
      <c r="AB408" s="1327" t="n"/>
      <c r="AC408" s="1327" t="n"/>
      <c r="AD408" s="1327" t="n"/>
      <c r="AE408" s="1327" t="n"/>
      <c r="AF408" s="1326" t="n"/>
      <c r="AG408" s="1327" t="n"/>
      <c r="AH408" s="1327" t="n"/>
      <c r="AI408" s="1327" t="n"/>
      <c r="AJ408" s="1327" t="n"/>
      <c r="AK408" s="1326" t="n"/>
      <c r="AL408" s="1327" t="n"/>
      <c r="AM408" s="1327" t="n"/>
      <c r="AN408" s="1327" t="n"/>
      <c r="AO408" s="1327" t="n"/>
      <c r="AP408" s="1326" t="n"/>
      <c r="AQ408" s="1327" t="n"/>
      <c r="AR408" s="1327" t="n"/>
      <c r="AS408" s="1327" t="n"/>
      <c r="AT408" s="1327" t="n"/>
      <c r="AU408" s="1326" t="n"/>
      <c r="AV408" s="1327" t="n"/>
      <c r="AW408" s="1327" t="n"/>
      <c r="AX408" s="1327" t="n"/>
      <c r="AY408" s="1327" t="n"/>
      <c r="AZ408" s="1326" t="n"/>
      <c r="BA408" s="1327" t="n"/>
      <c r="BB408" s="1327" t="n"/>
      <c r="BC408" s="1327" t="n"/>
      <c r="BD408" s="1327" t="n"/>
      <c r="BE408" s="1326" t="n"/>
      <c r="BF408" s="1327" t="n"/>
      <c r="BG408" s="1327" t="n"/>
      <c r="BH408" s="1327" t="n"/>
      <c r="BI408" s="1327" t="n"/>
      <c r="BJ408" s="1326" t="n"/>
      <c r="BK408" s="1327" t="n"/>
      <c r="BL408" s="1327" t="n"/>
      <c r="BM408" s="1327" t="n"/>
      <c r="BN408" s="1327" t="n"/>
      <c r="BO408" s="1386" t="n"/>
      <c r="BP408" s="1327" t="n"/>
      <c r="BQ408" s="1327" t="n"/>
      <c r="BR408" s="1327" t="n"/>
      <c r="BS408" s="1327" t="n"/>
      <c r="BT408" s="1326" t="n"/>
      <c r="BU408" s="1327" t="n"/>
      <c r="BV408" s="1327" t="n"/>
      <c r="BW408" s="1327" t="n"/>
      <c r="BX408" s="1327" t="n"/>
      <c r="BY408" s="1326" t="n"/>
      <c r="BZ408" s="1326" t="n"/>
      <c r="CA408" s="1326" t="n"/>
      <c r="CB408" s="1326" t="n"/>
      <c r="CC408" s="1331" t="n"/>
    </row>
    <row r="409" ht="14.4" customFormat="1" customHeight="1" s="1350">
      <c r="A409" s="1356" t="inlineStr">
        <is>
          <t>Current tax rate</t>
        </is>
      </c>
      <c r="B409" s="1459" t="n"/>
      <c r="C409" s="1621">
        <f>C396/C394</f>
        <v/>
      </c>
      <c r="D409" s="1621">
        <f>D396/D394</f>
        <v/>
      </c>
      <c r="E409" s="1621">
        <f>E396/E394</f>
        <v/>
      </c>
      <c r="F409" s="1621">
        <f>F396/F394</f>
        <v/>
      </c>
      <c r="G409" s="1621">
        <f>G396/G394</f>
        <v/>
      </c>
      <c r="H409" s="1356">
        <f>H396/H394</f>
        <v/>
      </c>
      <c r="I409" s="1356">
        <f>I396/I394</f>
        <v/>
      </c>
      <c r="J409" s="1356">
        <f>J396/J394</f>
        <v/>
      </c>
      <c r="K409" s="1356">
        <f>K396/K394</f>
        <v/>
      </c>
      <c r="L409" s="1621">
        <f>L396/L394</f>
        <v/>
      </c>
      <c r="M409" s="1356">
        <f>M396/M394</f>
        <v/>
      </c>
      <c r="N409" s="1356">
        <f>N396/N394</f>
        <v/>
      </c>
      <c r="O409" s="1356">
        <f>O396/O394</f>
        <v/>
      </c>
      <c r="P409" s="1356">
        <f>P396/P394</f>
        <v/>
      </c>
      <c r="Q409" s="1621">
        <f>Q396/Q394</f>
        <v/>
      </c>
      <c r="R409" s="1356">
        <f>R396/R394</f>
        <v/>
      </c>
      <c r="S409" s="1356">
        <f>S396/S394</f>
        <v/>
      </c>
      <c r="T409" s="1356">
        <f>T396/T394</f>
        <v/>
      </c>
      <c r="U409" s="1356">
        <f>U396/U394</f>
        <v/>
      </c>
      <c r="V409" s="1621">
        <f>V396/V394</f>
        <v/>
      </c>
      <c r="W409" s="1356">
        <f>W396/W394</f>
        <v/>
      </c>
      <c r="X409" s="1356">
        <f>X396/X394</f>
        <v/>
      </c>
      <c r="Y409" s="1356">
        <f>Y396/Y394</f>
        <v/>
      </c>
      <c r="Z409" s="1356">
        <f>Z396/Z394</f>
        <v/>
      </c>
      <c r="AA409" s="1621">
        <f>AA396/AA394</f>
        <v/>
      </c>
      <c r="AB409" s="1356">
        <f>AB396/AB394</f>
        <v/>
      </c>
      <c r="AC409" s="1356">
        <f>AC396/AC394</f>
        <v/>
      </c>
      <c r="AD409" s="1356">
        <f>AD396/AD394</f>
        <v/>
      </c>
      <c r="AE409" s="1356">
        <f>AE396/AE394</f>
        <v/>
      </c>
      <c r="AF409" s="1621">
        <f>AF396/AF394</f>
        <v/>
      </c>
      <c r="AG409" s="1356">
        <f>AG396/AG394</f>
        <v/>
      </c>
      <c r="AH409" s="1356">
        <f>AH396/AH394</f>
        <v/>
      </c>
      <c r="AI409" s="1356">
        <f>AI396/AI394</f>
        <v/>
      </c>
      <c r="AJ409" s="1356">
        <f>AJ396/AJ394</f>
        <v/>
      </c>
      <c r="AK409" s="1621">
        <f>AK396/AK394</f>
        <v/>
      </c>
      <c r="AL409" s="1356">
        <f>AL396/AL394</f>
        <v/>
      </c>
      <c r="AM409" s="1356">
        <f>AM396/AM394</f>
        <v/>
      </c>
      <c r="AN409" s="1356">
        <f>AN396/AN394</f>
        <v/>
      </c>
      <c r="AO409" s="1356">
        <f>AO396/AO394</f>
        <v/>
      </c>
      <c r="AP409" s="1621">
        <f>AP396/AP394</f>
        <v/>
      </c>
      <c r="AQ409" s="1356">
        <f>AQ396/AQ394</f>
        <v/>
      </c>
      <c r="AR409" s="1356">
        <f>AR396/AR394</f>
        <v/>
      </c>
      <c r="AS409" s="1356">
        <f>AS396/AS394</f>
        <v/>
      </c>
      <c r="AT409" s="1356">
        <f>AT396/AT394</f>
        <v/>
      </c>
      <c r="AU409" s="1621">
        <f>AU396/AU394</f>
        <v/>
      </c>
      <c r="AV409" s="1356">
        <f>AV396/AV394</f>
        <v/>
      </c>
      <c r="AW409" s="1356">
        <f>AW396/AW394</f>
        <v/>
      </c>
      <c r="AX409" s="1356">
        <f>AX396/AX394</f>
        <v/>
      </c>
      <c r="AY409" s="1356">
        <f>AY396/AY394</f>
        <v/>
      </c>
      <c r="AZ409" s="1621">
        <f>AZ396/AZ394</f>
        <v/>
      </c>
      <c r="BA409" s="1356">
        <f>BA396/BA394</f>
        <v/>
      </c>
      <c r="BB409" s="1356">
        <f>BB396/BB394</f>
        <v/>
      </c>
      <c r="BC409" s="1356">
        <f>BC396/BC394</f>
        <v/>
      </c>
      <c r="BD409" s="1356">
        <f>BD396/BD394</f>
        <v/>
      </c>
      <c r="BE409" s="1621">
        <f>BE396/BE394</f>
        <v/>
      </c>
      <c r="BF409" s="1356">
        <f>BF396/BF394</f>
        <v/>
      </c>
      <c r="BG409" s="1356">
        <f>BG396/BG394</f>
        <v/>
      </c>
      <c r="BH409" s="1356">
        <f>BH396/BH394</f>
        <v/>
      </c>
      <c r="BI409" s="1356">
        <f>BI396/BI394</f>
        <v/>
      </c>
      <c r="BJ409" s="1621">
        <f>BJ396/BJ394</f>
        <v/>
      </c>
      <c r="BK409" s="1356">
        <f>BK396/BK394</f>
        <v/>
      </c>
      <c r="BL409" s="1356">
        <f>BL396/BL394</f>
        <v/>
      </c>
      <c r="BM409" s="1356">
        <f>BM396/BM394</f>
        <v/>
      </c>
      <c r="BN409" s="1356">
        <f>BN396/BN394</f>
        <v/>
      </c>
      <c r="BO409" s="1622">
        <f>BO396/BO394</f>
        <v/>
      </c>
      <c r="BP409" s="1623" t="n">
        <v>0.1</v>
      </c>
      <c r="BQ409" s="1623" t="n">
        <v>0.1</v>
      </c>
      <c r="BR409" s="1623" t="n">
        <v>0.1</v>
      </c>
      <c r="BS409" s="1623" t="n">
        <v>0.1</v>
      </c>
      <c r="BT409" s="1353">
        <f>BT396/BT394</f>
        <v/>
      </c>
      <c r="BU409" s="1623" t="n">
        <v>0.1</v>
      </c>
      <c r="BV409" s="1623" t="n">
        <v>0.1</v>
      </c>
      <c r="BW409" s="1623" t="n">
        <v>0.1</v>
      </c>
      <c r="BX409" s="1623" t="n">
        <v>0.1</v>
      </c>
      <c r="BY409" s="1353">
        <f>BY396/BY394</f>
        <v/>
      </c>
      <c r="BZ409" s="1624" t="n">
        <v>0.1</v>
      </c>
      <c r="CA409" s="1624" t="n">
        <v>0.1</v>
      </c>
      <c r="CB409" s="1624" t="n">
        <v>0.1</v>
      </c>
      <c r="CC409" s="1356" t="n"/>
    </row>
    <row r="410" ht="14.4" customFormat="1" customHeight="1" s="1350">
      <c r="A410" s="1356" t="inlineStr">
        <is>
          <t>Deferred tax rate</t>
        </is>
      </c>
      <c r="B410" s="1459" t="n"/>
      <c r="C410" s="1621">
        <f>C397/C394</f>
        <v/>
      </c>
      <c r="D410" s="1621">
        <f>D397/D394</f>
        <v/>
      </c>
      <c r="E410" s="1621">
        <f>E397/E394</f>
        <v/>
      </c>
      <c r="F410" s="1621">
        <f>F397/F394</f>
        <v/>
      </c>
      <c r="G410" s="1621">
        <f>G397/G394</f>
        <v/>
      </c>
      <c r="H410" s="1356">
        <f>H397/H394</f>
        <v/>
      </c>
      <c r="I410" s="1356">
        <f>I397/I394</f>
        <v/>
      </c>
      <c r="J410" s="1356">
        <f>J397/J394</f>
        <v/>
      </c>
      <c r="K410" s="1356">
        <f>K397/K394</f>
        <v/>
      </c>
      <c r="L410" s="1621">
        <f>L397/L394</f>
        <v/>
      </c>
      <c r="M410" s="1356">
        <f>M397/M394</f>
        <v/>
      </c>
      <c r="N410" s="1356">
        <f>N397/N394</f>
        <v/>
      </c>
      <c r="O410" s="1356">
        <f>O397/O394</f>
        <v/>
      </c>
      <c r="P410" s="1356">
        <f>P397/P394</f>
        <v/>
      </c>
      <c r="Q410" s="1621">
        <f>Q397/Q394</f>
        <v/>
      </c>
      <c r="R410" s="1356">
        <f>R397/R394</f>
        <v/>
      </c>
      <c r="S410" s="1356">
        <f>S397/S394</f>
        <v/>
      </c>
      <c r="T410" s="1356">
        <f>T397/T394</f>
        <v/>
      </c>
      <c r="U410" s="1356">
        <f>U397/U394</f>
        <v/>
      </c>
      <c r="V410" s="1621">
        <f>V397/V394</f>
        <v/>
      </c>
      <c r="W410" s="1356">
        <f>W397/W394</f>
        <v/>
      </c>
      <c r="X410" s="1356">
        <f>X397/X394</f>
        <v/>
      </c>
      <c r="Y410" s="1356">
        <f>Y397/Y394</f>
        <v/>
      </c>
      <c r="Z410" s="1356">
        <f>Z397/Z394</f>
        <v/>
      </c>
      <c r="AA410" s="1621">
        <f>AA397/AA394</f>
        <v/>
      </c>
      <c r="AB410" s="1356">
        <f>AB397/AB394</f>
        <v/>
      </c>
      <c r="AC410" s="1356">
        <f>AC397/AC394</f>
        <v/>
      </c>
      <c r="AD410" s="1356">
        <f>AD397/AD394</f>
        <v/>
      </c>
      <c r="AE410" s="1356">
        <f>AE397/AE394</f>
        <v/>
      </c>
      <c r="AF410" s="1621">
        <f>AF397/AF394</f>
        <v/>
      </c>
      <c r="AG410" s="1356">
        <f>AG397/AG394</f>
        <v/>
      </c>
      <c r="AH410" s="1356">
        <f>AH397/AH394</f>
        <v/>
      </c>
      <c r="AI410" s="1356">
        <f>AI397/AI394</f>
        <v/>
      </c>
      <c r="AJ410" s="1356">
        <f>AJ397/AJ394</f>
        <v/>
      </c>
      <c r="AK410" s="1621">
        <f>AK397/AK394</f>
        <v/>
      </c>
      <c r="AL410" s="1356">
        <f>AL397/AL394</f>
        <v/>
      </c>
      <c r="AM410" s="1356">
        <f>AM397/AM394</f>
        <v/>
      </c>
      <c r="AN410" s="1356">
        <f>AN397/AN394</f>
        <v/>
      </c>
      <c r="AO410" s="1356">
        <f>AO397/AO394</f>
        <v/>
      </c>
      <c r="AP410" s="1621">
        <f>AP397/AP394</f>
        <v/>
      </c>
      <c r="AQ410" s="1356">
        <f>AQ397/AQ394</f>
        <v/>
      </c>
      <c r="AR410" s="1356">
        <f>AR397/AR394</f>
        <v/>
      </c>
      <c r="AS410" s="1356">
        <f>AS397/AS394</f>
        <v/>
      </c>
      <c r="AT410" s="1356">
        <f>AT397/AT394</f>
        <v/>
      </c>
      <c r="AU410" s="1621">
        <f>AU397/AU394</f>
        <v/>
      </c>
      <c r="AV410" s="1356">
        <f>AV397/AV394</f>
        <v/>
      </c>
      <c r="AW410" s="1356">
        <f>AW397/AW394</f>
        <v/>
      </c>
      <c r="AX410" s="1356">
        <f>AX397/AX394</f>
        <v/>
      </c>
      <c r="AY410" s="1356">
        <f>AY397/AY394</f>
        <v/>
      </c>
      <c r="AZ410" s="1621">
        <f>AZ397/AZ394</f>
        <v/>
      </c>
      <c r="BA410" s="1356">
        <f>BA397/BA394</f>
        <v/>
      </c>
      <c r="BB410" s="1356">
        <f>BB397/BB394</f>
        <v/>
      </c>
      <c r="BC410" s="1356">
        <f>BC397/BC394</f>
        <v/>
      </c>
      <c r="BD410" s="1356">
        <f>BD397/BD394</f>
        <v/>
      </c>
      <c r="BE410" s="1621">
        <f>BE397/BE394</f>
        <v/>
      </c>
      <c r="BF410" s="1356">
        <f>BF397/BF394</f>
        <v/>
      </c>
      <c r="BG410" s="1356">
        <f>BG397/BG394</f>
        <v/>
      </c>
      <c r="BH410" s="1356">
        <f>BH397/BH394</f>
        <v/>
      </c>
      <c r="BI410" s="1356">
        <f>BI397/BI394</f>
        <v/>
      </c>
      <c r="BJ410" s="1621">
        <f>BJ397/BJ394</f>
        <v/>
      </c>
      <c r="BK410" s="1356">
        <f>BK397/BK394</f>
        <v/>
      </c>
      <c r="BL410" s="1356">
        <f>BL397/BL394</f>
        <v/>
      </c>
      <c r="BM410" s="1356">
        <f>BM397/BM394</f>
        <v/>
      </c>
      <c r="BN410" s="1356">
        <f>BN397/BN394</f>
        <v/>
      </c>
      <c r="BO410" s="1622">
        <f>BO397/BO394</f>
        <v/>
      </c>
      <c r="BP410" s="1623" t="n">
        <v>0</v>
      </c>
      <c r="BQ410" s="1623" t="n">
        <v>0</v>
      </c>
      <c r="BR410" s="1623" t="n">
        <v>0</v>
      </c>
      <c r="BS410" s="1623" t="n">
        <v>0</v>
      </c>
      <c r="BT410" s="1353">
        <f>BT397/BT394</f>
        <v/>
      </c>
      <c r="BU410" s="1623" t="n">
        <v>0</v>
      </c>
      <c r="BV410" s="1623" t="n">
        <v>0</v>
      </c>
      <c r="BW410" s="1623" t="n">
        <v>0</v>
      </c>
      <c r="BX410" s="1623" t="n">
        <v>0</v>
      </c>
      <c r="BY410" s="1353">
        <f>BY397/BY394</f>
        <v/>
      </c>
      <c r="BZ410" s="1624" t="n">
        <v>0</v>
      </c>
      <c r="CA410" s="1624" t="n">
        <v>0</v>
      </c>
      <c r="CB410" s="1624" t="n">
        <v>0</v>
      </c>
      <c r="CC410" s="1356" t="n"/>
    </row>
    <row r="411" hidden="1" outlineLevel="1" ht="14.4" customFormat="1" customHeight="1" s="1625">
      <c r="A411" s="1277" t="n"/>
      <c r="B411" s="1387" t="n"/>
      <c r="C411" s="1297" t="n"/>
      <c r="D411" s="1297" t="n"/>
      <c r="E411" s="1297" t="n"/>
      <c r="F411" s="1297" t="n"/>
      <c r="G411" s="1297" t="n"/>
      <c r="H411" s="1277" t="n"/>
      <c r="I411" s="1277" t="n"/>
      <c r="J411" s="1277" t="n"/>
      <c r="K411" s="1277" t="n"/>
      <c r="L411" s="1297" t="n"/>
      <c r="M411" s="1277" t="n"/>
      <c r="N411" s="1277" t="n"/>
      <c r="O411" s="1277" t="n"/>
      <c r="P411" s="1277" t="n"/>
      <c r="Q411" s="1297" t="n"/>
      <c r="R411" s="1277" t="n"/>
      <c r="S411" s="1277" t="n"/>
      <c r="T411" s="1277" t="n"/>
      <c r="U411" s="1277" t="n"/>
      <c r="V411" s="1297" t="n"/>
      <c r="W411" s="1277" t="n"/>
      <c r="X411" s="1277" t="n"/>
      <c r="Y411" s="1277" t="n"/>
      <c r="Z411" s="1277" t="n"/>
      <c r="AA411" s="1297" t="n"/>
      <c r="AB411" s="1277" t="n"/>
      <c r="AC411" s="1277" t="n"/>
      <c r="AD411" s="1277" t="n"/>
      <c r="AE411" s="1277" t="n"/>
      <c r="AF411" s="1297" t="n"/>
      <c r="AG411" s="1277" t="n"/>
      <c r="AH411" s="1277" t="n"/>
      <c r="AI411" s="1277" t="n"/>
      <c r="AJ411" s="1277" t="n"/>
      <c r="AK411" s="1297" t="n"/>
      <c r="AL411" s="1277" t="n"/>
      <c r="AM411" s="1277" t="n"/>
      <c r="AN411" s="1277" t="n"/>
      <c r="AO411" s="1277" t="n"/>
      <c r="AP411" s="1297" t="n"/>
      <c r="AQ411" s="1277" t="n"/>
      <c r="AR411" s="1277" t="n"/>
      <c r="AS411" s="1277" t="n"/>
      <c r="AT411" s="1277" t="n"/>
      <c r="AU411" s="1297" t="n"/>
      <c r="AV411" s="1277" t="n"/>
      <c r="AW411" s="1277" t="n"/>
      <c r="AX411" s="1277" t="n"/>
      <c r="AY411" s="1277" t="n"/>
      <c r="AZ411" s="1297" t="n"/>
      <c r="BA411" s="1277" t="n"/>
      <c r="BB411" s="1277" t="n"/>
      <c r="BC411" s="1277" t="n"/>
      <c r="BD411" s="1277" t="n"/>
      <c r="BE411" s="1297" t="n"/>
      <c r="BF411" s="1277" t="n"/>
      <c r="BG411" s="1277" t="n"/>
      <c r="BH411" s="1277" t="n"/>
      <c r="BI411" s="1277" t="n"/>
      <c r="BJ411" s="1297" t="n"/>
      <c r="BK411" s="1277" t="n"/>
      <c r="BL411" s="1277" t="n"/>
      <c r="BM411" s="1277" t="n"/>
      <c r="BN411" s="1277" t="n"/>
      <c r="BO411" s="1382" t="n"/>
      <c r="BP411" s="1277" t="n"/>
      <c r="BQ411" s="1277" t="n"/>
      <c r="BR411" s="1277" t="n"/>
      <c r="BS411" s="1277" t="n"/>
      <c r="BT411" s="1297" t="n"/>
      <c r="BU411" s="1277" t="n"/>
      <c r="BV411" s="1277" t="n"/>
      <c r="BW411" s="1277" t="n"/>
      <c r="BX411" s="1277" t="n"/>
      <c r="BY411" s="1297" t="n"/>
      <c r="BZ411" s="1297" t="n"/>
      <c r="CA411" s="1297" t="n"/>
      <c r="CB411" s="1297" t="n"/>
      <c r="CC411" s="1277" t="n"/>
    </row>
    <row r="412" hidden="1" outlineLevel="1" ht="14.4" customFormat="1" customHeight="1" s="1626">
      <c r="A412" s="1627" t="inlineStr">
        <is>
          <t>Earnings Per Share - WAB</t>
        </is>
      </c>
      <c r="B412" s="1628" t="n"/>
      <c r="C412" s="1629">
        <f>C$402/C421</f>
        <v/>
      </c>
      <c r="D412" s="1629">
        <f>D$402/D421</f>
        <v/>
      </c>
      <c r="E412" s="1629">
        <f>E$402/E421</f>
        <v/>
      </c>
      <c r="F412" s="1629">
        <f>F$402/F421</f>
        <v/>
      </c>
      <c r="G412" s="1629">
        <f>G$402/G421</f>
        <v/>
      </c>
      <c r="H412" s="1630">
        <f>H$402/H421</f>
        <v/>
      </c>
      <c r="I412" s="1630">
        <f>I$402/I421</f>
        <v/>
      </c>
      <c r="J412" s="1630">
        <f>J$402/J421</f>
        <v/>
      </c>
      <c r="K412" s="1630">
        <f>K$402/K421</f>
        <v/>
      </c>
      <c r="L412" s="1629">
        <f>L$402/L421</f>
        <v/>
      </c>
      <c r="M412" s="1630">
        <f>M$402/M421</f>
        <v/>
      </c>
      <c r="N412" s="1630">
        <f>N402/N421</f>
        <v/>
      </c>
      <c r="O412" s="1630">
        <f>O$402/O421</f>
        <v/>
      </c>
      <c r="P412" s="1630">
        <f>P$402/P421</f>
        <v/>
      </c>
      <c r="Q412" s="1629">
        <f>Q$402/Q421</f>
        <v/>
      </c>
      <c r="R412" s="1630">
        <f>R$402/R421</f>
        <v/>
      </c>
      <c r="S412" s="1630">
        <f>S402/S421</f>
        <v/>
      </c>
      <c r="T412" s="1630">
        <f>T$402/T421</f>
        <v/>
      </c>
      <c r="U412" s="1630">
        <f>U$402/U421</f>
        <v/>
      </c>
      <c r="V412" s="1629">
        <f>V$402/V421</f>
        <v/>
      </c>
      <c r="W412" s="1630">
        <f>W$402/W421</f>
        <v/>
      </c>
      <c r="X412" s="1630">
        <f>X402/X421</f>
        <v/>
      </c>
      <c r="Y412" s="1630">
        <f>Y$402/Y421</f>
        <v/>
      </c>
      <c r="Z412" s="1630">
        <f>Z$402/Z421</f>
        <v/>
      </c>
      <c r="AA412" s="1629">
        <f>AA$402/AA421</f>
        <v/>
      </c>
      <c r="AB412" s="1630">
        <f>AB$402/AB421</f>
        <v/>
      </c>
      <c r="AC412" s="1630">
        <f>AC402/AC421</f>
        <v/>
      </c>
      <c r="AD412" s="1630">
        <f>AD$402/AD421</f>
        <v/>
      </c>
      <c r="AE412" s="1630">
        <f>AE$402/AE421</f>
        <v/>
      </c>
      <c r="AF412" s="1629">
        <f>AF$402/AF421</f>
        <v/>
      </c>
      <c r="AG412" s="1630">
        <f>AG$402/AG421</f>
        <v/>
      </c>
      <c r="AH412" s="1630">
        <f>AH$402/AH421</f>
        <v/>
      </c>
      <c r="AI412" s="1630">
        <f>AI$402/AI421</f>
        <v/>
      </c>
      <c r="AJ412" s="1630">
        <f>AJ$402/AJ421</f>
        <v/>
      </c>
      <c r="AK412" s="1629">
        <f>AK$402/AK421</f>
        <v/>
      </c>
      <c r="AL412" s="1630">
        <f>AL$402/AL421</f>
        <v/>
      </c>
      <c r="AM412" s="1630">
        <f>AM$402/AM421</f>
        <v/>
      </c>
      <c r="AN412" s="1630">
        <f>AN$402/AN421</f>
        <v/>
      </c>
      <c r="AO412" s="1630">
        <f>AO$402/AO421</f>
        <v/>
      </c>
      <c r="AP412" s="1629">
        <f>AP$402/AP421</f>
        <v/>
      </c>
      <c r="AQ412" s="1630">
        <f>AQ$402/AQ421</f>
        <v/>
      </c>
      <c r="AR412" s="1630">
        <f>AR$402/AR421</f>
        <v/>
      </c>
      <c r="AS412" s="1630">
        <f>AS$402/AS421</f>
        <v/>
      </c>
      <c r="AT412" s="1630">
        <f>AT$402/AT421</f>
        <v/>
      </c>
      <c r="AU412" s="1629">
        <f>AU$402/AU421</f>
        <v/>
      </c>
      <c r="AV412" s="1630">
        <f>AV$402/AV421</f>
        <v/>
      </c>
      <c r="AW412" s="1630">
        <f>AW$402/AW421</f>
        <v/>
      </c>
      <c r="AX412" s="1630">
        <f>AX$402/AX421</f>
        <v/>
      </c>
      <c r="AY412" s="1630">
        <f>AY$402/AY421</f>
        <v/>
      </c>
      <c r="AZ412" s="1629">
        <f>AZ$402/AZ421</f>
        <v/>
      </c>
      <c r="BA412" s="1630">
        <f>BA$402/BA421</f>
        <v/>
      </c>
      <c r="BB412" s="1630">
        <f>BB$402/BB421</f>
        <v/>
      </c>
      <c r="BC412" s="1630">
        <f>BC$402/BC421</f>
        <v/>
      </c>
      <c r="BD412" s="1630">
        <f>BD$402/BD421</f>
        <v/>
      </c>
      <c r="BE412" s="1629">
        <f>BE$402/BE421</f>
        <v/>
      </c>
      <c r="BF412" s="1630">
        <f>BF$402/BF421</f>
        <v/>
      </c>
      <c r="BG412" s="1630">
        <f>BG$402/BG421</f>
        <v/>
      </c>
      <c r="BH412" s="1630">
        <f>BH$402/BH421</f>
        <v/>
      </c>
      <c r="BI412" s="1630">
        <f>BI$402/BI421</f>
        <v/>
      </c>
      <c r="BJ412" s="1629">
        <f>BJ$402/BJ421</f>
        <v/>
      </c>
      <c r="BK412" s="1630">
        <f>BK$402/BK421</f>
        <v/>
      </c>
      <c r="BL412" s="1630">
        <f>BL$402/BL421</f>
        <v/>
      </c>
      <c r="BM412" s="1630">
        <f>BM$402/BM421</f>
        <v/>
      </c>
      <c r="BN412" s="1630">
        <f>BN$402/BN421</f>
        <v/>
      </c>
      <c r="BO412" s="1631">
        <f>BO$402/BO421</f>
        <v/>
      </c>
      <c r="BP412" s="1632">
        <f>BP$402/BP421</f>
        <v/>
      </c>
      <c r="BQ412" s="1632">
        <f>BQ$402/BQ421</f>
        <v/>
      </c>
      <c r="BR412" s="1632">
        <f>BR$402/BR421</f>
        <v/>
      </c>
      <c r="BS412" s="1632">
        <f>BS$402/BS421</f>
        <v/>
      </c>
      <c r="BT412" s="1633">
        <f>BT$402/BT421</f>
        <v/>
      </c>
      <c r="BU412" s="1632">
        <f>BU$402/BU421</f>
        <v/>
      </c>
      <c r="BV412" s="1632">
        <f>BV$402/BV421</f>
        <v/>
      </c>
      <c r="BW412" s="1632">
        <f>BW$402/BW421</f>
        <v/>
      </c>
      <c r="BX412" s="1632">
        <f>BX$402/BX421</f>
        <v/>
      </c>
      <c r="BY412" s="1633">
        <f>BY$402/BY421</f>
        <v/>
      </c>
      <c r="BZ412" s="1633">
        <f>BZ$402/BZ421</f>
        <v/>
      </c>
      <c r="CA412" s="1633">
        <f>CA$402/CA421</f>
        <v/>
      </c>
      <c r="CB412" s="1633">
        <f>CB$402/CB421</f>
        <v/>
      </c>
      <c r="CC412" s="1630" t="n"/>
    </row>
    <row r="413" hidden="1" outlineLevel="1" ht="14.4" customFormat="1" customHeight="1" s="1626">
      <c r="A413" s="1627" t="inlineStr">
        <is>
          <t>Earnings Per Share - WAD</t>
        </is>
      </c>
      <c r="B413" s="1628" t="n"/>
      <c r="C413" s="1629">
        <f>C404/C422</f>
        <v/>
      </c>
      <c r="D413" s="1629">
        <f>D404/D422</f>
        <v/>
      </c>
      <c r="E413" s="1629">
        <f>E404/E422</f>
        <v/>
      </c>
      <c r="F413" s="1629">
        <f>F404/F422</f>
        <v/>
      </c>
      <c r="G413" s="1629">
        <f>G404/G422</f>
        <v/>
      </c>
      <c r="H413" s="1630">
        <f>H404/H422</f>
        <v/>
      </c>
      <c r="I413" s="1630">
        <f>I404/I422</f>
        <v/>
      </c>
      <c r="J413" s="1630">
        <f>J404/J422</f>
        <v/>
      </c>
      <c r="K413" s="1630">
        <f>K404/K422</f>
        <v/>
      </c>
      <c r="L413" s="1629">
        <f>L404/L422</f>
        <v/>
      </c>
      <c r="M413" s="1630">
        <f>M404/M422</f>
        <v/>
      </c>
      <c r="N413" s="1630">
        <f>N404/N422</f>
        <v/>
      </c>
      <c r="O413" s="1630">
        <f>O404/O422</f>
        <v/>
      </c>
      <c r="P413" s="1630">
        <f>P404/P422</f>
        <v/>
      </c>
      <c r="Q413" s="1629">
        <f>Q404/Q422</f>
        <v/>
      </c>
      <c r="R413" s="1630">
        <f>R404/R422</f>
        <v/>
      </c>
      <c r="S413" s="1630">
        <f>S404/S422</f>
        <v/>
      </c>
      <c r="T413" s="1630">
        <f>T404/T422</f>
        <v/>
      </c>
      <c r="U413" s="1630">
        <f>U404/U422</f>
        <v/>
      </c>
      <c r="V413" s="1629">
        <f>V404/V422</f>
        <v/>
      </c>
      <c r="W413" s="1630">
        <f>W404/W422</f>
        <v/>
      </c>
      <c r="X413" s="1630">
        <f>X404/X422</f>
        <v/>
      </c>
      <c r="Y413" s="1630">
        <f>Y404/Y422</f>
        <v/>
      </c>
      <c r="Z413" s="1630">
        <f>Z404/Z422</f>
        <v/>
      </c>
      <c r="AA413" s="1629">
        <f>AA404/AA422</f>
        <v/>
      </c>
      <c r="AB413" s="1630">
        <f>AB404/AB422</f>
        <v/>
      </c>
      <c r="AC413" s="1630">
        <f>AC404/AC422</f>
        <v/>
      </c>
      <c r="AD413" s="1630">
        <f>AD404/AD422</f>
        <v/>
      </c>
      <c r="AE413" s="1630">
        <f>AE404/AE422</f>
        <v/>
      </c>
      <c r="AF413" s="1629">
        <f>AF404/AF422</f>
        <v/>
      </c>
      <c r="AG413" s="1630">
        <f>AG404/AG422</f>
        <v/>
      </c>
      <c r="AH413" s="1630">
        <f>AH404/AH422</f>
        <v/>
      </c>
      <c r="AI413" s="1630">
        <f>AI404/AI422</f>
        <v/>
      </c>
      <c r="AJ413" s="1630">
        <f>AJ404/AJ422</f>
        <v/>
      </c>
      <c r="AK413" s="1629">
        <f>AK404/AK422</f>
        <v/>
      </c>
      <c r="AL413" s="1630">
        <f>AL404/AL422</f>
        <v/>
      </c>
      <c r="AM413" s="1630">
        <f>AM404/AM422</f>
        <v/>
      </c>
      <c r="AN413" s="1630">
        <f>AN404/AN422</f>
        <v/>
      </c>
      <c r="AO413" s="1630">
        <f>AO404/AO422</f>
        <v/>
      </c>
      <c r="AP413" s="1629">
        <f>AP404/AP422</f>
        <v/>
      </c>
      <c r="AQ413" s="1630">
        <f>AQ404/AQ422</f>
        <v/>
      </c>
      <c r="AR413" s="1630">
        <f>AR404/AR422</f>
        <v/>
      </c>
      <c r="AS413" s="1630">
        <f>AS404/AS422</f>
        <v/>
      </c>
      <c r="AT413" s="1630">
        <f>AT404/AT422</f>
        <v/>
      </c>
      <c r="AU413" s="1629">
        <f>AU404/AU422</f>
        <v/>
      </c>
      <c r="AV413" s="1630">
        <f>AV404/AV422</f>
        <v/>
      </c>
      <c r="AW413" s="1630">
        <f>AW404/AW422</f>
        <v/>
      </c>
      <c r="AX413" s="1630">
        <f>AX404/AX422</f>
        <v/>
      </c>
      <c r="AY413" s="1630">
        <f>AY404/AY422</f>
        <v/>
      </c>
      <c r="AZ413" s="1629">
        <f>AZ404/AZ422</f>
        <v/>
      </c>
      <c r="BA413" s="1630">
        <f>BA404/BA422</f>
        <v/>
      </c>
      <c r="BB413" s="1630">
        <f>BB404/BB422</f>
        <v/>
      </c>
      <c r="BC413" s="1630">
        <f>BC404/BC422</f>
        <v/>
      </c>
      <c r="BD413" s="1630">
        <f>BD404/BD422</f>
        <v/>
      </c>
      <c r="BE413" s="1629">
        <f>BE404/BE422</f>
        <v/>
      </c>
      <c r="BF413" s="1630">
        <f>BF404/BF422</f>
        <v/>
      </c>
      <c r="BG413" s="1630">
        <f>BG404/BG422</f>
        <v/>
      </c>
      <c r="BH413" s="1630">
        <f>BH404/BH422</f>
        <v/>
      </c>
      <c r="BI413" s="1630">
        <f>BI404/BI422</f>
        <v/>
      </c>
      <c r="BJ413" s="1629">
        <f>BJ404/BJ422</f>
        <v/>
      </c>
      <c r="BK413" s="1630">
        <f>BK404/BK422</f>
        <v/>
      </c>
      <c r="BL413" s="1630">
        <f>BL404/BL422</f>
        <v/>
      </c>
      <c r="BM413" s="1630">
        <f>BM404/BM422</f>
        <v/>
      </c>
      <c r="BN413" s="1630">
        <f>BN404/BN422</f>
        <v/>
      </c>
      <c r="BO413" s="1631">
        <f>BO404/BO422</f>
        <v/>
      </c>
      <c r="BP413" s="1632">
        <f>BP404/BP422</f>
        <v/>
      </c>
      <c r="BQ413" s="1632">
        <f>BQ404/BQ422</f>
        <v/>
      </c>
      <c r="BR413" s="1632">
        <f>BR404/BR422</f>
        <v/>
      </c>
      <c r="BS413" s="1632">
        <f>BS404/BS422</f>
        <v/>
      </c>
      <c r="BT413" s="1633">
        <f>BT404/BT422</f>
        <v/>
      </c>
      <c r="BU413" s="1632">
        <f>BU404/BU422</f>
        <v/>
      </c>
      <c r="BV413" s="1632">
        <f>BV404/BV422</f>
        <v/>
      </c>
      <c r="BW413" s="1632">
        <f>BW404/BW422</f>
        <v/>
      </c>
      <c r="BX413" s="1632">
        <f>BX404/BX422</f>
        <v/>
      </c>
      <c r="BY413" s="1633">
        <f>BY404/BY422</f>
        <v/>
      </c>
      <c r="BZ413" s="1633">
        <f>BZ404/BZ422</f>
        <v/>
      </c>
      <c r="CA413" s="1633">
        <f>CA404/CA422</f>
        <v/>
      </c>
      <c r="CB413" s="1633">
        <f>CB404/CB422</f>
        <v/>
      </c>
      <c r="CC413" s="1630" t="n"/>
    </row>
    <row r="414" hidden="1" outlineLevel="1" ht="14.4" customFormat="1" customHeight="1" s="1626">
      <c r="A414" s="1627" t="inlineStr">
        <is>
          <t>Adjusted Earnings Per Share - WAD</t>
        </is>
      </c>
      <c r="B414" s="1628" t="n"/>
      <c r="C414" s="1629">
        <f>C407/C423</f>
        <v/>
      </c>
      <c r="D414" s="1629">
        <f>D407/D423</f>
        <v/>
      </c>
      <c r="E414" s="1629">
        <f>E407/E423</f>
        <v/>
      </c>
      <c r="F414" s="1629">
        <f>F407/F423</f>
        <v/>
      </c>
      <c r="G414" s="1629">
        <f>G407/G423</f>
        <v/>
      </c>
      <c r="H414" s="1630">
        <f>H407/H423</f>
        <v/>
      </c>
      <c r="I414" s="1630">
        <f>I407/I423</f>
        <v/>
      </c>
      <c r="J414" s="1630">
        <f>J407/J423</f>
        <v/>
      </c>
      <c r="K414" s="1630">
        <f>K407/K423</f>
        <v/>
      </c>
      <c r="L414" s="1629">
        <f>L407/L423</f>
        <v/>
      </c>
      <c r="M414" s="1630">
        <f>M407/M423</f>
        <v/>
      </c>
      <c r="N414" s="1630">
        <f>N407/N423</f>
        <v/>
      </c>
      <c r="O414" s="1630">
        <f>O407/O423</f>
        <v/>
      </c>
      <c r="P414" s="1630">
        <f>P407/P423</f>
        <v/>
      </c>
      <c r="Q414" s="1629">
        <f>Q407/Q423</f>
        <v/>
      </c>
      <c r="R414" s="1630">
        <f>R407/R423</f>
        <v/>
      </c>
      <c r="S414" s="1630">
        <f>S407/S423</f>
        <v/>
      </c>
      <c r="T414" s="1630">
        <f>T407/T423</f>
        <v/>
      </c>
      <c r="U414" s="1630">
        <f>U407/U423</f>
        <v/>
      </c>
      <c r="V414" s="1629">
        <f>V407/V423</f>
        <v/>
      </c>
      <c r="W414" s="1630">
        <f>W407/W423</f>
        <v/>
      </c>
      <c r="X414" s="1630">
        <f>X407/X423</f>
        <v/>
      </c>
      <c r="Y414" s="1630">
        <f>Y407/Y423</f>
        <v/>
      </c>
      <c r="Z414" s="1630">
        <f>Z407/Z423</f>
        <v/>
      </c>
      <c r="AA414" s="1629">
        <f>AA407/AA423</f>
        <v/>
      </c>
      <c r="AB414" s="1630">
        <f>AB407/AB423</f>
        <v/>
      </c>
      <c r="AC414" s="1630">
        <f>AC407/AC423</f>
        <v/>
      </c>
      <c r="AD414" s="1630">
        <f>AD407/AD423</f>
        <v/>
      </c>
      <c r="AE414" s="1630">
        <f>AE407/AE423</f>
        <v/>
      </c>
      <c r="AF414" s="1629">
        <f>AF407/AF423</f>
        <v/>
      </c>
      <c r="AG414" s="1630">
        <f>AG407/AG423</f>
        <v/>
      </c>
      <c r="AH414" s="1630">
        <f>AH407/AH423</f>
        <v/>
      </c>
      <c r="AI414" s="1630">
        <f>AI407/AI423</f>
        <v/>
      </c>
      <c r="AJ414" s="1630">
        <f>AJ407/AJ423</f>
        <v/>
      </c>
      <c r="AK414" s="1629">
        <f>AK407/AK423</f>
        <v/>
      </c>
      <c r="AL414" s="1630">
        <f>AL407/AL423</f>
        <v/>
      </c>
      <c r="AM414" s="1630">
        <f>AM407/AM423</f>
        <v/>
      </c>
      <c r="AN414" s="1630">
        <f>AN407/AN423</f>
        <v/>
      </c>
      <c r="AO414" s="1630">
        <f>AO407/AO423</f>
        <v/>
      </c>
      <c r="AP414" s="1629">
        <f>AP407/AP423</f>
        <v/>
      </c>
      <c r="AQ414" s="1630">
        <f>AQ407/AQ423</f>
        <v/>
      </c>
      <c r="AR414" s="1630">
        <f>AR407/AR423</f>
        <v/>
      </c>
      <c r="AS414" s="1630">
        <f>AS407/AS423</f>
        <v/>
      </c>
      <c r="AT414" s="1630">
        <f>AT407/AT423</f>
        <v/>
      </c>
      <c r="AU414" s="1629">
        <f>AU407/AU423</f>
        <v/>
      </c>
      <c r="AV414" s="1630">
        <f>AV407/AV423</f>
        <v/>
      </c>
      <c r="AW414" s="1630">
        <f>AW407/AW423</f>
        <v/>
      </c>
      <c r="AX414" s="1630">
        <f>AX407/AX423</f>
        <v/>
      </c>
      <c r="AY414" s="1630">
        <f>AY407/AY423</f>
        <v/>
      </c>
      <c r="AZ414" s="1629">
        <f>AZ407/AZ423</f>
        <v/>
      </c>
      <c r="BA414" s="1630">
        <f>BA407/BA423</f>
        <v/>
      </c>
      <c r="BB414" s="1630">
        <f>BB407/BB423</f>
        <v/>
      </c>
      <c r="BC414" s="1630">
        <f>BC407/BC423</f>
        <v/>
      </c>
      <c r="BD414" s="1630">
        <f>BD407/BD423</f>
        <v/>
      </c>
      <c r="BE414" s="1629">
        <f>BE407/BE423</f>
        <v/>
      </c>
      <c r="BF414" s="1630">
        <f>BF407/BF423</f>
        <v/>
      </c>
      <c r="BG414" s="1630">
        <f>BG407/BG423</f>
        <v/>
      </c>
      <c r="BH414" s="1630">
        <f>BH407/BH423</f>
        <v/>
      </c>
      <c r="BI414" s="1630">
        <f>BI407/BI423</f>
        <v/>
      </c>
      <c r="BJ414" s="1629">
        <f>BJ407/BJ423</f>
        <v/>
      </c>
      <c r="BK414" s="1630">
        <f>BK407/BK423</f>
        <v/>
      </c>
      <c r="BL414" s="1630">
        <f>BL407/BL423</f>
        <v/>
      </c>
      <c r="BM414" s="1630">
        <f>BM407/BM423</f>
        <v/>
      </c>
      <c r="BN414" s="1630">
        <f>BN407/BN423</f>
        <v/>
      </c>
      <c r="BO414" s="1631">
        <f>BO407/BO423</f>
        <v/>
      </c>
      <c r="BP414" s="1632">
        <f>BP407/BP423</f>
        <v/>
      </c>
      <c r="BQ414" s="1632">
        <f>BQ407/BQ423</f>
        <v/>
      </c>
      <c r="BR414" s="1632">
        <f>BR407/BR423</f>
        <v/>
      </c>
      <c r="BS414" s="1632">
        <f>BS407/BS423</f>
        <v/>
      </c>
      <c r="BT414" s="1633">
        <f>BT407/BT423</f>
        <v/>
      </c>
      <c r="BU414" s="1632">
        <f>BU407/BU423</f>
        <v/>
      </c>
      <c r="BV414" s="1632">
        <f>BV407/BV423</f>
        <v/>
      </c>
      <c r="BW414" s="1632">
        <f>BW407/BW423</f>
        <v/>
      </c>
      <c r="BX414" s="1632">
        <f>BX407/BX423</f>
        <v/>
      </c>
      <c r="BY414" s="1633">
        <f>BY407/BY423</f>
        <v/>
      </c>
      <c r="BZ414" s="1633">
        <f>BZ407/BZ423</f>
        <v/>
      </c>
      <c r="CA414" s="1633">
        <f>CA407/CA423</f>
        <v/>
      </c>
      <c r="CB414" s="1633">
        <f>CB407/CB423</f>
        <v/>
      </c>
      <c r="CC414" s="1630" t="n"/>
    </row>
    <row r="415" collapsed="1" ht="14.4" customFormat="1" customHeight="1" s="1275">
      <c r="A415" s="1277" t="n"/>
      <c r="B415" s="1387" t="n"/>
      <c r="C415" s="1297" t="n"/>
      <c r="D415" s="1297" t="n"/>
      <c r="E415" s="1297" t="n"/>
      <c r="F415" s="1297" t="n"/>
      <c r="G415" s="1297" t="n"/>
      <c r="H415" s="1277" t="n"/>
      <c r="I415" s="1277" t="n"/>
      <c r="J415" s="1277" t="n"/>
      <c r="K415" s="1277" t="n"/>
      <c r="L415" s="1297" t="n"/>
      <c r="M415" s="1277" t="n"/>
      <c r="N415" s="1277" t="n"/>
      <c r="O415" s="1277" t="n"/>
      <c r="P415" s="1277" t="n"/>
      <c r="Q415" s="1297" t="n"/>
      <c r="R415" s="1277" t="n"/>
      <c r="S415" s="1277" t="n"/>
      <c r="T415" s="1277" t="n"/>
      <c r="U415" s="1277" t="n"/>
      <c r="V415" s="1297" t="n"/>
      <c r="W415" s="1277" t="n"/>
      <c r="X415" s="1277" t="n"/>
      <c r="Y415" s="1277" t="n"/>
      <c r="Z415" s="1277" t="n"/>
      <c r="AA415" s="1297" t="n"/>
      <c r="AB415" s="1277" t="n"/>
      <c r="AC415" s="1277" t="n"/>
      <c r="AD415" s="1277" t="n"/>
      <c r="AE415" s="1277" t="n"/>
      <c r="AF415" s="1297" t="n"/>
      <c r="AG415" s="1277" t="n"/>
      <c r="AH415" s="1277" t="n"/>
      <c r="AI415" s="1277" t="n"/>
      <c r="AJ415" s="1277" t="n"/>
      <c r="AK415" s="1297" t="n"/>
      <c r="AL415" s="1277" t="n"/>
      <c r="AM415" s="1277" t="n"/>
      <c r="AN415" s="1277" t="n"/>
      <c r="AO415" s="1277" t="n"/>
      <c r="AP415" s="1297" t="n"/>
      <c r="AQ415" s="1277" t="n"/>
      <c r="AR415" s="1277" t="n"/>
      <c r="AS415" s="1277" t="n"/>
      <c r="AT415" s="1277" t="n"/>
      <c r="AU415" s="1297" t="n"/>
      <c r="AV415" s="1277" t="n"/>
      <c r="AW415" s="1277" t="n"/>
      <c r="AX415" s="1277" t="n"/>
      <c r="AY415" s="1277" t="n"/>
      <c r="AZ415" s="1297" t="n"/>
      <c r="BA415" s="1277" t="n"/>
      <c r="BB415" s="1277" t="n"/>
      <c r="BC415" s="1277" t="n"/>
      <c r="BD415" s="1277" t="n"/>
      <c r="BE415" s="1297" t="n"/>
      <c r="BF415" s="1277" t="n"/>
      <c r="BG415" s="1277" t="n"/>
      <c r="BH415" s="1277" t="n"/>
      <c r="BI415" s="1277" t="n"/>
      <c r="BJ415" s="1297" t="n"/>
      <c r="BK415" s="1277" t="n"/>
      <c r="BL415" s="1277" t="n"/>
      <c r="BM415" s="1277" t="n"/>
      <c r="BN415" s="1277" t="n"/>
      <c r="BO415" s="1382" t="n"/>
      <c r="BP415" s="1277" t="n"/>
      <c r="BQ415" s="1277" t="n"/>
      <c r="BR415" s="1277" t="n"/>
      <c r="BS415" s="1277" t="n"/>
      <c r="BT415" s="1297" t="n"/>
      <c r="BU415" s="1277" t="n"/>
      <c r="BV415" s="1277" t="n"/>
      <c r="BW415" s="1277" t="n"/>
      <c r="BX415" s="1277" t="n"/>
      <c r="BY415" s="1297" t="n"/>
      <c r="BZ415" s="1297" t="n"/>
      <c r="CA415" s="1297" t="n"/>
      <c r="CB415" s="1297" t="n"/>
      <c r="CC415" s="1280" t="n"/>
    </row>
    <row r="416" ht="14.4" customFormat="1" customHeight="1" s="1626">
      <c r="A416" s="1627" t="inlineStr">
        <is>
          <t>Earnings Per ADR - WAB</t>
        </is>
      </c>
      <c r="B416" s="1628" t="n"/>
      <c r="C416" s="1629">
        <f>+C402/C425</f>
        <v/>
      </c>
      <c r="D416" s="1629">
        <f>+D402/D425</f>
        <v/>
      </c>
      <c r="E416" s="1629">
        <f>+E402/E425</f>
        <v/>
      </c>
      <c r="F416" s="1629">
        <f>+F402/F425</f>
        <v/>
      </c>
      <c r="G416" s="1629">
        <f>+G402/G425</f>
        <v/>
      </c>
      <c r="H416" s="1630">
        <f>+H402/H425</f>
        <v/>
      </c>
      <c r="I416" s="1630">
        <f>+I402/I425</f>
        <v/>
      </c>
      <c r="J416" s="1630">
        <f>+J402/J425</f>
        <v/>
      </c>
      <c r="K416" s="1630">
        <f>+K402/K425</f>
        <v/>
      </c>
      <c r="L416" s="1629">
        <f>+L402/L425</f>
        <v/>
      </c>
      <c r="M416" s="1630">
        <f>+M402/M425</f>
        <v/>
      </c>
      <c r="N416" s="1630">
        <f>+N402/N425</f>
        <v/>
      </c>
      <c r="O416" s="1630">
        <f>+O402/O425</f>
        <v/>
      </c>
      <c r="P416" s="1630">
        <f>+P402/P425</f>
        <v/>
      </c>
      <c r="Q416" s="1629">
        <f>+Q402/Q425</f>
        <v/>
      </c>
      <c r="R416" s="1630">
        <f>+R402/R425</f>
        <v/>
      </c>
      <c r="S416" s="1630">
        <f>+S402/S425</f>
        <v/>
      </c>
      <c r="T416" s="1630">
        <f>+T402/T425</f>
        <v/>
      </c>
      <c r="U416" s="1630">
        <f>+U402/U425</f>
        <v/>
      </c>
      <c r="V416" s="1629">
        <f>+V402/V425</f>
        <v/>
      </c>
      <c r="W416" s="1630">
        <f>+W402/W425</f>
        <v/>
      </c>
      <c r="X416" s="1630">
        <f>+X402/X425</f>
        <v/>
      </c>
      <c r="Y416" s="1630">
        <f>+Y402/Y425</f>
        <v/>
      </c>
      <c r="Z416" s="1630">
        <f>+Z402/Z425</f>
        <v/>
      </c>
      <c r="AA416" s="1629">
        <f>+AA402/AA425</f>
        <v/>
      </c>
      <c r="AB416" s="1630">
        <f>+AB402/AB425</f>
        <v/>
      </c>
      <c r="AC416" s="1630">
        <f>+AC402/AC425</f>
        <v/>
      </c>
      <c r="AD416" s="1630">
        <f>+AD402/AD425</f>
        <v/>
      </c>
      <c r="AE416" s="1630">
        <f>+AE402/AE425</f>
        <v/>
      </c>
      <c r="AF416" s="1629">
        <f>+AF402/AF425</f>
        <v/>
      </c>
      <c r="AG416" s="1630">
        <f>+AG402/AG425</f>
        <v/>
      </c>
      <c r="AH416" s="1630">
        <f>+AH402/AH425</f>
        <v/>
      </c>
      <c r="AI416" s="1630">
        <f>+AI402/AI425</f>
        <v/>
      </c>
      <c r="AJ416" s="1630">
        <f>+AJ402/AJ425</f>
        <v/>
      </c>
      <c r="AK416" s="1629">
        <f>+AK402/AK425</f>
        <v/>
      </c>
      <c r="AL416" s="1630">
        <f>+AL402/AL425</f>
        <v/>
      </c>
      <c r="AM416" s="1630">
        <f>+AM402/AM425</f>
        <v/>
      </c>
      <c r="AN416" s="1630">
        <f>+AN402/AN425</f>
        <v/>
      </c>
      <c r="AO416" s="1630">
        <f>+AO402/AO425</f>
        <v/>
      </c>
      <c r="AP416" s="1629">
        <f>+AP402/AP425</f>
        <v/>
      </c>
      <c r="AQ416" s="1630">
        <f>+AQ402/AQ425</f>
        <v/>
      </c>
      <c r="AR416" s="1630">
        <f>+AR402/AR425</f>
        <v/>
      </c>
      <c r="AS416" s="1630">
        <f>+AS402/AS425</f>
        <v/>
      </c>
      <c r="AT416" s="1630">
        <f>+AT402/AT425</f>
        <v/>
      </c>
      <c r="AU416" s="1629">
        <f>+AU402/AU425</f>
        <v/>
      </c>
      <c r="AV416" s="1630">
        <f>+AV402/AV425</f>
        <v/>
      </c>
      <c r="AW416" s="1630">
        <f>+AW402/AW425</f>
        <v/>
      </c>
      <c r="AX416" s="1630">
        <f>+AX402/AX425</f>
        <v/>
      </c>
      <c r="AY416" s="1630">
        <f>+AY402/AY425</f>
        <v/>
      </c>
      <c r="AZ416" s="1629">
        <f>+AZ402/AZ425</f>
        <v/>
      </c>
      <c r="BA416" s="1630">
        <f>+BA402/BA425</f>
        <v/>
      </c>
      <c r="BB416" s="1630">
        <f>+BB402/BB425</f>
        <v/>
      </c>
      <c r="BC416" s="1630">
        <f>+BC402/BC425</f>
        <v/>
      </c>
      <c r="BD416" s="1630">
        <f>+BD402/BD425</f>
        <v/>
      </c>
      <c r="BE416" s="1629">
        <f>+BE402/BE425</f>
        <v/>
      </c>
      <c r="BF416" s="1630">
        <f>+BF402/BF425</f>
        <v/>
      </c>
      <c r="BG416" s="1630">
        <f>+BG402/BG425</f>
        <v/>
      </c>
      <c r="BH416" s="1630">
        <f>+BH402/BH425</f>
        <v/>
      </c>
      <c r="BI416" s="1630">
        <f>+BI402/BI425</f>
        <v/>
      </c>
      <c r="BJ416" s="1629">
        <f>+BJ402/BJ425</f>
        <v/>
      </c>
      <c r="BK416" s="1630">
        <f>+BK402/BK425</f>
        <v/>
      </c>
      <c r="BL416" s="1630">
        <f>+BL402/BL425</f>
        <v/>
      </c>
      <c r="BM416" s="1630">
        <f>+BM402/BM425</f>
        <v/>
      </c>
      <c r="BN416" s="1630">
        <f>+BN402/BN425</f>
        <v/>
      </c>
      <c r="BO416" s="1631">
        <f>+BO402/BO425</f>
        <v/>
      </c>
      <c r="BP416" s="1632">
        <f>+BP402/BP425</f>
        <v/>
      </c>
      <c r="BQ416" s="1632">
        <f>+BQ402/BQ425</f>
        <v/>
      </c>
      <c r="BR416" s="1632">
        <f>+BR402/BR425</f>
        <v/>
      </c>
      <c r="BS416" s="1632">
        <f>+BS402/BS425</f>
        <v/>
      </c>
      <c r="BT416" s="1633">
        <f>+BT402/BT425</f>
        <v/>
      </c>
      <c r="BU416" s="1632">
        <f>+BU402/BU425</f>
        <v/>
      </c>
      <c r="BV416" s="1632">
        <f>+BV402/BV425</f>
        <v/>
      </c>
      <c r="BW416" s="1632">
        <f>+BW402/BW425</f>
        <v/>
      </c>
      <c r="BX416" s="1632">
        <f>+BX402/BX425</f>
        <v/>
      </c>
      <c r="BY416" s="1633">
        <f>+BY402/BY425</f>
        <v/>
      </c>
      <c r="BZ416" s="1633">
        <f>+BZ402/BZ425</f>
        <v/>
      </c>
      <c r="CA416" s="1633">
        <f>+CA402/CA425</f>
        <v/>
      </c>
      <c r="CB416" s="1633">
        <f>+CB402/CB425</f>
        <v/>
      </c>
      <c r="CC416" s="1630" t="n"/>
    </row>
    <row r="417" ht="14.4" customFormat="1" customHeight="1" s="1626">
      <c r="A417" s="1627" t="inlineStr">
        <is>
          <t>Earnings Per ADR - WAD</t>
        </is>
      </c>
      <c r="B417" s="1628" t="n"/>
      <c r="C417" s="1629">
        <f>+C404/C426</f>
        <v/>
      </c>
      <c r="D417" s="1629">
        <f>+D404/D426</f>
        <v/>
      </c>
      <c r="E417" s="1629">
        <f>+E404/E426</f>
        <v/>
      </c>
      <c r="F417" s="1629">
        <f>+F404/F426</f>
        <v/>
      </c>
      <c r="G417" s="1629">
        <f>+G404/G426</f>
        <v/>
      </c>
      <c r="H417" s="1630">
        <f>+H404/H426</f>
        <v/>
      </c>
      <c r="I417" s="1630">
        <f>+I404/I426</f>
        <v/>
      </c>
      <c r="J417" s="1630">
        <f>+J404/J426</f>
        <v/>
      </c>
      <c r="K417" s="1630">
        <f>+K404/K426</f>
        <v/>
      </c>
      <c r="L417" s="1629">
        <f>+L404/L426</f>
        <v/>
      </c>
      <c r="M417" s="1630">
        <f>+M404/M426</f>
        <v/>
      </c>
      <c r="N417" s="1630">
        <f>+N404/N426</f>
        <v/>
      </c>
      <c r="O417" s="1630">
        <f>+O404/O426</f>
        <v/>
      </c>
      <c r="P417" s="1630">
        <f>+P404/P426</f>
        <v/>
      </c>
      <c r="Q417" s="1629">
        <f>+Q404/Q426</f>
        <v/>
      </c>
      <c r="R417" s="1630">
        <f>+R404/R426</f>
        <v/>
      </c>
      <c r="S417" s="1630">
        <f>+S404/S426</f>
        <v/>
      </c>
      <c r="T417" s="1630">
        <f>+T404/T426</f>
        <v/>
      </c>
      <c r="U417" s="1630">
        <f>+U404/U426</f>
        <v/>
      </c>
      <c r="V417" s="1629">
        <f>+V404/V426</f>
        <v/>
      </c>
      <c r="W417" s="1630">
        <f>+W404/W426</f>
        <v/>
      </c>
      <c r="X417" s="1630">
        <f>+X404/X426</f>
        <v/>
      </c>
      <c r="Y417" s="1630">
        <f>+Y404/Y426</f>
        <v/>
      </c>
      <c r="Z417" s="1630">
        <f>+Z404/Z426</f>
        <v/>
      </c>
      <c r="AA417" s="1629">
        <f>+AA404/AA426</f>
        <v/>
      </c>
      <c r="AB417" s="1630">
        <f>+AB404/AB426</f>
        <v/>
      </c>
      <c r="AC417" s="1630">
        <f>+AC404/AC426</f>
        <v/>
      </c>
      <c r="AD417" s="1630">
        <f>+AD404/AD426</f>
        <v/>
      </c>
      <c r="AE417" s="1630">
        <f>+AE404/AE426</f>
        <v/>
      </c>
      <c r="AF417" s="1629">
        <f>+AF404/AF426</f>
        <v/>
      </c>
      <c r="AG417" s="1630">
        <f>+AG404/AG426</f>
        <v/>
      </c>
      <c r="AH417" s="1630">
        <f>+AH404/AH426</f>
        <v/>
      </c>
      <c r="AI417" s="1630">
        <f>+AI404/AI426</f>
        <v/>
      </c>
      <c r="AJ417" s="1630">
        <f>+AJ404/AJ426</f>
        <v/>
      </c>
      <c r="AK417" s="1629">
        <f>+AK404/AK426</f>
        <v/>
      </c>
      <c r="AL417" s="1630">
        <f>+AL404/AL426</f>
        <v/>
      </c>
      <c r="AM417" s="1630">
        <f>+AM404/AM426</f>
        <v/>
      </c>
      <c r="AN417" s="1630">
        <f>+AN404/AN426</f>
        <v/>
      </c>
      <c r="AO417" s="1630">
        <f>+AO404/AO426</f>
        <v/>
      </c>
      <c r="AP417" s="1629">
        <f>+AP404/AP426</f>
        <v/>
      </c>
      <c r="AQ417" s="1630">
        <f>+AQ404/AQ426</f>
        <v/>
      </c>
      <c r="AR417" s="1630">
        <f>+AR404/AR426</f>
        <v/>
      </c>
      <c r="AS417" s="1630">
        <f>+AS404/AS426</f>
        <v/>
      </c>
      <c r="AT417" s="1630">
        <f>+AT404/AT426</f>
        <v/>
      </c>
      <c r="AU417" s="1629">
        <f>+AU404/AU426</f>
        <v/>
      </c>
      <c r="AV417" s="1630">
        <f>+AV404/AV426</f>
        <v/>
      </c>
      <c r="AW417" s="1630">
        <f>+AW404/AW426</f>
        <v/>
      </c>
      <c r="AX417" s="1630">
        <f>+AX404/AX426</f>
        <v/>
      </c>
      <c r="AY417" s="1630">
        <f>+AY404/AY426</f>
        <v/>
      </c>
      <c r="AZ417" s="1629">
        <f>+AZ404/AZ426</f>
        <v/>
      </c>
      <c r="BA417" s="1630">
        <f>+BA404/BA426</f>
        <v/>
      </c>
      <c r="BB417" s="1630">
        <f>+BB404/BB426</f>
        <v/>
      </c>
      <c r="BC417" s="1630">
        <f>+BC404/BC426</f>
        <v/>
      </c>
      <c r="BD417" s="1630">
        <f>+BD404/BD426</f>
        <v/>
      </c>
      <c r="BE417" s="1629">
        <f>+BE404/BE426</f>
        <v/>
      </c>
      <c r="BF417" s="1630">
        <f>+BF404/BF426</f>
        <v/>
      </c>
      <c r="BG417" s="1630">
        <f>+BG404/BG426</f>
        <v/>
      </c>
      <c r="BH417" s="1630">
        <f>+BH404/BH426</f>
        <v/>
      </c>
      <c r="BI417" s="1630">
        <f>+BI404/BI426</f>
        <v/>
      </c>
      <c r="BJ417" s="1629">
        <f>+BJ404/BJ426</f>
        <v/>
      </c>
      <c r="BK417" s="1630">
        <f>+BK404/BK426</f>
        <v/>
      </c>
      <c r="BL417" s="1630">
        <f>+BL404/BL426</f>
        <v/>
      </c>
      <c r="BM417" s="1630">
        <f>+BM404/BM426</f>
        <v/>
      </c>
      <c r="BN417" s="1630">
        <f>+BN404/BN426</f>
        <v/>
      </c>
      <c r="BO417" s="1631">
        <f>+BO404/BO426</f>
        <v/>
      </c>
      <c r="BP417" s="1632">
        <f>+BP404/BP426</f>
        <v/>
      </c>
      <c r="BQ417" s="1632">
        <f>+BQ404/BQ426</f>
        <v/>
      </c>
      <c r="BR417" s="1632">
        <f>+BR404/BR426</f>
        <v/>
      </c>
      <c r="BS417" s="1632">
        <f>+BS404/BS426</f>
        <v/>
      </c>
      <c r="BT417" s="1633">
        <f>+BT404/BT426</f>
        <v/>
      </c>
      <c r="BU417" s="1632">
        <f>+BU404/BU426</f>
        <v/>
      </c>
      <c r="BV417" s="1632">
        <f>+BV404/BV426</f>
        <v/>
      </c>
      <c r="BW417" s="1632">
        <f>+BW404/BW426</f>
        <v/>
      </c>
      <c r="BX417" s="1632">
        <f>+BX404/BX426</f>
        <v/>
      </c>
      <c r="BY417" s="1633">
        <f>+BY404/BY426</f>
        <v/>
      </c>
      <c r="BZ417" s="1633">
        <f>+BZ404/BZ426</f>
        <v/>
      </c>
      <c r="CA417" s="1633">
        <f>+CA404/CA426</f>
        <v/>
      </c>
      <c r="CB417" s="1633">
        <f>+CB404/CB426</f>
        <v/>
      </c>
      <c r="CC417" s="1630" t="n"/>
    </row>
    <row r="418" ht="14.4" customFormat="1" customHeight="1" s="1626">
      <c r="A418" s="1627" t="inlineStr">
        <is>
          <t>Adjusted Earnings Per ADR (No Adjustments) - WAD</t>
        </is>
      </c>
      <c r="B418" s="1628" t="n"/>
      <c r="C418" s="1629">
        <f>+C407/C427</f>
        <v/>
      </c>
      <c r="D418" s="1629">
        <f>+D407/D427</f>
        <v/>
      </c>
      <c r="E418" s="1629">
        <f>+E407/E427</f>
        <v/>
      </c>
      <c r="F418" s="1629">
        <f>+F407/F427</f>
        <v/>
      </c>
      <c r="G418" s="1629">
        <f>+G407/G427</f>
        <v/>
      </c>
      <c r="H418" s="1630">
        <f>+H407/H427</f>
        <v/>
      </c>
      <c r="I418" s="1630">
        <f>+I407/I427</f>
        <v/>
      </c>
      <c r="J418" s="1630">
        <f>+J407/J427</f>
        <v/>
      </c>
      <c r="K418" s="1630">
        <f>+K407/K427</f>
        <v/>
      </c>
      <c r="L418" s="1629">
        <f>+L407/L427</f>
        <v/>
      </c>
      <c r="M418" s="1630">
        <f>+M407/M427</f>
        <v/>
      </c>
      <c r="N418" s="1630">
        <f>+N407/N427</f>
        <v/>
      </c>
      <c r="O418" s="1630">
        <f>+O407/O427</f>
        <v/>
      </c>
      <c r="P418" s="1630">
        <f>+P407/P427</f>
        <v/>
      </c>
      <c r="Q418" s="1629">
        <f>+Q407/Q427</f>
        <v/>
      </c>
      <c r="R418" s="1630">
        <f>+R407/R427</f>
        <v/>
      </c>
      <c r="S418" s="1630">
        <f>+S407/S427</f>
        <v/>
      </c>
      <c r="T418" s="1630">
        <f>+T407/T427</f>
        <v/>
      </c>
      <c r="U418" s="1630">
        <f>+U407/U427</f>
        <v/>
      </c>
      <c r="V418" s="1629">
        <f>+V407/V427</f>
        <v/>
      </c>
      <c r="W418" s="1630">
        <f>+W407/W427</f>
        <v/>
      </c>
      <c r="X418" s="1630">
        <f>+X407/X427</f>
        <v/>
      </c>
      <c r="Y418" s="1630">
        <f>+Y407/Y427</f>
        <v/>
      </c>
      <c r="Z418" s="1630">
        <f>+Z407/Z427</f>
        <v/>
      </c>
      <c r="AA418" s="1629">
        <f>+AA407/AA427</f>
        <v/>
      </c>
      <c r="AB418" s="1630">
        <f>+AB407/AB427</f>
        <v/>
      </c>
      <c r="AC418" s="1630">
        <f>+AC407/AC427</f>
        <v/>
      </c>
      <c r="AD418" s="1630">
        <f>+AD407/AD427</f>
        <v/>
      </c>
      <c r="AE418" s="1630">
        <f>+AE407/AE427</f>
        <v/>
      </c>
      <c r="AF418" s="1629">
        <f>+AF407/AF427</f>
        <v/>
      </c>
      <c r="AG418" s="1630">
        <f>+AG407/AG427</f>
        <v/>
      </c>
      <c r="AH418" s="1630">
        <f>+AH407/AH427</f>
        <v/>
      </c>
      <c r="AI418" s="1630">
        <f>+AI407/AI427</f>
        <v/>
      </c>
      <c r="AJ418" s="1630">
        <f>+AJ407/AJ427</f>
        <v/>
      </c>
      <c r="AK418" s="1629">
        <f>+AK407/AK427</f>
        <v/>
      </c>
      <c r="AL418" s="1630">
        <f>+AL407/AL427</f>
        <v/>
      </c>
      <c r="AM418" s="1630">
        <f>+AM407/AM427</f>
        <v/>
      </c>
      <c r="AN418" s="1630">
        <f>+AN407/AN427</f>
        <v/>
      </c>
      <c r="AO418" s="1630">
        <f>+AO407/AO427</f>
        <v/>
      </c>
      <c r="AP418" s="1629">
        <f>+AP407/AP427</f>
        <v/>
      </c>
      <c r="AQ418" s="1630">
        <f>+AQ407/AQ427</f>
        <v/>
      </c>
      <c r="AR418" s="1630">
        <f>+AR407/AR427</f>
        <v/>
      </c>
      <c r="AS418" s="1630">
        <f>+AS407/AS427</f>
        <v/>
      </c>
      <c r="AT418" s="1630">
        <f>+AT407/AT427</f>
        <v/>
      </c>
      <c r="AU418" s="1629">
        <f>+AU407/AU427</f>
        <v/>
      </c>
      <c r="AV418" s="1630">
        <f>+AV407/AV427</f>
        <v/>
      </c>
      <c r="AW418" s="1630">
        <f>+AW407/AW427</f>
        <v/>
      </c>
      <c r="AX418" s="1630">
        <f>+AX407/AX427</f>
        <v/>
      </c>
      <c r="AY418" s="1630">
        <f>+AY407/AY427</f>
        <v/>
      </c>
      <c r="AZ418" s="1629">
        <f>+AZ407/AZ427</f>
        <v/>
      </c>
      <c r="BA418" s="1630">
        <f>+BA407/BA427</f>
        <v/>
      </c>
      <c r="BB418" s="1630">
        <f>+BB407/BB427</f>
        <v/>
      </c>
      <c r="BC418" s="1630">
        <f>+BC407/BC427</f>
        <v/>
      </c>
      <c r="BD418" s="1630">
        <f>+BD407/BD427</f>
        <v/>
      </c>
      <c r="BE418" s="1629">
        <f>+BE407/BE427</f>
        <v/>
      </c>
      <c r="BF418" s="1630">
        <f>+BF407/BF427</f>
        <v/>
      </c>
      <c r="BG418" s="1630">
        <f>+BG407/BG427</f>
        <v/>
      </c>
      <c r="BH418" s="1630">
        <f>+BH407/BH427</f>
        <v/>
      </c>
      <c r="BI418" s="1630">
        <f>+BI407/BI427</f>
        <v/>
      </c>
      <c r="BJ418" s="1629">
        <f>+BJ407/BJ427</f>
        <v/>
      </c>
      <c r="BK418" s="1630">
        <f>+BK407/BK427</f>
        <v/>
      </c>
      <c r="BL418" s="1630">
        <f>+BL407/BL427</f>
        <v/>
      </c>
      <c r="BM418" s="1630">
        <f>+BM407/BM427</f>
        <v/>
      </c>
      <c r="BN418" s="1630">
        <f>+BN407/BN427</f>
        <v/>
      </c>
      <c r="BO418" s="1631">
        <f>+BO407/BO427</f>
        <v/>
      </c>
      <c r="BP418" s="1632">
        <f>+BP407/BP427</f>
        <v/>
      </c>
      <c r="BQ418" s="1632">
        <f>+BQ407/BQ427</f>
        <v/>
      </c>
      <c r="BR418" s="1632">
        <f>+BR407/BR427</f>
        <v/>
      </c>
      <c r="BS418" s="1632">
        <f>+BS407/BS427</f>
        <v/>
      </c>
      <c r="BT418" s="1633">
        <f>+BT407/BT427</f>
        <v/>
      </c>
      <c r="BU418" s="1632">
        <f>+BU407/BU427</f>
        <v/>
      </c>
      <c r="BV418" s="1632">
        <f>+BV407/BV427</f>
        <v/>
      </c>
      <c r="BW418" s="1632">
        <f>+BW407/BW427</f>
        <v/>
      </c>
      <c r="BX418" s="1632">
        <f>+BX407/BX427</f>
        <v/>
      </c>
      <c r="BY418" s="1633">
        <f>+BY407/BY427</f>
        <v/>
      </c>
      <c r="BZ418" s="1633">
        <f>+BZ407/BZ427</f>
        <v/>
      </c>
      <c r="CA418" s="1633">
        <f>+CA407/CA427</f>
        <v/>
      </c>
      <c r="CB418" s="1633">
        <f>+CB407/CB427</f>
        <v/>
      </c>
      <c r="CC418" s="1630" t="n"/>
    </row>
    <row r="419" ht="14.4" customFormat="1" customHeight="1" s="1634">
      <c r="A419" s="1635">
        <f>CONCATENATE("Consensus Estimates - ",IFERROR(LEFT(A418,FIND("(",A418)-1),A418))</f>
        <v/>
      </c>
      <c r="B419" s="1636" t="n"/>
      <c r="C419" s="1637" t="n"/>
      <c r="D419" s="1637" t="n"/>
      <c r="E419" s="1637" t="n"/>
      <c r="F419" s="1637" t="n"/>
      <c r="G419" s="1637" t="n"/>
      <c r="H419" s="1638" t="n"/>
      <c r="I419" s="1638" t="n"/>
      <c r="J419" s="1638" t="n"/>
      <c r="K419" s="1638" t="n"/>
      <c r="L419" s="1637" t="n"/>
      <c r="M419" s="1638" t="n"/>
      <c r="N419" s="1638" t="n"/>
      <c r="O419" s="1638" t="n"/>
      <c r="P419" s="1638" t="n"/>
      <c r="Q419" s="1637" t="n"/>
      <c r="R419" s="1638" t="n"/>
      <c r="S419" s="1638" t="n"/>
      <c r="T419" s="1638" t="n"/>
      <c r="U419" s="1638" t="n"/>
      <c r="V419" s="1637" t="n"/>
      <c r="W419" s="1638" t="n"/>
      <c r="X419" s="1638" t="n"/>
      <c r="Y419" s="1638" t="n"/>
      <c r="Z419" s="1638" t="n"/>
      <c r="AA419" s="1637" t="n"/>
      <c r="AB419" s="1638" t="n"/>
      <c r="AC419" s="1638" t="n"/>
      <c r="AD419" s="1638" t="n"/>
      <c r="AE419" s="1638" t="n"/>
      <c r="AF419" s="1637" t="n"/>
      <c r="AG419" s="1638" t="n"/>
      <c r="AH419" s="1638" t="n"/>
      <c r="AI419" s="1638" t="n"/>
      <c r="AJ419" s="1638" t="n"/>
      <c r="AK419" s="1637" t="n"/>
      <c r="AL419" s="1638" t="n"/>
      <c r="AM419" s="1638" t="n"/>
      <c r="AN419" s="1638" t="n"/>
      <c r="AO419" s="1638" t="n"/>
      <c r="AP419" s="1637" t="n"/>
      <c r="AQ419" s="1638" t="n"/>
      <c r="AR419" s="1638" t="n"/>
      <c r="AS419" s="1638" t="n"/>
      <c r="AT419" s="1638" t="n"/>
      <c r="AU419" s="1637" t="n"/>
      <c r="AV419" s="1638" t="n"/>
      <c r="AW419" s="1638" t="n"/>
      <c r="AX419" s="1638" t="n"/>
      <c r="AY419" s="1638" t="n"/>
      <c r="AZ419" s="1637" t="n"/>
      <c r="BA419" s="1638" t="n"/>
      <c r="BB419" s="1638" t="n"/>
      <c r="BC419" s="1638" t="n"/>
      <c r="BD419" s="1638" t="n"/>
      <c r="BE419" s="1637" t="n"/>
      <c r="BF419" s="1638" t="n"/>
      <c r="BG419" s="1638" t="n"/>
      <c r="BH419" s="1638" t="n"/>
      <c r="BI419" s="1638" t="n"/>
      <c r="BJ419" s="1637" t="n"/>
      <c r="BK419" s="1638" t="n"/>
      <c r="BL419" s="1638" t="n"/>
      <c r="BM419" s="1638" t="n"/>
      <c r="BN419" s="1638" t="n"/>
      <c r="BO419" s="1639" t="n"/>
      <c r="BP419" s="1640">
        <f>IFERROR(VLOOKUP($A419,tb_ConsensusEstimate,MATCH(BP$5,OFFSET(tb_ConsensusEstimate,0,0,1,COLUMNS(tb_ConsensusEstimate)),0),FALSE)/BP1075,"-")</f>
        <v/>
      </c>
      <c r="BQ419" s="1640">
        <f>IFERROR(VLOOKUP($A419,tb_ConsensusEstimate,MATCH(BQ$5,OFFSET(tb_ConsensusEstimate,0,0,1,COLUMNS(tb_ConsensusEstimate)),0),FALSE)/BQ1075,"-")</f>
        <v/>
      </c>
      <c r="BR419" s="1640">
        <f>IFERROR(VLOOKUP($A419,tb_ConsensusEstimate,MATCH(BR$5,OFFSET(tb_ConsensusEstimate,0,0,1,COLUMNS(tb_ConsensusEstimate)),0),FALSE)/BR1075,"-")</f>
        <v/>
      </c>
      <c r="BS419" s="1640">
        <f>IFERROR(VLOOKUP($A419,tb_ConsensusEstimate,MATCH(BS$5,OFFSET(tb_ConsensusEstimate,0,0,1,COLUMNS(tb_ConsensusEstimate)),0),FALSE)/BS1075,"-")</f>
        <v/>
      </c>
      <c r="BT419" s="1641">
        <f>IFERROR(VLOOKUP($A419,tb_ConsensusEstimate,MATCH(BT$5,OFFSET(tb_ConsensusEstimate,0,0,1,COLUMNS(tb_ConsensusEstimate)),0),FALSE)/BT1075,"-")</f>
        <v/>
      </c>
      <c r="BU419" s="1640">
        <f>IFERROR(VLOOKUP($A419,tb_ConsensusEstimate,MATCH(BU$5,OFFSET(tb_ConsensusEstimate,0,0,1,COLUMNS(tb_ConsensusEstimate)),0),FALSE)/BU1075,"-")</f>
        <v/>
      </c>
      <c r="BV419" s="1640">
        <f>IFERROR(VLOOKUP($A419,tb_ConsensusEstimate,MATCH(BV$5,OFFSET(tb_ConsensusEstimate,0,0,1,COLUMNS(tb_ConsensusEstimate)),0),FALSE)/BV1075,"-")</f>
        <v/>
      </c>
      <c r="BW419" s="1640">
        <f>IFERROR(VLOOKUP($A419,tb_ConsensusEstimate,MATCH(BW$5,OFFSET(tb_ConsensusEstimate,0,0,1,COLUMNS(tb_ConsensusEstimate)),0),FALSE)/BW1075,"-")</f>
        <v/>
      </c>
      <c r="BX419" s="1640">
        <f>IFERROR(VLOOKUP($A419,tb_ConsensusEstimate,MATCH(BX$5,OFFSET(tb_ConsensusEstimate,0,0,1,COLUMNS(tb_ConsensusEstimate)),0),FALSE)/BX1075,"-")</f>
        <v/>
      </c>
      <c r="BY419" s="1641">
        <f>IFERROR(VLOOKUP($A419,tb_ConsensusEstimate,MATCH(BY$5,OFFSET(tb_ConsensusEstimate,0,0,1,COLUMNS(tb_ConsensusEstimate)),0),FALSE)/BY1075,"-")</f>
        <v/>
      </c>
      <c r="BZ419" s="1641">
        <f>IFERROR(VLOOKUP($A419,tb_ConsensusEstimate,MATCH(BZ$5,OFFSET(tb_ConsensusEstimate,0,0,1,COLUMNS(tb_ConsensusEstimate)),0),FALSE)/BZ1075,"-")</f>
        <v/>
      </c>
      <c r="CA419" s="1641">
        <f>IFERROR(VLOOKUP($A419,tb_ConsensusEstimate,MATCH(CA$5,OFFSET(tb_ConsensusEstimate,0,0,1,COLUMNS(tb_ConsensusEstimate)),0),FALSE)/CA1075,"-")</f>
        <v/>
      </c>
      <c r="CB419" s="1641">
        <f>IFERROR(VLOOKUP($A419,tb_ConsensusEstimate,MATCH(CB$5,OFFSET(tb_ConsensusEstimate,0,0,1,COLUMNS(tb_ConsensusEstimate)),0),FALSE)/CB1075,"-")</f>
        <v/>
      </c>
      <c r="CC419" s="1642" t="n"/>
    </row>
    <row r="420" hidden="1" outlineLevel="1" ht="14.4" customFormat="1" customHeight="1" s="1626">
      <c r="A420" s="1643" t="n"/>
      <c r="B420" s="1628" t="n"/>
      <c r="C420" s="1633" t="n"/>
      <c r="D420" s="1633" t="n"/>
      <c r="E420" s="1633" t="n"/>
      <c r="F420" s="1633" t="n"/>
      <c r="G420" s="1633" t="n"/>
      <c r="H420" s="1632" t="n"/>
      <c r="I420" s="1632" t="n"/>
      <c r="J420" s="1632" t="n"/>
      <c r="K420" s="1632" t="n"/>
      <c r="L420" s="1633" t="n"/>
      <c r="M420" s="1632" t="n"/>
      <c r="N420" s="1632" t="n"/>
      <c r="O420" s="1632" t="n"/>
      <c r="P420" s="1632" t="n"/>
      <c r="Q420" s="1633" t="n"/>
      <c r="R420" s="1632" t="n"/>
      <c r="S420" s="1632" t="n"/>
      <c r="T420" s="1632" t="n"/>
      <c r="U420" s="1632" t="n"/>
      <c r="V420" s="1633" t="n"/>
      <c r="W420" s="1632" t="n"/>
      <c r="X420" s="1632" t="n"/>
      <c r="Y420" s="1632" t="n"/>
      <c r="Z420" s="1632" t="n"/>
      <c r="AA420" s="1633" t="n"/>
      <c r="AB420" s="1632" t="n"/>
      <c r="AC420" s="1632" t="n"/>
      <c r="AD420" s="1632" t="n"/>
      <c r="AE420" s="1632" t="n"/>
      <c r="AF420" s="1633" t="n"/>
      <c r="AG420" s="1632" t="n"/>
      <c r="AH420" s="1632" t="n"/>
      <c r="AI420" s="1632" t="n"/>
      <c r="AJ420" s="1632" t="n"/>
      <c r="AK420" s="1633" t="n"/>
      <c r="AL420" s="1632" t="n"/>
      <c r="AM420" s="1632" t="n"/>
      <c r="AN420" s="1632" t="n"/>
      <c r="AO420" s="1632" t="n"/>
      <c r="AP420" s="1633" t="n"/>
      <c r="AQ420" s="1632" t="n"/>
      <c r="AR420" s="1632" t="n"/>
      <c r="AS420" s="1632" t="n"/>
      <c r="AT420" s="1632" t="n"/>
      <c r="AU420" s="1633" t="n"/>
      <c r="AV420" s="1632" t="n"/>
      <c r="AW420" s="1632" t="n"/>
      <c r="AX420" s="1632" t="n"/>
      <c r="AY420" s="1632" t="n"/>
      <c r="AZ420" s="1633" t="n"/>
      <c r="BA420" s="1632" t="n"/>
      <c r="BB420" s="1632" t="n"/>
      <c r="BC420" s="1632" t="n"/>
      <c r="BD420" s="1632" t="n"/>
      <c r="BE420" s="1633" t="n"/>
      <c r="BF420" s="1632" t="n"/>
      <c r="BG420" s="1632" t="n"/>
      <c r="BH420" s="1632" t="n"/>
      <c r="BI420" s="1632" t="n"/>
      <c r="BJ420" s="1633" t="n"/>
      <c r="BK420" s="1632" t="n"/>
      <c r="BL420" s="1632" t="n"/>
      <c r="BM420" s="1632" t="n"/>
      <c r="BN420" s="1632" t="n"/>
      <c r="BO420" s="1644" t="n"/>
      <c r="BP420" s="1632" t="n"/>
      <c r="BQ420" s="1632" t="n"/>
      <c r="BR420" s="1632" t="n"/>
      <c r="BS420" s="1632" t="n"/>
      <c r="BT420" s="1633" t="n"/>
      <c r="BU420" s="1632" t="n"/>
      <c r="BV420" s="1632" t="n"/>
      <c r="BW420" s="1632" t="n"/>
      <c r="BX420" s="1632" t="n"/>
      <c r="BY420" s="1633" t="n"/>
      <c r="BZ420" s="1633" t="n"/>
      <c r="CA420" s="1633" t="n"/>
      <c r="CB420" s="1633" t="n"/>
      <c r="CC420" s="1630" t="n"/>
    </row>
    <row r="421" hidden="1" outlineLevel="1" ht="14.4" customFormat="1" customHeight="1" s="1625">
      <c r="A421" s="1277" t="inlineStr">
        <is>
          <t>Shares Outstanding - WAB</t>
        </is>
      </c>
      <c r="B421" s="1387" t="n"/>
      <c r="C421" s="1299" t="n">
        <v>25835.802</v>
      </c>
      <c r="D421" s="1299" t="n">
        <v>25905.832</v>
      </c>
      <c r="E421" s="1299" t="n">
        <v>25914.076</v>
      </c>
      <c r="F421" s="1299" t="n">
        <v>25920.735</v>
      </c>
      <c r="G421" s="1299" t="n">
        <v>25927.778</v>
      </c>
      <c r="H421" s="1298" t="n">
        <v>25928.848</v>
      </c>
      <c r="I421" s="1298" t="n">
        <v>25929.328</v>
      </c>
      <c r="J421" s="1298" t="n">
        <v>25929.375</v>
      </c>
      <c r="K421" s="1277">
        <f>(L421*4-SUM(H421,I421,J421))</f>
        <v/>
      </c>
      <c r="L421" s="1299" t="n">
        <v>25929.273</v>
      </c>
      <c r="M421" s="1298" t="n">
        <v>25930.011</v>
      </c>
      <c r="N421" s="1298" t="n">
        <v>25930.375</v>
      </c>
      <c r="O421" s="1298" t="n">
        <v>25930.38</v>
      </c>
      <c r="P421" s="1277">
        <f>(Q421*4-SUM(M421,N421,O421))</f>
        <v/>
      </c>
      <c r="Q421" s="1299" t="n">
        <v>25930.288</v>
      </c>
      <c r="R421" s="1298" t="n">
        <v>25930.38</v>
      </c>
      <c r="S421" s="1298" t="n">
        <v>25930.38</v>
      </c>
      <c r="T421" s="1298" t="n">
        <v>25930.38</v>
      </c>
      <c r="U421" s="1277">
        <f>(V421*4-SUM(R421,S421,T421))</f>
        <v/>
      </c>
      <c r="V421" s="1299" t="n">
        <v>25930.38</v>
      </c>
      <c r="W421" s="1298" t="n">
        <v>25930.38</v>
      </c>
      <c r="X421" s="1298" t="n">
        <v>25930.38</v>
      </c>
      <c r="Y421" s="1298" t="n">
        <v>25930.38</v>
      </c>
      <c r="Z421" s="1277">
        <f>(AA421*4-SUM(W421,X421,Y421))</f>
        <v/>
      </c>
      <c r="AA421" s="1299" t="n">
        <v>25930.38</v>
      </c>
      <c r="AB421" s="1298" t="n">
        <v>25930.38</v>
      </c>
      <c r="AC421" s="1298" t="n">
        <v>25930.38</v>
      </c>
      <c r="AD421" s="1298" t="n">
        <v>25930.38</v>
      </c>
      <c r="AE421" s="1277">
        <f>(AF421*4-SUM(AB421,AC421,AD421))</f>
        <v/>
      </c>
      <c r="AF421" s="1299" t="n">
        <v>25930</v>
      </c>
      <c r="AG421" s="1298" t="n">
        <v>25930.38</v>
      </c>
      <c r="AH421" s="1298" t="n">
        <v>25930.38</v>
      </c>
      <c r="AI421" s="1298" t="n">
        <v>25930.38</v>
      </c>
      <c r="AJ421" s="1298" t="n">
        <v>25930</v>
      </c>
      <c r="AK421" s="1299" t="n">
        <v>25930.38</v>
      </c>
      <c r="AL421" s="1298" t="n">
        <v>25930.38</v>
      </c>
      <c r="AM421" s="1298" t="n">
        <v>25930.38</v>
      </c>
      <c r="AN421" s="1298" t="n">
        <v>25930.38</v>
      </c>
      <c r="AO421" s="1298" t="n">
        <v>25930</v>
      </c>
      <c r="AP421" s="1299" t="n">
        <v>25930.38</v>
      </c>
      <c r="AQ421" s="1298" t="n">
        <v>25930.38</v>
      </c>
      <c r="AR421" s="1298" t="n">
        <v>25930.38</v>
      </c>
      <c r="AS421" s="1298" t="n">
        <v>25930.38</v>
      </c>
      <c r="AT421" s="1298" t="n">
        <v>25930.38</v>
      </c>
      <c r="AU421" s="1299" t="n">
        <v>25930.38</v>
      </c>
      <c r="AV421" s="1298" t="n">
        <v>25929.791</v>
      </c>
      <c r="AW421" s="1298" t="n">
        <v>25928.993</v>
      </c>
      <c r="AX421" s="1298" t="n">
        <v>25928.993</v>
      </c>
      <c r="AY421" s="1277">
        <f>(AZ421*AZ3-SUM(AV3*AV421,AW3*AW421,AX3*AX421))/AY3</f>
        <v/>
      </c>
      <c r="AZ421" s="1299" t="n">
        <v>25929.19</v>
      </c>
      <c r="BA421" s="1298" t="n">
        <v>25929.088</v>
      </c>
      <c r="BB421" s="1298" t="n">
        <v>25929.268</v>
      </c>
      <c r="BC421" s="1298" t="n">
        <v>25929.267</v>
      </c>
      <c r="BD421" s="1277">
        <f>(BE421*BE3-SUM(BA3*BA421,BB3*BB421,BC3*BC421))/BD3</f>
        <v/>
      </c>
      <c r="BE421" s="1299" t="n">
        <v>25929.223</v>
      </c>
      <c r="BF421" s="1298" t="n">
        <v>25929.267</v>
      </c>
      <c r="BG421" s="1298" t="n">
        <v>25928.972</v>
      </c>
      <c r="BH421" s="1298" t="n">
        <v>25926.018</v>
      </c>
      <c r="BI421" s="1277">
        <f>(BJ421*BJ3-SUM(BF3*BF421,BG3*BG421,BH3*BH421))/BI3</f>
        <v/>
      </c>
      <c r="BJ421" s="1299" t="n">
        <v>25927.556</v>
      </c>
      <c r="BK421" s="1298" t="n">
        <v>25926.789</v>
      </c>
      <c r="BL421" s="1298" t="n">
        <v>25928.255</v>
      </c>
      <c r="BM421" s="1298" t="n">
        <v>25928.614</v>
      </c>
      <c r="BN421" s="1277">
        <f>BM421+(BN422-BM422)</f>
        <v/>
      </c>
      <c r="BO421" s="1382">
        <f>AVERAGE(BK421,BL421,BM421,BN421)</f>
        <v/>
      </c>
      <c r="BP421" s="1277">
        <f>BP425*BP$430</f>
        <v/>
      </c>
      <c r="BQ421" s="1277">
        <f>BQ425*BQ$430</f>
        <v/>
      </c>
      <c r="BR421" s="1277">
        <f>BR425*BR$430</f>
        <v/>
      </c>
      <c r="BS421" s="1277">
        <f>BS425*BS$430</f>
        <v/>
      </c>
      <c r="BT421" s="1297">
        <f>BT425*BT$430</f>
        <v/>
      </c>
      <c r="BU421" s="1277">
        <f>BU425*BU$430</f>
        <v/>
      </c>
      <c r="BV421" s="1277">
        <f>BV425*BV$430</f>
        <v/>
      </c>
      <c r="BW421" s="1277">
        <f>BW425*BW$430</f>
        <v/>
      </c>
      <c r="BX421" s="1277">
        <f>BX425*BX$430</f>
        <v/>
      </c>
      <c r="BY421" s="1297">
        <f>BY425*BY$430</f>
        <v/>
      </c>
      <c r="BZ421" s="1297">
        <f>BZ425*BZ$430</f>
        <v/>
      </c>
      <c r="CA421" s="1297">
        <f>CA425*CA$430</f>
        <v/>
      </c>
      <c r="CB421" s="1297">
        <f>CB425*CB$430</f>
        <v/>
      </c>
      <c r="CC421" s="1277" t="n"/>
    </row>
    <row r="422" hidden="1" outlineLevel="1" ht="14.4" customFormat="1" customHeight="1" s="1625">
      <c r="A422" s="1277" t="inlineStr">
        <is>
          <t>Shares Outstanding - WAD</t>
        </is>
      </c>
      <c r="B422" s="1387" t="n"/>
      <c r="C422" s="1299" t="n">
        <v>25913.121</v>
      </c>
      <c r="D422" s="1299" t="n">
        <v>25919.814</v>
      </c>
      <c r="E422" s="1299" t="n">
        <v>25924.682</v>
      </c>
      <c r="F422" s="1299" t="n">
        <v>25927.936</v>
      </c>
      <c r="G422" s="1299" t="n">
        <v>25929.603</v>
      </c>
      <c r="H422" s="1298" t="n">
        <v>25929.84</v>
      </c>
      <c r="I422" s="1298" t="n">
        <v>25929.99</v>
      </c>
      <c r="J422" s="1298" t="n">
        <v>25930.002</v>
      </c>
      <c r="K422" s="1277">
        <f>(L422*4-SUM(H422,I422,J422))</f>
        <v/>
      </c>
      <c r="L422" s="1299" t="n">
        <v>25930.104</v>
      </c>
      <c r="M422" s="1298" t="n">
        <v>25930.355</v>
      </c>
      <c r="N422" s="1298" t="n">
        <v>25930.38</v>
      </c>
      <c r="O422" s="1298" t="n">
        <v>25930.38</v>
      </c>
      <c r="P422" s="1277">
        <f>(Q422*4-SUM(M422,N422,O422))</f>
        <v/>
      </c>
      <c r="Q422" s="1299" t="n">
        <v>25930.38</v>
      </c>
      <c r="R422" s="1298" t="n">
        <v>25930.38</v>
      </c>
      <c r="S422" s="1298" t="n">
        <v>25930.38</v>
      </c>
      <c r="T422" s="1298" t="n">
        <v>25930.38</v>
      </c>
      <c r="U422" s="1277">
        <f>(V422*4-SUM(R422,S422,T422))</f>
        <v/>
      </c>
      <c r="V422" s="1299" t="n">
        <v>25930.38</v>
      </c>
      <c r="W422" s="1298" t="n">
        <v>25930.38</v>
      </c>
      <c r="X422" s="1298" t="n">
        <v>25930.38</v>
      </c>
      <c r="Y422" s="1298" t="n">
        <v>25930.38</v>
      </c>
      <c r="Z422" s="1277">
        <f>(AA422*4-SUM(W422,X422,Y422))</f>
        <v/>
      </c>
      <c r="AA422" s="1299" t="n">
        <v>25930.38</v>
      </c>
      <c r="AB422" s="1298" t="n">
        <v>25930.38</v>
      </c>
      <c r="AC422" s="1298" t="n">
        <v>25930.38</v>
      </c>
      <c r="AD422" s="1298" t="n">
        <v>25930.38</v>
      </c>
      <c r="AE422" s="1277">
        <f>(AF422*4-SUM(AB422,AC422,AD422))</f>
        <v/>
      </c>
      <c r="AF422" s="1299" t="n">
        <v>25930</v>
      </c>
      <c r="AG422" s="1298" t="n">
        <v>25930.38</v>
      </c>
      <c r="AH422" s="1298" t="n">
        <v>25930.38</v>
      </c>
      <c r="AI422" s="1298" t="n">
        <v>25930.38</v>
      </c>
      <c r="AJ422" s="1298" t="n">
        <v>25930</v>
      </c>
      <c r="AK422" s="1299" t="n">
        <v>25930.38</v>
      </c>
      <c r="AL422" s="1298" t="n">
        <v>25930.38</v>
      </c>
      <c r="AM422" s="1298" t="n">
        <v>25930.38</v>
      </c>
      <c r="AN422" s="1298" t="n">
        <v>25930.38</v>
      </c>
      <c r="AO422" s="1298" t="n">
        <v>25930</v>
      </c>
      <c r="AP422" s="1299" t="n">
        <v>25930.38</v>
      </c>
      <c r="AQ422" s="1298" t="n">
        <v>25930.38</v>
      </c>
      <c r="AR422" s="1298" t="n">
        <v>25930.38</v>
      </c>
      <c r="AS422" s="1298" t="n">
        <v>25930.38</v>
      </c>
      <c r="AT422" s="1298" t="n">
        <v>25930.38</v>
      </c>
      <c r="AU422" s="1299" t="n">
        <v>25930.38</v>
      </c>
      <c r="AV422" s="1298" t="n">
        <v>25929.834</v>
      </c>
      <c r="AW422" s="1298" t="n">
        <v>25929.167</v>
      </c>
      <c r="AX422" s="1298" t="n">
        <v>25929.165</v>
      </c>
      <c r="AY422" s="1277">
        <f>(AZ422*AZ3-SUM(AV3*AV422,AW3*AW422,AX3*AX422))/AY3</f>
        <v/>
      </c>
      <c r="AZ422" s="1299" t="n">
        <v>25929.383</v>
      </c>
      <c r="BA422" s="1298" t="n">
        <v>25929.376</v>
      </c>
      <c r="BB422" s="1298" t="n">
        <v>25929.415</v>
      </c>
      <c r="BC422" s="1298" t="n">
        <v>25929.358</v>
      </c>
      <c r="BD422" s="1277">
        <f>AVERAGE(BC422,BE422)</f>
        <v/>
      </c>
      <c r="BE422" s="1299" t="n">
        <v>25929.267</v>
      </c>
      <c r="BF422" s="1298" t="n">
        <v>25929.757</v>
      </c>
      <c r="BG422" s="1298" t="n">
        <v>25930.812</v>
      </c>
      <c r="BH422" s="1298" t="n">
        <v>25928.224</v>
      </c>
      <c r="BI422" s="1277">
        <f>(BJ422*BJ$3-SUM(BF422*BF$3,BG422*BG$3,BH422*BH$3))/BI$3</f>
        <v/>
      </c>
      <c r="BJ422" s="1299" t="n">
        <v>25929.645</v>
      </c>
      <c r="BK422" s="1298" t="n">
        <v>25928.799</v>
      </c>
      <c r="BL422" s="1298" t="n">
        <v>25928.877</v>
      </c>
      <c r="BM422" s="1298" t="n">
        <v>25930.043</v>
      </c>
      <c r="BN422" s="1277">
        <f>(BO422*BO$3-SUM(BK422*BK$3,BL422*BL$3,BM422*BM$3))/BN$3</f>
        <v/>
      </c>
      <c r="BO422" s="1645" t="n">
        <v>25931</v>
      </c>
      <c r="BP422" s="1277">
        <f>BP426*BP$430</f>
        <v/>
      </c>
      <c r="BQ422" s="1277">
        <f>BQ426*BQ$430</f>
        <v/>
      </c>
      <c r="BR422" s="1277">
        <f>BR426*BR$430</f>
        <v/>
      </c>
      <c r="BS422" s="1277">
        <f>BS426*BS$430</f>
        <v/>
      </c>
      <c r="BT422" s="1297">
        <f>BT426*BT$430</f>
        <v/>
      </c>
      <c r="BU422" s="1277">
        <f>BU426*BU$430</f>
        <v/>
      </c>
      <c r="BV422" s="1277">
        <f>BV426*BV$430</f>
        <v/>
      </c>
      <c r="BW422" s="1277">
        <f>BW426*BW$430</f>
        <v/>
      </c>
      <c r="BX422" s="1277">
        <f>BX426*BX$430</f>
        <v/>
      </c>
      <c r="BY422" s="1297">
        <f>BY426*BY$430</f>
        <v/>
      </c>
      <c r="BZ422" s="1297">
        <f>BZ426*BZ$430</f>
        <v/>
      </c>
      <c r="CA422" s="1297">
        <f>CA426*CA$430</f>
        <v/>
      </c>
      <c r="CB422" s="1297">
        <f>CB426*CB$430</f>
        <v/>
      </c>
      <c r="CC422" s="1277" t="n"/>
    </row>
    <row r="423" hidden="1" outlineLevel="1" ht="14.4" customFormat="1" customHeight="1" s="1625">
      <c r="A423" s="1277" t="inlineStr">
        <is>
          <t>Adjusted Shares Outstanding - WAD</t>
        </is>
      </c>
      <c r="B423" s="1387" t="n"/>
      <c r="C423" s="1297">
        <f>C422</f>
        <v/>
      </c>
      <c r="D423" s="1297">
        <f>D422</f>
        <v/>
      </c>
      <c r="E423" s="1297">
        <f>E422</f>
        <v/>
      </c>
      <c r="F423" s="1297">
        <f>F422</f>
        <v/>
      </c>
      <c r="G423" s="1297">
        <f>G422</f>
        <v/>
      </c>
      <c r="H423" s="1277">
        <f>H422</f>
        <v/>
      </c>
      <c r="I423" s="1277">
        <f>I422</f>
        <v/>
      </c>
      <c r="J423" s="1277">
        <f>J422</f>
        <v/>
      </c>
      <c r="K423" s="1277">
        <f>K422</f>
        <v/>
      </c>
      <c r="L423" s="1297">
        <f>L422</f>
        <v/>
      </c>
      <c r="M423" s="1277">
        <f>M422</f>
        <v/>
      </c>
      <c r="N423" s="1277">
        <f>N422</f>
        <v/>
      </c>
      <c r="O423" s="1277">
        <f>O422</f>
        <v/>
      </c>
      <c r="P423" s="1277">
        <f>P422</f>
        <v/>
      </c>
      <c r="Q423" s="1297">
        <f>Q422</f>
        <v/>
      </c>
      <c r="R423" s="1277">
        <f>R422</f>
        <v/>
      </c>
      <c r="S423" s="1277">
        <f>S422</f>
        <v/>
      </c>
      <c r="T423" s="1277">
        <f>T422</f>
        <v/>
      </c>
      <c r="U423" s="1277">
        <f>U422</f>
        <v/>
      </c>
      <c r="V423" s="1297">
        <f>V422</f>
        <v/>
      </c>
      <c r="W423" s="1277">
        <f>W422</f>
        <v/>
      </c>
      <c r="X423" s="1277">
        <f>X422</f>
        <v/>
      </c>
      <c r="Y423" s="1277">
        <f>Y422</f>
        <v/>
      </c>
      <c r="Z423" s="1277">
        <f>Z422</f>
        <v/>
      </c>
      <c r="AA423" s="1297">
        <f>AA422</f>
        <v/>
      </c>
      <c r="AB423" s="1277">
        <f>AB422</f>
        <v/>
      </c>
      <c r="AC423" s="1277">
        <f>AC422</f>
        <v/>
      </c>
      <c r="AD423" s="1298" t="n">
        <v>25930.38</v>
      </c>
      <c r="AE423" s="1277">
        <f>AE422</f>
        <v/>
      </c>
      <c r="AF423" s="1297">
        <f>AF422</f>
        <v/>
      </c>
      <c r="AG423" s="1277">
        <f>AG422</f>
        <v/>
      </c>
      <c r="AH423" s="1277">
        <f>AH422</f>
        <v/>
      </c>
      <c r="AI423" s="1298" t="n">
        <v>25930.38</v>
      </c>
      <c r="AJ423" s="1277">
        <f>AJ422</f>
        <v/>
      </c>
      <c r="AK423" s="1297">
        <f>AK422</f>
        <v/>
      </c>
      <c r="AL423" s="1277">
        <f>AL422</f>
        <v/>
      </c>
      <c r="AM423" s="1277">
        <f>AM422</f>
        <v/>
      </c>
      <c r="AN423" s="1277">
        <f>AN422</f>
        <v/>
      </c>
      <c r="AO423" s="1277">
        <f>AO422</f>
        <v/>
      </c>
      <c r="AP423" s="1297">
        <f>AP422</f>
        <v/>
      </c>
      <c r="AQ423" s="1277">
        <f>AQ422</f>
        <v/>
      </c>
      <c r="AR423" s="1277">
        <f>AR422</f>
        <v/>
      </c>
      <c r="AS423" s="1277">
        <f>AS422</f>
        <v/>
      </c>
      <c r="AT423" s="1277">
        <f>AT422</f>
        <v/>
      </c>
      <c r="AU423" s="1297">
        <f>AU422</f>
        <v/>
      </c>
      <c r="AV423" s="1277">
        <f>AV422</f>
        <v/>
      </c>
      <c r="AW423" s="1277">
        <f>AW422</f>
        <v/>
      </c>
      <c r="AX423" s="1277">
        <f>AX422</f>
        <v/>
      </c>
      <c r="AY423" s="1277">
        <f>AY422</f>
        <v/>
      </c>
      <c r="AZ423" s="1297">
        <f>AZ422</f>
        <v/>
      </c>
      <c r="BA423" s="1277">
        <f>BA422</f>
        <v/>
      </c>
      <c r="BB423" s="1277">
        <f>BB422</f>
        <v/>
      </c>
      <c r="BC423" s="1277">
        <f>BC422</f>
        <v/>
      </c>
      <c r="BD423" s="1277">
        <f>BD422</f>
        <v/>
      </c>
      <c r="BE423" s="1297">
        <f>BE422</f>
        <v/>
      </c>
      <c r="BF423" s="1277">
        <f>BF422</f>
        <v/>
      </c>
      <c r="BG423" s="1277">
        <f>BG422</f>
        <v/>
      </c>
      <c r="BH423" s="1277">
        <f>BH422</f>
        <v/>
      </c>
      <c r="BI423" s="1277">
        <f>BI422</f>
        <v/>
      </c>
      <c r="BJ423" s="1297">
        <f>BJ422</f>
        <v/>
      </c>
      <c r="BK423" s="1277">
        <f>BK422</f>
        <v/>
      </c>
      <c r="BL423" s="1277">
        <f>BL422</f>
        <v/>
      </c>
      <c r="BM423" s="1277">
        <f>BM422</f>
        <v/>
      </c>
      <c r="BN423" s="1277">
        <f>BN422</f>
        <v/>
      </c>
      <c r="BO423" s="1382">
        <f>BO422</f>
        <v/>
      </c>
      <c r="BP423" s="1277">
        <f>BP427*BP$430</f>
        <v/>
      </c>
      <c r="BQ423" s="1277">
        <f>BQ427*BQ$430</f>
        <v/>
      </c>
      <c r="BR423" s="1277">
        <f>BR427*BR$430</f>
        <v/>
      </c>
      <c r="BS423" s="1277">
        <f>BS427*BS$430</f>
        <v/>
      </c>
      <c r="BT423" s="1297">
        <f>BT427*BT$430</f>
        <v/>
      </c>
      <c r="BU423" s="1277">
        <f>BU427*BU$430</f>
        <v/>
      </c>
      <c r="BV423" s="1277">
        <f>BV427*BV$430</f>
        <v/>
      </c>
      <c r="BW423" s="1277">
        <f>BW427*BW$430</f>
        <v/>
      </c>
      <c r="BX423" s="1277">
        <f>BX427*BX$430</f>
        <v/>
      </c>
      <c r="BY423" s="1297">
        <f>BY427*BY$430</f>
        <v/>
      </c>
      <c r="BZ423" s="1297">
        <f>BZ427*BZ$430</f>
        <v/>
      </c>
      <c r="CA423" s="1297">
        <f>CA427*CA$430</f>
        <v/>
      </c>
      <c r="CB423" s="1297">
        <f>CB427*CB$430</f>
        <v/>
      </c>
      <c r="CC423" s="1277" t="n"/>
    </row>
    <row r="424" collapsed="1" ht="14.4" customFormat="1" customHeight="1" s="1275">
      <c r="A424" s="1277" t="n"/>
      <c r="B424" s="1387" t="n"/>
      <c r="C424" s="1297" t="n"/>
      <c r="D424" s="1297" t="n"/>
      <c r="E424" s="1297" t="n"/>
      <c r="F424" s="1297" t="n"/>
      <c r="G424" s="1297" t="n"/>
      <c r="H424" s="1277" t="n"/>
      <c r="I424" s="1277" t="n"/>
      <c r="J424" s="1277" t="n"/>
      <c r="K424" s="1277" t="n"/>
      <c r="L424" s="1297" t="n"/>
      <c r="M424" s="1277" t="n"/>
      <c r="N424" s="1277" t="n"/>
      <c r="O424" s="1277" t="n"/>
      <c r="P424" s="1277" t="n"/>
      <c r="Q424" s="1297" t="n"/>
      <c r="R424" s="1277" t="n"/>
      <c r="S424" s="1277" t="n"/>
      <c r="T424" s="1277" t="n"/>
      <c r="U424" s="1277" t="n"/>
      <c r="V424" s="1297" t="n"/>
      <c r="W424" s="1277" t="n"/>
      <c r="X424" s="1277" t="n"/>
      <c r="Y424" s="1277" t="n"/>
      <c r="Z424" s="1277" t="n"/>
      <c r="AA424" s="1297" t="n"/>
      <c r="AB424" s="1277" t="n"/>
      <c r="AC424" s="1277" t="n"/>
      <c r="AD424" s="1277" t="n"/>
      <c r="AE424" s="1277" t="n"/>
      <c r="AF424" s="1297" t="n"/>
      <c r="AG424" s="1277" t="n"/>
      <c r="AH424" s="1277" t="n"/>
      <c r="AI424" s="1277" t="n"/>
      <c r="AJ424" s="1277" t="n"/>
      <c r="AK424" s="1297" t="n"/>
      <c r="AL424" s="1277" t="n"/>
      <c r="AM424" s="1277" t="n"/>
      <c r="AN424" s="1277" t="n"/>
      <c r="AO424" s="1277" t="n"/>
      <c r="AP424" s="1297" t="n"/>
      <c r="AQ424" s="1277" t="n"/>
      <c r="AR424" s="1277" t="n"/>
      <c r="AS424" s="1277" t="n"/>
      <c r="AT424" s="1277" t="n"/>
      <c r="AU424" s="1297" t="n"/>
      <c r="AV424" s="1277" t="n"/>
      <c r="AW424" s="1277" t="n"/>
      <c r="AX424" s="1277" t="n"/>
      <c r="AY424" s="1277" t="n"/>
      <c r="AZ424" s="1297" t="n"/>
      <c r="BA424" s="1277" t="n"/>
      <c r="BB424" s="1277" t="n"/>
      <c r="BC424" s="1277" t="n"/>
      <c r="BD424" s="1277" t="n"/>
      <c r="BE424" s="1297" t="n"/>
      <c r="BF424" s="1277" t="n"/>
      <c r="BG424" s="1277" t="n"/>
      <c r="BH424" s="1277" t="n"/>
      <c r="BI424" s="1277" t="n"/>
      <c r="BJ424" s="1297" t="n"/>
      <c r="BK424" s="1277" t="n"/>
      <c r="BL424" s="1277" t="n"/>
      <c r="BM424" s="1277" t="n"/>
      <c r="BN424" s="1277" t="n"/>
      <c r="BO424" s="1382" t="n"/>
      <c r="BP424" s="1277" t="n"/>
      <c r="BQ424" s="1277" t="n"/>
      <c r="BR424" s="1277" t="n"/>
      <c r="BS424" s="1277" t="n"/>
      <c r="BT424" s="1297" t="n"/>
      <c r="BU424" s="1277" t="n"/>
      <c r="BV424" s="1277" t="n"/>
      <c r="BW424" s="1277" t="n"/>
      <c r="BX424" s="1277" t="n"/>
      <c r="BY424" s="1297" t="n"/>
      <c r="BZ424" s="1297" t="n"/>
      <c r="CA424" s="1297" t="n"/>
      <c r="CB424" s="1297" t="n"/>
      <c r="CC424" s="1280" t="n"/>
    </row>
    <row r="425" ht="14.4" customFormat="1" customHeight="1" s="1625">
      <c r="A425" s="1277" t="inlineStr">
        <is>
          <t>ADR Outstanding - WAB</t>
        </is>
      </c>
      <c r="B425" s="1387" t="n"/>
      <c r="C425" s="1297">
        <f>C421/C$430</f>
        <v/>
      </c>
      <c r="D425" s="1297">
        <f>D421/D$430</f>
        <v/>
      </c>
      <c r="E425" s="1297">
        <f>E421/E$430</f>
        <v/>
      </c>
      <c r="F425" s="1297">
        <f>F421/F$430</f>
        <v/>
      </c>
      <c r="G425" s="1297">
        <f>G421/G$430</f>
        <v/>
      </c>
      <c r="H425" s="1277">
        <f>H421/H$430</f>
        <v/>
      </c>
      <c r="I425" s="1277">
        <f>I421/I$430</f>
        <v/>
      </c>
      <c r="J425" s="1277">
        <f>J421/J$430</f>
        <v/>
      </c>
      <c r="K425" s="1277">
        <f>K421/K$430</f>
        <v/>
      </c>
      <c r="L425" s="1297">
        <f>L421/L$430</f>
        <v/>
      </c>
      <c r="M425" s="1277">
        <f>M421/M$430</f>
        <v/>
      </c>
      <c r="N425" s="1277">
        <f>N421/N$430</f>
        <v/>
      </c>
      <c r="O425" s="1277">
        <f>O421/O$430</f>
        <v/>
      </c>
      <c r="P425" s="1277">
        <f>P421/P$430</f>
        <v/>
      </c>
      <c r="Q425" s="1297">
        <f>Q421/Q$430</f>
        <v/>
      </c>
      <c r="R425" s="1277">
        <f>R421/R$430</f>
        <v/>
      </c>
      <c r="S425" s="1277">
        <f>S421/S$430</f>
        <v/>
      </c>
      <c r="T425" s="1277">
        <f>T421/T$430</f>
        <v/>
      </c>
      <c r="U425" s="1277">
        <f>U421/U$430</f>
        <v/>
      </c>
      <c r="V425" s="1297">
        <f>V421/V$430</f>
        <v/>
      </c>
      <c r="W425" s="1277">
        <f>W421/W$430</f>
        <v/>
      </c>
      <c r="X425" s="1277">
        <f>X421/X$430</f>
        <v/>
      </c>
      <c r="Y425" s="1277">
        <f>Y421/Y$430</f>
        <v/>
      </c>
      <c r="Z425" s="1277">
        <f>Z421/Z$430</f>
        <v/>
      </c>
      <c r="AA425" s="1297">
        <f>AA421/AA$430</f>
        <v/>
      </c>
      <c r="AB425" s="1277">
        <f>AB421/AB$430</f>
        <v/>
      </c>
      <c r="AC425" s="1277">
        <f>AC421/AC$430</f>
        <v/>
      </c>
      <c r="AD425" s="1277">
        <f>AD421/AD$430</f>
        <v/>
      </c>
      <c r="AE425" s="1277">
        <f>AE421/AE$430</f>
        <v/>
      </c>
      <c r="AF425" s="1297">
        <f>AF421/AF$430</f>
        <v/>
      </c>
      <c r="AG425" s="1277">
        <f>AG421/AG$430</f>
        <v/>
      </c>
      <c r="AH425" s="1277">
        <f>AH421/AH$430</f>
        <v/>
      </c>
      <c r="AI425" s="1277">
        <f>AI421/AI$430</f>
        <v/>
      </c>
      <c r="AJ425" s="1277">
        <f>AJ421/AJ$430</f>
        <v/>
      </c>
      <c r="AK425" s="1297">
        <f>AK421/AK$430</f>
        <v/>
      </c>
      <c r="AL425" s="1277">
        <f>AL421/AL$430</f>
        <v/>
      </c>
      <c r="AM425" s="1277">
        <f>AM421/AM$430</f>
        <v/>
      </c>
      <c r="AN425" s="1277">
        <f>AN421/AN$430</f>
        <v/>
      </c>
      <c r="AO425" s="1277">
        <f>AO421/AO$430</f>
        <v/>
      </c>
      <c r="AP425" s="1297">
        <f>AP421/AP$430</f>
        <v/>
      </c>
      <c r="AQ425" s="1277">
        <f>AQ421/AQ$430</f>
        <v/>
      </c>
      <c r="AR425" s="1277">
        <f>AR421/AR$430</f>
        <v/>
      </c>
      <c r="AS425" s="1277">
        <f>AS421/AS$430</f>
        <v/>
      </c>
      <c r="AT425" s="1277">
        <f>AT421/AT$430</f>
        <v/>
      </c>
      <c r="AU425" s="1297">
        <f>AU421/AU$430</f>
        <v/>
      </c>
      <c r="AV425" s="1277">
        <f>AV421/AV$430</f>
        <v/>
      </c>
      <c r="AW425" s="1277">
        <f>AW421/AW$430</f>
        <v/>
      </c>
      <c r="AX425" s="1277">
        <f>AX421/AX$430</f>
        <v/>
      </c>
      <c r="AY425" s="1277">
        <f>AY421/AY$430</f>
        <v/>
      </c>
      <c r="AZ425" s="1297">
        <f>AZ421/AZ$430</f>
        <v/>
      </c>
      <c r="BA425" s="1277">
        <f>BA421/BA$430</f>
        <v/>
      </c>
      <c r="BB425" s="1277">
        <f>BB421/BB$430</f>
        <v/>
      </c>
      <c r="BC425" s="1277">
        <f>BC421/BC$430</f>
        <v/>
      </c>
      <c r="BD425" s="1277">
        <f>BD421/BD$430</f>
        <v/>
      </c>
      <c r="BE425" s="1297">
        <f>BE421/BE$430</f>
        <v/>
      </c>
      <c r="BF425" s="1277">
        <f>BF421/BF$430</f>
        <v/>
      </c>
      <c r="BG425" s="1277">
        <f>BG421/BG$430</f>
        <v/>
      </c>
      <c r="BH425" s="1277">
        <f>BH421/BH$430</f>
        <v/>
      </c>
      <c r="BI425" s="1277">
        <f>BI421/BI$430</f>
        <v/>
      </c>
      <c r="BJ425" s="1297">
        <f>BJ421/BJ$430</f>
        <v/>
      </c>
      <c r="BK425" s="1277">
        <f>BK421/BK$430</f>
        <v/>
      </c>
      <c r="BL425" s="1277">
        <f>BL421/BL$430</f>
        <v/>
      </c>
      <c r="BM425" s="1277">
        <f>BM421/BM$430</f>
        <v/>
      </c>
      <c r="BN425" s="1277">
        <f>BN421/BN$430</f>
        <v/>
      </c>
      <c r="BO425" s="1382">
        <f>BO421/BO$430</f>
        <v/>
      </c>
      <c r="BP425" s="1277">
        <f>AVERAGE(BO433,BP433)</f>
        <v/>
      </c>
      <c r="BQ425" s="1277">
        <f>AVERAGE(BP433,BQ433)</f>
        <v/>
      </c>
      <c r="BR425" s="1277">
        <f>AVERAGE(BQ433,BR433)</f>
        <v/>
      </c>
      <c r="BS425" s="1277">
        <f>AVERAGE(BR433,BS433)</f>
        <v/>
      </c>
      <c r="BT425" s="1297">
        <f>SUM(BP425*BP3,BQ425*BQ3,BR425*BR3,BS425*BS3)/BT3</f>
        <v/>
      </c>
      <c r="BU425" s="1277">
        <f>AVERAGE(BT433,BU433)</f>
        <v/>
      </c>
      <c r="BV425" s="1277">
        <f>AVERAGE(BU433,BV433)</f>
        <v/>
      </c>
      <c r="BW425" s="1277">
        <f>AVERAGE(BV433,BW433)</f>
        <v/>
      </c>
      <c r="BX425" s="1277">
        <f>AVERAGE(BW433,BX433)</f>
        <v/>
      </c>
      <c r="BY425" s="1297">
        <f>SUM(BU425*BU3,BV425*BV3,BW425*BW3,BX425*BX3)/BY3</f>
        <v/>
      </c>
      <c r="BZ425" s="1297">
        <f>AVERAGE(BY433,BZ433)</f>
        <v/>
      </c>
      <c r="CA425" s="1297">
        <f>AVERAGE(BZ433,CA433)</f>
        <v/>
      </c>
      <c r="CB425" s="1297">
        <f>AVERAGE(CA433,CB433)</f>
        <v/>
      </c>
      <c r="CC425" s="1277" t="n"/>
    </row>
    <row r="426" ht="14.4" customFormat="1" customHeight="1" s="1625">
      <c r="A426" s="1277" t="inlineStr">
        <is>
          <t>ADR Outstanding - WAD</t>
        </is>
      </c>
      <c r="B426" s="1387" t="n"/>
      <c r="C426" s="1297">
        <f>C422/C$430</f>
        <v/>
      </c>
      <c r="D426" s="1297">
        <f>D422/D$430</f>
        <v/>
      </c>
      <c r="E426" s="1297">
        <f>E422/E$430</f>
        <v/>
      </c>
      <c r="F426" s="1297">
        <f>F422/F$430</f>
        <v/>
      </c>
      <c r="G426" s="1297">
        <f>G422/G$430</f>
        <v/>
      </c>
      <c r="H426" s="1277">
        <f>H422/H$430</f>
        <v/>
      </c>
      <c r="I426" s="1277">
        <f>I422/I$430</f>
        <v/>
      </c>
      <c r="J426" s="1277">
        <f>J422/J$430</f>
        <v/>
      </c>
      <c r="K426" s="1277">
        <f>K422/K$430</f>
        <v/>
      </c>
      <c r="L426" s="1297">
        <f>L422/L$430</f>
        <v/>
      </c>
      <c r="M426" s="1277">
        <f>M422/M$430</f>
        <v/>
      </c>
      <c r="N426" s="1277">
        <f>N422/N$430</f>
        <v/>
      </c>
      <c r="O426" s="1277">
        <f>O422/O$430</f>
        <v/>
      </c>
      <c r="P426" s="1277">
        <f>P422/P$430</f>
        <v/>
      </c>
      <c r="Q426" s="1297">
        <f>Q422/Q$430</f>
        <v/>
      </c>
      <c r="R426" s="1277">
        <f>R422/R$430</f>
        <v/>
      </c>
      <c r="S426" s="1277">
        <f>S422/S$430</f>
        <v/>
      </c>
      <c r="T426" s="1277">
        <f>T422/T$430</f>
        <v/>
      </c>
      <c r="U426" s="1277">
        <f>U422/U$430</f>
        <v/>
      </c>
      <c r="V426" s="1297">
        <f>V422/V$430</f>
        <v/>
      </c>
      <c r="W426" s="1277">
        <f>W422/W$430</f>
        <v/>
      </c>
      <c r="X426" s="1277">
        <f>X422/X$430</f>
        <v/>
      </c>
      <c r="Y426" s="1277">
        <f>Y422/Y$430</f>
        <v/>
      </c>
      <c r="Z426" s="1277">
        <f>Z422/Z$430</f>
        <v/>
      </c>
      <c r="AA426" s="1297">
        <f>AA422/AA$430</f>
        <v/>
      </c>
      <c r="AB426" s="1277">
        <f>AB422/AB$430</f>
        <v/>
      </c>
      <c r="AC426" s="1277">
        <f>AC422/AC$430</f>
        <v/>
      </c>
      <c r="AD426" s="1277">
        <f>AD422/AD$430</f>
        <v/>
      </c>
      <c r="AE426" s="1277">
        <f>AE422/AE$430</f>
        <v/>
      </c>
      <c r="AF426" s="1297">
        <f>AF422/AF$430</f>
        <v/>
      </c>
      <c r="AG426" s="1277">
        <f>AG422/AG$430</f>
        <v/>
      </c>
      <c r="AH426" s="1277">
        <f>AH422/AH$430</f>
        <v/>
      </c>
      <c r="AI426" s="1277">
        <f>AI422/AI$430</f>
        <v/>
      </c>
      <c r="AJ426" s="1277">
        <f>AJ422/AJ$430</f>
        <v/>
      </c>
      <c r="AK426" s="1297">
        <f>AK422/AK$430</f>
        <v/>
      </c>
      <c r="AL426" s="1277">
        <f>AL422/AL$430</f>
        <v/>
      </c>
      <c r="AM426" s="1277">
        <f>AM422/AM$430</f>
        <v/>
      </c>
      <c r="AN426" s="1277">
        <f>AN422/AN$430</f>
        <v/>
      </c>
      <c r="AO426" s="1277">
        <f>AO422/AO$430</f>
        <v/>
      </c>
      <c r="AP426" s="1297">
        <f>AP422/AP$430</f>
        <v/>
      </c>
      <c r="AQ426" s="1277">
        <f>AQ422/AQ$430</f>
        <v/>
      </c>
      <c r="AR426" s="1277">
        <f>AR422/AR$430</f>
        <v/>
      </c>
      <c r="AS426" s="1277">
        <f>AS422/AS$430</f>
        <v/>
      </c>
      <c r="AT426" s="1277">
        <f>AT422/AT$430</f>
        <v/>
      </c>
      <c r="AU426" s="1297">
        <f>AU422/AU$430</f>
        <v/>
      </c>
      <c r="AV426" s="1277">
        <f>AV422/AV$430</f>
        <v/>
      </c>
      <c r="AW426" s="1277">
        <f>AW422/AW$430</f>
        <v/>
      </c>
      <c r="AX426" s="1277">
        <f>AX422/AX$430</f>
        <v/>
      </c>
      <c r="AY426" s="1277">
        <f>AY422/AY$430</f>
        <v/>
      </c>
      <c r="AZ426" s="1297">
        <f>AZ422/AZ$430</f>
        <v/>
      </c>
      <c r="BA426" s="1277">
        <f>BA422/BA$430</f>
        <v/>
      </c>
      <c r="BB426" s="1277">
        <f>BB422/BB$430</f>
        <v/>
      </c>
      <c r="BC426" s="1277">
        <f>BC422/BC$430</f>
        <v/>
      </c>
      <c r="BD426" s="1277">
        <f>BD422/BD$430</f>
        <v/>
      </c>
      <c r="BE426" s="1297">
        <f>BE422/BE$430</f>
        <v/>
      </c>
      <c r="BF426" s="1277">
        <f>BF422/BF$430</f>
        <v/>
      </c>
      <c r="BG426" s="1277">
        <f>BG422/BG$430</f>
        <v/>
      </c>
      <c r="BH426" s="1277">
        <f>BH422/BH$430</f>
        <v/>
      </c>
      <c r="BI426" s="1277">
        <f>BI422/BI$430</f>
        <v/>
      </c>
      <c r="BJ426" s="1297">
        <f>BJ422/BJ$430</f>
        <v/>
      </c>
      <c r="BK426" s="1277">
        <f>BK422/BK$430</f>
        <v/>
      </c>
      <c r="BL426" s="1277">
        <f>BL422/BL$430</f>
        <v/>
      </c>
      <c r="BM426" s="1277">
        <f>BM422/BM$430</f>
        <v/>
      </c>
      <c r="BN426" s="1277">
        <f>BN422/BN$430</f>
        <v/>
      </c>
      <c r="BO426" s="1382">
        <f>BO422/BO$430</f>
        <v/>
      </c>
      <c r="BP426" s="1277">
        <f>IF(BP404&lt;0,BP425,AVERAGE(BO448,BP448))</f>
        <v/>
      </c>
      <c r="BQ426" s="1277">
        <f>IF(BQ404&lt;0,BQ425,AVERAGE(BP448,BQ448))</f>
        <v/>
      </c>
      <c r="BR426" s="1277">
        <f>IF(BR404&lt;0,BR425,AVERAGE(BQ448,BR448))</f>
        <v/>
      </c>
      <c r="BS426" s="1277">
        <f>IF(BS404&lt;0,BS425,AVERAGE(BR448,BS448))</f>
        <v/>
      </c>
      <c r="BT426" s="1297">
        <f>IF(BT404&lt;0,BT425,SUM(AVERAGE(BO448,BP448)*BP3,AVERAGE(BP448,BQ448)*BQ3,AVERAGE(BQ448,BR448)*BR3,AVERAGE(BR448,BS448)*BS3)/BT3)</f>
        <v/>
      </c>
      <c r="BU426" s="1277">
        <f>IF(BU404&lt;0,BU425,AVERAGE(BT448,BU448))</f>
        <v/>
      </c>
      <c r="BV426" s="1277">
        <f>IF(BV404&lt;0,BV425,AVERAGE(BU448,BV448))</f>
        <v/>
      </c>
      <c r="BW426" s="1277">
        <f>IF(BW404&lt;0,BW425,AVERAGE(BV448,BW448))</f>
        <v/>
      </c>
      <c r="BX426" s="1277">
        <f>IF(BX404&lt;0,BX425,AVERAGE(BW448,BX448))</f>
        <v/>
      </c>
      <c r="BY426" s="1297">
        <f>IF(BY404&lt;0,BY425,SUM(AVERAGE(BT448,BU448)*BU3,AVERAGE(BU448,BV448)*BV3,AVERAGE(BV448,BW448)*BW3,AVERAGE(BW448,BX448)*BX3)/BY3)</f>
        <v/>
      </c>
      <c r="BZ426" s="1297">
        <f>IF(BZ404&lt;0,BZ425,AVERAGE(BY448,BZ448))</f>
        <v/>
      </c>
      <c r="CA426" s="1297">
        <f>IF(CA404&lt;0,CA425,AVERAGE(BZ448,CA448))</f>
        <v/>
      </c>
      <c r="CB426" s="1297">
        <f>IF(CB404&lt;0,CB425,AVERAGE(CA448,CB448))</f>
        <v/>
      </c>
      <c r="CC426" s="1277" t="n"/>
    </row>
    <row r="427" ht="14.4" customFormat="1" customHeight="1" s="1625">
      <c r="A427" s="1277" t="inlineStr">
        <is>
          <t>Adjusted ADR Outstanding - WAD</t>
        </is>
      </c>
      <c r="B427" s="1387" t="n"/>
      <c r="C427" s="1297">
        <f>C423/C$430</f>
        <v/>
      </c>
      <c r="D427" s="1297">
        <f>D423/D$430</f>
        <v/>
      </c>
      <c r="E427" s="1297">
        <f>E423/E$430</f>
        <v/>
      </c>
      <c r="F427" s="1297">
        <f>F423/F$430</f>
        <v/>
      </c>
      <c r="G427" s="1297">
        <f>G423/G$430</f>
        <v/>
      </c>
      <c r="H427" s="1277">
        <f>H423/H$430</f>
        <v/>
      </c>
      <c r="I427" s="1277">
        <f>I423/I$430</f>
        <v/>
      </c>
      <c r="J427" s="1277">
        <f>J423/J$430</f>
        <v/>
      </c>
      <c r="K427" s="1277">
        <f>K423/K$430</f>
        <v/>
      </c>
      <c r="L427" s="1297">
        <f>L423/L$430</f>
        <v/>
      </c>
      <c r="M427" s="1277">
        <f>M423/M$430</f>
        <v/>
      </c>
      <c r="N427" s="1277">
        <f>N423/N$430</f>
        <v/>
      </c>
      <c r="O427" s="1277">
        <f>O423/O$430</f>
        <v/>
      </c>
      <c r="P427" s="1277">
        <f>P423/P$430</f>
        <v/>
      </c>
      <c r="Q427" s="1297">
        <f>Q423/Q$430</f>
        <v/>
      </c>
      <c r="R427" s="1277">
        <f>R423/R$430</f>
        <v/>
      </c>
      <c r="S427" s="1277">
        <f>S423/S$430</f>
        <v/>
      </c>
      <c r="T427" s="1277">
        <f>T423/T$430</f>
        <v/>
      </c>
      <c r="U427" s="1277">
        <f>U423/U$430</f>
        <v/>
      </c>
      <c r="V427" s="1297">
        <f>V423/V$430</f>
        <v/>
      </c>
      <c r="W427" s="1277">
        <f>W423/W$430</f>
        <v/>
      </c>
      <c r="X427" s="1277">
        <f>X423/X$430</f>
        <v/>
      </c>
      <c r="Y427" s="1277">
        <f>Y423/Y$430</f>
        <v/>
      </c>
      <c r="Z427" s="1277">
        <f>Z423/Z$430</f>
        <v/>
      </c>
      <c r="AA427" s="1297">
        <f>AA423/AA$430</f>
        <v/>
      </c>
      <c r="AB427" s="1277">
        <f>AB423/AB$430</f>
        <v/>
      </c>
      <c r="AC427" s="1277">
        <f>AC423/AC$430</f>
        <v/>
      </c>
      <c r="AD427" s="1277">
        <f>AD423/AD$430</f>
        <v/>
      </c>
      <c r="AE427" s="1277">
        <f>AE423/AE$430</f>
        <v/>
      </c>
      <c r="AF427" s="1297">
        <f>AF423/AF$430</f>
        <v/>
      </c>
      <c r="AG427" s="1277">
        <f>AG423/AG$430</f>
        <v/>
      </c>
      <c r="AH427" s="1277">
        <f>AH423/AH$430</f>
        <v/>
      </c>
      <c r="AI427" s="1277">
        <f>AI423/AI$430</f>
        <v/>
      </c>
      <c r="AJ427" s="1277">
        <f>AJ423/AJ$430</f>
        <v/>
      </c>
      <c r="AK427" s="1297">
        <f>AK423/AK$430</f>
        <v/>
      </c>
      <c r="AL427" s="1277">
        <f>AL423/AL$430</f>
        <v/>
      </c>
      <c r="AM427" s="1277">
        <f>AM423/AM$430</f>
        <v/>
      </c>
      <c r="AN427" s="1277">
        <f>AN423/AN$430</f>
        <v/>
      </c>
      <c r="AO427" s="1277">
        <f>AO423/AO$430</f>
        <v/>
      </c>
      <c r="AP427" s="1297">
        <f>AP423/AP$430</f>
        <v/>
      </c>
      <c r="AQ427" s="1277">
        <f>AQ423/AQ$430</f>
        <v/>
      </c>
      <c r="AR427" s="1277">
        <f>AR423/AR$430</f>
        <v/>
      </c>
      <c r="AS427" s="1277">
        <f>AS423/AS$430</f>
        <v/>
      </c>
      <c r="AT427" s="1277">
        <f>AT423/AT$430</f>
        <v/>
      </c>
      <c r="AU427" s="1297">
        <f>AU423/AU$430</f>
        <v/>
      </c>
      <c r="AV427" s="1277">
        <f>AV423/AV$430</f>
        <v/>
      </c>
      <c r="AW427" s="1277">
        <f>AW423/AW$430</f>
        <v/>
      </c>
      <c r="AX427" s="1277">
        <f>AX423/AX$430</f>
        <v/>
      </c>
      <c r="AY427" s="1277">
        <f>AY423/AY$430</f>
        <v/>
      </c>
      <c r="AZ427" s="1297">
        <f>AZ423/AZ$430</f>
        <v/>
      </c>
      <c r="BA427" s="1277">
        <f>BA423/BA$430</f>
        <v/>
      </c>
      <c r="BB427" s="1277">
        <f>BB423/BB$430</f>
        <v/>
      </c>
      <c r="BC427" s="1277">
        <f>BC423/BC$430</f>
        <v/>
      </c>
      <c r="BD427" s="1277">
        <f>BD423/BD$430</f>
        <v/>
      </c>
      <c r="BE427" s="1297">
        <f>BE423/BE$430</f>
        <v/>
      </c>
      <c r="BF427" s="1277">
        <f>BF423/BF$430</f>
        <v/>
      </c>
      <c r="BG427" s="1277">
        <f>BG423/BG$430</f>
        <v/>
      </c>
      <c r="BH427" s="1277">
        <f>BH423/BH$430</f>
        <v/>
      </c>
      <c r="BI427" s="1277">
        <f>BI423/BI$430</f>
        <v/>
      </c>
      <c r="BJ427" s="1297">
        <f>BJ423/BJ$430</f>
        <v/>
      </c>
      <c r="BK427" s="1277">
        <f>BK423/BK$430</f>
        <v/>
      </c>
      <c r="BL427" s="1277">
        <f>BL423/BL$430</f>
        <v/>
      </c>
      <c r="BM427" s="1277">
        <f>BM423/BM$430</f>
        <v/>
      </c>
      <c r="BN427" s="1277">
        <f>BN423/BN$430</f>
        <v/>
      </c>
      <c r="BO427" s="1382">
        <f>BO423/BO$430</f>
        <v/>
      </c>
      <c r="BP427" s="1277">
        <f>IF(BP407&lt;0,BP425,AVERAGE(BO448,BP448))</f>
        <v/>
      </c>
      <c r="BQ427" s="1277">
        <f>IF(BQ407&lt;0,BQ425,AVERAGE(BP448,BQ448))</f>
        <v/>
      </c>
      <c r="BR427" s="1277">
        <f>IF(BR407&lt;0,BR425,AVERAGE(BQ448,BR448))</f>
        <v/>
      </c>
      <c r="BS427" s="1277">
        <f>IF(BS407&lt;0,BS425,AVERAGE(BR448,BS448))</f>
        <v/>
      </c>
      <c r="BT427" s="1297">
        <f>IF(BT407&lt;0,BT425,SUM(AVERAGE(BO448,BP448)*BP3,AVERAGE(BP448,BQ448)*BQ3,AVERAGE(BQ448,BR448)*BR3,AVERAGE(BR448,BS448)*BS3)/BT3)</f>
        <v/>
      </c>
      <c r="BU427" s="1277">
        <f>IF(BU407&lt;0,BU425,AVERAGE(BT448,BU448))</f>
        <v/>
      </c>
      <c r="BV427" s="1277">
        <f>IF(BV407&lt;0,BV425,AVERAGE(BU448,BV448))</f>
        <v/>
      </c>
      <c r="BW427" s="1277">
        <f>IF(BW407&lt;0,BW425,AVERAGE(BV448,BW448))</f>
        <v/>
      </c>
      <c r="BX427" s="1277">
        <f>IF(BX407&lt;0,BX425,AVERAGE(BW448,BX448))</f>
        <v/>
      </c>
      <c r="BY427" s="1297">
        <f>IF(BY407&lt;0,BY425,SUM(AVERAGE(BT448,BU448)*BU3,AVERAGE(BU448,BV448)*BV3,AVERAGE(BV448,BW448)*BW3,AVERAGE(BW448,BX448)*BX3)/BY3)</f>
        <v/>
      </c>
      <c r="BZ427" s="1297">
        <f>IF(BZ407&lt;0,BZ425,AVERAGE(BY448,BZ448))</f>
        <v/>
      </c>
      <c r="CA427" s="1297">
        <f>IF(CA407&lt;0,CA425,AVERAGE(BZ448,CA448))</f>
        <v/>
      </c>
      <c r="CB427" s="1297">
        <f>IF(CB407&lt;0,CB425,AVERAGE(CA448,CB448))</f>
        <v/>
      </c>
      <c r="CC427" s="1277" t="n"/>
    </row>
    <row r="428" ht="14.4" customFormat="1" customHeight="1" s="1625">
      <c r="A428" s="1277" t="n"/>
      <c r="B428" s="1387" t="n"/>
      <c r="C428" s="1297" t="n"/>
      <c r="D428" s="1297" t="n"/>
      <c r="E428" s="1297" t="n"/>
      <c r="F428" s="1297" t="n"/>
      <c r="G428" s="1297" t="n"/>
      <c r="H428" s="1277" t="n"/>
      <c r="I428" s="1277" t="n"/>
      <c r="J428" s="1277" t="n"/>
      <c r="K428" s="1277" t="n"/>
      <c r="L428" s="1297" t="n"/>
      <c r="M428" s="1277" t="n"/>
      <c r="N428" s="1277" t="n"/>
      <c r="O428" s="1277" t="n"/>
      <c r="P428" s="1277" t="n"/>
      <c r="Q428" s="1297" t="n"/>
      <c r="R428" s="1277" t="n"/>
      <c r="S428" s="1277" t="n"/>
      <c r="T428" s="1277" t="n"/>
      <c r="U428" s="1277" t="n"/>
      <c r="V428" s="1297" t="n"/>
      <c r="W428" s="1277" t="n"/>
      <c r="X428" s="1277" t="n"/>
      <c r="Y428" s="1277" t="n"/>
      <c r="Z428" s="1277" t="n"/>
      <c r="AA428" s="1297" t="n"/>
      <c r="AB428" s="1277" t="n"/>
      <c r="AC428" s="1277" t="n"/>
      <c r="AD428" s="1277" t="n"/>
      <c r="AE428" s="1277" t="n"/>
      <c r="AF428" s="1297" t="n"/>
      <c r="AG428" s="1277" t="n"/>
      <c r="AH428" s="1277" t="n"/>
      <c r="AI428" s="1277" t="n"/>
      <c r="AJ428" s="1277" t="n"/>
      <c r="AK428" s="1297" t="n"/>
      <c r="AL428" s="1277" t="n"/>
      <c r="AM428" s="1277" t="n"/>
      <c r="AN428" s="1277" t="n"/>
      <c r="AO428" s="1277" t="n"/>
      <c r="AP428" s="1297" t="n"/>
      <c r="AQ428" s="1277" t="n"/>
      <c r="AR428" s="1277" t="n"/>
      <c r="AS428" s="1277" t="n"/>
      <c r="AT428" s="1277" t="n"/>
      <c r="AU428" s="1297" t="n"/>
      <c r="AV428" s="1277" t="n"/>
      <c r="AW428" s="1277" t="n"/>
      <c r="AX428" s="1277" t="n"/>
      <c r="AY428" s="1277" t="n"/>
      <c r="AZ428" s="1297" t="n"/>
      <c r="BA428" s="1277" t="n"/>
      <c r="BB428" s="1277" t="n"/>
      <c r="BC428" s="1277" t="n"/>
      <c r="BD428" s="1277" t="n"/>
      <c r="BE428" s="1297" t="n"/>
      <c r="BF428" s="1277" t="n"/>
      <c r="BG428" s="1277" t="n"/>
      <c r="BH428" s="1277" t="n"/>
      <c r="BI428" s="1277" t="n"/>
      <c r="BJ428" s="1297" t="n"/>
      <c r="BK428" s="1277" t="n"/>
      <c r="BL428" s="1277" t="n"/>
      <c r="BM428" s="1277" t="n"/>
      <c r="BN428" s="1277" t="n"/>
      <c r="BO428" s="1382" t="n"/>
      <c r="BP428" s="1277" t="n"/>
      <c r="BQ428" s="1277" t="n"/>
      <c r="BR428" s="1277" t="n"/>
      <c r="BS428" s="1277" t="n"/>
      <c r="BT428" s="1297" t="n"/>
      <c r="BU428" s="1277" t="n"/>
      <c r="BV428" s="1277" t="n"/>
      <c r="BW428" s="1277" t="n"/>
      <c r="BX428" s="1277" t="n"/>
      <c r="BY428" s="1297" t="n"/>
      <c r="BZ428" s="1297" t="n"/>
      <c r="CA428" s="1297" t="n"/>
      <c r="CB428" s="1297" t="n"/>
      <c r="CC428" s="1277" t="n"/>
    </row>
    <row r="429" ht="14.4" customFormat="1" customHeight="1" s="1275">
      <c r="A429" s="1357" t="inlineStr">
        <is>
          <t>Share Count Analysis</t>
        </is>
      </c>
      <c r="B429" s="1358" t="n"/>
      <c r="C429" s="1358" t="n"/>
      <c r="D429" s="1358" t="n"/>
      <c r="E429" s="1358" t="n"/>
      <c r="F429" s="1358" t="n"/>
      <c r="G429" s="1358" t="n"/>
      <c r="H429" s="1358" t="n"/>
      <c r="I429" s="1358" t="n"/>
      <c r="J429" s="1358" t="n"/>
      <c r="K429" s="1358" t="n"/>
      <c r="L429" s="1358" t="n"/>
      <c r="M429" s="1358" t="n"/>
      <c r="N429" s="1358" t="n"/>
      <c r="O429" s="1358" t="n"/>
      <c r="P429" s="1358" t="n"/>
      <c r="Q429" s="1358" t="n"/>
      <c r="R429" s="1358" t="n"/>
      <c r="S429" s="1358" t="n"/>
      <c r="T429" s="1358" t="n"/>
      <c r="U429" s="1358" t="n"/>
      <c r="V429" s="1358" t="n"/>
      <c r="W429" s="1358" t="n"/>
      <c r="X429" s="1358" t="n"/>
      <c r="Y429" s="1358" t="n"/>
      <c r="Z429" s="1358" t="n"/>
      <c r="AA429" s="1358" t="n"/>
      <c r="AB429" s="1358" t="n"/>
      <c r="AC429" s="1358" t="n"/>
      <c r="AD429" s="1358" t="n"/>
      <c r="AE429" s="1358" t="n"/>
      <c r="AF429" s="1358" t="n"/>
      <c r="AG429" s="1358" t="n"/>
      <c r="AH429" s="1358" t="n"/>
      <c r="AI429" s="1358" t="n"/>
      <c r="AJ429" s="1358" t="n"/>
      <c r="AK429" s="1358" t="n"/>
      <c r="AL429" s="1358" t="n"/>
      <c r="AM429" s="1358" t="n"/>
      <c r="AN429" s="1358" t="n"/>
      <c r="AO429" s="1358" t="n"/>
      <c r="AP429" s="1358" t="n"/>
      <c r="AQ429" s="1358" t="n"/>
      <c r="AR429" s="1358" t="n"/>
      <c r="AS429" s="1358" t="n"/>
      <c r="AT429" s="1358" t="n"/>
      <c r="AU429" s="1358" t="n"/>
      <c r="AV429" s="1358" t="n"/>
      <c r="AW429" s="1358" t="n"/>
      <c r="AX429" s="1358" t="n"/>
      <c r="AY429" s="1358" t="n"/>
      <c r="AZ429" s="1358" t="n"/>
      <c r="BA429" s="1358" t="n"/>
      <c r="BB429" s="1358" t="n"/>
      <c r="BC429" s="1358" t="n"/>
      <c r="BD429" s="1358" t="n"/>
      <c r="BE429" s="1358" t="n"/>
      <c r="BF429" s="1358" t="n"/>
      <c r="BG429" s="1358" t="n"/>
      <c r="BH429" s="1358" t="n"/>
      <c r="BI429" s="1358" t="n"/>
      <c r="BJ429" s="1358" t="n"/>
      <c r="BK429" s="1358" t="n"/>
      <c r="BL429" s="1358" t="n"/>
      <c r="BM429" s="1358" t="n"/>
      <c r="BN429" s="1358" t="n"/>
      <c r="BO429" s="1359" t="n"/>
      <c r="BP429" s="1358" t="n"/>
      <c r="BQ429" s="1358" t="n"/>
      <c r="BR429" s="1358" t="n"/>
      <c r="BS429" s="1358" t="n"/>
      <c r="BT429" s="1358" t="n"/>
      <c r="BU429" s="1358" t="n"/>
      <c r="BV429" s="1358" t="n"/>
      <c r="BW429" s="1358" t="n"/>
      <c r="BX429" s="1358" t="n"/>
      <c r="BY429" s="1358" t="n"/>
      <c r="BZ429" s="1358" t="n"/>
      <c r="CA429" s="1358" t="n"/>
      <c r="CB429" s="1358" t="n"/>
      <c r="CC429" s="1280" t="n"/>
    </row>
    <row r="430" hidden="1" outlineLevel="1" ht="15" customFormat="1" customHeight="1" s="1646">
      <c r="A430" s="1647" t="inlineStr">
        <is>
          <t>Shares-per-ADR Conversion Ratio, x</t>
        </is>
      </c>
      <c r="B430" s="1648" t="n"/>
      <c r="C430" s="1649" t="n">
        <v>5</v>
      </c>
      <c r="D430" s="1650">
        <f>C430</f>
        <v/>
      </c>
      <c r="E430" s="1650">
        <f>D430</f>
        <v/>
      </c>
      <c r="F430" s="1650">
        <f>E430</f>
        <v/>
      </c>
      <c r="G430" s="1650">
        <f>F430</f>
        <v/>
      </c>
      <c r="H430" s="1651">
        <f>G430</f>
        <v/>
      </c>
      <c r="I430" s="1651">
        <f>H430</f>
        <v/>
      </c>
      <c r="J430" s="1651">
        <f>I430</f>
        <v/>
      </c>
      <c r="K430" s="1651">
        <f>J430</f>
        <v/>
      </c>
      <c r="L430" s="1650">
        <f>K430</f>
        <v/>
      </c>
      <c r="M430" s="1651">
        <f>L430</f>
        <v/>
      </c>
      <c r="N430" s="1651">
        <f>M430</f>
        <v/>
      </c>
      <c r="O430" s="1651">
        <f>N430</f>
        <v/>
      </c>
      <c r="P430" s="1651">
        <f>O430</f>
        <v/>
      </c>
      <c r="Q430" s="1650">
        <f>P430</f>
        <v/>
      </c>
      <c r="R430" s="1651">
        <f>Q430</f>
        <v/>
      </c>
      <c r="S430" s="1651">
        <f>R430</f>
        <v/>
      </c>
      <c r="T430" s="1651">
        <f>S430</f>
        <v/>
      </c>
      <c r="U430" s="1651">
        <f>T430</f>
        <v/>
      </c>
      <c r="V430" s="1650">
        <f>U430</f>
        <v/>
      </c>
      <c r="W430" s="1651">
        <f>V430</f>
        <v/>
      </c>
      <c r="X430" s="1651">
        <f>W430</f>
        <v/>
      </c>
      <c r="Y430" s="1651">
        <f>X430</f>
        <v/>
      </c>
      <c r="Z430" s="1651">
        <f>Y430</f>
        <v/>
      </c>
      <c r="AA430" s="1650">
        <f>Z430</f>
        <v/>
      </c>
      <c r="AB430" s="1651">
        <f>AA430</f>
        <v/>
      </c>
      <c r="AC430" s="1651">
        <f>AB430</f>
        <v/>
      </c>
      <c r="AD430" s="1651">
        <f>AC430</f>
        <v/>
      </c>
      <c r="AE430" s="1651">
        <f>AD430</f>
        <v/>
      </c>
      <c r="AF430" s="1650">
        <f>AE430</f>
        <v/>
      </c>
      <c r="AG430" s="1651">
        <f>AF430</f>
        <v/>
      </c>
      <c r="AH430" s="1651">
        <f>AG430</f>
        <v/>
      </c>
      <c r="AI430" s="1651">
        <f>AH430</f>
        <v/>
      </c>
      <c r="AJ430" s="1651">
        <f>AI430</f>
        <v/>
      </c>
      <c r="AK430" s="1650">
        <f>AJ430</f>
        <v/>
      </c>
      <c r="AL430" s="1651">
        <f>AK430</f>
        <v/>
      </c>
      <c r="AM430" s="1651">
        <f>AL430</f>
        <v/>
      </c>
      <c r="AN430" s="1651">
        <f>AM430</f>
        <v/>
      </c>
      <c r="AO430" s="1651">
        <f>AN430</f>
        <v/>
      </c>
      <c r="AP430" s="1650">
        <f>AO430</f>
        <v/>
      </c>
      <c r="AQ430" s="1651">
        <f>AP430</f>
        <v/>
      </c>
      <c r="AR430" s="1651">
        <f>AQ430</f>
        <v/>
      </c>
      <c r="AS430" s="1651">
        <f>AR430</f>
        <v/>
      </c>
      <c r="AT430" s="1651">
        <f>AS430</f>
        <v/>
      </c>
      <c r="AU430" s="1650">
        <f>AT430</f>
        <v/>
      </c>
      <c r="AV430" s="1651">
        <f>AU430</f>
        <v/>
      </c>
      <c r="AW430" s="1651">
        <f>AV430</f>
        <v/>
      </c>
      <c r="AX430" s="1651">
        <f>AW430</f>
        <v/>
      </c>
      <c r="AY430" s="1651">
        <f>AX430</f>
        <v/>
      </c>
      <c r="AZ430" s="1650">
        <f>AY430</f>
        <v/>
      </c>
      <c r="BA430" s="1651">
        <f>AZ430</f>
        <v/>
      </c>
      <c r="BB430" s="1651">
        <f>BA430</f>
        <v/>
      </c>
      <c r="BC430" s="1651">
        <f>BB430</f>
        <v/>
      </c>
      <c r="BD430" s="1651">
        <f>BC430</f>
        <v/>
      </c>
      <c r="BE430" s="1650">
        <f>BD430</f>
        <v/>
      </c>
      <c r="BF430" s="1651">
        <f>BE430</f>
        <v/>
      </c>
      <c r="BG430" s="1651">
        <f>BF430</f>
        <v/>
      </c>
      <c r="BH430" s="1651">
        <f>BG430</f>
        <v/>
      </c>
      <c r="BI430" s="1651">
        <f>BH430</f>
        <v/>
      </c>
      <c r="BJ430" s="1650">
        <f>BI430</f>
        <v/>
      </c>
      <c r="BK430" s="1651">
        <f>BJ430</f>
        <v/>
      </c>
      <c r="BL430" s="1651">
        <f>BK430</f>
        <v/>
      </c>
      <c r="BM430" s="1651">
        <f>BL430</f>
        <v/>
      </c>
      <c r="BN430" s="1651">
        <f>BM430</f>
        <v/>
      </c>
      <c r="BO430" s="1652">
        <f>BN430</f>
        <v/>
      </c>
      <c r="BP430" s="1647">
        <f>BO430</f>
        <v/>
      </c>
      <c r="BQ430" s="1647">
        <f>BP430</f>
        <v/>
      </c>
      <c r="BR430" s="1647">
        <f>BQ430</f>
        <v/>
      </c>
      <c r="BS430" s="1647">
        <f>BR430</f>
        <v/>
      </c>
      <c r="BT430" s="1653">
        <f>BS430</f>
        <v/>
      </c>
      <c r="BU430" s="1647">
        <f>BT430</f>
        <v/>
      </c>
      <c r="BV430" s="1647">
        <f>BU430</f>
        <v/>
      </c>
      <c r="BW430" s="1647">
        <f>BV430</f>
        <v/>
      </c>
      <c r="BX430" s="1647">
        <f>BW430</f>
        <v/>
      </c>
      <c r="BY430" s="1653">
        <f>BX430</f>
        <v/>
      </c>
      <c r="BZ430" s="1653">
        <f>BY430</f>
        <v/>
      </c>
      <c r="CA430" s="1653">
        <f>BZ430</f>
        <v/>
      </c>
      <c r="CB430" s="1653">
        <f>CA430</f>
        <v/>
      </c>
      <c r="CC430" s="1651" t="n"/>
    </row>
    <row r="431" hidden="1" outlineLevel="1" ht="15" customFormat="1" customHeight="1" s="1625">
      <c r="A431" s="1277" t="n"/>
      <c r="B431" s="1387" t="n"/>
      <c r="C431" s="1297" t="n"/>
      <c r="D431" s="1297" t="n"/>
      <c r="E431" s="1297" t="n"/>
      <c r="F431" s="1297" t="n"/>
      <c r="G431" s="1297" t="n"/>
      <c r="H431" s="1277" t="n"/>
      <c r="I431" s="1277" t="n"/>
      <c r="J431" s="1277" t="n"/>
      <c r="K431" s="1277" t="n"/>
      <c r="L431" s="1297" t="n"/>
      <c r="M431" s="1277" t="n"/>
      <c r="N431" s="1277" t="n"/>
      <c r="O431" s="1277" t="n"/>
      <c r="P431" s="1277" t="n"/>
      <c r="Q431" s="1297" t="n"/>
      <c r="R431" s="1277" t="n"/>
      <c r="S431" s="1277" t="n"/>
      <c r="T431" s="1277" t="n"/>
      <c r="U431" s="1277" t="n"/>
      <c r="V431" s="1297" t="n"/>
      <c r="W431" s="1277" t="n"/>
      <c r="X431" s="1277" t="n"/>
      <c r="Y431" s="1277" t="n"/>
      <c r="Z431" s="1277" t="n"/>
      <c r="AA431" s="1297" t="n"/>
      <c r="AB431" s="1277" t="n"/>
      <c r="AC431" s="1277" t="n"/>
      <c r="AD431" s="1277" t="n"/>
      <c r="AE431" s="1277" t="n"/>
      <c r="AF431" s="1297" t="n"/>
      <c r="AG431" s="1277" t="n"/>
      <c r="AH431" s="1277" t="n"/>
      <c r="AI431" s="1277" t="n"/>
      <c r="AJ431" s="1277" t="n"/>
      <c r="AK431" s="1297" t="n"/>
      <c r="AL431" s="1277" t="n"/>
      <c r="AM431" s="1277" t="n"/>
      <c r="AN431" s="1277" t="n"/>
      <c r="AO431" s="1277" t="n"/>
      <c r="AP431" s="1297" t="n"/>
      <c r="AQ431" s="1277" t="n"/>
      <c r="AR431" s="1277" t="n"/>
      <c r="AS431" s="1277" t="n"/>
      <c r="AT431" s="1277" t="n"/>
      <c r="AU431" s="1297" t="n"/>
      <c r="AV431" s="1277" t="n"/>
      <c r="AW431" s="1277" t="n"/>
      <c r="AX431" s="1277" t="n"/>
      <c r="AY431" s="1277" t="n"/>
      <c r="AZ431" s="1297" t="n"/>
      <c r="BA431" s="1277" t="n"/>
      <c r="BB431" s="1277" t="n"/>
      <c r="BC431" s="1277" t="n"/>
      <c r="BD431" s="1277" t="n"/>
      <c r="BE431" s="1297" t="n"/>
      <c r="BF431" s="1277" t="n"/>
      <c r="BG431" s="1277" t="n"/>
      <c r="BH431" s="1277" t="n"/>
      <c r="BI431" s="1277" t="n"/>
      <c r="BJ431" s="1297" t="n"/>
      <c r="BK431" s="1277" t="n"/>
      <c r="BL431" s="1277" t="n"/>
      <c r="BM431" s="1277" t="n"/>
      <c r="BN431" s="1277" t="n"/>
      <c r="BO431" s="1382" t="n"/>
      <c r="BP431" s="1277" t="n"/>
      <c r="BQ431" s="1277" t="n"/>
      <c r="BR431" s="1277" t="n"/>
      <c r="BS431" s="1277" t="n"/>
      <c r="BT431" s="1297" t="n"/>
      <c r="BU431" s="1277" t="n"/>
      <c r="BV431" s="1277" t="n"/>
      <c r="BW431" s="1277" t="n"/>
      <c r="BX431" s="1277" t="n"/>
      <c r="BY431" s="1297" t="n"/>
      <c r="BZ431" s="1297" t="n"/>
      <c r="CA431" s="1297" t="n"/>
      <c r="CB431" s="1297" t="n"/>
      <c r="CC431" s="1277" t="n"/>
    </row>
    <row r="432" hidden="1" outlineLevel="2" ht="15" customFormat="1" customHeight="1" s="1625">
      <c r="A432" s="1362" t="inlineStr">
        <is>
          <t>EoP Total Ordinary Shares Outstanding, mm shares</t>
        </is>
      </c>
      <c r="B432" s="1389" t="n"/>
      <c r="C432" s="1390" t="n">
        <v>25902.706622</v>
      </c>
      <c r="D432" s="1390" t="n">
        <v>25910.078664</v>
      </c>
      <c r="E432" s="1390" t="n">
        <v>25916.222575</v>
      </c>
      <c r="F432" s="1390" t="n">
        <v>25924.435668</v>
      </c>
      <c r="G432" s="1390" t="n">
        <v>25928.61714</v>
      </c>
      <c r="H432" s="1391" t="n">
        <v>25929.124</v>
      </c>
      <c r="I432" s="1391" t="n">
        <v>25929.375</v>
      </c>
      <c r="J432" s="1391" t="n">
        <v>25929.375</v>
      </c>
      <c r="K432" s="1365">
        <f>L432</f>
        <v/>
      </c>
      <c r="L432" s="1390" t="n">
        <v>25929.662436</v>
      </c>
      <c r="M432" s="1391" t="n">
        <v>25930.302</v>
      </c>
      <c r="N432" s="1391" t="n">
        <v>25930.38</v>
      </c>
      <c r="O432" s="1391" t="n">
        <v>25930.38</v>
      </c>
      <c r="P432" s="1365">
        <f>Q432</f>
        <v/>
      </c>
      <c r="Q432" s="1390" t="n">
        <v>25930.380458</v>
      </c>
      <c r="R432" s="1391" t="n">
        <v>25930.38</v>
      </c>
      <c r="S432" s="1391" t="n">
        <v>25930.38</v>
      </c>
      <c r="T432" s="1391" t="n">
        <v>25930.38</v>
      </c>
      <c r="U432" s="1365">
        <f>V432</f>
        <v/>
      </c>
      <c r="V432" s="1390" t="n">
        <v>25930.380458</v>
      </c>
      <c r="W432" s="1391" t="n">
        <v>25930.38</v>
      </c>
      <c r="X432" s="1391" t="n">
        <v>25930.38</v>
      </c>
      <c r="Y432" s="1391" t="n">
        <v>25930.38</v>
      </c>
      <c r="Z432" s="1365">
        <f>AA432</f>
        <v/>
      </c>
      <c r="AA432" s="1390" t="n">
        <v>25930.380458</v>
      </c>
      <c r="AB432" s="1391" t="n">
        <v>25930.38</v>
      </c>
      <c r="AC432" s="1391" t="n">
        <v>25930.38</v>
      </c>
      <c r="AD432" s="1391" t="n">
        <v>25930.38</v>
      </c>
      <c r="AE432" s="1365">
        <f>AF432</f>
        <v/>
      </c>
      <c r="AF432" s="1390" t="n">
        <v>25930.380458</v>
      </c>
      <c r="AG432" s="1391" t="n">
        <v>25930.38</v>
      </c>
      <c r="AH432" s="1391" t="n">
        <v>25930.38</v>
      </c>
      <c r="AI432" s="1391" t="n">
        <v>25930.38</v>
      </c>
      <c r="AJ432" s="1365">
        <f>AK432</f>
        <v/>
      </c>
      <c r="AK432" s="1390" t="n">
        <v>25930.380458</v>
      </c>
      <c r="AL432" s="1391" t="n">
        <v>25930.38</v>
      </c>
      <c r="AM432" s="1391" t="n">
        <v>25930.38</v>
      </c>
      <c r="AN432" s="1391" t="n">
        <v>25930.38</v>
      </c>
      <c r="AO432" s="1365">
        <f>AP432</f>
        <v/>
      </c>
      <c r="AP432" s="1390" t="n">
        <v>25930.380458</v>
      </c>
      <c r="AQ432" s="1391" t="n">
        <v>25930.38</v>
      </c>
      <c r="AR432" s="1391" t="n">
        <v>25930.38</v>
      </c>
      <c r="AS432" s="1391" t="n">
        <v>25930.38</v>
      </c>
      <c r="AT432" s="1365">
        <f>AU432</f>
        <v/>
      </c>
      <c r="AU432" s="1390" t="n">
        <v>25930.380458</v>
      </c>
      <c r="AV432" s="1391" t="n">
        <v>25931.767</v>
      </c>
      <c r="AW432" s="1391" t="n">
        <v>25930.38</v>
      </c>
      <c r="AX432" s="1391" t="n">
        <v>25930.38</v>
      </c>
      <c r="AY432" s="1365">
        <f>AZ432</f>
        <v/>
      </c>
      <c r="AZ432" s="1390" t="n">
        <v>25930.380458</v>
      </c>
      <c r="BA432" s="1391" t="n">
        <v>25932.071</v>
      </c>
      <c r="BB432" s="1391" t="n">
        <v>25932.071</v>
      </c>
      <c r="BC432" s="1391" t="n">
        <v>25932.071</v>
      </c>
      <c r="BD432" s="1365">
        <f>BE432</f>
        <v/>
      </c>
      <c r="BE432" s="1390" t="n">
        <v>25932.070992</v>
      </c>
      <c r="BF432" s="1391" t="n">
        <v>25933.629</v>
      </c>
      <c r="BG432" s="1391" t="n">
        <v>25933.629</v>
      </c>
      <c r="BH432" s="1391" t="n">
        <v>25932.733</v>
      </c>
      <c r="BI432" s="1365">
        <f>BJ432</f>
        <v/>
      </c>
      <c r="BJ432" s="1390" t="n">
        <v>25932.733242</v>
      </c>
      <c r="BK432" s="1391" t="n">
        <v>25932.615</v>
      </c>
      <c r="BL432" s="1391" t="n">
        <v>25932.615</v>
      </c>
      <c r="BM432" s="1391" t="n">
        <v>25932.524</v>
      </c>
      <c r="BN432" s="1365">
        <f>BO432</f>
        <v/>
      </c>
      <c r="BO432" s="1579" t="n">
        <v>25933</v>
      </c>
      <c r="BP432" s="1365" t="n"/>
      <c r="BQ432" s="1365" t="n"/>
      <c r="BR432" s="1365" t="n"/>
      <c r="BS432" s="1365" t="n"/>
      <c r="BT432" s="1364" t="n"/>
      <c r="BU432" s="1365" t="n"/>
      <c r="BV432" s="1365" t="n"/>
      <c r="BW432" s="1365" t="n"/>
      <c r="BX432" s="1365" t="n"/>
      <c r="BY432" s="1364" t="n"/>
      <c r="BZ432" s="1364" t="n"/>
      <c r="CA432" s="1364" t="n"/>
      <c r="CB432" s="1364" t="n"/>
      <c r="CC432" s="1277" t="n"/>
    </row>
    <row r="433" hidden="1" outlineLevel="1" collapsed="1" ht="15" customFormat="1" customHeight="1" s="1625">
      <c r="A433" s="1383" t="inlineStr">
        <is>
          <t>EoP ADR Outstanding, mm shares</t>
        </is>
      </c>
      <c r="B433" s="1387" t="n"/>
      <c r="C433" s="1297">
        <f>C432/C430</f>
        <v/>
      </c>
      <c r="D433" s="1297">
        <f>D432/D430</f>
        <v/>
      </c>
      <c r="E433" s="1297">
        <f>E432/E430</f>
        <v/>
      </c>
      <c r="F433" s="1297">
        <f>F432/F430</f>
        <v/>
      </c>
      <c r="G433" s="1297">
        <f>G432/G430</f>
        <v/>
      </c>
      <c r="H433" s="1277">
        <f>H432/H430</f>
        <v/>
      </c>
      <c r="I433" s="1277">
        <f>I432/I430</f>
        <v/>
      </c>
      <c r="J433" s="1277">
        <f>J432/J430</f>
        <v/>
      </c>
      <c r="K433" s="1277">
        <f>K432/K430</f>
        <v/>
      </c>
      <c r="L433" s="1297">
        <f>L432/L430</f>
        <v/>
      </c>
      <c r="M433" s="1277">
        <f>M432/M430</f>
        <v/>
      </c>
      <c r="N433" s="1277">
        <f>N432/N430</f>
        <v/>
      </c>
      <c r="O433" s="1277">
        <f>O432/O430</f>
        <v/>
      </c>
      <c r="P433" s="1277">
        <f>P432/P430</f>
        <v/>
      </c>
      <c r="Q433" s="1297">
        <f>Q432/Q430</f>
        <v/>
      </c>
      <c r="R433" s="1277">
        <f>R432/R430</f>
        <v/>
      </c>
      <c r="S433" s="1277">
        <f>S432/S430</f>
        <v/>
      </c>
      <c r="T433" s="1277">
        <f>T432/T430</f>
        <v/>
      </c>
      <c r="U433" s="1277">
        <f>U432/U430</f>
        <v/>
      </c>
      <c r="V433" s="1297">
        <f>V432/V430</f>
        <v/>
      </c>
      <c r="W433" s="1277">
        <f>W432/W430</f>
        <v/>
      </c>
      <c r="X433" s="1277">
        <f>X432/X430</f>
        <v/>
      </c>
      <c r="Y433" s="1277">
        <f>Y432/Y430</f>
        <v/>
      </c>
      <c r="Z433" s="1277">
        <f>Z432/Z430</f>
        <v/>
      </c>
      <c r="AA433" s="1297">
        <f>AA432/AA430</f>
        <v/>
      </c>
      <c r="AB433" s="1277">
        <f>AB432/AB430</f>
        <v/>
      </c>
      <c r="AC433" s="1277">
        <f>AC432/AC430</f>
        <v/>
      </c>
      <c r="AD433" s="1277">
        <f>AD432/AD430</f>
        <v/>
      </c>
      <c r="AE433" s="1277">
        <f>AE432/AE430</f>
        <v/>
      </c>
      <c r="AF433" s="1297">
        <f>AF432/AF430</f>
        <v/>
      </c>
      <c r="AG433" s="1277">
        <f>AG432/AG430</f>
        <v/>
      </c>
      <c r="AH433" s="1277">
        <f>AH432/AH430</f>
        <v/>
      </c>
      <c r="AI433" s="1277">
        <f>AI432/AI430</f>
        <v/>
      </c>
      <c r="AJ433" s="1277">
        <f>AJ432/AJ430</f>
        <v/>
      </c>
      <c r="AK433" s="1297">
        <f>AK432/AK430</f>
        <v/>
      </c>
      <c r="AL433" s="1277">
        <f>AL432/AL430</f>
        <v/>
      </c>
      <c r="AM433" s="1277">
        <f>AM432/AM430</f>
        <v/>
      </c>
      <c r="AN433" s="1277">
        <f>AN432/AN430</f>
        <v/>
      </c>
      <c r="AO433" s="1277">
        <f>AO432/AO430</f>
        <v/>
      </c>
      <c r="AP433" s="1297">
        <f>AP432/AP430</f>
        <v/>
      </c>
      <c r="AQ433" s="1277">
        <f>AQ432/AQ430</f>
        <v/>
      </c>
      <c r="AR433" s="1277">
        <f>AR432/AR430</f>
        <v/>
      </c>
      <c r="AS433" s="1277">
        <f>AS432/AS430</f>
        <v/>
      </c>
      <c r="AT433" s="1277">
        <f>AT432/AT430</f>
        <v/>
      </c>
      <c r="AU433" s="1297">
        <f>AU432/AU430</f>
        <v/>
      </c>
      <c r="AV433" s="1277">
        <f>AV432/AV430</f>
        <v/>
      </c>
      <c r="AW433" s="1277">
        <f>AW432/AW430</f>
        <v/>
      </c>
      <c r="AX433" s="1277">
        <f>AX432/AX430</f>
        <v/>
      </c>
      <c r="AY433" s="1277">
        <f>AY432/AY430</f>
        <v/>
      </c>
      <c r="AZ433" s="1297">
        <f>AZ432/AZ430</f>
        <v/>
      </c>
      <c r="BA433" s="1277">
        <f>BA432/BA430</f>
        <v/>
      </c>
      <c r="BB433" s="1277">
        <f>BB432/BB430</f>
        <v/>
      </c>
      <c r="BC433" s="1277">
        <f>BC432/BC430</f>
        <v/>
      </c>
      <c r="BD433" s="1277">
        <f>BD432/BD430</f>
        <v/>
      </c>
      <c r="BE433" s="1297">
        <f>BE432/BE430</f>
        <v/>
      </c>
      <c r="BF433" s="1277">
        <f>BF432/BF430</f>
        <v/>
      </c>
      <c r="BG433" s="1277">
        <f>BG432/BG430</f>
        <v/>
      </c>
      <c r="BH433" s="1277">
        <f>BH432/BH430</f>
        <v/>
      </c>
      <c r="BI433" s="1277">
        <f>BI432/BI430</f>
        <v/>
      </c>
      <c r="BJ433" s="1297">
        <f>BJ432/BJ430</f>
        <v/>
      </c>
      <c r="BK433" s="1277">
        <f>BK432/BK430</f>
        <v/>
      </c>
      <c r="BL433" s="1277">
        <f>BL432/BL430</f>
        <v/>
      </c>
      <c r="BM433" s="1277">
        <f>BM432/BM430</f>
        <v/>
      </c>
      <c r="BN433" s="1277">
        <f>BN432/BN430</f>
        <v/>
      </c>
      <c r="BO433" s="1382">
        <f>BO432/BO430</f>
        <v/>
      </c>
      <c r="BP433" s="1277">
        <f>BO433*(1+BP434)+BP465/(BP466/BP512)</f>
        <v/>
      </c>
      <c r="BQ433" s="1277">
        <f>BP433*(1+BQ434)+BQ465/(BQ466/BQ512)</f>
        <v/>
      </c>
      <c r="BR433" s="1277">
        <f>BQ433*(1+BR434)+BR465/(BR466/BR512)</f>
        <v/>
      </c>
      <c r="BS433" s="1277">
        <f>BR433*(1+BS434)+BS465/(BS466/BS512)</f>
        <v/>
      </c>
      <c r="BT433" s="1297">
        <f>BS433</f>
        <v/>
      </c>
      <c r="BU433" s="1277">
        <f>BT433*(1+BU434)+BU465/(BU466/BU512)</f>
        <v/>
      </c>
      <c r="BV433" s="1277">
        <f>BU433*(1+BV434)+BV465/(BV466/BV512)</f>
        <v/>
      </c>
      <c r="BW433" s="1277">
        <f>BV433*(1+BW434)+BW465/(BW466/BW512)</f>
        <v/>
      </c>
      <c r="BX433" s="1277">
        <f>BW433*(1+BX434)+BX465/(BX466/BX512)</f>
        <v/>
      </c>
      <c r="BY433" s="1297">
        <f>BX433</f>
        <v/>
      </c>
      <c r="BZ433" s="1297">
        <f>BY433*(1+BZ435)+BZ465/(BZ466/BZ512)</f>
        <v/>
      </c>
      <c r="CA433" s="1297">
        <f>BZ433*(1+CA435)+CA465/(CA466/CA512)</f>
        <v/>
      </c>
      <c r="CB433" s="1297">
        <f>CA433*(1+CB435)+CB465/(CB466/CB512)</f>
        <v/>
      </c>
      <c r="CC433" s="1277" t="n"/>
    </row>
    <row r="434" hidden="1" outlineLevel="1" ht="15" customFormat="1" customHeight="1" s="1625">
      <c r="A434" s="1654" t="inlineStr">
        <is>
          <t>Q/Q basic share expansion from dilutive securities, %</t>
        </is>
      </c>
      <c r="B434" s="1610" t="n"/>
      <c r="C434" s="1305" t="n"/>
      <c r="D434" s="1305" t="n"/>
      <c r="E434" s="1305" t="n"/>
      <c r="F434" s="1305" t="n"/>
      <c r="G434" s="1305" t="n"/>
      <c r="H434" s="1306" t="n"/>
      <c r="I434" s="1306" t="n"/>
      <c r="J434" s="1306" t="n"/>
      <c r="K434" s="1306" t="n"/>
      <c r="L434" s="1305" t="n"/>
      <c r="M434" s="1306" t="n"/>
      <c r="N434" s="1306" t="n"/>
      <c r="O434" s="1306" t="n"/>
      <c r="P434" s="1306" t="n"/>
      <c r="Q434" s="1305" t="n"/>
      <c r="R434" s="1306" t="n"/>
      <c r="S434" s="1306" t="n"/>
      <c r="T434" s="1306" t="n"/>
      <c r="U434" s="1306" t="n"/>
      <c r="V434" s="1305" t="n"/>
      <c r="W434" s="1306" t="n"/>
      <c r="X434" s="1306" t="n"/>
      <c r="Y434" s="1306" t="n"/>
      <c r="Z434" s="1306" t="n"/>
      <c r="AA434" s="1305" t="n"/>
      <c r="AB434" s="1306" t="n"/>
      <c r="AC434" s="1306" t="n"/>
      <c r="AD434" s="1306" t="n"/>
      <c r="AE434" s="1306" t="n"/>
      <c r="AF434" s="1305" t="n"/>
      <c r="AG434" s="1306" t="n"/>
      <c r="AH434" s="1306" t="n"/>
      <c r="AI434" s="1306" t="n"/>
      <c r="AJ434" s="1306" t="n"/>
      <c r="AK434" s="1305" t="n"/>
      <c r="AL434" s="1306" t="n"/>
      <c r="AM434" s="1306" t="n"/>
      <c r="AN434" s="1306" t="n"/>
      <c r="AO434" s="1306" t="n"/>
      <c r="AP434" s="1305" t="n"/>
      <c r="AQ434" s="1306" t="n"/>
      <c r="AR434" s="1306" t="n"/>
      <c r="AS434" s="1306" t="n"/>
      <c r="AT434" s="1306" t="n"/>
      <c r="AU434" s="1305" t="n"/>
      <c r="AV434" s="1306" t="n"/>
      <c r="AW434" s="1306" t="n"/>
      <c r="AX434" s="1306" t="n"/>
      <c r="AY434" s="1306" t="n"/>
      <c r="AZ434" s="1305" t="n"/>
      <c r="BA434" s="1306" t="n"/>
      <c r="BB434" s="1306" t="n"/>
      <c r="BC434" s="1306" t="n"/>
      <c r="BD434" s="1306" t="n"/>
      <c r="BE434" s="1305" t="n"/>
      <c r="BF434" s="1306" t="n"/>
      <c r="BG434" s="1306" t="n"/>
      <c r="BH434" s="1306" t="n"/>
      <c r="BI434" s="1306" t="n"/>
      <c r="BJ434" s="1305" t="n"/>
      <c r="BK434" s="1306" t="n"/>
      <c r="BL434" s="1306" t="n"/>
      <c r="BM434" s="1306" t="n"/>
      <c r="BN434" s="1306" t="n"/>
      <c r="BO434" s="1308" t="n"/>
      <c r="BP434" s="1478" t="n">
        <v>0.0001</v>
      </c>
      <c r="BQ434" s="1478" t="n">
        <v>0.0001</v>
      </c>
      <c r="BR434" s="1478" t="n">
        <v>0.0001</v>
      </c>
      <c r="BS434" s="1478" t="n">
        <v>0.0001</v>
      </c>
      <c r="BT434" s="1305" t="n"/>
      <c r="BU434" s="1478" t="n">
        <v>0.0001</v>
      </c>
      <c r="BV434" s="1478" t="n">
        <v>0.0001</v>
      </c>
      <c r="BW434" s="1478" t="n">
        <v>0.0001</v>
      </c>
      <c r="BX434" s="1478" t="n">
        <v>0.0001</v>
      </c>
      <c r="BY434" s="1305" t="n"/>
      <c r="BZ434" s="1305" t="n"/>
      <c r="CA434" s="1305" t="n"/>
      <c r="CB434" s="1305" t="n"/>
      <c r="CC434" s="1277" t="n"/>
    </row>
    <row r="435" hidden="1" outlineLevel="1" ht="15" customFormat="1" customHeight="1" s="1625">
      <c r="A435" s="1654" t="inlineStr">
        <is>
          <t>Y/Y basic share expansion from dilutive securities, %</t>
        </is>
      </c>
      <c r="B435" s="1610" t="n"/>
      <c r="C435" s="1305" t="n"/>
      <c r="D435" s="1305" t="n"/>
      <c r="E435" s="1305" t="n"/>
      <c r="F435" s="1305" t="n"/>
      <c r="G435" s="1305" t="n"/>
      <c r="H435" s="1306" t="n"/>
      <c r="I435" s="1306" t="n"/>
      <c r="J435" s="1306" t="n"/>
      <c r="K435" s="1306" t="n"/>
      <c r="L435" s="1305" t="n"/>
      <c r="M435" s="1306" t="n"/>
      <c r="N435" s="1306" t="n"/>
      <c r="O435" s="1306" t="n"/>
      <c r="P435" s="1306" t="n"/>
      <c r="Q435" s="1305" t="n"/>
      <c r="R435" s="1306" t="n"/>
      <c r="S435" s="1306" t="n"/>
      <c r="T435" s="1306" t="n"/>
      <c r="U435" s="1306" t="n"/>
      <c r="V435" s="1305" t="n"/>
      <c r="W435" s="1306" t="n"/>
      <c r="X435" s="1306" t="n"/>
      <c r="Y435" s="1306" t="n"/>
      <c r="Z435" s="1306" t="n"/>
      <c r="AA435" s="1305" t="n"/>
      <c r="AB435" s="1306" t="n"/>
      <c r="AC435" s="1306" t="n"/>
      <c r="AD435" s="1306" t="n"/>
      <c r="AE435" s="1306" t="n"/>
      <c r="AF435" s="1305" t="n"/>
      <c r="AG435" s="1306" t="n"/>
      <c r="AH435" s="1306" t="n"/>
      <c r="AI435" s="1306" t="n"/>
      <c r="AJ435" s="1306" t="n"/>
      <c r="AK435" s="1305" t="n"/>
      <c r="AL435" s="1306" t="n"/>
      <c r="AM435" s="1306" t="n"/>
      <c r="AN435" s="1306" t="n"/>
      <c r="AO435" s="1306" t="n"/>
      <c r="AP435" s="1305" t="n"/>
      <c r="AQ435" s="1306" t="n"/>
      <c r="AR435" s="1306" t="n"/>
      <c r="AS435" s="1306" t="n"/>
      <c r="AT435" s="1306" t="n"/>
      <c r="AU435" s="1305" t="n"/>
      <c r="AV435" s="1306" t="n"/>
      <c r="AW435" s="1306" t="n"/>
      <c r="AX435" s="1306" t="n"/>
      <c r="AY435" s="1306" t="n"/>
      <c r="AZ435" s="1305" t="n"/>
      <c r="BA435" s="1306" t="n"/>
      <c r="BB435" s="1306" t="n"/>
      <c r="BC435" s="1306" t="n"/>
      <c r="BD435" s="1306" t="n"/>
      <c r="BE435" s="1305" t="n"/>
      <c r="BF435" s="1306" t="n"/>
      <c r="BG435" s="1306" t="n"/>
      <c r="BH435" s="1306" t="n"/>
      <c r="BI435" s="1306" t="n"/>
      <c r="BJ435" s="1305" t="n"/>
      <c r="BK435" s="1306" t="n"/>
      <c r="BL435" s="1306" t="n"/>
      <c r="BM435" s="1306" t="n"/>
      <c r="BN435" s="1306" t="n"/>
      <c r="BO435" s="1308" t="n"/>
      <c r="BP435" s="1306" t="n"/>
      <c r="BQ435" s="1306" t="n"/>
      <c r="BR435" s="1306" t="n"/>
      <c r="BS435" s="1306" t="n"/>
      <c r="BT435" s="1305" t="n"/>
      <c r="BU435" s="1306" t="n"/>
      <c r="BV435" s="1306" t="n"/>
      <c r="BW435" s="1306" t="n"/>
      <c r="BX435" s="1306" t="n"/>
      <c r="BY435" s="1305" t="n"/>
      <c r="BZ435" s="1477" t="n">
        <v>0.0004</v>
      </c>
      <c r="CA435" s="1477" t="n">
        <v>0.0004</v>
      </c>
      <c r="CB435" s="1477" t="n">
        <v>0.0004</v>
      </c>
      <c r="CC435" s="1277" t="n"/>
    </row>
    <row r="436" hidden="1" outlineLevel="2" ht="15" customFormat="1" customHeight="1" s="1625">
      <c r="A436" s="1654" t="inlineStr">
        <is>
          <t>Q/Q basic share expansion from share issuance (buyback), %</t>
        </is>
      </c>
      <c r="B436" s="1610" t="n"/>
      <c r="C436" s="1305" t="n"/>
      <c r="D436" s="1305" t="n"/>
      <c r="E436" s="1305" t="n"/>
      <c r="F436" s="1305" t="n"/>
      <c r="G436" s="1305" t="n"/>
      <c r="H436" s="1306" t="n"/>
      <c r="I436" s="1306" t="n"/>
      <c r="J436" s="1306" t="n"/>
      <c r="K436" s="1306" t="n"/>
      <c r="L436" s="1305" t="n"/>
      <c r="M436" s="1306" t="n"/>
      <c r="N436" s="1306" t="n"/>
      <c r="O436" s="1306" t="n"/>
      <c r="P436" s="1306" t="n"/>
      <c r="Q436" s="1305" t="n"/>
      <c r="R436" s="1306" t="n"/>
      <c r="S436" s="1306" t="n"/>
      <c r="T436" s="1306" t="n"/>
      <c r="U436" s="1306" t="n"/>
      <c r="V436" s="1305" t="n"/>
      <c r="W436" s="1306" t="n"/>
      <c r="X436" s="1306" t="n"/>
      <c r="Y436" s="1306" t="n"/>
      <c r="Z436" s="1306" t="n"/>
      <c r="AA436" s="1305" t="n"/>
      <c r="AB436" s="1306" t="n"/>
      <c r="AC436" s="1306" t="n"/>
      <c r="AD436" s="1306" t="n"/>
      <c r="AE436" s="1306" t="n"/>
      <c r="AF436" s="1305" t="n"/>
      <c r="AG436" s="1306" t="n"/>
      <c r="AH436" s="1306" t="n"/>
      <c r="AI436" s="1306" t="n"/>
      <c r="AJ436" s="1306" t="n"/>
      <c r="AK436" s="1305" t="n"/>
      <c r="AL436" s="1306" t="n"/>
      <c r="AM436" s="1306" t="n"/>
      <c r="AN436" s="1306" t="n"/>
      <c r="AO436" s="1306" t="n"/>
      <c r="AP436" s="1305" t="n"/>
      <c r="AQ436" s="1306" t="n"/>
      <c r="AR436" s="1306" t="n"/>
      <c r="AS436" s="1306" t="n"/>
      <c r="AT436" s="1306" t="n"/>
      <c r="AU436" s="1305" t="n"/>
      <c r="AV436" s="1306" t="n"/>
      <c r="AW436" s="1306" t="n"/>
      <c r="AX436" s="1306" t="n"/>
      <c r="AY436" s="1306" t="n"/>
      <c r="AZ436" s="1305" t="n"/>
      <c r="BA436" s="1306" t="n"/>
      <c r="BB436" s="1306" t="n"/>
      <c r="BC436" s="1306" t="n"/>
      <c r="BD436" s="1306" t="n"/>
      <c r="BE436" s="1305" t="n"/>
      <c r="BF436" s="1306" t="n"/>
      <c r="BG436" s="1306" t="n"/>
      <c r="BH436" s="1306" t="n"/>
      <c r="BI436" s="1306" t="n"/>
      <c r="BJ436" s="1305" t="n"/>
      <c r="BK436" s="1306" t="n"/>
      <c r="BL436" s="1306" t="n"/>
      <c r="BM436" s="1306" t="n"/>
      <c r="BN436" s="1306" t="n"/>
      <c r="BO436" s="1308" t="n"/>
      <c r="BP436" s="1306">
        <f>BP465/(BP466/BP512)/BN433</f>
        <v/>
      </c>
      <c r="BQ436" s="1306">
        <f>BQ465/(BQ466/BQ512)/BP433</f>
        <v/>
      </c>
      <c r="BR436" s="1306">
        <f>BR465/(BR466/BR512)/BQ433</f>
        <v/>
      </c>
      <c r="BS436" s="1306">
        <f>BS465/(BS466/BS512)/BR433</f>
        <v/>
      </c>
      <c r="BT436" s="1305" t="n"/>
      <c r="BU436" s="1306">
        <f>BU465/(BU466/BU512)/BS433</f>
        <v/>
      </c>
      <c r="BV436" s="1306">
        <f>BV465/(BV466/BV512)/BU433</f>
        <v/>
      </c>
      <c r="BW436" s="1306">
        <f>BW465/(BW466/BW512)/BV433</f>
        <v/>
      </c>
      <c r="BX436" s="1306">
        <f>BX465/(BX466/BX512)/BW433</f>
        <v/>
      </c>
      <c r="BY436" s="1305" t="n"/>
      <c r="BZ436" s="1305" t="n"/>
      <c r="CA436" s="1305" t="n"/>
      <c r="CB436" s="1305" t="n"/>
      <c r="CC436" s="1277" t="n"/>
    </row>
    <row r="437" hidden="1" outlineLevel="2" ht="15" customFormat="1" customHeight="1" s="1625">
      <c r="A437" s="1655" t="inlineStr">
        <is>
          <t>Y/Y basic share expansion from share issuance (buyback), %</t>
        </is>
      </c>
      <c r="B437" s="1656" t="n"/>
      <c r="C437" s="1657" t="n"/>
      <c r="D437" s="1657" t="n"/>
      <c r="E437" s="1657" t="n"/>
      <c r="F437" s="1657" t="n"/>
      <c r="G437" s="1657" t="n"/>
      <c r="H437" s="1658" t="n"/>
      <c r="I437" s="1658" t="n"/>
      <c r="J437" s="1658" t="n"/>
      <c r="K437" s="1658" t="n"/>
      <c r="L437" s="1657" t="n"/>
      <c r="M437" s="1658" t="n"/>
      <c r="N437" s="1658" t="n"/>
      <c r="O437" s="1658" t="n"/>
      <c r="P437" s="1658" t="n"/>
      <c r="Q437" s="1657" t="n"/>
      <c r="R437" s="1658" t="n"/>
      <c r="S437" s="1658" t="n"/>
      <c r="T437" s="1658" t="n"/>
      <c r="U437" s="1658" t="n"/>
      <c r="V437" s="1657" t="n"/>
      <c r="W437" s="1658" t="n"/>
      <c r="X437" s="1658" t="n"/>
      <c r="Y437" s="1658" t="n"/>
      <c r="Z437" s="1658" t="n"/>
      <c r="AA437" s="1657" t="n"/>
      <c r="AB437" s="1658" t="n"/>
      <c r="AC437" s="1658" t="n"/>
      <c r="AD437" s="1658" t="n"/>
      <c r="AE437" s="1658" t="n"/>
      <c r="AF437" s="1657" t="n"/>
      <c r="AG437" s="1658" t="n"/>
      <c r="AH437" s="1658" t="n"/>
      <c r="AI437" s="1658" t="n"/>
      <c r="AJ437" s="1658" t="n"/>
      <c r="AK437" s="1657" t="n"/>
      <c r="AL437" s="1658" t="n"/>
      <c r="AM437" s="1658" t="n"/>
      <c r="AN437" s="1658" t="n"/>
      <c r="AO437" s="1658" t="n"/>
      <c r="AP437" s="1657" t="n"/>
      <c r="AQ437" s="1658" t="n"/>
      <c r="AR437" s="1658" t="n"/>
      <c r="AS437" s="1658" t="n"/>
      <c r="AT437" s="1658" t="n"/>
      <c r="AU437" s="1657" t="n"/>
      <c r="AV437" s="1658" t="n"/>
      <c r="AW437" s="1658" t="n"/>
      <c r="AX437" s="1658" t="n"/>
      <c r="AY437" s="1658" t="n"/>
      <c r="AZ437" s="1657" t="n"/>
      <c r="BA437" s="1658" t="n"/>
      <c r="BB437" s="1658" t="n"/>
      <c r="BC437" s="1658" t="n"/>
      <c r="BD437" s="1658" t="n"/>
      <c r="BE437" s="1657" t="n"/>
      <c r="BF437" s="1658" t="n"/>
      <c r="BG437" s="1658" t="n"/>
      <c r="BH437" s="1658" t="n"/>
      <c r="BI437" s="1658" t="n"/>
      <c r="BJ437" s="1657" t="n"/>
      <c r="BK437" s="1658" t="n"/>
      <c r="BL437" s="1658" t="n"/>
      <c r="BM437" s="1658" t="n"/>
      <c r="BN437" s="1658" t="n"/>
      <c r="BO437" s="1659" t="n"/>
      <c r="BP437" s="1658" t="n"/>
      <c r="BQ437" s="1658" t="n"/>
      <c r="BR437" s="1658" t="n"/>
      <c r="BS437" s="1658" t="n"/>
      <c r="BT437" s="1657">
        <f>BT465/(BT466/BT512)/BO433</f>
        <v/>
      </c>
      <c r="BU437" s="1658" t="n"/>
      <c r="BV437" s="1658" t="n"/>
      <c r="BW437" s="1658" t="n"/>
      <c r="BX437" s="1658" t="n"/>
      <c r="BY437" s="1657">
        <f>BY465/(BY466/BY512)/BT433</f>
        <v/>
      </c>
      <c r="BZ437" s="1657">
        <f>BZ465/(BZ466/BZ512)/BY433</f>
        <v/>
      </c>
      <c r="CA437" s="1657">
        <f>CA465/(CA466/CA512)/BZ433</f>
        <v/>
      </c>
      <c r="CB437" s="1657">
        <f>CB465/(CB466/CB512)/CA433</f>
        <v/>
      </c>
      <c r="CC437" s="1277" t="n"/>
    </row>
    <row r="438" hidden="1" outlineLevel="1" collapsed="1" ht="15" customFormat="1" customHeight="1" s="1625">
      <c r="A438" s="1660" t="inlineStr">
        <is>
          <t>Q/Q basic share expansion - EoP, %</t>
        </is>
      </c>
      <c r="B438" s="1610" t="n"/>
      <c r="C438" s="1305" t="n"/>
      <c r="D438" s="1305" t="n"/>
      <c r="E438" s="1305" t="n"/>
      <c r="F438" s="1305" t="n"/>
      <c r="G438" s="1305" t="n"/>
      <c r="H438" s="1306">
        <f>H433/G433-1</f>
        <v/>
      </c>
      <c r="I438" s="1306">
        <f>I433/H433-1</f>
        <v/>
      </c>
      <c r="J438" s="1306">
        <f>J433/I433-1</f>
        <v/>
      </c>
      <c r="K438" s="1306">
        <f>K433/J433-1</f>
        <v/>
      </c>
      <c r="L438" s="1305" t="n"/>
      <c r="M438" s="1306">
        <f>M433/K433-1</f>
        <v/>
      </c>
      <c r="N438" s="1306">
        <f>N433/M433-1</f>
        <v/>
      </c>
      <c r="O438" s="1306">
        <f>O433/N433-1</f>
        <v/>
      </c>
      <c r="P438" s="1306">
        <f>P433/O433-1</f>
        <v/>
      </c>
      <c r="Q438" s="1305" t="n"/>
      <c r="R438" s="1306">
        <f>R433/P433-1</f>
        <v/>
      </c>
      <c r="S438" s="1306">
        <f>S433/R433-1</f>
        <v/>
      </c>
      <c r="T438" s="1306">
        <f>T433/S433-1</f>
        <v/>
      </c>
      <c r="U438" s="1306">
        <f>U433/T433-1</f>
        <v/>
      </c>
      <c r="V438" s="1305" t="n"/>
      <c r="W438" s="1306">
        <f>W433/U433-1</f>
        <v/>
      </c>
      <c r="X438" s="1306">
        <f>X433/W433-1</f>
        <v/>
      </c>
      <c r="Y438" s="1306">
        <f>Y433/X433-1</f>
        <v/>
      </c>
      <c r="Z438" s="1306">
        <f>Z433/Y433-1</f>
        <v/>
      </c>
      <c r="AA438" s="1305" t="n"/>
      <c r="AB438" s="1306">
        <f>AB433/Z433-1</f>
        <v/>
      </c>
      <c r="AC438" s="1306">
        <f>AC433/AB433-1</f>
        <v/>
      </c>
      <c r="AD438" s="1306">
        <f>AD433/AC433-1</f>
        <v/>
      </c>
      <c r="AE438" s="1306">
        <f>AE433/AD433-1</f>
        <v/>
      </c>
      <c r="AF438" s="1305" t="n"/>
      <c r="AG438" s="1306">
        <f>AG433/AE433-1</f>
        <v/>
      </c>
      <c r="AH438" s="1306">
        <f>AH433/AG433-1</f>
        <v/>
      </c>
      <c r="AI438" s="1306">
        <f>AI433/AH433-1</f>
        <v/>
      </c>
      <c r="AJ438" s="1306">
        <f>AJ433/AI433-1</f>
        <v/>
      </c>
      <c r="AK438" s="1305" t="n"/>
      <c r="AL438" s="1306">
        <f>AL433/AJ433-1</f>
        <v/>
      </c>
      <c r="AM438" s="1306">
        <f>AM433/AL433-1</f>
        <v/>
      </c>
      <c r="AN438" s="1306">
        <f>AN433/AM433-1</f>
        <v/>
      </c>
      <c r="AO438" s="1306">
        <f>AO433/AN433-1</f>
        <v/>
      </c>
      <c r="AP438" s="1305" t="n"/>
      <c r="AQ438" s="1306">
        <f>AQ433/AO433-1</f>
        <v/>
      </c>
      <c r="AR438" s="1306">
        <f>AR433/AQ433-1</f>
        <v/>
      </c>
      <c r="AS438" s="1306">
        <f>AS433/AR433-1</f>
        <v/>
      </c>
      <c r="AT438" s="1306">
        <f>AT433/AS433-1</f>
        <v/>
      </c>
      <c r="AU438" s="1305" t="n"/>
      <c r="AV438" s="1306">
        <f>AV433/AT433-1</f>
        <v/>
      </c>
      <c r="AW438" s="1306">
        <f>AW433/AV433-1</f>
        <v/>
      </c>
      <c r="AX438" s="1306">
        <f>AX433/AW433-1</f>
        <v/>
      </c>
      <c r="AY438" s="1306">
        <f>AY433/AX433-1</f>
        <v/>
      </c>
      <c r="AZ438" s="1305" t="n"/>
      <c r="BA438" s="1306">
        <f>BA433/AY433-1</f>
        <v/>
      </c>
      <c r="BB438" s="1306">
        <f>BB433/BA433-1</f>
        <v/>
      </c>
      <c r="BC438" s="1306">
        <f>BC433/BB433-1</f>
        <v/>
      </c>
      <c r="BD438" s="1306">
        <f>BD433/BC433-1</f>
        <v/>
      </c>
      <c r="BE438" s="1305" t="n"/>
      <c r="BF438" s="1306">
        <f>BF433/BD433-1</f>
        <v/>
      </c>
      <c r="BG438" s="1306">
        <f>BG433/BF433-1</f>
        <v/>
      </c>
      <c r="BH438" s="1306">
        <f>BH433/BG433-1</f>
        <v/>
      </c>
      <c r="BI438" s="1306">
        <f>BI433/BH433-1</f>
        <v/>
      </c>
      <c r="BJ438" s="1305" t="n"/>
      <c r="BK438" s="1306">
        <f>BK433/BI433-1</f>
        <v/>
      </c>
      <c r="BL438" s="1306">
        <f>BL433/BK433-1</f>
        <v/>
      </c>
      <c r="BM438" s="1306">
        <f>BM433/BL433-1</f>
        <v/>
      </c>
      <c r="BN438" s="1306">
        <f>BN433/BM433-1</f>
        <v/>
      </c>
      <c r="BO438" s="1308" t="n"/>
      <c r="BP438" s="1306">
        <f>BP433/BN433-1</f>
        <v/>
      </c>
      <c r="BQ438" s="1306">
        <f>BQ433/BP433-1</f>
        <v/>
      </c>
      <c r="BR438" s="1306">
        <f>BR433/BQ433-1</f>
        <v/>
      </c>
      <c r="BS438" s="1306">
        <f>BS433/BR433-1</f>
        <v/>
      </c>
      <c r="BT438" s="1305" t="n"/>
      <c r="BU438" s="1306">
        <f>BU433/BS433-1</f>
        <v/>
      </c>
      <c r="BV438" s="1306">
        <f>BV433/BU433-1</f>
        <v/>
      </c>
      <c r="BW438" s="1306">
        <f>BW433/BV433-1</f>
        <v/>
      </c>
      <c r="BX438" s="1306">
        <f>BX433/BW433-1</f>
        <v/>
      </c>
      <c r="BY438" s="1305" t="n"/>
      <c r="BZ438" s="1305" t="n"/>
      <c r="CA438" s="1305" t="n"/>
      <c r="CB438" s="1305" t="n"/>
      <c r="CC438" s="1277" t="n"/>
    </row>
    <row r="439" hidden="1" outlineLevel="1" ht="15" customFormat="1" customHeight="1" s="1625">
      <c r="A439" s="1660" t="inlineStr">
        <is>
          <t>Y/Y basic share expansion - EoP, %</t>
        </is>
      </c>
      <c r="B439" s="1610" t="n"/>
      <c r="C439" s="1305" t="n"/>
      <c r="D439" s="1305">
        <f>D433/C433-1</f>
        <v/>
      </c>
      <c r="E439" s="1305">
        <f>E433/D433-1</f>
        <v/>
      </c>
      <c r="F439" s="1305">
        <f>F433/E433-1</f>
        <v/>
      </c>
      <c r="G439" s="1305">
        <f>G433/F433-1</f>
        <v/>
      </c>
      <c r="H439" s="1306" t="n"/>
      <c r="I439" s="1306" t="n"/>
      <c r="J439" s="1306" t="n"/>
      <c r="K439" s="1306" t="n"/>
      <c r="L439" s="1305">
        <f>L433/G433-1</f>
        <v/>
      </c>
      <c r="M439" s="1306">
        <f>M433/H433-1</f>
        <v/>
      </c>
      <c r="N439" s="1306">
        <f>N433/I433-1</f>
        <v/>
      </c>
      <c r="O439" s="1306">
        <f>O433/J433-1</f>
        <v/>
      </c>
      <c r="P439" s="1306">
        <f>P433/K433-1</f>
        <v/>
      </c>
      <c r="Q439" s="1305">
        <f>Q433/L433-1</f>
        <v/>
      </c>
      <c r="R439" s="1306">
        <f>R433/M433-1</f>
        <v/>
      </c>
      <c r="S439" s="1306">
        <f>S433/N433-1</f>
        <v/>
      </c>
      <c r="T439" s="1306">
        <f>T433/O433-1</f>
        <v/>
      </c>
      <c r="U439" s="1306">
        <f>U433/P433-1</f>
        <v/>
      </c>
      <c r="V439" s="1305">
        <f>V433/Q433-1</f>
        <v/>
      </c>
      <c r="W439" s="1306">
        <f>W433/R433-1</f>
        <v/>
      </c>
      <c r="X439" s="1306">
        <f>X433/S433-1</f>
        <v/>
      </c>
      <c r="Y439" s="1306">
        <f>Y433/T433-1</f>
        <v/>
      </c>
      <c r="Z439" s="1306">
        <f>Z433/U433-1</f>
        <v/>
      </c>
      <c r="AA439" s="1305">
        <f>AA433/V433-1</f>
        <v/>
      </c>
      <c r="AB439" s="1306">
        <f>AB433/W433-1</f>
        <v/>
      </c>
      <c r="AC439" s="1306">
        <f>AC433/X433-1</f>
        <v/>
      </c>
      <c r="AD439" s="1306">
        <f>AD433/Y433-1</f>
        <v/>
      </c>
      <c r="AE439" s="1306">
        <f>AE433/Z433-1</f>
        <v/>
      </c>
      <c r="AF439" s="1305">
        <f>AF433/AA433-1</f>
        <v/>
      </c>
      <c r="AG439" s="1306">
        <f>AG433/AB433-1</f>
        <v/>
      </c>
      <c r="AH439" s="1306">
        <f>AH433/AC433-1</f>
        <v/>
      </c>
      <c r="AI439" s="1306">
        <f>AI433/AD433-1</f>
        <v/>
      </c>
      <c r="AJ439" s="1306">
        <f>AJ433/AE433-1</f>
        <v/>
      </c>
      <c r="AK439" s="1305">
        <f>AK433/AF433-1</f>
        <v/>
      </c>
      <c r="AL439" s="1306">
        <f>AL433/AG433-1</f>
        <v/>
      </c>
      <c r="AM439" s="1306">
        <f>AM433/AH433-1</f>
        <v/>
      </c>
      <c r="AN439" s="1306">
        <f>AN433/AI433-1</f>
        <v/>
      </c>
      <c r="AO439" s="1306">
        <f>AO433/AJ433-1</f>
        <v/>
      </c>
      <c r="AP439" s="1305">
        <f>AP433/AK433-1</f>
        <v/>
      </c>
      <c r="AQ439" s="1306">
        <f>AQ433/AL433-1</f>
        <v/>
      </c>
      <c r="AR439" s="1306">
        <f>AR433/AM433-1</f>
        <v/>
      </c>
      <c r="AS439" s="1306">
        <f>AS433/AN433-1</f>
        <v/>
      </c>
      <c r="AT439" s="1306">
        <f>AT433/AO433-1</f>
        <v/>
      </c>
      <c r="AU439" s="1305">
        <f>AU433/AP433-1</f>
        <v/>
      </c>
      <c r="AV439" s="1306">
        <f>AV433/AQ433-1</f>
        <v/>
      </c>
      <c r="AW439" s="1306">
        <f>AW433/AR433-1</f>
        <v/>
      </c>
      <c r="AX439" s="1306">
        <f>AX433/AS433-1</f>
        <v/>
      </c>
      <c r="AY439" s="1306">
        <f>AY433/AT433-1</f>
        <v/>
      </c>
      <c r="AZ439" s="1305">
        <f>AZ433/AU433-1</f>
        <v/>
      </c>
      <c r="BA439" s="1306">
        <f>BA433/AV433-1</f>
        <v/>
      </c>
      <c r="BB439" s="1306">
        <f>BB433/AW433-1</f>
        <v/>
      </c>
      <c r="BC439" s="1306">
        <f>BC433/AX433-1</f>
        <v/>
      </c>
      <c r="BD439" s="1306">
        <f>BD433/AY433-1</f>
        <v/>
      </c>
      <c r="BE439" s="1305">
        <f>BE433/AZ433-1</f>
        <v/>
      </c>
      <c r="BF439" s="1306">
        <f>BF433/BA433-1</f>
        <v/>
      </c>
      <c r="BG439" s="1306">
        <f>BG433/BB433-1</f>
        <v/>
      </c>
      <c r="BH439" s="1306">
        <f>BH433/BC433-1</f>
        <v/>
      </c>
      <c r="BI439" s="1306">
        <f>BI433/BD433-1</f>
        <v/>
      </c>
      <c r="BJ439" s="1305">
        <f>BJ433/BE433-1</f>
        <v/>
      </c>
      <c r="BK439" s="1306">
        <f>BK433/BF433-1</f>
        <v/>
      </c>
      <c r="BL439" s="1306">
        <f>BL433/BG433-1</f>
        <v/>
      </c>
      <c r="BM439" s="1306">
        <f>BM433/BH433-1</f>
        <v/>
      </c>
      <c r="BN439" s="1306">
        <f>BN433/BI433-1</f>
        <v/>
      </c>
      <c r="BO439" s="1308">
        <f>BO433/BJ433-1</f>
        <v/>
      </c>
      <c r="BP439" s="1306">
        <f>BP433/BK433-1</f>
        <v/>
      </c>
      <c r="BQ439" s="1306">
        <f>BQ433/BL433-1</f>
        <v/>
      </c>
      <c r="BR439" s="1306">
        <f>BR433/BM433-1</f>
        <v/>
      </c>
      <c r="BS439" s="1306">
        <f>BS433/BN433-1</f>
        <v/>
      </c>
      <c r="BT439" s="1305">
        <f>BT433/BO433-1</f>
        <v/>
      </c>
      <c r="BU439" s="1306">
        <f>BU433/BP433-1</f>
        <v/>
      </c>
      <c r="BV439" s="1306">
        <f>BV433/BQ433-1</f>
        <v/>
      </c>
      <c r="BW439" s="1306">
        <f>BW433/BR433-1</f>
        <v/>
      </c>
      <c r="BX439" s="1306">
        <f>BX433/BS433-1</f>
        <v/>
      </c>
      <c r="BY439" s="1305">
        <f>BY433/BT433-1</f>
        <v/>
      </c>
      <c r="BZ439" s="1305">
        <f>BZ433/BY433-1</f>
        <v/>
      </c>
      <c r="CA439" s="1305">
        <f>CA433/BZ433-1</f>
        <v/>
      </c>
      <c r="CB439" s="1305">
        <f>CB433/CA433-1</f>
        <v/>
      </c>
      <c r="CC439" s="1277" t="n"/>
    </row>
    <row r="440" hidden="1" outlineLevel="1" ht="15" customFormat="1" customHeight="1" s="1625">
      <c r="A440" s="1277" t="n"/>
      <c r="B440" s="1387" t="n"/>
      <c r="C440" s="1297" t="n"/>
      <c r="D440" s="1297" t="n"/>
      <c r="E440" s="1297" t="n"/>
      <c r="F440" s="1297" t="n"/>
      <c r="G440" s="1297" t="n"/>
      <c r="H440" s="1277" t="n"/>
      <c r="I440" s="1277" t="n"/>
      <c r="J440" s="1277" t="n"/>
      <c r="K440" s="1277" t="n"/>
      <c r="L440" s="1297" t="n"/>
      <c r="M440" s="1277" t="n"/>
      <c r="N440" s="1277" t="n"/>
      <c r="O440" s="1277" t="n"/>
      <c r="P440" s="1277" t="n"/>
      <c r="Q440" s="1297" t="n"/>
      <c r="R440" s="1277" t="n"/>
      <c r="S440" s="1277" t="n"/>
      <c r="T440" s="1277" t="n"/>
      <c r="U440" s="1277" t="n"/>
      <c r="V440" s="1297" t="n"/>
      <c r="W440" s="1277" t="n"/>
      <c r="X440" s="1277" t="n"/>
      <c r="Y440" s="1277" t="n"/>
      <c r="Z440" s="1277" t="n"/>
      <c r="AA440" s="1297" t="n"/>
      <c r="AB440" s="1277" t="n"/>
      <c r="AC440" s="1277" t="n"/>
      <c r="AD440" s="1277" t="n"/>
      <c r="AE440" s="1277" t="n"/>
      <c r="AF440" s="1297" t="n"/>
      <c r="AG440" s="1277" t="n"/>
      <c r="AH440" s="1277" t="n"/>
      <c r="AI440" s="1277" t="n"/>
      <c r="AJ440" s="1277" t="n"/>
      <c r="AK440" s="1297" t="n"/>
      <c r="AL440" s="1277" t="n"/>
      <c r="AM440" s="1277" t="n"/>
      <c r="AN440" s="1277" t="n"/>
      <c r="AO440" s="1277" t="n"/>
      <c r="AP440" s="1297" t="n"/>
      <c r="AQ440" s="1277" t="n"/>
      <c r="AR440" s="1277" t="n"/>
      <c r="AS440" s="1277" t="n"/>
      <c r="AT440" s="1277" t="n"/>
      <c r="AU440" s="1297" t="n"/>
      <c r="AV440" s="1277" t="n"/>
      <c r="AW440" s="1277" t="n"/>
      <c r="AX440" s="1277" t="n"/>
      <c r="AY440" s="1277" t="n"/>
      <c r="AZ440" s="1297" t="n"/>
      <c r="BA440" s="1277" t="n"/>
      <c r="BB440" s="1277" t="n"/>
      <c r="BC440" s="1277" t="n"/>
      <c r="BD440" s="1277" t="n"/>
      <c r="BE440" s="1297" t="n"/>
      <c r="BF440" s="1277" t="n"/>
      <c r="BG440" s="1277" t="n"/>
      <c r="BH440" s="1277" t="n"/>
      <c r="BI440" s="1277" t="n"/>
      <c r="BJ440" s="1297" t="n"/>
      <c r="BK440" s="1277" t="n"/>
      <c r="BL440" s="1277" t="n"/>
      <c r="BM440" s="1277" t="n"/>
      <c r="BN440" s="1277" t="n"/>
      <c r="BO440" s="1382" t="n"/>
      <c r="BP440" s="1277" t="n"/>
      <c r="BQ440" s="1277" t="n"/>
      <c r="BR440" s="1277" t="n"/>
      <c r="BS440" s="1277" t="n"/>
      <c r="BT440" s="1297" t="n"/>
      <c r="BU440" s="1277" t="n"/>
      <c r="BV440" s="1277" t="n"/>
      <c r="BW440" s="1277" t="n"/>
      <c r="BX440" s="1277" t="n"/>
      <c r="BY440" s="1297" t="n"/>
      <c r="BZ440" s="1297" t="n"/>
      <c r="CA440" s="1297" t="n"/>
      <c r="CB440" s="1297" t="n"/>
      <c r="CC440" s="1277" t="n"/>
    </row>
    <row r="441" hidden="1" outlineLevel="2" ht="15" customFormat="1" customHeight="1" s="1625">
      <c r="A441" s="1362" t="inlineStr">
        <is>
          <t>Cover Page Total Ordinary Shares Outstanding, mm shares</t>
        </is>
      </c>
      <c r="B441" s="1389" t="n"/>
      <c r="C441" s="1390" t="n">
        <v>25903.53831</v>
      </c>
      <c r="D441" s="1390" t="n">
        <v>25912.723077</v>
      </c>
      <c r="E441" s="1390" t="n">
        <v>25917.753612</v>
      </c>
      <c r="F441" s="1390" t="n">
        <v>25926.367175</v>
      </c>
      <c r="G441" s="1390" t="n">
        <v>25929.049937</v>
      </c>
      <c r="H441" s="1365" t="n"/>
      <c r="I441" s="1365" t="n"/>
      <c r="J441" s="1365" t="n"/>
      <c r="K441" s="1365" t="n"/>
      <c r="L441" s="1390" t="n">
        <v>25930.043279</v>
      </c>
      <c r="M441" s="1365" t="n"/>
      <c r="N441" s="1365" t="n"/>
      <c r="O441" s="1365" t="n"/>
      <c r="P441" s="1365" t="n"/>
      <c r="Q441" s="1390" t="n">
        <v>25930.380458</v>
      </c>
      <c r="R441" s="1365" t="n"/>
      <c r="S441" s="1365" t="n"/>
      <c r="T441" s="1365" t="n"/>
      <c r="U441" s="1365" t="n"/>
      <c r="V441" s="1390" t="n">
        <v>25930.380458</v>
      </c>
      <c r="W441" s="1365" t="n"/>
      <c r="X441" s="1365" t="n"/>
      <c r="Y441" s="1365" t="n"/>
      <c r="Z441" s="1365" t="n"/>
      <c r="AA441" s="1390" t="n">
        <v>25930.380458</v>
      </c>
      <c r="AB441" s="1365" t="n"/>
      <c r="AC441" s="1365" t="n"/>
      <c r="AD441" s="1365" t="n"/>
      <c r="AE441" s="1365" t="n"/>
      <c r="AF441" s="1390" t="n">
        <v>25930.380458</v>
      </c>
      <c r="AG441" s="1365" t="n"/>
      <c r="AH441" s="1365" t="n"/>
      <c r="AI441" s="1365" t="n"/>
      <c r="AJ441" s="1365" t="n"/>
      <c r="AK441" s="1390" t="n">
        <v>25930.380458</v>
      </c>
      <c r="AL441" s="1365" t="n"/>
      <c r="AM441" s="1365" t="n"/>
      <c r="AN441" s="1365" t="n"/>
      <c r="AO441" s="1365" t="n"/>
      <c r="AP441" s="1390" t="n">
        <v>25930.380458</v>
      </c>
      <c r="AQ441" s="1365" t="n"/>
      <c r="AR441" s="1365" t="n"/>
      <c r="AS441" s="1365" t="n"/>
      <c r="AT441" s="1365" t="n"/>
      <c r="AU441" s="1390" t="n">
        <v>25928.993458</v>
      </c>
      <c r="AV441" s="1365" t="n"/>
      <c r="AW441" s="1365" t="n"/>
      <c r="AX441" s="1365" t="n"/>
      <c r="AY441" s="1365" t="n"/>
      <c r="AZ441" s="1390" t="n">
        <v>25930.380458</v>
      </c>
      <c r="BA441" s="1365" t="n"/>
      <c r="BB441" s="1365" t="n"/>
      <c r="BC441" s="1365" t="n"/>
      <c r="BD441" s="1365" t="n"/>
      <c r="BE441" s="1390" t="n">
        <v>25932.070992</v>
      </c>
      <c r="BF441" s="1365" t="n"/>
      <c r="BG441" s="1365" t="n"/>
      <c r="BH441" s="1365" t="n"/>
      <c r="BI441" s="1365" t="n"/>
      <c r="BJ441" s="1390" t="n">
        <v>25932.733242</v>
      </c>
      <c r="BK441" s="1365" t="n"/>
      <c r="BL441" s="1365" t="n"/>
      <c r="BM441" s="1365" t="n"/>
      <c r="BN441" s="1365" t="n"/>
      <c r="BO441" s="1366" t="n"/>
      <c r="BP441" s="1365" t="n"/>
      <c r="BQ441" s="1365" t="n"/>
      <c r="BR441" s="1365" t="n"/>
      <c r="BS441" s="1365" t="n"/>
      <c r="BT441" s="1364" t="n"/>
      <c r="BU441" s="1365" t="n"/>
      <c r="BV441" s="1365" t="n"/>
      <c r="BW441" s="1365" t="n"/>
      <c r="BX441" s="1365" t="n"/>
      <c r="BY441" s="1364" t="n"/>
      <c r="BZ441" s="1364" t="n"/>
      <c r="CA441" s="1364" t="n"/>
      <c r="CB441" s="1364" t="n"/>
      <c r="CC441" s="1277" t="n"/>
    </row>
    <row r="442" hidden="1" outlineLevel="1" collapsed="1" ht="15" customFormat="1" customHeight="1" s="1625">
      <c r="A442" s="1383" t="inlineStr">
        <is>
          <t>Cover Page ADR Outstanding, mm shares</t>
        </is>
      </c>
      <c r="B442" s="1387" t="n"/>
      <c r="C442" s="1297">
        <f>C441/C430</f>
        <v/>
      </c>
      <c r="D442" s="1297">
        <f>D441/D430</f>
        <v/>
      </c>
      <c r="E442" s="1297">
        <f>E441/E430</f>
        <v/>
      </c>
      <c r="F442" s="1297">
        <f>F441/F430</f>
        <v/>
      </c>
      <c r="G442" s="1297">
        <f>G441/G430</f>
        <v/>
      </c>
      <c r="H442" s="1277" t="n"/>
      <c r="I442" s="1277" t="n"/>
      <c r="J442" s="1277" t="n"/>
      <c r="K442" s="1277" t="n"/>
      <c r="L442" s="1297">
        <f>L441/L430</f>
        <v/>
      </c>
      <c r="M442" s="1277" t="n"/>
      <c r="N442" s="1277" t="n"/>
      <c r="O442" s="1277" t="n"/>
      <c r="P442" s="1277" t="n"/>
      <c r="Q442" s="1297">
        <f>Q441/Q430</f>
        <v/>
      </c>
      <c r="R442" s="1277" t="n"/>
      <c r="S442" s="1277" t="n"/>
      <c r="T442" s="1277" t="n"/>
      <c r="U442" s="1277" t="n"/>
      <c r="V442" s="1297">
        <f>V441/V430</f>
        <v/>
      </c>
      <c r="W442" s="1277" t="n"/>
      <c r="X442" s="1277" t="n"/>
      <c r="Y442" s="1277" t="n"/>
      <c r="Z442" s="1277" t="n"/>
      <c r="AA442" s="1297">
        <f>AA441/AA430</f>
        <v/>
      </c>
      <c r="AB442" s="1277" t="n"/>
      <c r="AC442" s="1277" t="n"/>
      <c r="AD442" s="1277" t="n"/>
      <c r="AE442" s="1277" t="n"/>
      <c r="AF442" s="1297">
        <f>AF441/AF430</f>
        <v/>
      </c>
      <c r="AG442" s="1277" t="n"/>
      <c r="AH442" s="1277" t="n"/>
      <c r="AI442" s="1277" t="n"/>
      <c r="AJ442" s="1277" t="n"/>
      <c r="AK442" s="1297">
        <f>AK441/AK430</f>
        <v/>
      </c>
      <c r="AL442" s="1277" t="n"/>
      <c r="AM442" s="1277" t="n"/>
      <c r="AN442" s="1277" t="n"/>
      <c r="AO442" s="1277" t="n"/>
      <c r="AP442" s="1297">
        <f>AP441/AP430</f>
        <v/>
      </c>
      <c r="AQ442" s="1277" t="n"/>
      <c r="AR442" s="1277" t="n"/>
      <c r="AS442" s="1277" t="n"/>
      <c r="AT442" s="1277" t="n"/>
      <c r="AU442" s="1297">
        <f>AU441/AU430</f>
        <v/>
      </c>
      <c r="AV442" s="1277" t="n"/>
      <c r="AW442" s="1277" t="n"/>
      <c r="AX442" s="1277" t="n"/>
      <c r="AY442" s="1277" t="n"/>
      <c r="AZ442" s="1297">
        <f>AZ441/AZ430</f>
        <v/>
      </c>
      <c r="BA442" s="1277" t="n"/>
      <c r="BB442" s="1277" t="n"/>
      <c r="BC442" s="1277" t="n"/>
      <c r="BD442" s="1277" t="n"/>
      <c r="BE442" s="1297">
        <f>BE441/BE430</f>
        <v/>
      </c>
      <c r="BF442" s="1277" t="n"/>
      <c r="BG442" s="1277" t="n"/>
      <c r="BH442" s="1277" t="n"/>
      <c r="BI442" s="1277" t="n"/>
      <c r="BJ442" s="1297">
        <f>BJ441/BJ430</f>
        <v/>
      </c>
      <c r="BK442" s="1277" t="n"/>
      <c r="BL442" s="1277" t="n"/>
      <c r="BM442" s="1277" t="n"/>
      <c r="BN442" s="1277" t="n"/>
      <c r="BO442" s="1382" t="n"/>
      <c r="BP442" s="1277" t="n"/>
      <c r="BQ442" s="1277" t="n"/>
      <c r="BR442" s="1277" t="n"/>
      <c r="BS442" s="1277" t="n"/>
      <c r="BT442" s="1297" t="n"/>
      <c r="BU442" s="1277" t="n"/>
      <c r="BV442" s="1277" t="n"/>
      <c r="BW442" s="1277" t="n"/>
      <c r="BX442" s="1277" t="n"/>
      <c r="BY442" s="1297" t="n"/>
      <c r="BZ442" s="1297" t="n"/>
      <c r="CA442" s="1297" t="n"/>
      <c r="CB442" s="1297" t="n"/>
      <c r="CC442" s="1277" t="n"/>
    </row>
    <row r="443" hidden="1" outlineLevel="1" ht="15" customFormat="1" customHeight="1" s="1625">
      <c r="A443" s="1383" t="inlineStr">
        <is>
          <t>Date of Cover Page Share Count, date</t>
        </is>
      </c>
      <c r="B443" s="1387" t="n"/>
      <c r="C443" s="1661" t="n">
        <v>40237</v>
      </c>
      <c r="D443" s="1661" t="n">
        <v>40602</v>
      </c>
      <c r="E443" s="1661" t="n">
        <v>40968</v>
      </c>
      <c r="F443" s="1661" t="n">
        <v>41333</v>
      </c>
      <c r="G443" s="1661" t="n">
        <v>41698</v>
      </c>
      <c r="H443" s="1662" t="n"/>
      <c r="I443" s="1662" t="n"/>
      <c r="J443" s="1662" t="n"/>
      <c r="K443" s="1662" t="n"/>
      <c r="L443" s="1661" t="n">
        <v>42063</v>
      </c>
      <c r="M443" s="1662" t="n"/>
      <c r="N443" s="1662" t="n"/>
      <c r="O443" s="1662" t="n"/>
      <c r="P443" s="1662" t="n"/>
      <c r="Q443" s="1661" t="n">
        <v>42429</v>
      </c>
      <c r="R443" s="1662" t="n"/>
      <c r="S443" s="1662" t="n"/>
      <c r="T443" s="1662" t="n"/>
      <c r="U443" s="1662" t="n"/>
      <c r="V443" s="1661" t="n">
        <v>42794</v>
      </c>
      <c r="W443" s="1662" t="n"/>
      <c r="X443" s="1662" t="n"/>
      <c r="Y443" s="1662" t="n"/>
      <c r="Z443" s="1662" t="n"/>
      <c r="AA443" s="1661" t="n">
        <v>43159</v>
      </c>
      <c r="AB443" s="1662" t="n"/>
      <c r="AC443" s="1662" t="n"/>
      <c r="AD443" s="1662" t="n"/>
      <c r="AE443" s="1662" t="n"/>
      <c r="AF443" s="1661" t="n">
        <v>43524</v>
      </c>
      <c r="AG443" s="1662" t="n"/>
      <c r="AH443" s="1662" t="n"/>
      <c r="AI443" s="1662" t="n"/>
      <c r="AJ443" s="1662" t="n"/>
      <c r="AK443" s="1661" t="n">
        <v>43890</v>
      </c>
      <c r="AL443" s="1662" t="n"/>
      <c r="AM443" s="1662" t="n"/>
      <c r="AN443" s="1662" t="n"/>
      <c r="AO443" s="1662" t="n"/>
      <c r="AP443" s="1661" t="n">
        <v>44255</v>
      </c>
      <c r="AQ443" s="1662" t="n"/>
      <c r="AR443" s="1662" t="n"/>
      <c r="AS443" s="1662" t="n"/>
      <c r="AT443" s="1662" t="n"/>
      <c r="AU443" s="1661" t="n">
        <v>44620</v>
      </c>
      <c r="AV443" s="1662" t="n"/>
      <c r="AW443" s="1662" t="n"/>
      <c r="AX443" s="1662" t="n"/>
      <c r="AY443" s="1662" t="n"/>
      <c r="AZ443" s="1661" t="n">
        <v>44985</v>
      </c>
      <c r="BA443" s="1662" t="n"/>
      <c r="BB443" s="1662" t="n"/>
      <c r="BC443" s="1662" t="n"/>
      <c r="BD443" s="1662" t="n"/>
      <c r="BE443" s="1661" t="n">
        <v>45351</v>
      </c>
      <c r="BF443" s="1662" t="n"/>
      <c r="BG443" s="1662" t="n"/>
      <c r="BH443" s="1662" t="n"/>
      <c r="BI443" s="1662" t="n"/>
      <c r="BJ443" s="1661" t="n">
        <v>45716</v>
      </c>
      <c r="BK443" s="1662" t="n"/>
      <c r="BL443" s="1662" t="n"/>
      <c r="BM443" s="1662" t="n"/>
      <c r="BN443" s="1662" t="n"/>
      <c r="BO443" s="1663" t="n"/>
      <c r="BP443" s="1662" t="n"/>
      <c r="BQ443" s="1662" t="n"/>
      <c r="BR443" s="1662" t="n"/>
      <c r="BS443" s="1662" t="n"/>
      <c r="BT443" s="1664" t="n"/>
      <c r="BU443" s="1662" t="n"/>
      <c r="BV443" s="1662" t="n"/>
      <c r="BW443" s="1662" t="n"/>
      <c r="BX443" s="1662" t="n"/>
      <c r="BY443" s="1664" t="n"/>
      <c r="BZ443" s="1664" t="n"/>
      <c r="CA443" s="1664" t="n"/>
      <c r="CB443" s="1664" t="n"/>
      <c r="CC443" s="1277" t="n"/>
    </row>
    <row r="444" hidden="1" outlineLevel="1" ht="15" customFormat="1" customHeight="1" s="1625">
      <c r="A444" s="1383" t="n"/>
      <c r="B444" s="1387" t="n"/>
      <c r="C444" s="1664" t="n"/>
      <c r="D444" s="1664" t="n"/>
      <c r="E444" s="1664" t="n"/>
      <c r="F444" s="1664" t="n"/>
      <c r="G444" s="1664" t="n"/>
      <c r="H444" s="1662" t="n"/>
      <c r="I444" s="1662" t="n"/>
      <c r="J444" s="1662" t="n"/>
      <c r="K444" s="1662" t="n"/>
      <c r="L444" s="1664" t="n"/>
      <c r="M444" s="1662" t="n"/>
      <c r="N444" s="1662" t="n"/>
      <c r="O444" s="1662" t="n"/>
      <c r="P444" s="1662" t="n"/>
      <c r="Q444" s="1664" t="n"/>
      <c r="R444" s="1662" t="n"/>
      <c r="S444" s="1662" t="n"/>
      <c r="T444" s="1662" t="n"/>
      <c r="U444" s="1662" t="n"/>
      <c r="V444" s="1664" t="n"/>
      <c r="W444" s="1662" t="n"/>
      <c r="X444" s="1662" t="n"/>
      <c r="Y444" s="1662" t="n"/>
      <c r="Z444" s="1662" t="n"/>
      <c r="AA444" s="1664" t="n"/>
      <c r="AB444" s="1662" t="n"/>
      <c r="AC444" s="1662" t="n"/>
      <c r="AD444" s="1662" t="n"/>
      <c r="AE444" s="1662" t="n"/>
      <c r="AF444" s="1664" t="n"/>
      <c r="AG444" s="1662" t="n"/>
      <c r="AH444" s="1662" t="n"/>
      <c r="AI444" s="1662" t="n"/>
      <c r="AJ444" s="1662" t="n"/>
      <c r="AK444" s="1664" t="n"/>
      <c r="AL444" s="1662" t="n"/>
      <c r="AM444" s="1662" t="n"/>
      <c r="AN444" s="1662" t="n"/>
      <c r="AO444" s="1662" t="n"/>
      <c r="AP444" s="1664" t="n"/>
      <c r="AQ444" s="1662" t="n"/>
      <c r="AR444" s="1662" t="n"/>
      <c r="AS444" s="1662" t="n"/>
      <c r="AT444" s="1662" t="n"/>
      <c r="AU444" s="1664" t="n"/>
      <c r="AV444" s="1662" t="n"/>
      <c r="AW444" s="1662" t="n"/>
      <c r="AX444" s="1662" t="n"/>
      <c r="AY444" s="1662" t="n"/>
      <c r="AZ444" s="1664" t="n"/>
      <c r="BA444" s="1662" t="n"/>
      <c r="BB444" s="1662" t="n"/>
      <c r="BC444" s="1662" t="n"/>
      <c r="BD444" s="1662" t="n"/>
      <c r="BE444" s="1664" t="n"/>
      <c r="BF444" s="1662" t="n"/>
      <c r="BG444" s="1662" t="n"/>
      <c r="BH444" s="1662" t="n"/>
      <c r="BI444" s="1662" t="n"/>
      <c r="BJ444" s="1664" t="n"/>
      <c r="BK444" s="1662" t="n"/>
      <c r="BL444" s="1662" t="n"/>
      <c r="BM444" s="1662" t="n"/>
      <c r="BN444" s="1662" t="n"/>
      <c r="BO444" s="1663" t="n"/>
      <c r="BP444" s="1662" t="n"/>
      <c r="BQ444" s="1662" t="n"/>
      <c r="BR444" s="1662" t="n"/>
      <c r="BS444" s="1662" t="n"/>
      <c r="BT444" s="1664" t="n"/>
      <c r="BU444" s="1662" t="n"/>
      <c r="BV444" s="1662" t="n"/>
      <c r="BW444" s="1662" t="n"/>
      <c r="BX444" s="1662" t="n"/>
      <c r="BY444" s="1664" t="n"/>
      <c r="BZ444" s="1664" t="n"/>
      <c r="CA444" s="1664" t="n"/>
      <c r="CB444" s="1664" t="n"/>
      <c r="CC444" s="1277" t="n"/>
    </row>
    <row r="445" hidden="1" outlineLevel="1" ht="15" customFormat="1" customHeight="1" s="1625">
      <c r="A445" s="1383" t="inlineStr">
        <is>
          <t>Dilutive ADR, mm shares</t>
        </is>
      </c>
      <c r="B445" s="1387" t="n"/>
      <c r="C445" s="1297">
        <f>C426-C425</f>
        <v/>
      </c>
      <c r="D445" s="1297">
        <f>IF(D404&gt;0,(D426-D425),C445)</f>
        <v/>
      </c>
      <c r="E445" s="1297">
        <f>IF(E404&gt;0,(E426-E425),D445)</f>
        <v/>
      </c>
      <c r="F445" s="1297">
        <f>IF(F404&gt;0,(F426-F425),E445)</f>
        <v/>
      </c>
      <c r="G445" s="1297">
        <f>IF(G404&gt;0,(G426-G425),F445)</f>
        <v/>
      </c>
      <c r="H445" s="1277">
        <f>IF(H404&gt;0,(H426-H425),G445)</f>
        <v/>
      </c>
      <c r="I445" s="1277">
        <f>IF(I404&gt;0,(I426-I425),H445)</f>
        <v/>
      </c>
      <c r="J445" s="1277">
        <f>IF(J404&gt;0,(J426-J425),I445)</f>
        <v/>
      </c>
      <c r="K445" s="1277">
        <f>IF(K404&gt;0,(K426-K425),J445)</f>
        <v/>
      </c>
      <c r="L445" s="1297">
        <f>K445</f>
        <v/>
      </c>
      <c r="M445" s="1277">
        <f>IF(M404&gt;0,(M426-M425),L445)</f>
        <v/>
      </c>
      <c r="N445" s="1277">
        <f>IF(N404&gt;0,(N426-N425),M445)</f>
        <v/>
      </c>
      <c r="O445" s="1277">
        <f>IF(O404&gt;0,(O426-O425),N445)</f>
        <v/>
      </c>
      <c r="P445" s="1277">
        <f>IF(P404&gt;0,(P426-P425),O445)</f>
        <v/>
      </c>
      <c r="Q445" s="1297">
        <f>P445</f>
        <v/>
      </c>
      <c r="R445" s="1277">
        <f>IF(R404&gt;0,(R426-R425),Q445)</f>
        <v/>
      </c>
      <c r="S445" s="1277">
        <f>IF(S404&gt;0,(S426-S425),R445)</f>
        <v/>
      </c>
      <c r="T445" s="1277">
        <f>IF(T404&gt;0,(T426-T425),S445)</f>
        <v/>
      </c>
      <c r="U445" s="1277">
        <f>IF(U404&gt;0,(U426-U425),T445)</f>
        <v/>
      </c>
      <c r="V445" s="1297">
        <f>U445</f>
        <v/>
      </c>
      <c r="W445" s="1277">
        <f>IF(W404&gt;0,(W426-W425),V445)</f>
        <v/>
      </c>
      <c r="X445" s="1277">
        <f>IF(X404&gt;0,(X426-X425),W445)</f>
        <v/>
      </c>
      <c r="Y445" s="1277">
        <f>IF(Y404&gt;0,(Y426-Y425),X445)</f>
        <v/>
      </c>
      <c r="Z445" s="1277">
        <f>IF(Z404&gt;0,(Z426-Z425),Y445)</f>
        <v/>
      </c>
      <c r="AA445" s="1297">
        <f>Z445</f>
        <v/>
      </c>
      <c r="AB445" s="1277">
        <f>IF(AB404&gt;0,(AB426-AB425),AA445)</f>
        <v/>
      </c>
      <c r="AC445" s="1277">
        <f>IF(AC404&gt;0,(AC426-AC425),AB445)</f>
        <v/>
      </c>
      <c r="AD445" s="1277">
        <f>IF(AD404&gt;0,(AD426-AD425),AC445)</f>
        <v/>
      </c>
      <c r="AE445" s="1277">
        <f>IF(AE404&gt;0,(AE426-AE425),AD445)</f>
        <v/>
      </c>
      <c r="AF445" s="1297">
        <f>AE445</f>
        <v/>
      </c>
      <c r="AG445" s="1277">
        <f>IF(AG404&gt;0,(AG426-AG425),AF445)</f>
        <v/>
      </c>
      <c r="AH445" s="1277">
        <f>IF(AH404&gt;0,(AH426-AH425),AG445)</f>
        <v/>
      </c>
      <c r="AI445" s="1277">
        <f>IF(AI404&gt;0,(AI426-AI425),AH445)</f>
        <v/>
      </c>
      <c r="AJ445" s="1277">
        <f>IF(AJ404&gt;0,(AJ426-AJ425),AI445)</f>
        <v/>
      </c>
      <c r="AK445" s="1297">
        <f>AJ445</f>
        <v/>
      </c>
      <c r="AL445" s="1277">
        <f>IF(AL404&gt;0,(AL426-AL425),AK445)</f>
        <v/>
      </c>
      <c r="AM445" s="1277">
        <f>IF(AM404&gt;0,(AM426-AM425),AL445)</f>
        <v/>
      </c>
      <c r="AN445" s="1277">
        <f>IF(AN404&gt;0,(AN426-AN425),AM445)</f>
        <v/>
      </c>
      <c r="AO445" s="1277">
        <f>IF(AO404&gt;0,(AO426-AO425),AN445)</f>
        <v/>
      </c>
      <c r="AP445" s="1297">
        <f>AO445</f>
        <v/>
      </c>
      <c r="AQ445" s="1277">
        <f>IF(AQ404&gt;0,(AQ426-AQ425),AP445)</f>
        <v/>
      </c>
      <c r="AR445" s="1277">
        <f>IF(AR404&gt;0,(AR426-AR425),AQ445)</f>
        <v/>
      </c>
      <c r="AS445" s="1277">
        <f>IF(AS404&gt;0,(AS426-AS425),AR445)</f>
        <v/>
      </c>
      <c r="AT445" s="1277">
        <f>IF(AT404&gt;0,(AT426-AT425),AS445)</f>
        <v/>
      </c>
      <c r="AU445" s="1297">
        <f>AT445</f>
        <v/>
      </c>
      <c r="AV445" s="1277">
        <f>IF(AV404&gt;0,(AV426-AV425),AU445)</f>
        <v/>
      </c>
      <c r="AW445" s="1277">
        <f>IF(AW404&gt;0,(AW426-AW425),AV445)</f>
        <v/>
      </c>
      <c r="AX445" s="1277">
        <f>IF(AX404&gt;0,(AX426-AX425),AW445)</f>
        <v/>
      </c>
      <c r="AY445" s="1277">
        <f>IF(AY404&gt;0,(AY426-AY425),AX445)</f>
        <v/>
      </c>
      <c r="AZ445" s="1297">
        <f>AY445</f>
        <v/>
      </c>
      <c r="BA445" s="1277">
        <f>IF(BA404&gt;0,(BA426-BA425),AZ445)</f>
        <v/>
      </c>
      <c r="BB445" s="1277">
        <f>IF(BB404&gt;0,(BB426-BB425),BA445)</f>
        <v/>
      </c>
      <c r="BC445" s="1277">
        <f>IF(BC404&gt;0,(BC426-BC425),BB445)</f>
        <v/>
      </c>
      <c r="BD445" s="1277">
        <f>IF(BD404&gt;0,(BD426-BD425),BC445)</f>
        <v/>
      </c>
      <c r="BE445" s="1297">
        <f>BD445</f>
        <v/>
      </c>
      <c r="BF445" s="1277">
        <f>IF(BF404&gt;0,(BF426-BF425),BE445)</f>
        <v/>
      </c>
      <c r="BG445" s="1277">
        <f>IF(BG404&gt;0,(BG426-BG425),BF445)</f>
        <v/>
      </c>
      <c r="BH445" s="1277">
        <f>IF(BH404&gt;0,(BH426-BH425),BG445)</f>
        <v/>
      </c>
      <c r="BI445" s="1277">
        <f>IF(BI404&gt;0,(BI426-BI425),BH445)</f>
        <v/>
      </c>
      <c r="BJ445" s="1297">
        <f>BI445</f>
        <v/>
      </c>
      <c r="BK445" s="1277">
        <f>IF(BK404&gt;0,(BK426-BK425),BJ445)</f>
        <v/>
      </c>
      <c r="BL445" s="1277">
        <f>IF(BL404&gt;0,(BL426-BL425),BK445)</f>
        <v/>
      </c>
      <c r="BM445" s="1277">
        <f>IF(BM404&gt;0,(BM426-BM425),BL445)</f>
        <v/>
      </c>
      <c r="BN445" s="1277">
        <f>IF(BN404&gt;0,(BN426-BN425),BM445)</f>
        <v/>
      </c>
      <c r="BO445" s="1382">
        <f>BN445</f>
        <v/>
      </c>
      <c r="BP445" s="1277">
        <f>BP433*BP446-BP433</f>
        <v/>
      </c>
      <c r="BQ445" s="1277">
        <f>BQ433*BQ446-BQ433</f>
        <v/>
      </c>
      <c r="BR445" s="1277">
        <f>BR433*BR446-BR433</f>
        <v/>
      </c>
      <c r="BS445" s="1277">
        <f>BS433*BS446-BS433</f>
        <v/>
      </c>
      <c r="BT445" s="1297">
        <f>BS445</f>
        <v/>
      </c>
      <c r="BU445" s="1277">
        <f>BU433*BU446-BU433</f>
        <v/>
      </c>
      <c r="BV445" s="1277">
        <f>BV433*BV446-BV433</f>
        <v/>
      </c>
      <c r="BW445" s="1277">
        <f>BW433*BW446-BW433</f>
        <v/>
      </c>
      <c r="BX445" s="1277">
        <f>BX433*BX446-BX433</f>
        <v/>
      </c>
      <c r="BY445" s="1297">
        <f>BX445</f>
        <v/>
      </c>
      <c r="BZ445" s="1297">
        <f>BZ433*BZ446-BZ433</f>
        <v/>
      </c>
      <c r="CA445" s="1297">
        <f>CA433*CA446-CA433</f>
        <v/>
      </c>
      <c r="CB445" s="1297">
        <f>CB433*CB446-CB433</f>
        <v/>
      </c>
      <c r="CC445" s="1277" t="n"/>
    </row>
    <row r="446" hidden="1" outlineLevel="1" ht="15" customFormat="1" customHeight="1" s="1625">
      <c r="A446" s="1654" t="inlineStr">
        <is>
          <t>Diluted share count to basic share count ratio, x</t>
        </is>
      </c>
      <c r="B446" s="1610" t="n"/>
      <c r="C446" s="1665">
        <f>(C445+C433)/C433</f>
        <v/>
      </c>
      <c r="D446" s="1665">
        <f>(D445+D433)/D433</f>
        <v/>
      </c>
      <c r="E446" s="1665">
        <f>(E445+E433)/E433</f>
        <v/>
      </c>
      <c r="F446" s="1665">
        <f>(F445+F433)/F433</f>
        <v/>
      </c>
      <c r="G446" s="1665">
        <f>(G445+G433)/G433</f>
        <v/>
      </c>
      <c r="H446" s="1666">
        <f>(H445+H433)/H433</f>
        <v/>
      </c>
      <c r="I446" s="1666">
        <f>(I445+I433)/I433</f>
        <v/>
      </c>
      <c r="J446" s="1666">
        <f>(J445+J433)/J433</f>
        <v/>
      </c>
      <c r="K446" s="1666">
        <f>(K445+K433)/K433</f>
        <v/>
      </c>
      <c r="L446" s="1665">
        <f>(L445+L433)/L433</f>
        <v/>
      </c>
      <c r="M446" s="1666">
        <f>(M445+M433)/M433</f>
        <v/>
      </c>
      <c r="N446" s="1666">
        <f>(N445+N433)/N433</f>
        <v/>
      </c>
      <c r="O446" s="1666">
        <f>(O445+O433)/O433</f>
        <v/>
      </c>
      <c r="P446" s="1666">
        <f>(P445+P433)/P433</f>
        <v/>
      </c>
      <c r="Q446" s="1665">
        <f>(Q445+Q433)/Q433</f>
        <v/>
      </c>
      <c r="R446" s="1666">
        <f>(R445+R433)/R433</f>
        <v/>
      </c>
      <c r="S446" s="1666">
        <f>(S445+S433)/S433</f>
        <v/>
      </c>
      <c r="T446" s="1666">
        <f>(T445+T433)/T433</f>
        <v/>
      </c>
      <c r="U446" s="1666">
        <f>(U445+U433)/U433</f>
        <v/>
      </c>
      <c r="V446" s="1665">
        <f>(V445+V433)/V433</f>
        <v/>
      </c>
      <c r="W446" s="1666">
        <f>(W445+W433)/W433</f>
        <v/>
      </c>
      <c r="X446" s="1666">
        <f>(X445+X433)/X433</f>
        <v/>
      </c>
      <c r="Y446" s="1666">
        <f>(Y445+Y433)/Y433</f>
        <v/>
      </c>
      <c r="Z446" s="1666">
        <f>(Z445+Z433)/Z433</f>
        <v/>
      </c>
      <c r="AA446" s="1665">
        <f>(AA445+AA433)/AA433</f>
        <v/>
      </c>
      <c r="AB446" s="1666">
        <f>(AB445+AB433)/AB433</f>
        <v/>
      </c>
      <c r="AC446" s="1666">
        <f>(AC445+AC433)/AC433</f>
        <v/>
      </c>
      <c r="AD446" s="1666">
        <f>(AD445+AD433)/AD433</f>
        <v/>
      </c>
      <c r="AE446" s="1666">
        <f>(AE445+AE433)/AE433</f>
        <v/>
      </c>
      <c r="AF446" s="1665">
        <f>(AF445+AF433)/AF433</f>
        <v/>
      </c>
      <c r="AG446" s="1666">
        <f>(AG445+AG433)/AG433</f>
        <v/>
      </c>
      <c r="AH446" s="1666">
        <f>(AH445+AH433)/AH433</f>
        <v/>
      </c>
      <c r="AI446" s="1666">
        <f>(AI445+AI433)/AI433</f>
        <v/>
      </c>
      <c r="AJ446" s="1666">
        <f>(AJ445+AJ433)/AJ433</f>
        <v/>
      </c>
      <c r="AK446" s="1665">
        <f>(AK445+AK433)/AK433</f>
        <v/>
      </c>
      <c r="AL446" s="1666">
        <f>(AL445+AL433)/AL433</f>
        <v/>
      </c>
      <c r="AM446" s="1666">
        <f>(AM445+AM433)/AM433</f>
        <v/>
      </c>
      <c r="AN446" s="1666">
        <f>(AN445+AN433)/AN433</f>
        <v/>
      </c>
      <c r="AO446" s="1666">
        <f>(AO445+AO433)/AO433</f>
        <v/>
      </c>
      <c r="AP446" s="1665">
        <f>(AP445+AP433)/AP433</f>
        <v/>
      </c>
      <c r="AQ446" s="1666">
        <f>(AQ445+AQ433)/AQ433</f>
        <v/>
      </c>
      <c r="AR446" s="1666">
        <f>(AR445+AR433)/AR433</f>
        <v/>
      </c>
      <c r="AS446" s="1666">
        <f>(AS445+AS433)/AS433</f>
        <v/>
      </c>
      <c r="AT446" s="1666">
        <f>(AT445+AT433)/AT433</f>
        <v/>
      </c>
      <c r="AU446" s="1665">
        <f>(AU445+AU433)/AU433</f>
        <v/>
      </c>
      <c r="AV446" s="1666">
        <f>(AV445+AV433)/AV433</f>
        <v/>
      </c>
      <c r="AW446" s="1666">
        <f>(AW445+AW433)/AW433</f>
        <v/>
      </c>
      <c r="AX446" s="1666">
        <f>(AX445+AX433)/AX433</f>
        <v/>
      </c>
      <c r="AY446" s="1666">
        <f>(AY445+AY433)/AY433</f>
        <v/>
      </c>
      <c r="AZ446" s="1665">
        <f>(AZ445+AZ433)/AZ433</f>
        <v/>
      </c>
      <c r="BA446" s="1666">
        <f>(BA445+BA433)/BA433</f>
        <v/>
      </c>
      <c r="BB446" s="1666">
        <f>(BB445+BB433)/BB433</f>
        <v/>
      </c>
      <c r="BC446" s="1666">
        <f>(BC445+BC433)/BC433</f>
        <v/>
      </c>
      <c r="BD446" s="1666">
        <f>(BD445+BD433)/BD433</f>
        <v/>
      </c>
      <c r="BE446" s="1665">
        <f>(BE445+BE433)/BE433</f>
        <v/>
      </c>
      <c r="BF446" s="1666">
        <f>(BF445+BF433)/BF433</f>
        <v/>
      </c>
      <c r="BG446" s="1666">
        <f>(BG445+BG433)/BG433</f>
        <v/>
      </c>
      <c r="BH446" s="1666">
        <f>(BH445+BH433)/BH433</f>
        <v/>
      </c>
      <c r="BI446" s="1666">
        <f>(BI445+BI433)/BI433</f>
        <v/>
      </c>
      <c r="BJ446" s="1665">
        <f>(BJ445+BJ433)/BJ433</f>
        <v/>
      </c>
      <c r="BK446" s="1666">
        <f>(BK445+BK433)/BK433</f>
        <v/>
      </c>
      <c r="BL446" s="1666">
        <f>(BL445+BL433)/BL433</f>
        <v/>
      </c>
      <c r="BM446" s="1666">
        <f>(BM445+BM433)/BM433</f>
        <v/>
      </c>
      <c r="BN446" s="1666">
        <f>(BN445+BN433)/BN433</f>
        <v/>
      </c>
      <c r="BO446" s="1667">
        <f>(BO445+BO433)/BO433</f>
        <v/>
      </c>
      <c r="BP446" s="1668" t="n">
        <v>1.000004</v>
      </c>
      <c r="BQ446" s="1668" t="n">
        <v>1.000004</v>
      </c>
      <c r="BR446" s="1668" t="n">
        <v>1.000004</v>
      </c>
      <c r="BS446" s="1668" t="n">
        <v>1.000004</v>
      </c>
      <c r="BT446" s="1665">
        <f>(BT445+BT433)/BT433</f>
        <v/>
      </c>
      <c r="BU446" s="1668" t="n">
        <v>1.000004</v>
      </c>
      <c r="BV446" s="1668" t="n">
        <v>1.000004</v>
      </c>
      <c r="BW446" s="1668" t="n">
        <v>1.000004</v>
      </c>
      <c r="BX446" s="1668" t="n">
        <v>1.000004</v>
      </c>
      <c r="BY446" s="1665">
        <f>(BY445+BY433)/BY433</f>
        <v/>
      </c>
      <c r="BZ446" s="1669" t="n">
        <v>1.000004</v>
      </c>
      <c r="CA446" s="1669" t="n">
        <v>1.000004</v>
      </c>
      <c r="CB446" s="1669" t="n">
        <v>1.000004</v>
      </c>
      <c r="CC446" s="1277" t="n"/>
    </row>
    <row r="447" hidden="1" outlineLevel="1" ht="15" customFormat="1" customHeight="1" s="1625">
      <c r="A447" s="1383" t="n"/>
      <c r="B447" s="1387" t="n"/>
      <c r="C447" s="1664" t="n"/>
      <c r="D447" s="1664" t="n"/>
      <c r="E447" s="1664" t="n"/>
      <c r="F447" s="1664" t="n"/>
      <c r="G447" s="1664" t="n"/>
      <c r="H447" s="1662" t="n"/>
      <c r="I447" s="1662" t="n"/>
      <c r="J447" s="1662" t="n"/>
      <c r="K447" s="1662" t="n"/>
      <c r="L447" s="1664" t="n"/>
      <c r="M447" s="1662" t="n"/>
      <c r="N447" s="1662" t="n"/>
      <c r="O447" s="1662" t="n"/>
      <c r="P447" s="1662" t="n"/>
      <c r="Q447" s="1664" t="n"/>
      <c r="R447" s="1662" t="n"/>
      <c r="S447" s="1662" t="n"/>
      <c r="T447" s="1662" t="n"/>
      <c r="U447" s="1662" t="n"/>
      <c r="V447" s="1664" t="n"/>
      <c r="W447" s="1662" t="n"/>
      <c r="X447" s="1662" t="n"/>
      <c r="Y447" s="1662" t="n"/>
      <c r="Z447" s="1662" t="n"/>
      <c r="AA447" s="1664" t="n"/>
      <c r="AB447" s="1662" t="n"/>
      <c r="AC447" s="1662" t="n"/>
      <c r="AD447" s="1662" t="n"/>
      <c r="AE447" s="1662" t="n"/>
      <c r="AF447" s="1664" t="n"/>
      <c r="AG447" s="1662" t="n"/>
      <c r="AH447" s="1662" t="n"/>
      <c r="AI447" s="1662" t="n"/>
      <c r="AJ447" s="1662" t="n"/>
      <c r="AK447" s="1664" t="n"/>
      <c r="AL447" s="1662" t="n"/>
      <c r="AM447" s="1662" t="n"/>
      <c r="AN447" s="1662" t="n"/>
      <c r="AO447" s="1662" t="n"/>
      <c r="AP447" s="1664" t="n"/>
      <c r="AQ447" s="1662" t="n"/>
      <c r="AR447" s="1662" t="n"/>
      <c r="AS447" s="1662" t="n"/>
      <c r="AT447" s="1662" t="n"/>
      <c r="AU447" s="1664" t="n"/>
      <c r="AV447" s="1662" t="n"/>
      <c r="AW447" s="1662" t="n"/>
      <c r="AX447" s="1662" t="n"/>
      <c r="AY447" s="1662" t="n"/>
      <c r="AZ447" s="1664" t="n"/>
      <c r="BA447" s="1662" t="n"/>
      <c r="BB447" s="1662" t="n"/>
      <c r="BC447" s="1662" t="n"/>
      <c r="BD447" s="1662" t="n"/>
      <c r="BE447" s="1664" t="n"/>
      <c r="BF447" s="1662" t="n"/>
      <c r="BG447" s="1662" t="n"/>
      <c r="BH447" s="1662" t="n"/>
      <c r="BI447" s="1662" t="n"/>
      <c r="BJ447" s="1664" t="n"/>
      <c r="BK447" s="1662" t="n"/>
      <c r="BL447" s="1662" t="n"/>
      <c r="BM447" s="1662" t="n"/>
      <c r="BN447" s="1662" t="n"/>
      <c r="BO447" s="1663" t="n"/>
      <c r="BP447" s="1662" t="n"/>
      <c r="BQ447" s="1662" t="n"/>
      <c r="BR447" s="1662" t="n"/>
      <c r="BS447" s="1662" t="n"/>
      <c r="BT447" s="1664" t="n"/>
      <c r="BU447" s="1662" t="n"/>
      <c r="BV447" s="1662" t="n"/>
      <c r="BW447" s="1662" t="n"/>
      <c r="BX447" s="1662" t="n"/>
      <c r="BY447" s="1664" t="n"/>
      <c r="BZ447" s="1664" t="n"/>
      <c r="CA447" s="1664" t="n"/>
      <c r="CB447" s="1664" t="n"/>
      <c r="CC447" s="1277" t="n"/>
    </row>
    <row r="448" hidden="1" outlineLevel="1" ht="15" customFormat="1" customHeight="1" s="1625">
      <c r="A448" s="1383" t="inlineStr">
        <is>
          <t>EoP Total Diluted ADR Outstanding, mm shares</t>
        </is>
      </c>
      <c r="B448" s="1387" t="n"/>
      <c r="C448" s="1297">
        <f>C433+C445</f>
        <v/>
      </c>
      <c r="D448" s="1297">
        <f>D433+D445</f>
        <v/>
      </c>
      <c r="E448" s="1297">
        <f>E433+E445</f>
        <v/>
      </c>
      <c r="F448" s="1297">
        <f>F433+F445</f>
        <v/>
      </c>
      <c r="G448" s="1297">
        <f>G433+G445</f>
        <v/>
      </c>
      <c r="H448" s="1277">
        <f>H433+H445</f>
        <v/>
      </c>
      <c r="I448" s="1277">
        <f>I433+I445</f>
        <v/>
      </c>
      <c r="J448" s="1277">
        <f>J433+J445</f>
        <v/>
      </c>
      <c r="K448" s="1277">
        <f>K433+K445</f>
        <v/>
      </c>
      <c r="L448" s="1297">
        <f>L433+L445</f>
        <v/>
      </c>
      <c r="M448" s="1277">
        <f>M433+M445</f>
        <v/>
      </c>
      <c r="N448" s="1277">
        <f>N433+N445</f>
        <v/>
      </c>
      <c r="O448" s="1277">
        <f>O433+O445</f>
        <v/>
      </c>
      <c r="P448" s="1277">
        <f>P433+P445</f>
        <v/>
      </c>
      <c r="Q448" s="1297">
        <f>Q433+Q445</f>
        <v/>
      </c>
      <c r="R448" s="1277">
        <f>R433+R445</f>
        <v/>
      </c>
      <c r="S448" s="1277">
        <f>S433+S445</f>
        <v/>
      </c>
      <c r="T448" s="1277">
        <f>T433+T445</f>
        <v/>
      </c>
      <c r="U448" s="1277">
        <f>U433+U445</f>
        <v/>
      </c>
      <c r="V448" s="1297">
        <f>V433+V445</f>
        <v/>
      </c>
      <c r="W448" s="1277">
        <f>W433+W445</f>
        <v/>
      </c>
      <c r="X448" s="1277">
        <f>X433+X445</f>
        <v/>
      </c>
      <c r="Y448" s="1277">
        <f>Y433+Y445</f>
        <v/>
      </c>
      <c r="Z448" s="1277">
        <f>Z433+Z445</f>
        <v/>
      </c>
      <c r="AA448" s="1297">
        <f>AA433+AA445</f>
        <v/>
      </c>
      <c r="AB448" s="1277">
        <f>AB433+AB445</f>
        <v/>
      </c>
      <c r="AC448" s="1277">
        <f>AC433+AC445</f>
        <v/>
      </c>
      <c r="AD448" s="1277">
        <f>AD433+AD445</f>
        <v/>
      </c>
      <c r="AE448" s="1277">
        <f>AE433+AE445</f>
        <v/>
      </c>
      <c r="AF448" s="1297">
        <f>AF433+AF445</f>
        <v/>
      </c>
      <c r="AG448" s="1277">
        <f>AG433+AG445</f>
        <v/>
      </c>
      <c r="AH448" s="1277">
        <f>AH433+AH445</f>
        <v/>
      </c>
      <c r="AI448" s="1277">
        <f>AI433+AI445</f>
        <v/>
      </c>
      <c r="AJ448" s="1277">
        <f>AJ433+AJ445</f>
        <v/>
      </c>
      <c r="AK448" s="1297">
        <f>AK433+AK445</f>
        <v/>
      </c>
      <c r="AL448" s="1277">
        <f>AL433+AL445</f>
        <v/>
      </c>
      <c r="AM448" s="1277">
        <f>AM433+AM445</f>
        <v/>
      </c>
      <c r="AN448" s="1277">
        <f>AN433+AN445</f>
        <v/>
      </c>
      <c r="AO448" s="1277">
        <f>AO433+AO445</f>
        <v/>
      </c>
      <c r="AP448" s="1297">
        <f>AP433+AP445</f>
        <v/>
      </c>
      <c r="AQ448" s="1277">
        <f>AQ433+AQ445</f>
        <v/>
      </c>
      <c r="AR448" s="1277">
        <f>AR433+AR445</f>
        <v/>
      </c>
      <c r="AS448" s="1277">
        <f>AS433+AS445</f>
        <v/>
      </c>
      <c r="AT448" s="1277">
        <f>AT433+AT445</f>
        <v/>
      </c>
      <c r="AU448" s="1297">
        <f>AU433+AU445</f>
        <v/>
      </c>
      <c r="AV448" s="1277">
        <f>AV433+AV445</f>
        <v/>
      </c>
      <c r="AW448" s="1277">
        <f>AW433+AW445</f>
        <v/>
      </c>
      <c r="AX448" s="1277">
        <f>AX433+AX445</f>
        <v/>
      </c>
      <c r="AY448" s="1277">
        <f>AY433+AY445</f>
        <v/>
      </c>
      <c r="AZ448" s="1297">
        <f>AZ433+AZ445</f>
        <v/>
      </c>
      <c r="BA448" s="1277">
        <f>BA433+BA445</f>
        <v/>
      </c>
      <c r="BB448" s="1277">
        <f>BB433+BB445</f>
        <v/>
      </c>
      <c r="BC448" s="1277">
        <f>BC433+BC445</f>
        <v/>
      </c>
      <c r="BD448" s="1277">
        <f>BD433+BD445</f>
        <v/>
      </c>
      <c r="BE448" s="1297">
        <f>BE433+BE445</f>
        <v/>
      </c>
      <c r="BF448" s="1277">
        <f>BF433+BF445</f>
        <v/>
      </c>
      <c r="BG448" s="1277">
        <f>BG433+BG445</f>
        <v/>
      </c>
      <c r="BH448" s="1277">
        <f>BH433+BH445</f>
        <v/>
      </c>
      <c r="BI448" s="1277">
        <f>BI433+BI445</f>
        <v/>
      </c>
      <c r="BJ448" s="1297">
        <f>BJ433+BJ445</f>
        <v/>
      </c>
      <c r="BK448" s="1277">
        <f>BK433+BK445</f>
        <v/>
      </c>
      <c r="BL448" s="1277">
        <f>BL433+BL445</f>
        <v/>
      </c>
      <c r="BM448" s="1277">
        <f>BM433+BM445</f>
        <v/>
      </c>
      <c r="BN448" s="1277">
        <f>BN433+BN445</f>
        <v/>
      </c>
      <c r="BO448" s="1382">
        <f>BO433+BO445</f>
        <v/>
      </c>
      <c r="BP448" s="1277">
        <f>BP433+BP445</f>
        <v/>
      </c>
      <c r="BQ448" s="1277">
        <f>BQ433+BQ445</f>
        <v/>
      </c>
      <c r="BR448" s="1277">
        <f>BR433+BR445</f>
        <v/>
      </c>
      <c r="BS448" s="1277">
        <f>BS433+BS445</f>
        <v/>
      </c>
      <c r="BT448" s="1297">
        <f>BT433+BT445</f>
        <v/>
      </c>
      <c r="BU448" s="1277">
        <f>BU433+BU445</f>
        <v/>
      </c>
      <c r="BV448" s="1277">
        <f>BV433+BV445</f>
        <v/>
      </c>
      <c r="BW448" s="1277">
        <f>BW433+BW445</f>
        <v/>
      </c>
      <c r="BX448" s="1277">
        <f>BX433+BX445</f>
        <v/>
      </c>
      <c r="BY448" s="1297">
        <f>BY433+BY445</f>
        <v/>
      </c>
      <c r="BZ448" s="1297">
        <f>BZ433+BZ445</f>
        <v/>
      </c>
      <c r="CA448" s="1297">
        <f>CA433+CA445</f>
        <v/>
      </c>
      <c r="CB448" s="1297">
        <f>CB433+CB445</f>
        <v/>
      </c>
      <c r="CC448" s="1277" t="n"/>
    </row>
    <row r="449" collapsed="1" ht="15" customFormat="1" customHeight="1" s="1275">
      <c r="A449" s="1387" t="n"/>
      <c r="B449" s="1387" t="n"/>
      <c r="C449" s="1297" t="n"/>
      <c r="D449" s="1297" t="n"/>
      <c r="E449" s="1297" t="n"/>
      <c r="F449" s="1297" t="n"/>
      <c r="G449" s="1297" t="n"/>
      <c r="H449" s="1277" t="n"/>
      <c r="I449" s="1277" t="n"/>
      <c r="J449" s="1277" t="n"/>
      <c r="K449" s="1277" t="n"/>
      <c r="L449" s="1297" t="n"/>
      <c r="M449" s="1277" t="n"/>
      <c r="N449" s="1277" t="n"/>
      <c r="O449" s="1277" t="n"/>
      <c r="P449" s="1277" t="n"/>
      <c r="Q449" s="1297" t="n"/>
      <c r="R449" s="1277" t="n"/>
      <c r="S449" s="1277" t="n"/>
      <c r="T449" s="1277" t="n"/>
      <c r="U449" s="1277" t="n"/>
      <c r="V449" s="1297" t="n"/>
      <c r="W449" s="1277" t="n"/>
      <c r="X449" s="1277" t="n"/>
      <c r="Y449" s="1277" t="n"/>
      <c r="Z449" s="1277" t="n"/>
      <c r="AA449" s="1297" t="n"/>
      <c r="AB449" s="1277" t="n"/>
      <c r="AC449" s="1277" t="n"/>
      <c r="AD449" s="1277" t="n"/>
      <c r="AE449" s="1277" t="n"/>
      <c r="AF449" s="1297" t="n"/>
      <c r="AG449" s="1277" t="n"/>
      <c r="AH449" s="1277" t="n"/>
      <c r="AI449" s="1277" t="n"/>
      <c r="AJ449" s="1277" t="n"/>
      <c r="AK449" s="1297" t="n"/>
      <c r="AL449" s="1277" t="n"/>
      <c r="AM449" s="1277" t="n"/>
      <c r="AN449" s="1277" t="n"/>
      <c r="AO449" s="1277" t="n"/>
      <c r="AP449" s="1297" t="n"/>
      <c r="AQ449" s="1277" t="n"/>
      <c r="AR449" s="1277" t="n"/>
      <c r="AS449" s="1277" t="n"/>
      <c r="AT449" s="1277" t="n"/>
      <c r="AU449" s="1297" t="n"/>
      <c r="AV449" s="1277" t="n"/>
      <c r="AW449" s="1277" t="n"/>
      <c r="AX449" s="1277" t="n"/>
      <c r="AY449" s="1277" t="n"/>
      <c r="AZ449" s="1297" t="n"/>
      <c r="BA449" s="1277" t="n"/>
      <c r="BB449" s="1277" t="n"/>
      <c r="BC449" s="1277" t="n"/>
      <c r="BD449" s="1277" t="n"/>
      <c r="BE449" s="1297" t="n"/>
      <c r="BF449" s="1277" t="n"/>
      <c r="BG449" s="1277" t="n"/>
      <c r="BH449" s="1277" t="n"/>
      <c r="BI449" s="1277" t="n"/>
      <c r="BJ449" s="1297" t="n"/>
      <c r="BK449" s="1277" t="n"/>
      <c r="BL449" s="1277" t="n"/>
      <c r="BM449" s="1277" t="n"/>
      <c r="BN449" s="1277" t="n"/>
      <c r="BO449" s="1382" t="n"/>
      <c r="BP449" s="1277" t="n"/>
      <c r="BQ449" s="1277" t="n"/>
      <c r="BR449" s="1277" t="n"/>
      <c r="BS449" s="1277" t="n"/>
      <c r="BT449" s="1297" t="n"/>
      <c r="BU449" s="1277" t="n"/>
      <c r="BV449" s="1277" t="n"/>
      <c r="BW449" s="1277" t="n"/>
      <c r="BX449" s="1277" t="n"/>
      <c r="BY449" s="1297" t="n"/>
      <c r="BZ449" s="1297" t="n"/>
      <c r="CA449" s="1297" t="n"/>
      <c r="CB449" s="1297" t="n"/>
      <c r="CC449" s="1280" t="n"/>
    </row>
    <row r="450" ht="14.4" customFormat="1" customHeight="1" s="1275">
      <c r="A450" s="1357" t="inlineStr">
        <is>
          <t>Cash Flow Summary</t>
        </is>
      </c>
      <c r="B450" s="1358" t="n"/>
      <c r="C450" s="1358" t="n"/>
      <c r="D450" s="1358" t="n"/>
      <c r="E450" s="1358" t="n"/>
      <c r="F450" s="1358" t="n"/>
      <c r="G450" s="1358" t="n"/>
      <c r="H450" s="1358" t="n"/>
      <c r="I450" s="1358" t="n"/>
      <c r="J450" s="1358" t="n"/>
      <c r="K450" s="1358" t="n"/>
      <c r="L450" s="1358" t="n"/>
      <c r="M450" s="1358" t="n"/>
      <c r="N450" s="1358" t="n"/>
      <c r="O450" s="1358" t="n"/>
      <c r="P450" s="1358" t="n"/>
      <c r="Q450" s="1358" t="n"/>
      <c r="R450" s="1358" t="n"/>
      <c r="S450" s="1358" t="n"/>
      <c r="T450" s="1358" t="n"/>
      <c r="U450" s="1358" t="n"/>
      <c r="V450" s="1358" t="n"/>
      <c r="W450" s="1358" t="n"/>
      <c r="X450" s="1358" t="n"/>
      <c r="Y450" s="1358" t="n"/>
      <c r="Z450" s="1358" t="n"/>
      <c r="AA450" s="1358" t="n"/>
      <c r="AB450" s="1358" t="n"/>
      <c r="AC450" s="1358" t="n"/>
      <c r="AD450" s="1358" t="n"/>
      <c r="AE450" s="1358" t="n"/>
      <c r="AF450" s="1358" t="n"/>
      <c r="AG450" s="1358" t="n"/>
      <c r="AH450" s="1358" t="n"/>
      <c r="AI450" s="1358" t="n"/>
      <c r="AJ450" s="1358" t="n"/>
      <c r="AK450" s="1358" t="n"/>
      <c r="AL450" s="1358" t="n"/>
      <c r="AM450" s="1358" t="n"/>
      <c r="AN450" s="1358" t="n"/>
      <c r="AO450" s="1358" t="n"/>
      <c r="AP450" s="1358" t="n"/>
      <c r="AQ450" s="1358" t="n"/>
      <c r="AR450" s="1358" t="n"/>
      <c r="AS450" s="1358" t="n"/>
      <c r="AT450" s="1358" t="n"/>
      <c r="AU450" s="1358" t="n"/>
      <c r="AV450" s="1358" t="n"/>
      <c r="AW450" s="1358" t="n"/>
      <c r="AX450" s="1358" t="n"/>
      <c r="AY450" s="1358" t="n"/>
      <c r="AZ450" s="1358" t="n"/>
      <c r="BA450" s="1358" t="n"/>
      <c r="BB450" s="1358" t="n"/>
      <c r="BC450" s="1358" t="n"/>
      <c r="BD450" s="1358" t="n"/>
      <c r="BE450" s="1358" t="n"/>
      <c r="BF450" s="1358" t="n"/>
      <c r="BG450" s="1358" t="n"/>
      <c r="BH450" s="1358" t="n"/>
      <c r="BI450" s="1358" t="n"/>
      <c r="BJ450" s="1358" t="n"/>
      <c r="BK450" s="1358" t="n"/>
      <c r="BL450" s="1358" t="n"/>
      <c r="BM450" s="1358" t="n"/>
      <c r="BN450" s="1358" t="n"/>
      <c r="BO450" s="1359" t="n"/>
      <c r="BP450" s="1358" t="n"/>
      <c r="BQ450" s="1358" t="n"/>
      <c r="BR450" s="1358" t="n"/>
      <c r="BS450" s="1358" t="n"/>
      <c r="BT450" s="1358" t="n"/>
      <c r="BU450" s="1358" t="n"/>
      <c r="BV450" s="1358" t="n"/>
      <c r="BW450" s="1358" t="n"/>
      <c r="BX450" s="1358" t="n"/>
      <c r="BY450" s="1358" t="n"/>
      <c r="BZ450" s="1358" t="n"/>
      <c r="CA450" s="1358" t="n"/>
      <c r="CB450" s="1358" t="n"/>
      <c r="CC450" s="1280" t="n"/>
    </row>
    <row r="451" hidden="1" outlineLevel="1" ht="14.4" customFormat="1" customHeight="1" s="1275">
      <c r="A451" s="1280" t="inlineStr">
        <is>
          <t>Operating Cash Flow before WC</t>
        </is>
      </c>
      <c r="B451" s="1387" t="n"/>
      <c r="C451" s="1446">
        <f>C715</f>
        <v/>
      </c>
      <c r="D451" s="1446">
        <f>D715</f>
        <v/>
      </c>
      <c r="E451" s="1446">
        <f>E715</f>
        <v/>
      </c>
      <c r="F451" s="1446">
        <f>F715</f>
        <v/>
      </c>
      <c r="G451" s="1446">
        <f>G715</f>
        <v/>
      </c>
      <c r="H451" s="1280">
        <f>H715</f>
        <v/>
      </c>
      <c r="I451" s="1280">
        <f>I715</f>
        <v/>
      </c>
      <c r="J451" s="1280">
        <f>J715</f>
        <v/>
      </c>
      <c r="K451" s="1280">
        <f>K715</f>
        <v/>
      </c>
      <c r="L451" s="1446">
        <f>L715</f>
        <v/>
      </c>
      <c r="M451" s="1280">
        <f>M715</f>
        <v/>
      </c>
      <c r="N451" s="1280">
        <f>N715</f>
        <v/>
      </c>
      <c r="O451" s="1280">
        <f>O715</f>
        <v/>
      </c>
      <c r="P451" s="1280">
        <f>P715</f>
        <v/>
      </c>
      <c r="Q451" s="1446">
        <f>Q715</f>
        <v/>
      </c>
      <c r="R451" s="1280">
        <f>R715</f>
        <v/>
      </c>
      <c r="S451" s="1280">
        <f>S715</f>
        <v/>
      </c>
      <c r="T451" s="1280">
        <f>T715</f>
        <v/>
      </c>
      <c r="U451" s="1280">
        <f>U715</f>
        <v/>
      </c>
      <c r="V451" s="1446">
        <f>V715</f>
        <v/>
      </c>
      <c r="W451" s="1280">
        <f>W715</f>
        <v/>
      </c>
      <c r="X451" s="1280">
        <f>X715</f>
        <v/>
      </c>
      <c r="Y451" s="1280">
        <f>Y715</f>
        <v/>
      </c>
      <c r="Z451" s="1280">
        <f>Z715</f>
        <v/>
      </c>
      <c r="AA451" s="1446">
        <f>AA715</f>
        <v/>
      </c>
      <c r="AB451" s="1280">
        <f>AB715</f>
        <v/>
      </c>
      <c r="AC451" s="1280">
        <f>AC715</f>
        <v/>
      </c>
      <c r="AD451" s="1280">
        <f>AD715</f>
        <v/>
      </c>
      <c r="AE451" s="1280">
        <f>AE715</f>
        <v/>
      </c>
      <c r="AF451" s="1446">
        <f>AF715</f>
        <v/>
      </c>
      <c r="AG451" s="1280">
        <f>AG715</f>
        <v/>
      </c>
      <c r="AH451" s="1280">
        <f>AH715</f>
        <v/>
      </c>
      <c r="AI451" s="1280">
        <f>AI715</f>
        <v/>
      </c>
      <c r="AJ451" s="1280">
        <f>AJ715</f>
        <v/>
      </c>
      <c r="AK451" s="1446">
        <f>AK715</f>
        <v/>
      </c>
      <c r="AL451" s="1280">
        <f>AL715</f>
        <v/>
      </c>
      <c r="AM451" s="1280">
        <f>AM715</f>
        <v/>
      </c>
      <c r="AN451" s="1280">
        <f>AN715</f>
        <v/>
      </c>
      <c r="AO451" s="1280">
        <f>AO715</f>
        <v/>
      </c>
      <c r="AP451" s="1446">
        <f>AP715</f>
        <v/>
      </c>
      <c r="AQ451" s="1280">
        <f>AQ715</f>
        <v/>
      </c>
      <c r="AR451" s="1280">
        <f>AR715</f>
        <v/>
      </c>
      <c r="AS451" s="1280">
        <f>AS715</f>
        <v/>
      </c>
      <c r="AT451" s="1280">
        <f>AT715</f>
        <v/>
      </c>
      <c r="AU451" s="1446">
        <f>AU715</f>
        <v/>
      </c>
      <c r="AV451" s="1280">
        <f>AV715</f>
        <v/>
      </c>
      <c r="AW451" s="1280">
        <f>AW715</f>
        <v/>
      </c>
      <c r="AX451" s="1280">
        <f>AX715</f>
        <v/>
      </c>
      <c r="AY451" s="1280">
        <f>AY715</f>
        <v/>
      </c>
      <c r="AZ451" s="1446">
        <f>AZ715</f>
        <v/>
      </c>
      <c r="BA451" s="1280">
        <f>BA715</f>
        <v/>
      </c>
      <c r="BB451" s="1280">
        <f>BB715</f>
        <v/>
      </c>
      <c r="BC451" s="1280">
        <f>BC715</f>
        <v/>
      </c>
      <c r="BD451" s="1280">
        <f>BD715</f>
        <v/>
      </c>
      <c r="BE451" s="1446">
        <f>BE715</f>
        <v/>
      </c>
      <c r="BF451" s="1280">
        <f>BF715</f>
        <v/>
      </c>
      <c r="BG451" s="1280">
        <f>BG715</f>
        <v/>
      </c>
      <c r="BH451" s="1280">
        <f>BH715</f>
        <v/>
      </c>
      <c r="BI451" s="1280">
        <f>BI715</f>
        <v/>
      </c>
      <c r="BJ451" s="1446">
        <f>BJ715</f>
        <v/>
      </c>
      <c r="BK451" s="1280">
        <f>BK715</f>
        <v/>
      </c>
      <c r="BL451" s="1280">
        <f>BL715</f>
        <v/>
      </c>
      <c r="BM451" s="1280">
        <f>BM715</f>
        <v/>
      </c>
      <c r="BN451" s="1280">
        <f>BN715</f>
        <v/>
      </c>
      <c r="BO451" s="1300">
        <f>BO715</f>
        <v/>
      </c>
      <c r="BP451" s="1277">
        <f>BP715</f>
        <v/>
      </c>
      <c r="BQ451" s="1277">
        <f>BQ715</f>
        <v/>
      </c>
      <c r="BR451" s="1277">
        <f>BR715</f>
        <v/>
      </c>
      <c r="BS451" s="1277">
        <f>BS715</f>
        <v/>
      </c>
      <c r="BT451" s="1297">
        <f>BT715</f>
        <v/>
      </c>
      <c r="BU451" s="1277">
        <f>BU715</f>
        <v/>
      </c>
      <c r="BV451" s="1277">
        <f>BV715</f>
        <v/>
      </c>
      <c r="BW451" s="1277">
        <f>BW715</f>
        <v/>
      </c>
      <c r="BX451" s="1277">
        <f>BX715</f>
        <v/>
      </c>
      <c r="BY451" s="1297">
        <f>BY715</f>
        <v/>
      </c>
      <c r="BZ451" s="1297">
        <f>BZ715</f>
        <v/>
      </c>
      <c r="CA451" s="1297">
        <f>CA715</f>
        <v/>
      </c>
      <c r="CB451" s="1297">
        <f>CB715</f>
        <v/>
      </c>
      <c r="CC451" s="1280" t="n"/>
    </row>
    <row r="452" hidden="1" outlineLevel="1" ht="14.4" customFormat="1" customHeight="1" s="1275">
      <c r="A452" s="1388" t="inlineStr">
        <is>
          <t>Change in Working Capital</t>
        </is>
      </c>
      <c r="B452" s="1389" t="n"/>
      <c r="C452" s="1364">
        <f>C453-C451</f>
        <v/>
      </c>
      <c r="D452" s="1364">
        <f>D453-D451</f>
        <v/>
      </c>
      <c r="E452" s="1364">
        <f>E453-E451</f>
        <v/>
      </c>
      <c r="F452" s="1364">
        <f>F453-F451</f>
        <v/>
      </c>
      <c r="G452" s="1364">
        <f>G453-G451</f>
        <v/>
      </c>
      <c r="H452" s="1365">
        <f>H453-H451</f>
        <v/>
      </c>
      <c r="I452" s="1365">
        <f>I453-I451</f>
        <v/>
      </c>
      <c r="J452" s="1365">
        <f>J453-J451</f>
        <v/>
      </c>
      <c r="K452" s="1365">
        <f>K453-K451</f>
        <v/>
      </c>
      <c r="L452" s="1364">
        <f>L453-L451</f>
        <v/>
      </c>
      <c r="M452" s="1365">
        <f>M453-M451</f>
        <v/>
      </c>
      <c r="N452" s="1365">
        <f>N453-N451</f>
        <v/>
      </c>
      <c r="O452" s="1365">
        <f>O453-O451</f>
        <v/>
      </c>
      <c r="P452" s="1365">
        <f>P453-P451</f>
        <v/>
      </c>
      <c r="Q452" s="1364">
        <f>Q453-Q451</f>
        <v/>
      </c>
      <c r="R452" s="1365">
        <f>R453-R451</f>
        <v/>
      </c>
      <c r="S452" s="1365">
        <f>S453-S451</f>
        <v/>
      </c>
      <c r="T452" s="1365">
        <f>T453-T451</f>
        <v/>
      </c>
      <c r="U452" s="1365">
        <f>U453-U451</f>
        <v/>
      </c>
      <c r="V452" s="1364">
        <f>V453-V451</f>
        <v/>
      </c>
      <c r="W452" s="1365">
        <f>W453-W451</f>
        <v/>
      </c>
      <c r="X452" s="1365">
        <f>X453-X451</f>
        <v/>
      </c>
      <c r="Y452" s="1365">
        <f>Y453-Y451</f>
        <v/>
      </c>
      <c r="Z452" s="1365">
        <f>Z453-Z451</f>
        <v/>
      </c>
      <c r="AA452" s="1364">
        <f>AA453-AA451</f>
        <v/>
      </c>
      <c r="AB452" s="1365">
        <f>AB453-AB451</f>
        <v/>
      </c>
      <c r="AC452" s="1365">
        <f>AC453-AC451</f>
        <v/>
      </c>
      <c r="AD452" s="1365">
        <f>AD453-AD451</f>
        <v/>
      </c>
      <c r="AE452" s="1365">
        <f>AE453-AE451</f>
        <v/>
      </c>
      <c r="AF452" s="1364">
        <f>AF453-AF451</f>
        <v/>
      </c>
      <c r="AG452" s="1365">
        <f>AG453-AG451</f>
        <v/>
      </c>
      <c r="AH452" s="1365">
        <f>AH453-AH451</f>
        <v/>
      </c>
      <c r="AI452" s="1365">
        <f>AI453-AI451</f>
        <v/>
      </c>
      <c r="AJ452" s="1365">
        <f>AJ453-AJ451</f>
        <v/>
      </c>
      <c r="AK452" s="1364">
        <f>AK453-AK451</f>
        <v/>
      </c>
      <c r="AL452" s="1365">
        <f>AL453-AL451</f>
        <v/>
      </c>
      <c r="AM452" s="1365">
        <f>AM453-AM451</f>
        <v/>
      </c>
      <c r="AN452" s="1365">
        <f>AN453-AN451</f>
        <v/>
      </c>
      <c r="AO452" s="1365">
        <f>AO453-AO451</f>
        <v/>
      </c>
      <c r="AP452" s="1364">
        <f>AP453-AP451</f>
        <v/>
      </c>
      <c r="AQ452" s="1365">
        <f>AQ453-AQ451</f>
        <v/>
      </c>
      <c r="AR452" s="1365">
        <f>AR453-AR451</f>
        <v/>
      </c>
      <c r="AS452" s="1365">
        <f>AS453-AS451</f>
        <v/>
      </c>
      <c r="AT452" s="1365">
        <f>AT453-AT451</f>
        <v/>
      </c>
      <c r="AU452" s="1364">
        <f>AU453-AU451</f>
        <v/>
      </c>
      <c r="AV452" s="1365">
        <f>AV453-AV451</f>
        <v/>
      </c>
      <c r="AW452" s="1365">
        <f>AW453-AW451</f>
        <v/>
      </c>
      <c r="AX452" s="1365">
        <f>AX453-AX451</f>
        <v/>
      </c>
      <c r="AY452" s="1365">
        <f>AY453-AY451</f>
        <v/>
      </c>
      <c r="AZ452" s="1364">
        <f>AZ453-AZ451</f>
        <v/>
      </c>
      <c r="BA452" s="1365">
        <f>BA453-BA451</f>
        <v/>
      </c>
      <c r="BB452" s="1365">
        <f>BB453-BB451</f>
        <v/>
      </c>
      <c r="BC452" s="1365">
        <f>BC453-BC451</f>
        <v/>
      </c>
      <c r="BD452" s="1365">
        <f>BD453-BD451</f>
        <v/>
      </c>
      <c r="BE452" s="1364">
        <f>BE453-BE451</f>
        <v/>
      </c>
      <c r="BF452" s="1365">
        <f>BF453-BF451</f>
        <v/>
      </c>
      <c r="BG452" s="1365">
        <f>BG453-BG451</f>
        <v/>
      </c>
      <c r="BH452" s="1365">
        <f>BH453-BH451</f>
        <v/>
      </c>
      <c r="BI452" s="1365">
        <f>BI453-BI451</f>
        <v/>
      </c>
      <c r="BJ452" s="1364">
        <f>BJ453-BJ451</f>
        <v/>
      </c>
      <c r="BK452" s="1365">
        <f>BK453-BK451</f>
        <v/>
      </c>
      <c r="BL452" s="1365">
        <f>BL453-BL451</f>
        <v/>
      </c>
      <c r="BM452" s="1365">
        <f>BM453-BM451</f>
        <v/>
      </c>
      <c r="BN452" s="1365">
        <f>BN453-BN451</f>
        <v/>
      </c>
      <c r="BO452" s="1366">
        <f>BO453-BO451</f>
        <v/>
      </c>
      <c r="BP452" s="1365">
        <f>BP453-BP451</f>
        <v/>
      </c>
      <c r="BQ452" s="1365">
        <f>BQ453-BQ451</f>
        <v/>
      </c>
      <c r="BR452" s="1365">
        <f>BR453-BR451</f>
        <v/>
      </c>
      <c r="BS452" s="1365">
        <f>BS453-BS451</f>
        <v/>
      </c>
      <c r="BT452" s="1364">
        <f>BT453-BT451</f>
        <v/>
      </c>
      <c r="BU452" s="1365">
        <f>BU453-BU451</f>
        <v/>
      </c>
      <c r="BV452" s="1365">
        <f>BV453-BV451</f>
        <v/>
      </c>
      <c r="BW452" s="1365">
        <f>BW453-BW451</f>
        <v/>
      </c>
      <c r="BX452" s="1365">
        <f>BX453-BX451</f>
        <v/>
      </c>
      <c r="BY452" s="1364">
        <f>BY453-BY451</f>
        <v/>
      </c>
      <c r="BZ452" s="1364">
        <f>BZ453-BZ451</f>
        <v/>
      </c>
      <c r="CA452" s="1364">
        <f>CA453-CA451</f>
        <v/>
      </c>
      <c r="CB452" s="1364">
        <f>CB453-CB451</f>
        <v/>
      </c>
      <c r="CC452" s="1280" t="n"/>
    </row>
    <row r="453" collapsed="1" ht="14.4" customFormat="1" customHeight="1" s="1275">
      <c r="A453" s="1344" t="inlineStr">
        <is>
          <t>Operating Cash Flow after WC</t>
        </is>
      </c>
      <c r="B453" s="1394" t="n"/>
      <c r="C453" s="1345">
        <f>C737</f>
        <v/>
      </c>
      <c r="D453" s="1345">
        <f>D737</f>
        <v/>
      </c>
      <c r="E453" s="1345">
        <f>E737</f>
        <v/>
      </c>
      <c r="F453" s="1345">
        <f>F737</f>
        <v/>
      </c>
      <c r="G453" s="1345">
        <f>G737</f>
        <v/>
      </c>
      <c r="H453" s="1346">
        <f>H737</f>
        <v/>
      </c>
      <c r="I453" s="1346">
        <f>I737</f>
        <v/>
      </c>
      <c r="J453" s="1346">
        <f>J737</f>
        <v/>
      </c>
      <c r="K453" s="1346">
        <f>K737</f>
        <v/>
      </c>
      <c r="L453" s="1345">
        <f>L737</f>
        <v/>
      </c>
      <c r="M453" s="1346">
        <f>M737</f>
        <v/>
      </c>
      <c r="N453" s="1346">
        <f>N737</f>
        <v/>
      </c>
      <c r="O453" s="1346">
        <f>O737</f>
        <v/>
      </c>
      <c r="P453" s="1346">
        <f>P737</f>
        <v/>
      </c>
      <c r="Q453" s="1345">
        <f>Q737</f>
        <v/>
      </c>
      <c r="R453" s="1346">
        <f>R737</f>
        <v/>
      </c>
      <c r="S453" s="1346">
        <f>S737</f>
        <v/>
      </c>
      <c r="T453" s="1346">
        <f>T737</f>
        <v/>
      </c>
      <c r="U453" s="1346">
        <f>U737</f>
        <v/>
      </c>
      <c r="V453" s="1345">
        <f>V737</f>
        <v/>
      </c>
      <c r="W453" s="1346">
        <f>W737</f>
        <v/>
      </c>
      <c r="X453" s="1346">
        <f>X737</f>
        <v/>
      </c>
      <c r="Y453" s="1346">
        <f>Y737</f>
        <v/>
      </c>
      <c r="Z453" s="1346">
        <f>Z737</f>
        <v/>
      </c>
      <c r="AA453" s="1345">
        <f>AA737</f>
        <v/>
      </c>
      <c r="AB453" s="1346">
        <f>AB737</f>
        <v/>
      </c>
      <c r="AC453" s="1346">
        <f>AC737</f>
        <v/>
      </c>
      <c r="AD453" s="1346">
        <f>AD737</f>
        <v/>
      </c>
      <c r="AE453" s="1346">
        <f>AE737</f>
        <v/>
      </c>
      <c r="AF453" s="1345">
        <f>AF737</f>
        <v/>
      </c>
      <c r="AG453" s="1346">
        <f>AG737</f>
        <v/>
      </c>
      <c r="AH453" s="1346">
        <f>AH737</f>
        <v/>
      </c>
      <c r="AI453" s="1346">
        <f>AI737</f>
        <v/>
      </c>
      <c r="AJ453" s="1346">
        <f>AJ737</f>
        <v/>
      </c>
      <c r="AK453" s="1345">
        <f>AK737</f>
        <v/>
      </c>
      <c r="AL453" s="1346">
        <f>AL737</f>
        <v/>
      </c>
      <c r="AM453" s="1346">
        <f>AM737</f>
        <v/>
      </c>
      <c r="AN453" s="1346">
        <f>AN737</f>
        <v/>
      </c>
      <c r="AO453" s="1346">
        <f>AO737</f>
        <v/>
      </c>
      <c r="AP453" s="1345">
        <f>AP737</f>
        <v/>
      </c>
      <c r="AQ453" s="1346">
        <f>AQ737</f>
        <v/>
      </c>
      <c r="AR453" s="1346">
        <f>AR737</f>
        <v/>
      </c>
      <c r="AS453" s="1346">
        <f>AS737</f>
        <v/>
      </c>
      <c r="AT453" s="1346">
        <f>AT737</f>
        <v/>
      </c>
      <c r="AU453" s="1345">
        <f>AU737</f>
        <v/>
      </c>
      <c r="AV453" s="1346">
        <f>AV737</f>
        <v/>
      </c>
      <c r="AW453" s="1346">
        <f>AW737</f>
        <v/>
      </c>
      <c r="AX453" s="1346">
        <f>AX737</f>
        <v/>
      </c>
      <c r="AY453" s="1346">
        <f>AY737</f>
        <v/>
      </c>
      <c r="AZ453" s="1345">
        <f>AZ737</f>
        <v/>
      </c>
      <c r="BA453" s="1346">
        <f>BA737</f>
        <v/>
      </c>
      <c r="BB453" s="1346">
        <f>BB737</f>
        <v/>
      </c>
      <c r="BC453" s="1346">
        <f>BC737</f>
        <v/>
      </c>
      <c r="BD453" s="1346">
        <f>BD737</f>
        <v/>
      </c>
      <c r="BE453" s="1345">
        <f>BE737</f>
        <v/>
      </c>
      <c r="BF453" s="1346">
        <f>BF737</f>
        <v/>
      </c>
      <c r="BG453" s="1346">
        <f>BG737</f>
        <v/>
      </c>
      <c r="BH453" s="1346">
        <f>BH737</f>
        <v/>
      </c>
      <c r="BI453" s="1346">
        <f>BI737</f>
        <v/>
      </c>
      <c r="BJ453" s="1345">
        <f>BJ737</f>
        <v/>
      </c>
      <c r="BK453" s="1346">
        <f>BK737</f>
        <v/>
      </c>
      <c r="BL453" s="1346">
        <f>BL737</f>
        <v/>
      </c>
      <c r="BM453" s="1346">
        <f>BM737</f>
        <v/>
      </c>
      <c r="BN453" s="1346">
        <f>BN737</f>
        <v/>
      </c>
      <c r="BO453" s="1347">
        <f>BO737</f>
        <v/>
      </c>
      <c r="BP453" s="1346">
        <f>BP737</f>
        <v/>
      </c>
      <c r="BQ453" s="1346">
        <f>BQ737</f>
        <v/>
      </c>
      <c r="BR453" s="1346">
        <f>BR737</f>
        <v/>
      </c>
      <c r="BS453" s="1346">
        <f>BS737</f>
        <v/>
      </c>
      <c r="BT453" s="1345">
        <f>BT737</f>
        <v/>
      </c>
      <c r="BU453" s="1346">
        <f>BU737</f>
        <v/>
      </c>
      <c r="BV453" s="1346">
        <f>BV737</f>
        <v/>
      </c>
      <c r="BW453" s="1346">
        <f>BW737</f>
        <v/>
      </c>
      <c r="BX453" s="1346">
        <f>BX737</f>
        <v/>
      </c>
      <c r="BY453" s="1345">
        <f>BY737</f>
        <v/>
      </c>
      <c r="BZ453" s="1345">
        <f>BZ737</f>
        <v/>
      </c>
      <c r="CA453" s="1345">
        <f>CA737</f>
        <v/>
      </c>
      <c r="CB453" s="1345">
        <f>CB737</f>
        <v/>
      </c>
      <c r="CC453" s="1280" t="n"/>
    </row>
    <row r="454" hidden="1" outlineLevel="1" ht="14.4" customFormat="1" customHeight="1" s="1670">
      <c r="A454" s="1643" t="inlineStr">
        <is>
          <t>Cash Flow Per Diluted Share before WC</t>
        </is>
      </c>
      <c r="B454" s="1671" t="n"/>
      <c r="C454" s="1672">
        <f>C451/C426</f>
        <v/>
      </c>
      <c r="D454" s="1672">
        <f>D451/D426</f>
        <v/>
      </c>
      <c r="E454" s="1673">
        <f>E451/E426</f>
        <v/>
      </c>
      <c r="F454" s="1673">
        <f>F451/F426</f>
        <v/>
      </c>
      <c r="G454" s="1673">
        <f>G451/G426</f>
        <v/>
      </c>
      <c r="H454" s="1674">
        <f>H451/H426</f>
        <v/>
      </c>
      <c r="I454" s="1674">
        <f>I451/I426</f>
        <v/>
      </c>
      <c r="J454" s="1674">
        <f>J451/J426</f>
        <v/>
      </c>
      <c r="K454" s="1674">
        <f>K451/K426</f>
        <v/>
      </c>
      <c r="L454" s="1673">
        <f>L451/L426</f>
        <v/>
      </c>
      <c r="M454" s="1674">
        <f>M451/M426</f>
        <v/>
      </c>
      <c r="N454" s="1674">
        <f>N451/N426</f>
        <v/>
      </c>
      <c r="O454" s="1674">
        <f>O451/O426</f>
        <v/>
      </c>
      <c r="P454" s="1674">
        <f>P451/P426</f>
        <v/>
      </c>
      <c r="Q454" s="1673">
        <f>Q451/Q426</f>
        <v/>
      </c>
      <c r="R454" s="1674">
        <f>R451/R426</f>
        <v/>
      </c>
      <c r="S454" s="1674">
        <f>S451/S426</f>
        <v/>
      </c>
      <c r="T454" s="1674">
        <f>T451/T426</f>
        <v/>
      </c>
      <c r="U454" s="1674">
        <f>U451/U426</f>
        <v/>
      </c>
      <c r="V454" s="1673">
        <f>V451/V426</f>
        <v/>
      </c>
      <c r="W454" s="1674">
        <f>W451/W426</f>
        <v/>
      </c>
      <c r="X454" s="1674">
        <f>X451/X426</f>
        <v/>
      </c>
      <c r="Y454" s="1674">
        <f>Y451/Y426</f>
        <v/>
      </c>
      <c r="Z454" s="1674">
        <f>Z451/Z426</f>
        <v/>
      </c>
      <c r="AA454" s="1673">
        <f>AA451/AA426</f>
        <v/>
      </c>
      <c r="AB454" s="1674">
        <f>AB451/AB426</f>
        <v/>
      </c>
      <c r="AC454" s="1674">
        <f>AC451/AC426</f>
        <v/>
      </c>
      <c r="AD454" s="1674">
        <f>AD451/AD426</f>
        <v/>
      </c>
      <c r="AE454" s="1674">
        <f>AE451/AE426</f>
        <v/>
      </c>
      <c r="AF454" s="1673">
        <f>AF451/AF426</f>
        <v/>
      </c>
      <c r="AG454" s="1674">
        <f>AG451/AG426</f>
        <v/>
      </c>
      <c r="AH454" s="1674">
        <f>AH451/AH426</f>
        <v/>
      </c>
      <c r="AI454" s="1674">
        <f>AI451/AI426</f>
        <v/>
      </c>
      <c r="AJ454" s="1674">
        <f>AJ451/AJ426</f>
        <v/>
      </c>
      <c r="AK454" s="1673">
        <f>AK451/AK426</f>
        <v/>
      </c>
      <c r="AL454" s="1674">
        <f>AL451/AL426</f>
        <v/>
      </c>
      <c r="AM454" s="1674">
        <f>AM451/AM426</f>
        <v/>
      </c>
      <c r="AN454" s="1674">
        <f>AN451/AN426</f>
        <v/>
      </c>
      <c r="AO454" s="1674">
        <f>AO451/AO426</f>
        <v/>
      </c>
      <c r="AP454" s="1673">
        <f>AP451/AP426</f>
        <v/>
      </c>
      <c r="AQ454" s="1674">
        <f>AQ451/AQ426</f>
        <v/>
      </c>
      <c r="AR454" s="1674">
        <f>AR451/AR426</f>
        <v/>
      </c>
      <c r="AS454" s="1674">
        <f>AS451/AS426</f>
        <v/>
      </c>
      <c r="AT454" s="1674">
        <f>AT451/AT426</f>
        <v/>
      </c>
      <c r="AU454" s="1673">
        <f>AU451/AU426</f>
        <v/>
      </c>
      <c r="AV454" s="1674">
        <f>AV451/AV426</f>
        <v/>
      </c>
      <c r="AW454" s="1674">
        <f>AW451/AW426</f>
        <v/>
      </c>
      <c r="AX454" s="1674">
        <f>AX451/AX426</f>
        <v/>
      </c>
      <c r="AY454" s="1674">
        <f>AY451/AY426</f>
        <v/>
      </c>
      <c r="AZ454" s="1673">
        <f>AZ451/AZ426</f>
        <v/>
      </c>
      <c r="BA454" s="1674">
        <f>BA451/BA426</f>
        <v/>
      </c>
      <c r="BB454" s="1674">
        <f>BB451/BB426</f>
        <v/>
      </c>
      <c r="BC454" s="1674">
        <f>BC451/BC426</f>
        <v/>
      </c>
      <c r="BD454" s="1674">
        <f>BD451/BD426</f>
        <v/>
      </c>
      <c r="BE454" s="1673">
        <f>BE451/BE426</f>
        <v/>
      </c>
      <c r="BF454" s="1674">
        <f>BF451/BF426</f>
        <v/>
      </c>
      <c r="BG454" s="1674">
        <f>BG451/BG426</f>
        <v/>
      </c>
      <c r="BH454" s="1674">
        <f>BH451/BH426</f>
        <v/>
      </c>
      <c r="BI454" s="1674">
        <f>BI451/BI426</f>
        <v/>
      </c>
      <c r="BJ454" s="1673">
        <f>BJ451/BJ426</f>
        <v/>
      </c>
      <c r="BK454" s="1674">
        <f>BK451/BK426</f>
        <v/>
      </c>
      <c r="BL454" s="1674">
        <f>BL451/BL426</f>
        <v/>
      </c>
      <c r="BM454" s="1674">
        <f>BM451/BM426</f>
        <v/>
      </c>
      <c r="BN454" s="1674">
        <f>BN451/BN426</f>
        <v/>
      </c>
      <c r="BO454" s="1675">
        <f>BO451/BO426</f>
        <v/>
      </c>
      <c r="BP454" s="1674">
        <f>BP451/BP426</f>
        <v/>
      </c>
      <c r="BQ454" s="1674">
        <f>BQ451/BQ426</f>
        <v/>
      </c>
      <c r="BR454" s="1674">
        <f>BR451/BR426</f>
        <v/>
      </c>
      <c r="BS454" s="1674">
        <f>BS451/BS426</f>
        <v/>
      </c>
      <c r="BT454" s="1673">
        <f>BT451/BT426</f>
        <v/>
      </c>
      <c r="BU454" s="1674">
        <f>BU451/BU426</f>
        <v/>
      </c>
      <c r="BV454" s="1674">
        <f>BV451/BV426</f>
        <v/>
      </c>
      <c r="BW454" s="1674">
        <f>BW451/BW426</f>
        <v/>
      </c>
      <c r="BX454" s="1674">
        <f>BX451/BX426</f>
        <v/>
      </c>
      <c r="BY454" s="1673">
        <f>BY451/BY426</f>
        <v/>
      </c>
      <c r="BZ454" s="1673">
        <f>BZ451/BZ426</f>
        <v/>
      </c>
      <c r="CA454" s="1673">
        <f>CA451/CA426</f>
        <v/>
      </c>
      <c r="CB454" s="1673">
        <f>CB451/CB426</f>
        <v/>
      </c>
      <c r="CC454" s="1676" t="n"/>
    </row>
    <row r="455" collapsed="1" ht="14.4" customFormat="1" customHeight="1" s="1670">
      <c r="A455" s="1643" t="inlineStr">
        <is>
          <t>Cash Flow Per Diluted Share</t>
        </is>
      </c>
      <c r="B455" s="1671" t="n"/>
      <c r="C455" s="1672">
        <f>C453/C426</f>
        <v/>
      </c>
      <c r="D455" s="1672">
        <f>D453/D426</f>
        <v/>
      </c>
      <c r="E455" s="1673">
        <f>E453/E426</f>
        <v/>
      </c>
      <c r="F455" s="1673">
        <f>F453/F426</f>
        <v/>
      </c>
      <c r="G455" s="1673">
        <f>G453/G426</f>
        <v/>
      </c>
      <c r="H455" s="1674">
        <f>H453/H426</f>
        <v/>
      </c>
      <c r="I455" s="1674">
        <f>I453/I426</f>
        <v/>
      </c>
      <c r="J455" s="1674">
        <f>J453/J426</f>
        <v/>
      </c>
      <c r="K455" s="1674">
        <f>K453/K426</f>
        <v/>
      </c>
      <c r="L455" s="1673">
        <f>L453/L426</f>
        <v/>
      </c>
      <c r="M455" s="1674">
        <f>M453/M426</f>
        <v/>
      </c>
      <c r="N455" s="1674">
        <f>N453/N426</f>
        <v/>
      </c>
      <c r="O455" s="1674">
        <f>O453/O426</f>
        <v/>
      </c>
      <c r="P455" s="1674">
        <f>P453/P426</f>
        <v/>
      </c>
      <c r="Q455" s="1673">
        <f>Q453/Q426</f>
        <v/>
      </c>
      <c r="R455" s="1674">
        <f>R453/R426</f>
        <v/>
      </c>
      <c r="S455" s="1674">
        <f>S453/S426</f>
        <v/>
      </c>
      <c r="T455" s="1674">
        <f>T453/T426</f>
        <v/>
      </c>
      <c r="U455" s="1674">
        <f>U453/U426</f>
        <v/>
      </c>
      <c r="V455" s="1673">
        <f>V453/V426</f>
        <v/>
      </c>
      <c r="W455" s="1674">
        <f>W453/W426</f>
        <v/>
      </c>
      <c r="X455" s="1674">
        <f>X453/X426</f>
        <v/>
      </c>
      <c r="Y455" s="1674">
        <f>Y453/Y426</f>
        <v/>
      </c>
      <c r="Z455" s="1674">
        <f>Z453/Z426</f>
        <v/>
      </c>
      <c r="AA455" s="1673">
        <f>AA453/AA426</f>
        <v/>
      </c>
      <c r="AB455" s="1674">
        <f>AB453/AB426</f>
        <v/>
      </c>
      <c r="AC455" s="1674">
        <f>AC453/AC426</f>
        <v/>
      </c>
      <c r="AD455" s="1674">
        <f>AD453/AD426</f>
        <v/>
      </c>
      <c r="AE455" s="1674">
        <f>AE453/AE426</f>
        <v/>
      </c>
      <c r="AF455" s="1673">
        <f>AF453/AF426</f>
        <v/>
      </c>
      <c r="AG455" s="1674">
        <f>AG453/AG426</f>
        <v/>
      </c>
      <c r="AH455" s="1674">
        <f>AH453/AH426</f>
        <v/>
      </c>
      <c r="AI455" s="1674">
        <f>AI453/AI426</f>
        <v/>
      </c>
      <c r="AJ455" s="1674">
        <f>AJ453/AJ426</f>
        <v/>
      </c>
      <c r="AK455" s="1673">
        <f>AK453/AK426</f>
        <v/>
      </c>
      <c r="AL455" s="1674">
        <f>AL453/AL426</f>
        <v/>
      </c>
      <c r="AM455" s="1674">
        <f>AM453/AM426</f>
        <v/>
      </c>
      <c r="AN455" s="1674">
        <f>AN453/AN426</f>
        <v/>
      </c>
      <c r="AO455" s="1674">
        <f>AO453/AO426</f>
        <v/>
      </c>
      <c r="AP455" s="1673">
        <f>AP453/AP426</f>
        <v/>
      </c>
      <c r="AQ455" s="1674">
        <f>AQ453/AQ426</f>
        <v/>
      </c>
      <c r="AR455" s="1674">
        <f>AR453/AR426</f>
        <v/>
      </c>
      <c r="AS455" s="1674">
        <f>AS453/AS426</f>
        <v/>
      </c>
      <c r="AT455" s="1674">
        <f>AT453/AT426</f>
        <v/>
      </c>
      <c r="AU455" s="1673">
        <f>AU453/AU426</f>
        <v/>
      </c>
      <c r="AV455" s="1674">
        <f>AV453/AV426</f>
        <v/>
      </c>
      <c r="AW455" s="1674">
        <f>AW453/AW426</f>
        <v/>
      </c>
      <c r="AX455" s="1674">
        <f>AX453/AX426</f>
        <v/>
      </c>
      <c r="AY455" s="1674">
        <f>AY453/AY426</f>
        <v/>
      </c>
      <c r="AZ455" s="1673">
        <f>AZ453/AZ426</f>
        <v/>
      </c>
      <c r="BA455" s="1674">
        <f>BA453/BA426</f>
        <v/>
      </c>
      <c r="BB455" s="1674">
        <f>BB453/BB426</f>
        <v/>
      </c>
      <c r="BC455" s="1674">
        <f>BC453/BC426</f>
        <v/>
      </c>
      <c r="BD455" s="1674">
        <f>BD453/BD426</f>
        <v/>
      </c>
      <c r="BE455" s="1673">
        <f>BE453/BE426</f>
        <v/>
      </c>
      <c r="BF455" s="1674">
        <f>BF453/BF426</f>
        <v/>
      </c>
      <c r="BG455" s="1674">
        <f>BG453/BG426</f>
        <v/>
      </c>
      <c r="BH455" s="1674">
        <f>BH453/BH426</f>
        <v/>
      </c>
      <c r="BI455" s="1674">
        <f>BI453/BI426</f>
        <v/>
      </c>
      <c r="BJ455" s="1673">
        <f>BJ453/BJ426</f>
        <v/>
      </c>
      <c r="BK455" s="1674">
        <f>BK453/BK426</f>
        <v/>
      </c>
      <c r="BL455" s="1674">
        <f>BL453/BL426</f>
        <v/>
      </c>
      <c r="BM455" s="1674">
        <f>BM453/BM426</f>
        <v/>
      </c>
      <c r="BN455" s="1674">
        <f>BN453/BN426</f>
        <v/>
      </c>
      <c r="BO455" s="1675">
        <f>BO453/BO426</f>
        <v/>
      </c>
      <c r="BP455" s="1674">
        <f>BP453/BP426</f>
        <v/>
      </c>
      <c r="BQ455" s="1674">
        <f>BQ453/BQ426</f>
        <v/>
      </c>
      <c r="BR455" s="1674">
        <f>BR453/BR426</f>
        <v/>
      </c>
      <c r="BS455" s="1674">
        <f>BS453/BS426</f>
        <v/>
      </c>
      <c r="BT455" s="1673">
        <f>BT453/BT426</f>
        <v/>
      </c>
      <c r="BU455" s="1674">
        <f>BU453/BU426</f>
        <v/>
      </c>
      <c r="BV455" s="1674">
        <f>BV453/BV426</f>
        <v/>
      </c>
      <c r="BW455" s="1674">
        <f>BW453/BW426</f>
        <v/>
      </c>
      <c r="BX455" s="1674">
        <f>BX453/BX426</f>
        <v/>
      </c>
      <c r="BY455" s="1673">
        <f>BY453/BY426</f>
        <v/>
      </c>
      <c r="BZ455" s="1673">
        <f>BZ453/BZ426</f>
        <v/>
      </c>
      <c r="CA455" s="1673">
        <f>CA453/CA426</f>
        <v/>
      </c>
      <c r="CB455" s="1673">
        <f>CB453/CB426</f>
        <v/>
      </c>
      <c r="CC455" s="1676" t="n"/>
    </row>
    <row r="456" ht="14.4" customFormat="1" customHeight="1" s="1677">
      <c r="A456" s="1618" t="inlineStr">
        <is>
          <t>Consensus Estimates - Cash Flow Per Diluted Share</t>
        </is>
      </c>
      <c r="B456" s="1636" t="n"/>
      <c r="C456" s="1637" t="n"/>
      <c r="D456" s="1637" t="n"/>
      <c r="E456" s="1637" t="n"/>
      <c r="F456" s="1637" t="n"/>
      <c r="G456" s="1637" t="n"/>
      <c r="H456" s="1638" t="n"/>
      <c r="I456" s="1638" t="n"/>
      <c r="J456" s="1638" t="n"/>
      <c r="K456" s="1638" t="n"/>
      <c r="L456" s="1637" t="n"/>
      <c r="M456" s="1638" t="n"/>
      <c r="N456" s="1638" t="n"/>
      <c r="O456" s="1638" t="n"/>
      <c r="P456" s="1638" t="n"/>
      <c r="Q456" s="1637" t="n"/>
      <c r="R456" s="1638" t="n"/>
      <c r="S456" s="1678" t="n"/>
      <c r="T456" s="1638" t="n"/>
      <c r="U456" s="1638" t="n"/>
      <c r="V456" s="1637" t="n"/>
      <c r="W456" s="1638" t="n"/>
      <c r="X456" s="1678" t="n"/>
      <c r="Y456" s="1638" t="n"/>
      <c r="Z456" s="1638" t="n"/>
      <c r="AA456" s="1637" t="n"/>
      <c r="AB456" s="1638" t="n"/>
      <c r="AC456" s="1678" t="n"/>
      <c r="AD456" s="1638" t="n"/>
      <c r="AE456" s="1638" t="n"/>
      <c r="AF456" s="1637" t="n"/>
      <c r="AG456" s="1638" t="n"/>
      <c r="AH456" s="1678" t="n"/>
      <c r="AI456" s="1638" t="n"/>
      <c r="AJ456" s="1638" t="n"/>
      <c r="AK456" s="1637" t="n"/>
      <c r="AL456" s="1638" t="n"/>
      <c r="AM456" s="1678" t="n"/>
      <c r="AN456" s="1638" t="n"/>
      <c r="AO456" s="1638" t="n"/>
      <c r="AP456" s="1637" t="n"/>
      <c r="AQ456" s="1638" t="n"/>
      <c r="AR456" s="1678" t="n"/>
      <c r="AS456" s="1638" t="n"/>
      <c r="AT456" s="1638" t="n"/>
      <c r="AU456" s="1637" t="n"/>
      <c r="AV456" s="1638" t="n"/>
      <c r="AW456" s="1678" t="n"/>
      <c r="AX456" s="1638" t="n"/>
      <c r="AY456" s="1638" t="n"/>
      <c r="AZ456" s="1637" t="n"/>
      <c r="BA456" s="1638" t="n"/>
      <c r="BB456" s="1678" t="n"/>
      <c r="BC456" s="1638" t="n"/>
      <c r="BD456" s="1638" t="n"/>
      <c r="BE456" s="1637" t="n"/>
      <c r="BF456" s="1638" t="n"/>
      <c r="BG456" s="1678" t="n"/>
      <c r="BH456" s="1638" t="n"/>
      <c r="BI456" s="1638" t="n"/>
      <c r="BJ456" s="1637" t="n"/>
      <c r="BK456" s="1638" t="n"/>
      <c r="BL456" s="1678" t="n"/>
      <c r="BM456" s="1638" t="n"/>
      <c r="BN456" s="1638" t="n"/>
      <c r="BO456" s="1639" t="n"/>
      <c r="BP456" s="1640">
        <f>IFERROR(VLOOKUP($A456,tb_ConsensusEstimate,MATCH(BP$5,OFFSET(tb_ConsensusEstimate,0,0,1,COLUMNS(tb_ConsensusEstimate)),0),FALSE)/BP1075,"-")</f>
        <v/>
      </c>
      <c r="BQ456" s="1640">
        <f>IFERROR(VLOOKUP($A456,tb_ConsensusEstimate,MATCH(BQ$5,OFFSET(tb_ConsensusEstimate,0,0,1,COLUMNS(tb_ConsensusEstimate)),0),FALSE)/BQ1075,"-")</f>
        <v/>
      </c>
      <c r="BR456" s="1640">
        <f>IFERROR(VLOOKUP($A456,tb_ConsensusEstimate,MATCH(BR$5,OFFSET(tb_ConsensusEstimate,0,0,1,COLUMNS(tb_ConsensusEstimate)),0),FALSE)/BR1075,"-")</f>
        <v/>
      </c>
      <c r="BS456" s="1640">
        <f>IFERROR(VLOOKUP($A456,tb_ConsensusEstimate,MATCH(BS$5,OFFSET(tb_ConsensusEstimate,0,0,1,COLUMNS(tb_ConsensusEstimate)),0),FALSE)/BS1075,"-")</f>
        <v/>
      </c>
      <c r="BT456" s="1641">
        <f>IFERROR(VLOOKUP($A456,tb_ConsensusEstimate,MATCH(BT$5,OFFSET(tb_ConsensusEstimate,0,0,1,COLUMNS(tb_ConsensusEstimate)),0),FALSE)/BT1075,"-")</f>
        <v/>
      </c>
      <c r="BU456" s="1640">
        <f>IFERROR(VLOOKUP($A456,tb_ConsensusEstimate,MATCH(BU$5,OFFSET(tb_ConsensusEstimate,0,0,1,COLUMNS(tb_ConsensusEstimate)),0),FALSE)/BU1075,"-")</f>
        <v/>
      </c>
      <c r="BV456" s="1640">
        <f>IFERROR(VLOOKUP($A456,tb_ConsensusEstimate,MATCH(BV$5,OFFSET(tb_ConsensusEstimate,0,0,1,COLUMNS(tb_ConsensusEstimate)),0),FALSE)/BV1075,"-")</f>
        <v/>
      </c>
      <c r="BW456" s="1640">
        <f>IFERROR(VLOOKUP($A456,tb_ConsensusEstimate,MATCH(BW$5,OFFSET(tb_ConsensusEstimate,0,0,1,COLUMNS(tb_ConsensusEstimate)),0),FALSE)/BW1075,"-")</f>
        <v/>
      </c>
      <c r="BX456" s="1640">
        <f>IFERROR(VLOOKUP($A456,tb_ConsensusEstimate,MATCH(BX$5,OFFSET(tb_ConsensusEstimate,0,0,1,COLUMNS(tb_ConsensusEstimate)),0),FALSE)/BX1075,"-")</f>
        <v/>
      </c>
      <c r="BY456" s="1641">
        <f>IFERROR(VLOOKUP($A456,tb_ConsensusEstimate,MATCH(BY$5,OFFSET(tb_ConsensusEstimate,0,0,1,COLUMNS(tb_ConsensusEstimate)),0),FALSE)/BY1075,"-")</f>
        <v/>
      </c>
      <c r="BZ456" s="1641">
        <f>IFERROR(VLOOKUP($A456,tb_ConsensusEstimate,MATCH(BZ$5,OFFSET(tb_ConsensusEstimate,0,0,1,COLUMNS(tb_ConsensusEstimate)),0),FALSE)/BZ1075,"-")</f>
        <v/>
      </c>
      <c r="CA456" s="1641">
        <f>IFERROR(VLOOKUP($A456,tb_ConsensusEstimate,MATCH(CA$5,OFFSET(tb_ConsensusEstimate,0,0,1,COLUMNS(tb_ConsensusEstimate)),0),FALSE)/CA1075,"-")</f>
        <v/>
      </c>
      <c r="CB456" s="1641">
        <f>IFERROR(VLOOKUP($A456,tb_ConsensusEstimate,MATCH(CB$5,OFFSET(tb_ConsensusEstimate,0,0,1,COLUMNS(tb_ConsensusEstimate)),0),FALSE)/CB1075,"-")</f>
        <v/>
      </c>
      <c r="CC456" s="1638" t="n"/>
    </row>
    <row r="457" ht="14.4" customFormat="1" customHeight="1" s="1323">
      <c r="A457" s="1679" t="inlineStr">
        <is>
          <t>Capex</t>
        </is>
      </c>
      <c r="B457" s="1394" t="n"/>
      <c r="C457" s="1593">
        <f>C744+C745</f>
        <v/>
      </c>
      <c r="D457" s="1593">
        <f>D744+D745</f>
        <v/>
      </c>
      <c r="E457" s="1593">
        <f>E744+E745</f>
        <v/>
      </c>
      <c r="F457" s="1593">
        <f>F744+F745</f>
        <v/>
      </c>
      <c r="G457" s="1593">
        <f>G744+G745</f>
        <v/>
      </c>
      <c r="H457" s="1331">
        <f>H744+H745</f>
        <v/>
      </c>
      <c r="I457" s="1331">
        <f>I744+I745</f>
        <v/>
      </c>
      <c r="J457" s="1331">
        <f>J744+J745</f>
        <v/>
      </c>
      <c r="K457" s="1331">
        <f>K744+K745</f>
        <v/>
      </c>
      <c r="L457" s="1593">
        <f>L744+L745</f>
        <v/>
      </c>
      <c r="M457" s="1331">
        <f>M744+M745</f>
        <v/>
      </c>
      <c r="N457" s="1331">
        <f>N744+N745</f>
        <v/>
      </c>
      <c r="O457" s="1331">
        <f>O744+O745</f>
        <v/>
      </c>
      <c r="P457" s="1331">
        <f>P744+P745</f>
        <v/>
      </c>
      <c r="Q457" s="1593">
        <f>Q744+Q745</f>
        <v/>
      </c>
      <c r="R457" s="1331">
        <f>R744+R745</f>
        <v/>
      </c>
      <c r="S457" s="1331">
        <f>S744+S745</f>
        <v/>
      </c>
      <c r="T457" s="1331">
        <f>T744+T745</f>
        <v/>
      </c>
      <c r="U457" s="1331">
        <f>U744+U745</f>
        <v/>
      </c>
      <c r="V457" s="1593">
        <f>V744+V745</f>
        <v/>
      </c>
      <c r="W457" s="1331">
        <f>W744+W745</f>
        <v/>
      </c>
      <c r="X457" s="1331">
        <f>X744+X745</f>
        <v/>
      </c>
      <c r="Y457" s="1331">
        <f>Y744+Y745</f>
        <v/>
      </c>
      <c r="Z457" s="1331">
        <f>Z744+Z745</f>
        <v/>
      </c>
      <c r="AA457" s="1593">
        <f>AA744+AA745</f>
        <v/>
      </c>
      <c r="AB457" s="1331">
        <f>AB744+AB745</f>
        <v/>
      </c>
      <c r="AC457" s="1331">
        <f>AC744+AC745</f>
        <v/>
      </c>
      <c r="AD457" s="1331">
        <f>AD744+AD745</f>
        <v/>
      </c>
      <c r="AE457" s="1331">
        <f>AE744+AE745</f>
        <v/>
      </c>
      <c r="AF457" s="1593">
        <f>AF744+AF745</f>
        <v/>
      </c>
      <c r="AG457" s="1331">
        <f>AG744+AG745</f>
        <v/>
      </c>
      <c r="AH457" s="1331">
        <f>AH744+AH745</f>
        <v/>
      </c>
      <c r="AI457" s="1331">
        <f>AI744+AI745</f>
        <v/>
      </c>
      <c r="AJ457" s="1331">
        <f>AJ744+AJ745</f>
        <v/>
      </c>
      <c r="AK457" s="1593">
        <f>AK744+AK745</f>
        <v/>
      </c>
      <c r="AL457" s="1331">
        <f>AL744+AL745</f>
        <v/>
      </c>
      <c r="AM457" s="1331">
        <f>AM744+AM745</f>
        <v/>
      </c>
      <c r="AN457" s="1331">
        <f>AN744+AN745</f>
        <v/>
      </c>
      <c r="AO457" s="1331">
        <f>AO744+AO745</f>
        <v/>
      </c>
      <c r="AP457" s="1593">
        <f>AP744+AP745</f>
        <v/>
      </c>
      <c r="AQ457" s="1331">
        <f>AQ744+AQ745</f>
        <v/>
      </c>
      <c r="AR457" s="1331">
        <f>AR744+AR745</f>
        <v/>
      </c>
      <c r="AS457" s="1331">
        <f>AS744+AS745</f>
        <v/>
      </c>
      <c r="AT457" s="1331">
        <f>AT744+AT745</f>
        <v/>
      </c>
      <c r="AU457" s="1593">
        <f>AU744+AU745</f>
        <v/>
      </c>
      <c r="AV457" s="1331">
        <f>AV744+AV745</f>
        <v/>
      </c>
      <c r="AW457" s="1331">
        <f>AW744+AW745</f>
        <v/>
      </c>
      <c r="AX457" s="1331">
        <f>AX744+AX745</f>
        <v/>
      </c>
      <c r="AY457" s="1331">
        <f>AY744+AY745</f>
        <v/>
      </c>
      <c r="AZ457" s="1593">
        <f>AZ744+AZ745</f>
        <v/>
      </c>
      <c r="BA457" s="1331">
        <f>BA744+BA745</f>
        <v/>
      </c>
      <c r="BB457" s="1331">
        <f>BB744+BB745</f>
        <v/>
      </c>
      <c r="BC457" s="1331">
        <f>BC744+BC745</f>
        <v/>
      </c>
      <c r="BD457" s="1331">
        <f>BD744+BD745</f>
        <v/>
      </c>
      <c r="BE457" s="1593">
        <f>BE744+BE745</f>
        <v/>
      </c>
      <c r="BF457" s="1331">
        <f>BF744+BF745</f>
        <v/>
      </c>
      <c r="BG457" s="1331">
        <f>BG744+BG745</f>
        <v/>
      </c>
      <c r="BH457" s="1331">
        <f>BH744+BH745</f>
        <v/>
      </c>
      <c r="BI457" s="1331">
        <f>BI744+BI745</f>
        <v/>
      </c>
      <c r="BJ457" s="1593">
        <f>BJ744+BJ745</f>
        <v/>
      </c>
      <c r="BK457" s="1331">
        <f>BK744+BK745</f>
        <v/>
      </c>
      <c r="BL457" s="1331">
        <f>BL744+BL745</f>
        <v/>
      </c>
      <c r="BM457" s="1331">
        <f>BM744+BM745</f>
        <v/>
      </c>
      <c r="BN457" s="1331">
        <f>BN744+BN745</f>
        <v/>
      </c>
      <c r="BO457" s="1578">
        <f>BO744+BO745</f>
        <v/>
      </c>
      <c r="BP457" s="1349" t="n">
        <v>-426600</v>
      </c>
      <c r="BQ457" s="1349" t="n">
        <v>-426600</v>
      </c>
      <c r="BR457" s="1349" t="n">
        <v>-426600</v>
      </c>
      <c r="BS457" s="1349" t="n">
        <v>-426600</v>
      </c>
      <c r="BT457" s="1345">
        <f>BT744+BT745</f>
        <v/>
      </c>
      <c r="BU457" s="1349" t="n">
        <v>-230000</v>
      </c>
      <c r="BV457" s="1349" t="n">
        <v>-230000</v>
      </c>
      <c r="BW457" s="1349" t="n">
        <v>-230000</v>
      </c>
      <c r="BX457" s="1349" t="n">
        <v>-230000</v>
      </c>
      <c r="BY457" s="1345">
        <f>BY744+BY745</f>
        <v/>
      </c>
      <c r="BZ457" s="1348" t="n">
        <v>-900000</v>
      </c>
      <c r="CA457" s="1348" t="n">
        <v>-900000</v>
      </c>
      <c r="CB457" s="1348" t="n">
        <v>-900000</v>
      </c>
      <c r="CC457" s="1331" t="n"/>
    </row>
    <row r="458" ht="14.4" customFormat="1" customHeight="1" s="1608">
      <c r="A458" s="1609">
        <f>CONCATENATE("Consensus Estimates - ",IFERROR(LEFT(A457,FIND("(",A457)-1),A457))</f>
        <v/>
      </c>
      <c r="B458" s="1610" t="n"/>
      <c r="C458" s="1335" t="n"/>
      <c r="D458" s="1335" t="n"/>
      <c r="E458" s="1335" t="n"/>
      <c r="F458" s="1335" t="n"/>
      <c r="G458" s="1335" t="n"/>
      <c r="H458" s="1336" t="n"/>
      <c r="I458" s="1336" t="n"/>
      <c r="J458" s="1336" t="n"/>
      <c r="K458" s="1336" t="n"/>
      <c r="L458" s="1335" t="n"/>
      <c r="M458" s="1336" t="n"/>
      <c r="N458" s="1336" t="n"/>
      <c r="O458" s="1336" t="n"/>
      <c r="P458" s="1336" t="n"/>
      <c r="Q458" s="1335" t="n"/>
      <c r="R458" s="1336" t="n"/>
      <c r="S458" s="1611" t="n"/>
      <c r="T458" s="1336" t="n"/>
      <c r="U458" s="1336" t="n"/>
      <c r="V458" s="1335" t="n"/>
      <c r="W458" s="1336" t="n"/>
      <c r="X458" s="1611" t="n"/>
      <c r="Y458" s="1336" t="n"/>
      <c r="Z458" s="1336" t="n"/>
      <c r="AA458" s="1335" t="n"/>
      <c r="AB458" s="1336" t="n"/>
      <c r="AC458" s="1611" t="n"/>
      <c r="AD458" s="1336" t="n"/>
      <c r="AE458" s="1336" t="n"/>
      <c r="AF458" s="1335" t="n"/>
      <c r="AG458" s="1336" t="n"/>
      <c r="AH458" s="1611" t="n"/>
      <c r="AI458" s="1336" t="n"/>
      <c r="AJ458" s="1336" t="n"/>
      <c r="AK458" s="1335" t="n"/>
      <c r="AL458" s="1336" t="n"/>
      <c r="AM458" s="1611" t="n"/>
      <c r="AN458" s="1336" t="n"/>
      <c r="AO458" s="1336" t="n"/>
      <c r="AP458" s="1335" t="n"/>
      <c r="AQ458" s="1336" t="n"/>
      <c r="AR458" s="1611" t="n"/>
      <c r="AS458" s="1336" t="n"/>
      <c r="AT458" s="1336" t="n"/>
      <c r="AU458" s="1335" t="n"/>
      <c r="AV458" s="1336" t="n"/>
      <c r="AW458" s="1611" t="n"/>
      <c r="AX458" s="1336" t="n"/>
      <c r="AY458" s="1336" t="n"/>
      <c r="AZ458" s="1335" t="n"/>
      <c r="BA458" s="1336" t="n"/>
      <c r="BB458" s="1611" t="n"/>
      <c r="BC458" s="1336" t="n"/>
      <c r="BD458" s="1336" t="n"/>
      <c r="BE458" s="1335" t="n"/>
      <c r="BF458" s="1336" t="n"/>
      <c r="BG458" s="1611" t="n"/>
      <c r="BH458" s="1336" t="n"/>
      <c r="BI458" s="1336" t="n"/>
      <c r="BJ458" s="1335" t="n"/>
      <c r="BK458" s="1336" t="n"/>
      <c r="BL458" s="1611" t="n"/>
      <c r="BM458" s="1336" t="n"/>
      <c r="BN458" s="1336" t="n"/>
      <c r="BO458" s="1337" t="n"/>
      <c r="BP458" s="1338">
        <f>IFERROR(VLOOKUP($A458,tb_ConsensusEstimate,MATCH(BP$5,OFFSET(tb_ConsensusEstimate,0,0,1,COLUMNS(tb_ConsensusEstimate)),0),FALSE)/BP1075,"-")</f>
        <v/>
      </c>
      <c r="BQ458" s="1338">
        <f>IFERROR(VLOOKUP($A458,tb_ConsensusEstimate,MATCH(BQ$5,OFFSET(tb_ConsensusEstimate,0,0,1,COLUMNS(tb_ConsensusEstimate)),0),FALSE)/BQ1075,"-")</f>
        <v/>
      </c>
      <c r="BR458" s="1338">
        <f>IFERROR(VLOOKUP($A458,tb_ConsensusEstimate,MATCH(BR$5,OFFSET(tb_ConsensusEstimate,0,0,1,COLUMNS(tb_ConsensusEstimate)),0),FALSE)/BR1075,"-")</f>
        <v/>
      </c>
      <c r="BS458" s="1338">
        <f>IFERROR(VLOOKUP($A458,tb_ConsensusEstimate,MATCH(BS$5,OFFSET(tb_ConsensusEstimate,0,0,1,COLUMNS(tb_ConsensusEstimate)),0),FALSE)/BS1075,"-")</f>
        <v/>
      </c>
      <c r="BT458" s="1339">
        <f>IFERROR(VLOOKUP($A458,tb_ConsensusEstimate,MATCH(BT$5,OFFSET(tb_ConsensusEstimate,0,0,1,COLUMNS(tb_ConsensusEstimate)),0),FALSE)/BT1075,"-")</f>
        <v/>
      </c>
      <c r="BU458" s="1338">
        <f>IFERROR(VLOOKUP($A458,tb_ConsensusEstimate,MATCH(BU$5,OFFSET(tb_ConsensusEstimate,0,0,1,COLUMNS(tb_ConsensusEstimate)),0),FALSE)/BU1075,"-")</f>
        <v/>
      </c>
      <c r="BV458" s="1338">
        <f>IFERROR(VLOOKUP($A458,tb_ConsensusEstimate,MATCH(BV$5,OFFSET(tb_ConsensusEstimate,0,0,1,COLUMNS(tb_ConsensusEstimate)),0),FALSE)/BV1075,"-")</f>
        <v/>
      </c>
      <c r="BW458" s="1338">
        <f>IFERROR(VLOOKUP($A458,tb_ConsensusEstimate,MATCH(BW$5,OFFSET(tb_ConsensusEstimate,0,0,1,COLUMNS(tb_ConsensusEstimate)),0),FALSE)/BW1075,"-")</f>
        <v/>
      </c>
      <c r="BX458" s="1338">
        <f>IFERROR(VLOOKUP($A458,tb_ConsensusEstimate,MATCH(BX$5,OFFSET(tb_ConsensusEstimate,0,0,1,COLUMNS(tb_ConsensusEstimate)),0),FALSE)/BX1075,"-")</f>
        <v/>
      </c>
      <c r="BY458" s="1339">
        <f>IFERROR(VLOOKUP($A458,tb_ConsensusEstimate,MATCH(BY$5,OFFSET(tb_ConsensusEstimate,0,0,1,COLUMNS(tb_ConsensusEstimate)),0),FALSE)/BY1075,"-")</f>
        <v/>
      </c>
      <c r="BZ458" s="1339">
        <f>IFERROR(VLOOKUP($A458,tb_ConsensusEstimate,MATCH(BZ$5,OFFSET(tb_ConsensusEstimate,0,0,1,COLUMNS(tb_ConsensusEstimate)),0),FALSE)/BZ1075,"-")</f>
        <v/>
      </c>
      <c r="CA458" s="1339">
        <f>IFERROR(VLOOKUP($A458,tb_ConsensusEstimate,MATCH(CA$5,OFFSET(tb_ConsensusEstimate,0,0,1,COLUMNS(tb_ConsensusEstimate)),0),FALSE)/CA1075,"-")</f>
        <v/>
      </c>
      <c r="CB458" s="1339">
        <f>IFERROR(VLOOKUP($A458,tb_ConsensusEstimate,MATCH(CB$5,OFFSET(tb_ConsensusEstimate,0,0,1,COLUMNS(tb_ConsensusEstimate)),0),FALSE)/CB1075,"-")</f>
        <v/>
      </c>
      <c r="CC458" s="1336" t="n"/>
    </row>
    <row r="459" ht="14.4" customFormat="1" customHeight="1" s="1275">
      <c r="A459" s="1280" t="inlineStr">
        <is>
          <t>Acquisitions</t>
        </is>
      </c>
      <c r="B459" s="1387" t="n"/>
      <c r="C459" s="1446">
        <f>C778</f>
        <v/>
      </c>
      <c r="D459" s="1446">
        <f>D778</f>
        <v/>
      </c>
      <c r="E459" s="1446">
        <f>E778</f>
        <v/>
      </c>
      <c r="F459" s="1446">
        <f>F778</f>
        <v/>
      </c>
      <c r="G459" s="1446">
        <f>G778</f>
        <v/>
      </c>
      <c r="H459" s="1280">
        <f>H778</f>
        <v/>
      </c>
      <c r="I459" s="1280">
        <f>I778</f>
        <v/>
      </c>
      <c r="J459" s="1280">
        <f>J778</f>
        <v/>
      </c>
      <c r="K459" s="1280">
        <f>K778</f>
        <v/>
      </c>
      <c r="L459" s="1446">
        <f>L778</f>
        <v/>
      </c>
      <c r="M459" s="1280">
        <f>M778</f>
        <v/>
      </c>
      <c r="N459" s="1280">
        <f>N778</f>
        <v/>
      </c>
      <c r="O459" s="1280">
        <f>O778</f>
        <v/>
      </c>
      <c r="P459" s="1280">
        <f>P778</f>
        <v/>
      </c>
      <c r="Q459" s="1446">
        <f>Q778</f>
        <v/>
      </c>
      <c r="R459" s="1280">
        <f>R778</f>
        <v/>
      </c>
      <c r="S459" s="1280">
        <f>S778</f>
        <v/>
      </c>
      <c r="T459" s="1280">
        <f>T778</f>
        <v/>
      </c>
      <c r="U459" s="1280">
        <f>U778</f>
        <v/>
      </c>
      <c r="V459" s="1446">
        <f>V778</f>
        <v/>
      </c>
      <c r="W459" s="1280">
        <f>W778</f>
        <v/>
      </c>
      <c r="X459" s="1280">
        <f>X778</f>
        <v/>
      </c>
      <c r="Y459" s="1280">
        <f>Y778</f>
        <v/>
      </c>
      <c r="Z459" s="1280">
        <f>Z778</f>
        <v/>
      </c>
      <c r="AA459" s="1446">
        <f>AA778</f>
        <v/>
      </c>
      <c r="AB459" s="1280">
        <f>AB778</f>
        <v/>
      </c>
      <c r="AC459" s="1280">
        <f>AC778</f>
        <v/>
      </c>
      <c r="AD459" s="1280">
        <f>AD778</f>
        <v/>
      </c>
      <c r="AE459" s="1280">
        <f>AE778</f>
        <v/>
      </c>
      <c r="AF459" s="1446">
        <f>AF778</f>
        <v/>
      </c>
      <c r="AG459" s="1280">
        <f>AG778</f>
        <v/>
      </c>
      <c r="AH459" s="1280">
        <f>AH778</f>
        <v/>
      </c>
      <c r="AI459" s="1280">
        <f>AI778</f>
        <v/>
      </c>
      <c r="AJ459" s="1280">
        <f>AJ778</f>
        <v/>
      </c>
      <c r="AK459" s="1446">
        <f>AK778</f>
        <v/>
      </c>
      <c r="AL459" s="1280">
        <f>AL778</f>
        <v/>
      </c>
      <c r="AM459" s="1280">
        <f>AM778</f>
        <v/>
      </c>
      <c r="AN459" s="1280">
        <f>AN778</f>
        <v/>
      </c>
      <c r="AO459" s="1280">
        <f>AO778</f>
        <v/>
      </c>
      <c r="AP459" s="1446">
        <f>AP778</f>
        <v/>
      </c>
      <c r="AQ459" s="1280">
        <f>AQ778</f>
        <v/>
      </c>
      <c r="AR459" s="1280">
        <f>AR778</f>
        <v/>
      </c>
      <c r="AS459" s="1280">
        <f>AS778</f>
        <v/>
      </c>
      <c r="AT459" s="1280">
        <f>AT778</f>
        <v/>
      </c>
      <c r="AU459" s="1446">
        <f>AU778</f>
        <v/>
      </c>
      <c r="AV459" s="1280">
        <f>AV778</f>
        <v/>
      </c>
      <c r="AW459" s="1280">
        <f>AW778</f>
        <v/>
      </c>
      <c r="AX459" s="1280">
        <f>AX778</f>
        <v/>
      </c>
      <c r="AY459" s="1280">
        <f>AY778</f>
        <v/>
      </c>
      <c r="AZ459" s="1446">
        <f>AZ778</f>
        <v/>
      </c>
      <c r="BA459" s="1280">
        <f>BA778</f>
        <v/>
      </c>
      <c r="BB459" s="1280">
        <f>BB778</f>
        <v/>
      </c>
      <c r="BC459" s="1280">
        <f>BC778</f>
        <v/>
      </c>
      <c r="BD459" s="1280">
        <f>BD778</f>
        <v/>
      </c>
      <c r="BE459" s="1446">
        <f>BE778</f>
        <v/>
      </c>
      <c r="BF459" s="1280">
        <f>BF778</f>
        <v/>
      </c>
      <c r="BG459" s="1280">
        <f>BG778</f>
        <v/>
      </c>
      <c r="BH459" s="1280">
        <f>BH778</f>
        <v/>
      </c>
      <c r="BI459" s="1280">
        <f>BI778</f>
        <v/>
      </c>
      <c r="BJ459" s="1446">
        <f>BJ778</f>
        <v/>
      </c>
      <c r="BK459" s="1280">
        <f>BK778</f>
        <v/>
      </c>
      <c r="BL459" s="1280">
        <f>BL778</f>
        <v/>
      </c>
      <c r="BM459" s="1280">
        <f>BM778</f>
        <v/>
      </c>
      <c r="BN459" s="1280">
        <f>BN778</f>
        <v/>
      </c>
      <c r="BO459" s="1300">
        <f>BO778</f>
        <v/>
      </c>
      <c r="BP459" s="1298" t="n">
        <v>0</v>
      </c>
      <c r="BQ459" s="1298" t="n">
        <v>0</v>
      </c>
      <c r="BR459" s="1298" t="n">
        <v>0</v>
      </c>
      <c r="BS459" s="1298" t="n">
        <v>0</v>
      </c>
      <c r="BT459" s="1297">
        <f>BT778</f>
        <v/>
      </c>
      <c r="BU459" s="1298" t="n">
        <v>0</v>
      </c>
      <c r="BV459" s="1298" t="n">
        <v>0</v>
      </c>
      <c r="BW459" s="1298" t="n">
        <v>0</v>
      </c>
      <c r="BX459" s="1298" t="n">
        <v>0</v>
      </c>
      <c r="BY459" s="1297">
        <f>BY778</f>
        <v/>
      </c>
      <c r="BZ459" s="1299" t="n">
        <v>0</v>
      </c>
      <c r="CA459" s="1299" t="n">
        <v>0</v>
      </c>
      <c r="CB459" s="1299" t="n">
        <v>0</v>
      </c>
      <c r="CC459" s="1280" t="n"/>
    </row>
    <row r="460" ht="14.4" customFormat="1" customHeight="1" s="1275">
      <c r="A460" s="1280" t="inlineStr">
        <is>
          <t>Divestiture</t>
        </is>
      </c>
      <c r="B460" s="1387" t="n"/>
      <c r="C460" s="1446">
        <f>C756+C762</f>
        <v/>
      </c>
      <c r="D460" s="1446">
        <f>D756+D762</f>
        <v/>
      </c>
      <c r="E460" s="1446">
        <f>E756+E762</f>
        <v/>
      </c>
      <c r="F460" s="1446">
        <f>F756+F762</f>
        <v/>
      </c>
      <c r="G460" s="1446">
        <f>G756+G762</f>
        <v/>
      </c>
      <c r="H460" s="1280">
        <f>H756+H762</f>
        <v/>
      </c>
      <c r="I460" s="1280">
        <f>I756+I762</f>
        <v/>
      </c>
      <c r="J460" s="1280">
        <f>J756+J762</f>
        <v/>
      </c>
      <c r="K460" s="1280">
        <f>K756+K762</f>
        <v/>
      </c>
      <c r="L460" s="1446">
        <f>L756+L762</f>
        <v/>
      </c>
      <c r="M460" s="1280">
        <f>M756+M762</f>
        <v/>
      </c>
      <c r="N460" s="1280">
        <f>N756+N762</f>
        <v/>
      </c>
      <c r="O460" s="1280">
        <f>O756+O762</f>
        <v/>
      </c>
      <c r="P460" s="1280">
        <f>P756+P762</f>
        <v/>
      </c>
      <c r="Q460" s="1446">
        <f>Q756+Q762</f>
        <v/>
      </c>
      <c r="R460" s="1280">
        <f>R756+R762</f>
        <v/>
      </c>
      <c r="S460" s="1280">
        <f>S756+S762</f>
        <v/>
      </c>
      <c r="T460" s="1280">
        <f>T756+T762</f>
        <v/>
      </c>
      <c r="U460" s="1280">
        <f>U756+U762</f>
        <v/>
      </c>
      <c r="V460" s="1446">
        <f>V756+V762</f>
        <v/>
      </c>
      <c r="W460" s="1280">
        <f>W756+W762</f>
        <v/>
      </c>
      <c r="X460" s="1280">
        <f>X756+X762</f>
        <v/>
      </c>
      <c r="Y460" s="1280">
        <f>Y756+Y762</f>
        <v/>
      </c>
      <c r="Z460" s="1280">
        <f>Z756+Z762</f>
        <v/>
      </c>
      <c r="AA460" s="1446">
        <f>AA756+AA762</f>
        <v/>
      </c>
      <c r="AB460" s="1280">
        <f>AB756+AB762</f>
        <v/>
      </c>
      <c r="AC460" s="1280">
        <f>AC756+AC762</f>
        <v/>
      </c>
      <c r="AD460" s="1280">
        <f>AD756+AD762</f>
        <v/>
      </c>
      <c r="AE460" s="1280">
        <f>AE756+AE762</f>
        <v/>
      </c>
      <c r="AF460" s="1446">
        <f>AF756+AF762</f>
        <v/>
      </c>
      <c r="AG460" s="1280">
        <f>AG756+AG762</f>
        <v/>
      </c>
      <c r="AH460" s="1280">
        <f>AH756+AH762</f>
        <v/>
      </c>
      <c r="AI460" s="1280">
        <f>AI756+AI762</f>
        <v/>
      </c>
      <c r="AJ460" s="1280">
        <f>AJ756+AJ762</f>
        <v/>
      </c>
      <c r="AK460" s="1446">
        <f>AK756+AK762</f>
        <v/>
      </c>
      <c r="AL460" s="1280">
        <f>AL756+AL762</f>
        <v/>
      </c>
      <c r="AM460" s="1280">
        <f>AM756+AM762</f>
        <v/>
      </c>
      <c r="AN460" s="1280">
        <f>AN756+AN762</f>
        <v/>
      </c>
      <c r="AO460" s="1280">
        <f>AO756+AO762</f>
        <v/>
      </c>
      <c r="AP460" s="1446">
        <f>AP756+AP762</f>
        <v/>
      </c>
      <c r="AQ460" s="1280">
        <f>AQ756+AQ762</f>
        <v/>
      </c>
      <c r="AR460" s="1280">
        <f>AR756+AR762</f>
        <v/>
      </c>
      <c r="AS460" s="1280">
        <f>AS756+AS762</f>
        <v/>
      </c>
      <c r="AT460" s="1280">
        <f>AT756+AT762</f>
        <v/>
      </c>
      <c r="AU460" s="1446">
        <f>AU756+AU762</f>
        <v/>
      </c>
      <c r="AV460" s="1280">
        <f>AV756+AV762</f>
        <v/>
      </c>
      <c r="AW460" s="1280">
        <f>AW756+AW762</f>
        <v/>
      </c>
      <c r="AX460" s="1280">
        <f>AX756+AX762</f>
        <v/>
      </c>
      <c r="AY460" s="1280">
        <f>AY756+AY762</f>
        <v/>
      </c>
      <c r="AZ460" s="1446">
        <f>AZ756+AZ762</f>
        <v/>
      </c>
      <c r="BA460" s="1280">
        <f>BA756+BA762</f>
        <v/>
      </c>
      <c r="BB460" s="1280">
        <f>BB756+BB762</f>
        <v/>
      </c>
      <c r="BC460" s="1280">
        <f>BC756+BC762</f>
        <v/>
      </c>
      <c r="BD460" s="1280">
        <f>BD756+BD762</f>
        <v/>
      </c>
      <c r="BE460" s="1446">
        <f>BE756+BE762</f>
        <v/>
      </c>
      <c r="BF460" s="1280">
        <f>BF756+BF762</f>
        <v/>
      </c>
      <c r="BG460" s="1280">
        <f>BG756+BG762</f>
        <v/>
      </c>
      <c r="BH460" s="1280">
        <f>BH756+BH762</f>
        <v/>
      </c>
      <c r="BI460" s="1280">
        <f>BI756+BI762</f>
        <v/>
      </c>
      <c r="BJ460" s="1446">
        <f>BJ756+BJ762</f>
        <v/>
      </c>
      <c r="BK460" s="1280">
        <f>BK756+BK762</f>
        <v/>
      </c>
      <c r="BL460" s="1280">
        <f>BL756+BL762</f>
        <v/>
      </c>
      <c r="BM460" s="1280">
        <f>BM756+BM762</f>
        <v/>
      </c>
      <c r="BN460" s="1280">
        <f>BN756+BN762</f>
        <v/>
      </c>
      <c r="BO460" s="1300">
        <f>BO756+BO762</f>
        <v/>
      </c>
      <c r="BP460" s="1298" t="n">
        <v>0</v>
      </c>
      <c r="BQ460" s="1298" t="n">
        <v>0</v>
      </c>
      <c r="BR460" s="1298" t="n">
        <v>0</v>
      </c>
      <c r="BS460" s="1298" t="n">
        <v>0</v>
      </c>
      <c r="BT460" s="1297">
        <f>BT756+BT762</f>
        <v/>
      </c>
      <c r="BU460" s="1298" t="n">
        <v>0</v>
      </c>
      <c r="BV460" s="1298" t="n">
        <v>0</v>
      </c>
      <c r="BW460" s="1298" t="n">
        <v>0</v>
      </c>
      <c r="BX460" s="1298" t="n">
        <v>0</v>
      </c>
      <c r="BY460" s="1297">
        <f>BY756+BY762</f>
        <v/>
      </c>
      <c r="BZ460" s="1299" t="n">
        <v>0</v>
      </c>
      <c r="CA460" s="1299" t="n">
        <v>0</v>
      </c>
      <c r="CB460" s="1299" t="n">
        <v>0</v>
      </c>
      <c r="CC460" s="1280" t="n"/>
    </row>
    <row r="461" ht="14.4" customFormat="1" customHeight="1" s="1275">
      <c r="A461" s="1280" t="inlineStr">
        <is>
          <t>Dividend Paid</t>
        </is>
      </c>
      <c r="B461" s="1387" t="n"/>
      <c r="C461" s="1446">
        <f>C801</f>
        <v/>
      </c>
      <c r="D461" s="1446">
        <f>D801</f>
        <v/>
      </c>
      <c r="E461" s="1446">
        <f>E801</f>
        <v/>
      </c>
      <c r="F461" s="1446">
        <f>F801</f>
        <v/>
      </c>
      <c r="G461" s="1446">
        <f>G801</f>
        <v/>
      </c>
      <c r="H461" s="1280">
        <f>H801</f>
        <v/>
      </c>
      <c r="I461" s="1280">
        <f>I801</f>
        <v/>
      </c>
      <c r="J461" s="1280">
        <f>J801</f>
        <v/>
      </c>
      <c r="K461" s="1280">
        <f>K801</f>
        <v/>
      </c>
      <c r="L461" s="1446">
        <f>L801</f>
        <v/>
      </c>
      <c r="M461" s="1280">
        <f>M801</f>
        <v/>
      </c>
      <c r="N461" s="1280">
        <f>N801</f>
        <v/>
      </c>
      <c r="O461" s="1280">
        <f>O801</f>
        <v/>
      </c>
      <c r="P461" s="1280">
        <f>P801</f>
        <v/>
      </c>
      <c r="Q461" s="1446">
        <f>Q801</f>
        <v/>
      </c>
      <c r="R461" s="1280">
        <f>R801</f>
        <v/>
      </c>
      <c r="S461" s="1280">
        <f>S801</f>
        <v/>
      </c>
      <c r="T461" s="1280">
        <f>T801</f>
        <v/>
      </c>
      <c r="U461" s="1280">
        <f>U801</f>
        <v/>
      </c>
      <c r="V461" s="1446">
        <f>V801</f>
        <v/>
      </c>
      <c r="W461" s="1280">
        <f>W801</f>
        <v/>
      </c>
      <c r="X461" s="1280">
        <f>X801</f>
        <v/>
      </c>
      <c r="Y461" s="1280">
        <f>Y801</f>
        <v/>
      </c>
      <c r="Z461" s="1280">
        <f>Z801</f>
        <v/>
      </c>
      <c r="AA461" s="1446">
        <f>AA801</f>
        <v/>
      </c>
      <c r="AB461" s="1280">
        <f>AB801</f>
        <v/>
      </c>
      <c r="AC461" s="1280">
        <f>AC801</f>
        <v/>
      </c>
      <c r="AD461" s="1280">
        <f>AD801</f>
        <v/>
      </c>
      <c r="AE461" s="1280">
        <f>AE801</f>
        <v/>
      </c>
      <c r="AF461" s="1446">
        <f>AF801</f>
        <v/>
      </c>
      <c r="AG461" s="1280">
        <f>AG801</f>
        <v/>
      </c>
      <c r="AH461" s="1280">
        <f>AH801</f>
        <v/>
      </c>
      <c r="AI461" s="1280">
        <f>AI801</f>
        <v/>
      </c>
      <c r="AJ461" s="1280">
        <f>AJ801</f>
        <v/>
      </c>
      <c r="AK461" s="1446">
        <f>AK801</f>
        <v/>
      </c>
      <c r="AL461" s="1280">
        <f>AL801</f>
        <v/>
      </c>
      <c r="AM461" s="1280">
        <f>AM801</f>
        <v/>
      </c>
      <c r="AN461" s="1280">
        <f>AN801</f>
        <v/>
      </c>
      <c r="AO461" s="1280">
        <f>AO801</f>
        <v/>
      </c>
      <c r="AP461" s="1446">
        <f>AP801</f>
        <v/>
      </c>
      <c r="AQ461" s="1280">
        <f>AQ801</f>
        <v/>
      </c>
      <c r="AR461" s="1280">
        <f>AR801</f>
        <v/>
      </c>
      <c r="AS461" s="1280">
        <f>AS801</f>
        <v/>
      </c>
      <c r="AT461" s="1280">
        <f>AT801</f>
        <v/>
      </c>
      <c r="AU461" s="1446">
        <f>AU801</f>
        <v/>
      </c>
      <c r="AV461" s="1280">
        <f>AV801</f>
        <v/>
      </c>
      <c r="AW461" s="1280">
        <f>AW801</f>
        <v/>
      </c>
      <c r="AX461" s="1280">
        <f>AX801</f>
        <v/>
      </c>
      <c r="AY461" s="1280">
        <f>AY801</f>
        <v/>
      </c>
      <c r="AZ461" s="1446">
        <f>AZ801</f>
        <v/>
      </c>
      <c r="BA461" s="1280">
        <f>BA801</f>
        <v/>
      </c>
      <c r="BB461" s="1280">
        <f>BB801</f>
        <v/>
      </c>
      <c r="BC461" s="1280">
        <f>BC801</f>
        <v/>
      </c>
      <c r="BD461" s="1280">
        <f>BD801</f>
        <v/>
      </c>
      <c r="BE461" s="1446">
        <f>BE801</f>
        <v/>
      </c>
      <c r="BF461" s="1280">
        <f>BF801</f>
        <v/>
      </c>
      <c r="BG461" s="1280">
        <f>BG801</f>
        <v/>
      </c>
      <c r="BH461" s="1280">
        <f>BH801</f>
        <v/>
      </c>
      <c r="BI461" s="1280">
        <f>BI801</f>
        <v/>
      </c>
      <c r="BJ461" s="1446">
        <f>BJ801</f>
        <v/>
      </c>
      <c r="BK461" s="1280">
        <f>BK801</f>
        <v/>
      </c>
      <c r="BL461" s="1280">
        <f>BL801</f>
        <v/>
      </c>
      <c r="BM461" s="1280">
        <f>BM801</f>
        <v/>
      </c>
      <c r="BN461" s="1280">
        <f>BN801</f>
        <v/>
      </c>
      <c r="BO461" s="1300">
        <f>BO801</f>
        <v/>
      </c>
      <c r="BP461" s="1277">
        <f>BP462*-BP425</f>
        <v/>
      </c>
      <c r="BQ461" s="1277">
        <f>BQ462*-BQ425</f>
        <v/>
      </c>
      <c r="BR461" s="1277">
        <f>BR462*-BR425</f>
        <v/>
      </c>
      <c r="BS461" s="1277">
        <f>BS462*-BS425</f>
        <v/>
      </c>
      <c r="BT461" s="1297">
        <f>BT801</f>
        <v/>
      </c>
      <c r="BU461" s="1277">
        <f>BU462*-BU425</f>
        <v/>
      </c>
      <c r="BV461" s="1277">
        <f>BV462*-BV425</f>
        <v/>
      </c>
      <c r="BW461" s="1277">
        <f>BW462*-BW425</f>
        <v/>
      </c>
      <c r="BX461" s="1277">
        <f>BX462*-BX425</f>
        <v/>
      </c>
      <c r="BY461" s="1297">
        <f>BY801</f>
        <v/>
      </c>
      <c r="BZ461" s="1297">
        <f>BZ462*-BZ425</f>
        <v/>
      </c>
      <c r="CA461" s="1297">
        <f>CA462*-CA425</f>
        <v/>
      </c>
      <c r="CB461" s="1297">
        <f>CB462*-CB425</f>
        <v/>
      </c>
      <c r="CC461" s="1280" t="n"/>
    </row>
    <row r="462" ht="14.4" customFormat="1" customHeight="1" s="1680">
      <c r="A462" s="1681" t="inlineStr">
        <is>
          <t>Dividend Per ADR</t>
        </is>
      </c>
      <c r="B462" s="1682" t="n"/>
      <c r="C462" s="1683">
        <f>-C461/C425</f>
        <v/>
      </c>
      <c r="D462" s="1683">
        <f>-D461/D425</f>
        <v/>
      </c>
      <c r="E462" s="1683">
        <f>-E461/E425</f>
        <v/>
      </c>
      <c r="F462" s="1683">
        <f>-F461/F425</f>
        <v/>
      </c>
      <c r="G462" s="1683">
        <f>-G461/G425</f>
        <v/>
      </c>
      <c r="H462" s="1684">
        <f>-H461/H425</f>
        <v/>
      </c>
      <c r="I462" s="1684">
        <f>-I461/I425</f>
        <v/>
      </c>
      <c r="J462" s="1684">
        <f>-J461/J425</f>
        <v/>
      </c>
      <c r="K462" s="1684">
        <f>-K461/K425</f>
        <v/>
      </c>
      <c r="L462" s="1683">
        <f>-L461/L425</f>
        <v/>
      </c>
      <c r="M462" s="1684">
        <f>-M461/M425</f>
        <v/>
      </c>
      <c r="N462" s="1684">
        <f>-N461/N425</f>
        <v/>
      </c>
      <c r="O462" s="1684">
        <f>-O461/O425</f>
        <v/>
      </c>
      <c r="P462" s="1684">
        <f>-P461/P425</f>
        <v/>
      </c>
      <c r="Q462" s="1683">
        <f>-Q461/Q425</f>
        <v/>
      </c>
      <c r="R462" s="1684">
        <f>-R461/R425</f>
        <v/>
      </c>
      <c r="S462" s="1684">
        <f>-S461/S425</f>
        <v/>
      </c>
      <c r="T462" s="1684">
        <f>-T461/T425</f>
        <v/>
      </c>
      <c r="U462" s="1684">
        <f>-U461/U425</f>
        <v/>
      </c>
      <c r="V462" s="1683">
        <f>-V461/V425</f>
        <v/>
      </c>
      <c r="W462" s="1684">
        <f>-W461/W425</f>
        <v/>
      </c>
      <c r="X462" s="1684">
        <f>-X461/X425</f>
        <v/>
      </c>
      <c r="Y462" s="1684">
        <f>-Y461/Y425</f>
        <v/>
      </c>
      <c r="Z462" s="1684">
        <f>-Z461/Z425</f>
        <v/>
      </c>
      <c r="AA462" s="1683">
        <f>-AA461/AA425</f>
        <v/>
      </c>
      <c r="AB462" s="1684">
        <f>-AB461/AB425</f>
        <v/>
      </c>
      <c r="AC462" s="1684">
        <f>-AC461/AC425</f>
        <v/>
      </c>
      <c r="AD462" s="1684">
        <f>-AD461/AD425</f>
        <v/>
      </c>
      <c r="AE462" s="1684">
        <f>-AE461/AE425</f>
        <v/>
      </c>
      <c r="AF462" s="1683">
        <f>-AF461/AF425</f>
        <v/>
      </c>
      <c r="AG462" s="1684">
        <f>-AG461/AG425</f>
        <v/>
      </c>
      <c r="AH462" s="1684">
        <f>-AH461/AH425</f>
        <v/>
      </c>
      <c r="AI462" s="1684">
        <f>-AI461/AI425</f>
        <v/>
      </c>
      <c r="AJ462" s="1684">
        <f>-AJ461/AJ425</f>
        <v/>
      </c>
      <c r="AK462" s="1683">
        <f>-AK461/AK425</f>
        <v/>
      </c>
      <c r="AL462" s="1684">
        <f>-AL461/AL425</f>
        <v/>
      </c>
      <c r="AM462" s="1684">
        <f>-AM461/AM425</f>
        <v/>
      </c>
      <c r="AN462" s="1684">
        <f>-AN461/AN425</f>
        <v/>
      </c>
      <c r="AO462" s="1684">
        <f>-AO461/AO425</f>
        <v/>
      </c>
      <c r="AP462" s="1683">
        <f>-AP461/AP425</f>
        <v/>
      </c>
      <c r="AQ462" s="1684">
        <f>-AQ461/AQ425</f>
        <v/>
      </c>
      <c r="AR462" s="1684">
        <f>-AR461/AR425</f>
        <v/>
      </c>
      <c r="AS462" s="1684">
        <f>-AS461/AS425</f>
        <v/>
      </c>
      <c r="AT462" s="1684">
        <f>-AT461/AT425</f>
        <v/>
      </c>
      <c r="AU462" s="1683">
        <f>-AU461/AU425</f>
        <v/>
      </c>
      <c r="AV462" s="1684">
        <f>-AV461/AV425</f>
        <v/>
      </c>
      <c r="AW462" s="1684">
        <f>-AW461/AW425</f>
        <v/>
      </c>
      <c r="AX462" s="1684">
        <f>-AX461/AX425</f>
        <v/>
      </c>
      <c r="AY462" s="1684">
        <f>-AY461/AY425</f>
        <v/>
      </c>
      <c r="AZ462" s="1683">
        <f>-AZ461/AZ425</f>
        <v/>
      </c>
      <c r="BA462" s="1684">
        <f>-BA461/BA425</f>
        <v/>
      </c>
      <c r="BB462" s="1684">
        <f>-BB461/BB425</f>
        <v/>
      </c>
      <c r="BC462" s="1684">
        <f>-BC461/BC425</f>
        <v/>
      </c>
      <c r="BD462" s="1684">
        <f>-BD461/BD425</f>
        <v/>
      </c>
      <c r="BE462" s="1683">
        <f>-BE461/BE425</f>
        <v/>
      </c>
      <c r="BF462" s="1684">
        <f>-BF461/BF425</f>
        <v/>
      </c>
      <c r="BG462" s="1684">
        <f>-BG461/BG425</f>
        <v/>
      </c>
      <c r="BH462" s="1684">
        <f>-BH461/BH425</f>
        <v/>
      </c>
      <c r="BI462" s="1684">
        <f>-BI461/BI425</f>
        <v/>
      </c>
      <c r="BJ462" s="1683">
        <f>-BJ461/BJ425</f>
        <v/>
      </c>
      <c r="BK462" s="1684">
        <f>-BK461/BK425</f>
        <v/>
      </c>
      <c r="BL462" s="1684">
        <f>-BL461/BL425</f>
        <v/>
      </c>
      <c r="BM462" s="1684">
        <f>-BM461/BM425</f>
        <v/>
      </c>
      <c r="BN462" s="1684">
        <f>-BN461/BN425</f>
        <v/>
      </c>
      <c r="BO462" s="1685">
        <f>-BO461/BO425</f>
        <v/>
      </c>
      <c r="BP462" s="1686" t="n">
        <v>6</v>
      </c>
      <c r="BQ462" s="1686" t="n">
        <v>6</v>
      </c>
      <c r="BR462" s="1686" t="n">
        <v>6</v>
      </c>
      <c r="BS462" s="1686" t="n">
        <v>6</v>
      </c>
      <c r="BT462" s="1687">
        <f>SUM(BP462,BQ462,BR462,BS462)</f>
        <v/>
      </c>
      <c r="BU462" s="1686" t="n">
        <v>6</v>
      </c>
      <c r="BV462" s="1686" t="n">
        <v>6</v>
      </c>
      <c r="BW462" s="1686" t="n">
        <v>6</v>
      </c>
      <c r="BX462" s="1686" t="n">
        <v>6</v>
      </c>
      <c r="BY462" s="1687">
        <f>SUM(BU462,BV462,BW462,BX462)</f>
        <v/>
      </c>
      <c r="BZ462" s="1688" t="n">
        <v>24</v>
      </c>
      <c r="CA462" s="1688" t="n">
        <v>24</v>
      </c>
      <c r="CB462" s="1688" t="n">
        <v>24</v>
      </c>
      <c r="CC462" s="1689" t="n"/>
    </row>
    <row r="463" ht="14.4" customFormat="1" customHeight="1" s="1680">
      <c r="A463" s="1690" t="n"/>
      <c r="B463" s="1682" t="n"/>
      <c r="C463" s="1687" t="n"/>
      <c r="D463" s="1687" t="n"/>
      <c r="E463" s="1687" t="n"/>
      <c r="F463" s="1687" t="n"/>
      <c r="G463" s="1687" t="n"/>
      <c r="H463" s="1691" t="n"/>
      <c r="I463" s="1691" t="n"/>
      <c r="J463" s="1691" t="n"/>
      <c r="K463" s="1691" t="n"/>
      <c r="L463" s="1687" t="n"/>
      <c r="M463" s="1691" t="n"/>
      <c r="N463" s="1691" t="n"/>
      <c r="O463" s="1691" t="n"/>
      <c r="P463" s="1691" t="n"/>
      <c r="Q463" s="1687" t="n"/>
      <c r="R463" s="1691" t="n"/>
      <c r="S463" s="1691" t="n"/>
      <c r="T463" s="1691" t="n"/>
      <c r="U463" s="1691" t="n"/>
      <c r="V463" s="1687" t="n"/>
      <c r="W463" s="1691" t="n"/>
      <c r="X463" s="1691" t="n"/>
      <c r="Y463" s="1691" t="n"/>
      <c r="Z463" s="1691" t="n"/>
      <c r="AA463" s="1687" t="n"/>
      <c r="AB463" s="1691" t="n"/>
      <c r="AC463" s="1691" t="n"/>
      <c r="AD463" s="1691" t="n"/>
      <c r="AE463" s="1691" t="n"/>
      <c r="AF463" s="1687" t="n"/>
      <c r="AG463" s="1691" t="n"/>
      <c r="AH463" s="1691" t="n"/>
      <c r="AI463" s="1691" t="n"/>
      <c r="AJ463" s="1691" t="n"/>
      <c r="AK463" s="1687" t="n"/>
      <c r="AL463" s="1691" t="n"/>
      <c r="AM463" s="1691" t="n"/>
      <c r="AN463" s="1691" t="n"/>
      <c r="AO463" s="1691" t="n"/>
      <c r="AP463" s="1687" t="n"/>
      <c r="AQ463" s="1691" t="n"/>
      <c r="AR463" s="1691" t="n"/>
      <c r="AS463" s="1691" t="n"/>
      <c r="AT463" s="1691" t="n"/>
      <c r="AU463" s="1687" t="n"/>
      <c r="AV463" s="1691" t="n"/>
      <c r="AW463" s="1691" t="n"/>
      <c r="AX463" s="1691" t="n"/>
      <c r="AY463" s="1691" t="n"/>
      <c r="AZ463" s="1687" t="n"/>
      <c r="BA463" s="1691" t="n"/>
      <c r="BB463" s="1691" t="n"/>
      <c r="BC463" s="1691" t="n"/>
      <c r="BD463" s="1691" t="n"/>
      <c r="BE463" s="1687" t="n"/>
      <c r="BF463" s="1691" t="n"/>
      <c r="BG463" s="1691" t="n"/>
      <c r="BH463" s="1691" t="n"/>
      <c r="BI463" s="1691" t="n"/>
      <c r="BJ463" s="1687" t="n"/>
      <c r="BK463" s="1691" t="n"/>
      <c r="BL463" s="1691" t="n"/>
      <c r="BM463" s="1691" t="n"/>
      <c r="BN463" s="1691" t="n"/>
      <c r="BO463" s="1692" t="n"/>
      <c r="BP463" s="1691" t="n"/>
      <c r="BQ463" s="1691" t="n"/>
      <c r="BR463" s="1691" t="n"/>
      <c r="BS463" s="1691" t="n"/>
      <c r="BT463" s="1687" t="n"/>
      <c r="BU463" s="1691" t="n"/>
      <c r="BV463" s="1691" t="n"/>
      <c r="BW463" s="1691" t="n"/>
      <c r="BX463" s="1691" t="n"/>
      <c r="BY463" s="1687" t="n"/>
      <c r="BZ463" s="1687" t="n"/>
      <c r="CA463" s="1687" t="n"/>
      <c r="CB463" s="1687" t="n"/>
      <c r="CC463" s="1689" t="n"/>
    </row>
    <row r="464" ht="14.4" customFormat="1" customHeight="1" s="1680">
      <c r="A464" s="1681" t="inlineStr">
        <is>
          <t>Net Debt Issuance (Repayment)</t>
        </is>
      </c>
      <c r="B464" s="1682" t="n"/>
      <c r="C464" s="1446">
        <f>C784+C786+C787+C788+C789+C790+C791+C792+C797</f>
        <v/>
      </c>
      <c r="D464" s="1446">
        <f>D784+D786+D787+D788+D789+D790+D791+D792+D797</f>
        <v/>
      </c>
      <c r="E464" s="1446">
        <f>E784+E786+E787+E788+E789+E790+E791+E792+E797</f>
        <v/>
      </c>
      <c r="F464" s="1446">
        <f>F784+F786+F787+F788+F789+F790+F791+F792+F797</f>
        <v/>
      </c>
      <c r="G464" s="1446">
        <f>G784+G786+G787+G788+G789+G790+G791+G792+G797</f>
        <v/>
      </c>
      <c r="H464" s="1280">
        <f>H784+H786+H787+H788+H789+H790+H791+H792+H797</f>
        <v/>
      </c>
      <c r="I464" s="1280">
        <f>I784+I786+I787+I788+I789+I790+I791+I792+I797</f>
        <v/>
      </c>
      <c r="J464" s="1280">
        <f>J784+J786+J787+J788+J789+J790+J791+J792+J797</f>
        <v/>
      </c>
      <c r="K464" s="1280">
        <f>K784+K786+K787+K788+K789+K790+K791+K792+K797</f>
        <v/>
      </c>
      <c r="L464" s="1446">
        <f>L784+L786+L787+L788+L789+L790+L791+L792+L797</f>
        <v/>
      </c>
      <c r="M464" s="1280">
        <f>M784+M786+M787+M788+M789+M790+M791+M792+M797</f>
        <v/>
      </c>
      <c r="N464" s="1280">
        <f>N784+N786+N787+N788+N789+N790+N791+N792+N797</f>
        <v/>
      </c>
      <c r="O464" s="1280">
        <f>O784+O786+O787+O788+O789+O790+O791+O792+O797</f>
        <v/>
      </c>
      <c r="P464" s="1280">
        <f>P784+P786+P787+P788+P789+P790+P791+P792+P797</f>
        <v/>
      </c>
      <c r="Q464" s="1446">
        <f>Q784+Q786+Q787+Q788+Q789+Q790+Q791+Q792+Q797</f>
        <v/>
      </c>
      <c r="R464" s="1280">
        <f>R784+R786+R787+R788+R789+R790+R791+R792+R797</f>
        <v/>
      </c>
      <c r="S464" s="1280">
        <f>S784+S786+S787+S788+S789+S790+S791+S792+S797</f>
        <v/>
      </c>
      <c r="T464" s="1280">
        <f>T784+T786+T787+T788+T789+T790+T791+T792+T797</f>
        <v/>
      </c>
      <c r="U464" s="1280">
        <f>U784+U786+U787+U788+U789+U790+U791+U792+U797</f>
        <v/>
      </c>
      <c r="V464" s="1446">
        <f>V784+V786+V787+V788+V789+V790+V791+V792+V797</f>
        <v/>
      </c>
      <c r="W464" s="1280">
        <f>W784+W786+W787+W788+W789+W790+W791+W792+W797</f>
        <v/>
      </c>
      <c r="X464" s="1280">
        <f>X784+X786+X787+X788+X789+X790+X791+X792+X797</f>
        <v/>
      </c>
      <c r="Y464" s="1280">
        <f>Y784+Y786+Y787+Y788+Y789+Y790+Y791+Y792+Y797</f>
        <v/>
      </c>
      <c r="Z464" s="1280">
        <f>Z784+Z786+Z787+Z788+Z789+Z790+Z791+Z792+Z797</f>
        <v/>
      </c>
      <c r="AA464" s="1446">
        <f>AA784+AA786+AA787+AA788+AA789+AA790+AA791+AA792+AA797</f>
        <v/>
      </c>
      <c r="AB464" s="1280">
        <f>AB784+AB786+AB787+AB788+AB789+AB790+AB791+AB792+AB797</f>
        <v/>
      </c>
      <c r="AC464" s="1280">
        <f>AC784+AC786+AC787+AC788+AC789+AC790+AC791+AC792+AC797</f>
        <v/>
      </c>
      <c r="AD464" s="1280">
        <f>AD784+AD786+AD787+AD788+AD789+AD790+AD791+AD792+AD797</f>
        <v/>
      </c>
      <c r="AE464" s="1280">
        <f>AE784+AE786+AE787+AE788+AE789+AE790+AE791+AE792+AE797</f>
        <v/>
      </c>
      <c r="AF464" s="1446">
        <f>AF784+AF786+AF787+AF788+AF789+AF790+AF791+AF792+AF797</f>
        <v/>
      </c>
      <c r="AG464" s="1280">
        <f>AG784+AG786+AG787+AG788+AG789+AG790+AG791+AG792+AG797</f>
        <v/>
      </c>
      <c r="AH464" s="1280">
        <f>AH784+AH786+AH787+AH788+AH789+AH790+AH791+AH792+AH797</f>
        <v/>
      </c>
      <c r="AI464" s="1280">
        <f>AI784+AI786+AI787+AI788+AI789+AI790+AI791+AI792+AI797</f>
        <v/>
      </c>
      <c r="AJ464" s="1280">
        <f>AJ784+AJ786+AJ787+AJ788+AJ789+AJ790+AJ791+AJ792+AJ797</f>
        <v/>
      </c>
      <c r="AK464" s="1446">
        <f>AK784+AK786+AK787+AK788+AK789+AK790+AK791+AK792+AK797</f>
        <v/>
      </c>
      <c r="AL464" s="1280">
        <f>AL784+AL786+AL787+AL788+AL789+AL790+AL791+AL792+AL797</f>
        <v/>
      </c>
      <c r="AM464" s="1280">
        <f>AM784+AM786+AM787+AM788+AM789+AM790+AM791+AM792+AM797</f>
        <v/>
      </c>
      <c r="AN464" s="1280">
        <f>AN784+AN786+AN787+AN788+AN789+AN790+AN791+AN792+AN797</f>
        <v/>
      </c>
      <c r="AO464" s="1280">
        <f>AO784+AO786+AO787+AO788+AO789+AO790+AO791+AO792+AO797</f>
        <v/>
      </c>
      <c r="AP464" s="1446">
        <f>AP784+AP786+AP787+AP788+AP789+AP790+AP791+AP792+AP797</f>
        <v/>
      </c>
      <c r="AQ464" s="1280">
        <f>AQ784+AQ786+AQ787+AQ788+AQ789+AQ790+AQ791+AQ792+AQ797</f>
        <v/>
      </c>
      <c r="AR464" s="1280">
        <f>AR784+AR786+AR787+AR788+AR789+AR790+AR791+AR792+AR797</f>
        <v/>
      </c>
      <c r="AS464" s="1280">
        <f>AS784+AS786+AS787+AS788+AS789+AS790+AS791+AS792+AS797</f>
        <v/>
      </c>
      <c r="AT464" s="1280">
        <f>AT784+AT786+AT787+AT788+AT789+AT790+AT791+AT792+AT797</f>
        <v/>
      </c>
      <c r="AU464" s="1446">
        <f>AU784+AU786+AU787+AU788+AU789+AU790+AU791+AU792+AU797</f>
        <v/>
      </c>
      <c r="AV464" s="1280">
        <f>AV784+AV786+AV787+AV788+AV789+AV790+AV791+AV792+AV797</f>
        <v/>
      </c>
      <c r="AW464" s="1280">
        <f>AW784+AW786+AW787+AW788+AW789+AW790+AW791+AW792+AW797</f>
        <v/>
      </c>
      <c r="AX464" s="1280">
        <f>AX784+AX786+AX787+AX788+AX789+AX790+AX791+AX792+AX797</f>
        <v/>
      </c>
      <c r="AY464" s="1280">
        <f>AY784+AY786+AY787+AY788+AY789+AY790+AY791+AY792+AY797</f>
        <v/>
      </c>
      <c r="AZ464" s="1446">
        <f>AZ784+AZ786+AZ787+AZ788+AZ789+AZ790+AZ791+AZ792+AZ797</f>
        <v/>
      </c>
      <c r="BA464" s="1280">
        <f>BA784+BA786+BA787+BA788+BA789+BA790+BA791+BA792+BA797</f>
        <v/>
      </c>
      <c r="BB464" s="1280">
        <f>BB784+BB786+BB787+BB788+BB789+BB790+BB791+BB792+BB797</f>
        <v/>
      </c>
      <c r="BC464" s="1280">
        <f>BC784+BC786+BC787+BC788+BC789+BC790+BC791+BC792+BC797</f>
        <v/>
      </c>
      <c r="BD464" s="1280">
        <f>BD784+BD786+BD787+BD788+BD789+BD790+BD791+BD792+BD797</f>
        <v/>
      </c>
      <c r="BE464" s="1446">
        <f>BE784+BE786+BE787+BE788+BE789+BE790+BE791+BE792+BE797</f>
        <v/>
      </c>
      <c r="BF464" s="1280">
        <f>BF784+BF786+BF787+BF788+BF789+BF790+BF791+BF792+BF797</f>
        <v/>
      </c>
      <c r="BG464" s="1280">
        <f>BG784+BG786+BG787+BG788+BG789+BG790+BG791+BG792+BG797</f>
        <v/>
      </c>
      <c r="BH464" s="1280">
        <f>BH784+BH786+BH787+BH788+BH789+BH790+BH791+BH792+BH797</f>
        <v/>
      </c>
      <c r="BI464" s="1280">
        <f>BI784+BI786+BI787+BI788+BI789+BI790+BI791+BI792+BI797</f>
        <v/>
      </c>
      <c r="BJ464" s="1446">
        <f>BJ784+BJ786+BJ787+BJ788+BJ789+BJ790+BJ791+BJ792+BJ797</f>
        <v/>
      </c>
      <c r="BK464" s="1280">
        <f>BK784+BK786+BK787+BK788+BK789+BK790+BK791+BK792+BK797</f>
        <v/>
      </c>
      <c r="BL464" s="1280">
        <f>BL784+BL786+BL787+BL788+BL789+BL790+BL791+BL792+BL797</f>
        <v/>
      </c>
      <c r="BM464" s="1280">
        <f>BM784+BM786+BM787+BM788+BM789+BM790+BM791+BM792+BM797</f>
        <v/>
      </c>
      <c r="BN464" s="1280">
        <f>BN784+BN786+BN787+BN788+BN789+BN790+BN791+BN792+BN797</f>
        <v/>
      </c>
      <c r="BO464" s="1300">
        <f>BO784+BO786+BO787+BO788+BO789+BO790+BO791+BO792+BO797</f>
        <v/>
      </c>
      <c r="BP464" s="1298" t="n">
        <v>0</v>
      </c>
      <c r="BQ464" s="1298" t="n">
        <v>0</v>
      </c>
      <c r="BR464" s="1298" t="n">
        <v>0</v>
      </c>
      <c r="BS464" s="1298" t="n">
        <v>0</v>
      </c>
      <c r="BT464" s="1297">
        <f>BT784+BT786+BT787+BT788+BT789+BT790+BT791+BT792+BT797</f>
        <v/>
      </c>
      <c r="BU464" s="1298" t="n">
        <v>0</v>
      </c>
      <c r="BV464" s="1298" t="n">
        <v>0</v>
      </c>
      <c r="BW464" s="1298" t="n">
        <v>0</v>
      </c>
      <c r="BX464" s="1298" t="n">
        <v>0</v>
      </c>
      <c r="BY464" s="1297">
        <f>BY784+BY786+BY787+BY788+BY789+BY790+BY791+BY792+BY797</f>
        <v/>
      </c>
      <c r="BZ464" s="1299" t="n">
        <v>0</v>
      </c>
      <c r="CA464" s="1299" t="n">
        <v>0</v>
      </c>
      <c r="CB464" s="1299" t="n">
        <v>0</v>
      </c>
      <c r="CC464" s="1689" t="n"/>
    </row>
    <row r="465" ht="14.4" customFormat="1" customHeight="1" s="1680">
      <c r="A465" s="1681" t="inlineStr">
        <is>
          <t>Net Share Issuance (Buybacks)</t>
        </is>
      </c>
      <c r="B465" s="1682" t="n"/>
      <c r="C465" s="1446">
        <f>C802+C803</f>
        <v/>
      </c>
      <c r="D465" s="1446">
        <f>D802+D803</f>
        <v/>
      </c>
      <c r="E465" s="1446">
        <f>E802+E803</f>
        <v/>
      </c>
      <c r="F465" s="1446">
        <f>F802+F803</f>
        <v/>
      </c>
      <c r="G465" s="1446">
        <f>G802+G803</f>
        <v/>
      </c>
      <c r="H465" s="1280">
        <f>H802+H803</f>
        <v/>
      </c>
      <c r="I465" s="1280">
        <f>I802+I803</f>
        <v/>
      </c>
      <c r="J465" s="1280">
        <f>J802+J803</f>
        <v/>
      </c>
      <c r="K465" s="1280">
        <f>K802+K803</f>
        <v/>
      </c>
      <c r="L465" s="1446">
        <f>L802+L803</f>
        <v/>
      </c>
      <c r="M465" s="1280">
        <f>M802+M803</f>
        <v/>
      </c>
      <c r="N465" s="1280">
        <f>N802+N803</f>
        <v/>
      </c>
      <c r="O465" s="1280">
        <f>O802+O803</f>
        <v/>
      </c>
      <c r="P465" s="1280">
        <f>P802+P803</f>
        <v/>
      </c>
      <c r="Q465" s="1446">
        <f>Q802+Q803</f>
        <v/>
      </c>
      <c r="R465" s="1280">
        <f>R802+R803</f>
        <v/>
      </c>
      <c r="S465" s="1280">
        <f>S802+S803</f>
        <v/>
      </c>
      <c r="T465" s="1280">
        <f>T802+T803</f>
        <v/>
      </c>
      <c r="U465" s="1280">
        <f>U802+U803</f>
        <v/>
      </c>
      <c r="V465" s="1446">
        <f>V802+V803</f>
        <v/>
      </c>
      <c r="W465" s="1280">
        <f>W802+W803</f>
        <v/>
      </c>
      <c r="X465" s="1280">
        <f>X802+X803</f>
        <v/>
      </c>
      <c r="Y465" s="1280">
        <f>Y802+Y803</f>
        <v/>
      </c>
      <c r="Z465" s="1280">
        <f>Z802+Z803</f>
        <v/>
      </c>
      <c r="AA465" s="1446">
        <f>AA802+AA803</f>
        <v/>
      </c>
      <c r="AB465" s="1280">
        <f>AB802+AB803</f>
        <v/>
      </c>
      <c r="AC465" s="1280">
        <f>AC802+AC803</f>
        <v/>
      </c>
      <c r="AD465" s="1280">
        <f>AD802+AD803</f>
        <v/>
      </c>
      <c r="AE465" s="1280">
        <f>AE802+AE803</f>
        <v/>
      </c>
      <c r="AF465" s="1446">
        <f>AF802+AF803</f>
        <v/>
      </c>
      <c r="AG465" s="1280">
        <f>AG802+AG803</f>
        <v/>
      </c>
      <c r="AH465" s="1280">
        <f>AH802+AH803</f>
        <v/>
      </c>
      <c r="AI465" s="1280">
        <f>AI802+AI803</f>
        <v/>
      </c>
      <c r="AJ465" s="1280">
        <f>AJ802+AJ803</f>
        <v/>
      </c>
      <c r="AK465" s="1446">
        <f>AK802+AK803</f>
        <v/>
      </c>
      <c r="AL465" s="1280">
        <f>AL802+AL803</f>
        <v/>
      </c>
      <c r="AM465" s="1280">
        <f>AM802+AM803</f>
        <v/>
      </c>
      <c r="AN465" s="1280">
        <f>AN802+AN803</f>
        <v/>
      </c>
      <c r="AO465" s="1280">
        <f>AO802+AO803</f>
        <v/>
      </c>
      <c r="AP465" s="1446">
        <f>AP802+AP803</f>
        <v/>
      </c>
      <c r="AQ465" s="1280">
        <f>AQ802+AQ803</f>
        <v/>
      </c>
      <c r="AR465" s="1280">
        <f>AR802+AR803</f>
        <v/>
      </c>
      <c r="AS465" s="1280">
        <f>AS802+AS803</f>
        <v/>
      </c>
      <c r="AT465" s="1280">
        <f>AT802+AT803</f>
        <v/>
      </c>
      <c r="AU465" s="1446">
        <f>AU802+AU803</f>
        <v/>
      </c>
      <c r="AV465" s="1280">
        <f>AV802+AV803</f>
        <v/>
      </c>
      <c r="AW465" s="1280">
        <f>AW802+AW803</f>
        <v/>
      </c>
      <c r="AX465" s="1280">
        <f>AX802+AX803</f>
        <v/>
      </c>
      <c r="AY465" s="1280">
        <f>AY802+AY803</f>
        <v/>
      </c>
      <c r="AZ465" s="1446">
        <f>AZ802+AZ803</f>
        <v/>
      </c>
      <c r="BA465" s="1280">
        <f>BA802+BA803</f>
        <v/>
      </c>
      <c r="BB465" s="1280">
        <f>BB802+BB803</f>
        <v/>
      </c>
      <c r="BC465" s="1280">
        <f>BC802+BC803</f>
        <v/>
      </c>
      <c r="BD465" s="1280">
        <f>BD802+BD803</f>
        <v/>
      </c>
      <c r="BE465" s="1446">
        <f>BE802+BE803</f>
        <v/>
      </c>
      <c r="BF465" s="1280">
        <f>BF802+BF803</f>
        <v/>
      </c>
      <c r="BG465" s="1280">
        <f>BG802+BG803</f>
        <v/>
      </c>
      <c r="BH465" s="1280">
        <f>BH802+BH803</f>
        <v/>
      </c>
      <c r="BI465" s="1280">
        <f>BI802+BI803</f>
        <v/>
      </c>
      <c r="BJ465" s="1446">
        <f>BJ802+BJ803</f>
        <v/>
      </c>
      <c r="BK465" s="1280">
        <f>BK802+BK803</f>
        <v/>
      </c>
      <c r="BL465" s="1280">
        <f>BL802+BL803</f>
        <v/>
      </c>
      <c r="BM465" s="1280">
        <f>BM802+BM803</f>
        <v/>
      </c>
      <c r="BN465" s="1280">
        <f>BN802+BN803</f>
        <v/>
      </c>
      <c r="BO465" s="1300">
        <f>BO802+BO803</f>
        <v/>
      </c>
      <c r="BP465" s="1298" t="n">
        <v>0</v>
      </c>
      <c r="BQ465" s="1298" t="n">
        <v>0</v>
      </c>
      <c r="BR465" s="1298" t="n">
        <v>0</v>
      </c>
      <c r="BS465" s="1298" t="n">
        <v>0</v>
      </c>
      <c r="BT465" s="1297">
        <f>BT802+BT803</f>
        <v/>
      </c>
      <c r="BU465" s="1298" t="n">
        <v>0</v>
      </c>
      <c r="BV465" s="1298" t="n">
        <v>0</v>
      </c>
      <c r="BW465" s="1298" t="n">
        <v>0</v>
      </c>
      <c r="BX465" s="1298" t="n">
        <v>0</v>
      </c>
      <c r="BY465" s="1297">
        <f>BY802+BY803</f>
        <v/>
      </c>
      <c r="BZ465" s="1299" t="n">
        <v>0</v>
      </c>
      <c r="CA465" s="1299" t="n">
        <v>0</v>
      </c>
      <c r="CB465" s="1299" t="n">
        <v>0</v>
      </c>
      <c r="CC465" s="1689" t="n"/>
    </row>
    <row r="466" ht="14.4" customFormat="1" customHeight="1" s="1693">
      <c r="A466" s="1694" t="inlineStr">
        <is>
          <t>Estimated Share Price for Issuance/Buybacks, USD</t>
        </is>
      </c>
      <c r="B466" s="1695" t="n"/>
      <c r="C466" s="1696" t="n"/>
      <c r="D466" s="1696" t="n"/>
      <c r="E466" s="1696" t="n"/>
      <c r="F466" s="1696" t="n"/>
      <c r="G466" s="1696" t="n"/>
      <c r="H466" s="1697" t="n"/>
      <c r="I466" s="1697" t="n"/>
      <c r="J466" s="1697" t="n"/>
      <c r="K466" s="1697" t="n"/>
      <c r="L466" s="1696" t="n"/>
      <c r="M466" s="1697" t="n"/>
      <c r="N466" s="1697" t="n"/>
      <c r="O466" s="1697" t="n"/>
      <c r="P466" s="1697" t="n"/>
      <c r="Q466" s="1696" t="n"/>
      <c r="R466" s="1697" t="n"/>
      <c r="S466" s="1697" t="n"/>
      <c r="T466" s="1697" t="n"/>
      <c r="U466" s="1697" t="n"/>
      <c r="V466" s="1696" t="n"/>
      <c r="W466" s="1697" t="n"/>
      <c r="X466" s="1697" t="n"/>
      <c r="Y466" s="1697" t="n"/>
      <c r="Z466" s="1697" t="n"/>
      <c r="AA466" s="1696" t="n"/>
      <c r="AB466" s="1697" t="n"/>
      <c r="AC466" s="1697" t="n"/>
      <c r="AD466" s="1697" t="n"/>
      <c r="AE466" s="1697" t="n"/>
      <c r="AF466" s="1696" t="n"/>
      <c r="AG466" s="1697" t="n"/>
      <c r="AH466" s="1697" t="n"/>
      <c r="AI466" s="1697" t="n"/>
      <c r="AJ466" s="1697" t="n"/>
      <c r="AK466" s="1696" t="n"/>
      <c r="AL466" s="1697" t="n"/>
      <c r="AM466" s="1697" t="n"/>
      <c r="AN466" s="1697" t="n"/>
      <c r="AO466" s="1697" t="n"/>
      <c r="AP466" s="1696" t="n"/>
      <c r="AQ466" s="1697" t="n"/>
      <c r="AR466" s="1697" t="n"/>
      <c r="AS466" s="1697" t="n"/>
      <c r="AT466" s="1697" t="n"/>
      <c r="AU466" s="1696" t="n"/>
      <c r="AV466" s="1697" t="n"/>
      <c r="AW466" s="1697" t="n"/>
      <c r="AX466" s="1697" t="n"/>
      <c r="AY466" s="1697" t="n"/>
      <c r="AZ466" s="1696" t="n"/>
      <c r="BA466" s="1697" t="n"/>
      <c r="BB466" s="1697" t="n"/>
      <c r="BC466" s="1697" t="n"/>
      <c r="BD466" s="1697" t="n"/>
      <c r="BE466" s="1696" t="n"/>
      <c r="BF466" s="1697" t="n"/>
      <c r="BG466" s="1697" t="n"/>
      <c r="BH466" s="1697" t="n"/>
      <c r="BI466" s="1697" t="n"/>
      <c r="BJ466" s="1696" t="n"/>
      <c r="BK466" s="1697" t="n"/>
      <c r="BL466" s="1697" t="n"/>
      <c r="BM466" s="1697" t="n"/>
      <c r="BN466" s="1697" t="n"/>
      <c r="BO466" s="1698" t="n"/>
      <c r="BP466" s="1699" t="n">
        <v>342</v>
      </c>
      <c r="BQ466" s="1699" t="n">
        <v>342</v>
      </c>
      <c r="BR466" s="1699" t="n">
        <v>342</v>
      </c>
      <c r="BS466" s="1699" t="n">
        <v>342</v>
      </c>
      <c r="BT466" s="1696">
        <f>AVERAGE(BP466,BQ466,BR466,BS466)</f>
        <v/>
      </c>
      <c r="BU466" s="1699" t="n">
        <v>376</v>
      </c>
      <c r="BV466" s="1699" t="n">
        <v>376</v>
      </c>
      <c r="BW466" s="1699" t="n">
        <v>376</v>
      </c>
      <c r="BX466" s="1699" t="n">
        <v>376</v>
      </c>
      <c r="BY466" s="1696">
        <f>AVERAGE(BU466,BV466,BW466,BX466)</f>
        <v/>
      </c>
      <c r="BZ466" s="1700" t="n">
        <v>414</v>
      </c>
      <c r="CA466" s="1700" t="n">
        <v>455</v>
      </c>
      <c r="CB466" s="1700" t="n">
        <v>501</v>
      </c>
      <c r="CC466" s="1701" t="n"/>
    </row>
    <row r="467" ht="14.4" customFormat="1" customHeight="1" s="1275">
      <c r="A467" s="1609" t="n"/>
      <c r="B467" s="1387" t="n"/>
      <c r="C467" s="1369" t="n"/>
      <c r="D467" s="1369" t="n"/>
      <c r="E467" s="1369" t="n"/>
      <c r="F467" s="1369" t="n"/>
      <c r="G467" s="1369" t="n"/>
      <c r="H467" s="1370" t="n"/>
      <c r="I467" s="1370" t="n"/>
      <c r="J467" s="1370" t="n"/>
      <c r="K467" s="1370" t="n"/>
      <c r="L467" s="1369" t="n"/>
      <c r="M467" s="1370" t="n"/>
      <c r="N467" s="1370" t="n"/>
      <c r="O467" s="1370" t="n"/>
      <c r="P467" s="1370" t="n"/>
      <c r="Q467" s="1369" t="n"/>
      <c r="R467" s="1370" t="n"/>
      <c r="S467" s="1370" t="n"/>
      <c r="T467" s="1370" t="n"/>
      <c r="U467" s="1370" t="n"/>
      <c r="V467" s="1369" t="n"/>
      <c r="W467" s="1370" t="n"/>
      <c r="X467" s="1370" t="n"/>
      <c r="Y467" s="1370" t="n"/>
      <c r="Z467" s="1370" t="n"/>
      <c r="AA467" s="1369" t="n"/>
      <c r="AB467" s="1370" t="n"/>
      <c r="AC467" s="1370" t="n"/>
      <c r="AD467" s="1370" t="n"/>
      <c r="AE467" s="1370" t="n"/>
      <c r="AF467" s="1369" t="n"/>
      <c r="AG467" s="1370" t="n"/>
      <c r="AH467" s="1370" t="n"/>
      <c r="AI467" s="1370" t="n"/>
      <c r="AJ467" s="1370" t="n"/>
      <c r="AK467" s="1369" t="n"/>
      <c r="AL467" s="1370" t="n"/>
      <c r="AM467" s="1370" t="n"/>
      <c r="AN467" s="1370" t="n"/>
      <c r="AO467" s="1370" t="n"/>
      <c r="AP467" s="1369" t="n"/>
      <c r="AQ467" s="1370" t="n"/>
      <c r="AR467" s="1370" t="n"/>
      <c r="AS467" s="1370" t="n"/>
      <c r="AT467" s="1370" t="n"/>
      <c r="AU467" s="1369" t="n"/>
      <c r="AV467" s="1370" t="n"/>
      <c r="AW467" s="1370" t="n"/>
      <c r="AX467" s="1370" t="n"/>
      <c r="AY467" s="1370" t="n"/>
      <c r="AZ467" s="1369" t="n"/>
      <c r="BA467" s="1370" t="n"/>
      <c r="BB467" s="1370" t="n"/>
      <c r="BC467" s="1370" t="n"/>
      <c r="BD467" s="1370" t="n"/>
      <c r="BE467" s="1369" t="n"/>
      <c r="BF467" s="1370" t="n"/>
      <c r="BG467" s="1370" t="n"/>
      <c r="BH467" s="1370" t="n"/>
      <c r="BI467" s="1370" t="n"/>
      <c r="BJ467" s="1369" t="n"/>
      <c r="BK467" s="1370" t="n"/>
      <c r="BL467" s="1370" t="n"/>
      <c r="BM467" s="1370" t="n"/>
      <c r="BN467" s="1370" t="n"/>
      <c r="BO467" s="1371" t="n"/>
      <c r="BP467" s="1370" t="n"/>
      <c r="BQ467" s="1370" t="n"/>
      <c r="BR467" s="1370" t="n"/>
      <c r="BS467" s="1370" t="n"/>
      <c r="BT467" s="1369" t="n"/>
      <c r="BU467" s="1370" t="n"/>
      <c r="BV467" s="1370" t="n"/>
      <c r="BW467" s="1370" t="n"/>
      <c r="BX467" s="1370" t="n"/>
      <c r="BY467" s="1369" t="n"/>
      <c r="BZ467" s="1369" t="n"/>
      <c r="CA467" s="1369" t="n"/>
      <c r="CB467" s="1369" t="n"/>
      <c r="CC467" s="1280" t="n"/>
    </row>
    <row r="468" hidden="1" outlineLevel="1" ht="14.4" customFormat="1" customHeight="1" s="1275">
      <c r="A468" s="1277" t="inlineStr">
        <is>
          <t>FCF (before WC), Pre Div</t>
        </is>
      </c>
      <c r="B468" s="1387" t="n"/>
      <c r="C468" s="1297">
        <f>C451+C457</f>
        <v/>
      </c>
      <c r="D468" s="1297">
        <f>D451+D457</f>
        <v/>
      </c>
      <c r="E468" s="1297">
        <f>E451+E457</f>
        <v/>
      </c>
      <c r="F468" s="1297">
        <f>F451+F457</f>
        <v/>
      </c>
      <c r="G468" s="1297">
        <f>G451+G457</f>
        <v/>
      </c>
      <c r="H468" s="1277">
        <f>H451+H457</f>
        <v/>
      </c>
      <c r="I468" s="1277">
        <f>I451+I457</f>
        <v/>
      </c>
      <c r="J468" s="1277">
        <f>J451+J457</f>
        <v/>
      </c>
      <c r="K468" s="1277">
        <f>K451+K457</f>
        <v/>
      </c>
      <c r="L468" s="1297">
        <f>L451+L457</f>
        <v/>
      </c>
      <c r="M468" s="1277">
        <f>M451+M457</f>
        <v/>
      </c>
      <c r="N468" s="1277">
        <f>N451+N457</f>
        <v/>
      </c>
      <c r="O468" s="1277">
        <f>O451+O457</f>
        <v/>
      </c>
      <c r="P468" s="1277">
        <f>P451+P457</f>
        <v/>
      </c>
      <c r="Q468" s="1297">
        <f>Q451+Q457</f>
        <v/>
      </c>
      <c r="R468" s="1277">
        <f>R451+R457</f>
        <v/>
      </c>
      <c r="S468" s="1277">
        <f>S451+S457</f>
        <v/>
      </c>
      <c r="T468" s="1277">
        <f>T451+T457</f>
        <v/>
      </c>
      <c r="U468" s="1277">
        <f>U451+U457</f>
        <v/>
      </c>
      <c r="V468" s="1297">
        <f>V451+V457</f>
        <v/>
      </c>
      <c r="W468" s="1277">
        <f>W451+W457</f>
        <v/>
      </c>
      <c r="X468" s="1277">
        <f>X451+X457</f>
        <v/>
      </c>
      <c r="Y468" s="1277">
        <f>Y451+Y457</f>
        <v/>
      </c>
      <c r="Z468" s="1277">
        <f>Z451+Z457</f>
        <v/>
      </c>
      <c r="AA468" s="1297">
        <f>AA451+AA457</f>
        <v/>
      </c>
      <c r="AB468" s="1277">
        <f>AB451+AB457</f>
        <v/>
      </c>
      <c r="AC468" s="1277">
        <f>AC451+AC457</f>
        <v/>
      </c>
      <c r="AD468" s="1277">
        <f>AD451+AD457</f>
        <v/>
      </c>
      <c r="AE468" s="1277">
        <f>AE451+AE457</f>
        <v/>
      </c>
      <c r="AF468" s="1297">
        <f>AF451+AF457</f>
        <v/>
      </c>
      <c r="AG468" s="1277">
        <f>AG451+AG457</f>
        <v/>
      </c>
      <c r="AH468" s="1277">
        <f>AH451+AH457</f>
        <v/>
      </c>
      <c r="AI468" s="1277">
        <f>AI451+AI457</f>
        <v/>
      </c>
      <c r="AJ468" s="1277">
        <f>AJ451+AJ457</f>
        <v/>
      </c>
      <c r="AK468" s="1297">
        <f>AK451+AK457</f>
        <v/>
      </c>
      <c r="AL468" s="1277">
        <f>AL451+AL457</f>
        <v/>
      </c>
      <c r="AM468" s="1277">
        <f>AM451+AM457</f>
        <v/>
      </c>
      <c r="AN468" s="1277">
        <f>AN451+AN457</f>
        <v/>
      </c>
      <c r="AO468" s="1277">
        <f>AO451+AO457</f>
        <v/>
      </c>
      <c r="AP468" s="1297">
        <f>AP451+AP457</f>
        <v/>
      </c>
      <c r="AQ468" s="1277">
        <f>AQ451+AQ457</f>
        <v/>
      </c>
      <c r="AR468" s="1277">
        <f>AR451+AR457</f>
        <v/>
      </c>
      <c r="AS468" s="1277">
        <f>AS451+AS457</f>
        <v/>
      </c>
      <c r="AT468" s="1277">
        <f>AT451+AT457</f>
        <v/>
      </c>
      <c r="AU468" s="1297">
        <f>AU451+AU457</f>
        <v/>
      </c>
      <c r="AV468" s="1277">
        <f>AV451+AV457</f>
        <v/>
      </c>
      <c r="AW468" s="1277">
        <f>AW451+AW457</f>
        <v/>
      </c>
      <c r="AX468" s="1277">
        <f>AX451+AX457</f>
        <v/>
      </c>
      <c r="AY468" s="1277">
        <f>AY451+AY457</f>
        <v/>
      </c>
      <c r="AZ468" s="1297">
        <f>AZ451+AZ457</f>
        <v/>
      </c>
      <c r="BA468" s="1277">
        <f>BA451+BA457</f>
        <v/>
      </c>
      <c r="BB468" s="1277">
        <f>BB451+BB457</f>
        <v/>
      </c>
      <c r="BC468" s="1277">
        <f>BC451+BC457</f>
        <v/>
      </c>
      <c r="BD468" s="1277">
        <f>BD451+BD457</f>
        <v/>
      </c>
      <c r="BE468" s="1297">
        <f>BE451+BE457</f>
        <v/>
      </c>
      <c r="BF468" s="1277">
        <f>BF451+BF457</f>
        <v/>
      </c>
      <c r="BG468" s="1277">
        <f>BG451+BG457</f>
        <v/>
      </c>
      <c r="BH468" s="1277">
        <f>BH451+BH457</f>
        <v/>
      </c>
      <c r="BI468" s="1277">
        <f>BI451+BI457</f>
        <v/>
      </c>
      <c r="BJ468" s="1297">
        <f>BJ451+BJ457</f>
        <v/>
      </c>
      <c r="BK468" s="1277">
        <f>BK451+BK457</f>
        <v/>
      </c>
      <c r="BL468" s="1277">
        <f>BL451+BL457</f>
        <v/>
      </c>
      <c r="BM468" s="1277">
        <f>BM451+BM457</f>
        <v/>
      </c>
      <c r="BN468" s="1277">
        <f>BN451+BN457</f>
        <v/>
      </c>
      <c r="BO468" s="1382">
        <f>BO451+BO457</f>
        <v/>
      </c>
      <c r="BP468" s="1277">
        <f>BP451+BP457</f>
        <v/>
      </c>
      <c r="BQ468" s="1277">
        <f>BQ451+BQ457</f>
        <v/>
      </c>
      <c r="BR468" s="1277">
        <f>BR451+BR457</f>
        <v/>
      </c>
      <c r="BS468" s="1277">
        <f>BS451+BS457</f>
        <v/>
      </c>
      <c r="BT468" s="1297">
        <f>BT451+BT457</f>
        <v/>
      </c>
      <c r="BU468" s="1277">
        <f>BU451+BU457</f>
        <v/>
      </c>
      <c r="BV468" s="1277">
        <f>BV451+BV457</f>
        <v/>
      </c>
      <c r="BW468" s="1277">
        <f>BW451+BW457</f>
        <v/>
      </c>
      <c r="BX468" s="1277">
        <f>BX451+BX457</f>
        <v/>
      </c>
      <c r="BY468" s="1297">
        <f>BY451+BY457</f>
        <v/>
      </c>
      <c r="BZ468" s="1297">
        <f>BZ451+BZ457</f>
        <v/>
      </c>
      <c r="CA468" s="1297">
        <f>CA451+CA457</f>
        <v/>
      </c>
      <c r="CB468" s="1297">
        <f>CB451+CB457</f>
        <v/>
      </c>
      <c r="CC468" s="1277" t="n"/>
    </row>
    <row r="469" hidden="1" outlineLevel="1" ht="14.4" customFormat="1" customHeight="1" s="1275">
      <c r="A469" s="1277" t="inlineStr">
        <is>
          <t>FCF (before WC), Post Div, Pre A/D</t>
        </is>
      </c>
      <c r="B469" s="1387" t="n"/>
      <c r="C469" s="1297">
        <f>C468+C461</f>
        <v/>
      </c>
      <c r="D469" s="1297">
        <f>D468+D461</f>
        <v/>
      </c>
      <c r="E469" s="1297">
        <f>E468+E461</f>
        <v/>
      </c>
      <c r="F469" s="1297">
        <f>F468+F461</f>
        <v/>
      </c>
      <c r="G469" s="1297">
        <f>G468+G461</f>
        <v/>
      </c>
      <c r="H469" s="1277">
        <f>H468+H461</f>
        <v/>
      </c>
      <c r="I469" s="1277">
        <f>I468+I461</f>
        <v/>
      </c>
      <c r="J469" s="1277">
        <f>J468+J461</f>
        <v/>
      </c>
      <c r="K469" s="1277">
        <f>K468+K461</f>
        <v/>
      </c>
      <c r="L469" s="1297">
        <f>L468+L461</f>
        <v/>
      </c>
      <c r="M469" s="1277">
        <f>M468+M461</f>
        <v/>
      </c>
      <c r="N469" s="1277">
        <f>N468+N461</f>
        <v/>
      </c>
      <c r="O469" s="1277">
        <f>O468+O461</f>
        <v/>
      </c>
      <c r="P469" s="1277">
        <f>P468+P461</f>
        <v/>
      </c>
      <c r="Q469" s="1297">
        <f>Q468+Q461</f>
        <v/>
      </c>
      <c r="R469" s="1277">
        <f>R468+R461</f>
        <v/>
      </c>
      <c r="S469" s="1277">
        <f>S468+S461</f>
        <v/>
      </c>
      <c r="T469" s="1277">
        <f>T468+T461</f>
        <v/>
      </c>
      <c r="U469" s="1277">
        <f>U468+U461</f>
        <v/>
      </c>
      <c r="V469" s="1297">
        <f>V468+V461</f>
        <v/>
      </c>
      <c r="W469" s="1277">
        <f>W468+W461</f>
        <v/>
      </c>
      <c r="X469" s="1277">
        <f>X468+X461</f>
        <v/>
      </c>
      <c r="Y469" s="1277">
        <f>Y468+Y461</f>
        <v/>
      </c>
      <c r="Z469" s="1277">
        <f>Z468+Z461</f>
        <v/>
      </c>
      <c r="AA469" s="1297">
        <f>AA468+AA461</f>
        <v/>
      </c>
      <c r="AB469" s="1277">
        <f>AB468+AB461</f>
        <v/>
      </c>
      <c r="AC469" s="1277">
        <f>AC468+AC461</f>
        <v/>
      </c>
      <c r="AD469" s="1277">
        <f>AD468+AD461</f>
        <v/>
      </c>
      <c r="AE469" s="1277">
        <f>AE468+AE461</f>
        <v/>
      </c>
      <c r="AF469" s="1297">
        <f>AF468+AF461</f>
        <v/>
      </c>
      <c r="AG469" s="1277">
        <f>AG468+AG461</f>
        <v/>
      </c>
      <c r="AH469" s="1277">
        <f>AH468+AH461</f>
        <v/>
      </c>
      <c r="AI469" s="1277">
        <f>AI468+AI461</f>
        <v/>
      </c>
      <c r="AJ469" s="1277">
        <f>AJ468+AJ461</f>
        <v/>
      </c>
      <c r="AK469" s="1297">
        <f>AK468+AK461</f>
        <v/>
      </c>
      <c r="AL469" s="1277">
        <f>AL468+AL461</f>
        <v/>
      </c>
      <c r="AM469" s="1277">
        <f>AM468+AM461</f>
        <v/>
      </c>
      <c r="AN469" s="1277">
        <f>AN468+AN461</f>
        <v/>
      </c>
      <c r="AO469" s="1277">
        <f>AO468+AO461</f>
        <v/>
      </c>
      <c r="AP469" s="1297">
        <f>AP468+AP461</f>
        <v/>
      </c>
      <c r="AQ469" s="1277">
        <f>AQ468+AQ461</f>
        <v/>
      </c>
      <c r="AR469" s="1277">
        <f>AR468+AR461</f>
        <v/>
      </c>
      <c r="AS469" s="1277">
        <f>AS468+AS461</f>
        <v/>
      </c>
      <c r="AT469" s="1277">
        <f>AT468+AT461</f>
        <v/>
      </c>
      <c r="AU469" s="1297">
        <f>AU468+AU461</f>
        <v/>
      </c>
      <c r="AV469" s="1277">
        <f>AV468+AV461</f>
        <v/>
      </c>
      <c r="AW469" s="1277">
        <f>AW468+AW461</f>
        <v/>
      </c>
      <c r="AX469" s="1277">
        <f>AX468+AX461</f>
        <v/>
      </c>
      <c r="AY469" s="1277">
        <f>AY468+AY461</f>
        <v/>
      </c>
      <c r="AZ469" s="1297">
        <f>AZ468+AZ461</f>
        <v/>
      </c>
      <c r="BA469" s="1277">
        <f>BA468+BA461</f>
        <v/>
      </c>
      <c r="BB469" s="1277">
        <f>BB468+BB461</f>
        <v/>
      </c>
      <c r="BC469" s="1277">
        <f>BC468+BC461</f>
        <v/>
      </c>
      <c r="BD469" s="1277">
        <f>BD468+BD461</f>
        <v/>
      </c>
      <c r="BE469" s="1297">
        <f>BE468+BE461</f>
        <v/>
      </c>
      <c r="BF469" s="1277">
        <f>BF468+BF461</f>
        <v/>
      </c>
      <c r="BG469" s="1277">
        <f>BG468+BG461</f>
        <v/>
      </c>
      <c r="BH469" s="1277">
        <f>BH468+BH461</f>
        <v/>
      </c>
      <c r="BI469" s="1277">
        <f>BI468+BI461</f>
        <v/>
      </c>
      <c r="BJ469" s="1297">
        <f>BJ468+BJ461</f>
        <v/>
      </c>
      <c r="BK469" s="1277">
        <f>BK468+BK461</f>
        <v/>
      </c>
      <c r="BL469" s="1277">
        <f>BL468+BL461</f>
        <v/>
      </c>
      <c r="BM469" s="1277">
        <f>BM468+BM461</f>
        <v/>
      </c>
      <c r="BN469" s="1277">
        <f>BN468+BN461</f>
        <v/>
      </c>
      <c r="BO469" s="1382">
        <f>BO468+BO461</f>
        <v/>
      </c>
      <c r="BP469" s="1277">
        <f>BP468+BP461</f>
        <v/>
      </c>
      <c r="BQ469" s="1277">
        <f>BQ468+BQ461</f>
        <v/>
      </c>
      <c r="BR469" s="1277">
        <f>BR468+BR461</f>
        <v/>
      </c>
      <c r="BS469" s="1277">
        <f>BS468+BS461</f>
        <v/>
      </c>
      <c r="BT469" s="1297">
        <f>BT468+BT461</f>
        <v/>
      </c>
      <c r="BU469" s="1277">
        <f>BU468+BU461</f>
        <v/>
      </c>
      <c r="BV469" s="1277">
        <f>BV468+BV461</f>
        <v/>
      </c>
      <c r="BW469" s="1277">
        <f>BW468+BW461</f>
        <v/>
      </c>
      <c r="BX469" s="1277">
        <f>BX468+BX461</f>
        <v/>
      </c>
      <c r="BY469" s="1297">
        <f>BY468+BY461</f>
        <v/>
      </c>
      <c r="BZ469" s="1297">
        <f>BZ468+BZ461</f>
        <v/>
      </c>
      <c r="CA469" s="1297">
        <f>CA468+CA461</f>
        <v/>
      </c>
      <c r="CB469" s="1297">
        <f>CB468+CB461</f>
        <v/>
      </c>
      <c r="CC469" s="1277" t="n"/>
    </row>
    <row r="470" hidden="1" outlineLevel="1" ht="14.4" customFormat="1" customHeight="1" s="1275">
      <c r="A470" s="1277" t="inlineStr">
        <is>
          <t>FCF (before WC), Post Div, Post A/D</t>
        </is>
      </c>
      <c r="B470" s="1387" t="n"/>
      <c r="C470" s="1297">
        <f>C469+C459+C460</f>
        <v/>
      </c>
      <c r="D470" s="1297">
        <f>D469+D459+D460</f>
        <v/>
      </c>
      <c r="E470" s="1297">
        <f>E469+E459+E460</f>
        <v/>
      </c>
      <c r="F470" s="1297">
        <f>F469+F459+F460</f>
        <v/>
      </c>
      <c r="G470" s="1297">
        <f>G469+G459+G460</f>
        <v/>
      </c>
      <c r="H470" s="1277">
        <f>H469+H459+H460</f>
        <v/>
      </c>
      <c r="I470" s="1277">
        <f>I469+I459+I460</f>
        <v/>
      </c>
      <c r="J470" s="1277">
        <f>J469+J459+J460</f>
        <v/>
      </c>
      <c r="K470" s="1277">
        <f>K469+K459+K460</f>
        <v/>
      </c>
      <c r="L470" s="1297">
        <f>L469+L459+L460</f>
        <v/>
      </c>
      <c r="M470" s="1277">
        <f>M469+M459+M460</f>
        <v/>
      </c>
      <c r="N470" s="1277">
        <f>N469+N459+N460</f>
        <v/>
      </c>
      <c r="O470" s="1277">
        <f>O469+O459+O460</f>
        <v/>
      </c>
      <c r="P470" s="1277">
        <f>P469+P459+P460</f>
        <v/>
      </c>
      <c r="Q470" s="1297">
        <f>Q469+Q459+Q460</f>
        <v/>
      </c>
      <c r="R470" s="1277">
        <f>R469+R459+R460</f>
        <v/>
      </c>
      <c r="S470" s="1277">
        <f>S469+S459+S460</f>
        <v/>
      </c>
      <c r="T470" s="1277">
        <f>T469+T459+T460</f>
        <v/>
      </c>
      <c r="U470" s="1277">
        <f>U469+U459+U460</f>
        <v/>
      </c>
      <c r="V470" s="1297">
        <f>V469+V459+V460</f>
        <v/>
      </c>
      <c r="W470" s="1277">
        <f>W469+W459+W460</f>
        <v/>
      </c>
      <c r="X470" s="1277">
        <f>X469+X459+X460</f>
        <v/>
      </c>
      <c r="Y470" s="1277">
        <f>Y469+Y459+Y460</f>
        <v/>
      </c>
      <c r="Z470" s="1277">
        <f>Z469+Z459+Z460</f>
        <v/>
      </c>
      <c r="AA470" s="1297">
        <f>AA469+AA459+AA460</f>
        <v/>
      </c>
      <c r="AB470" s="1277">
        <f>AB469+AB459+AB460</f>
        <v/>
      </c>
      <c r="AC470" s="1277">
        <f>AC469+AC459+AC460</f>
        <v/>
      </c>
      <c r="AD470" s="1277">
        <f>AD469+AD459+AD460</f>
        <v/>
      </c>
      <c r="AE470" s="1277">
        <f>AE469+AE459+AE460</f>
        <v/>
      </c>
      <c r="AF470" s="1297">
        <f>AF469+AF459+AF460</f>
        <v/>
      </c>
      <c r="AG470" s="1277">
        <f>AG469+AG459+AG460</f>
        <v/>
      </c>
      <c r="AH470" s="1277">
        <f>AH469+AH459+AH460</f>
        <v/>
      </c>
      <c r="AI470" s="1277">
        <f>AI469+AI459+AI460</f>
        <v/>
      </c>
      <c r="AJ470" s="1277">
        <f>AJ469+AJ459+AJ460</f>
        <v/>
      </c>
      <c r="AK470" s="1297">
        <f>AK469+AK459+AK460</f>
        <v/>
      </c>
      <c r="AL470" s="1277">
        <f>AL469+AL459+AL460</f>
        <v/>
      </c>
      <c r="AM470" s="1277">
        <f>AM469+AM459+AM460</f>
        <v/>
      </c>
      <c r="AN470" s="1277">
        <f>AN469+AN459+AN460</f>
        <v/>
      </c>
      <c r="AO470" s="1277">
        <f>AO469+AO459+AO460</f>
        <v/>
      </c>
      <c r="AP470" s="1297">
        <f>AP469+AP459+AP460</f>
        <v/>
      </c>
      <c r="AQ470" s="1277">
        <f>AQ469+AQ459+AQ460</f>
        <v/>
      </c>
      <c r="AR470" s="1277">
        <f>AR469+AR459+AR460</f>
        <v/>
      </c>
      <c r="AS470" s="1277">
        <f>AS469+AS459+AS460</f>
        <v/>
      </c>
      <c r="AT470" s="1277">
        <f>AT469+AT459+AT460</f>
        <v/>
      </c>
      <c r="AU470" s="1297">
        <f>AU469+AU459+AU460</f>
        <v/>
      </c>
      <c r="AV470" s="1277">
        <f>AV469+AV459+AV460</f>
        <v/>
      </c>
      <c r="AW470" s="1277">
        <f>AW469+AW459+AW460</f>
        <v/>
      </c>
      <c r="AX470" s="1277">
        <f>AX469+AX459+AX460</f>
        <v/>
      </c>
      <c r="AY470" s="1277">
        <f>AY469+AY459+AY460</f>
        <v/>
      </c>
      <c r="AZ470" s="1297">
        <f>AZ469+AZ459+AZ460</f>
        <v/>
      </c>
      <c r="BA470" s="1277">
        <f>BA469+BA459+BA460</f>
        <v/>
      </c>
      <c r="BB470" s="1277">
        <f>BB469+BB459+BB460</f>
        <v/>
      </c>
      <c r="BC470" s="1277">
        <f>BC469+BC459+BC460</f>
        <v/>
      </c>
      <c r="BD470" s="1277">
        <f>BD469+BD459+BD460</f>
        <v/>
      </c>
      <c r="BE470" s="1297">
        <f>BE469+BE459+BE460</f>
        <v/>
      </c>
      <c r="BF470" s="1277">
        <f>BF469+BF459+BF460</f>
        <v/>
      </c>
      <c r="BG470" s="1277">
        <f>BG469+BG459+BG460</f>
        <v/>
      </c>
      <c r="BH470" s="1277">
        <f>BH469+BH459+BH460</f>
        <v/>
      </c>
      <c r="BI470" s="1277">
        <f>BI469+BI459+BI460</f>
        <v/>
      </c>
      <c r="BJ470" s="1297">
        <f>BJ469+BJ459+BJ460</f>
        <v/>
      </c>
      <c r="BK470" s="1277">
        <f>BK469+BK459+BK460</f>
        <v/>
      </c>
      <c r="BL470" s="1277">
        <f>BL469+BL459+BL460</f>
        <v/>
      </c>
      <c r="BM470" s="1277">
        <f>BM469+BM459+BM460</f>
        <v/>
      </c>
      <c r="BN470" s="1277">
        <f>BN469+BN459+BN460</f>
        <v/>
      </c>
      <c r="BO470" s="1382">
        <f>BO469+BO459+BO460</f>
        <v/>
      </c>
      <c r="BP470" s="1277">
        <f>BP469+BP459+BP460</f>
        <v/>
      </c>
      <c r="BQ470" s="1277">
        <f>BQ469+BQ459+BQ460</f>
        <v/>
      </c>
      <c r="BR470" s="1277">
        <f>BR469+BR459+BR460</f>
        <v/>
      </c>
      <c r="BS470" s="1277">
        <f>BS469+BS459+BS460</f>
        <v/>
      </c>
      <c r="BT470" s="1297">
        <f>BT469+BT459+BT460</f>
        <v/>
      </c>
      <c r="BU470" s="1277">
        <f>BU469+BU459+BU460</f>
        <v/>
      </c>
      <c r="BV470" s="1277">
        <f>BV469+BV459+BV460</f>
        <v/>
      </c>
      <c r="BW470" s="1277">
        <f>BW469+BW459+BW460</f>
        <v/>
      </c>
      <c r="BX470" s="1277">
        <f>BX469+BX459+BX460</f>
        <v/>
      </c>
      <c r="BY470" s="1297">
        <f>BY469+BY459+BY460</f>
        <v/>
      </c>
      <c r="BZ470" s="1297">
        <f>BZ469+BZ459+BZ460</f>
        <v/>
      </c>
      <c r="CA470" s="1297">
        <f>CA469+CA459+CA460</f>
        <v/>
      </c>
      <c r="CB470" s="1297">
        <f>CB469+CB459+CB460</f>
        <v/>
      </c>
      <c r="CC470" s="1277" t="n"/>
    </row>
    <row r="471" hidden="1" outlineLevel="1" ht="14.4" customFormat="1" customHeight="1" s="1275">
      <c r="A471" s="1346" t="inlineStr">
        <is>
          <t>FCF (before WC), Post Div, Debt, Buyback, A/D</t>
        </is>
      </c>
      <c r="B471" s="1394" t="n"/>
      <c r="C471" s="1345">
        <f>C470+C464+C465</f>
        <v/>
      </c>
      <c r="D471" s="1345">
        <f>D470+D464+D465</f>
        <v/>
      </c>
      <c r="E471" s="1345">
        <f>E470+E464+E465</f>
        <v/>
      </c>
      <c r="F471" s="1345">
        <f>F470+F464+F465</f>
        <v/>
      </c>
      <c r="G471" s="1345">
        <f>G470+G464+G465</f>
        <v/>
      </c>
      <c r="H471" s="1346">
        <f>H470+H464+H465</f>
        <v/>
      </c>
      <c r="I471" s="1346">
        <f>I470+I464+I465</f>
        <v/>
      </c>
      <c r="J471" s="1346">
        <f>J470+J464+J465</f>
        <v/>
      </c>
      <c r="K471" s="1346">
        <f>K470+K464+K465</f>
        <v/>
      </c>
      <c r="L471" s="1345">
        <f>L470+L464+L465</f>
        <v/>
      </c>
      <c r="M471" s="1346">
        <f>M470+M464+M465</f>
        <v/>
      </c>
      <c r="N471" s="1346">
        <f>N470+N464+N465</f>
        <v/>
      </c>
      <c r="O471" s="1346">
        <f>O470+O464+O465</f>
        <v/>
      </c>
      <c r="P471" s="1346">
        <f>P470+P464+P465</f>
        <v/>
      </c>
      <c r="Q471" s="1345">
        <f>Q470+Q464+Q465</f>
        <v/>
      </c>
      <c r="R471" s="1346">
        <f>R470+R464+R465</f>
        <v/>
      </c>
      <c r="S471" s="1346">
        <f>S470+S464+S465</f>
        <v/>
      </c>
      <c r="T471" s="1346">
        <f>T470+T464+T465</f>
        <v/>
      </c>
      <c r="U471" s="1346">
        <f>U470+U464+U465</f>
        <v/>
      </c>
      <c r="V471" s="1345">
        <f>V470+V464+V465</f>
        <v/>
      </c>
      <c r="W471" s="1346">
        <f>W470+W464+W465</f>
        <v/>
      </c>
      <c r="X471" s="1346">
        <f>X470+X464+X465</f>
        <v/>
      </c>
      <c r="Y471" s="1346">
        <f>Y470+Y464+Y465</f>
        <v/>
      </c>
      <c r="Z471" s="1346">
        <f>Z470+Z464+Z465</f>
        <v/>
      </c>
      <c r="AA471" s="1345">
        <f>AA470+AA464+AA465</f>
        <v/>
      </c>
      <c r="AB471" s="1346">
        <f>AB470+AB464+AB465</f>
        <v/>
      </c>
      <c r="AC471" s="1346">
        <f>AC470+AC464+AC465</f>
        <v/>
      </c>
      <c r="AD471" s="1346">
        <f>AD470+AD464+AD465</f>
        <v/>
      </c>
      <c r="AE471" s="1346">
        <f>AE470+AE464+AE465</f>
        <v/>
      </c>
      <c r="AF471" s="1345">
        <f>AF470+AF464+AF465</f>
        <v/>
      </c>
      <c r="AG471" s="1346">
        <f>AG470+AG464+AG465</f>
        <v/>
      </c>
      <c r="AH471" s="1346">
        <f>AH470+AH464+AH465</f>
        <v/>
      </c>
      <c r="AI471" s="1346">
        <f>AI470+AI464+AI465</f>
        <v/>
      </c>
      <c r="AJ471" s="1346">
        <f>AJ470+AJ464+AJ465</f>
        <v/>
      </c>
      <c r="AK471" s="1345">
        <f>AK470+AK464+AK465</f>
        <v/>
      </c>
      <c r="AL471" s="1346">
        <f>AL470+AL464+AL465</f>
        <v/>
      </c>
      <c r="AM471" s="1346">
        <f>AM470+AM464+AM465</f>
        <v/>
      </c>
      <c r="AN471" s="1346">
        <f>AN470+AN464+AN465</f>
        <v/>
      </c>
      <c r="AO471" s="1346">
        <f>AO470+AO464+AO465</f>
        <v/>
      </c>
      <c r="AP471" s="1345">
        <f>AP470+AP464+AP465</f>
        <v/>
      </c>
      <c r="AQ471" s="1346">
        <f>AQ470+AQ464+AQ465</f>
        <v/>
      </c>
      <c r="AR471" s="1346">
        <f>AR470+AR464+AR465</f>
        <v/>
      </c>
      <c r="AS471" s="1346">
        <f>AS470+AS464+AS465</f>
        <v/>
      </c>
      <c r="AT471" s="1346">
        <f>AT470+AT464+AT465</f>
        <v/>
      </c>
      <c r="AU471" s="1345">
        <f>AU470+AU464+AU465</f>
        <v/>
      </c>
      <c r="AV471" s="1346">
        <f>AV470+AV464+AV465</f>
        <v/>
      </c>
      <c r="AW471" s="1346">
        <f>AW470+AW464+AW465</f>
        <v/>
      </c>
      <c r="AX471" s="1346">
        <f>AX470+AX464+AX465</f>
        <v/>
      </c>
      <c r="AY471" s="1346">
        <f>AY470+AY464+AY465</f>
        <v/>
      </c>
      <c r="AZ471" s="1345">
        <f>AZ470+AZ464+AZ465</f>
        <v/>
      </c>
      <c r="BA471" s="1346">
        <f>BA470+BA464+BA465</f>
        <v/>
      </c>
      <c r="BB471" s="1346">
        <f>BB470+BB464+BB465</f>
        <v/>
      </c>
      <c r="BC471" s="1346">
        <f>BC470+BC464+BC465</f>
        <v/>
      </c>
      <c r="BD471" s="1346">
        <f>BD470+BD464+BD465</f>
        <v/>
      </c>
      <c r="BE471" s="1345">
        <f>BE470+BE464+BE465</f>
        <v/>
      </c>
      <c r="BF471" s="1346">
        <f>BF470+BF464+BF465</f>
        <v/>
      </c>
      <c r="BG471" s="1346">
        <f>BG470+BG464+BG465</f>
        <v/>
      </c>
      <c r="BH471" s="1346">
        <f>BH470+BH464+BH465</f>
        <v/>
      </c>
      <c r="BI471" s="1346">
        <f>BI470+BI464+BI465</f>
        <v/>
      </c>
      <c r="BJ471" s="1345">
        <f>BJ470+BJ464+BJ465</f>
        <v/>
      </c>
      <c r="BK471" s="1346">
        <f>BK470+BK464+BK465</f>
        <v/>
      </c>
      <c r="BL471" s="1346">
        <f>BL470+BL464+BL465</f>
        <v/>
      </c>
      <c r="BM471" s="1346">
        <f>BM470+BM464+BM465</f>
        <v/>
      </c>
      <c r="BN471" s="1346">
        <f>BN470+BN464+BN465</f>
        <v/>
      </c>
      <c r="BO471" s="1347">
        <f>BO470+BO464+BO465</f>
        <v/>
      </c>
      <c r="BP471" s="1346">
        <f>BP470+BP464+BP465</f>
        <v/>
      </c>
      <c r="BQ471" s="1346">
        <f>BQ470+BQ464+BQ465</f>
        <v/>
      </c>
      <c r="BR471" s="1346">
        <f>BR470+BR464+BR465</f>
        <v/>
      </c>
      <c r="BS471" s="1346">
        <f>BS470+BS464+BS465</f>
        <v/>
      </c>
      <c r="BT471" s="1345">
        <f>BT470+BT464+BT465</f>
        <v/>
      </c>
      <c r="BU471" s="1346">
        <f>BU470+BU464+BU465</f>
        <v/>
      </c>
      <c r="BV471" s="1346">
        <f>BV470+BV464+BV465</f>
        <v/>
      </c>
      <c r="BW471" s="1346">
        <f>BW470+BW464+BW465</f>
        <v/>
      </c>
      <c r="BX471" s="1346">
        <f>BX470+BX464+BX465</f>
        <v/>
      </c>
      <c r="BY471" s="1345">
        <f>BY470+BY464+BY465</f>
        <v/>
      </c>
      <c r="BZ471" s="1345">
        <f>BZ470+BZ464+BZ465</f>
        <v/>
      </c>
      <c r="CA471" s="1345">
        <f>CA470+CA464+CA465</f>
        <v/>
      </c>
      <c r="CB471" s="1345">
        <f>CB470+CB464+CB465</f>
        <v/>
      </c>
      <c r="CC471" s="1277" t="n"/>
    </row>
    <row r="472" collapsed="1" ht="14.4" customFormat="1" customHeight="1" s="1275">
      <c r="A472" s="1277" t="inlineStr">
        <is>
          <t>FCF, Pre Div</t>
        </is>
      </c>
      <c r="B472" s="1387" t="n"/>
      <c r="C472" s="1297">
        <f>C453+C457</f>
        <v/>
      </c>
      <c r="D472" s="1297">
        <f>D453+D457</f>
        <v/>
      </c>
      <c r="E472" s="1297">
        <f>E453+E457</f>
        <v/>
      </c>
      <c r="F472" s="1297">
        <f>F453+F457</f>
        <v/>
      </c>
      <c r="G472" s="1297">
        <f>G453+G457</f>
        <v/>
      </c>
      <c r="H472" s="1277">
        <f>H453+H457</f>
        <v/>
      </c>
      <c r="I472" s="1277">
        <f>I453+I457</f>
        <v/>
      </c>
      <c r="J472" s="1277">
        <f>J453+J457</f>
        <v/>
      </c>
      <c r="K472" s="1277">
        <f>K453+K457</f>
        <v/>
      </c>
      <c r="L472" s="1297">
        <f>L453+L457</f>
        <v/>
      </c>
      <c r="M472" s="1277">
        <f>M453+M457</f>
        <v/>
      </c>
      <c r="N472" s="1277">
        <f>N453+N457</f>
        <v/>
      </c>
      <c r="O472" s="1277">
        <f>O453+O457</f>
        <v/>
      </c>
      <c r="P472" s="1277">
        <f>P453+P457</f>
        <v/>
      </c>
      <c r="Q472" s="1297">
        <f>Q453+Q457</f>
        <v/>
      </c>
      <c r="R472" s="1277">
        <f>R453+R457</f>
        <v/>
      </c>
      <c r="S472" s="1277">
        <f>S453+S457</f>
        <v/>
      </c>
      <c r="T472" s="1277">
        <f>T453+T457</f>
        <v/>
      </c>
      <c r="U472" s="1277">
        <f>U453+U457</f>
        <v/>
      </c>
      <c r="V472" s="1297">
        <f>V453+V457</f>
        <v/>
      </c>
      <c r="W472" s="1277">
        <f>W453+W457</f>
        <v/>
      </c>
      <c r="X472" s="1277">
        <f>X453+X457</f>
        <v/>
      </c>
      <c r="Y472" s="1277">
        <f>Y453+Y457</f>
        <v/>
      </c>
      <c r="Z472" s="1277">
        <f>Z453+Z457</f>
        <v/>
      </c>
      <c r="AA472" s="1297">
        <f>AA453+AA457</f>
        <v/>
      </c>
      <c r="AB472" s="1277">
        <f>AB453+AB457</f>
        <v/>
      </c>
      <c r="AC472" s="1277">
        <f>AC453+AC457</f>
        <v/>
      </c>
      <c r="AD472" s="1277">
        <f>AD453+AD457</f>
        <v/>
      </c>
      <c r="AE472" s="1277">
        <f>AE453+AE457</f>
        <v/>
      </c>
      <c r="AF472" s="1297">
        <f>AF453+AF457</f>
        <v/>
      </c>
      <c r="AG472" s="1277">
        <f>AG453+AG457</f>
        <v/>
      </c>
      <c r="AH472" s="1277">
        <f>AH453+AH457</f>
        <v/>
      </c>
      <c r="AI472" s="1277">
        <f>AI453+AI457</f>
        <v/>
      </c>
      <c r="AJ472" s="1277">
        <f>AJ453+AJ457</f>
        <v/>
      </c>
      <c r="AK472" s="1297">
        <f>AK453+AK457</f>
        <v/>
      </c>
      <c r="AL472" s="1277">
        <f>AL453+AL457</f>
        <v/>
      </c>
      <c r="AM472" s="1277">
        <f>AM453+AM457</f>
        <v/>
      </c>
      <c r="AN472" s="1277">
        <f>AN453+AN457</f>
        <v/>
      </c>
      <c r="AO472" s="1277">
        <f>AO453+AO457</f>
        <v/>
      </c>
      <c r="AP472" s="1297">
        <f>AP453+AP457</f>
        <v/>
      </c>
      <c r="AQ472" s="1277">
        <f>AQ453+AQ457</f>
        <v/>
      </c>
      <c r="AR472" s="1277">
        <f>AR453+AR457</f>
        <v/>
      </c>
      <c r="AS472" s="1277">
        <f>AS453+AS457</f>
        <v/>
      </c>
      <c r="AT472" s="1277">
        <f>AT453+AT457</f>
        <v/>
      </c>
      <c r="AU472" s="1297">
        <f>AU453+AU457</f>
        <v/>
      </c>
      <c r="AV472" s="1277">
        <f>AV453+AV457</f>
        <v/>
      </c>
      <c r="AW472" s="1277">
        <f>AW453+AW457</f>
        <v/>
      </c>
      <c r="AX472" s="1277">
        <f>AX453+AX457</f>
        <v/>
      </c>
      <c r="AY472" s="1277">
        <f>AY453+AY457</f>
        <v/>
      </c>
      <c r="AZ472" s="1297">
        <f>AZ453+AZ457</f>
        <v/>
      </c>
      <c r="BA472" s="1277">
        <f>BA453+BA457</f>
        <v/>
      </c>
      <c r="BB472" s="1277">
        <f>BB453+BB457</f>
        <v/>
      </c>
      <c r="BC472" s="1277">
        <f>BC453+BC457</f>
        <v/>
      </c>
      <c r="BD472" s="1277">
        <f>BD453+BD457</f>
        <v/>
      </c>
      <c r="BE472" s="1297">
        <f>BE453+BE457</f>
        <v/>
      </c>
      <c r="BF472" s="1277">
        <f>BF453+BF457</f>
        <v/>
      </c>
      <c r="BG472" s="1277">
        <f>BG453+BG457</f>
        <v/>
      </c>
      <c r="BH472" s="1277">
        <f>BH453+BH457</f>
        <v/>
      </c>
      <c r="BI472" s="1277">
        <f>BI453+BI457</f>
        <v/>
      </c>
      <c r="BJ472" s="1297">
        <f>BJ453+BJ457</f>
        <v/>
      </c>
      <c r="BK472" s="1277">
        <f>BK453+BK457</f>
        <v/>
      </c>
      <c r="BL472" s="1277">
        <f>BL453+BL457</f>
        <v/>
      </c>
      <c r="BM472" s="1277">
        <f>BM453+BM457</f>
        <v/>
      </c>
      <c r="BN472" s="1277">
        <f>BN453+BN457</f>
        <v/>
      </c>
      <c r="BO472" s="1382">
        <f>BO453+BO457</f>
        <v/>
      </c>
      <c r="BP472" s="1277">
        <f>BP453+BP457</f>
        <v/>
      </c>
      <c r="BQ472" s="1277">
        <f>BQ453+BQ457</f>
        <v/>
      </c>
      <c r="BR472" s="1277">
        <f>BR453+BR457</f>
        <v/>
      </c>
      <c r="BS472" s="1277">
        <f>BS453+BS457</f>
        <v/>
      </c>
      <c r="BT472" s="1297">
        <f>BT453+BT457</f>
        <v/>
      </c>
      <c r="BU472" s="1277">
        <f>BU453+BU457</f>
        <v/>
      </c>
      <c r="BV472" s="1277">
        <f>BV453+BV457</f>
        <v/>
      </c>
      <c r="BW472" s="1277">
        <f>BW453+BW457</f>
        <v/>
      </c>
      <c r="BX472" s="1277">
        <f>BX453+BX457</f>
        <v/>
      </c>
      <c r="BY472" s="1297">
        <f>BY453+BY457</f>
        <v/>
      </c>
      <c r="BZ472" s="1297">
        <f>BZ453+BZ457</f>
        <v/>
      </c>
      <c r="CA472" s="1297">
        <f>CA453+CA457</f>
        <v/>
      </c>
      <c r="CB472" s="1297">
        <f>CB453+CB457</f>
        <v/>
      </c>
      <c r="CC472" s="1277" t="n"/>
    </row>
    <row r="473" ht="14.4" customFormat="1" customHeight="1" s="1275">
      <c r="A473" s="1277" t="inlineStr">
        <is>
          <t>FCF, Post Div, Pre A/D</t>
        </is>
      </c>
      <c r="B473" s="1387" t="n"/>
      <c r="C473" s="1297">
        <f>C472+C461</f>
        <v/>
      </c>
      <c r="D473" s="1297">
        <f>D472+D461</f>
        <v/>
      </c>
      <c r="E473" s="1297">
        <f>E472+E461</f>
        <v/>
      </c>
      <c r="F473" s="1297">
        <f>F472+F461</f>
        <v/>
      </c>
      <c r="G473" s="1297">
        <f>G472+G461</f>
        <v/>
      </c>
      <c r="H473" s="1277">
        <f>H472+H461</f>
        <v/>
      </c>
      <c r="I473" s="1277">
        <f>I472+I461</f>
        <v/>
      </c>
      <c r="J473" s="1277">
        <f>J472+J461</f>
        <v/>
      </c>
      <c r="K473" s="1277">
        <f>K472+K461</f>
        <v/>
      </c>
      <c r="L473" s="1297">
        <f>L472+L461</f>
        <v/>
      </c>
      <c r="M473" s="1277">
        <f>M472+M461</f>
        <v/>
      </c>
      <c r="N473" s="1277">
        <f>N472+N461</f>
        <v/>
      </c>
      <c r="O473" s="1277">
        <f>O472+O461</f>
        <v/>
      </c>
      <c r="P473" s="1277">
        <f>P472+P461</f>
        <v/>
      </c>
      <c r="Q473" s="1297">
        <f>Q472+Q461</f>
        <v/>
      </c>
      <c r="R473" s="1277">
        <f>R472+R461</f>
        <v/>
      </c>
      <c r="S473" s="1277">
        <f>S472+S461</f>
        <v/>
      </c>
      <c r="T473" s="1277">
        <f>T472+T461</f>
        <v/>
      </c>
      <c r="U473" s="1277">
        <f>U472+U461</f>
        <v/>
      </c>
      <c r="V473" s="1297">
        <f>V472+V461</f>
        <v/>
      </c>
      <c r="W473" s="1277">
        <f>W472+W461</f>
        <v/>
      </c>
      <c r="X473" s="1277">
        <f>X472+X461</f>
        <v/>
      </c>
      <c r="Y473" s="1277">
        <f>Y472+Y461</f>
        <v/>
      </c>
      <c r="Z473" s="1277">
        <f>Z472+Z461</f>
        <v/>
      </c>
      <c r="AA473" s="1297">
        <f>AA472+AA461</f>
        <v/>
      </c>
      <c r="AB473" s="1277">
        <f>AB472+AB461</f>
        <v/>
      </c>
      <c r="AC473" s="1277">
        <f>AC472+AC461</f>
        <v/>
      </c>
      <c r="AD473" s="1277">
        <f>AD472+AD461</f>
        <v/>
      </c>
      <c r="AE473" s="1277">
        <f>AE472+AE461</f>
        <v/>
      </c>
      <c r="AF473" s="1297">
        <f>AF472+AF461</f>
        <v/>
      </c>
      <c r="AG473" s="1277">
        <f>AG472+AG461</f>
        <v/>
      </c>
      <c r="AH473" s="1277">
        <f>AH472+AH461</f>
        <v/>
      </c>
      <c r="AI473" s="1277">
        <f>AI472+AI461</f>
        <v/>
      </c>
      <c r="AJ473" s="1277">
        <f>AJ472+AJ461</f>
        <v/>
      </c>
      <c r="AK473" s="1297">
        <f>AK472+AK461</f>
        <v/>
      </c>
      <c r="AL473" s="1277">
        <f>AL472+AL461</f>
        <v/>
      </c>
      <c r="AM473" s="1277">
        <f>AM472+AM461</f>
        <v/>
      </c>
      <c r="AN473" s="1277">
        <f>AN472+AN461</f>
        <v/>
      </c>
      <c r="AO473" s="1277">
        <f>AO472+AO461</f>
        <v/>
      </c>
      <c r="AP473" s="1297">
        <f>AP472+AP461</f>
        <v/>
      </c>
      <c r="AQ473" s="1277">
        <f>AQ472+AQ461</f>
        <v/>
      </c>
      <c r="AR473" s="1277">
        <f>AR472+AR461</f>
        <v/>
      </c>
      <c r="AS473" s="1277">
        <f>AS472+AS461</f>
        <v/>
      </c>
      <c r="AT473" s="1277">
        <f>AT472+AT461</f>
        <v/>
      </c>
      <c r="AU473" s="1297">
        <f>AU472+AU461</f>
        <v/>
      </c>
      <c r="AV473" s="1277">
        <f>AV472+AV461</f>
        <v/>
      </c>
      <c r="AW473" s="1277">
        <f>AW472+AW461</f>
        <v/>
      </c>
      <c r="AX473" s="1277">
        <f>AX472+AX461</f>
        <v/>
      </c>
      <c r="AY473" s="1277">
        <f>AY472+AY461</f>
        <v/>
      </c>
      <c r="AZ473" s="1297">
        <f>AZ472+AZ461</f>
        <v/>
      </c>
      <c r="BA473" s="1277">
        <f>BA472+BA461</f>
        <v/>
      </c>
      <c r="BB473" s="1277">
        <f>BB472+BB461</f>
        <v/>
      </c>
      <c r="BC473" s="1277">
        <f>BC472+BC461</f>
        <v/>
      </c>
      <c r="BD473" s="1277">
        <f>BD472+BD461</f>
        <v/>
      </c>
      <c r="BE473" s="1297">
        <f>BE472+BE461</f>
        <v/>
      </c>
      <c r="BF473" s="1277">
        <f>BF472+BF461</f>
        <v/>
      </c>
      <c r="BG473" s="1277">
        <f>BG472+BG461</f>
        <v/>
      </c>
      <c r="BH473" s="1277">
        <f>BH472+BH461</f>
        <v/>
      </c>
      <c r="BI473" s="1277">
        <f>BI472+BI461</f>
        <v/>
      </c>
      <c r="BJ473" s="1297">
        <f>BJ472+BJ461</f>
        <v/>
      </c>
      <c r="BK473" s="1277">
        <f>BK472+BK461</f>
        <v/>
      </c>
      <c r="BL473" s="1277">
        <f>BL472+BL461</f>
        <v/>
      </c>
      <c r="BM473" s="1277">
        <f>BM472+BM461</f>
        <v/>
      </c>
      <c r="BN473" s="1277">
        <f>BN472+BN461</f>
        <v/>
      </c>
      <c r="BO473" s="1382">
        <f>BO472+BO461</f>
        <v/>
      </c>
      <c r="BP473" s="1277">
        <f>BP472+BP461</f>
        <v/>
      </c>
      <c r="BQ473" s="1277">
        <f>BQ472+BQ461</f>
        <v/>
      </c>
      <c r="BR473" s="1277">
        <f>BR472+BR461</f>
        <v/>
      </c>
      <c r="BS473" s="1277">
        <f>BS472+BS461</f>
        <v/>
      </c>
      <c r="BT473" s="1297">
        <f>BT472+BT461</f>
        <v/>
      </c>
      <c r="BU473" s="1277">
        <f>BU472+BU461</f>
        <v/>
      </c>
      <c r="BV473" s="1277">
        <f>BV472+BV461</f>
        <v/>
      </c>
      <c r="BW473" s="1277">
        <f>BW472+BW461</f>
        <v/>
      </c>
      <c r="BX473" s="1277">
        <f>BX472+BX461</f>
        <v/>
      </c>
      <c r="BY473" s="1297">
        <f>BY472+BY461</f>
        <v/>
      </c>
      <c r="BZ473" s="1297">
        <f>BZ472+BZ461</f>
        <v/>
      </c>
      <c r="CA473" s="1297">
        <f>CA472+CA461</f>
        <v/>
      </c>
      <c r="CB473" s="1297">
        <f>CB472+CB461</f>
        <v/>
      </c>
      <c r="CC473" s="1277" t="n"/>
    </row>
    <row r="474" ht="14.4" customFormat="1" customHeight="1" s="1275">
      <c r="A474" s="1277" t="inlineStr">
        <is>
          <t>FCF, Post Div, Post A/D</t>
        </is>
      </c>
      <c r="B474" s="1387" t="n"/>
      <c r="C474" s="1297">
        <f>C473+C459+C460</f>
        <v/>
      </c>
      <c r="D474" s="1297">
        <f>D473+D459+D460</f>
        <v/>
      </c>
      <c r="E474" s="1297">
        <f>E473+E459+E460</f>
        <v/>
      </c>
      <c r="F474" s="1297">
        <f>F473+F459+F460</f>
        <v/>
      </c>
      <c r="G474" s="1297">
        <f>G473+G459+G460</f>
        <v/>
      </c>
      <c r="H474" s="1277">
        <f>H473+H459+H460</f>
        <v/>
      </c>
      <c r="I474" s="1277">
        <f>I473+I459+I460</f>
        <v/>
      </c>
      <c r="J474" s="1277">
        <f>J473+J459+J460</f>
        <v/>
      </c>
      <c r="K474" s="1277">
        <f>K473+K459+K460</f>
        <v/>
      </c>
      <c r="L474" s="1297">
        <f>L473+L459+L460</f>
        <v/>
      </c>
      <c r="M474" s="1277">
        <f>M473+M459+M460</f>
        <v/>
      </c>
      <c r="N474" s="1277">
        <f>N473+N459+N460</f>
        <v/>
      </c>
      <c r="O474" s="1277">
        <f>O473+O459+O460</f>
        <v/>
      </c>
      <c r="P474" s="1277">
        <f>P473+P459+P460</f>
        <v/>
      </c>
      <c r="Q474" s="1297">
        <f>Q473+Q459+Q460</f>
        <v/>
      </c>
      <c r="R474" s="1277">
        <f>R473+R459+R460</f>
        <v/>
      </c>
      <c r="S474" s="1277">
        <f>S473+S459+S460</f>
        <v/>
      </c>
      <c r="T474" s="1277">
        <f>T473+T459+T460</f>
        <v/>
      </c>
      <c r="U474" s="1277">
        <f>U473+U459+U460</f>
        <v/>
      </c>
      <c r="V474" s="1297">
        <f>V473+V459+V460</f>
        <v/>
      </c>
      <c r="W474" s="1277">
        <f>W473+W459+W460</f>
        <v/>
      </c>
      <c r="X474" s="1277">
        <f>X473+X459+X460</f>
        <v/>
      </c>
      <c r="Y474" s="1277">
        <f>Y473+Y459+Y460</f>
        <v/>
      </c>
      <c r="Z474" s="1277">
        <f>Z473+Z459+Z460</f>
        <v/>
      </c>
      <c r="AA474" s="1297">
        <f>AA473+AA459+AA460</f>
        <v/>
      </c>
      <c r="AB474" s="1277">
        <f>AB473+AB459+AB460</f>
        <v/>
      </c>
      <c r="AC474" s="1277">
        <f>AC473+AC459+AC460</f>
        <v/>
      </c>
      <c r="AD474" s="1277">
        <f>AD473+AD459+AD460</f>
        <v/>
      </c>
      <c r="AE474" s="1277">
        <f>AE473+AE459+AE460</f>
        <v/>
      </c>
      <c r="AF474" s="1297">
        <f>AF473+AF459+AF460</f>
        <v/>
      </c>
      <c r="AG474" s="1277">
        <f>AG473+AG459+AG460</f>
        <v/>
      </c>
      <c r="AH474" s="1277">
        <f>AH473+AH459+AH460</f>
        <v/>
      </c>
      <c r="AI474" s="1277">
        <f>AI473+AI459+AI460</f>
        <v/>
      </c>
      <c r="AJ474" s="1277">
        <f>AJ473+AJ459+AJ460</f>
        <v/>
      </c>
      <c r="AK474" s="1297">
        <f>AK473+AK459+AK460</f>
        <v/>
      </c>
      <c r="AL474" s="1277">
        <f>AL473+AL459+AL460</f>
        <v/>
      </c>
      <c r="AM474" s="1277">
        <f>AM473+AM459+AM460</f>
        <v/>
      </c>
      <c r="AN474" s="1277">
        <f>AN473+AN459+AN460</f>
        <v/>
      </c>
      <c r="AO474" s="1277">
        <f>AO473+AO459+AO460</f>
        <v/>
      </c>
      <c r="AP474" s="1297">
        <f>AP473+AP459+AP460</f>
        <v/>
      </c>
      <c r="AQ474" s="1277">
        <f>AQ473+AQ459+AQ460</f>
        <v/>
      </c>
      <c r="AR474" s="1277">
        <f>AR473+AR459+AR460</f>
        <v/>
      </c>
      <c r="AS474" s="1277">
        <f>AS473+AS459+AS460</f>
        <v/>
      </c>
      <c r="AT474" s="1277">
        <f>AT473+AT459+AT460</f>
        <v/>
      </c>
      <c r="AU474" s="1297">
        <f>AU473+AU459+AU460</f>
        <v/>
      </c>
      <c r="AV474" s="1277">
        <f>AV473+AV459+AV460</f>
        <v/>
      </c>
      <c r="AW474" s="1277">
        <f>AW473+AW459+AW460</f>
        <v/>
      </c>
      <c r="AX474" s="1277">
        <f>AX473+AX459+AX460</f>
        <v/>
      </c>
      <c r="AY474" s="1277">
        <f>AY473+AY459+AY460</f>
        <v/>
      </c>
      <c r="AZ474" s="1297">
        <f>AZ473+AZ459+AZ460</f>
        <v/>
      </c>
      <c r="BA474" s="1277">
        <f>BA473+BA459+BA460</f>
        <v/>
      </c>
      <c r="BB474" s="1277">
        <f>BB473+BB459+BB460</f>
        <v/>
      </c>
      <c r="BC474" s="1277">
        <f>BC473+BC459+BC460</f>
        <v/>
      </c>
      <c r="BD474" s="1277">
        <f>BD473+BD459+BD460</f>
        <v/>
      </c>
      <c r="BE474" s="1297">
        <f>BE473+BE459+BE460</f>
        <v/>
      </c>
      <c r="BF474" s="1277">
        <f>BF473+BF459+BF460</f>
        <v/>
      </c>
      <c r="BG474" s="1277">
        <f>BG473+BG459+BG460</f>
        <v/>
      </c>
      <c r="BH474" s="1277">
        <f>BH473+BH459+BH460</f>
        <v/>
      </c>
      <c r="BI474" s="1277">
        <f>BI473+BI459+BI460</f>
        <v/>
      </c>
      <c r="BJ474" s="1297">
        <f>BJ473+BJ459+BJ460</f>
        <v/>
      </c>
      <c r="BK474" s="1277">
        <f>BK473+BK459+BK460</f>
        <v/>
      </c>
      <c r="BL474" s="1277">
        <f>BL473+BL459+BL460</f>
        <v/>
      </c>
      <c r="BM474" s="1277">
        <f>BM473+BM459+BM460</f>
        <v/>
      </c>
      <c r="BN474" s="1277">
        <f>BN473+BN459+BN460</f>
        <v/>
      </c>
      <c r="BO474" s="1382">
        <f>BO473+BO459+BO460</f>
        <v/>
      </c>
      <c r="BP474" s="1277">
        <f>BP473+BP459+BP460</f>
        <v/>
      </c>
      <c r="BQ474" s="1277">
        <f>BQ473+BQ459+BQ460</f>
        <v/>
      </c>
      <c r="BR474" s="1277">
        <f>BR473+BR459+BR460</f>
        <v/>
      </c>
      <c r="BS474" s="1277">
        <f>BS473+BS459+BS460</f>
        <v/>
      </c>
      <c r="BT474" s="1297">
        <f>BT473+BT459+BT460</f>
        <v/>
      </c>
      <c r="BU474" s="1277">
        <f>BU473+BU459+BU460</f>
        <v/>
      </c>
      <c r="BV474" s="1277">
        <f>BV473+BV459+BV460</f>
        <v/>
      </c>
      <c r="BW474" s="1277">
        <f>BW473+BW459+BW460</f>
        <v/>
      </c>
      <c r="BX474" s="1277">
        <f>BX473+BX459+BX460</f>
        <v/>
      </c>
      <c r="BY474" s="1297">
        <f>BY473+BY459+BY460</f>
        <v/>
      </c>
      <c r="BZ474" s="1297">
        <f>BZ473+BZ459+BZ460</f>
        <v/>
      </c>
      <c r="CA474" s="1297">
        <f>CA473+CA459+CA460</f>
        <v/>
      </c>
      <c r="CB474" s="1297">
        <f>CB473+CB459+CB460</f>
        <v/>
      </c>
      <c r="CC474" s="1277" t="n"/>
    </row>
    <row r="475" ht="14.4" customFormat="1" customHeight="1" s="1275">
      <c r="A475" s="1346" t="inlineStr">
        <is>
          <t>FCF, Post Div, Debt, Buyback, A/D</t>
        </is>
      </c>
      <c r="B475" s="1394" t="n"/>
      <c r="C475" s="1345">
        <f>C474+C464+C465</f>
        <v/>
      </c>
      <c r="D475" s="1345">
        <f>D474+D464+D465</f>
        <v/>
      </c>
      <c r="E475" s="1345">
        <f>E474+E464+E465</f>
        <v/>
      </c>
      <c r="F475" s="1345">
        <f>F474+F464+F465</f>
        <v/>
      </c>
      <c r="G475" s="1345">
        <f>G474+G464+G465</f>
        <v/>
      </c>
      <c r="H475" s="1346">
        <f>H474+H464+H465</f>
        <v/>
      </c>
      <c r="I475" s="1346">
        <f>I474+I464+I465</f>
        <v/>
      </c>
      <c r="J475" s="1346">
        <f>J474+J464+J465</f>
        <v/>
      </c>
      <c r="K475" s="1346">
        <f>K474+K464+K465</f>
        <v/>
      </c>
      <c r="L475" s="1345">
        <f>L474+L464+L465</f>
        <v/>
      </c>
      <c r="M475" s="1346">
        <f>M474+M464+M465</f>
        <v/>
      </c>
      <c r="N475" s="1346">
        <f>N474+N464+N465</f>
        <v/>
      </c>
      <c r="O475" s="1346">
        <f>O474+O464+O465</f>
        <v/>
      </c>
      <c r="P475" s="1346">
        <f>P474+P464+P465</f>
        <v/>
      </c>
      <c r="Q475" s="1345">
        <f>Q474+Q464+Q465</f>
        <v/>
      </c>
      <c r="R475" s="1346">
        <f>R474+R464+R465</f>
        <v/>
      </c>
      <c r="S475" s="1346">
        <f>S474+S464+S465</f>
        <v/>
      </c>
      <c r="T475" s="1346">
        <f>T474+T464+T465</f>
        <v/>
      </c>
      <c r="U475" s="1346">
        <f>U474+U464+U465</f>
        <v/>
      </c>
      <c r="V475" s="1345">
        <f>V474+V464+V465</f>
        <v/>
      </c>
      <c r="W475" s="1346">
        <f>W474+W464+W465</f>
        <v/>
      </c>
      <c r="X475" s="1346">
        <f>X474+X464+X465</f>
        <v/>
      </c>
      <c r="Y475" s="1346">
        <f>Y474+Y464+Y465</f>
        <v/>
      </c>
      <c r="Z475" s="1346">
        <f>Z474+Z464+Z465</f>
        <v/>
      </c>
      <c r="AA475" s="1345">
        <f>AA474+AA464+AA465</f>
        <v/>
      </c>
      <c r="AB475" s="1346">
        <f>AB474+AB464+AB465</f>
        <v/>
      </c>
      <c r="AC475" s="1346">
        <f>AC474+AC464+AC465</f>
        <v/>
      </c>
      <c r="AD475" s="1346">
        <f>AD474+AD464+AD465</f>
        <v/>
      </c>
      <c r="AE475" s="1346">
        <f>AE474+AE464+AE465</f>
        <v/>
      </c>
      <c r="AF475" s="1345">
        <f>AF474+AF464+AF465</f>
        <v/>
      </c>
      <c r="AG475" s="1346">
        <f>AG474+AG464+AG465</f>
        <v/>
      </c>
      <c r="AH475" s="1346">
        <f>AH474+AH464+AH465</f>
        <v/>
      </c>
      <c r="AI475" s="1346">
        <f>AI474+AI464+AI465</f>
        <v/>
      </c>
      <c r="AJ475" s="1346">
        <f>AJ474+AJ464+AJ465</f>
        <v/>
      </c>
      <c r="AK475" s="1345">
        <f>AK474+AK464+AK465</f>
        <v/>
      </c>
      <c r="AL475" s="1346">
        <f>AL474+AL464+AL465</f>
        <v/>
      </c>
      <c r="AM475" s="1346">
        <f>AM474+AM464+AM465</f>
        <v/>
      </c>
      <c r="AN475" s="1346">
        <f>AN474+AN464+AN465</f>
        <v/>
      </c>
      <c r="AO475" s="1346">
        <f>AO474+AO464+AO465</f>
        <v/>
      </c>
      <c r="AP475" s="1345">
        <f>AP474+AP464+AP465</f>
        <v/>
      </c>
      <c r="AQ475" s="1346">
        <f>AQ474+AQ464+AQ465</f>
        <v/>
      </c>
      <c r="AR475" s="1346">
        <f>AR474+AR464+AR465</f>
        <v/>
      </c>
      <c r="AS475" s="1346">
        <f>AS474+AS464+AS465</f>
        <v/>
      </c>
      <c r="AT475" s="1346">
        <f>AT474+AT464+AT465</f>
        <v/>
      </c>
      <c r="AU475" s="1345">
        <f>AU474+AU464+AU465</f>
        <v/>
      </c>
      <c r="AV475" s="1346">
        <f>AV474+AV464+AV465</f>
        <v/>
      </c>
      <c r="AW475" s="1346">
        <f>AW474+AW464+AW465</f>
        <v/>
      </c>
      <c r="AX475" s="1346">
        <f>AX474+AX464+AX465</f>
        <v/>
      </c>
      <c r="AY475" s="1346">
        <f>AY474+AY464+AY465</f>
        <v/>
      </c>
      <c r="AZ475" s="1345">
        <f>AZ474+AZ464+AZ465</f>
        <v/>
      </c>
      <c r="BA475" s="1346">
        <f>BA474+BA464+BA465</f>
        <v/>
      </c>
      <c r="BB475" s="1346">
        <f>BB474+BB464+BB465</f>
        <v/>
      </c>
      <c r="BC475" s="1346">
        <f>BC474+BC464+BC465</f>
        <v/>
      </c>
      <c r="BD475" s="1346">
        <f>BD474+BD464+BD465</f>
        <v/>
      </c>
      <c r="BE475" s="1345">
        <f>BE474+BE464+BE465</f>
        <v/>
      </c>
      <c r="BF475" s="1346">
        <f>BF474+BF464+BF465</f>
        <v/>
      </c>
      <c r="BG475" s="1346">
        <f>BG474+BG464+BG465</f>
        <v/>
      </c>
      <c r="BH475" s="1346">
        <f>BH474+BH464+BH465</f>
        <v/>
      </c>
      <c r="BI475" s="1346">
        <f>BI474+BI464+BI465</f>
        <v/>
      </c>
      <c r="BJ475" s="1345">
        <f>BJ474+BJ464+BJ465</f>
        <v/>
      </c>
      <c r="BK475" s="1346">
        <f>BK474+BK464+BK465</f>
        <v/>
      </c>
      <c r="BL475" s="1346">
        <f>BL474+BL464+BL465</f>
        <v/>
      </c>
      <c r="BM475" s="1346">
        <f>BM474+BM464+BM465</f>
        <v/>
      </c>
      <c r="BN475" s="1346">
        <f>BN474+BN464+BN465</f>
        <v/>
      </c>
      <c r="BO475" s="1347">
        <f>BO474+BO464+BO465</f>
        <v/>
      </c>
      <c r="BP475" s="1346">
        <f>BP474+BP464+BP465</f>
        <v/>
      </c>
      <c r="BQ475" s="1346">
        <f>BQ474+BQ464+BQ465</f>
        <v/>
      </c>
      <c r="BR475" s="1346">
        <f>BR474+BR464+BR465</f>
        <v/>
      </c>
      <c r="BS475" s="1346">
        <f>BS474+BS464+BS465</f>
        <v/>
      </c>
      <c r="BT475" s="1345">
        <f>BT474+BT464+BT465</f>
        <v/>
      </c>
      <c r="BU475" s="1346">
        <f>BU474+BU464+BU465</f>
        <v/>
      </c>
      <c r="BV475" s="1346">
        <f>BV474+BV464+BV465</f>
        <v/>
      </c>
      <c r="BW475" s="1346">
        <f>BW474+BW464+BW465</f>
        <v/>
      </c>
      <c r="BX475" s="1346">
        <f>BX474+BX464+BX465</f>
        <v/>
      </c>
      <c r="BY475" s="1345">
        <f>BY474+BY464+BY465</f>
        <v/>
      </c>
      <c r="BZ475" s="1345">
        <f>BZ474+BZ464+BZ465</f>
        <v/>
      </c>
      <c r="CA475" s="1345">
        <f>CA474+CA464+CA465</f>
        <v/>
      </c>
      <c r="CB475" s="1345">
        <f>CB474+CB464+CB465</f>
        <v/>
      </c>
      <c r="CC475" s="1277" t="n"/>
    </row>
    <row r="476" ht="14.4" customFormat="1" customHeight="1" s="1275">
      <c r="A476" s="1277" t="n"/>
      <c r="B476" s="1387" t="n"/>
      <c r="C476" s="1297" t="n"/>
      <c r="D476" s="1297" t="n"/>
      <c r="E476" s="1297" t="n"/>
      <c r="F476" s="1297" t="n"/>
      <c r="G476" s="1297" t="n"/>
      <c r="H476" s="1277" t="n"/>
      <c r="I476" s="1277" t="n"/>
      <c r="J476" s="1277" t="n"/>
      <c r="K476" s="1277" t="n"/>
      <c r="L476" s="1297" t="n"/>
      <c r="M476" s="1277" t="n"/>
      <c r="N476" s="1277" t="n"/>
      <c r="O476" s="1277" t="n"/>
      <c r="P476" s="1277" t="n"/>
      <c r="Q476" s="1297" t="n"/>
      <c r="R476" s="1277" t="n"/>
      <c r="S476" s="1277" t="n"/>
      <c r="T476" s="1277" t="n"/>
      <c r="U476" s="1277" t="n"/>
      <c r="V476" s="1297" t="n"/>
      <c r="W476" s="1277" t="n"/>
      <c r="X476" s="1277" t="n"/>
      <c r="Y476" s="1277" t="n"/>
      <c r="Z476" s="1277" t="n"/>
      <c r="AA476" s="1297" t="n"/>
      <c r="AB476" s="1277" t="n"/>
      <c r="AC476" s="1277" t="n"/>
      <c r="AD476" s="1277" t="n"/>
      <c r="AE476" s="1277" t="n"/>
      <c r="AF476" s="1297" t="n"/>
      <c r="AG476" s="1277" t="n"/>
      <c r="AH476" s="1277" t="n"/>
      <c r="AI476" s="1277" t="n"/>
      <c r="AJ476" s="1277" t="n"/>
      <c r="AK476" s="1297" t="n"/>
      <c r="AL476" s="1277" t="n"/>
      <c r="AM476" s="1277" t="n"/>
      <c r="AN476" s="1277" t="n"/>
      <c r="AO476" s="1277" t="n"/>
      <c r="AP476" s="1297" t="n"/>
      <c r="AQ476" s="1277" t="n"/>
      <c r="AR476" s="1277" t="n"/>
      <c r="AS476" s="1277" t="n"/>
      <c r="AT476" s="1277" t="n"/>
      <c r="AU476" s="1297" t="n"/>
      <c r="AV476" s="1277" t="n"/>
      <c r="AW476" s="1277" t="n"/>
      <c r="AX476" s="1277" t="n"/>
      <c r="AY476" s="1277" t="n"/>
      <c r="AZ476" s="1297" t="n"/>
      <c r="BA476" s="1277" t="n"/>
      <c r="BB476" s="1277" t="n"/>
      <c r="BC476" s="1277" t="n"/>
      <c r="BD476" s="1277" t="n"/>
      <c r="BE476" s="1297" t="n"/>
      <c r="BF476" s="1277" t="n"/>
      <c r="BG476" s="1277" t="n"/>
      <c r="BH476" s="1277" t="n"/>
      <c r="BI476" s="1277" t="n"/>
      <c r="BJ476" s="1297" t="n"/>
      <c r="BK476" s="1277" t="n"/>
      <c r="BL476" s="1277" t="n"/>
      <c r="BM476" s="1277" t="n"/>
      <c r="BN476" s="1277" t="n"/>
      <c r="BO476" s="1382" t="n"/>
      <c r="BP476" s="1277" t="n"/>
      <c r="BQ476" s="1277" t="n"/>
      <c r="BR476" s="1277" t="n"/>
      <c r="BS476" s="1277" t="n"/>
      <c r="BT476" s="1297" t="n"/>
      <c r="BU476" s="1277" t="n"/>
      <c r="BV476" s="1277" t="n"/>
      <c r="BW476" s="1277" t="n"/>
      <c r="BX476" s="1277" t="n"/>
      <c r="BY476" s="1297" t="n"/>
      <c r="BZ476" s="1297" t="n"/>
      <c r="CA476" s="1297" t="n"/>
      <c r="CB476" s="1297" t="n"/>
      <c r="CC476" s="1280" t="n"/>
    </row>
    <row r="477" ht="14.4" customFormat="1" customHeight="1" s="1275">
      <c r="A477" s="1357" t="inlineStr">
        <is>
          <t>Balance Sheet Summary</t>
        </is>
      </c>
      <c r="B477" s="1358" t="n"/>
      <c r="C477" s="1358" t="n"/>
      <c r="D477" s="1358" t="n"/>
      <c r="E477" s="1358" t="n"/>
      <c r="F477" s="1358" t="n"/>
      <c r="G477" s="1358" t="n"/>
      <c r="H477" s="1358" t="n"/>
      <c r="I477" s="1358" t="n"/>
      <c r="J477" s="1358" t="n"/>
      <c r="K477" s="1358" t="n"/>
      <c r="L477" s="1358" t="n"/>
      <c r="M477" s="1358" t="n"/>
      <c r="N477" s="1358" t="n"/>
      <c r="O477" s="1358" t="n"/>
      <c r="P477" s="1358" t="n"/>
      <c r="Q477" s="1358" t="n"/>
      <c r="R477" s="1358" t="n"/>
      <c r="S477" s="1358" t="n"/>
      <c r="T477" s="1358" t="n"/>
      <c r="U477" s="1358" t="n"/>
      <c r="V477" s="1358" t="n"/>
      <c r="W477" s="1358" t="n"/>
      <c r="X477" s="1358" t="n"/>
      <c r="Y477" s="1358" t="n"/>
      <c r="Z477" s="1358" t="n"/>
      <c r="AA477" s="1358" t="n"/>
      <c r="AB477" s="1358" t="n"/>
      <c r="AC477" s="1358" t="n"/>
      <c r="AD477" s="1358" t="n"/>
      <c r="AE477" s="1358" t="n"/>
      <c r="AF477" s="1358" t="n"/>
      <c r="AG477" s="1358" t="n"/>
      <c r="AH477" s="1358" t="n"/>
      <c r="AI477" s="1358" t="n"/>
      <c r="AJ477" s="1358" t="n"/>
      <c r="AK477" s="1358" t="n"/>
      <c r="AL477" s="1358" t="n"/>
      <c r="AM477" s="1358" t="n"/>
      <c r="AN477" s="1358" t="n"/>
      <c r="AO477" s="1358" t="n"/>
      <c r="AP477" s="1358" t="n"/>
      <c r="AQ477" s="1358" t="n"/>
      <c r="AR477" s="1358" t="n"/>
      <c r="AS477" s="1358" t="n"/>
      <c r="AT477" s="1358" t="n"/>
      <c r="AU477" s="1358" t="n"/>
      <c r="AV477" s="1358" t="n"/>
      <c r="AW477" s="1358" t="n"/>
      <c r="AX477" s="1358" t="n"/>
      <c r="AY477" s="1358" t="n"/>
      <c r="AZ477" s="1358" t="n"/>
      <c r="BA477" s="1358" t="n"/>
      <c r="BB477" s="1358" t="n"/>
      <c r="BC477" s="1358" t="n"/>
      <c r="BD477" s="1358" t="n"/>
      <c r="BE477" s="1358" t="n"/>
      <c r="BF477" s="1358" t="n"/>
      <c r="BG477" s="1358" t="n"/>
      <c r="BH477" s="1358" t="n"/>
      <c r="BI477" s="1358" t="n"/>
      <c r="BJ477" s="1358" t="n"/>
      <c r="BK477" s="1358" t="n"/>
      <c r="BL477" s="1358" t="n"/>
      <c r="BM477" s="1358" t="n"/>
      <c r="BN477" s="1358" t="n"/>
      <c r="BO477" s="1359" t="n"/>
      <c r="BP477" s="1358" t="n"/>
      <c r="BQ477" s="1358" t="n"/>
      <c r="BR477" s="1358" t="n"/>
      <c r="BS477" s="1358" t="n"/>
      <c r="BT477" s="1358" t="n"/>
      <c r="BU477" s="1358" t="n"/>
      <c r="BV477" s="1358" t="n"/>
      <c r="BW477" s="1358" t="n"/>
      <c r="BX477" s="1358" t="n"/>
      <c r="BY477" s="1358" t="n"/>
      <c r="BZ477" s="1358" t="n"/>
      <c r="CA477" s="1358" t="n"/>
      <c r="CB477" s="1358" t="n"/>
      <c r="CC477" s="1280" t="n"/>
    </row>
    <row r="478" ht="14.4" customFormat="1" customHeight="1" s="1275">
      <c r="A478" s="1280" t="inlineStr">
        <is>
          <t>Cash</t>
        </is>
      </c>
      <c r="B478" s="1387" t="n"/>
      <c r="C478" s="1446">
        <f>C858+C859+C862+C863+C881+C882+C883+C860+C861+C865+C864+C884+C899+C879</f>
        <v/>
      </c>
      <c r="D478" s="1446">
        <f>D858+D859+D862+D863+D881+D882+D883+D860+D861+D865+D864+D884+D899+D879</f>
        <v/>
      </c>
      <c r="E478" s="1446">
        <f>E858+E859+E862+E863+E881+E882+E883+E860+E861+E865+E864+E884+E899+E879</f>
        <v/>
      </c>
      <c r="F478" s="1446">
        <f>F858+F859+F862+F863+F881+F882+F883+F860+F861+F865+F864+F884+F899+F879</f>
        <v/>
      </c>
      <c r="G478" s="1446">
        <f>G858+G859+G862+G863+G881+G882+G883+G860+G861+G865+G864+G884+G899+G879</f>
        <v/>
      </c>
      <c r="H478" s="1280">
        <f>H858+H859+H862+H863+H881+H882+H883+H860+H861+H865+H864+H884+H899+H879</f>
        <v/>
      </c>
      <c r="I478" s="1280">
        <f>I858+I859+I862+I863+I881+I882+I883+I860+I861+I865+I864+I884+I899+I879</f>
        <v/>
      </c>
      <c r="J478" s="1280">
        <f>J858+J859+J862+J863+J881+J882+J883+J860+J861+J865+J864+J884+J899+J879</f>
        <v/>
      </c>
      <c r="K478" s="1280">
        <f>K858+K859+K862+K863+K881+K882+K883+K860+K861+K865+K864+K884+K899+K879</f>
        <v/>
      </c>
      <c r="L478" s="1446">
        <f>L858+L859+L862+L863+L881+L882+L883+L860+L861+L865+L864+L884+L899+L879</f>
        <v/>
      </c>
      <c r="M478" s="1280">
        <f>M858+M859+M862+M863+M881+M882+M883+M860+M861+M865+M864+M884+M899+M879</f>
        <v/>
      </c>
      <c r="N478" s="1280">
        <f>N858+N859+N862+N863+N881+N882+N883+N860+N861+N865+N864+N884+N899+N879</f>
        <v/>
      </c>
      <c r="O478" s="1280">
        <f>O858+O859+O862+O863+O881+O882+O883+O860+O861+O865+O864+O884+O899+O879</f>
        <v/>
      </c>
      <c r="P478" s="1280">
        <f>P858+P859+P862+P863+P881+P882+P883+P860+P861+P865+P864+P884+P899+P879</f>
        <v/>
      </c>
      <c r="Q478" s="1446">
        <f>Q858+Q859+Q862+Q863+Q881+Q882+Q883+Q860+Q861+Q865+Q864+Q884+Q899+Q879</f>
        <v/>
      </c>
      <c r="R478" s="1280">
        <f>R858+R859+R862+R863+R881+R882+R883+R860+R861+R865+R864+R884+R899+R879</f>
        <v/>
      </c>
      <c r="S478" s="1280">
        <f>S858+S859+S862+S863+S881+S882+S883+S860+S861+S865+S864+S884+S899+S879</f>
        <v/>
      </c>
      <c r="T478" s="1280">
        <f>T858+T859+T862+T863+T881+T882+T883+T860+T861+T865+T864+T884+T899+T879</f>
        <v/>
      </c>
      <c r="U478" s="1280">
        <f>U858+U859+U862+U863+U881+U882+U883+U860+U861+U865+U864+U884+U899+U879</f>
        <v/>
      </c>
      <c r="V478" s="1446">
        <f>V858+V859+V862+V863+V881+V882+V883+V860+V861+V865+V864+V884+V899+V879</f>
        <v/>
      </c>
      <c r="W478" s="1280">
        <f>W858+W859+W862+W863+W881+W882+W883+W860+W861+W865+W864+W884+W899+W879</f>
        <v/>
      </c>
      <c r="X478" s="1280">
        <f>X858+X859+X862+X863+X881+X882+X883+X860+X861+X865+X864+X884+X899+X879</f>
        <v/>
      </c>
      <c r="Y478" s="1280">
        <f>Y858+Y859+Y862+Y863+Y881+Y882+Y883+Y860+Y861+Y865+Y864+Y884+Y899+Y879</f>
        <v/>
      </c>
      <c r="Z478" s="1280">
        <f>Z858+Z859+Z862+Z863+Z881+Z882+Z883+Z860+Z861+Z865+Z864+Z884+Z899+Z879</f>
        <v/>
      </c>
      <c r="AA478" s="1446">
        <f>AA858+AA859+AA862+AA863+AA881+AA882+AA883+AA860+AA861+AA865+AA864+AA884+AA899+AA879</f>
        <v/>
      </c>
      <c r="AB478" s="1280">
        <f>AB858+AB859+AB862+AB863+AB881+AB882+AB883+AB860+AB861+AB865+AB864+AB884+AB899+AB879</f>
        <v/>
      </c>
      <c r="AC478" s="1280">
        <f>AC858+AC859+AC862+AC863+AC881+AC882+AC883+AC860+AC861+AC865+AC864+AC884+AC899+AC879</f>
        <v/>
      </c>
      <c r="AD478" s="1280">
        <f>AD858+AD859+AD862+AD863+AD881+AD882+AD883+AD860+AD861+AD865+AD864+AD884+AD899+AD879</f>
        <v/>
      </c>
      <c r="AE478" s="1280">
        <f>AE858+AE859+AE862+AE863+AE881+AE882+AE883+AE860+AE861+AE865+AE864+AE884+AE899+AE879</f>
        <v/>
      </c>
      <c r="AF478" s="1446">
        <f>AF858+AF859+AF862+AF863+AF881+AF882+AF883+AF860+AF861+AF865+AF864+AF884+AF899+AF879</f>
        <v/>
      </c>
      <c r="AG478" s="1280">
        <f>AG858+AG859+AG862+AG863+AG881+AG882+AG883+AG860+AG861+AG865+AG864+AG884+AG899+AG879</f>
        <v/>
      </c>
      <c r="AH478" s="1280">
        <f>AH858+AH859+AH862+AH863+AH881+AH882+AH883+AH860+AH861+AH865+AH864+AH884+AH899+AH879</f>
        <v/>
      </c>
      <c r="AI478" s="1280">
        <f>AI858+AI859+AI862+AI863+AI881+AI882+AI883+AI860+AI861+AI865+AI864+AI884+AI899+AI879</f>
        <v/>
      </c>
      <c r="AJ478" s="1280">
        <f>AJ858+AJ859+AJ862+AJ863+AJ881+AJ882+AJ883+AJ860+AJ861+AJ865+AJ864+AJ884+AJ899+AJ879</f>
        <v/>
      </c>
      <c r="AK478" s="1446">
        <f>AK858+AK859+AK862+AK863+AK881+AK882+AK883+AK860+AK861+AK865+AK864+AK884+AK899+AK879</f>
        <v/>
      </c>
      <c r="AL478" s="1280">
        <f>AL858+AL859+AL862+AL863+AL881+AL882+AL883+AL860+AL861+AL865+AL864+AL884+AL899+AL879</f>
        <v/>
      </c>
      <c r="AM478" s="1280">
        <f>AM858+AM859+AM862+AM863+AM881+AM882+AM883+AM860+AM861+AM865+AM864+AM884+AM899+AM879</f>
        <v/>
      </c>
      <c r="AN478" s="1280">
        <f>AN858+AN859+AN862+AN863+AN881+AN882+AN883+AN860+AN861+AN865+AN864+AN884+AN899+AN879</f>
        <v/>
      </c>
      <c r="AO478" s="1280">
        <f>AO858+AO859+AO862+AO863+AO881+AO882+AO883+AO860+AO861+AO865+AO864+AO884+AO899+AO879</f>
        <v/>
      </c>
      <c r="AP478" s="1446">
        <f>AP858+AP859+AP862+AP863+AP881+AP882+AP883+AP860+AP861+AP865+AP864+AP884+AP899+AP879</f>
        <v/>
      </c>
      <c r="AQ478" s="1280">
        <f>AQ858+AQ859+AQ862+AQ863+AQ881+AQ882+AQ883+AQ860+AQ861+AQ865+AQ864+AQ884+AQ899+AQ879</f>
        <v/>
      </c>
      <c r="AR478" s="1280">
        <f>AR858+AR859+AR862+AR863+AR881+AR882+AR883+AR860+AR861+AR865+AR864+AR884+AR899+AR879</f>
        <v/>
      </c>
      <c r="AS478" s="1280">
        <f>AS858+AS859+AS862+AS863+AS881+AS882+AS883+AS860+AS861+AS865+AS864+AS884+AS899+AS879</f>
        <v/>
      </c>
      <c r="AT478" s="1280">
        <f>AT858+AT859+AT862+AT863+AT881+AT882+AT883+AT860+AT861+AT865+AT864+AT884+AT899+AT879</f>
        <v/>
      </c>
      <c r="AU478" s="1446">
        <f>AU858+AU859+AU862+AU863+AU881+AU882+AU883+AU860+AU861+AU865+AU864+AU884+AU899+AU879</f>
        <v/>
      </c>
      <c r="AV478" s="1280">
        <f>AV858+AV859+AV862+AV863+AV881+AV882+AV883+AV860+AV861+AV865+AV864+AV884+AV899+AV879</f>
        <v/>
      </c>
      <c r="AW478" s="1280">
        <f>AW858+AW859+AW862+AW863+AW881+AW882+AW883+AW860+AW861+AW865+AW864+AW884+AW899+AW879</f>
        <v/>
      </c>
      <c r="AX478" s="1280">
        <f>AX858+AX859+AX862+AX863+AX881+AX882+AX883+AX860+AX861+AX865+AX864+AX884+AX899+AX879</f>
        <v/>
      </c>
      <c r="AY478" s="1280">
        <f>AY858+AY859+AY862+AY863+AY881+AY882+AY883+AY860+AY861+AY865+AY864+AY884+AY899+AY879</f>
        <v/>
      </c>
      <c r="AZ478" s="1446">
        <f>AZ858+AZ859+AZ862+AZ863+AZ881+AZ882+AZ883+AZ860+AZ861+AZ865+AZ864+AZ884+AZ899+AZ879</f>
        <v/>
      </c>
      <c r="BA478" s="1280">
        <f>BA858+BA859+BA862+BA863+BA881+BA882+BA883+BA860+BA861+BA865+BA864+BA884+BA899+BA879</f>
        <v/>
      </c>
      <c r="BB478" s="1280">
        <f>BB858+BB859+BB862+BB863+BB881+BB882+BB883+BB860+BB861+BB865+BB864+BB884+BB899+BB879</f>
        <v/>
      </c>
      <c r="BC478" s="1280">
        <f>BC858+BC859+BC862+BC863+BC881+BC882+BC883+BC860+BC861+BC865+BC864+BC884+BC899+BC879</f>
        <v/>
      </c>
      <c r="BD478" s="1280">
        <f>BD858+BD859+BD862+BD863+BD881+BD882+BD883+BD860+BD861+BD865+BD864+BD884+BD899+BD879</f>
        <v/>
      </c>
      <c r="BE478" s="1446">
        <f>BE858+BE859+BE862+BE863+BE881+BE882+BE883+BE860+BE861+BE865+BE864+BE884+BE899+BE879</f>
        <v/>
      </c>
      <c r="BF478" s="1280">
        <f>BF858+BF859+BF862+BF863+BF881+BF882+BF883+BF860+BF861+BF865+BF864+BF884+BF899+BF879</f>
        <v/>
      </c>
      <c r="BG478" s="1280">
        <f>BG858+BG859+BG862+BG863+BG881+BG882+BG883+BG860+BG861+BG865+BG864+BG884+BG899+BG879</f>
        <v/>
      </c>
      <c r="BH478" s="1280">
        <f>BH858+BH859+BH862+BH863+BH881+BH882+BH883+BH860+BH861+BH865+BH864+BH884+BH899+BH879</f>
        <v/>
      </c>
      <c r="BI478" s="1280">
        <f>BI858+BI859+BI862+BI863+BI881+BI882+BI883+BI860+BI861+BI865+BI864+BI884+BI899+BI879</f>
        <v/>
      </c>
      <c r="BJ478" s="1446">
        <f>BJ858+BJ859+BJ862+BJ863+BJ881+BJ882+BJ883+BJ860+BJ861+BJ865+BJ864+BJ884+BJ899+BJ879</f>
        <v/>
      </c>
      <c r="BK478" s="1280">
        <f>BK858+BK859+BK862+BK863+BK881+BK882+BK883+BK860+BK861+BK865+BK864+BK884+BK899+BK879</f>
        <v/>
      </c>
      <c r="BL478" s="1280">
        <f>BL858+BL859+BL862+BL863+BL881+BL882+BL883+BL860+BL861+BL865+BL864+BL884+BL899+BL879</f>
        <v/>
      </c>
      <c r="BM478" s="1280">
        <f>BM858+BM859+BM862+BM863+BM881+BM882+BM883+BM860+BM861+BM865+BM864+BM884+BM899+BM879</f>
        <v/>
      </c>
      <c r="BN478" s="1280">
        <f>BN858+BN859+BN862+BN863+BN881+BN882+BN883+BN860+BN861+BN865+BN864+BN884+BN899+BN879</f>
        <v/>
      </c>
      <c r="BO478" s="1300">
        <f>BO858+BO859+BO862+BO863+BO881+BO882+BO883+BO860+BO861+BO865+BO864+BO884+BO899+BO879</f>
        <v/>
      </c>
      <c r="BP478" s="1277">
        <f>BP858+BP859+BP862+BP863+BP881+BP882+BP883+BP860+BP861+BP865+BP864+BP884+BP899+BP879</f>
        <v/>
      </c>
      <c r="BQ478" s="1277">
        <f>BQ858+BQ859+BQ862+BQ863+BQ881+BQ882+BQ883+BQ860+BQ861+BQ865+BQ864+BQ884+BQ899+BQ879</f>
        <v/>
      </c>
      <c r="BR478" s="1277">
        <f>BR858+BR859+BR862+BR863+BR881+BR882+BR883+BR860+BR861+BR865+BR864+BR884+BR899+BR879</f>
        <v/>
      </c>
      <c r="BS478" s="1277">
        <f>BS858+BS859+BS862+BS863+BS881+BS882+BS883+BS860+BS861+BS865+BS864+BS884+BS899+BS879</f>
        <v/>
      </c>
      <c r="BT478" s="1297">
        <f>BT858+BT859+BT862+BT863+BT881+BT882+BT883+BT860+BT861+BT865+BT864+BT884+BT899+BT879</f>
        <v/>
      </c>
      <c r="BU478" s="1277">
        <f>BU858+BU859+BU862+BU863+BU881+BU882+BU883+BU860+BU861+BU865+BU864+BU884+BU899+BU879</f>
        <v/>
      </c>
      <c r="BV478" s="1277">
        <f>BV858+BV859+BV862+BV863+BV881+BV882+BV883+BV860+BV861+BV865+BV864+BV884+BV899+BV879</f>
        <v/>
      </c>
      <c r="BW478" s="1277">
        <f>BW858+BW859+BW862+BW863+BW881+BW882+BW883+BW860+BW861+BW865+BW864+BW884+BW899+BW879</f>
        <v/>
      </c>
      <c r="BX478" s="1277">
        <f>BX858+BX859+BX862+BX863+BX881+BX882+BX883+BX860+BX861+BX865+BX864+BX884+BX899+BX879</f>
        <v/>
      </c>
      <c r="BY478" s="1297">
        <f>BY858+BY859+BY862+BY863+BY881+BY882+BY883+BY860+BY861+BY865+BY864+BY884+BY899+BY879</f>
        <v/>
      </c>
      <c r="BZ478" s="1297">
        <f>BZ858+BZ859+BZ862+BZ863+BZ881+BZ882+BZ883+BZ860+BZ861+BZ865+BZ864+BZ884+BZ899+BZ879</f>
        <v/>
      </c>
      <c r="CA478" s="1297">
        <f>CA858+CA859+CA862+CA863+CA881+CA882+CA883+CA860+CA861+CA865+CA864+CA884+CA899+CA879</f>
        <v/>
      </c>
      <c r="CB478" s="1297">
        <f>CB858+CB859+CB862+CB863+CB881+CB882+CB883+CB860+CB861+CB865+CB864+CB884+CB899+CB879</f>
        <v/>
      </c>
      <c r="CC478" s="1280" t="n"/>
    </row>
    <row r="479" ht="14.4" customFormat="1" customHeight="1" s="1275">
      <c r="A479" s="1295" t="inlineStr">
        <is>
          <t>ST Debt</t>
        </is>
      </c>
      <c r="B479" s="1387" t="n"/>
      <c r="C479" s="1446">
        <f>C905+C920+C907+C908+C909</f>
        <v/>
      </c>
      <c r="D479" s="1446">
        <f>D905+D920+D907+D908+D909</f>
        <v/>
      </c>
      <c r="E479" s="1446">
        <f>E905+E920+E907+E908+E909</f>
        <v/>
      </c>
      <c r="F479" s="1446">
        <f>F905+F920+F907+F908+F909</f>
        <v/>
      </c>
      <c r="G479" s="1446">
        <f>G905+G920+G907+G908+G909</f>
        <v/>
      </c>
      <c r="H479" s="1280">
        <f>H905+H920+H907+H908+H909</f>
        <v/>
      </c>
      <c r="I479" s="1280">
        <f>I905+I920+I907+I908+I909</f>
        <v/>
      </c>
      <c r="J479" s="1280">
        <f>J905+J920+J907+J908+J909</f>
        <v/>
      </c>
      <c r="K479" s="1280">
        <f>K905+K920+K907+K908+K909</f>
        <v/>
      </c>
      <c r="L479" s="1446">
        <f>L905+L920+L907+L908+L909</f>
        <v/>
      </c>
      <c r="M479" s="1280">
        <f>M905+M920+M907+M908+M909</f>
        <v/>
      </c>
      <c r="N479" s="1280">
        <f>N905+N920+N907+N908+N909</f>
        <v/>
      </c>
      <c r="O479" s="1280">
        <f>O905+O920+O907+O908+O909</f>
        <v/>
      </c>
      <c r="P479" s="1280">
        <f>P905+P920+P907+P908+P909</f>
        <v/>
      </c>
      <c r="Q479" s="1446">
        <f>Q905+Q920+Q907+Q908+Q909</f>
        <v/>
      </c>
      <c r="R479" s="1280">
        <f>R905+R920+R907+R908+R909</f>
        <v/>
      </c>
      <c r="S479" s="1280">
        <f>S905+S920+S907+S908+S909</f>
        <v/>
      </c>
      <c r="T479" s="1280">
        <f>T905+T920+T907+T908+T909</f>
        <v/>
      </c>
      <c r="U479" s="1280">
        <f>U905+U920+U907+U908+U909</f>
        <v/>
      </c>
      <c r="V479" s="1446">
        <f>V905+V920+V907+V908+V909</f>
        <v/>
      </c>
      <c r="W479" s="1280">
        <f>W905+W920+W907+W908+W909</f>
        <v/>
      </c>
      <c r="X479" s="1280">
        <f>X905+X920+X907+X908+X909</f>
        <v/>
      </c>
      <c r="Y479" s="1280">
        <f>Y905+Y920+Y907+Y908+Y909</f>
        <v/>
      </c>
      <c r="Z479" s="1280">
        <f>Z905+Z920+Z907+Z908+Z909</f>
        <v/>
      </c>
      <c r="AA479" s="1446">
        <f>AA905+AA920+AA907+AA908+AA909</f>
        <v/>
      </c>
      <c r="AB479" s="1280">
        <f>AB905+AB920+AB907+AB908+AB909</f>
        <v/>
      </c>
      <c r="AC479" s="1280">
        <f>AC905+AC920+AC907+AC908+AC909</f>
        <v/>
      </c>
      <c r="AD479" s="1280">
        <f>AD905+AD920+AD907+AD908+AD909</f>
        <v/>
      </c>
      <c r="AE479" s="1280">
        <f>AE905+AE920+AE907+AE908+AE909</f>
        <v/>
      </c>
      <c r="AF479" s="1446">
        <f>AF905+AF920+AF907+AF908+AF909</f>
        <v/>
      </c>
      <c r="AG479" s="1280">
        <f>AG905+AG920+AG907+AG908+AG909</f>
        <v/>
      </c>
      <c r="AH479" s="1280">
        <f>AH905+AH920+AH907+AH908+AH909</f>
        <v/>
      </c>
      <c r="AI479" s="1280">
        <f>AI905+AI920+AI907+AI908+AI909</f>
        <v/>
      </c>
      <c r="AJ479" s="1280">
        <f>AJ905+AJ920+AJ907+AJ908+AJ909</f>
        <v/>
      </c>
      <c r="AK479" s="1446">
        <f>AK905+AK920+AK907+AK908+AK909</f>
        <v/>
      </c>
      <c r="AL479" s="1280">
        <f>AL905+AL920+AL907+AL908+AL909</f>
        <v/>
      </c>
      <c r="AM479" s="1280">
        <f>AM905+AM920+AM907+AM908+AM909</f>
        <v/>
      </c>
      <c r="AN479" s="1280">
        <f>AN905+AN920+AN907+AN908+AN909</f>
        <v/>
      </c>
      <c r="AO479" s="1280">
        <f>AO905+AO920+AO907+AO908+AO909</f>
        <v/>
      </c>
      <c r="AP479" s="1446">
        <f>AP905+AP920+AP907+AP908+AP909</f>
        <v/>
      </c>
      <c r="AQ479" s="1280">
        <f>AQ905+AQ920+AQ907+AQ908+AQ909</f>
        <v/>
      </c>
      <c r="AR479" s="1280">
        <f>AR905+AR920+AR907+AR908+AR909</f>
        <v/>
      </c>
      <c r="AS479" s="1280">
        <f>AS905+AS920+AS907+AS908+AS909</f>
        <v/>
      </c>
      <c r="AT479" s="1280">
        <f>AT905+AT920+AT907+AT908+AT909</f>
        <v/>
      </c>
      <c r="AU479" s="1446">
        <f>AU905+AU920+AU907+AU908+AU909</f>
        <v/>
      </c>
      <c r="AV479" s="1280">
        <f>AV905+AV920+AV907+AV908+AV909</f>
        <v/>
      </c>
      <c r="AW479" s="1280">
        <f>AW905+AW920+AW907+AW908+AW909</f>
        <v/>
      </c>
      <c r="AX479" s="1280">
        <f>AX905+AX920+AX907+AX908+AX909</f>
        <v/>
      </c>
      <c r="AY479" s="1280">
        <f>AY905+AY920+AY907+AY908+AY909</f>
        <v/>
      </c>
      <c r="AZ479" s="1446">
        <f>AZ905+AZ920+AZ907+AZ908+AZ909</f>
        <v/>
      </c>
      <c r="BA479" s="1280">
        <f>BA905+BA920+BA907+BA908+BA909</f>
        <v/>
      </c>
      <c r="BB479" s="1280">
        <f>BB905+BB920+BB907+BB908+BB909</f>
        <v/>
      </c>
      <c r="BC479" s="1280">
        <f>BC905+BC920+BC907+BC908+BC909</f>
        <v/>
      </c>
      <c r="BD479" s="1280">
        <f>BD905+BD920+BD907+BD908+BD909</f>
        <v/>
      </c>
      <c r="BE479" s="1446">
        <f>BE905+BE920+BE907+BE908+BE909</f>
        <v/>
      </c>
      <c r="BF479" s="1280">
        <f>BF905+BF920+BF907+BF908+BF909</f>
        <v/>
      </c>
      <c r="BG479" s="1280">
        <f>BG905+BG920+BG907+BG908+BG909</f>
        <v/>
      </c>
      <c r="BH479" s="1280">
        <f>BH905+BH920+BH907+BH908+BH909</f>
        <v/>
      </c>
      <c r="BI479" s="1280">
        <f>BI905+BI920+BI907+BI908+BI909</f>
        <v/>
      </c>
      <c r="BJ479" s="1446">
        <f>BJ905+BJ920+BJ907+BJ908+BJ909</f>
        <v/>
      </c>
      <c r="BK479" s="1280">
        <f>BK905+BK920+BK907+BK908+BK909</f>
        <v/>
      </c>
      <c r="BL479" s="1280">
        <f>BL905+BL920+BL907+BL908+BL909</f>
        <v/>
      </c>
      <c r="BM479" s="1280">
        <f>BM905+BM920+BM907+BM908+BM909</f>
        <v/>
      </c>
      <c r="BN479" s="1280">
        <f>BN905+BN920+BN907+BN908+BN909</f>
        <v/>
      </c>
      <c r="BO479" s="1300">
        <f>BO905+BO920+BO907+BO908+BO909</f>
        <v/>
      </c>
      <c r="BP479" s="1277">
        <f>BP481-BP480</f>
        <v/>
      </c>
      <c r="BQ479" s="1277">
        <f>BQ481-BQ480</f>
        <v/>
      </c>
      <c r="BR479" s="1277">
        <f>BR481-BR480</f>
        <v/>
      </c>
      <c r="BS479" s="1277">
        <f>BS481-BS480</f>
        <v/>
      </c>
      <c r="BT479" s="1297">
        <f>BT905+BT920+BT907+BT908+BT909</f>
        <v/>
      </c>
      <c r="BU479" s="1277">
        <f>BU481-BU480</f>
        <v/>
      </c>
      <c r="BV479" s="1277">
        <f>BV481-BV480</f>
        <v/>
      </c>
      <c r="BW479" s="1277">
        <f>BW481-BW480</f>
        <v/>
      </c>
      <c r="BX479" s="1277">
        <f>BX481-BX480</f>
        <v/>
      </c>
      <c r="BY479" s="1297">
        <f>BY905+BY920+BY907+BY908+BY909</f>
        <v/>
      </c>
      <c r="BZ479" s="1297">
        <f>BZ481-BZ480</f>
        <v/>
      </c>
      <c r="CA479" s="1297">
        <f>CA481-CA480</f>
        <v/>
      </c>
      <c r="CB479" s="1297">
        <f>CB481-CB480</f>
        <v/>
      </c>
      <c r="CC479" s="1280" t="n"/>
    </row>
    <row r="480" ht="14.4" customFormat="1" customHeight="1" s="1275">
      <c r="A480" s="1702" t="inlineStr">
        <is>
          <t>LT Debt</t>
        </is>
      </c>
      <c r="B480" s="1703" t="n"/>
      <c r="C480" s="1704">
        <f>C928+C929+C927+C934</f>
        <v/>
      </c>
      <c r="D480" s="1704">
        <f>D928+D929+D927+D934</f>
        <v/>
      </c>
      <c r="E480" s="1704">
        <f>E928+E929+E927+E934</f>
        <v/>
      </c>
      <c r="F480" s="1704">
        <f>F928+F929+F927+F934</f>
        <v/>
      </c>
      <c r="G480" s="1704">
        <f>G928+G929+G927+G934</f>
        <v/>
      </c>
      <c r="H480" s="1705">
        <f>H928+H929+H927+H934</f>
        <v/>
      </c>
      <c r="I480" s="1705">
        <f>I928+I929+I927+I934</f>
        <v/>
      </c>
      <c r="J480" s="1705">
        <f>J928+J929+J927+J934</f>
        <v/>
      </c>
      <c r="K480" s="1705">
        <f>K928+K929+K927+K934</f>
        <v/>
      </c>
      <c r="L480" s="1704">
        <f>L928+L929+L927+L934</f>
        <v/>
      </c>
      <c r="M480" s="1705">
        <f>M928+M929+M927+M934</f>
        <v/>
      </c>
      <c r="N480" s="1705">
        <f>N928+N929+N927+N934</f>
        <v/>
      </c>
      <c r="O480" s="1705">
        <f>O928+O929+O927+O934</f>
        <v/>
      </c>
      <c r="P480" s="1705">
        <f>P928+P929+P927+P934</f>
        <v/>
      </c>
      <c r="Q480" s="1704">
        <f>Q928+Q929+Q927+Q934</f>
        <v/>
      </c>
      <c r="R480" s="1705">
        <f>R928+R929+R927+R934</f>
        <v/>
      </c>
      <c r="S480" s="1705">
        <f>S928+S929+S927+S934</f>
        <v/>
      </c>
      <c r="T480" s="1705">
        <f>T928+T929+T927+T934</f>
        <v/>
      </c>
      <c r="U480" s="1705">
        <f>U928+U929+U927+U934</f>
        <v/>
      </c>
      <c r="V480" s="1704">
        <f>V928+V929+V927+V934</f>
        <v/>
      </c>
      <c r="W480" s="1705">
        <f>W928+W929+W927+W934</f>
        <v/>
      </c>
      <c r="X480" s="1705">
        <f>X928+X929+X927+X934</f>
        <v/>
      </c>
      <c r="Y480" s="1705">
        <f>Y928+Y929+Y927+Y934</f>
        <v/>
      </c>
      <c r="Z480" s="1705">
        <f>Z928+Z929+Z927+Z934</f>
        <v/>
      </c>
      <c r="AA480" s="1704">
        <f>AA928+AA929+AA927+AA934</f>
        <v/>
      </c>
      <c r="AB480" s="1705">
        <f>AB928+AB929+AB927+AB934</f>
        <v/>
      </c>
      <c r="AC480" s="1705">
        <f>AC928+AC929+AC927+AC934</f>
        <v/>
      </c>
      <c r="AD480" s="1705">
        <f>AD928+AD929+AD927+AD934</f>
        <v/>
      </c>
      <c r="AE480" s="1705">
        <f>AE928+AE929+AE927+AE934</f>
        <v/>
      </c>
      <c r="AF480" s="1704">
        <f>AF928+AF929+AF927+AF934</f>
        <v/>
      </c>
      <c r="AG480" s="1705">
        <f>AG928+AG929+AG927+AG934</f>
        <v/>
      </c>
      <c r="AH480" s="1705">
        <f>AH928+AH929+AH927+AH934</f>
        <v/>
      </c>
      <c r="AI480" s="1705">
        <f>AI928+AI929+AI927+AI934</f>
        <v/>
      </c>
      <c r="AJ480" s="1705">
        <f>AJ928+AJ929+AJ927+AJ934</f>
        <v/>
      </c>
      <c r="AK480" s="1704">
        <f>AK928+AK929+AK927+AK934</f>
        <v/>
      </c>
      <c r="AL480" s="1705">
        <f>AL928+AL929+AL927+AL934</f>
        <v/>
      </c>
      <c r="AM480" s="1705">
        <f>AM928+AM929+AM927+AM934</f>
        <v/>
      </c>
      <c r="AN480" s="1705">
        <f>AN928+AN929+AN927+AN934</f>
        <v/>
      </c>
      <c r="AO480" s="1705">
        <f>AO928+AO929+AO927+AO934</f>
        <v/>
      </c>
      <c r="AP480" s="1704">
        <f>AP928+AP929+AP927+AP934</f>
        <v/>
      </c>
      <c r="AQ480" s="1705">
        <f>AQ928+AQ929+AQ927+AQ934</f>
        <v/>
      </c>
      <c r="AR480" s="1705">
        <f>AR928+AR929+AR927+AR934</f>
        <v/>
      </c>
      <c r="AS480" s="1705">
        <f>AS928+AS929+AS927+AS934</f>
        <v/>
      </c>
      <c r="AT480" s="1705">
        <f>AT928+AT929+AT927+AT934</f>
        <v/>
      </c>
      <c r="AU480" s="1704">
        <f>AU928+AU929+AU927+AU934</f>
        <v/>
      </c>
      <c r="AV480" s="1705">
        <f>AV928+AV929+AV927+AV934</f>
        <v/>
      </c>
      <c r="AW480" s="1705">
        <f>AW928+AW929+AW927+AW934</f>
        <v/>
      </c>
      <c r="AX480" s="1705">
        <f>AX928+AX929+AX927+AX934</f>
        <v/>
      </c>
      <c r="AY480" s="1705">
        <f>AY928+AY929+AY927+AY934</f>
        <v/>
      </c>
      <c r="AZ480" s="1704">
        <f>AZ928+AZ929+AZ927+AZ934</f>
        <v/>
      </c>
      <c r="BA480" s="1705">
        <f>BA928+BA929+BA927+BA934</f>
        <v/>
      </c>
      <c r="BB480" s="1705">
        <f>BB928+BB929+BB927+BB934</f>
        <v/>
      </c>
      <c r="BC480" s="1705">
        <f>BC928+BC929+BC927+BC934</f>
        <v/>
      </c>
      <c r="BD480" s="1705">
        <f>BD928+BD929+BD927+BD934</f>
        <v/>
      </c>
      <c r="BE480" s="1704">
        <f>BE928+BE929+BE927+BE934</f>
        <v/>
      </c>
      <c r="BF480" s="1705">
        <f>BF928+BF929+BF927+BF934</f>
        <v/>
      </c>
      <c r="BG480" s="1705">
        <f>BG928+BG929+BG927+BG934</f>
        <v/>
      </c>
      <c r="BH480" s="1705">
        <f>BH928+BH929+BH927+BH934</f>
        <v/>
      </c>
      <c r="BI480" s="1705">
        <f>BI928+BI929+BI927+BI934</f>
        <v/>
      </c>
      <c r="BJ480" s="1704">
        <f>BJ928+BJ929+BJ927+BJ934</f>
        <v/>
      </c>
      <c r="BK480" s="1705">
        <f>BK928+BK929+BK927+BK934</f>
        <v/>
      </c>
      <c r="BL480" s="1705">
        <f>BL928+BL929+BL927+BL934</f>
        <v/>
      </c>
      <c r="BM480" s="1705">
        <f>BM928+BM929+BM927+BM934</f>
        <v/>
      </c>
      <c r="BN480" s="1705">
        <f>BN928+BN929+BN927+BN934</f>
        <v/>
      </c>
      <c r="BO480" s="1706">
        <f>BO928+BO929+BO927+BO934</f>
        <v/>
      </c>
      <c r="BP480" s="1707">
        <f>MAX(0,BO480+BP464)</f>
        <v/>
      </c>
      <c r="BQ480" s="1707">
        <f>MAX(0,BP480+BQ464)</f>
        <v/>
      </c>
      <c r="BR480" s="1707">
        <f>MAX(0,BQ480+BR464)</f>
        <v/>
      </c>
      <c r="BS480" s="1707">
        <f>MAX(0,BR480+BS464)</f>
        <v/>
      </c>
      <c r="BT480" s="1708">
        <f>BT928+BT929+BT927+BT934</f>
        <v/>
      </c>
      <c r="BU480" s="1707">
        <f>MAX(0,BT480+BU464)</f>
        <v/>
      </c>
      <c r="BV480" s="1707">
        <f>MAX(0,BU480+BV464)</f>
        <v/>
      </c>
      <c r="BW480" s="1707">
        <f>MAX(0,BV480+BW464)</f>
        <v/>
      </c>
      <c r="BX480" s="1707">
        <f>MAX(0,BW480+BX464)</f>
        <v/>
      </c>
      <c r="BY480" s="1708">
        <f>BY928+BY929+BY927+BY934</f>
        <v/>
      </c>
      <c r="BZ480" s="1708">
        <f>MAX(0,BY480+BZ464)</f>
        <v/>
      </c>
      <c r="CA480" s="1708">
        <f>MAX(0,BZ480+CA464)</f>
        <v/>
      </c>
      <c r="CB480" s="1708">
        <f>MAX(0,CA480+CB464)</f>
        <v/>
      </c>
      <c r="CC480" s="1280" t="n"/>
    </row>
    <row r="481" ht="14.4" customFormat="1" customHeight="1" s="1275">
      <c r="A481" s="1280" t="inlineStr">
        <is>
          <t>Debt</t>
        </is>
      </c>
      <c r="B481" s="1387" t="n"/>
      <c r="C481" s="1446">
        <f>C905+C920+C928+C929+C907+C908+C909+C927+C934</f>
        <v/>
      </c>
      <c r="D481" s="1446">
        <f>D905+D920+D928+D929+D907+D908+D909+D927+D934</f>
        <v/>
      </c>
      <c r="E481" s="1446">
        <f>E905+E920+E928+E929+E907+E908+E909+E927+E934</f>
        <v/>
      </c>
      <c r="F481" s="1446">
        <f>F905+F920+F928+F929+F907+F908+F909+F927+F934</f>
        <v/>
      </c>
      <c r="G481" s="1446">
        <f>G905+G920+G928+G929+G907+G908+G909+G927+G934</f>
        <v/>
      </c>
      <c r="H481" s="1280">
        <f>H905+H920+H928+H929+H907+H908+H909+H927+H934</f>
        <v/>
      </c>
      <c r="I481" s="1280">
        <f>I905+I920+I928+I929+I907+I908+I909+I927+I934</f>
        <v/>
      </c>
      <c r="J481" s="1280">
        <f>J905+J920+J928+J929+J907+J908+J909+J927+J934</f>
        <v/>
      </c>
      <c r="K481" s="1280">
        <f>K905+K920+K928+K929+K907+K908+K909+K927+K934</f>
        <v/>
      </c>
      <c r="L481" s="1446">
        <f>L905+L920+L928+L929+L907+L908+L909+L927+L934</f>
        <v/>
      </c>
      <c r="M481" s="1280">
        <f>M905+M920+M928+M929+M907+M908+M909+M927+M934</f>
        <v/>
      </c>
      <c r="N481" s="1280">
        <f>N905+N920+N928+N929+N907+N908+N909+N927+N934</f>
        <v/>
      </c>
      <c r="O481" s="1280">
        <f>O905+O920+O928+O929+O907+O908+O909+O927+O934</f>
        <v/>
      </c>
      <c r="P481" s="1280">
        <f>P905+P920+P928+P929+P907+P908+P909+P927+P934</f>
        <v/>
      </c>
      <c r="Q481" s="1446">
        <f>Q905+Q920+Q928+Q929+Q907+Q908+Q909+Q927+Q934</f>
        <v/>
      </c>
      <c r="R481" s="1280">
        <f>R905+R920+R928+R929+R907+R908+R909+R927+R934</f>
        <v/>
      </c>
      <c r="S481" s="1280">
        <f>S905+S920+S928+S929+S907+S908+S909+S927+S934</f>
        <v/>
      </c>
      <c r="T481" s="1280">
        <f>T905+T920+T928+T929+T907+T908+T909+T927+T934</f>
        <v/>
      </c>
      <c r="U481" s="1280">
        <f>U905+U920+U928+U929+U907+U908+U909+U927+U934</f>
        <v/>
      </c>
      <c r="V481" s="1446">
        <f>V905+V920+V928+V929+V907+V908+V909+V927+V934</f>
        <v/>
      </c>
      <c r="W481" s="1280">
        <f>W905+W920+W928+W929+W907+W908+W909+W927+W934</f>
        <v/>
      </c>
      <c r="X481" s="1280">
        <f>X905+X920+X928+X929+X907+X908+X909+X927+X934</f>
        <v/>
      </c>
      <c r="Y481" s="1280">
        <f>Y905+Y920+Y928+Y929+Y907+Y908+Y909+Y927+Y934</f>
        <v/>
      </c>
      <c r="Z481" s="1280">
        <f>Z905+Z920+Z928+Z929+Z907+Z908+Z909+Z927+Z934</f>
        <v/>
      </c>
      <c r="AA481" s="1446">
        <f>AA905+AA920+AA928+AA929+AA907+AA908+AA909+AA927+AA934</f>
        <v/>
      </c>
      <c r="AB481" s="1280">
        <f>AB905+AB920+AB928+AB929+AB907+AB908+AB909+AB927+AB934</f>
        <v/>
      </c>
      <c r="AC481" s="1280">
        <f>AC905+AC920+AC928+AC929+AC907+AC908+AC909+AC927+AC934</f>
        <v/>
      </c>
      <c r="AD481" s="1280">
        <f>AD905+AD920+AD928+AD929+AD907+AD908+AD909+AD927+AD934</f>
        <v/>
      </c>
      <c r="AE481" s="1280">
        <f>AE905+AE920+AE928+AE929+AE907+AE908+AE909+AE927+AE934</f>
        <v/>
      </c>
      <c r="AF481" s="1446">
        <f>AF905+AF920+AF928+AF929+AF907+AF908+AF909+AF927+AF934</f>
        <v/>
      </c>
      <c r="AG481" s="1280">
        <f>AG905+AG920+AG928+AG929+AG907+AG908+AG909+AG927+AG934</f>
        <v/>
      </c>
      <c r="AH481" s="1280">
        <f>AH905+AH920+AH928+AH929+AH907+AH908+AH909+AH927+AH934</f>
        <v/>
      </c>
      <c r="AI481" s="1280">
        <f>AI905+AI920+AI928+AI929+AI907+AI908+AI909+AI927+AI934</f>
        <v/>
      </c>
      <c r="AJ481" s="1280">
        <f>AJ905+AJ920+AJ928+AJ929+AJ907+AJ908+AJ909+AJ927+AJ934</f>
        <v/>
      </c>
      <c r="AK481" s="1446">
        <f>AK905+AK920+AK928+AK929+AK907+AK908+AK909+AK927+AK934</f>
        <v/>
      </c>
      <c r="AL481" s="1280">
        <f>AL905+AL920+AL928+AL929+AL907+AL908+AL909+AL927+AL934</f>
        <v/>
      </c>
      <c r="AM481" s="1280">
        <f>AM905+AM920+AM928+AM929+AM907+AM908+AM909+AM927+AM934</f>
        <v/>
      </c>
      <c r="AN481" s="1280">
        <f>AN905+AN920+AN928+AN929+AN907+AN908+AN909+AN927+AN934</f>
        <v/>
      </c>
      <c r="AO481" s="1280">
        <f>AO905+AO920+AO928+AO929+AO907+AO908+AO909+AO927+AO934</f>
        <v/>
      </c>
      <c r="AP481" s="1446">
        <f>AP905+AP920+AP928+AP929+AP907+AP908+AP909+AP927+AP934</f>
        <v/>
      </c>
      <c r="AQ481" s="1280">
        <f>AQ905+AQ920+AQ928+AQ929+AQ907+AQ908+AQ909+AQ927+AQ934</f>
        <v/>
      </c>
      <c r="AR481" s="1280">
        <f>AR905+AR920+AR928+AR929+AR907+AR908+AR909+AR927+AR934</f>
        <v/>
      </c>
      <c r="AS481" s="1280">
        <f>AS905+AS920+AS928+AS929+AS907+AS908+AS909+AS927+AS934</f>
        <v/>
      </c>
      <c r="AT481" s="1280">
        <f>AT905+AT920+AT928+AT929+AT907+AT908+AT909+AT927+AT934</f>
        <v/>
      </c>
      <c r="AU481" s="1446">
        <f>AU905+AU920+AU928+AU929+AU907+AU908+AU909+AU927+AU934</f>
        <v/>
      </c>
      <c r="AV481" s="1280">
        <f>AV905+AV920+AV928+AV929+AV907+AV908+AV909+AV927+AV934</f>
        <v/>
      </c>
      <c r="AW481" s="1280">
        <f>AW905+AW920+AW928+AW929+AW907+AW908+AW909+AW927+AW934</f>
        <v/>
      </c>
      <c r="AX481" s="1280">
        <f>AX905+AX920+AX928+AX929+AX907+AX908+AX909+AX927+AX934</f>
        <v/>
      </c>
      <c r="AY481" s="1280">
        <f>AY905+AY920+AY928+AY929+AY907+AY908+AY909+AY927+AY934</f>
        <v/>
      </c>
      <c r="AZ481" s="1446">
        <f>AZ905+AZ920+AZ928+AZ929+AZ907+AZ908+AZ909+AZ927+AZ934</f>
        <v/>
      </c>
      <c r="BA481" s="1280">
        <f>BA905+BA920+BA928+BA929+BA907+BA908+BA909+BA927+BA934</f>
        <v/>
      </c>
      <c r="BB481" s="1280">
        <f>BB905+BB920+BB928+BB929+BB907+BB908+BB909+BB927+BB934</f>
        <v/>
      </c>
      <c r="BC481" s="1280">
        <f>BC905+BC920+BC928+BC929+BC907+BC908+BC909+BC927+BC934</f>
        <v/>
      </c>
      <c r="BD481" s="1280">
        <f>BD905+BD920+BD928+BD929+BD907+BD908+BD909+BD927+BD934</f>
        <v/>
      </c>
      <c r="BE481" s="1446">
        <f>BE905+BE920+BE928+BE929+BE907+BE908+BE909+BE927+BE934</f>
        <v/>
      </c>
      <c r="BF481" s="1280">
        <f>BF905+BF920+BF928+BF929+BF907+BF908+BF909+BF927+BF934</f>
        <v/>
      </c>
      <c r="BG481" s="1280">
        <f>BG905+BG920+BG928+BG929+BG907+BG908+BG909+BG927+BG934</f>
        <v/>
      </c>
      <c r="BH481" s="1280">
        <f>BH905+BH920+BH928+BH929+BH907+BH908+BH909+BH927+BH934</f>
        <v/>
      </c>
      <c r="BI481" s="1280">
        <f>BI905+BI920+BI928+BI929+BI907+BI908+BI909+BI927+BI934</f>
        <v/>
      </c>
      <c r="BJ481" s="1446">
        <f>BJ905+BJ920+BJ928+BJ929+BJ907+BJ908+BJ909+BJ927+BJ934</f>
        <v/>
      </c>
      <c r="BK481" s="1280">
        <f>BK905+BK920+BK928+BK929+BK907+BK908+BK909+BK927+BK934</f>
        <v/>
      </c>
      <c r="BL481" s="1280">
        <f>BL905+BL920+BL928+BL929+BL907+BL908+BL909+BL927+BL934</f>
        <v/>
      </c>
      <c r="BM481" s="1280">
        <f>BM905+BM920+BM928+BM929+BM907+BM908+BM909+BM927+BM934</f>
        <v/>
      </c>
      <c r="BN481" s="1280">
        <f>BN905+BN920+BN928+BN929+BN907+BN908+BN909+BN927+BN934</f>
        <v/>
      </c>
      <c r="BO481" s="1300">
        <f>BO905+BO920+BO928+BO929+BO907+BO908+BO909+BO927+BO934</f>
        <v/>
      </c>
      <c r="BP481" s="1277">
        <f>BO481+BP464</f>
        <v/>
      </c>
      <c r="BQ481" s="1277">
        <f>BP481+BQ464</f>
        <v/>
      </c>
      <c r="BR481" s="1277">
        <f>BQ481+BR464</f>
        <v/>
      </c>
      <c r="BS481" s="1277">
        <f>BR481+BS464</f>
        <v/>
      </c>
      <c r="BT481" s="1297">
        <f>BT905+BT920+BT928+BT929+BT907+BT908+BT909+BT927+BT934</f>
        <v/>
      </c>
      <c r="BU481" s="1277">
        <f>BT481+BU464</f>
        <v/>
      </c>
      <c r="BV481" s="1277">
        <f>BU481+BV464</f>
        <v/>
      </c>
      <c r="BW481" s="1277">
        <f>BV481+BW464</f>
        <v/>
      </c>
      <c r="BX481" s="1277">
        <f>BW481+BX464</f>
        <v/>
      </c>
      <c r="BY481" s="1297">
        <f>BY905+BY920+BY928+BY929+BY907+BY908+BY909+BY927+BY934</f>
        <v/>
      </c>
      <c r="BZ481" s="1297">
        <f>BY481+BZ464</f>
        <v/>
      </c>
      <c r="CA481" s="1297">
        <f>BZ481+CA464</f>
        <v/>
      </c>
      <c r="CB481" s="1297">
        <f>CA481+CB464</f>
        <v/>
      </c>
      <c r="CC481" s="1280" t="n"/>
    </row>
    <row r="482" ht="14.4" customFormat="1" customHeight="1" s="1275">
      <c r="A482" s="1280" t="inlineStr">
        <is>
          <t>Operating Lease Liabilities</t>
        </is>
      </c>
      <c r="B482" s="1387" t="n"/>
      <c r="C482" s="1446">
        <f>C933+C921</f>
        <v/>
      </c>
      <c r="D482" s="1446">
        <f>D933+D921</f>
        <v/>
      </c>
      <c r="E482" s="1446">
        <f>E933+E921</f>
        <v/>
      </c>
      <c r="F482" s="1446">
        <f>F933+F921</f>
        <v/>
      </c>
      <c r="G482" s="1446">
        <f>G933+G921</f>
        <v/>
      </c>
      <c r="H482" s="1280">
        <f>H933+H921</f>
        <v/>
      </c>
      <c r="I482" s="1280">
        <f>I933+I921</f>
        <v/>
      </c>
      <c r="J482" s="1280">
        <f>J933+J921</f>
        <v/>
      </c>
      <c r="K482" s="1280">
        <f>K933+K921</f>
        <v/>
      </c>
      <c r="L482" s="1446">
        <f>L933+L921</f>
        <v/>
      </c>
      <c r="M482" s="1280">
        <f>M933+M921</f>
        <v/>
      </c>
      <c r="N482" s="1280">
        <f>N933+N921</f>
        <v/>
      </c>
      <c r="O482" s="1280">
        <f>O933+O921</f>
        <v/>
      </c>
      <c r="P482" s="1280">
        <f>P933+P921</f>
        <v/>
      </c>
      <c r="Q482" s="1446">
        <f>Q933+Q921</f>
        <v/>
      </c>
      <c r="R482" s="1280">
        <f>R933+R921</f>
        <v/>
      </c>
      <c r="S482" s="1280">
        <f>S933+S921</f>
        <v/>
      </c>
      <c r="T482" s="1280">
        <f>T933+T921</f>
        <v/>
      </c>
      <c r="U482" s="1280">
        <f>U933+U921</f>
        <v/>
      </c>
      <c r="V482" s="1446">
        <f>V933+V921</f>
        <v/>
      </c>
      <c r="W482" s="1280">
        <f>W933+W921</f>
        <v/>
      </c>
      <c r="X482" s="1280">
        <f>X933+X921</f>
        <v/>
      </c>
      <c r="Y482" s="1280">
        <f>Y933+Y921</f>
        <v/>
      </c>
      <c r="Z482" s="1280">
        <f>Z933+Z921</f>
        <v/>
      </c>
      <c r="AA482" s="1446">
        <f>AA933+AA921</f>
        <v/>
      </c>
      <c r="AB482" s="1280">
        <f>AB933+AB921</f>
        <v/>
      </c>
      <c r="AC482" s="1280">
        <f>AC933+AC921</f>
        <v/>
      </c>
      <c r="AD482" s="1280">
        <f>AD933+AD921</f>
        <v/>
      </c>
      <c r="AE482" s="1280">
        <f>AE933+AE921</f>
        <v/>
      </c>
      <c r="AF482" s="1446">
        <f>AF933+AF921</f>
        <v/>
      </c>
      <c r="AG482" s="1280">
        <f>AG933+AG921</f>
        <v/>
      </c>
      <c r="AH482" s="1280">
        <f>AH933+AH921</f>
        <v/>
      </c>
      <c r="AI482" s="1280">
        <f>AI933+AI921</f>
        <v/>
      </c>
      <c r="AJ482" s="1280">
        <f>AJ933+AJ921</f>
        <v/>
      </c>
      <c r="AK482" s="1446">
        <f>AK933+AK921</f>
        <v/>
      </c>
      <c r="AL482" s="1280">
        <f>AL933+AL921</f>
        <v/>
      </c>
      <c r="AM482" s="1280">
        <f>AM933+AM921</f>
        <v/>
      </c>
      <c r="AN482" s="1280">
        <f>AN933+AN921</f>
        <v/>
      </c>
      <c r="AO482" s="1280">
        <f>AO933+AO921</f>
        <v/>
      </c>
      <c r="AP482" s="1446">
        <f>AP933+AP921</f>
        <v/>
      </c>
      <c r="AQ482" s="1280">
        <f>AQ933+AQ921</f>
        <v/>
      </c>
      <c r="AR482" s="1280">
        <f>AR933+AR921</f>
        <v/>
      </c>
      <c r="AS482" s="1280">
        <f>AS933+AS921</f>
        <v/>
      </c>
      <c r="AT482" s="1280">
        <f>AT933+AT921</f>
        <v/>
      </c>
      <c r="AU482" s="1446">
        <f>AU933+AU921</f>
        <v/>
      </c>
      <c r="AV482" s="1280">
        <f>AV933+AV921</f>
        <v/>
      </c>
      <c r="AW482" s="1280">
        <f>AW933+AW921</f>
        <v/>
      </c>
      <c r="AX482" s="1280">
        <f>AX933+AX921</f>
        <v/>
      </c>
      <c r="AY482" s="1280">
        <f>AY933+AY921</f>
        <v/>
      </c>
      <c r="AZ482" s="1446">
        <f>AZ933+AZ921</f>
        <v/>
      </c>
      <c r="BA482" s="1280">
        <f>BA933+BA921</f>
        <v/>
      </c>
      <c r="BB482" s="1280">
        <f>BB933+BB921</f>
        <v/>
      </c>
      <c r="BC482" s="1280">
        <f>BC933+BC921</f>
        <v/>
      </c>
      <c r="BD482" s="1280">
        <f>BD933+BD921</f>
        <v/>
      </c>
      <c r="BE482" s="1446">
        <f>BE933+BE921</f>
        <v/>
      </c>
      <c r="BF482" s="1280">
        <f>BF933+BF921</f>
        <v/>
      </c>
      <c r="BG482" s="1280">
        <f>BG933+BG921</f>
        <v/>
      </c>
      <c r="BH482" s="1280">
        <f>BH933+BH921</f>
        <v/>
      </c>
      <c r="BI482" s="1280">
        <f>BI933+BI921</f>
        <v/>
      </c>
      <c r="BJ482" s="1446">
        <f>BJ933+BJ921</f>
        <v/>
      </c>
      <c r="BK482" s="1280">
        <f>BK933+BK921</f>
        <v/>
      </c>
      <c r="BL482" s="1280">
        <f>BL933+BL921</f>
        <v/>
      </c>
      <c r="BM482" s="1280">
        <f>BM933+BM921</f>
        <v/>
      </c>
      <c r="BN482" s="1280">
        <f>BN933+BN921</f>
        <v/>
      </c>
      <c r="BO482" s="1300">
        <f>BO933+BO921</f>
        <v/>
      </c>
      <c r="BP482" s="1277">
        <f>BP933+BP921</f>
        <v/>
      </c>
      <c r="BQ482" s="1277">
        <f>BQ933+BQ921</f>
        <v/>
      </c>
      <c r="BR482" s="1277">
        <f>BR933+BR921</f>
        <v/>
      </c>
      <c r="BS482" s="1277">
        <f>BS933+BS921</f>
        <v/>
      </c>
      <c r="BT482" s="1297">
        <f>BT933+BT921</f>
        <v/>
      </c>
      <c r="BU482" s="1277">
        <f>BU933+BU921</f>
        <v/>
      </c>
      <c r="BV482" s="1277">
        <f>BV933+BV921</f>
        <v/>
      </c>
      <c r="BW482" s="1277">
        <f>BW933+BW921</f>
        <v/>
      </c>
      <c r="BX482" s="1277">
        <f>BX933+BX921</f>
        <v/>
      </c>
      <c r="BY482" s="1297">
        <f>BY933+BY921</f>
        <v/>
      </c>
      <c r="BZ482" s="1297">
        <f>BZ933+BZ921</f>
        <v/>
      </c>
      <c r="CA482" s="1297">
        <f>CA933+CA921</f>
        <v/>
      </c>
      <c r="CB482" s="1297">
        <f>CB933+CB921</f>
        <v/>
      </c>
      <c r="CC482" s="1280" t="n"/>
    </row>
    <row r="483" ht="14.4" customFormat="1" customHeight="1" s="1275">
      <c r="A483" s="1280" t="inlineStr">
        <is>
          <t>Net Debt</t>
        </is>
      </c>
      <c r="B483" s="1387" t="n"/>
      <c r="C483" s="1446">
        <f>C481+C482-C478</f>
        <v/>
      </c>
      <c r="D483" s="1446">
        <f>D481+D482-D478</f>
        <v/>
      </c>
      <c r="E483" s="1446">
        <f>E481+E482-E478</f>
        <v/>
      </c>
      <c r="F483" s="1446">
        <f>F481+F482-F478</f>
        <v/>
      </c>
      <c r="G483" s="1446">
        <f>G481+G482-G478</f>
        <v/>
      </c>
      <c r="H483" s="1280">
        <f>H481+H482-H478</f>
        <v/>
      </c>
      <c r="I483" s="1280">
        <f>I481+I482-I478</f>
        <v/>
      </c>
      <c r="J483" s="1280">
        <f>J481+J482-J478</f>
        <v/>
      </c>
      <c r="K483" s="1280">
        <f>K481+K482-K478</f>
        <v/>
      </c>
      <c r="L483" s="1446">
        <f>L481+L482-L478</f>
        <v/>
      </c>
      <c r="M483" s="1280">
        <f>M481+M482-M478</f>
        <v/>
      </c>
      <c r="N483" s="1280">
        <f>N481+N482-N478</f>
        <v/>
      </c>
      <c r="O483" s="1280">
        <f>O481+O482-O478</f>
        <v/>
      </c>
      <c r="P483" s="1280">
        <f>P481+P482-P478</f>
        <v/>
      </c>
      <c r="Q483" s="1446">
        <f>Q481+Q482-Q478</f>
        <v/>
      </c>
      <c r="R483" s="1280">
        <f>R481+R482-R478</f>
        <v/>
      </c>
      <c r="S483" s="1280">
        <f>S481+S482-S478</f>
        <v/>
      </c>
      <c r="T483" s="1280">
        <f>T481+T482-T478</f>
        <v/>
      </c>
      <c r="U483" s="1280">
        <f>U481+U482-U478</f>
        <v/>
      </c>
      <c r="V483" s="1446">
        <f>V481+V482-V478</f>
        <v/>
      </c>
      <c r="W483" s="1280">
        <f>W481+W482-W478</f>
        <v/>
      </c>
      <c r="X483" s="1280">
        <f>X481+X482-X478</f>
        <v/>
      </c>
      <c r="Y483" s="1280">
        <f>Y481+Y482-Y478</f>
        <v/>
      </c>
      <c r="Z483" s="1280">
        <f>Z481+Z482-Z478</f>
        <v/>
      </c>
      <c r="AA483" s="1446">
        <f>AA481+AA482-AA478</f>
        <v/>
      </c>
      <c r="AB483" s="1280">
        <f>AB481+AB482-AB478</f>
        <v/>
      </c>
      <c r="AC483" s="1280">
        <f>AC481+AC482-AC478</f>
        <v/>
      </c>
      <c r="AD483" s="1280">
        <f>AD481+AD482-AD478</f>
        <v/>
      </c>
      <c r="AE483" s="1280">
        <f>AE481+AE482-AE478</f>
        <v/>
      </c>
      <c r="AF483" s="1446">
        <f>AF481+AF482-AF478</f>
        <v/>
      </c>
      <c r="AG483" s="1280">
        <f>AG481+AG482-AG478</f>
        <v/>
      </c>
      <c r="AH483" s="1280">
        <f>AH481+AH482-AH478</f>
        <v/>
      </c>
      <c r="AI483" s="1280">
        <f>AI481+AI482-AI478</f>
        <v/>
      </c>
      <c r="AJ483" s="1280">
        <f>AJ481+AJ482-AJ478</f>
        <v/>
      </c>
      <c r="AK483" s="1446">
        <f>AK481+AK482-AK478</f>
        <v/>
      </c>
      <c r="AL483" s="1280">
        <f>AL481+AL482-AL478</f>
        <v/>
      </c>
      <c r="AM483" s="1280">
        <f>AM481+AM482-AM478</f>
        <v/>
      </c>
      <c r="AN483" s="1280">
        <f>AN481+AN482-AN478</f>
        <v/>
      </c>
      <c r="AO483" s="1280">
        <f>AO481+AO482-AO478</f>
        <v/>
      </c>
      <c r="AP483" s="1446">
        <f>AP481+AP482-AP478</f>
        <v/>
      </c>
      <c r="AQ483" s="1280">
        <f>AQ481+AQ482-AQ478</f>
        <v/>
      </c>
      <c r="AR483" s="1280">
        <f>AR481+AR482-AR478</f>
        <v/>
      </c>
      <c r="AS483" s="1280">
        <f>AS481+AS482-AS478</f>
        <v/>
      </c>
      <c r="AT483" s="1280">
        <f>AT481+AT482-AT478</f>
        <v/>
      </c>
      <c r="AU483" s="1446">
        <f>AU481+AU482-AU478</f>
        <v/>
      </c>
      <c r="AV483" s="1280">
        <f>AV481+AV482-AV478</f>
        <v/>
      </c>
      <c r="AW483" s="1280">
        <f>AW481+AW482-AW478</f>
        <v/>
      </c>
      <c r="AX483" s="1280">
        <f>AX481+AX482-AX478</f>
        <v/>
      </c>
      <c r="AY483" s="1280">
        <f>AY481+AY482-AY478</f>
        <v/>
      </c>
      <c r="AZ483" s="1446">
        <f>AZ481+AZ482-AZ478</f>
        <v/>
      </c>
      <c r="BA483" s="1280">
        <f>BA481+BA482-BA478</f>
        <v/>
      </c>
      <c r="BB483" s="1280">
        <f>BB481+BB482-BB478</f>
        <v/>
      </c>
      <c r="BC483" s="1280">
        <f>BC481+BC482-BC478</f>
        <v/>
      </c>
      <c r="BD483" s="1280">
        <f>BD481+BD482-BD478</f>
        <v/>
      </c>
      <c r="BE483" s="1446">
        <f>BE481+BE482-BE478</f>
        <v/>
      </c>
      <c r="BF483" s="1280">
        <f>BF481+BF482-BF478</f>
        <v/>
      </c>
      <c r="BG483" s="1280">
        <f>BG481+BG482-BG478</f>
        <v/>
      </c>
      <c r="BH483" s="1280">
        <f>BH481+BH482-BH478</f>
        <v/>
      </c>
      <c r="BI483" s="1280">
        <f>BI481+BI482-BI478</f>
        <v/>
      </c>
      <c r="BJ483" s="1446">
        <f>BJ481+BJ482-BJ478</f>
        <v/>
      </c>
      <c r="BK483" s="1280">
        <f>BK481+BK482-BK478</f>
        <v/>
      </c>
      <c r="BL483" s="1280">
        <f>BL481+BL482-BL478</f>
        <v/>
      </c>
      <c r="BM483" s="1280">
        <f>BM481+BM482-BM478</f>
        <v/>
      </c>
      <c r="BN483" s="1280">
        <f>BN481+BN482-BN478</f>
        <v/>
      </c>
      <c r="BO483" s="1300">
        <f>BO481+BO482-BO478</f>
        <v/>
      </c>
      <c r="BP483" s="1277">
        <f>BP481+BP482-BP478</f>
        <v/>
      </c>
      <c r="BQ483" s="1277">
        <f>BQ481+BQ482-BQ478</f>
        <v/>
      </c>
      <c r="BR483" s="1277">
        <f>BR481+BR482-BR478</f>
        <v/>
      </c>
      <c r="BS483" s="1277">
        <f>BS481+BS482-BS478</f>
        <v/>
      </c>
      <c r="BT483" s="1297">
        <f>BT481+BT482-BT478</f>
        <v/>
      </c>
      <c r="BU483" s="1277">
        <f>BU481+BU482-BU478</f>
        <v/>
      </c>
      <c r="BV483" s="1277">
        <f>BV481+BV482-BV478</f>
        <v/>
      </c>
      <c r="BW483" s="1277">
        <f>BW481+BW482-BW478</f>
        <v/>
      </c>
      <c r="BX483" s="1277">
        <f>BX481+BX482-BX478</f>
        <v/>
      </c>
      <c r="BY483" s="1297">
        <f>BY481+BY482-BY478</f>
        <v/>
      </c>
      <c r="BZ483" s="1297">
        <f>BZ481+BZ482-BZ478</f>
        <v/>
      </c>
      <c r="CA483" s="1297">
        <f>CA481+CA482-CA478</f>
        <v/>
      </c>
      <c r="CB483" s="1297">
        <f>CB481+CB482-CB478</f>
        <v/>
      </c>
      <c r="CC483" s="1280" t="n"/>
    </row>
    <row r="484" ht="14.4" customFormat="1" customHeight="1" s="1275">
      <c r="A484" s="1277" t="n"/>
      <c r="B484" s="1387" t="n"/>
      <c r="C484" s="1297" t="n"/>
      <c r="D484" s="1297" t="n"/>
      <c r="E484" s="1297" t="n"/>
      <c r="F484" s="1297" t="n"/>
      <c r="G484" s="1297" t="n"/>
      <c r="H484" s="1277" t="n"/>
      <c r="I484" s="1277" t="n"/>
      <c r="J484" s="1277" t="n"/>
      <c r="K484" s="1277" t="n"/>
      <c r="L484" s="1297" t="n"/>
      <c r="M484" s="1277" t="n"/>
      <c r="N484" s="1277" t="n"/>
      <c r="O484" s="1277" t="n"/>
      <c r="P484" s="1277" t="n"/>
      <c r="Q484" s="1297" t="n"/>
      <c r="R484" s="1277" t="n"/>
      <c r="S484" s="1277" t="n"/>
      <c r="T484" s="1277" t="n"/>
      <c r="U484" s="1277" t="n"/>
      <c r="V484" s="1297" t="n"/>
      <c r="W484" s="1277" t="n"/>
      <c r="X484" s="1277" t="n"/>
      <c r="Y484" s="1277" t="n"/>
      <c r="Z484" s="1277" t="n"/>
      <c r="AA484" s="1297" t="n"/>
      <c r="AB484" s="1277" t="n"/>
      <c r="AC484" s="1277" t="n"/>
      <c r="AD484" s="1277" t="n"/>
      <c r="AE484" s="1277" t="n"/>
      <c r="AF484" s="1297" t="n"/>
      <c r="AG484" s="1277" t="n"/>
      <c r="AH484" s="1277" t="n"/>
      <c r="AI484" s="1277" t="n"/>
      <c r="AJ484" s="1277" t="n"/>
      <c r="AK484" s="1297" t="n"/>
      <c r="AL484" s="1277" t="n"/>
      <c r="AM484" s="1277" t="n"/>
      <c r="AN484" s="1277" t="n"/>
      <c r="AO484" s="1277" t="n"/>
      <c r="AP484" s="1297" t="n"/>
      <c r="AQ484" s="1277" t="n"/>
      <c r="AR484" s="1277" t="n"/>
      <c r="AS484" s="1277" t="n"/>
      <c r="AT484" s="1277" t="n"/>
      <c r="AU484" s="1297" t="n"/>
      <c r="AV484" s="1277" t="n"/>
      <c r="AW484" s="1277" t="n"/>
      <c r="AX484" s="1277" t="n"/>
      <c r="AY484" s="1277" t="n"/>
      <c r="AZ484" s="1297" t="n"/>
      <c r="BA484" s="1277" t="n"/>
      <c r="BB484" s="1277" t="n"/>
      <c r="BC484" s="1277" t="n"/>
      <c r="BD484" s="1277" t="n"/>
      <c r="BE484" s="1297" t="n"/>
      <c r="BF484" s="1277" t="n"/>
      <c r="BG484" s="1277" t="n"/>
      <c r="BH484" s="1277" t="n"/>
      <c r="BI484" s="1277" t="n"/>
      <c r="BJ484" s="1297" t="n"/>
      <c r="BK484" s="1277" t="n"/>
      <c r="BL484" s="1277" t="n"/>
      <c r="BM484" s="1277" t="n"/>
      <c r="BN484" s="1277" t="n"/>
      <c r="BO484" s="1382" t="n"/>
      <c r="BP484" s="1277" t="n"/>
      <c r="BQ484" s="1277" t="n"/>
      <c r="BR484" s="1277" t="n"/>
      <c r="BS484" s="1277" t="n"/>
      <c r="BT484" s="1297" t="n"/>
      <c r="BU484" s="1277" t="n"/>
      <c r="BV484" s="1277" t="n"/>
      <c r="BW484" s="1277" t="n"/>
      <c r="BX484" s="1277" t="n"/>
      <c r="BY484" s="1297" t="n"/>
      <c r="BZ484" s="1297" t="n"/>
      <c r="CA484" s="1297" t="n"/>
      <c r="CB484" s="1297" t="n"/>
      <c r="CC484" s="1280" t="n"/>
    </row>
    <row r="485" ht="14.4" customFormat="1" customHeight="1" s="1275">
      <c r="A485" s="1280" t="inlineStr">
        <is>
          <t>Interest Expense</t>
        </is>
      </c>
      <c r="B485" s="1387" t="n"/>
      <c r="C485" s="1516" t="n"/>
      <c r="D485" s="1516" t="n"/>
      <c r="E485" s="1516" t="n"/>
      <c r="F485" s="1516" t="n"/>
      <c r="G485" s="1516" t="n"/>
      <c r="H485" s="1709" t="n"/>
      <c r="I485" s="1709" t="n"/>
      <c r="J485" s="1709" t="n"/>
      <c r="K485" s="1709" t="n"/>
      <c r="L485" s="1516" t="n"/>
      <c r="M485" s="1709" t="n"/>
      <c r="N485" s="1709" t="n"/>
      <c r="O485" s="1709" t="n"/>
      <c r="P485" s="1709" t="n"/>
      <c r="Q485" s="1516" t="n"/>
      <c r="R485" s="1709" t="n"/>
      <c r="S485" s="1709" t="n"/>
      <c r="T485" s="1709" t="n"/>
      <c r="U485" s="1709" t="n"/>
      <c r="V485" s="1516" t="n"/>
      <c r="W485" s="1709" t="n"/>
      <c r="X485" s="1709" t="n"/>
      <c r="Y485" s="1709" t="n"/>
      <c r="Z485" s="1709" t="n"/>
      <c r="AA485" s="1516" t="n"/>
      <c r="AB485" s="1709" t="n"/>
      <c r="AC485" s="1709" t="n"/>
      <c r="AD485" s="1709" t="n"/>
      <c r="AE485" s="1709" t="n"/>
      <c r="AF485" s="1516" t="n"/>
      <c r="AG485" s="1709" t="n"/>
      <c r="AH485" s="1709" t="n"/>
      <c r="AI485" s="1709" t="n"/>
      <c r="AJ485" s="1709" t="n"/>
      <c r="AK485" s="1516" t="n"/>
      <c r="AL485" s="1709" t="n"/>
      <c r="AM485" s="1709" t="n"/>
      <c r="AN485" s="1709" t="n"/>
      <c r="AO485" s="1709" t="n"/>
      <c r="AP485" s="1516" t="n"/>
      <c r="AQ485" s="1709" t="n"/>
      <c r="AR485" s="1709" t="n"/>
      <c r="AS485" s="1709" t="n"/>
      <c r="AT485" s="1709" t="n"/>
      <c r="AU485" s="1516" t="n"/>
      <c r="AV485" s="1709" t="n"/>
      <c r="AW485" s="1709" t="n"/>
      <c r="AX485" s="1709" t="n"/>
      <c r="AY485" s="1709" t="n"/>
      <c r="AZ485" s="1516" t="n"/>
      <c r="BA485" s="1709" t="n"/>
      <c r="BB485" s="1709" t="n"/>
      <c r="BC485" s="1709" t="n"/>
      <c r="BD485" s="1709" t="n"/>
      <c r="BE485" s="1516" t="n"/>
      <c r="BF485" s="1709" t="n"/>
      <c r="BG485" s="1709" t="n"/>
      <c r="BH485" s="1709" t="n"/>
      <c r="BI485" s="1709" t="n"/>
      <c r="BJ485" s="1516" t="n"/>
      <c r="BK485" s="1709" t="n"/>
      <c r="BL485" s="1709" t="n"/>
      <c r="BM485" s="1709" t="n"/>
      <c r="BN485" s="1709" t="n"/>
      <c r="BO485" s="1710" t="n"/>
      <c r="BP485" s="1709">
        <f>MAX(0,BP486*AVERAGE(BO481,BP481)*BP3/BT3)</f>
        <v/>
      </c>
      <c r="BQ485" s="1709">
        <f>MAX(0,BQ486*AVERAGE(BP481,BQ481)*BQ3/BT3)</f>
        <v/>
      </c>
      <c r="BR485" s="1709">
        <f>MAX(0,BR486*AVERAGE(BQ481,BR481)*BR3/BT3)</f>
        <v/>
      </c>
      <c r="BS485" s="1709">
        <f>MAX(0,BS486*AVERAGE(BR481,BS481)*BS3/BT3)</f>
        <v/>
      </c>
      <c r="BT485" s="1516">
        <f>IF(OR(ISBLANK(BP485),ISBLANK(BQ485),ISBLANK(BR485),ISBLANK(BS485)),"n/a",SUM(BP485,BQ485,BR485,BS485))</f>
        <v/>
      </c>
      <c r="BU485" s="1709">
        <f>MAX(0,BU486*AVERAGE(BT481,BU481)*BU3/BY3)</f>
        <v/>
      </c>
      <c r="BV485" s="1709">
        <f>MAX(0,BV486*AVERAGE(BU481,BV481)*BV3/BY3)</f>
        <v/>
      </c>
      <c r="BW485" s="1709">
        <f>MAX(0,BW486*AVERAGE(BV481,BW481)*BW3/BY3)</f>
        <v/>
      </c>
      <c r="BX485" s="1709">
        <f>MAX(0,BX486*AVERAGE(BW481,BX481)*BX3/BY3)</f>
        <v/>
      </c>
      <c r="BY485" s="1516">
        <f>IF(OR(ISBLANK(BU485),ISBLANK(BV485),ISBLANK(BW485),ISBLANK(BX485)),"n/a",SUM(BU485,BV485,BW485,BX485))</f>
        <v/>
      </c>
      <c r="BZ485" s="1516">
        <f>MAX(0,BZ486*AVERAGE(BY481,BZ481))</f>
        <v/>
      </c>
      <c r="CA485" s="1516">
        <f>MAX(0,CA486*AVERAGE(BZ481,CA481))</f>
        <v/>
      </c>
      <c r="CB485" s="1516">
        <f>MAX(0,CB486*AVERAGE(CA481,CB481))</f>
        <v/>
      </c>
      <c r="CC485" s="1280" t="n"/>
    </row>
    <row r="486" ht="14.4" customFormat="1" customHeight="1" s="1275">
      <c r="A486" s="1331" t="inlineStr">
        <is>
          <t>Effective Interest Rate on Debt</t>
        </is>
      </c>
      <c r="B486" s="1394" t="n"/>
      <c r="C486" s="1564" t="n"/>
      <c r="D486" s="1564" t="n"/>
      <c r="E486" s="1564" t="n"/>
      <c r="F486" s="1564" t="n"/>
      <c r="G486" s="1564" t="n"/>
      <c r="H486" s="1563" t="n"/>
      <c r="I486" s="1563" t="n"/>
      <c r="J486" s="1563" t="n"/>
      <c r="K486" s="1563" t="n"/>
      <c r="L486" s="1564" t="n"/>
      <c r="M486" s="1563" t="n"/>
      <c r="N486" s="1563" t="n"/>
      <c r="O486" s="1563" t="n"/>
      <c r="P486" s="1563" t="n"/>
      <c r="Q486" s="1564" t="n"/>
      <c r="R486" s="1563" t="n"/>
      <c r="S486" s="1563" t="n"/>
      <c r="T486" s="1563" t="n"/>
      <c r="U486" s="1563" t="n"/>
      <c r="V486" s="1564" t="n"/>
      <c r="W486" s="1563" t="n"/>
      <c r="X486" s="1563" t="n"/>
      <c r="Y486" s="1563" t="n"/>
      <c r="Z486" s="1563" t="n"/>
      <c r="AA486" s="1564" t="n"/>
      <c r="AB486" s="1563" t="n"/>
      <c r="AC486" s="1563" t="n"/>
      <c r="AD486" s="1563" t="n"/>
      <c r="AE486" s="1563" t="n"/>
      <c r="AF486" s="1564" t="n"/>
      <c r="AG486" s="1563" t="n"/>
      <c r="AH486" s="1563" t="n"/>
      <c r="AI486" s="1563" t="n"/>
      <c r="AJ486" s="1563" t="n"/>
      <c r="AK486" s="1564" t="n"/>
      <c r="AL486" s="1563" t="n"/>
      <c r="AM486" s="1563" t="n"/>
      <c r="AN486" s="1563" t="n"/>
      <c r="AO486" s="1563" t="n"/>
      <c r="AP486" s="1564" t="n"/>
      <c r="AQ486" s="1563" t="n"/>
      <c r="AR486" s="1563" t="n"/>
      <c r="AS486" s="1563" t="n"/>
      <c r="AT486" s="1563" t="n"/>
      <c r="AU486" s="1564" t="n"/>
      <c r="AV486" s="1563" t="n"/>
      <c r="AW486" s="1563" t="n"/>
      <c r="AX486" s="1563" t="n"/>
      <c r="AY486" s="1563" t="n"/>
      <c r="AZ486" s="1564" t="n"/>
      <c r="BA486" s="1563" t="n"/>
      <c r="BB486" s="1563" t="n"/>
      <c r="BC486" s="1563" t="n"/>
      <c r="BD486" s="1563" t="n"/>
      <c r="BE486" s="1564" t="n"/>
      <c r="BF486" s="1563" t="n"/>
      <c r="BG486" s="1563" t="n"/>
      <c r="BH486" s="1563" t="n"/>
      <c r="BI486" s="1563" t="n"/>
      <c r="BJ486" s="1564" t="n"/>
      <c r="BK486" s="1563" t="n"/>
      <c r="BL486" s="1563" t="n"/>
      <c r="BM486" s="1563" t="n"/>
      <c r="BN486" s="1563" t="n"/>
      <c r="BO486" s="1567" t="n"/>
      <c r="BP486" s="1711" t="n">
        <v>0.015</v>
      </c>
      <c r="BQ486" s="1711" t="n">
        <v>0.015</v>
      </c>
      <c r="BR486" s="1711" t="n">
        <v>0.015</v>
      </c>
      <c r="BS486" s="1711" t="n">
        <v>0.015</v>
      </c>
      <c r="BT486" s="1564">
        <f>IFERROR(BT485/AVERAGE(BP481,BQ481,BR481,BS481),"n/a")</f>
        <v/>
      </c>
      <c r="BU486" s="1711" t="n">
        <v>0.015</v>
      </c>
      <c r="BV486" s="1711" t="n">
        <v>0.015</v>
      </c>
      <c r="BW486" s="1711" t="n">
        <v>0.015</v>
      </c>
      <c r="BX486" s="1711" t="n">
        <v>0.015</v>
      </c>
      <c r="BY486" s="1564">
        <f>IFERROR(BY485/AVERAGE(BU481,BV481,BW481,BX481),"n/a")</f>
        <v/>
      </c>
      <c r="BZ486" s="1712" t="n">
        <v>0.015</v>
      </c>
      <c r="CA486" s="1712" t="n">
        <v>0.015</v>
      </c>
      <c r="CB486" s="1712" t="n">
        <v>0.015</v>
      </c>
      <c r="CC486" s="1280" t="n"/>
    </row>
    <row r="487" ht="14.4" customFormat="1" customHeight="1" s="1275">
      <c r="A487" s="1277" t="inlineStr">
        <is>
          <t>Interest Income</t>
        </is>
      </c>
      <c r="B487" s="1387" t="n"/>
      <c r="C487" s="1516" t="n"/>
      <c r="D487" s="1516" t="n"/>
      <c r="E487" s="1516" t="n"/>
      <c r="F487" s="1516" t="n"/>
      <c r="G487" s="1516" t="n"/>
      <c r="H487" s="1709" t="n"/>
      <c r="I487" s="1709" t="n"/>
      <c r="J487" s="1709" t="n"/>
      <c r="K487" s="1709" t="n"/>
      <c r="L487" s="1516" t="n"/>
      <c r="M487" s="1709" t="n"/>
      <c r="N487" s="1709" t="n"/>
      <c r="O487" s="1709" t="n"/>
      <c r="P487" s="1709" t="n"/>
      <c r="Q487" s="1516" t="n"/>
      <c r="R487" s="1709" t="n"/>
      <c r="S487" s="1709" t="n"/>
      <c r="T487" s="1709" t="n"/>
      <c r="U487" s="1709" t="n"/>
      <c r="V487" s="1516" t="n"/>
      <c r="W487" s="1709" t="n"/>
      <c r="X487" s="1709" t="n"/>
      <c r="Y487" s="1709" t="n"/>
      <c r="Z487" s="1709" t="n"/>
      <c r="AA487" s="1516" t="n"/>
      <c r="AB487" s="1709" t="n"/>
      <c r="AC487" s="1709" t="n"/>
      <c r="AD487" s="1709" t="n"/>
      <c r="AE487" s="1709" t="n"/>
      <c r="AF487" s="1516" t="n"/>
      <c r="AG487" s="1709" t="n"/>
      <c r="AH487" s="1709" t="n"/>
      <c r="AI487" s="1709" t="n"/>
      <c r="AJ487" s="1709" t="n"/>
      <c r="AK487" s="1516" t="n"/>
      <c r="AL487" s="1709" t="n"/>
      <c r="AM487" s="1709" t="n"/>
      <c r="AN487" s="1709" t="n"/>
      <c r="AO487" s="1709" t="n"/>
      <c r="AP487" s="1516" t="n"/>
      <c r="AQ487" s="1709" t="n"/>
      <c r="AR487" s="1709" t="n"/>
      <c r="AS487" s="1709" t="n"/>
      <c r="AT487" s="1709" t="n"/>
      <c r="AU487" s="1516" t="n"/>
      <c r="AV487" s="1709" t="n"/>
      <c r="AW487" s="1709" t="n"/>
      <c r="AX487" s="1709" t="n"/>
      <c r="AY487" s="1709" t="n"/>
      <c r="AZ487" s="1516" t="n"/>
      <c r="BA487" s="1709" t="n"/>
      <c r="BB487" s="1709" t="n"/>
      <c r="BC487" s="1709" t="n"/>
      <c r="BD487" s="1709" t="n"/>
      <c r="BE487" s="1516" t="n"/>
      <c r="BF487" s="1709" t="n"/>
      <c r="BG487" s="1709" t="n"/>
      <c r="BH487" s="1709" t="n"/>
      <c r="BI487" s="1709" t="n"/>
      <c r="BJ487" s="1516" t="n"/>
      <c r="BK487" s="1709" t="n"/>
      <c r="BL487" s="1709" t="n"/>
      <c r="BM487" s="1709" t="n"/>
      <c r="BN487" s="1709" t="n"/>
      <c r="BO487" s="1710" t="n"/>
      <c r="BP487" s="1709">
        <f>MAX(0,BP488*BO478*BP3/BT3)</f>
        <v/>
      </c>
      <c r="BQ487" s="1709">
        <f>MAX(0,BQ488*BP478*BQ3/BT3)</f>
        <v/>
      </c>
      <c r="BR487" s="1709">
        <f>MAX(0,BR488*BQ478*BR3/BT3)</f>
        <v/>
      </c>
      <c r="BS487" s="1709">
        <f>MAX(0,BS488*BR478*BS3/BT3)</f>
        <v/>
      </c>
      <c r="BT487" s="1516">
        <f>IF(OR(ISBLANK(BP487),ISBLANK(BQ487),ISBLANK(BR487),ISBLANK(BS487)),"n/a",SUM(BP487,BQ487,BR487,BS487))</f>
        <v/>
      </c>
      <c r="BU487" s="1709">
        <f>MAX(0,BU488*BT478*BU3/BY3)</f>
        <v/>
      </c>
      <c r="BV487" s="1709">
        <f>MAX(0,BV488*BU478*BV3/BY3)</f>
        <v/>
      </c>
      <c r="BW487" s="1709">
        <f>MAX(0,BW488*BV478*BW3/BY3)</f>
        <v/>
      </c>
      <c r="BX487" s="1709">
        <f>MAX(0,BX488*BW478*BX3/BY3)</f>
        <v/>
      </c>
      <c r="BY487" s="1516">
        <f>IF(OR(ISBLANK(BU487),ISBLANK(BV487),ISBLANK(BW487),ISBLANK(BX487)),"n/a",SUM(BU487,BV487,BW487,BX487))</f>
        <v/>
      </c>
      <c r="BZ487" s="1516">
        <f>MAX(0,BZ488*BY478)</f>
        <v/>
      </c>
      <c r="CA487" s="1516">
        <f>MAX(0,CA488*BZ478)</f>
        <v/>
      </c>
      <c r="CB487" s="1516">
        <f>MAX(0,CB488*CA478)</f>
        <v/>
      </c>
      <c r="CC487" s="1280" t="n"/>
    </row>
    <row r="488" ht="14.4" customFormat="1" customHeight="1" s="1275">
      <c r="A488" s="1346" t="inlineStr">
        <is>
          <t>Effective Interest Rate on Cash</t>
        </is>
      </c>
      <c r="B488" s="1394" t="n"/>
      <c r="C488" s="1564" t="n"/>
      <c r="D488" s="1564" t="n"/>
      <c r="E488" s="1564" t="n"/>
      <c r="F488" s="1564" t="n"/>
      <c r="G488" s="1564" t="n"/>
      <c r="H488" s="1563" t="n"/>
      <c r="I488" s="1563" t="n"/>
      <c r="J488" s="1563" t="n"/>
      <c r="K488" s="1563" t="n"/>
      <c r="L488" s="1564" t="n"/>
      <c r="M488" s="1563" t="n"/>
      <c r="N488" s="1563" t="n"/>
      <c r="O488" s="1563" t="n"/>
      <c r="P488" s="1563" t="n"/>
      <c r="Q488" s="1564" t="n"/>
      <c r="R488" s="1563" t="n"/>
      <c r="S488" s="1563" t="n"/>
      <c r="T488" s="1563" t="n"/>
      <c r="U488" s="1563" t="n"/>
      <c r="V488" s="1564" t="n"/>
      <c r="W488" s="1563" t="n"/>
      <c r="X488" s="1563" t="n"/>
      <c r="Y488" s="1563" t="n"/>
      <c r="Z488" s="1563" t="n"/>
      <c r="AA488" s="1564" t="n"/>
      <c r="AB488" s="1563" t="n"/>
      <c r="AC488" s="1563" t="n"/>
      <c r="AD488" s="1563" t="n"/>
      <c r="AE488" s="1563" t="n"/>
      <c r="AF488" s="1564" t="n"/>
      <c r="AG488" s="1563" t="n"/>
      <c r="AH488" s="1563" t="n"/>
      <c r="AI488" s="1563" t="n"/>
      <c r="AJ488" s="1563" t="n"/>
      <c r="AK488" s="1564" t="n"/>
      <c r="AL488" s="1563" t="n"/>
      <c r="AM488" s="1563" t="n"/>
      <c r="AN488" s="1563" t="n"/>
      <c r="AO488" s="1563" t="n"/>
      <c r="AP488" s="1564" t="n"/>
      <c r="AQ488" s="1563" t="n"/>
      <c r="AR488" s="1563" t="n"/>
      <c r="AS488" s="1563" t="n"/>
      <c r="AT488" s="1563" t="n"/>
      <c r="AU488" s="1564" t="n"/>
      <c r="AV488" s="1563" t="n"/>
      <c r="AW488" s="1563" t="n"/>
      <c r="AX488" s="1563" t="n"/>
      <c r="AY488" s="1563" t="n"/>
      <c r="AZ488" s="1564" t="n"/>
      <c r="BA488" s="1563" t="n"/>
      <c r="BB488" s="1563" t="n"/>
      <c r="BC488" s="1563" t="n"/>
      <c r="BD488" s="1563" t="n"/>
      <c r="BE488" s="1564" t="n"/>
      <c r="BF488" s="1563" t="n"/>
      <c r="BG488" s="1563" t="n"/>
      <c r="BH488" s="1563" t="n"/>
      <c r="BI488" s="1563" t="n"/>
      <c r="BJ488" s="1564" t="n"/>
      <c r="BK488" s="1563" t="n"/>
      <c r="BL488" s="1563" t="n"/>
      <c r="BM488" s="1563" t="n"/>
      <c r="BN488" s="1563" t="n"/>
      <c r="BO488" s="1567" t="n"/>
      <c r="BP488" s="1711" t="n">
        <v>0.005</v>
      </c>
      <c r="BQ488" s="1711" t="n">
        <v>0.005</v>
      </c>
      <c r="BR488" s="1711" t="n">
        <v>0.005</v>
      </c>
      <c r="BS488" s="1711" t="n">
        <v>0.005</v>
      </c>
      <c r="BT488" s="1564">
        <f>IFERROR(BT487/AVERAGE(BP478,BQ478,BR478,BS478),"n/a")</f>
        <v/>
      </c>
      <c r="BU488" s="1711" t="n">
        <v>0.005</v>
      </c>
      <c r="BV488" s="1711" t="n">
        <v>0.005</v>
      </c>
      <c r="BW488" s="1711" t="n">
        <v>0.005</v>
      </c>
      <c r="BX488" s="1711" t="n">
        <v>0.005</v>
      </c>
      <c r="BY488" s="1564">
        <f>IFERROR(BY487/AVERAGE(BU478,BV478,BW478,BX478),"n/a")</f>
        <v/>
      </c>
      <c r="BZ488" s="1712" t="n">
        <v>0.005203780079068392</v>
      </c>
      <c r="CA488" s="1712" t="n">
        <v>0.005203780079068392</v>
      </c>
      <c r="CB488" s="1712" t="n">
        <v>0.005203780079068392</v>
      </c>
      <c r="CC488" s="1280" t="n"/>
    </row>
    <row r="489" ht="14.4" customFormat="1" customHeight="1" s="1275">
      <c r="A489" s="1277" t="inlineStr">
        <is>
          <t>Net Interest Expense (Income)</t>
        </is>
      </c>
      <c r="B489" s="1387" t="n"/>
      <c r="C489" s="1516">
        <f>C390</f>
        <v/>
      </c>
      <c r="D489" s="1516">
        <f>D390</f>
        <v/>
      </c>
      <c r="E489" s="1516">
        <f>E390</f>
        <v/>
      </c>
      <c r="F489" s="1516">
        <f>F390</f>
        <v/>
      </c>
      <c r="G489" s="1516">
        <f>G390</f>
        <v/>
      </c>
      <c r="H489" s="1709">
        <f>H390</f>
        <v/>
      </c>
      <c r="I489" s="1709">
        <f>I390</f>
        <v/>
      </c>
      <c r="J489" s="1709">
        <f>J390</f>
        <v/>
      </c>
      <c r="K489" s="1709">
        <f>K390</f>
        <v/>
      </c>
      <c r="L489" s="1516">
        <f>L390</f>
        <v/>
      </c>
      <c r="M489" s="1709">
        <f>M390</f>
        <v/>
      </c>
      <c r="N489" s="1709">
        <f>N390</f>
        <v/>
      </c>
      <c r="O489" s="1709">
        <f>O390</f>
        <v/>
      </c>
      <c r="P489" s="1709">
        <f>P390</f>
        <v/>
      </c>
      <c r="Q489" s="1516">
        <f>Q390</f>
        <v/>
      </c>
      <c r="R489" s="1709">
        <f>R390</f>
        <v/>
      </c>
      <c r="S489" s="1709">
        <f>S390</f>
        <v/>
      </c>
      <c r="T489" s="1709">
        <f>T390</f>
        <v/>
      </c>
      <c r="U489" s="1709">
        <f>U390</f>
        <v/>
      </c>
      <c r="V489" s="1516">
        <f>V390</f>
        <v/>
      </c>
      <c r="W489" s="1709">
        <f>W390</f>
        <v/>
      </c>
      <c r="X489" s="1709">
        <f>X390</f>
        <v/>
      </c>
      <c r="Y489" s="1709">
        <f>Y390</f>
        <v/>
      </c>
      <c r="Z489" s="1709">
        <f>Z390</f>
        <v/>
      </c>
      <c r="AA489" s="1516">
        <f>AA390</f>
        <v/>
      </c>
      <c r="AB489" s="1709">
        <f>AB390</f>
        <v/>
      </c>
      <c r="AC489" s="1709">
        <f>AC390</f>
        <v/>
      </c>
      <c r="AD489" s="1709">
        <f>AD390</f>
        <v/>
      </c>
      <c r="AE489" s="1709">
        <f>AE390</f>
        <v/>
      </c>
      <c r="AF489" s="1516">
        <f>AF390</f>
        <v/>
      </c>
      <c r="AG489" s="1709">
        <f>AG390</f>
        <v/>
      </c>
      <c r="AH489" s="1709">
        <f>AH390</f>
        <v/>
      </c>
      <c r="AI489" s="1709">
        <f>AI390</f>
        <v/>
      </c>
      <c r="AJ489" s="1709">
        <f>AJ390</f>
        <v/>
      </c>
      <c r="AK489" s="1516">
        <f>AK390</f>
        <v/>
      </c>
      <c r="AL489" s="1709">
        <f>AL390</f>
        <v/>
      </c>
      <c r="AM489" s="1709">
        <f>AM390</f>
        <v/>
      </c>
      <c r="AN489" s="1709">
        <f>AN390</f>
        <v/>
      </c>
      <c r="AO489" s="1709">
        <f>AO390</f>
        <v/>
      </c>
      <c r="AP489" s="1516">
        <f>AP390</f>
        <v/>
      </c>
      <c r="AQ489" s="1709">
        <f>AQ390</f>
        <v/>
      </c>
      <c r="AR489" s="1709">
        <f>AR390</f>
        <v/>
      </c>
      <c r="AS489" s="1709">
        <f>AS390</f>
        <v/>
      </c>
      <c r="AT489" s="1709">
        <f>AT390</f>
        <v/>
      </c>
      <c r="AU489" s="1516">
        <f>AU390</f>
        <v/>
      </c>
      <c r="AV489" s="1709">
        <f>AV390</f>
        <v/>
      </c>
      <c r="AW489" s="1709">
        <f>AW390</f>
        <v/>
      </c>
      <c r="AX489" s="1709">
        <f>AX390</f>
        <v/>
      </c>
      <c r="AY489" s="1709">
        <f>AY390</f>
        <v/>
      </c>
      <c r="AZ489" s="1516">
        <f>AZ390</f>
        <v/>
      </c>
      <c r="BA489" s="1709">
        <f>BA390</f>
        <v/>
      </c>
      <c r="BB489" s="1709">
        <f>BB390</f>
        <v/>
      </c>
      <c r="BC489" s="1709">
        <f>BC390</f>
        <v/>
      </c>
      <c r="BD489" s="1709">
        <f>BD390</f>
        <v/>
      </c>
      <c r="BE489" s="1516">
        <f>BE390</f>
        <v/>
      </c>
      <c r="BF489" s="1709">
        <f>BF390</f>
        <v/>
      </c>
      <c r="BG489" s="1709">
        <f>BG390</f>
        <v/>
      </c>
      <c r="BH489" s="1709">
        <f>BH390</f>
        <v/>
      </c>
      <c r="BI489" s="1709">
        <f>BI390</f>
        <v/>
      </c>
      <c r="BJ489" s="1516">
        <f>BJ390</f>
        <v/>
      </c>
      <c r="BK489" s="1709">
        <f>BK390</f>
        <v/>
      </c>
      <c r="BL489" s="1709">
        <f>BL390</f>
        <v/>
      </c>
      <c r="BM489" s="1709">
        <f>BM390</f>
        <v/>
      </c>
      <c r="BN489" s="1709">
        <f>BN390</f>
        <v/>
      </c>
      <c r="BO489" s="1710">
        <f>BO390</f>
        <v/>
      </c>
      <c r="BP489" s="1709">
        <f>IFERROR(BP485-BP487,"n/a")</f>
        <v/>
      </c>
      <c r="BQ489" s="1709">
        <f>IFERROR(BQ485-BQ487,"n/a")</f>
        <v/>
      </c>
      <c r="BR489" s="1709">
        <f>IFERROR(BR485-BR487,"n/a")</f>
        <v/>
      </c>
      <c r="BS489" s="1709">
        <f>IFERROR(BS485-BS487,"n/a")</f>
        <v/>
      </c>
      <c r="BT489" s="1516">
        <f>SUM(BP489,BQ489,BR489,BS489)</f>
        <v/>
      </c>
      <c r="BU489" s="1709">
        <f>IFERROR(BU485-BU487,"n/a")</f>
        <v/>
      </c>
      <c r="BV489" s="1709">
        <f>IFERROR(BV485-BV487,"n/a")</f>
        <v/>
      </c>
      <c r="BW489" s="1709">
        <f>IFERROR(BW485-BW487,"n/a")</f>
        <v/>
      </c>
      <c r="BX489" s="1709">
        <f>IFERROR(BX485-BX487,"n/a")</f>
        <v/>
      </c>
      <c r="BY489" s="1516">
        <f>SUM(BU489,BV489,BW489,BX489)</f>
        <v/>
      </c>
      <c r="BZ489" s="1516">
        <f>IFERROR(BZ485-BZ487,"n/a")</f>
        <v/>
      </c>
      <c r="CA489" s="1516">
        <f>IFERROR(CA485-CA487,"n/a")</f>
        <v/>
      </c>
      <c r="CB489" s="1516">
        <f>IFERROR(CB485-CB487,"n/a")</f>
        <v/>
      </c>
      <c r="CC489" s="1280" t="n"/>
    </row>
    <row r="490" ht="14.4" customFormat="1" customHeight="1" s="1275">
      <c r="A490" s="1346" t="inlineStr">
        <is>
          <t>Effective Net Interest Rate on Debt</t>
        </is>
      </c>
      <c r="B490" s="1394" t="n"/>
      <c r="C490" s="1564" t="n"/>
      <c r="D490" s="1564">
        <f>IFERROR(IF(D489/AVERAGE(C481,D481)&lt;0,"n/a",D489/AVERAGE(C481,D481)),"n/a")</f>
        <v/>
      </c>
      <c r="E490" s="1564">
        <f>IFERROR(IF(E489/AVERAGE(D481,E481)&lt;0,"n/a",E489/AVERAGE(D481,E481)),"n/a")</f>
        <v/>
      </c>
      <c r="F490" s="1564">
        <f>IFERROR(IF(F489/AVERAGE(E481,F481)&lt;0,"n/a",F489/AVERAGE(E481,F481)),"n/a")</f>
        <v/>
      </c>
      <c r="G490" s="1564">
        <f>IFERROR(IF(G489/AVERAGE(F481,G481)&lt;0,"n/a",G489/AVERAGE(F481,G481)),"n/a")</f>
        <v/>
      </c>
      <c r="H490" s="1563">
        <f>IFERROR(IF(H489/AVERAGE(G481,H481)&lt;0,"n/a",H489/AVERAGE(G481,H481)*L3/H3),"n/a")</f>
        <v/>
      </c>
      <c r="I490" s="1563">
        <f>IFERROR(IF(I489/AVERAGE(H481,I481)&lt;0,"n/a",I489/AVERAGE(H481,I481)*L3/I3),"n/a")</f>
        <v/>
      </c>
      <c r="J490" s="1563">
        <f>IFERROR(IF(J489/AVERAGE(I481,J481)&lt;0,"n/a",J489/AVERAGE(I481,J481)*L3/J3),"n/a")</f>
        <v/>
      </c>
      <c r="K490" s="1563">
        <f>IFERROR(IF(K489/AVERAGE(J481,K481)&lt;0,"n/a",K489/AVERAGE(J481,K481)*L3/K3),"n/a")</f>
        <v/>
      </c>
      <c r="L490" s="1564">
        <f>IFERROR(IF(L489/AVERAGE(H481,I481,J481,K481)&lt;0,"n/a",L489/AVERAGE(H481,I481,J481,K481)),"n/a")</f>
        <v/>
      </c>
      <c r="M490" s="1563">
        <f>IFERROR(IF(M489/AVERAGE(L481,M481)&lt;0,"n/a",M489/AVERAGE(L481,M481)*Q3/M3),"n/a")</f>
        <v/>
      </c>
      <c r="N490" s="1563">
        <f>IFERROR(IF(N489/AVERAGE(M481,N481)&lt;0,"n/a",N489/AVERAGE(M481,N481)*Q3/N3),"n/a")</f>
        <v/>
      </c>
      <c r="O490" s="1563">
        <f>IFERROR(IF(O489/AVERAGE(N481,O481)&lt;0,"n/a",O489/AVERAGE(N481,O481)*Q3/O3),"n/a")</f>
        <v/>
      </c>
      <c r="P490" s="1563">
        <f>IFERROR(IF(P489/AVERAGE(O481,P481)&lt;0,"n/a",P489/AVERAGE(O481,P481)*Q3/P3),"n/a")</f>
        <v/>
      </c>
      <c r="Q490" s="1564">
        <f>IFERROR(IF(Q489/AVERAGE(M481,N481,O481,P481)&lt;0,"n/a",Q489/AVERAGE(M481,N481,O481,P481)),"n/a")</f>
        <v/>
      </c>
      <c r="R490" s="1563">
        <f>IFERROR(IF(R489/AVERAGE(Q481,R481)&lt;0,"n/a",R489/AVERAGE(Q481,R481)*V3/R3),"n/a")</f>
        <v/>
      </c>
      <c r="S490" s="1563">
        <f>IFERROR(IF(S489/AVERAGE(R481,S481)&lt;0,"n/a",S489/AVERAGE(R481,S481)*V3/S3),"n/a")</f>
        <v/>
      </c>
      <c r="T490" s="1563">
        <f>IFERROR(IF(T489/AVERAGE(S481,T481)&lt;0,"n/a",T489/AVERAGE(S481,T481)*V3/T3),"n/a")</f>
        <v/>
      </c>
      <c r="U490" s="1563">
        <f>IFERROR(IF(U489/AVERAGE(T481,U481)&lt;0,"n/a",U489/AVERAGE(T481,U481)*V3/U3),"n/a")</f>
        <v/>
      </c>
      <c r="V490" s="1564">
        <f>IFERROR(IF(V489/AVERAGE(R481,S481,T481,U481)&lt;0,"n/a",V489/AVERAGE(R481,S481,T481,U481)),"n/a")</f>
        <v/>
      </c>
      <c r="W490" s="1563">
        <f>IFERROR(IF(W489/AVERAGE(V481,W481)&lt;0,"n/a",W489/AVERAGE(V481,W481)*AA3/W3),"n/a")</f>
        <v/>
      </c>
      <c r="X490" s="1563">
        <f>IFERROR(IF(X489/AVERAGE(W481,X481)&lt;0,"n/a",X489/AVERAGE(W481,X481)*AA3/X3),"n/a")</f>
        <v/>
      </c>
      <c r="Y490" s="1563">
        <f>IFERROR(IF(Y489/AVERAGE(X481,Y481)&lt;0,"n/a",Y489/AVERAGE(X481,Y481)*AA3/Y3),"n/a")</f>
        <v/>
      </c>
      <c r="Z490" s="1563">
        <f>IFERROR(IF(Z489/AVERAGE(Y481,Z481)&lt;0,"n/a",Z489/AVERAGE(Y481,Z481)*AA3/Z3),"n/a")</f>
        <v/>
      </c>
      <c r="AA490" s="1564">
        <f>IFERROR(IF(AA489/AVERAGE(W481,X481,Y481,Z481)&lt;0,"n/a",AA489/AVERAGE(W481,X481,Y481,Z481)),"n/a")</f>
        <v/>
      </c>
      <c r="AB490" s="1563">
        <f>IFERROR(IF(AB489/AVERAGE(AA481,AB481)&lt;0,"n/a",AB489/AVERAGE(AA481,AB481)*AF3/AB3),"n/a")</f>
        <v/>
      </c>
      <c r="AC490" s="1563">
        <f>IFERROR(IF(AC489/AVERAGE(AB481,AC481)&lt;0,"n/a",AC489/AVERAGE(AB481,AC481)*AF3/AC3),"n/a")</f>
        <v/>
      </c>
      <c r="AD490" s="1563">
        <f>IFERROR(IF(AD489/AVERAGE(AC481,AD481)&lt;0,"n/a",AD489/AVERAGE(AC481,AD481)*AF3/AD3),"n/a")</f>
        <v/>
      </c>
      <c r="AE490" s="1563">
        <f>IFERROR(IF(AE489/AVERAGE(AD481,AE481)&lt;0,"n/a",AE489/AVERAGE(AD481,AE481)*AF3/AE3),"n/a")</f>
        <v/>
      </c>
      <c r="AF490" s="1564">
        <f>IFERROR(IF(AF489/AVERAGE(AB481,AC481,AD481,AE481)&lt;0,"n/a",AF489/AVERAGE(AB481,AC481,AD481,AE481)),"n/a")</f>
        <v/>
      </c>
      <c r="AG490" s="1563">
        <f>IFERROR(IF(AG489/AVERAGE(AF481,AG481)&lt;0,"n/a",AG489/AVERAGE(AF481,AG481)*AK3/AG3),"n/a")</f>
        <v/>
      </c>
      <c r="AH490" s="1563">
        <f>IFERROR(IF(AH489/AVERAGE(AG481,AH481)&lt;0,"n/a",AH489/AVERAGE(AG481,AH481)*AK3/AH3),"n/a")</f>
        <v/>
      </c>
      <c r="AI490" s="1563">
        <f>IFERROR(IF(AI489/AVERAGE(AH481,AI481)&lt;0,"n/a",AI489/AVERAGE(AH481,AI481)*AK3/AI3),"n/a")</f>
        <v/>
      </c>
      <c r="AJ490" s="1563">
        <f>IFERROR(IF(AJ489/AVERAGE(AI481,AJ481)&lt;0,"n/a",AJ489/AVERAGE(AI481,AJ481)*AK3/AJ3),"n/a")</f>
        <v/>
      </c>
      <c r="AK490" s="1564">
        <f>IFERROR(IF(AK489/AVERAGE(AG481,AH481,AI481,AJ481)&lt;0,"n/a",AK489/AVERAGE(AG481,AH481,AI481,AJ481)),"n/a")</f>
        <v/>
      </c>
      <c r="AL490" s="1563">
        <f>IFERROR(IF(AL489/AVERAGE(AK481,AL481)&lt;0,"n/a",AL489/AVERAGE(AK481,AL481)*AP3/AL3),"n/a")</f>
        <v/>
      </c>
      <c r="AM490" s="1563">
        <f>IFERROR(IF(AM489/AVERAGE(AL481,AM481)&lt;0,"n/a",AM489/AVERAGE(AL481,AM481)*AP3/AM3),"n/a")</f>
        <v/>
      </c>
      <c r="AN490" s="1563">
        <f>IFERROR(IF(AN489/AVERAGE(AM481,AN481)&lt;0,"n/a",AN489/AVERAGE(AM481,AN481)*AP3/AN3),"n/a")</f>
        <v/>
      </c>
      <c r="AO490" s="1563">
        <f>IFERROR(IF(AO489/AVERAGE(AN481,AO481)&lt;0,"n/a",AO489/AVERAGE(AN481,AO481)*AP3/AO3),"n/a")</f>
        <v/>
      </c>
      <c r="AP490" s="1564">
        <f>IFERROR(IF(AP489/AVERAGE(AL481,AM481,AN481,AO481)&lt;0,"n/a",AP489/AVERAGE(AL481,AM481,AN481,AO481)),"n/a")</f>
        <v/>
      </c>
      <c r="AQ490" s="1563">
        <f>IFERROR(IF(AQ489/AVERAGE(AP481,AQ481)&lt;0,"n/a",AQ489/AVERAGE(AP481,AQ481)*AU3/AQ3),"n/a")</f>
        <v/>
      </c>
      <c r="AR490" s="1563">
        <f>IFERROR(IF(AR489/AVERAGE(AQ481,AR481)&lt;0,"n/a",AR489/AVERAGE(AQ481,AR481)*AU3/AR3),"n/a")</f>
        <v/>
      </c>
      <c r="AS490" s="1563">
        <f>IFERROR(IF(AS489/AVERAGE(AR481,AS481)&lt;0,"n/a",AS489/AVERAGE(AR481,AS481)*AU3/AS3),"n/a")</f>
        <v/>
      </c>
      <c r="AT490" s="1563">
        <f>IFERROR(IF(AT489/AVERAGE(AS481,AT481)&lt;0,"n/a",AT489/AVERAGE(AS481,AT481)*AU3/AT3),"n/a")</f>
        <v/>
      </c>
      <c r="AU490" s="1564">
        <f>IFERROR(IF(AU489/AVERAGE(AQ481,AR481,AS481,AT481)&lt;0,"n/a",AU489/AVERAGE(AQ481,AR481,AS481,AT481)),"n/a")</f>
        <v/>
      </c>
      <c r="AV490" s="1563">
        <f>IFERROR(IF(AV489/AVERAGE(AU481,AV481)&lt;0,"n/a",AV489/AVERAGE(AU481,AV481)*AZ3/AV3),"n/a")</f>
        <v/>
      </c>
      <c r="AW490" s="1563">
        <f>IFERROR(IF(AW489/AVERAGE(AV481,AW481)&lt;0,"n/a",AW489/AVERAGE(AV481,AW481)*AZ3/AW3),"n/a")</f>
        <v/>
      </c>
      <c r="AX490" s="1563">
        <f>IFERROR(IF(AX489/AVERAGE(AW481,AX481)&lt;0,"n/a",AX489/AVERAGE(AW481,AX481)*AZ3/AX3),"n/a")</f>
        <v/>
      </c>
      <c r="AY490" s="1563">
        <f>IFERROR(IF(AY489/AVERAGE(AX481,AY481)&lt;0,"n/a",AY489/AVERAGE(AX481,AY481)*AZ3/AY3),"n/a")</f>
        <v/>
      </c>
      <c r="AZ490" s="1564">
        <f>IFERROR(IF(AZ489/AVERAGE(AV481,AW481,AX481,AY481)&lt;0,"n/a",AZ489/AVERAGE(AV481,AW481,AX481,AY481)),"n/a")</f>
        <v/>
      </c>
      <c r="BA490" s="1563">
        <f>IFERROR(IF(BA489/AVERAGE(AZ481,BA481)&lt;0,"n/a",BA489/AVERAGE(AZ481,BA481)*BE3/BA3),"n/a")</f>
        <v/>
      </c>
      <c r="BB490" s="1563">
        <f>IFERROR(IF(BB489/AVERAGE(BA481,BB481)&lt;0,"n/a",BB489/AVERAGE(BA481,BB481)*BE3/BB3),"n/a")</f>
        <v/>
      </c>
      <c r="BC490" s="1563">
        <f>IFERROR(IF(BC489/AVERAGE(BB481,BC481)&lt;0,"n/a",BC489/AVERAGE(BB481,BC481)*BE3/BC3),"n/a")</f>
        <v/>
      </c>
      <c r="BD490" s="1563">
        <f>IFERROR(IF(BD489/AVERAGE(BC481,BD481)&lt;0,"n/a",BD489/AVERAGE(BC481,BD481)*BE3/BD3),"n/a")</f>
        <v/>
      </c>
      <c r="BE490" s="1564">
        <f>IFERROR(IF(BE489/AVERAGE(BA481,BB481,BC481,BD481)&lt;0,"n/a",BE489/AVERAGE(BA481,BB481,BC481,BD481)),"n/a")</f>
        <v/>
      </c>
      <c r="BF490" s="1563">
        <f>IFERROR(IF(BF489/AVERAGE(BE481,BF481)&lt;0,"n/a",BF489/AVERAGE(BE481,BF481)*BJ3/BF3),"n/a")</f>
        <v/>
      </c>
      <c r="BG490" s="1563">
        <f>IFERROR(IF(BG489/AVERAGE(BF481,BG481)&lt;0,"n/a",BG489/AVERAGE(BF481,BG481)*BJ3/BG3),"n/a")</f>
        <v/>
      </c>
      <c r="BH490" s="1563">
        <f>IFERROR(IF(BH489/AVERAGE(BG481,BH481)&lt;0,"n/a",BH489/AVERAGE(BG481,BH481)*BJ3/BH3),"n/a")</f>
        <v/>
      </c>
      <c r="BI490" s="1563">
        <f>IFERROR(IF(BI489/AVERAGE(BH481,BI481)&lt;0,"n/a",BI489/AVERAGE(BH481,BI481)*BJ3/BI3),"n/a")</f>
        <v/>
      </c>
      <c r="BJ490" s="1564">
        <f>IFERROR(IF(BJ489/AVERAGE(BF481,BG481,BH481,BI481)&lt;0,"n/a",BJ489/AVERAGE(BF481,BG481,BH481,BI481)),"n/a")</f>
        <v/>
      </c>
      <c r="BK490" s="1563">
        <f>IFERROR(IF(BK489/AVERAGE(BJ481,BK481)&lt;0,"n/a",BK489/AVERAGE(BJ481,BK481)*BO3/BK3),"n/a")</f>
        <v/>
      </c>
      <c r="BL490" s="1563">
        <f>IFERROR(IF(BL489/AVERAGE(BK481,BL481)&lt;0,"n/a",BL489/AVERAGE(BK481,BL481)*BO3/BL3),"n/a")</f>
        <v/>
      </c>
      <c r="BM490" s="1563">
        <f>IFERROR(IF(BM489/AVERAGE(BL481,BM481)&lt;0,"n/a",BM489/AVERAGE(BL481,BM481)*BO3/BM3),"n/a")</f>
        <v/>
      </c>
      <c r="BN490" s="1563">
        <f>IFERROR(IF(BN489/AVERAGE(BM481,BN481)&lt;0,"n/a",BN489/AVERAGE(BM481,BN481)*BO3/BN3),"n/a")</f>
        <v/>
      </c>
      <c r="BO490" s="1567">
        <f>IFERROR(IF(BO489/AVERAGE(BK481,BL481,BM481,BN481)&lt;0,"n/a",BO489/AVERAGE(BK481,BL481,BM481,BN481)),"n/a")</f>
        <v/>
      </c>
      <c r="BP490" s="1563">
        <f>IFERROR(IF(BP489/AVERAGE(BO481,BP481)&lt;0,"n/a",BP489/AVERAGE(BO481,BP481)*BT3/BP3),"n/a")</f>
        <v/>
      </c>
      <c r="BQ490" s="1563">
        <f>IFERROR(IF(BQ489/AVERAGE(BP481,BQ481)&lt;0,"n/a",BQ489/AVERAGE(BP481,BQ481)*BT3/BQ3),"n/a")</f>
        <v/>
      </c>
      <c r="BR490" s="1563">
        <f>IFERROR(IF(BR489/AVERAGE(BQ481,BR481)&lt;0,"n/a",BR489/AVERAGE(BQ481,BR481)*BT3/BR3),"n/a")</f>
        <v/>
      </c>
      <c r="BS490" s="1563">
        <f>IFERROR(IF(BS489/AVERAGE(BR481,BS481)&lt;0,"n/a",BS489/AVERAGE(BR481,BS481)*BT3/BS3),"n/a")</f>
        <v/>
      </c>
      <c r="BT490" s="1564">
        <f>IFERROR(IF(BT489/AVERAGE(BP481,BQ481,BR481,BS481)&lt;0,"n/a",BT489/AVERAGE(BP481,BQ481,BR481,BS481)),"n/a")</f>
        <v/>
      </c>
      <c r="BU490" s="1563">
        <f>IFERROR(IF(BU489/AVERAGE(BT481,BU481)&lt;0,"n/a",BU489/AVERAGE(BT481,BU481)*BY3/BU3),"n/a")</f>
        <v/>
      </c>
      <c r="BV490" s="1563">
        <f>IFERROR(IF(BV489/AVERAGE(BU481,BV481)&lt;0,"n/a",BV489/AVERAGE(BU481,BV481)*BY3/BV3),"n/a")</f>
        <v/>
      </c>
      <c r="BW490" s="1563">
        <f>IFERROR(IF(BW489/AVERAGE(BV481,BW481)&lt;0,"n/a",BW489/AVERAGE(BV481,BW481)*BY3/BW3),"n/a")</f>
        <v/>
      </c>
      <c r="BX490" s="1563">
        <f>IFERROR(IF(BX489/AVERAGE(BW481,BX481)&lt;0,"n/a",BX489/AVERAGE(BW481,BX481)*BY3/BX3),"n/a")</f>
        <v/>
      </c>
      <c r="BY490" s="1564">
        <f>IFERROR(IF(BY489/AVERAGE(BU481,BV481,BW481,BX481)&lt;0,"n/a",BY489/AVERAGE(BU481,BV481,BW481,BX481)),"n/a")</f>
        <v/>
      </c>
      <c r="BZ490" s="1564">
        <f>IFERROR(IF(BZ489/AVERAGE(BY481,BZ481)&lt;0,"n/a",BZ489/AVERAGE(BY481,BZ481)),"n/a")</f>
        <v/>
      </c>
      <c r="CA490" s="1564">
        <f>IFERROR(IF(CA489/AVERAGE(BZ481,CA481)&lt;0,"n/a",CA489/AVERAGE(BZ481,CA481)),"n/a")</f>
        <v/>
      </c>
      <c r="CB490" s="1564">
        <f>IFERROR(IF(CB489/AVERAGE(CA481,CB481)&lt;0,"n/a",CB489/AVERAGE(CA481,CB481)),"n/a")</f>
        <v/>
      </c>
      <c r="CC490" s="1280" t="n"/>
    </row>
    <row r="491" ht="14.4" customFormat="1" customHeight="1" s="1275">
      <c r="A491" s="1346" t="n"/>
      <c r="B491" s="1394" t="n"/>
      <c r="C491" s="1564" t="n"/>
      <c r="D491" s="1564" t="n"/>
      <c r="E491" s="1564" t="n"/>
      <c r="F491" s="1564" t="n"/>
      <c r="G491" s="1564" t="n"/>
      <c r="H491" s="1563" t="n"/>
      <c r="I491" s="1563" t="n"/>
      <c r="J491" s="1563" t="n"/>
      <c r="K491" s="1563" t="n"/>
      <c r="L491" s="1564" t="n"/>
      <c r="M491" s="1563" t="n"/>
      <c r="N491" s="1563" t="n"/>
      <c r="O491" s="1563" t="n"/>
      <c r="P491" s="1563" t="n"/>
      <c r="Q491" s="1564" t="n"/>
      <c r="R491" s="1563" t="n"/>
      <c r="S491" s="1563" t="n"/>
      <c r="T491" s="1563" t="n"/>
      <c r="U491" s="1563" t="n"/>
      <c r="V491" s="1564" t="n"/>
      <c r="W491" s="1563" t="n"/>
      <c r="X491" s="1563" t="n"/>
      <c r="Y491" s="1563" t="n"/>
      <c r="Z491" s="1563" t="n"/>
      <c r="AA491" s="1564" t="n"/>
      <c r="AB491" s="1563" t="n"/>
      <c r="AC491" s="1563" t="n"/>
      <c r="AD491" s="1563" t="n"/>
      <c r="AE491" s="1563" t="n"/>
      <c r="AF491" s="1564" t="n"/>
      <c r="AG491" s="1563" t="n"/>
      <c r="AH491" s="1563" t="n"/>
      <c r="AI491" s="1563" t="n"/>
      <c r="AJ491" s="1563" t="n"/>
      <c r="AK491" s="1564" t="n"/>
      <c r="AL491" s="1563" t="n"/>
      <c r="AM491" s="1563" t="n"/>
      <c r="AN491" s="1563" t="n"/>
      <c r="AO491" s="1563" t="n"/>
      <c r="AP491" s="1564" t="n"/>
      <c r="AQ491" s="1563" t="n"/>
      <c r="AR491" s="1563" t="n"/>
      <c r="AS491" s="1563" t="n"/>
      <c r="AT491" s="1563" t="n"/>
      <c r="AU491" s="1564" t="n"/>
      <c r="AV491" s="1563" t="n"/>
      <c r="AW491" s="1563" t="n"/>
      <c r="AX491" s="1563" t="n"/>
      <c r="AY491" s="1563" t="n"/>
      <c r="AZ491" s="1564" t="n"/>
      <c r="BA491" s="1563" t="n"/>
      <c r="BB491" s="1563" t="n"/>
      <c r="BC491" s="1563" t="n"/>
      <c r="BD491" s="1563" t="n"/>
      <c r="BE491" s="1564" t="n"/>
      <c r="BF491" s="1563" t="n"/>
      <c r="BG491" s="1563" t="n"/>
      <c r="BH491" s="1563" t="n"/>
      <c r="BI491" s="1563" t="n"/>
      <c r="BJ491" s="1564" t="n"/>
      <c r="BK491" s="1563" t="n"/>
      <c r="BL491" s="1563" t="n"/>
      <c r="BM491" s="1563" t="n"/>
      <c r="BN491" s="1563" t="n"/>
      <c r="BO491" s="1567" t="n"/>
      <c r="BP491" s="1563" t="n"/>
      <c r="BQ491" s="1563" t="n"/>
      <c r="BR491" s="1563" t="n"/>
      <c r="BS491" s="1563" t="n"/>
      <c r="BT491" s="1564" t="n"/>
      <c r="BU491" s="1563" t="n"/>
      <c r="BV491" s="1563" t="n"/>
      <c r="BW491" s="1563" t="n"/>
      <c r="BX491" s="1563" t="n"/>
      <c r="BY491" s="1564" t="n"/>
      <c r="BZ491" s="1564" t="n"/>
      <c r="CA491" s="1564" t="n"/>
      <c r="CB491" s="1564" t="n"/>
      <c r="CC491" s="1280" t="n"/>
    </row>
    <row r="492" ht="14.4" customFormat="1" customHeight="1" s="1275">
      <c r="A492" s="1346" t="inlineStr">
        <is>
          <t>EBITDA / Net Interest Expense</t>
        </is>
      </c>
      <c r="B492" s="1394" t="n"/>
      <c r="C492" s="1713">
        <f>IFERROR(IF(OR(C387&lt;0,C489&lt;0),"n/a",C387/C489),"n/a")</f>
        <v/>
      </c>
      <c r="D492" s="1713">
        <f>IFERROR(IF(OR(D387&lt;0,D489&lt;0),"n/a",D387/D489),"n/a")</f>
        <v/>
      </c>
      <c r="E492" s="1713">
        <f>IFERROR(IF(OR(E387&lt;0,E489&lt;0),"n/a",E387/E489),"n/a")</f>
        <v/>
      </c>
      <c r="F492" s="1713">
        <f>IFERROR(IF(OR(F387&lt;0,F489&lt;0),"n/a",F387/F489),"n/a")</f>
        <v/>
      </c>
      <c r="G492" s="1713">
        <f>IFERROR(IF(OR(G387&lt;0,G489&lt;0),"n/a",G387/G489),"n/a")</f>
        <v/>
      </c>
      <c r="H492" s="1714">
        <f>IFERROR(IF(OR(H387&lt;0,H489&lt;0),"n/a",H387/H489),"n/a")</f>
        <v/>
      </c>
      <c r="I492" s="1714">
        <f>IFERROR(IF(OR(I387&lt;0,I489&lt;0),"n/a",I387/I489),"n/a")</f>
        <v/>
      </c>
      <c r="J492" s="1714">
        <f>IFERROR(IF(OR(J387&lt;0,J489&lt;0),"n/a",J387/J489),"n/a")</f>
        <v/>
      </c>
      <c r="K492" s="1714">
        <f>IFERROR(IF(OR(K387&lt;0,K489&lt;0),"n/a",K387/K489),"n/a")</f>
        <v/>
      </c>
      <c r="L492" s="1713">
        <f>IFERROR(IF(OR(L387&lt;0,L489&lt;0),"n/a",L387/L489),"n/a")</f>
        <v/>
      </c>
      <c r="M492" s="1714">
        <f>IFERROR(IF(OR(M387&lt;0,M489&lt;0),"n/a",M387/M489),"n/a")</f>
        <v/>
      </c>
      <c r="N492" s="1714">
        <f>IFERROR(IF(OR(N387&lt;0,N489&lt;0),"n/a",N387/N489),"n/a")</f>
        <v/>
      </c>
      <c r="O492" s="1714">
        <f>IFERROR(IF(OR(O387&lt;0,O489&lt;0),"n/a",O387/O489),"n/a")</f>
        <v/>
      </c>
      <c r="P492" s="1714">
        <f>IFERROR(IF(OR(P387&lt;0,P489&lt;0),"n/a",P387/P489),"n/a")</f>
        <v/>
      </c>
      <c r="Q492" s="1713">
        <f>IFERROR(IF(OR(Q387&lt;0,Q489&lt;0),"n/a",Q387/Q489),"n/a")</f>
        <v/>
      </c>
      <c r="R492" s="1714">
        <f>IFERROR(IF(OR(R387&lt;0,R489&lt;0),"n/a",R387/R489),"n/a")</f>
        <v/>
      </c>
      <c r="S492" s="1714">
        <f>IFERROR(IF(OR(S387&lt;0,S489&lt;0),"n/a",S387/S489),"n/a")</f>
        <v/>
      </c>
      <c r="T492" s="1714">
        <f>IFERROR(IF(OR(T387&lt;0,T489&lt;0),"n/a",T387/T489),"n/a")</f>
        <v/>
      </c>
      <c r="U492" s="1714">
        <f>IFERROR(IF(OR(U387&lt;0,U489&lt;0),"n/a",U387/U489),"n/a")</f>
        <v/>
      </c>
      <c r="V492" s="1713">
        <f>IFERROR(IF(OR(V387&lt;0,V489&lt;0),"n/a",V387/V489),"n/a")</f>
        <v/>
      </c>
      <c r="W492" s="1714">
        <f>IFERROR(IF(OR(W387&lt;0,W489&lt;0),"n/a",W387/W489),"n/a")</f>
        <v/>
      </c>
      <c r="X492" s="1714">
        <f>IFERROR(IF(OR(X387&lt;0,X489&lt;0),"n/a",X387/X489),"n/a")</f>
        <v/>
      </c>
      <c r="Y492" s="1714">
        <f>IFERROR(IF(OR(Y387&lt;0,Y489&lt;0),"n/a",Y387/Y489),"n/a")</f>
        <v/>
      </c>
      <c r="Z492" s="1714">
        <f>IFERROR(IF(OR(Z387&lt;0,Z489&lt;0),"n/a",Z387/Z489),"n/a")</f>
        <v/>
      </c>
      <c r="AA492" s="1713">
        <f>IFERROR(IF(OR(AA387&lt;0,AA489&lt;0),"n/a",AA387/AA489),"n/a")</f>
        <v/>
      </c>
      <c r="AB492" s="1714">
        <f>IFERROR(IF(OR(AB387&lt;0,AB489&lt;0),"n/a",AB387/AB489),"n/a")</f>
        <v/>
      </c>
      <c r="AC492" s="1714">
        <f>IFERROR(IF(OR(AC387&lt;0,AC489&lt;0),"n/a",AC387/AC489),"n/a")</f>
        <v/>
      </c>
      <c r="AD492" s="1714">
        <f>IFERROR(IF(OR(AD387&lt;0,AD489&lt;0),"n/a",AD387/AD489),"n/a")</f>
        <v/>
      </c>
      <c r="AE492" s="1714">
        <f>IFERROR(IF(OR(AE387&lt;0,AE489&lt;0),"n/a",AE387/AE489),"n/a")</f>
        <v/>
      </c>
      <c r="AF492" s="1713">
        <f>IFERROR(IF(OR(AF387&lt;0,AF489&lt;0),"n/a",AF387/AF489),"n/a")</f>
        <v/>
      </c>
      <c r="AG492" s="1714">
        <f>IFERROR(IF(OR(AG387&lt;0,AG489&lt;0),"n/a",AG387/AG489),"n/a")</f>
        <v/>
      </c>
      <c r="AH492" s="1714">
        <f>IFERROR(IF(OR(AH387&lt;0,AH489&lt;0),"n/a",AH387/AH489),"n/a")</f>
        <v/>
      </c>
      <c r="AI492" s="1714">
        <f>IFERROR(IF(OR(AI387&lt;0,AI489&lt;0),"n/a",AI387/AI489),"n/a")</f>
        <v/>
      </c>
      <c r="AJ492" s="1714">
        <f>IFERROR(IF(OR(AJ387&lt;0,AJ489&lt;0),"n/a",AJ387/AJ489),"n/a")</f>
        <v/>
      </c>
      <c r="AK492" s="1713">
        <f>IFERROR(IF(OR(AK387&lt;0,AK489&lt;0),"n/a",AK387/AK489),"n/a")</f>
        <v/>
      </c>
      <c r="AL492" s="1714">
        <f>IFERROR(IF(OR(AL387&lt;0,AL489&lt;0),"n/a",AL387/AL489),"n/a")</f>
        <v/>
      </c>
      <c r="AM492" s="1714">
        <f>IFERROR(IF(OR(AM387&lt;0,AM489&lt;0),"n/a",AM387/AM489),"n/a")</f>
        <v/>
      </c>
      <c r="AN492" s="1714">
        <f>IFERROR(IF(OR(AN387&lt;0,AN489&lt;0),"n/a",AN387/AN489),"n/a")</f>
        <v/>
      </c>
      <c r="AO492" s="1714">
        <f>IFERROR(IF(OR(AO387&lt;0,AO489&lt;0),"n/a",AO387/AO489),"n/a")</f>
        <v/>
      </c>
      <c r="AP492" s="1713">
        <f>IFERROR(IF(OR(AP387&lt;0,AP489&lt;0),"n/a",AP387/AP489),"n/a")</f>
        <v/>
      </c>
      <c r="AQ492" s="1714">
        <f>IFERROR(IF(OR(AQ387&lt;0,AQ489&lt;0),"n/a",AQ387/AQ489),"n/a")</f>
        <v/>
      </c>
      <c r="AR492" s="1714">
        <f>IFERROR(IF(OR(AR387&lt;0,AR489&lt;0),"n/a",AR387/AR489),"n/a")</f>
        <v/>
      </c>
      <c r="AS492" s="1714">
        <f>IFERROR(IF(OR(AS387&lt;0,AS489&lt;0),"n/a",AS387/AS489),"n/a")</f>
        <v/>
      </c>
      <c r="AT492" s="1714">
        <f>IFERROR(IF(OR(AT387&lt;0,AT489&lt;0),"n/a",AT387/AT489),"n/a")</f>
        <v/>
      </c>
      <c r="AU492" s="1713">
        <f>IFERROR(IF(OR(AU387&lt;0,AU489&lt;0),"n/a",AU387/AU489),"n/a")</f>
        <v/>
      </c>
      <c r="AV492" s="1714">
        <f>IFERROR(IF(OR(AV387&lt;0,AV489&lt;0),"n/a",AV387/AV489),"n/a")</f>
        <v/>
      </c>
      <c r="AW492" s="1714">
        <f>IFERROR(IF(OR(AW387&lt;0,AW489&lt;0),"n/a",AW387/AW489),"n/a")</f>
        <v/>
      </c>
      <c r="AX492" s="1714">
        <f>IFERROR(IF(OR(AX387&lt;0,AX489&lt;0),"n/a",AX387/AX489),"n/a")</f>
        <v/>
      </c>
      <c r="AY492" s="1714">
        <f>IFERROR(IF(OR(AY387&lt;0,AY489&lt;0),"n/a",AY387/AY489),"n/a")</f>
        <v/>
      </c>
      <c r="AZ492" s="1713">
        <f>IFERROR(IF(OR(AZ387&lt;0,AZ489&lt;0),"n/a",AZ387/AZ489),"n/a")</f>
        <v/>
      </c>
      <c r="BA492" s="1714">
        <f>IFERROR(IF(OR(BA387&lt;0,BA489&lt;0),"n/a",BA387/BA489),"n/a")</f>
        <v/>
      </c>
      <c r="BB492" s="1714">
        <f>IFERROR(IF(OR(BB387&lt;0,BB489&lt;0),"n/a",BB387/BB489),"n/a")</f>
        <v/>
      </c>
      <c r="BC492" s="1714">
        <f>IFERROR(IF(OR(BC387&lt;0,BC489&lt;0),"n/a",BC387/BC489),"n/a")</f>
        <v/>
      </c>
      <c r="BD492" s="1714">
        <f>IFERROR(IF(OR(BD387&lt;0,BD489&lt;0),"n/a",BD387/BD489),"n/a")</f>
        <v/>
      </c>
      <c r="BE492" s="1713">
        <f>IFERROR(IF(OR(BE387&lt;0,BE489&lt;0),"n/a",BE387/BE489),"n/a")</f>
        <v/>
      </c>
      <c r="BF492" s="1714">
        <f>IFERROR(IF(OR(BF387&lt;0,BF489&lt;0),"n/a",BF387/BF489),"n/a")</f>
        <v/>
      </c>
      <c r="BG492" s="1714">
        <f>IFERROR(IF(OR(BG387&lt;0,BG489&lt;0),"n/a",BG387/BG489),"n/a")</f>
        <v/>
      </c>
      <c r="BH492" s="1714">
        <f>IFERROR(IF(OR(BH387&lt;0,BH489&lt;0),"n/a",BH387/BH489),"n/a")</f>
        <v/>
      </c>
      <c r="BI492" s="1714">
        <f>IFERROR(IF(OR(BI387&lt;0,BI489&lt;0),"n/a",BI387/BI489),"n/a")</f>
        <v/>
      </c>
      <c r="BJ492" s="1713">
        <f>IFERROR(IF(OR(BJ387&lt;0,BJ489&lt;0),"n/a",BJ387/BJ489),"n/a")</f>
        <v/>
      </c>
      <c r="BK492" s="1714">
        <f>IFERROR(IF(OR(BK387&lt;0,BK489&lt;0),"n/a",BK387/BK489),"n/a")</f>
        <v/>
      </c>
      <c r="BL492" s="1714">
        <f>IFERROR(IF(OR(BL387&lt;0,BL489&lt;0),"n/a",BL387/BL489),"n/a")</f>
        <v/>
      </c>
      <c r="BM492" s="1714">
        <f>IFERROR(IF(OR(BM387&lt;0,BM489&lt;0),"n/a",BM387/BM489),"n/a")</f>
        <v/>
      </c>
      <c r="BN492" s="1714">
        <f>IFERROR(IF(OR(BN387&lt;0,BN489&lt;0),"n/a",BN387/BN489),"n/a")</f>
        <v/>
      </c>
      <c r="BO492" s="1715">
        <f>IFERROR(IF(OR(BO387&lt;0,BO489&lt;0),"n/a",BO387/BO489),"n/a")</f>
        <v/>
      </c>
      <c r="BP492" s="1714">
        <f>IFERROR(IF(OR(BP387&lt;0,BP489&lt;0),"n/a",BP387/BP489),"n/a")</f>
        <v/>
      </c>
      <c r="BQ492" s="1714">
        <f>IFERROR(IF(OR(BQ387&lt;0,BQ489&lt;0),"n/a",BQ387/BQ489),"n/a")</f>
        <v/>
      </c>
      <c r="BR492" s="1714">
        <f>IFERROR(IF(OR(BR387&lt;0,BR489&lt;0),"n/a",BR387/BR489),"n/a")</f>
        <v/>
      </c>
      <c r="BS492" s="1714">
        <f>IFERROR(IF(OR(BS387&lt;0,BS489&lt;0),"n/a",BS387/BS489),"n/a")</f>
        <v/>
      </c>
      <c r="BT492" s="1713">
        <f>IFERROR(IF(OR(BT387&lt;0,BT489&lt;0),"n/a",BT387/BT489),"n/a")</f>
        <v/>
      </c>
      <c r="BU492" s="1714">
        <f>IFERROR(IF(OR(BU387&lt;0,BU489&lt;0),"n/a",BU387/BU489),"n/a")</f>
        <v/>
      </c>
      <c r="BV492" s="1714">
        <f>IFERROR(IF(OR(BV387&lt;0,BV489&lt;0),"n/a",BV387/BV489),"n/a")</f>
        <v/>
      </c>
      <c r="BW492" s="1714">
        <f>IFERROR(IF(OR(BW387&lt;0,BW489&lt;0),"n/a",BW387/BW489),"n/a")</f>
        <v/>
      </c>
      <c r="BX492" s="1714">
        <f>IFERROR(IF(OR(BX387&lt;0,BX489&lt;0),"n/a",BX387/BX489),"n/a")</f>
        <v/>
      </c>
      <c r="BY492" s="1713">
        <f>IFERROR(IF(OR(BY387&lt;0,BY489&lt;0),"n/a",BY387/BY489),"n/a")</f>
        <v/>
      </c>
      <c r="BZ492" s="1713">
        <f>IFERROR(IF(OR(BZ387&lt;0,BZ489&lt;0),"n/a",BZ387/BZ489),"n/a")</f>
        <v/>
      </c>
      <c r="CA492" s="1713">
        <f>IFERROR(IF(OR(CA387&lt;0,CA489&lt;0),"n/a",CA387/CA489),"n/a")</f>
        <v/>
      </c>
      <c r="CB492" s="1713">
        <f>IFERROR(IF(OR(CB387&lt;0,CB489&lt;0),"n/a",CB387/CB489),"n/a")</f>
        <v/>
      </c>
      <c r="CC492" s="1280" t="n"/>
    </row>
    <row r="493" ht="14.4" customFormat="1" customHeight="1" s="1716">
      <c r="A493" s="1717" t="inlineStr">
        <is>
          <t>Net Debt / EBITDA</t>
        </is>
      </c>
      <c r="B493" s="1718" t="n"/>
      <c r="C493" s="1719">
        <f>IF(C483&lt;0,"n/a",C483/C387)</f>
        <v/>
      </c>
      <c r="D493" s="1719">
        <f>IF(D483&lt;0,"n/a",D483/D387)</f>
        <v/>
      </c>
      <c r="E493" s="1719">
        <f>IF(E483&lt;0,"n/a",E483/E387)</f>
        <v/>
      </c>
      <c r="F493" s="1719">
        <f>IF(F483&lt;0,"n/a",F483/F387)</f>
        <v/>
      </c>
      <c r="G493" s="1719">
        <f>IF(G483&lt;0,"n/a",G483/G387)</f>
        <v/>
      </c>
      <c r="H493" s="1714" t="n"/>
      <c r="I493" s="1714" t="n"/>
      <c r="J493" s="1714" t="n"/>
      <c r="K493" s="1714" t="n"/>
      <c r="L493" s="1719">
        <f>IF(L483&lt;0,"n/a",L483/L387)</f>
        <v/>
      </c>
      <c r="M493" s="1714" t="n"/>
      <c r="N493" s="1714" t="n"/>
      <c r="O493" s="1714" t="n"/>
      <c r="P493" s="1714" t="n"/>
      <c r="Q493" s="1719">
        <f>IF(Q483&lt;0,"n/a",Q483/Q387)</f>
        <v/>
      </c>
      <c r="R493" s="1714" t="n"/>
      <c r="S493" s="1720" t="n"/>
      <c r="T493" s="1714" t="n"/>
      <c r="U493" s="1714" t="n"/>
      <c r="V493" s="1719">
        <f>IF(V483&lt;0,"n/a",V483/V387)</f>
        <v/>
      </c>
      <c r="W493" s="1714" t="n"/>
      <c r="X493" s="1720" t="n"/>
      <c r="Y493" s="1720" t="n"/>
      <c r="Z493" s="1714" t="n"/>
      <c r="AA493" s="1719">
        <f>IF(AA483&lt;0,"n/a",AA483/AA387)</f>
        <v/>
      </c>
      <c r="AB493" s="1714" t="n"/>
      <c r="AC493" s="1720" t="n"/>
      <c r="AD493" s="1720" t="n"/>
      <c r="AE493" s="1714" t="n"/>
      <c r="AF493" s="1719">
        <f>IF(AF483&lt;0,"n/a",AF483/AF387)</f>
        <v/>
      </c>
      <c r="AG493" s="1714" t="n"/>
      <c r="AH493" s="1720" t="n"/>
      <c r="AI493" s="1720" t="n"/>
      <c r="AJ493" s="1714" t="n"/>
      <c r="AK493" s="1719">
        <f>IF(AK483&lt;0,"n/a",AK483/AK387)</f>
        <v/>
      </c>
      <c r="AL493" s="1714" t="n"/>
      <c r="AM493" s="1720" t="n"/>
      <c r="AN493" s="1720" t="n"/>
      <c r="AO493" s="1714" t="n"/>
      <c r="AP493" s="1719">
        <f>IF(AP483&lt;0,"n/a",AP483/AP387)</f>
        <v/>
      </c>
      <c r="AQ493" s="1714" t="n"/>
      <c r="AR493" s="1720" t="n"/>
      <c r="AS493" s="1720" t="n"/>
      <c r="AT493" s="1714" t="n"/>
      <c r="AU493" s="1719">
        <f>IF(AU483&lt;0,"n/a",AU483/AU387)</f>
        <v/>
      </c>
      <c r="AV493" s="1714" t="n"/>
      <c r="AW493" s="1720" t="n"/>
      <c r="AX493" s="1720" t="n"/>
      <c r="AY493" s="1714" t="n"/>
      <c r="AZ493" s="1719">
        <f>IF(AZ483&lt;0,"n/a",AZ483/AZ387)</f>
        <v/>
      </c>
      <c r="BA493" s="1714" t="n"/>
      <c r="BB493" s="1720" t="n"/>
      <c r="BC493" s="1720" t="n"/>
      <c r="BD493" s="1714" t="n"/>
      <c r="BE493" s="1719">
        <f>IF(BE483&lt;0,"n/a",BE483/BE387)</f>
        <v/>
      </c>
      <c r="BF493" s="1714" t="n"/>
      <c r="BG493" s="1720" t="n"/>
      <c r="BH493" s="1720" t="n"/>
      <c r="BI493" s="1714" t="n"/>
      <c r="BJ493" s="1719">
        <f>IF(BJ483&lt;0,"n/a",BJ483/BJ387)</f>
        <v/>
      </c>
      <c r="BK493" s="1714" t="n"/>
      <c r="BL493" s="1720" t="n"/>
      <c r="BM493" s="1720" t="n"/>
      <c r="BN493" s="1714" t="n"/>
      <c r="BO493" s="1721">
        <f>IF(BO483&lt;0,"n/a",BO483/BO387)</f>
        <v/>
      </c>
      <c r="BP493" s="1720" t="n"/>
      <c r="BQ493" s="1720" t="n"/>
      <c r="BR493" s="1720" t="n"/>
      <c r="BS493" s="1720" t="n"/>
      <c r="BT493" s="1713">
        <f>IF(BT483&lt;0,"n/a",BT483/BT387)</f>
        <v/>
      </c>
      <c r="BU493" s="1720" t="n"/>
      <c r="BV493" s="1720" t="n"/>
      <c r="BW493" s="1720" t="n"/>
      <c r="BX493" s="1720" t="n"/>
      <c r="BY493" s="1713">
        <f>IF(BY483&lt;0,"n/a",BY483/BY387)</f>
        <v/>
      </c>
      <c r="BZ493" s="1713">
        <f>IF(BZ483&lt;0,"n/a",BZ483/BZ387)</f>
        <v/>
      </c>
      <c r="CA493" s="1713">
        <f>IF(CA483&lt;0,"n/a",CA483/CA387)</f>
        <v/>
      </c>
      <c r="CB493" s="1713">
        <f>IF(CB483&lt;0,"n/a",CB483/CB387)</f>
        <v/>
      </c>
      <c r="CC493" s="1722" t="n"/>
    </row>
    <row r="494" ht="14.4" customFormat="1" customHeight="1" s="1716">
      <c r="A494" s="1717" t="inlineStr">
        <is>
          <t>Net Debt / Cash Flow</t>
        </is>
      </c>
      <c r="B494" s="1718" t="n"/>
      <c r="C494" s="1719">
        <f>IF(C483&lt;0,"n/a",C483/C453)</f>
        <v/>
      </c>
      <c r="D494" s="1719">
        <f>IF(D483&lt;0,"n/a",D483/D453)</f>
        <v/>
      </c>
      <c r="E494" s="1719">
        <f>IF(E483&lt;0,"n/a",E483/E453)</f>
        <v/>
      </c>
      <c r="F494" s="1719">
        <f>IF(F483&lt;0,"n/a",F483/F453)</f>
        <v/>
      </c>
      <c r="G494" s="1719">
        <f>IF(G483&lt;0,"n/a",G483/G453)</f>
        <v/>
      </c>
      <c r="H494" s="1714" t="n"/>
      <c r="I494" s="1714" t="n"/>
      <c r="J494" s="1714" t="n"/>
      <c r="K494" s="1714" t="n"/>
      <c r="L494" s="1719">
        <f>IF(L483&lt;0,"n/a",L483/L453)</f>
        <v/>
      </c>
      <c r="M494" s="1714" t="n"/>
      <c r="N494" s="1714" t="n"/>
      <c r="O494" s="1714" t="n"/>
      <c r="P494" s="1714" t="n"/>
      <c r="Q494" s="1719">
        <f>IF(Q483&lt;0,"n/a",Q483/Q453)</f>
        <v/>
      </c>
      <c r="R494" s="1714" t="n"/>
      <c r="S494" s="1720" t="n"/>
      <c r="T494" s="1714" t="n"/>
      <c r="U494" s="1714" t="n"/>
      <c r="V494" s="1719">
        <f>IF(V483&lt;0,"n/a",V483/V453)</f>
        <v/>
      </c>
      <c r="W494" s="1714" t="n"/>
      <c r="X494" s="1720" t="n"/>
      <c r="Y494" s="1720" t="n"/>
      <c r="Z494" s="1714" t="n"/>
      <c r="AA494" s="1719">
        <f>IF(AA483&lt;0,"n/a",AA483/AA453)</f>
        <v/>
      </c>
      <c r="AB494" s="1714" t="n"/>
      <c r="AC494" s="1720" t="n"/>
      <c r="AD494" s="1720" t="n"/>
      <c r="AE494" s="1714" t="n"/>
      <c r="AF494" s="1719">
        <f>IF(AF483&lt;0,"n/a",AF483/AF453)</f>
        <v/>
      </c>
      <c r="AG494" s="1714" t="n"/>
      <c r="AH494" s="1720" t="n"/>
      <c r="AI494" s="1720" t="n"/>
      <c r="AJ494" s="1714" t="n"/>
      <c r="AK494" s="1719">
        <f>IF(AK483&lt;0,"n/a",AK483/AK453)</f>
        <v/>
      </c>
      <c r="AL494" s="1714" t="n"/>
      <c r="AM494" s="1720" t="n"/>
      <c r="AN494" s="1720" t="n"/>
      <c r="AO494" s="1714" t="n"/>
      <c r="AP494" s="1719">
        <f>IF(AP483&lt;0,"n/a",AP483/AP453)</f>
        <v/>
      </c>
      <c r="AQ494" s="1714" t="n"/>
      <c r="AR494" s="1720" t="n"/>
      <c r="AS494" s="1720" t="n"/>
      <c r="AT494" s="1714" t="n"/>
      <c r="AU494" s="1719">
        <f>IF(AU483&lt;0,"n/a",AU483/AU453)</f>
        <v/>
      </c>
      <c r="AV494" s="1714" t="n"/>
      <c r="AW494" s="1720" t="n"/>
      <c r="AX494" s="1720" t="n"/>
      <c r="AY494" s="1714" t="n"/>
      <c r="AZ494" s="1719">
        <f>IF(AZ483&lt;0,"n/a",AZ483/AZ453)</f>
        <v/>
      </c>
      <c r="BA494" s="1714" t="n"/>
      <c r="BB494" s="1720" t="n"/>
      <c r="BC494" s="1720" t="n"/>
      <c r="BD494" s="1714" t="n"/>
      <c r="BE494" s="1719">
        <f>IF(BE483&lt;0,"n/a",BE483/BE453)</f>
        <v/>
      </c>
      <c r="BF494" s="1714" t="n"/>
      <c r="BG494" s="1720" t="n"/>
      <c r="BH494" s="1720" t="n"/>
      <c r="BI494" s="1714" t="n"/>
      <c r="BJ494" s="1719">
        <f>IF(BJ483&lt;0,"n/a",BJ483/BJ453)</f>
        <v/>
      </c>
      <c r="BK494" s="1714" t="n"/>
      <c r="BL494" s="1720" t="n"/>
      <c r="BM494" s="1720" t="n"/>
      <c r="BN494" s="1714" t="n"/>
      <c r="BO494" s="1721">
        <f>IF(BO483&lt;0,"n/a",BO483/BO453)</f>
        <v/>
      </c>
      <c r="BP494" s="1720" t="n"/>
      <c r="BQ494" s="1720" t="n"/>
      <c r="BR494" s="1720" t="n"/>
      <c r="BS494" s="1720" t="n"/>
      <c r="BT494" s="1713">
        <f>IF(BT483&lt;0,"n/a",BT483/BT453)</f>
        <v/>
      </c>
      <c r="BU494" s="1720" t="n"/>
      <c r="BV494" s="1720" t="n"/>
      <c r="BW494" s="1720" t="n"/>
      <c r="BX494" s="1720" t="n"/>
      <c r="BY494" s="1713">
        <f>IF(BY483&lt;0,"n/a",BY483/BY453)</f>
        <v/>
      </c>
      <c r="BZ494" s="1713">
        <f>IF(BZ483&lt;0,"n/a",BZ483/BZ453)</f>
        <v/>
      </c>
      <c r="CA494" s="1713">
        <f>IF(CA483&lt;0,"n/a",CA483/CA453)</f>
        <v/>
      </c>
      <c r="CB494" s="1713">
        <f>IF(CB483&lt;0,"n/a",CB483/CB453)</f>
        <v/>
      </c>
      <c r="CC494" s="1722" t="n"/>
    </row>
    <row r="495" ht="14.4" customHeight="1" s="876">
      <c r="A495" s="347" t="n"/>
      <c r="B495" s="347" t="n"/>
      <c r="C495" s="1376" t="n"/>
      <c r="D495" s="1376" t="n"/>
      <c r="E495" s="1376" t="n"/>
      <c r="F495" s="1376" t="n"/>
      <c r="G495" s="1376" t="n"/>
      <c r="H495" s="1278" t="n"/>
      <c r="I495" s="1278" t="n"/>
      <c r="J495" s="1278" t="n"/>
      <c r="K495" s="1278" t="n"/>
      <c r="L495" s="1376" t="n"/>
      <c r="M495" s="1278" t="n"/>
      <c r="N495" s="1278" t="n"/>
      <c r="O495" s="1278" t="n"/>
      <c r="P495" s="1278" t="n"/>
      <c r="Q495" s="1376" t="n"/>
      <c r="R495" s="1278" t="n"/>
      <c r="S495" s="1278" t="n"/>
      <c r="T495" s="1278" t="n"/>
      <c r="U495" s="1278" t="n"/>
      <c r="V495" s="1376" t="n"/>
      <c r="W495" s="1278" t="n"/>
      <c r="X495" s="1278" t="n"/>
      <c r="Y495" s="1278" t="n"/>
      <c r="Z495" s="1278" t="n"/>
      <c r="AA495" s="1376" t="n"/>
      <c r="AB495" s="1278" t="n"/>
      <c r="AC495" s="1278" t="n"/>
      <c r="AD495" s="1278" t="n"/>
      <c r="AE495" s="1278" t="n"/>
      <c r="AF495" s="1376" t="n"/>
      <c r="AG495" s="1278" t="n"/>
      <c r="AH495" s="1278" t="n"/>
      <c r="AI495" s="1278" t="n"/>
      <c r="AJ495" s="1278" t="n"/>
      <c r="AK495" s="1376" t="n"/>
      <c r="AL495" s="1278" t="n"/>
      <c r="AM495" s="1278" t="n"/>
      <c r="AN495" s="1278" t="n"/>
      <c r="AO495" s="1278" t="n"/>
      <c r="AP495" s="1376" t="n"/>
      <c r="AQ495" s="1278" t="n"/>
      <c r="AR495" s="1278" t="n"/>
      <c r="AS495" s="1278" t="n"/>
      <c r="AT495" s="1278" t="n"/>
      <c r="AU495" s="1376" t="n"/>
      <c r="AV495" s="1278" t="n"/>
      <c r="AW495" s="1278" t="n"/>
      <c r="AX495" s="1278" t="n"/>
      <c r="AY495" s="1278" t="n"/>
      <c r="AZ495" s="1376" t="n"/>
      <c r="BA495" s="1278" t="n"/>
      <c r="BB495" s="1278" t="n"/>
      <c r="BC495" s="1278" t="n"/>
      <c r="BD495" s="1278" t="n"/>
      <c r="BE495" s="1376" t="n"/>
      <c r="BF495" s="1278" t="n"/>
      <c r="BG495" s="1278" t="n"/>
      <c r="BH495" s="1278" t="n"/>
      <c r="BI495" s="1278" t="n"/>
      <c r="BJ495" s="1376" t="n"/>
      <c r="BK495" s="1278" t="n"/>
      <c r="BL495" s="1278" t="n"/>
      <c r="BM495" s="1278" t="n"/>
      <c r="BN495" s="1278" t="n"/>
      <c r="BO495" s="1377" t="n"/>
      <c r="BP495" s="1278" t="n"/>
      <c r="BQ495" s="1278" t="n"/>
      <c r="BR495" s="1278" t="n"/>
      <c r="BS495" s="1278" t="n"/>
      <c r="BT495" s="1376" t="n"/>
      <c r="BU495" s="1278" t="n"/>
      <c r="BV495" s="1278" t="n"/>
      <c r="BW495" s="1278" t="n"/>
      <c r="BX495" s="1278" t="n"/>
      <c r="BY495" s="1376" t="n"/>
      <c r="BZ495" s="1376" t="n"/>
      <c r="CA495" s="1376" t="n"/>
      <c r="CB495" s="1376" t="n"/>
      <c r="CC495" s="158" t="n"/>
    </row>
    <row r="496" ht="14.4" customFormat="1" customHeight="1" s="1275">
      <c r="A496" s="1357" t="inlineStr">
        <is>
          <t>Valuation</t>
        </is>
      </c>
      <c r="B496" s="1358" t="n"/>
      <c r="C496" s="1358" t="n"/>
      <c r="D496" s="1358" t="n"/>
      <c r="E496" s="1358" t="n"/>
      <c r="F496" s="1358" t="n"/>
      <c r="G496" s="1358" t="n"/>
      <c r="H496" s="1358" t="n"/>
      <c r="I496" s="1358" t="n"/>
      <c r="J496" s="1358" t="n"/>
      <c r="K496" s="1358" t="n"/>
      <c r="L496" s="1358" t="n"/>
      <c r="M496" s="1358" t="n"/>
      <c r="N496" s="1358" t="n"/>
      <c r="O496" s="1358" t="n"/>
      <c r="P496" s="1358" t="n"/>
      <c r="Q496" s="1358" t="n"/>
      <c r="R496" s="1358" t="n"/>
      <c r="S496" s="1358" t="n"/>
      <c r="T496" s="1358" t="n"/>
      <c r="U496" s="1358" t="n"/>
      <c r="V496" s="1358" t="n"/>
      <c r="W496" s="1358" t="n"/>
      <c r="X496" s="1358" t="n"/>
      <c r="Y496" s="1358" t="n"/>
      <c r="Z496" s="1358" t="n"/>
      <c r="AA496" s="1358" t="n"/>
      <c r="AB496" s="1358" t="n"/>
      <c r="AC496" s="1358" t="n"/>
      <c r="AD496" s="1358" t="n"/>
      <c r="AE496" s="1358" t="n"/>
      <c r="AF496" s="1358" t="n"/>
      <c r="AG496" s="1358" t="n"/>
      <c r="AH496" s="1358" t="n"/>
      <c r="AI496" s="1358" t="n"/>
      <c r="AJ496" s="1358" t="n"/>
      <c r="AK496" s="1358" t="n"/>
      <c r="AL496" s="1358" t="n"/>
      <c r="AM496" s="1358" t="n"/>
      <c r="AN496" s="1358" t="n"/>
      <c r="AO496" s="1358" t="n"/>
      <c r="AP496" s="1358" t="n"/>
      <c r="AQ496" s="1358" t="n"/>
      <c r="AR496" s="1358" t="n"/>
      <c r="AS496" s="1358" t="n"/>
      <c r="AT496" s="1358" t="n"/>
      <c r="AU496" s="1358" t="n"/>
      <c r="AV496" s="1358" t="n"/>
      <c r="AW496" s="1358" t="n"/>
      <c r="AX496" s="1358" t="n"/>
      <c r="AY496" s="1358" t="n"/>
      <c r="AZ496" s="1358" t="n"/>
      <c r="BA496" s="1358" t="n"/>
      <c r="BB496" s="1358" t="n"/>
      <c r="BC496" s="1358" t="n"/>
      <c r="BD496" s="1358" t="n"/>
      <c r="BE496" s="1358" t="n"/>
      <c r="BF496" s="1358" t="n"/>
      <c r="BG496" s="1358" t="n"/>
      <c r="BH496" s="1358" t="n"/>
      <c r="BI496" s="1358" t="n"/>
      <c r="BJ496" s="1358" t="n"/>
      <c r="BK496" s="1358" t="n"/>
      <c r="BL496" s="1358" t="n"/>
      <c r="BM496" s="1358" t="n"/>
      <c r="BN496" s="1358" t="n"/>
      <c r="BO496" s="1359" t="n"/>
      <c r="BP496" s="1358" t="n"/>
      <c r="BQ496" s="1358" t="n"/>
      <c r="BR496" s="1358" t="n"/>
      <c r="BS496" s="1358" t="n"/>
      <c r="BT496" s="1358" t="n"/>
      <c r="BU496" s="1358" t="n"/>
      <c r="BV496" s="1358" t="n"/>
      <c r="BW496" s="1358" t="n"/>
      <c r="BX496" s="1358" t="n"/>
      <c r="BY496" s="1358" t="n"/>
      <c r="BZ496" s="1358" t="n"/>
      <c r="CA496" s="1358" t="n"/>
      <c r="CB496" s="1358" t="n"/>
      <c r="CC496" s="1280" t="n"/>
    </row>
    <row r="497" ht="14.4" customFormat="1" customHeight="1" s="1723">
      <c r="A497" s="1724">
        <f>"Stock Price (Trading Cur.) - "&amp;MO.ValuationToggle&amp;", "&amp;HP.TradeCurrency</f>
        <v/>
      </c>
      <c r="B497" s="1725" t="inlineStr">
        <is>
          <t>EoP</t>
        </is>
      </c>
      <c r="C497" s="1726">
        <f>IF(INDEX(MO_SNA_IsHistoricalPeriod,1,COLUMN())=FALSE,MO.LastPrice,CHOOSE(VLOOKUP(MO.ValuationToggle,tb_ValuationToggle,COLUMNS(tb_ValuationToggle),FALSE),C508,C509,C510,C511))</f>
        <v/>
      </c>
      <c r="D497" s="1726">
        <f>IF(INDEX(MO_SNA_IsHistoricalPeriod,1,COLUMN())=FALSE,MO.LastPrice,CHOOSE(VLOOKUP(MO.ValuationToggle,tb_ValuationToggle,COLUMNS(tb_ValuationToggle),FALSE),D508,D509,D510,D511))</f>
        <v/>
      </c>
      <c r="E497" s="1726">
        <f>IF(INDEX(MO_SNA_IsHistoricalPeriod,1,COLUMN())=FALSE,MO.LastPrice,CHOOSE(VLOOKUP(MO.ValuationToggle,tb_ValuationToggle,COLUMNS(tb_ValuationToggle),FALSE),E508,E509,E510,E511))</f>
        <v/>
      </c>
      <c r="F497" s="1726">
        <f>IF(INDEX(MO_SNA_IsHistoricalPeriod,1,COLUMN())=FALSE,MO.LastPrice,CHOOSE(VLOOKUP(MO.ValuationToggle,tb_ValuationToggle,COLUMNS(tb_ValuationToggle),FALSE),F508,F509,F510,F511))</f>
        <v/>
      </c>
      <c r="G497" s="1726">
        <f>IF(INDEX(MO_SNA_IsHistoricalPeriod,1,COLUMN())=FALSE,MO.LastPrice,CHOOSE(VLOOKUP(MO.ValuationToggle,tb_ValuationToggle,COLUMNS(tb_ValuationToggle),FALSE),G508,G509,G510,G511))</f>
        <v/>
      </c>
      <c r="H497" s="1727">
        <f>IF(INDEX(MO_SNA_IsHistoricalPeriod,1,COLUMN())=FALSE,MO.LastPrice,CHOOSE(VLOOKUP(MO.ValuationToggle,tb_ValuationToggle,COLUMNS(tb_ValuationToggle),FALSE),H508,H509,H510,H511))</f>
        <v/>
      </c>
      <c r="I497" s="1727">
        <f>IF(INDEX(MO_SNA_IsHistoricalPeriod,1,COLUMN())=FALSE,MO.LastPrice,CHOOSE(VLOOKUP(MO.ValuationToggle,tb_ValuationToggle,COLUMNS(tb_ValuationToggle),FALSE),I508,I509,I510,I511))</f>
        <v/>
      </c>
      <c r="J497" s="1727">
        <f>IF(INDEX(MO_SNA_IsHistoricalPeriod,1,COLUMN())=FALSE,MO.LastPrice,CHOOSE(VLOOKUP(MO.ValuationToggle,tb_ValuationToggle,COLUMNS(tb_ValuationToggle),FALSE),J508,J509,J510,J511))</f>
        <v/>
      </c>
      <c r="K497" s="1727">
        <f>IF(INDEX(MO_SNA_IsHistoricalPeriod,1,COLUMN())=FALSE,MO.LastPrice,CHOOSE(VLOOKUP(MO.ValuationToggle,tb_ValuationToggle,COLUMNS(tb_ValuationToggle),FALSE),K508,K509,K510,K511))</f>
        <v/>
      </c>
      <c r="L497" s="1726">
        <f>IF(INDEX(MO_SNA_IsHistoricalPeriod,1,COLUMN())=FALSE,MO.LastPrice,CHOOSE(VLOOKUP(MO.ValuationToggle,tb_ValuationToggle,COLUMNS(tb_ValuationToggle),FALSE),L508,L509,L510,L511))</f>
        <v/>
      </c>
      <c r="M497" s="1727">
        <f>IF(INDEX(MO_SNA_IsHistoricalPeriod,1,COLUMN())=FALSE,MO.LastPrice,CHOOSE(VLOOKUP(MO.ValuationToggle,tb_ValuationToggle,COLUMNS(tb_ValuationToggle),FALSE),M508,M509,M510,M511))</f>
        <v/>
      </c>
      <c r="N497" s="1727">
        <f>IF(INDEX(MO_SNA_IsHistoricalPeriod,1,COLUMN())=FALSE,MO.LastPrice,CHOOSE(VLOOKUP(MO.ValuationToggle,tb_ValuationToggle,COLUMNS(tb_ValuationToggle),FALSE),N508,N509,N510,N511))</f>
        <v/>
      </c>
      <c r="O497" s="1727">
        <f>IF(INDEX(MO_SNA_IsHistoricalPeriod,1,COLUMN())=FALSE,MO.LastPrice,CHOOSE(VLOOKUP(MO.ValuationToggle,tb_ValuationToggle,COLUMNS(tb_ValuationToggle),FALSE),O508,O509,O510,O511))</f>
        <v/>
      </c>
      <c r="P497" s="1727">
        <f>IF(INDEX(MO_SNA_IsHistoricalPeriod,1,COLUMN())=FALSE,MO.LastPrice,CHOOSE(VLOOKUP(MO.ValuationToggle,tb_ValuationToggle,COLUMNS(tb_ValuationToggle),FALSE),P508,P509,P510,P511))</f>
        <v/>
      </c>
      <c r="Q497" s="1726">
        <f>IF(INDEX(MO_SNA_IsHistoricalPeriod,1,COLUMN())=FALSE,MO.LastPrice,CHOOSE(VLOOKUP(MO.ValuationToggle,tb_ValuationToggle,COLUMNS(tb_ValuationToggle),FALSE),Q508,Q509,Q510,Q511))</f>
        <v/>
      </c>
      <c r="R497" s="1727">
        <f>IF(INDEX(MO_SNA_IsHistoricalPeriod,1,COLUMN())=FALSE,MO.LastPrice,CHOOSE(VLOOKUP(MO.ValuationToggle,tb_ValuationToggle,COLUMNS(tb_ValuationToggle),FALSE),R508,R509,R510,R511))</f>
        <v/>
      </c>
      <c r="S497" s="1727">
        <f>IF(INDEX(MO_SNA_IsHistoricalPeriod,1,COLUMN())=FALSE,MO.LastPrice,CHOOSE(VLOOKUP(MO.ValuationToggle,tb_ValuationToggle,COLUMNS(tb_ValuationToggle),FALSE),S508,S509,S510,S511))</f>
        <v/>
      </c>
      <c r="T497" s="1727">
        <f>IF(INDEX(MO_SNA_IsHistoricalPeriod,1,COLUMN())=FALSE,MO.LastPrice,CHOOSE(VLOOKUP(MO.ValuationToggle,tb_ValuationToggle,COLUMNS(tb_ValuationToggle),FALSE),T508,T509,T510,T511))</f>
        <v/>
      </c>
      <c r="U497" s="1727">
        <f>IF(INDEX(MO_SNA_IsHistoricalPeriod,1,COLUMN())=FALSE,MO.LastPrice,CHOOSE(VLOOKUP(MO.ValuationToggle,tb_ValuationToggle,COLUMNS(tb_ValuationToggle),FALSE),U508,U509,U510,U511))</f>
        <v/>
      </c>
      <c r="V497" s="1726">
        <f>IF(INDEX(MO_SNA_IsHistoricalPeriod,1,COLUMN())=FALSE,MO.LastPrice,CHOOSE(VLOOKUP(MO.ValuationToggle,tb_ValuationToggle,COLUMNS(tb_ValuationToggle),FALSE),V508,V509,V510,V511))</f>
        <v/>
      </c>
      <c r="W497" s="1727">
        <f>IF(INDEX(MO_SNA_IsHistoricalPeriod,1,COLUMN())=FALSE,MO.LastPrice,CHOOSE(VLOOKUP(MO.ValuationToggle,tb_ValuationToggle,COLUMNS(tb_ValuationToggle),FALSE),W508,W509,W510,W511))</f>
        <v/>
      </c>
      <c r="X497" s="1727">
        <f>IF(INDEX(MO_SNA_IsHistoricalPeriod,1,COLUMN())=FALSE,MO.LastPrice,CHOOSE(VLOOKUP(MO.ValuationToggle,tb_ValuationToggle,COLUMNS(tb_ValuationToggle),FALSE),X508,X509,X510,X511))</f>
        <v/>
      </c>
      <c r="Y497" s="1727">
        <f>IF(INDEX(MO_SNA_IsHistoricalPeriod,1,COLUMN())=FALSE,MO.LastPrice,CHOOSE(VLOOKUP(MO.ValuationToggle,tb_ValuationToggle,COLUMNS(tb_ValuationToggle),FALSE),Y508,Y509,Y510,Y511))</f>
        <v/>
      </c>
      <c r="Z497" s="1727">
        <f>IF(INDEX(MO_SNA_IsHistoricalPeriod,1,COLUMN())=FALSE,MO.LastPrice,CHOOSE(VLOOKUP(MO.ValuationToggle,tb_ValuationToggle,COLUMNS(tb_ValuationToggle),FALSE),Z508,Z509,Z510,Z511))</f>
        <v/>
      </c>
      <c r="AA497" s="1726">
        <f>IF(INDEX(MO_SNA_IsHistoricalPeriod,1,COLUMN())=FALSE,MO.LastPrice,CHOOSE(VLOOKUP(MO.ValuationToggle,tb_ValuationToggle,COLUMNS(tb_ValuationToggle),FALSE),AA508,AA509,AA510,AA511))</f>
        <v/>
      </c>
      <c r="AB497" s="1727">
        <f>IF(INDEX(MO_SNA_IsHistoricalPeriod,1,COLUMN())=FALSE,MO.LastPrice,CHOOSE(VLOOKUP(MO.ValuationToggle,tb_ValuationToggle,COLUMNS(tb_ValuationToggle),FALSE),AB508,AB509,AB510,AB511))</f>
        <v/>
      </c>
      <c r="AC497" s="1727">
        <f>IF(INDEX(MO_SNA_IsHistoricalPeriod,1,COLUMN())=FALSE,MO.LastPrice,CHOOSE(VLOOKUP(MO.ValuationToggle,tb_ValuationToggle,COLUMNS(tb_ValuationToggle),FALSE),AC508,AC509,AC510,AC511))</f>
        <v/>
      </c>
      <c r="AD497" s="1727">
        <f>IF(INDEX(MO_SNA_IsHistoricalPeriod,1,COLUMN())=FALSE,MO.LastPrice,CHOOSE(VLOOKUP(MO.ValuationToggle,tb_ValuationToggle,COLUMNS(tb_ValuationToggle),FALSE),AD508,AD509,AD510,AD511))</f>
        <v/>
      </c>
      <c r="AE497" s="1727">
        <f>IF(INDEX(MO_SNA_IsHistoricalPeriod,1,COLUMN())=FALSE,MO.LastPrice,CHOOSE(VLOOKUP(MO.ValuationToggle,tb_ValuationToggle,COLUMNS(tb_ValuationToggle),FALSE),AE508,AE509,AE510,AE511))</f>
        <v/>
      </c>
      <c r="AF497" s="1726">
        <f>IF(INDEX(MO_SNA_IsHistoricalPeriod,1,COLUMN())=FALSE,MO.LastPrice,CHOOSE(VLOOKUP(MO.ValuationToggle,tb_ValuationToggle,COLUMNS(tb_ValuationToggle),FALSE),AF508,AF509,AF510,AF511))</f>
        <v/>
      </c>
      <c r="AG497" s="1727">
        <f>IF(INDEX(MO_SNA_IsHistoricalPeriod,1,COLUMN())=FALSE,MO.LastPrice,CHOOSE(VLOOKUP(MO.ValuationToggle,tb_ValuationToggle,COLUMNS(tb_ValuationToggle),FALSE),AG508,AG509,AG510,AG511))</f>
        <v/>
      </c>
      <c r="AH497" s="1727">
        <f>IF(INDEX(MO_SNA_IsHistoricalPeriod,1,COLUMN())=FALSE,MO.LastPrice,CHOOSE(VLOOKUP(MO.ValuationToggle,tb_ValuationToggle,COLUMNS(tb_ValuationToggle),FALSE),AH508,AH509,AH510,AH511))</f>
        <v/>
      </c>
      <c r="AI497" s="1727">
        <f>IF(INDEX(MO_SNA_IsHistoricalPeriod,1,COLUMN())=FALSE,MO.LastPrice,CHOOSE(VLOOKUP(MO.ValuationToggle,tb_ValuationToggle,COLUMNS(tb_ValuationToggle),FALSE),AI508,AI509,AI510,AI511))</f>
        <v/>
      </c>
      <c r="AJ497" s="1727">
        <f>IF(INDEX(MO_SNA_IsHistoricalPeriod,1,COLUMN())=FALSE,MO.LastPrice,CHOOSE(VLOOKUP(MO.ValuationToggle,tb_ValuationToggle,COLUMNS(tb_ValuationToggle),FALSE),AJ508,AJ509,AJ510,AJ511))</f>
        <v/>
      </c>
      <c r="AK497" s="1726">
        <f>IF(INDEX(MO_SNA_IsHistoricalPeriod,1,COLUMN())=FALSE,MO.LastPrice,CHOOSE(VLOOKUP(MO.ValuationToggle,tb_ValuationToggle,COLUMNS(tb_ValuationToggle),FALSE),AK508,AK509,AK510,AK511))</f>
        <v/>
      </c>
      <c r="AL497" s="1727">
        <f>IF(INDEX(MO_SNA_IsHistoricalPeriod,1,COLUMN())=FALSE,MO.LastPrice,CHOOSE(VLOOKUP(MO.ValuationToggle,tb_ValuationToggle,COLUMNS(tb_ValuationToggle),FALSE),AL508,AL509,AL510,AL511))</f>
        <v/>
      </c>
      <c r="AM497" s="1727">
        <f>IF(INDEX(MO_SNA_IsHistoricalPeriod,1,COLUMN())=FALSE,MO.LastPrice,CHOOSE(VLOOKUP(MO.ValuationToggle,tb_ValuationToggle,COLUMNS(tb_ValuationToggle),FALSE),AM508,AM509,AM510,AM511))</f>
        <v/>
      </c>
      <c r="AN497" s="1727">
        <f>IF(INDEX(MO_SNA_IsHistoricalPeriod,1,COLUMN())=FALSE,MO.LastPrice,CHOOSE(VLOOKUP(MO.ValuationToggle,tb_ValuationToggle,COLUMNS(tb_ValuationToggle),FALSE),AN508,AN509,AN510,AN511))</f>
        <v/>
      </c>
      <c r="AO497" s="1727">
        <f>IF(INDEX(MO_SNA_IsHistoricalPeriod,1,COLUMN())=FALSE,MO.LastPrice,CHOOSE(VLOOKUP(MO.ValuationToggle,tb_ValuationToggle,COLUMNS(tb_ValuationToggle),FALSE),AO508,AO509,AO510,AO511))</f>
        <v/>
      </c>
      <c r="AP497" s="1726">
        <f>IF(INDEX(MO_SNA_IsHistoricalPeriod,1,COLUMN())=FALSE,MO.LastPrice,CHOOSE(VLOOKUP(MO.ValuationToggle,tb_ValuationToggle,COLUMNS(tb_ValuationToggle),FALSE),AP508,AP509,AP510,AP511))</f>
        <v/>
      </c>
      <c r="AQ497" s="1727">
        <f>IF(INDEX(MO_SNA_IsHistoricalPeriod,1,COLUMN())=FALSE,MO.LastPrice,CHOOSE(VLOOKUP(MO.ValuationToggle,tb_ValuationToggle,COLUMNS(tb_ValuationToggle),FALSE),AQ508,AQ509,AQ510,AQ511))</f>
        <v/>
      </c>
      <c r="AR497" s="1727">
        <f>IF(INDEX(MO_SNA_IsHistoricalPeriod,1,COLUMN())=FALSE,MO.LastPrice,CHOOSE(VLOOKUP(MO.ValuationToggle,tb_ValuationToggle,COLUMNS(tb_ValuationToggle),FALSE),AR508,AR509,AR510,AR511))</f>
        <v/>
      </c>
      <c r="AS497" s="1727">
        <f>IF(INDEX(MO_SNA_IsHistoricalPeriod,1,COLUMN())=FALSE,MO.LastPrice,CHOOSE(VLOOKUP(MO.ValuationToggle,tb_ValuationToggle,COLUMNS(tb_ValuationToggle),FALSE),AS508,AS509,AS510,AS511))</f>
        <v/>
      </c>
      <c r="AT497" s="1727">
        <f>IF(INDEX(MO_SNA_IsHistoricalPeriod,1,COLUMN())=FALSE,MO.LastPrice,CHOOSE(VLOOKUP(MO.ValuationToggle,tb_ValuationToggle,COLUMNS(tb_ValuationToggle),FALSE),AT508,AT509,AT510,AT511))</f>
        <v/>
      </c>
      <c r="AU497" s="1726">
        <f>IF(INDEX(MO_SNA_IsHistoricalPeriod,1,COLUMN())=FALSE,MO.LastPrice,CHOOSE(VLOOKUP(MO.ValuationToggle,tb_ValuationToggle,COLUMNS(tb_ValuationToggle),FALSE),AU508,AU509,AU510,AU511))</f>
        <v/>
      </c>
      <c r="AV497" s="1727">
        <f>IF(INDEX(MO_SNA_IsHistoricalPeriod,1,COLUMN())=FALSE,MO.LastPrice,CHOOSE(VLOOKUP(MO.ValuationToggle,tb_ValuationToggle,COLUMNS(tb_ValuationToggle),FALSE),AV508,AV509,AV510,AV511))</f>
        <v/>
      </c>
      <c r="AW497" s="1727">
        <f>IF(INDEX(MO_SNA_IsHistoricalPeriod,1,COLUMN())=FALSE,MO.LastPrice,CHOOSE(VLOOKUP(MO.ValuationToggle,tb_ValuationToggle,COLUMNS(tb_ValuationToggle),FALSE),AW508,AW509,AW510,AW511))</f>
        <v/>
      </c>
      <c r="AX497" s="1727">
        <f>IF(INDEX(MO_SNA_IsHistoricalPeriod,1,COLUMN())=FALSE,MO.LastPrice,CHOOSE(VLOOKUP(MO.ValuationToggle,tb_ValuationToggle,COLUMNS(tb_ValuationToggle),FALSE),AX508,AX509,AX510,AX511))</f>
        <v/>
      </c>
      <c r="AY497" s="1727">
        <f>IF(INDEX(MO_SNA_IsHistoricalPeriod,1,COLUMN())=FALSE,MO.LastPrice,CHOOSE(VLOOKUP(MO.ValuationToggle,tb_ValuationToggle,COLUMNS(tb_ValuationToggle),FALSE),AY508,AY509,AY510,AY511))</f>
        <v/>
      </c>
      <c r="AZ497" s="1726">
        <f>IF(INDEX(MO_SNA_IsHistoricalPeriod,1,COLUMN())=FALSE,MO.LastPrice,CHOOSE(VLOOKUP(MO.ValuationToggle,tb_ValuationToggle,COLUMNS(tb_ValuationToggle),FALSE),AZ508,AZ509,AZ510,AZ511))</f>
        <v/>
      </c>
      <c r="BA497" s="1727">
        <f>IF(INDEX(MO_SNA_IsHistoricalPeriod,1,COLUMN())=FALSE,MO.LastPrice,CHOOSE(VLOOKUP(MO.ValuationToggle,tb_ValuationToggle,COLUMNS(tb_ValuationToggle),FALSE),BA508,BA509,BA510,BA511))</f>
        <v/>
      </c>
      <c r="BB497" s="1727">
        <f>IF(INDEX(MO_SNA_IsHistoricalPeriod,1,COLUMN())=FALSE,MO.LastPrice,CHOOSE(VLOOKUP(MO.ValuationToggle,tb_ValuationToggle,COLUMNS(tb_ValuationToggle),FALSE),BB508,BB509,BB510,BB511))</f>
        <v/>
      </c>
      <c r="BC497" s="1727">
        <f>IF(INDEX(MO_SNA_IsHistoricalPeriod,1,COLUMN())=FALSE,MO.LastPrice,CHOOSE(VLOOKUP(MO.ValuationToggle,tb_ValuationToggle,COLUMNS(tb_ValuationToggle),FALSE),BC508,BC509,BC510,BC511))</f>
        <v/>
      </c>
      <c r="BD497" s="1727">
        <f>IF(INDEX(MO_SNA_IsHistoricalPeriod,1,COLUMN())=FALSE,MO.LastPrice,CHOOSE(VLOOKUP(MO.ValuationToggle,tb_ValuationToggle,COLUMNS(tb_ValuationToggle),FALSE),BD508,BD509,BD510,BD511))</f>
        <v/>
      </c>
      <c r="BE497" s="1726">
        <f>IF(INDEX(MO_SNA_IsHistoricalPeriod,1,COLUMN())=FALSE,MO.LastPrice,CHOOSE(VLOOKUP(MO.ValuationToggle,tb_ValuationToggle,COLUMNS(tb_ValuationToggle),FALSE),BE508,BE509,BE510,BE511))</f>
        <v/>
      </c>
      <c r="BF497" s="1727">
        <f>IF(INDEX(MO_SNA_IsHistoricalPeriod,1,COLUMN())=FALSE,MO.LastPrice,CHOOSE(VLOOKUP(MO.ValuationToggle,tb_ValuationToggle,COLUMNS(tb_ValuationToggle),FALSE),BF508,BF509,BF510,BF511))</f>
        <v/>
      </c>
      <c r="BG497" s="1727">
        <f>IF(INDEX(MO_SNA_IsHistoricalPeriod,1,COLUMN())=FALSE,MO.LastPrice,CHOOSE(VLOOKUP(MO.ValuationToggle,tb_ValuationToggle,COLUMNS(tb_ValuationToggle),FALSE),BG508,BG509,BG510,BG511))</f>
        <v/>
      </c>
      <c r="BH497" s="1727">
        <f>IF(INDEX(MO_SNA_IsHistoricalPeriod,1,COLUMN())=FALSE,MO.LastPrice,CHOOSE(VLOOKUP(MO.ValuationToggle,tb_ValuationToggle,COLUMNS(tb_ValuationToggle),FALSE),BH508,BH509,BH510,BH511))</f>
        <v/>
      </c>
      <c r="BI497" s="1727">
        <f>IF(INDEX(MO_SNA_IsHistoricalPeriod,1,COLUMN())=FALSE,MO.LastPrice,CHOOSE(VLOOKUP(MO.ValuationToggle,tb_ValuationToggle,COLUMNS(tb_ValuationToggle),FALSE),BI508,BI509,BI510,BI511))</f>
        <v/>
      </c>
      <c r="BJ497" s="1726">
        <f>IF(INDEX(MO_SNA_IsHistoricalPeriod,1,COLUMN())=FALSE,MO.LastPrice,CHOOSE(VLOOKUP(MO.ValuationToggle,tb_ValuationToggle,COLUMNS(tb_ValuationToggle),FALSE),BJ508,BJ509,BJ510,BJ511))</f>
        <v/>
      </c>
      <c r="BK497" s="1727">
        <f>IF(INDEX(MO_SNA_IsHistoricalPeriod,1,COLUMN())=FALSE,MO.LastPrice,CHOOSE(VLOOKUP(MO.ValuationToggle,tb_ValuationToggle,COLUMNS(tb_ValuationToggle),FALSE),BK508,BK509,BK510,BK511))</f>
        <v/>
      </c>
      <c r="BL497" s="1727">
        <f>IF(INDEX(MO_SNA_IsHistoricalPeriod,1,COLUMN())=FALSE,MO.LastPrice,CHOOSE(VLOOKUP(MO.ValuationToggle,tb_ValuationToggle,COLUMNS(tb_ValuationToggle),FALSE),BL508,BL509,BL510,BL511))</f>
        <v/>
      </c>
      <c r="BM497" s="1727">
        <f>IF(INDEX(MO_SNA_IsHistoricalPeriod,1,COLUMN())=FALSE,MO.LastPrice,CHOOSE(VLOOKUP(MO.ValuationToggle,tb_ValuationToggle,COLUMNS(tb_ValuationToggle),FALSE),BM508,BM509,BM510,BM511))</f>
        <v/>
      </c>
      <c r="BN497" s="1727">
        <f>IF(INDEX(MO_SNA_IsHistoricalPeriod,1,COLUMN())=FALSE,MO.LastPrice,CHOOSE(VLOOKUP(MO.ValuationToggle,tb_ValuationToggle,COLUMNS(tb_ValuationToggle),FALSE),BN508,BN509,BN510,BN511))</f>
        <v/>
      </c>
      <c r="BO497" s="1728">
        <f>IF(INDEX(MO_SNA_IsHistoricalPeriod,1,COLUMN())=FALSE,MO.LastPrice,CHOOSE(VLOOKUP(MO.ValuationToggle,tb_ValuationToggle,COLUMNS(tb_ValuationToggle),FALSE),BO508,BO509,BO510,BO511))</f>
        <v/>
      </c>
      <c r="BP497" s="1729">
        <f>IF(INDEX(MO_SNA_IsHistoricalPeriod,1,COLUMN())=FALSE,MO.LastPrice,CHOOSE(VLOOKUP(MO.ValuationToggle,tb_ValuationToggle,COLUMNS(tb_ValuationToggle),FALSE),BP508,BP509,BP510,BP511))</f>
        <v/>
      </c>
      <c r="BQ497" s="1729">
        <f>IF(INDEX(MO_SNA_IsHistoricalPeriod,1,COLUMN())=FALSE,MO.LastPrice,CHOOSE(VLOOKUP(MO.ValuationToggle,tb_ValuationToggle,COLUMNS(tb_ValuationToggle),FALSE),BQ508,BQ509,BQ510,BQ511))</f>
        <v/>
      </c>
      <c r="BR497" s="1729">
        <f>IF(INDEX(MO_SNA_IsHistoricalPeriod,1,COLUMN())=FALSE,MO.LastPrice,CHOOSE(VLOOKUP(MO.ValuationToggle,tb_ValuationToggle,COLUMNS(tb_ValuationToggle),FALSE),BR508,BR509,BR510,BR511))</f>
        <v/>
      </c>
      <c r="BS497" s="1729">
        <f>IF(INDEX(MO_SNA_IsHistoricalPeriod,1,COLUMN())=FALSE,MO.LastPrice,CHOOSE(VLOOKUP(MO.ValuationToggle,tb_ValuationToggle,COLUMNS(tb_ValuationToggle),FALSE),BS508,BS509,BS510,BS511))</f>
        <v/>
      </c>
      <c r="BT497" s="1730">
        <f>IF(INDEX(MO_SNA_IsHistoricalPeriod,1,COLUMN())=FALSE,MO.LastPrice,CHOOSE(VLOOKUP(MO.ValuationToggle,tb_ValuationToggle,COLUMNS(tb_ValuationToggle),FALSE),BT508,BT509,BT510,BT511))</f>
        <v/>
      </c>
      <c r="BU497" s="1729">
        <f>IF(INDEX(MO_SNA_IsHistoricalPeriod,1,COLUMN())=FALSE,MO.LastPrice,CHOOSE(VLOOKUP(MO.ValuationToggle,tb_ValuationToggle,COLUMNS(tb_ValuationToggle),FALSE),BU508,BU509,BU510,BU511))</f>
        <v/>
      </c>
      <c r="BV497" s="1729">
        <f>IF(INDEX(MO_SNA_IsHistoricalPeriod,1,COLUMN())=FALSE,MO.LastPrice,CHOOSE(VLOOKUP(MO.ValuationToggle,tb_ValuationToggle,COLUMNS(tb_ValuationToggle),FALSE),BV508,BV509,BV510,BV511))</f>
        <v/>
      </c>
      <c r="BW497" s="1729">
        <f>IF(INDEX(MO_SNA_IsHistoricalPeriod,1,COLUMN())=FALSE,MO.LastPrice,CHOOSE(VLOOKUP(MO.ValuationToggle,tb_ValuationToggle,COLUMNS(tb_ValuationToggle),FALSE),BW508,BW509,BW510,BW511))</f>
        <v/>
      </c>
      <c r="BX497" s="1729">
        <f>IF(INDEX(MO_SNA_IsHistoricalPeriod,1,COLUMN())=FALSE,MO.LastPrice,CHOOSE(VLOOKUP(MO.ValuationToggle,tb_ValuationToggle,COLUMNS(tb_ValuationToggle),FALSE),BX508,BX509,BX510,BX511))</f>
        <v/>
      </c>
      <c r="BY497" s="1730">
        <f>IF(INDEX(MO_SNA_IsHistoricalPeriod,1,COLUMN())=FALSE,MO.LastPrice,CHOOSE(VLOOKUP(MO.ValuationToggle,tb_ValuationToggle,COLUMNS(tb_ValuationToggle),FALSE),BY508,BY509,BY510,BY511))</f>
        <v/>
      </c>
      <c r="BZ497" s="1730">
        <f>IF(INDEX(MO_SNA_IsHistoricalPeriod,1,COLUMN())=FALSE,MO.LastPrice,CHOOSE(VLOOKUP(MO.ValuationToggle,tb_ValuationToggle,COLUMNS(tb_ValuationToggle),FALSE),BZ508,BZ509,BZ510,BZ511))</f>
        <v/>
      </c>
      <c r="CA497" s="1730">
        <f>IF(INDEX(MO_SNA_IsHistoricalPeriod,1,COLUMN())=FALSE,MO.LastPrice,CHOOSE(VLOOKUP(MO.ValuationToggle,tb_ValuationToggle,COLUMNS(tb_ValuationToggle),FALSE),CA508,CA509,CA510,CA511))</f>
        <v/>
      </c>
      <c r="CB497" s="1730">
        <f>IF(INDEX(MO_SNA_IsHistoricalPeriod,1,COLUMN())=FALSE,MO.LastPrice,CHOOSE(VLOOKUP(MO.ValuationToggle,tb_ValuationToggle,COLUMNS(tb_ValuationToggle),FALSE),CB508,CB509,CB510,CB511))</f>
        <v/>
      </c>
      <c r="CC497" s="1731" t="n"/>
    </row>
    <row r="498" ht="14.4" customFormat="1" customHeight="1" s="1723">
      <c r="A498" s="1732">
        <f>"Stock Price (Reporting Cur.) - "&amp;MO.ValuationToggle&amp;", "&amp;MO.ReportCurrency</f>
        <v/>
      </c>
      <c r="B498" s="1733" t="n"/>
      <c r="C498" s="1734">
        <f>IF(MO.ValuationToggle="EoP",INDEX(MO_VA_StockPrice_TradingCurrency,1,COLUMN())/INDEX(MO_VA_FX_EoP,1,COLUMN()),INDEX(MO_VA_StockPrice_TradingCurrency,1,COLUMN())/INDEX(MO_VA_FX_Average,1,COLUMN()))</f>
        <v/>
      </c>
      <c r="D498" s="1734">
        <f>IF(MO.ValuationToggle="EoP",INDEX(MO_VA_StockPrice_TradingCurrency,1,COLUMN())/INDEX(MO_VA_FX_EoP,1,COLUMN()),INDEX(MO_VA_StockPrice_TradingCurrency,1,COLUMN())/INDEX(MO_VA_FX_Average,1,COLUMN()))</f>
        <v/>
      </c>
      <c r="E498" s="1734">
        <f>IF(MO.ValuationToggle="EoP",INDEX(MO_VA_StockPrice_TradingCurrency,1,COLUMN())/INDEX(MO_VA_FX_EoP,1,COLUMN()),INDEX(MO_VA_StockPrice_TradingCurrency,1,COLUMN())/INDEX(MO_VA_FX_Average,1,COLUMN()))</f>
        <v/>
      </c>
      <c r="F498" s="1734">
        <f>IF(MO.ValuationToggle="EoP",INDEX(MO_VA_StockPrice_TradingCurrency,1,COLUMN())/INDEX(MO_VA_FX_EoP,1,COLUMN()),INDEX(MO_VA_StockPrice_TradingCurrency,1,COLUMN())/INDEX(MO_VA_FX_Average,1,COLUMN()))</f>
        <v/>
      </c>
      <c r="G498" s="1734">
        <f>IF(MO.ValuationToggle="EoP",INDEX(MO_VA_StockPrice_TradingCurrency,1,COLUMN())/INDEX(MO_VA_FX_EoP,1,COLUMN()),INDEX(MO_VA_StockPrice_TradingCurrency,1,COLUMN())/INDEX(MO_VA_FX_Average,1,COLUMN()))</f>
        <v/>
      </c>
      <c r="H498" s="1735">
        <f>IF(MO.ValuationToggle="EoP",INDEX(MO_VA_StockPrice_TradingCurrency,1,COLUMN())/INDEX(MO_VA_FX_EoP,1,COLUMN()),INDEX(MO_VA_StockPrice_TradingCurrency,1,COLUMN())/INDEX(MO_VA_FX_Average,1,COLUMN()))</f>
        <v/>
      </c>
      <c r="I498" s="1735">
        <f>IF(MO.ValuationToggle="EoP",INDEX(MO_VA_StockPrice_TradingCurrency,1,COLUMN())/INDEX(MO_VA_FX_EoP,1,COLUMN()),INDEX(MO_VA_StockPrice_TradingCurrency,1,COLUMN())/INDEX(MO_VA_FX_Average,1,COLUMN()))</f>
        <v/>
      </c>
      <c r="J498" s="1735">
        <f>IF(MO.ValuationToggle="EoP",INDEX(MO_VA_StockPrice_TradingCurrency,1,COLUMN())/INDEX(MO_VA_FX_EoP,1,COLUMN()),INDEX(MO_VA_StockPrice_TradingCurrency,1,COLUMN())/INDEX(MO_VA_FX_Average,1,COLUMN()))</f>
        <v/>
      </c>
      <c r="K498" s="1735">
        <f>IF(MO.ValuationToggle="EoP",INDEX(MO_VA_StockPrice_TradingCurrency,1,COLUMN())/INDEX(MO_VA_FX_EoP,1,COLUMN()),INDEX(MO_VA_StockPrice_TradingCurrency,1,COLUMN())/INDEX(MO_VA_FX_Average,1,COLUMN()))</f>
        <v/>
      </c>
      <c r="L498" s="1734">
        <f>IF(MO.ValuationToggle="EoP",INDEX(MO_VA_StockPrice_TradingCurrency,1,COLUMN())/INDEX(MO_VA_FX_EoP,1,COLUMN()),INDEX(MO_VA_StockPrice_TradingCurrency,1,COLUMN())/INDEX(MO_VA_FX_Average,1,COLUMN()))</f>
        <v/>
      </c>
      <c r="M498" s="1735">
        <f>IF(MO.ValuationToggle="EoP",INDEX(MO_VA_StockPrice_TradingCurrency,1,COLUMN())/INDEX(MO_VA_FX_EoP,1,COLUMN()),INDEX(MO_VA_StockPrice_TradingCurrency,1,COLUMN())/INDEX(MO_VA_FX_Average,1,COLUMN()))</f>
        <v/>
      </c>
      <c r="N498" s="1735">
        <f>IF(MO.ValuationToggle="EoP",INDEX(MO_VA_StockPrice_TradingCurrency,1,COLUMN())/INDEX(MO_VA_FX_EoP,1,COLUMN()),INDEX(MO_VA_StockPrice_TradingCurrency,1,COLUMN())/INDEX(MO_VA_FX_Average,1,COLUMN()))</f>
        <v/>
      </c>
      <c r="O498" s="1735">
        <f>IF(MO.ValuationToggle="EoP",INDEX(MO_VA_StockPrice_TradingCurrency,1,COLUMN())/INDEX(MO_VA_FX_EoP,1,COLUMN()),INDEX(MO_VA_StockPrice_TradingCurrency,1,COLUMN())/INDEX(MO_VA_FX_Average,1,COLUMN()))</f>
        <v/>
      </c>
      <c r="P498" s="1735">
        <f>IF(MO.ValuationToggle="EoP",INDEX(MO_VA_StockPrice_TradingCurrency,1,COLUMN())/INDEX(MO_VA_FX_EoP,1,COLUMN()),INDEX(MO_VA_StockPrice_TradingCurrency,1,COLUMN())/INDEX(MO_VA_FX_Average,1,COLUMN()))</f>
        <v/>
      </c>
      <c r="Q498" s="1734">
        <f>IF(MO.ValuationToggle="EoP",INDEX(MO_VA_StockPrice_TradingCurrency,1,COLUMN())/INDEX(MO_VA_FX_EoP,1,COLUMN()),INDEX(MO_VA_StockPrice_TradingCurrency,1,COLUMN())/INDEX(MO_VA_FX_Average,1,COLUMN()))</f>
        <v/>
      </c>
      <c r="R498" s="1735">
        <f>IF(MO.ValuationToggle="EoP",INDEX(MO_VA_StockPrice_TradingCurrency,1,COLUMN())/INDEX(MO_VA_FX_EoP,1,COLUMN()),INDEX(MO_VA_StockPrice_TradingCurrency,1,COLUMN())/INDEX(MO_VA_FX_Average,1,COLUMN()))</f>
        <v/>
      </c>
      <c r="S498" s="1735">
        <f>IF(MO.ValuationToggle="EoP",INDEX(MO_VA_StockPrice_TradingCurrency,1,COLUMN())/INDEX(MO_VA_FX_EoP,1,COLUMN()),INDEX(MO_VA_StockPrice_TradingCurrency,1,COLUMN())/INDEX(MO_VA_FX_Average,1,COLUMN()))</f>
        <v/>
      </c>
      <c r="T498" s="1735">
        <f>IF(MO.ValuationToggle="EoP",INDEX(MO_VA_StockPrice_TradingCurrency,1,COLUMN())/INDEX(MO_VA_FX_EoP,1,COLUMN()),INDEX(MO_VA_StockPrice_TradingCurrency,1,COLUMN())/INDEX(MO_VA_FX_Average,1,COLUMN()))</f>
        <v/>
      </c>
      <c r="U498" s="1735">
        <f>IF(MO.ValuationToggle="EoP",INDEX(MO_VA_StockPrice_TradingCurrency,1,COLUMN())/INDEX(MO_VA_FX_EoP,1,COLUMN()),INDEX(MO_VA_StockPrice_TradingCurrency,1,COLUMN())/INDEX(MO_VA_FX_Average,1,COLUMN()))</f>
        <v/>
      </c>
      <c r="V498" s="1734">
        <f>IF(MO.ValuationToggle="EoP",INDEX(MO_VA_StockPrice_TradingCurrency,1,COLUMN())/INDEX(MO_VA_FX_EoP,1,COLUMN()),INDEX(MO_VA_StockPrice_TradingCurrency,1,COLUMN())/INDEX(MO_VA_FX_Average,1,COLUMN()))</f>
        <v/>
      </c>
      <c r="W498" s="1735">
        <f>IF(MO.ValuationToggle="EoP",INDEX(MO_VA_StockPrice_TradingCurrency,1,COLUMN())/INDEX(MO_VA_FX_EoP,1,COLUMN()),INDEX(MO_VA_StockPrice_TradingCurrency,1,COLUMN())/INDEX(MO_VA_FX_Average,1,COLUMN()))</f>
        <v/>
      </c>
      <c r="X498" s="1735">
        <f>IF(MO.ValuationToggle="EoP",INDEX(MO_VA_StockPrice_TradingCurrency,1,COLUMN())/INDEX(MO_VA_FX_EoP,1,COLUMN()),INDEX(MO_VA_StockPrice_TradingCurrency,1,COLUMN())/INDEX(MO_VA_FX_Average,1,COLUMN()))</f>
        <v/>
      </c>
      <c r="Y498" s="1735">
        <f>IF(MO.ValuationToggle="EoP",INDEX(MO_VA_StockPrice_TradingCurrency,1,COLUMN())/INDEX(MO_VA_FX_EoP,1,COLUMN()),INDEX(MO_VA_StockPrice_TradingCurrency,1,COLUMN())/INDEX(MO_VA_FX_Average,1,COLUMN()))</f>
        <v/>
      </c>
      <c r="Z498" s="1735">
        <f>IF(MO.ValuationToggle="EoP",INDEX(MO_VA_StockPrice_TradingCurrency,1,COLUMN())/INDEX(MO_VA_FX_EoP,1,COLUMN()),INDEX(MO_VA_StockPrice_TradingCurrency,1,COLUMN())/INDEX(MO_VA_FX_Average,1,COLUMN()))</f>
        <v/>
      </c>
      <c r="AA498" s="1734">
        <f>IF(MO.ValuationToggle="EoP",INDEX(MO_VA_StockPrice_TradingCurrency,1,COLUMN())/INDEX(MO_VA_FX_EoP,1,COLUMN()),INDEX(MO_VA_StockPrice_TradingCurrency,1,COLUMN())/INDEX(MO_VA_FX_Average,1,COLUMN()))</f>
        <v/>
      </c>
      <c r="AB498" s="1735">
        <f>IF(MO.ValuationToggle="EoP",INDEX(MO_VA_StockPrice_TradingCurrency,1,COLUMN())/INDEX(MO_VA_FX_EoP,1,COLUMN()),INDEX(MO_VA_StockPrice_TradingCurrency,1,COLUMN())/INDEX(MO_VA_FX_Average,1,COLUMN()))</f>
        <v/>
      </c>
      <c r="AC498" s="1735">
        <f>IF(MO.ValuationToggle="EoP",INDEX(MO_VA_StockPrice_TradingCurrency,1,COLUMN())/INDEX(MO_VA_FX_EoP,1,COLUMN()),INDEX(MO_VA_StockPrice_TradingCurrency,1,COLUMN())/INDEX(MO_VA_FX_Average,1,COLUMN()))</f>
        <v/>
      </c>
      <c r="AD498" s="1735">
        <f>IF(MO.ValuationToggle="EoP",INDEX(MO_VA_StockPrice_TradingCurrency,1,COLUMN())/INDEX(MO_VA_FX_EoP,1,COLUMN()),INDEX(MO_VA_StockPrice_TradingCurrency,1,COLUMN())/INDEX(MO_VA_FX_Average,1,COLUMN()))</f>
        <v/>
      </c>
      <c r="AE498" s="1735">
        <f>IF(MO.ValuationToggle="EoP",INDEX(MO_VA_StockPrice_TradingCurrency,1,COLUMN())/INDEX(MO_VA_FX_EoP,1,COLUMN()),INDEX(MO_VA_StockPrice_TradingCurrency,1,COLUMN())/INDEX(MO_VA_FX_Average,1,COLUMN()))</f>
        <v/>
      </c>
      <c r="AF498" s="1734">
        <f>IF(MO.ValuationToggle="EoP",INDEX(MO_VA_StockPrice_TradingCurrency,1,COLUMN())/INDEX(MO_VA_FX_EoP,1,COLUMN()),INDEX(MO_VA_StockPrice_TradingCurrency,1,COLUMN())/INDEX(MO_VA_FX_Average,1,COLUMN()))</f>
        <v/>
      </c>
      <c r="AG498" s="1735">
        <f>IF(MO.ValuationToggle="EoP",INDEX(MO_VA_StockPrice_TradingCurrency,1,COLUMN())/INDEX(MO_VA_FX_EoP,1,COLUMN()),INDEX(MO_VA_StockPrice_TradingCurrency,1,COLUMN())/INDEX(MO_VA_FX_Average,1,COLUMN()))</f>
        <v/>
      </c>
      <c r="AH498" s="1735">
        <f>IF(MO.ValuationToggle="EoP",INDEX(MO_VA_StockPrice_TradingCurrency,1,COLUMN())/INDEX(MO_VA_FX_EoP,1,COLUMN()),INDEX(MO_VA_StockPrice_TradingCurrency,1,COLUMN())/INDEX(MO_VA_FX_Average,1,COLUMN()))</f>
        <v/>
      </c>
      <c r="AI498" s="1735">
        <f>IF(MO.ValuationToggle="EoP",INDEX(MO_VA_StockPrice_TradingCurrency,1,COLUMN())/INDEX(MO_VA_FX_EoP,1,COLUMN()),INDEX(MO_VA_StockPrice_TradingCurrency,1,COLUMN())/INDEX(MO_VA_FX_Average,1,COLUMN()))</f>
        <v/>
      </c>
      <c r="AJ498" s="1735">
        <f>IF(MO.ValuationToggle="EoP",INDEX(MO_VA_StockPrice_TradingCurrency,1,COLUMN())/INDEX(MO_VA_FX_EoP,1,COLUMN()),INDEX(MO_VA_StockPrice_TradingCurrency,1,COLUMN())/INDEX(MO_VA_FX_Average,1,COLUMN()))</f>
        <v/>
      </c>
      <c r="AK498" s="1734">
        <f>IF(MO.ValuationToggle="EoP",INDEX(MO_VA_StockPrice_TradingCurrency,1,COLUMN())/INDEX(MO_VA_FX_EoP,1,COLUMN()),INDEX(MO_VA_StockPrice_TradingCurrency,1,COLUMN())/INDEX(MO_VA_FX_Average,1,COLUMN()))</f>
        <v/>
      </c>
      <c r="AL498" s="1735">
        <f>IF(MO.ValuationToggle="EoP",INDEX(MO_VA_StockPrice_TradingCurrency,1,COLUMN())/INDEX(MO_VA_FX_EoP,1,COLUMN()),INDEX(MO_VA_StockPrice_TradingCurrency,1,COLUMN())/INDEX(MO_VA_FX_Average,1,COLUMN()))</f>
        <v/>
      </c>
      <c r="AM498" s="1735">
        <f>IF(MO.ValuationToggle="EoP",INDEX(MO_VA_StockPrice_TradingCurrency,1,COLUMN())/INDEX(MO_VA_FX_EoP,1,COLUMN()),INDEX(MO_VA_StockPrice_TradingCurrency,1,COLUMN())/INDEX(MO_VA_FX_Average,1,COLUMN()))</f>
        <v/>
      </c>
      <c r="AN498" s="1735">
        <f>IF(MO.ValuationToggle="EoP",INDEX(MO_VA_StockPrice_TradingCurrency,1,COLUMN())/INDEX(MO_VA_FX_EoP,1,COLUMN()),INDEX(MO_VA_StockPrice_TradingCurrency,1,COLUMN())/INDEX(MO_VA_FX_Average,1,COLUMN()))</f>
        <v/>
      </c>
      <c r="AO498" s="1735">
        <f>IF(MO.ValuationToggle="EoP",INDEX(MO_VA_StockPrice_TradingCurrency,1,COLUMN())/INDEX(MO_VA_FX_EoP,1,COLUMN()),INDEX(MO_VA_StockPrice_TradingCurrency,1,COLUMN())/INDEX(MO_VA_FX_Average,1,COLUMN()))</f>
        <v/>
      </c>
      <c r="AP498" s="1734">
        <f>IF(MO.ValuationToggle="EoP",INDEX(MO_VA_StockPrice_TradingCurrency,1,COLUMN())/INDEX(MO_VA_FX_EoP,1,COLUMN()),INDEX(MO_VA_StockPrice_TradingCurrency,1,COLUMN())/INDEX(MO_VA_FX_Average,1,COLUMN()))</f>
        <v/>
      </c>
      <c r="AQ498" s="1735">
        <f>IF(MO.ValuationToggle="EoP",INDEX(MO_VA_StockPrice_TradingCurrency,1,COLUMN())/INDEX(MO_VA_FX_EoP,1,COLUMN()),INDEX(MO_VA_StockPrice_TradingCurrency,1,COLUMN())/INDEX(MO_VA_FX_Average,1,COLUMN()))</f>
        <v/>
      </c>
      <c r="AR498" s="1735">
        <f>IF(MO.ValuationToggle="EoP",INDEX(MO_VA_StockPrice_TradingCurrency,1,COLUMN())/INDEX(MO_VA_FX_EoP,1,COLUMN()),INDEX(MO_VA_StockPrice_TradingCurrency,1,COLUMN())/INDEX(MO_VA_FX_Average,1,COLUMN()))</f>
        <v/>
      </c>
      <c r="AS498" s="1735">
        <f>IF(MO.ValuationToggle="EoP",INDEX(MO_VA_StockPrice_TradingCurrency,1,COLUMN())/INDEX(MO_VA_FX_EoP,1,COLUMN()),INDEX(MO_VA_StockPrice_TradingCurrency,1,COLUMN())/INDEX(MO_VA_FX_Average,1,COLUMN()))</f>
        <v/>
      </c>
      <c r="AT498" s="1735">
        <f>IF(MO.ValuationToggle="EoP",INDEX(MO_VA_StockPrice_TradingCurrency,1,COLUMN())/INDEX(MO_VA_FX_EoP,1,COLUMN()),INDEX(MO_VA_StockPrice_TradingCurrency,1,COLUMN())/INDEX(MO_VA_FX_Average,1,COLUMN()))</f>
        <v/>
      </c>
      <c r="AU498" s="1734">
        <f>IF(MO.ValuationToggle="EoP",INDEX(MO_VA_StockPrice_TradingCurrency,1,COLUMN())/INDEX(MO_VA_FX_EoP,1,COLUMN()),INDEX(MO_VA_StockPrice_TradingCurrency,1,COLUMN())/INDEX(MO_VA_FX_Average,1,COLUMN()))</f>
        <v/>
      </c>
      <c r="AV498" s="1735">
        <f>IF(MO.ValuationToggle="EoP",INDEX(MO_VA_StockPrice_TradingCurrency,1,COLUMN())/INDEX(MO_VA_FX_EoP,1,COLUMN()),INDEX(MO_VA_StockPrice_TradingCurrency,1,COLUMN())/INDEX(MO_VA_FX_Average,1,COLUMN()))</f>
        <v/>
      </c>
      <c r="AW498" s="1735">
        <f>IF(MO.ValuationToggle="EoP",INDEX(MO_VA_StockPrice_TradingCurrency,1,COLUMN())/INDEX(MO_VA_FX_EoP,1,COLUMN()),INDEX(MO_VA_StockPrice_TradingCurrency,1,COLUMN())/INDEX(MO_VA_FX_Average,1,COLUMN()))</f>
        <v/>
      </c>
      <c r="AX498" s="1735">
        <f>IF(MO.ValuationToggle="EoP",INDEX(MO_VA_StockPrice_TradingCurrency,1,COLUMN())/INDEX(MO_VA_FX_EoP,1,COLUMN()),INDEX(MO_VA_StockPrice_TradingCurrency,1,COLUMN())/INDEX(MO_VA_FX_Average,1,COLUMN()))</f>
        <v/>
      </c>
      <c r="AY498" s="1735">
        <f>IF(MO.ValuationToggle="EoP",INDEX(MO_VA_StockPrice_TradingCurrency,1,COLUMN())/INDEX(MO_VA_FX_EoP,1,COLUMN()),INDEX(MO_VA_StockPrice_TradingCurrency,1,COLUMN())/INDEX(MO_VA_FX_Average,1,COLUMN()))</f>
        <v/>
      </c>
      <c r="AZ498" s="1734">
        <f>IF(MO.ValuationToggle="EoP",INDEX(MO_VA_StockPrice_TradingCurrency,1,COLUMN())/INDEX(MO_VA_FX_EoP,1,COLUMN()),INDEX(MO_VA_StockPrice_TradingCurrency,1,COLUMN())/INDEX(MO_VA_FX_Average,1,COLUMN()))</f>
        <v/>
      </c>
      <c r="BA498" s="1735">
        <f>IF(MO.ValuationToggle="EoP",INDEX(MO_VA_StockPrice_TradingCurrency,1,COLUMN())/INDEX(MO_VA_FX_EoP,1,COLUMN()),INDEX(MO_VA_StockPrice_TradingCurrency,1,COLUMN())/INDEX(MO_VA_FX_Average,1,COLUMN()))</f>
        <v/>
      </c>
      <c r="BB498" s="1735">
        <f>IF(MO.ValuationToggle="EoP",INDEX(MO_VA_StockPrice_TradingCurrency,1,COLUMN())/INDEX(MO_VA_FX_EoP,1,COLUMN()),INDEX(MO_VA_StockPrice_TradingCurrency,1,COLUMN())/INDEX(MO_VA_FX_Average,1,COLUMN()))</f>
        <v/>
      </c>
      <c r="BC498" s="1735">
        <f>IF(MO.ValuationToggle="EoP",INDEX(MO_VA_StockPrice_TradingCurrency,1,COLUMN())/INDEX(MO_VA_FX_EoP,1,COLUMN()),INDEX(MO_VA_StockPrice_TradingCurrency,1,COLUMN())/INDEX(MO_VA_FX_Average,1,COLUMN()))</f>
        <v/>
      </c>
      <c r="BD498" s="1735">
        <f>IF(MO.ValuationToggle="EoP",INDEX(MO_VA_StockPrice_TradingCurrency,1,COLUMN())/INDEX(MO_VA_FX_EoP,1,COLUMN()),INDEX(MO_VA_StockPrice_TradingCurrency,1,COLUMN())/INDEX(MO_VA_FX_Average,1,COLUMN()))</f>
        <v/>
      </c>
      <c r="BE498" s="1734">
        <f>IF(MO.ValuationToggle="EoP",INDEX(MO_VA_StockPrice_TradingCurrency,1,COLUMN())/INDEX(MO_VA_FX_EoP,1,COLUMN()),INDEX(MO_VA_StockPrice_TradingCurrency,1,COLUMN())/INDEX(MO_VA_FX_Average,1,COLUMN()))</f>
        <v/>
      </c>
      <c r="BF498" s="1735">
        <f>IF(MO.ValuationToggle="EoP",INDEX(MO_VA_StockPrice_TradingCurrency,1,COLUMN())/INDEX(MO_VA_FX_EoP,1,COLUMN()),INDEX(MO_VA_StockPrice_TradingCurrency,1,COLUMN())/INDEX(MO_VA_FX_Average,1,COLUMN()))</f>
        <v/>
      </c>
      <c r="BG498" s="1735">
        <f>IF(MO.ValuationToggle="EoP",INDEX(MO_VA_StockPrice_TradingCurrency,1,COLUMN())/INDEX(MO_VA_FX_EoP,1,COLUMN()),INDEX(MO_VA_StockPrice_TradingCurrency,1,COLUMN())/INDEX(MO_VA_FX_Average,1,COLUMN()))</f>
        <v/>
      </c>
      <c r="BH498" s="1735">
        <f>IF(MO.ValuationToggle="EoP",INDEX(MO_VA_StockPrice_TradingCurrency,1,COLUMN())/INDEX(MO_VA_FX_EoP,1,COLUMN()),INDEX(MO_VA_StockPrice_TradingCurrency,1,COLUMN())/INDEX(MO_VA_FX_Average,1,COLUMN()))</f>
        <v/>
      </c>
      <c r="BI498" s="1735">
        <f>IF(MO.ValuationToggle="EoP",INDEX(MO_VA_StockPrice_TradingCurrency,1,COLUMN())/INDEX(MO_VA_FX_EoP,1,COLUMN()),INDEX(MO_VA_StockPrice_TradingCurrency,1,COLUMN())/INDEX(MO_VA_FX_Average,1,COLUMN()))</f>
        <v/>
      </c>
      <c r="BJ498" s="1734">
        <f>IF(MO.ValuationToggle="EoP",INDEX(MO_VA_StockPrice_TradingCurrency,1,COLUMN())/INDEX(MO_VA_FX_EoP,1,COLUMN()),INDEX(MO_VA_StockPrice_TradingCurrency,1,COLUMN())/INDEX(MO_VA_FX_Average,1,COLUMN()))</f>
        <v/>
      </c>
      <c r="BK498" s="1735">
        <f>IF(MO.ValuationToggle="EoP",INDEX(MO_VA_StockPrice_TradingCurrency,1,COLUMN())/INDEX(MO_VA_FX_EoP,1,COLUMN()),INDEX(MO_VA_StockPrice_TradingCurrency,1,COLUMN())/INDEX(MO_VA_FX_Average,1,COLUMN()))</f>
        <v/>
      </c>
      <c r="BL498" s="1735">
        <f>IF(MO.ValuationToggle="EoP",INDEX(MO_VA_StockPrice_TradingCurrency,1,COLUMN())/INDEX(MO_VA_FX_EoP,1,COLUMN()),INDEX(MO_VA_StockPrice_TradingCurrency,1,COLUMN())/INDEX(MO_VA_FX_Average,1,COLUMN()))</f>
        <v/>
      </c>
      <c r="BM498" s="1735">
        <f>IF(MO.ValuationToggle="EoP",INDEX(MO_VA_StockPrice_TradingCurrency,1,COLUMN())/INDEX(MO_VA_FX_EoP,1,COLUMN()),INDEX(MO_VA_StockPrice_TradingCurrency,1,COLUMN())/INDEX(MO_VA_FX_Average,1,COLUMN()))</f>
        <v/>
      </c>
      <c r="BN498" s="1735">
        <f>IF(MO.ValuationToggle="EoP",INDEX(MO_VA_StockPrice_TradingCurrency,1,COLUMN())/INDEX(MO_VA_FX_EoP,1,COLUMN()),INDEX(MO_VA_StockPrice_TradingCurrency,1,COLUMN())/INDEX(MO_VA_FX_Average,1,COLUMN()))</f>
        <v/>
      </c>
      <c r="BO498" s="1736">
        <f>IF(MO.ValuationToggle="EoP",INDEX(MO_VA_StockPrice_TradingCurrency,1,COLUMN())/INDEX(MO_VA_FX_EoP,1,COLUMN()),INDEX(MO_VA_StockPrice_TradingCurrency,1,COLUMN())/INDEX(MO_VA_FX_Average,1,COLUMN()))</f>
        <v/>
      </c>
      <c r="BP498" s="1735">
        <f>IF(MO.ValuationToggle="EoP",INDEX(MO_VA_StockPrice_TradingCurrency,1,COLUMN())/INDEX(MO_VA_FX_EoP,1,COLUMN()),INDEX(MO_VA_StockPrice_TradingCurrency,1,COLUMN())/INDEX(MO_VA_FX_Average,1,COLUMN()))</f>
        <v/>
      </c>
      <c r="BQ498" s="1735">
        <f>IF(MO.ValuationToggle="EoP",INDEX(MO_VA_StockPrice_TradingCurrency,1,COLUMN())/INDEX(MO_VA_FX_EoP,1,COLUMN()),INDEX(MO_VA_StockPrice_TradingCurrency,1,COLUMN())/INDEX(MO_VA_FX_Average,1,COLUMN()))</f>
        <v/>
      </c>
      <c r="BR498" s="1735">
        <f>IF(MO.ValuationToggle="EoP",INDEX(MO_VA_StockPrice_TradingCurrency,1,COLUMN())/INDEX(MO_VA_FX_EoP,1,COLUMN()),INDEX(MO_VA_StockPrice_TradingCurrency,1,COLUMN())/INDEX(MO_VA_FX_Average,1,COLUMN()))</f>
        <v/>
      </c>
      <c r="BS498" s="1735">
        <f>IF(MO.ValuationToggle="EoP",INDEX(MO_VA_StockPrice_TradingCurrency,1,COLUMN())/INDEX(MO_VA_FX_EoP,1,COLUMN()),INDEX(MO_VA_StockPrice_TradingCurrency,1,COLUMN())/INDEX(MO_VA_FX_Average,1,COLUMN()))</f>
        <v/>
      </c>
      <c r="BT498" s="1734">
        <f>IF(MO.ValuationToggle="EoP",INDEX(MO_VA_StockPrice_TradingCurrency,1,COLUMN())/INDEX(MO_VA_FX_EoP,1,COLUMN()),INDEX(MO_VA_StockPrice_TradingCurrency,1,COLUMN())/INDEX(MO_VA_FX_Average,1,COLUMN()))</f>
        <v/>
      </c>
      <c r="BU498" s="1735">
        <f>IF(MO.ValuationToggle="EoP",INDEX(MO_VA_StockPrice_TradingCurrency,1,COLUMN())/INDEX(MO_VA_FX_EoP,1,COLUMN()),INDEX(MO_VA_StockPrice_TradingCurrency,1,COLUMN())/INDEX(MO_VA_FX_Average,1,COLUMN()))</f>
        <v/>
      </c>
      <c r="BV498" s="1735">
        <f>IF(MO.ValuationToggle="EoP",INDEX(MO_VA_StockPrice_TradingCurrency,1,COLUMN())/INDEX(MO_VA_FX_EoP,1,COLUMN()),INDEX(MO_VA_StockPrice_TradingCurrency,1,COLUMN())/INDEX(MO_VA_FX_Average,1,COLUMN()))</f>
        <v/>
      </c>
      <c r="BW498" s="1735">
        <f>IF(MO.ValuationToggle="EoP",INDEX(MO_VA_StockPrice_TradingCurrency,1,COLUMN())/INDEX(MO_VA_FX_EoP,1,COLUMN()),INDEX(MO_VA_StockPrice_TradingCurrency,1,COLUMN())/INDEX(MO_VA_FX_Average,1,COLUMN()))</f>
        <v/>
      </c>
      <c r="BX498" s="1735">
        <f>IF(MO.ValuationToggle="EoP",INDEX(MO_VA_StockPrice_TradingCurrency,1,COLUMN())/INDEX(MO_VA_FX_EoP,1,COLUMN()),INDEX(MO_VA_StockPrice_TradingCurrency,1,COLUMN())/INDEX(MO_VA_FX_Average,1,COLUMN()))</f>
        <v/>
      </c>
      <c r="BY498" s="1734">
        <f>IF(MO.ValuationToggle="EoP",INDEX(MO_VA_StockPrice_TradingCurrency,1,COLUMN())/INDEX(MO_VA_FX_EoP,1,COLUMN()),INDEX(MO_VA_StockPrice_TradingCurrency,1,COLUMN())/INDEX(MO_VA_FX_Average,1,COLUMN()))</f>
        <v/>
      </c>
      <c r="BZ498" s="1734">
        <f>IF(MO.ValuationToggle="EoP",INDEX(MO_VA_StockPrice_TradingCurrency,1,COLUMN())/INDEX(MO_VA_FX_EoP,1,COLUMN()),INDEX(MO_VA_StockPrice_TradingCurrency,1,COLUMN())/INDEX(MO_VA_FX_Average,1,COLUMN()))</f>
        <v/>
      </c>
      <c r="CA498" s="1734">
        <f>IF(MO.ValuationToggle="EoP",INDEX(MO_VA_StockPrice_TradingCurrency,1,COLUMN())/INDEX(MO_VA_FX_EoP,1,COLUMN()),INDEX(MO_VA_StockPrice_TradingCurrency,1,COLUMN())/INDEX(MO_VA_FX_Average,1,COLUMN()))</f>
        <v/>
      </c>
      <c r="CB498" s="1734">
        <f>IF(MO.ValuationToggle="EoP",INDEX(MO_VA_StockPrice_TradingCurrency,1,COLUMN())/INDEX(MO_VA_FX_EoP,1,COLUMN()),INDEX(MO_VA_StockPrice_TradingCurrency,1,COLUMN())/INDEX(MO_VA_FX_Average,1,COLUMN()))</f>
        <v/>
      </c>
      <c r="CC498" s="1731" t="n"/>
    </row>
    <row r="499" ht="14.4" customFormat="1" customHeight="1" s="1373">
      <c r="A499" s="1380">
        <f>"Market Cap - "&amp;MO.ValuationToggle&amp;", NTD"</f>
        <v/>
      </c>
      <c r="B499" s="1439" t="n"/>
      <c r="C499" s="1440">
        <f>INDEX(MO_VA_StockPrice,0,COLUMN())*INDEX(MO_SCA_ShareCount_EoP_Diluted,0,COLUMN())</f>
        <v/>
      </c>
      <c r="D499" s="1440">
        <f>INDEX(MO_VA_StockPrice,0,COLUMN())*INDEX(MO_SCA_ShareCount_EoP_Diluted,0,COLUMN())</f>
        <v/>
      </c>
      <c r="E499" s="1440">
        <f>INDEX(MO_VA_StockPrice,0,COLUMN())*INDEX(MO_SCA_ShareCount_EoP_Diluted,0,COLUMN())</f>
        <v/>
      </c>
      <c r="F499" s="1440">
        <f>INDEX(MO_VA_StockPrice,0,COLUMN())*INDEX(MO_SCA_ShareCount_EoP_Diluted,0,COLUMN())</f>
        <v/>
      </c>
      <c r="G499" s="1440">
        <f>INDEX(MO_VA_StockPrice,0,COLUMN())*INDEX(MO_SCA_ShareCount_EoP_Diluted,0,COLUMN())</f>
        <v/>
      </c>
      <c r="H499" s="1380">
        <f>INDEX(MO_VA_StockPrice,0,COLUMN())*INDEX(MO_SCA_ShareCount_EoP_Diluted,0,COLUMN())</f>
        <v/>
      </c>
      <c r="I499" s="1380">
        <f>INDEX(MO_VA_StockPrice,0,COLUMN())*INDEX(MO_SCA_ShareCount_EoP_Diluted,0,COLUMN())</f>
        <v/>
      </c>
      <c r="J499" s="1380">
        <f>INDEX(MO_VA_StockPrice,0,COLUMN())*INDEX(MO_SCA_ShareCount_EoP_Diluted,0,COLUMN())</f>
        <v/>
      </c>
      <c r="K499" s="1380">
        <f>INDEX(MO_VA_StockPrice,0,COLUMN())*INDEX(MO_SCA_ShareCount_EoP_Diluted,0,COLUMN())</f>
        <v/>
      </c>
      <c r="L499" s="1440">
        <f>INDEX(MO_VA_StockPrice,0,COLUMN())*INDEX(MO_SCA_ShareCount_EoP_Diluted,0,COLUMN())</f>
        <v/>
      </c>
      <c r="M499" s="1380">
        <f>INDEX(MO_VA_StockPrice,0,COLUMN())*INDEX(MO_SCA_ShareCount_EoP_Diluted,0,COLUMN())</f>
        <v/>
      </c>
      <c r="N499" s="1380">
        <f>INDEX(MO_VA_StockPrice,0,COLUMN())*INDEX(MO_SCA_ShareCount_EoP_Diluted,0,COLUMN())</f>
        <v/>
      </c>
      <c r="O499" s="1380">
        <f>INDEX(MO_VA_StockPrice,0,COLUMN())*INDEX(MO_SCA_ShareCount_EoP_Diluted,0,COLUMN())</f>
        <v/>
      </c>
      <c r="P499" s="1380">
        <f>INDEX(MO_VA_StockPrice,0,COLUMN())*INDEX(MO_SCA_ShareCount_EoP_Diluted,0,COLUMN())</f>
        <v/>
      </c>
      <c r="Q499" s="1440">
        <f>INDEX(MO_VA_StockPrice,0,COLUMN())*INDEX(MO_SCA_ShareCount_EoP_Diluted,0,COLUMN())</f>
        <v/>
      </c>
      <c r="R499" s="1380">
        <f>INDEX(MO_VA_StockPrice,0,COLUMN())*INDEX(MO_SCA_ShareCount_EoP_Diluted,0,COLUMN())</f>
        <v/>
      </c>
      <c r="S499" s="1380">
        <f>INDEX(MO_VA_StockPrice,0,COLUMN())*INDEX(MO_SCA_ShareCount_EoP_Diluted,0,COLUMN())</f>
        <v/>
      </c>
      <c r="T499" s="1380">
        <f>INDEX(MO_VA_StockPrice,0,COLUMN())*INDEX(MO_SCA_ShareCount_EoP_Diluted,0,COLUMN())</f>
        <v/>
      </c>
      <c r="U499" s="1380">
        <f>INDEX(MO_VA_StockPrice,0,COLUMN())*INDEX(MO_SCA_ShareCount_EoP_Diluted,0,COLUMN())</f>
        <v/>
      </c>
      <c r="V499" s="1440">
        <f>INDEX(MO_VA_StockPrice,0,COLUMN())*INDEX(MO_SCA_ShareCount_EoP_Diluted,0,COLUMN())</f>
        <v/>
      </c>
      <c r="W499" s="1380">
        <f>INDEX(MO_VA_StockPrice,0,COLUMN())*INDEX(MO_SCA_ShareCount_EoP_Diluted,0,COLUMN())</f>
        <v/>
      </c>
      <c r="X499" s="1380">
        <f>INDEX(MO_VA_StockPrice,0,COLUMN())*INDEX(MO_SCA_ShareCount_EoP_Diluted,0,COLUMN())</f>
        <v/>
      </c>
      <c r="Y499" s="1380">
        <f>INDEX(MO_VA_StockPrice,0,COLUMN())*INDEX(MO_SCA_ShareCount_EoP_Diluted,0,COLUMN())</f>
        <v/>
      </c>
      <c r="Z499" s="1380">
        <f>INDEX(MO_VA_StockPrice,0,COLUMN())*INDEX(MO_SCA_ShareCount_EoP_Diluted,0,COLUMN())</f>
        <v/>
      </c>
      <c r="AA499" s="1440">
        <f>INDEX(MO_VA_StockPrice,0,COLUMN())*INDEX(MO_SCA_ShareCount_EoP_Diluted,0,COLUMN())</f>
        <v/>
      </c>
      <c r="AB499" s="1380">
        <f>INDEX(MO_VA_StockPrice,0,COLUMN())*INDEX(MO_SCA_ShareCount_EoP_Diluted,0,COLUMN())</f>
        <v/>
      </c>
      <c r="AC499" s="1380">
        <f>INDEX(MO_VA_StockPrice,0,COLUMN())*INDEX(MO_SCA_ShareCount_EoP_Diluted,0,COLUMN())</f>
        <v/>
      </c>
      <c r="AD499" s="1380">
        <f>INDEX(MO_VA_StockPrice,0,COLUMN())*INDEX(MO_SCA_ShareCount_EoP_Diluted,0,COLUMN())</f>
        <v/>
      </c>
      <c r="AE499" s="1380">
        <f>INDEX(MO_VA_StockPrice,0,COLUMN())*INDEX(MO_SCA_ShareCount_EoP_Diluted,0,COLUMN())</f>
        <v/>
      </c>
      <c r="AF499" s="1440">
        <f>INDEX(MO_VA_StockPrice,0,COLUMN())*INDEX(MO_SCA_ShareCount_EoP_Diluted,0,COLUMN())</f>
        <v/>
      </c>
      <c r="AG499" s="1380">
        <f>INDEX(MO_VA_StockPrice,0,COLUMN())*INDEX(MO_SCA_ShareCount_EoP_Diluted,0,COLUMN())</f>
        <v/>
      </c>
      <c r="AH499" s="1380">
        <f>INDEX(MO_VA_StockPrice,0,COLUMN())*INDEX(MO_SCA_ShareCount_EoP_Diluted,0,COLUMN())</f>
        <v/>
      </c>
      <c r="AI499" s="1380">
        <f>INDEX(MO_VA_StockPrice,0,COLUMN())*INDEX(MO_SCA_ShareCount_EoP_Diluted,0,COLUMN())</f>
        <v/>
      </c>
      <c r="AJ499" s="1380">
        <f>INDEX(MO_VA_StockPrice,0,COLUMN())*INDEX(MO_SCA_ShareCount_EoP_Diluted,0,COLUMN())</f>
        <v/>
      </c>
      <c r="AK499" s="1440">
        <f>INDEX(MO_VA_StockPrice,0,COLUMN())*INDEX(MO_SCA_ShareCount_EoP_Diluted,0,COLUMN())</f>
        <v/>
      </c>
      <c r="AL499" s="1380">
        <f>INDEX(MO_VA_StockPrice,0,COLUMN())*INDEX(MO_SCA_ShareCount_EoP_Diluted,0,COLUMN())</f>
        <v/>
      </c>
      <c r="AM499" s="1380">
        <f>INDEX(MO_VA_StockPrice,0,COLUMN())*INDEX(MO_SCA_ShareCount_EoP_Diluted,0,COLUMN())</f>
        <v/>
      </c>
      <c r="AN499" s="1380">
        <f>INDEX(MO_VA_StockPrice,0,COLUMN())*INDEX(MO_SCA_ShareCount_EoP_Diluted,0,COLUMN())</f>
        <v/>
      </c>
      <c r="AO499" s="1380">
        <f>INDEX(MO_VA_StockPrice,0,COLUMN())*INDEX(MO_SCA_ShareCount_EoP_Diluted,0,COLUMN())</f>
        <v/>
      </c>
      <c r="AP499" s="1440">
        <f>INDEX(MO_VA_StockPrice,0,COLUMN())*INDEX(MO_SCA_ShareCount_EoP_Diluted,0,COLUMN())</f>
        <v/>
      </c>
      <c r="AQ499" s="1380">
        <f>INDEX(MO_VA_StockPrice,0,COLUMN())*INDEX(MO_SCA_ShareCount_EoP_Diluted,0,COLUMN())</f>
        <v/>
      </c>
      <c r="AR499" s="1380">
        <f>INDEX(MO_VA_StockPrice,0,COLUMN())*INDEX(MO_SCA_ShareCount_EoP_Diluted,0,COLUMN())</f>
        <v/>
      </c>
      <c r="AS499" s="1380">
        <f>INDEX(MO_VA_StockPrice,0,COLUMN())*INDEX(MO_SCA_ShareCount_EoP_Diluted,0,COLUMN())</f>
        <v/>
      </c>
      <c r="AT499" s="1380">
        <f>INDEX(MO_VA_StockPrice,0,COLUMN())*INDEX(MO_SCA_ShareCount_EoP_Diluted,0,COLUMN())</f>
        <v/>
      </c>
      <c r="AU499" s="1440">
        <f>INDEX(MO_VA_StockPrice,0,COLUMN())*INDEX(MO_SCA_ShareCount_EoP_Diluted,0,COLUMN())</f>
        <v/>
      </c>
      <c r="AV499" s="1380">
        <f>INDEX(MO_VA_StockPrice,0,COLUMN())*INDEX(MO_SCA_ShareCount_EoP_Diluted,0,COLUMN())</f>
        <v/>
      </c>
      <c r="AW499" s="1380">
        <f>INDEX(MO_VA_StockPrice,0,COLUMN())*INDEX(MO_SCA_ShareCount_EoP_Diluted,0,COLUMN())</f>
        <v/>
      </c>
      <c r="AX499" s="1380">
        <f>INDEX(MO_VA_StockPrice,0,COLUMN())*INDEX(MO_SCA_ShareCount_EoP_Diluted,0,COLUMN())</f>
        <v/>
      </c>
      <c r="AY499" s="1380">
        <f>INDEX(MO_VA_StockPrice,0,COLUMN())*INDEX(MO_SCA_ShareCount_EoP_Diluted,0,COLUMN())</f>
        <v/>
      </c>
      <c r="AZ499" s="1440">
        <f>INDEX(MO_VA_StockPrice,0,COLUMN())*INDEX(MO_SCA_ShareCount_EoP_Diluted,0,COLUMN())</f>
        <v/>
      </c>
      <c r="BA499" s="1380">
        <f>INDEX(MO_VA_StockPrice,0,COLUMN())*INDEX(MO_SCA_ShareCount_EoP_Diluted,0,COLUMN())</f>
        <v/>
      </c>
      <c r="BB499" s="1380">
        <f>INDEX(MO_VA_StockPrice,0,COLUMN())*INDEX(MO_SCA_ShareCount_EoP_Diluted,0,COLUMN())</f>
        <v/>
      </c>
      <c r="BC499" s="1380">
        <f>INDEX(MO_VA_StockPrice,0,COLUMN())*INDEX(MO_SCA_ShareCount_EoP_Diluted,0,COLUMN())</f>
        <v/>
      </c>
      <c r="BD499" s="1380">
        <f>INDEX(MO_VA_StockPrice,0,COLUMN())*INDEX(MO_SCA_ShareCount_EoP_Diluted,0,COLUMN())</f>
        <v/>
      </c>
      <c r="BE499" s="1440">
        <f>INDEX(MO_VA_StockPrice,0,COLUMN())*INDEX(MO_SCA_ShareCount_EoP_Diluted,0,COLUMN())</f>
        <v/>
      </c>
      <c r="BF499" s="1380">
        <f>INDEX(MO_VA_StockPrice,0,COLUMN())*INDEX(MO_SCA_ShareCount_EoP_Diluted,0,COLUMN())</f>
        <v/>
      </c>
      <c r="BG499" s="1380">
        <f>INDEX(MO_VA_StockPrice,0,COLUMN())*INDEX(MO_SCA_ShareCount_EoP_Diluted,0,COLUMN())</f>
        <v/>
      </c>
      <c r="BH499" s="1380">
        <f>INDEX(MO_VA_StockPrice,0,COLUMN())*INDEX(MO_SCA_ShareCount_EoP_Diluted,0,COLUMN())</f>
        <v/>
      </c>
      <c r="BI499" s="1380">
        <f>INDEX(MO_VA_StockPrice,0,COLUMN())*INDEX(MO_SCA_ShareCount_EoP_Diluted,0,COLUMN())</f>
        <v/>
      </c>
      <c r="BJ499" s="1440">
        <f>INDEX(MO_VA_StockPrice,0,COLUMN())*INDEX(MO_SCA_ShareCount_EoP_Diluted,0,COLUMN())</f>
        <v/>
      </c>
      <c r="BK499" s="1380">
        <f>INDEX(MO_VA_StockPrice,0,COLUMN())*INDEX(MO_SCA_ShareCount_EoP_Diluted,0,COLUMN())</f>
        <v/>
      </c>
      <c r="BL499" s="1380">
        <f>INDEX(MO_VA_StockPrice,0,COLUMN())*INDEX(MO_SCA_ShareCount_EoP_Diluted,0,COLUMN())</f>
        <v/>
      </c>
      <c r="BM499" s="1380">
        <f>INDEX(MO_VA_StockPrice,0,COLUMN())*INDEX(MO_SCA_ShareCount_EoP_Diluted,0,COLUMN())</f>
        <v/>
      </c>
      <c r="BN499" s="1380">
        <f>INDEX(MO_VA_StockPrice,0,COLUMN())*INDEX(MO_SCA_ShareCount_EoP_Diluted,0,COLUMN())</f>
        <v/>
      </c>
      <c r="BO499" s="1441">
        <f>INDEX(MO_VA_StockPrice,0,COLUMN())*INDEX(MO_SCA_ShareCount_EoP_Diluted,0,COLUMN())</f>
        <v/>
      </c>
      <c r="BP499" s="1278">
        <f>INDEX(MO_VA_StockPrice,0,COLUMN())*INDEX(MO_SCA_ShareCount_EoP_Diluted,0,COLUMN())</f>
        <v/>
      </c>
      <c r="BQ499" s="1278">
        <f>INDEX(MO_VA_StockPrice,0,COLUMN())*INDEX(MO_SCA_ShareCount_EoP_Diluted,0,COLUMN())</f>
        <v/>
      </c>
      <c r="BR499" s="1278">
        <f>INDEX(MO_VA_StockPrice,0,COLUMN())*INDEX(MO_SCA_ShareCount_EoP_Diluted,0,COLUMN())</f>
        <v/>
      </c>
      <c r="BS499" s="1278">
        <f>INDEX(MO_VA_StockPrice,0,COLUMN())*INDEX(MO_SCA_ShareCount_EoP_Diluted,0,COLUMN())</f>
        <v/>
      </c>
      <c r="BT499" s="1376">
        <f>INDEX(MO_VA_StockPrice,0,COLUMN())*INDEX(MO_SCA_ShareCount_EoP_Diluted,0,COLUMN())</f>
        <v/>
      </c>
      <c r="BU499" s="1278">
        <f>INDEX(MO_VA_StockPrice,0,COLUMN())*INDEX(MO_SCA_ShareCount_EoP_Diluted,0,COLUMN())</f>
        <v/>
      </c>
      <c r="BV499" s="1278">
        <f>INDEX(MO_VA_StockPrice,0,COLUMN())*INDEX(MO_SCA_ShareCount_EoP_Diluted,0,COLUMN())</f>
        <v/>
      </c>
      <c r="BW499" s="1278">
        <f>INDEX(MO_VA_StockPrice,0,COLUMN())*INDEX(MO_SCA_ShareCount_EoP_Diluted,0,COLUMN())</f>
        <v/>
      </c>
      <c r="BX499" s="1278">
        <f>INDEX(MO_VA_StockPrice,0,COLUMN())*INDEX(MO_SCA_ShareCount_EoP_Diluted,0,COLUMN())</f>
        <v/>
      </c>
      <c r="BY499" s="1376">
        <f>INDEX(MO_VA_StockPrice,0,COLUMN())*INDEX(MO_SCA_ShareCount_EoP_Diluted,0,COLUMN())</f>
        <v/>
      </c>
      <c r="BZ499" s="1376">
        <f>INDEX(MO_VA_StockPrice,0,COLUMN())*INDEX(MO_SCA_ShareCount_EoP_Diluted,0,COLUMN())</f>
        <v/>
      </c>
      <c r="CA499" s="1376">
        <f>INDEX(MO_VA_StockPrice,0,COLUMN())*INDEX(MO_SCA_ShareCount_EoP_Diluted,0,COLUMN())</f>
        <v/>
      </c>
      <c r="CB499" s="1376">
        <f>INDEX(MO_VA_StockPrice,0,COLUMN())*INDEX(MO_SCA_ShareCount_EoP_Diluted,0,COLUMN())</f>
        <v/>
      </c>
      <c r="CC499" s="1380" t="n"/>
    </row>
    <row r="500" ht="14.4" customFormat="1" customHeight="1" s="1373">
      <c r="A500" s="1380">
        <f>"Enterprise Value - "&amp;MO.ValuationToggle&amp;", NTD"</f>
        <v/>
      </c>
      <c r="B500" s="1439" t="n"/>
      <c r="C500" s="1440">
        <f>C483+C499+C519+C520+C521</f>
        <v/>
      </c>
      <c r="D500" s="1440">
        <f>D483+D499+D519+D520+D521</f>
        <v/>
      </c>
      <c r="E500" s="1440">
        <f>E483+E499+E519+E520+E521</f>
        <v/>
      </c>
      <c r="F500" s="1440">
        <f>F483+F499+F519+F520+F521</f>
        <v/>
      </c>
      <c r="G500" s="1440">
        <f>G483+G499+G519+G520+G521</f>
        <v/>
      </c>
      <c r="H500" s="1380">
        <f>H483+H499+H519+H520+H521</f>
        <v/>
      </c>
      <c r="I500" s="1380">
        <f>I483+I499+I519+I520+I521</f>
        <v/>
      </c>
      <c r="J500" s="1380">
        <f>J483+J499+J519+J520+J521</f>
        <v/>
      </c>
      <c r="K500" s="1380">
        <f>K483+K499+K519+K520+K521</f>
        <v/>
      </c>
      <c r="L500" s="1440">
        <f>L483+L499+L519+L520+L521</f>
        <v/>
      </c>
      <c r="M500" s="1380">
        <f>M483+M499+M519+M520+M521</f>
        <v/>
      </c>
      <c r="N500" s="1380">
        <f>N483+N499+N519+N520+N521</f>
        <v/>
      </c>
      <c r="O500" s="1380">
        <f>O483+O499+O519+O520+O521</f>
        <v/>
      </c>
      <c r="P500" s="1380">
        <f>P483+P499+P519+P520+P521</f>
        <v/>
      </c>
      <c r="Q500" s="1440">
        <f>Q483+Q499+Q519+Q520+Q521</f>
        <v/>
      </c>
      <c r="R500" s="1380">
        <f>R483+R499+R519+R520+R521</f>
        <v/>
      </c>
      <c r="S500" s="1380">
        <f>S483+S499+S519+S520+S521</f>
        <v/>
      </c>
      <c r="T500" s="1380">
        <f>T483+T499+T519+T520+T521</f>
        <v/>
      </c>
      <c r="U500" s="1380">
        <f>U483+U499+U519+U520+U521</f>
        <v/>
      </c>
      <c r="V500" s="1440">
        <f>V483+V499+V519+V520+V521</f>
        <v/>
      </c>
      <c r="W500" s="1380">
        <f>W483+W499+W519+W520+W521</f>
        <v/>
      </c>
      <c r="X500" s="1380">
        <f>X483+X499+X519+X520+X521</f>
        <v/>
      </c>
      <c r="Y500" s="1380">
        <f>Y483+Y499+Y519+Y520+Y521</f>
        <v/>
      </c>
      <c r="Z500" s="1380">
        <f>Z483+Z499+Z519+Z520+Z521</f>
        <v/>
      </c>
      <c r="AA500" s="1440">
        <f>AA483+AA499+AA519+AA520+AA521</f>
        <v/>
      </c>
      <c r="AB500" s="1380">
        <f>AB483+AB499+AB519+AB520+AB521</f>
        <v/>
      </c>
      <c r="AC500" s="1380">
        <f>AC483+AC499+AC519+AC520+AC521</f>
        <v/>
      </c>
      <c r="AD500" s="1380">
        <f>AD483+AD499+AD519+AD520+AD521</f>
        <v/>
      </c>
      <c r="AE500" s="1380">
        <f>AE483+AE499+AE519+AE520+AE521</f>
        <v/>
      </c>
      <c r="AF500" s="1440">
        <f>AF483+AF499+AF519+AF520+AF521</f>
        <v/>
      </c>
      <c r="AG500" s="1380">
        <f>AG483+AG499+AG519+AG520+AG521</f>
        <v/>
      </c>
      <c r="AH500" s="1380">
        <f>AH483+AH499+AH519+AH520+AH521</f>
        <v/>
      </c>
      <c r="AI500" s="1380">
        <f>AI483+AI499+AI519+AI520+AI521</f>
        <v/>
      </c>
      <c r="AJ500" s="1380">
        <f>AJ483+AJ499+AJ519+AJ520+AJ521</f>
        <v/>
      </c>
      <c r="AK500" s="1440">
        <f>AK483+AK499+AK519+AK520+AK521</f>
        <v/>
      </c>
      <c r="AL500" s="1380">
        <f>AL483+AL499+AL519+AL520+AL521</f>
        <v/>
      </c>
      <c r="AM500" s="1380">
        <f>AM483+AM499+AM519+AM520+AM521</f>
        <v/>
      </c>
      <c r="AN500" s="1380">
        <f>AN483+AN499+AN519+AN520+AN521</f>
        <v/>
      </c>
      <c r="AO500" s="1380">
        <f>AO483+AO499+AO519+AO520+AO521</f>
        <v/>
      </c>
      <c r="AP500" s="1440">
        <f>AP483+AP499+AP519+AP520+AP521</f>
        <v/>
      </c>
      <c r="AQ500" s="1380">
        <f>AQ483+AQ499+AQ519+AQ520+AQ521</f>
        <v/>
      </c>
      <c r="AR500" s="1380">
        <f>AR483+AR499+AR519+AR520+AR521</f>
        <v/>
      </c>
      <c r="AS500" s="1380">
        <f>AS483+AS499+AS519+AS520+AS521</f>
        <v/>
      </c>
      <c r="AT500" s="1380">
        <f>AT483+AT499+AT519+AT520+AT521</f>
        <v/>
      </c>
      <c r="AU500" s="1440">
        <f>AU483+AU499+AU519+AU520+AU521</f>
        <v/>
      </c>
      <c r="AV500" s="1380">
        <f>AV483+AV499+AV519+AV520+AV521</f>
        <v/>
      </c>
      <c r="AW500" s="1380">
        <f>AW483+AW499+AW519+AW520+AW521</f>
        <v/>
      </c>
      <c r="AX500" s="1380">
        <f>AX483+AX499+AX519+AX520+AX521</f>
        <v/>
      </c>
      <c r="AY500" s="1380">
        <f>AY483+AY499+AY519+AY520+AY521</f>
        <v/>
      </c>
      <c r="AZ500" s="1440">
        <f>AZ483+AZ499+AZ519+AZ520+AZ521</f>
        <v/>
      </c>
      <c r="BA500" s="1380">
        <f>BA483+BA499+BA519+BA520+BA521</f>
        <v/>
      </c>
      <c r="BB500" s="1380">
        <f>BB483+BB499+BB519+BB520+BB521</f>
        <v/>
      </c>
      <c r="BC500" s="1380">
        <f>BC483+BC499+BC519+BC520+BC521</f>
        <v/>
      </c>
      <c r="BD500" s="1380">
        <f>BD483+BD499+BD519+BD520+BD521</f>
        <v/>
      </c>
      <c r="BE500" s="1440">
        <f>BE483+BE499+BE519+BE520+BE521</f>
        <v/>
      </c>
      <c r="BF500" s="1380">
        <f>BF483+BF499+BF519+BF520+BF521</f>
        <v/>
      </c>
      <c r="BG500" s="1380">
        <f>BG483+BG499+BG519+BG520+BG521</f>
        <v/>
      </c>
      <c r="BH500" s="1380">
        <f>BH483+BH499+BH519+BH520+BH521</f>
        <v/>
      </c>
      <c r="BI500" s="1380">
        <f>BI483+BI499+BI519+BI520+BI521</f>
        <v/>
      </c>
      <c r="BJ500" s="1440">
        <f>BJ483+BJ499+BJ519+BJ520+BJ521</f>
        <v/>
      </c>
      <c r="BK500" s="1380">
        <f>BK483+BK499+BK519+BK520+BK521</f>
        <v/>
      </c>
      <c r="BL500" s="1380">
        <f>BL483+BL499+BL519+BL520+BL521</f>
        <v/>
      </c>
      <c r="BM500" s="1380">
        <f>BM483+BM499+BM519+BM520+BM521</f>
        <v/>
      </c>
      <c r="BN500" s="1380">
        <f>BN483+BN499+BN519+BN520+BN521</f>
        <v/>
      </c>
      <c r="BO500" s="1441">
        <f>BO483+BO499+BO519+BO520+BO521</f>
        <v/>
      </c>
      <c r="BP500" s="1278">
        <f>BP483+BP499+BP519+BP520+BP521</f>
        <v/>
      </c>
      <c r="BQ500" s="1278">
        <f>BQ483+BQ499+BQ519+BQ520+BQ521</f>
        <v/>
      </c>
      <c r="BR500" s="1278">
        <f>BR483+BR499+BR519+BR520+BR521</f>
        <v/>
      </c>
      <c r="BS500" s="1278">
        <f>BS483+BS499+BS519+BS520+BS521</f>
        <v/>
      </c>
      <c r="BT500" s="1376">
        <f>BT483+BT499+BT519+BT520+BT521</f>
        <v/>
      </c>
      <c r="BU500" s="1278">
        <f>BU483+BU499+BU519+BU520+BU521</f>
        <v/>
      </c>
      <c r="BV500" s="1278">
        <f>BV483+BV499+BV519+BV520+BV521</f>
        <v/>
      </c>
      <c r="BW500" s="1278">
        <f>BW483+BW499+BW519+BW520+BW521</f>
        <v/>
      </c>
      <c r="BX500" s="1278">
        <f>BX483+BX499+BX519+BX520+BX521</f>
        <v/>
      </c>
      <c r="BY500" s="1376">
        <f>BY483+BY499+BY519+BY520+BY521</f>
        <v/>
      </c>
      <c r="BZ500" s="1376">
        <f>BZ483+BZ499+BZ519+BZ520+BZ521</f>
        <v/>
      </c>
      <c r="CA500" s="1376">
        <f>CA483+CA499+CA519+CA520+CA521</f>
        <v/>
      </c>
      <c r="CB500" s="1376">
        <f>CB483+CB499+CB519+CB520+CB521</f>
        <v/>
      </c>
      <c r="CC500" s="1380" t="n"/>
    </row>
    <row r="501" ht="14.4" customFormat="1" customHeight="1" s="1737">
      <c r="A501" s="1738" t="n"/>
      <c r="B501" s="1739" t="n"/>
      <c r="C501" s="1740" t="n"/>
      <c r="D501" s="1740" t="n"/>
      <c r="E501" s="1740" t="n"/>
      <c r="F501" s="1740" t="n"/>
      <c r="G501" s="1740" t="n"/>
      <c r="H501" s="1741" t="n"/>
      <c r="I501" s="1741" t="n"/>
      <c r="J501" s="1741" t="n"/>
      <c r="K501" s="1741" t="n"/>
      <c r="L501" s="1740" t="n"/>
      <c r="M501" s="1741" t="n"/>
      <c r="N501" s="1741" t="n"/>
      <c r="O501" s="1741" t="n"/>
      <c r="P501" s="1741" t="n"/>
      <c r="Q501" s="1740" t="n"/>
      <c r="R501" s="1741" t="n"/>
      <c r="S501" s="1742" t="n"/>
      <c r="T501" s="1741" t="n"/>
      <c r="U501" s="1741" t="n"/>
      <c r="V501" s="1740" t="n"/>
      <c r="W501" s="1741" t="n"/>
      <c r="X501" s="1742" t="n"/>
      <c r="Y501" s="1742" t="n"/>
      <c r="Z501" s="1741" t="n"/>
      <c r="AA501" s="1740" t="n"/>
      <c r="AB501" s="1741" t="n"/>
      <c r="AC501" s="1742" t="n"/>
      <c r="AD501" s="1742" t="n"/>
      <c r="AE501" s="1741" t="n"/>
      <c r="AF501" s="1740" t="n"/>
      <c r="AG501" s="1741" t="n"/>
      <c r="AH501" s="1742" t="n"/>
      <c r="AI501" s="1742" t="n"/>
      <c r="AJ501" s="1741" t="n"/>
      <c r="AK501" s="1740" t="n"/>
      <c r="AL501" s="1741" t="n"/>
      <c r="AM501" s="1742" t="n"/>
      <c r="AN501" s="1742" t="n"/>
      <c r="AO501" s="1741" t="n"/>
      <c r="AP501" s="1740" t="n"/>
      <c r="AQ501" s="1741" t="n"/>
      <c r="AR501" s="1742" t="n"/>
      <c r="AS501" s="1742" t="n"/>
      <c r="AT501" s="1741" t="n"/>
      <c r="AU501" s="1740" t="n"/>
      <c r="AV501" s="1741" t="n"/>
      <c r="AW501" s="1742" t="n"/>
      <c r="AX501" s="1742" t="n"/>
      <c r="AY501" s="1741" t="n"/>
      <c r="AZ501" s="1740" t="n"/>
      <c r="BA501" s="1741" t="n"/>
      <c r="BB501" s="1742" t="n"/>
      <c r="BC501" s="1742" t="n"/>
      <c r="BD501" s="1741" t="n"/>
      <c r="BE501" s="1740" t="n"/>
      <c r="BF501" s="1741" t="n"/>
      <c r="BG501" s="1742" t="n"/>
      <c r="BH501" s="1742" t="n"/>
      <c r="BI501" s="1741" t="n"/>
      <c r="BJ501" s="1740" t="n"/>
      <c r="BK501" s="1741" t="n"/>
      <c r="BL501" s="1742" t="n"/>
      <c r="BM501" s="1742" t="n"/>
      <c r="BN501" s="1741" t="n"/>
      <c r="BO501" s="1743" t="n"/>
      <c r="BP501" s="1742" t="n"/>
      <c r="BQ501" s="1742" t="n"/>
      <c r="BR501" s="1742" t="n"/>
      <c r="BS501" s="1742" t="n"/>
      <c r="BT501" s="1740" t="n"/>
      <c r="BU501" s="1742" t="n"/>
      <c r="BV501" s="1742" t="n"/>
      <c r="BW501" s="1742" t="n"/>
      <c r="BX501" s="1742" t="n"/>
      <c r="BY501" s="1740" t="n"/>
      <c r="BZ501" s="1740" t="n"/>
      <c r="CA501" s="1740" t="n"/>
      <c r="CB501" s="1740" t="n"/>
      <c r="CC501" s="1744" t="n"/>
    </row>
    <row r="502" ht="14.4" customFormat="1" customHeight="1" s="1737">
      <c r="A502" s="1745">
        <f>"P/E - "&amp;MO.ValuationToggle</f>
        <v/>
      </c>
      <c r="B502" s="1739" t="n"/>
      <c r="C502" s="1746">
        <f>C498/C418</f>
        <v/>
      </c>
      <c r="D502" s="1746">
        <f>D498/D418</f>
        <v/>
      </c>
      <c r="E502" s="1746">
        <f>E498/E418</f>
        <v/>
      </c>
      <c r="F502" s="1746">
        <f>F498/F418</f>
        <v/>
      </c>
      <c r="G502" s="1746">
        <f>G498/G418</f>
        <v/>
      </c>
      <c r="H502" s="1741" t="n"/>
      <c r="I502" s="1741" t="n"/>
      <c r="J502" s="1741" t="n"/>
      <c r="K502" s="1741" t="n"/>
      <c r="L502" s="1746">
        <f>L498/L418</f>
        <v/>
      </c>
      <c r="M502" s="1741" t="n"/>
      <c r="N502" s="1741" t="n"/>
      <c r="O502" s="1741" t="n"/>
      <c r="P502" s="1741" t="n"/>
      <c r="Q502" s="1746">
        <f>Q498/Q418</f>
        <v/>
      </c>
      <c r="R502" s="1741" t="n"/>
      <c r="S502" s="1742" t="n"/>
      <c r="T502" s="1741" t="n"/>
      <c r="U502" s="1741" t="n"/>
      <c r="V502" s="1746">
        <f>V498/V418</f>
        <v/>
      </c>
      <c r="W502" s="1741" t="n"/>
      <c r="X502" s="1742" t="n"/>
      <c r="Y502" s="1742" t="n"/>
      <c r="Z502" s="1741" t="n"/>
      <c r="AA502" s="1746">
        <f>AA498/AA418</f>
        <v/>
      </c>
      <c r="AB502" s="1741" t="n"/>
      <c r="AC502" s="1742" t="n"/>
      <c r="AD502" s="1742" t="n"/>
      <c r="AE502" s="1741" t="n"/>
      <c r="AF502" s="1746">
        <f>AF498/AF418</f>
        <v/>
      </c>
      <c r="AG502" s="1741" t="n"/>
      <c r="AH502" s="1742" t="n"/>
      <c r="AI502" s="1742" t="n"/>
      <c r="AJ502" s="1741" t="n"/>
      <c r="AK502" s="1746">
        <f>AK498/AK418</f>
        <v/>
      </c>
      <c r="AL502" s="1741" t="n"/>
      <c r="AM502" s="1742" t="n"/>
      <c r="AN502" s="1742" t="n"/>
      <c r="AO502" s="1741" t="n"/>
      <c r="AP502" s="1746">
        <f>AP498/AP418</f>
        <v/>
      </c>
      <c r="AQ502" s="1741" t="n"/>
      <c r="AR502" s="1742" t="n"/>
      <c r="AS502" s="1742" t="n"/>
      <c r="AT502" s="1741" t="n"/>
      <c r="AU502" s="1746">
        <f>AU498/AU418</f>
        <v/>
      </c>
      <c r="AV502" s="1741" t="n"/>
      <c r="AW502" s="1742" t="n"/>
      <c r="AX502" s="1742" t="n"/>
      <c r="AY502" s="1741" t="n"/>
      <c r="AZ502" s="1746">
        <f>AZ498/AZ418</f>
        <v/>
      </c>
      <c r="BA502" s="1741" t="n"/>
      <c r="BB502" s="1742" t="n"/>
      <c r="BC502" s="1742" t="n"/>
      <c r="BD502" s="1741" t="n"/>
      <c r="BE502" s="1746">
        <f>BE498/BE418</f>
        <v/>
      </c>
      <c r="BF502" s="1741" t="n"/>
      <c r="BG502" s="1742" t="n"/>
      <c r="BH502" s="1742" t="n"/>
      <c r="BI502" s="1741" t="n"/>
      <c r="BJ502" s="1746">
        <f>BJ498/BJ418</f>
        <v/>
      </c>
      <c r="BK502" s="1741" t="n"/>
      <c r="BL502" s="1742" t="n"/>
      <c r="BM502" s="1742" t="n"/>
      <c r="BN502" s="1741" t="n"/>
      <c r="BO502" s="1747">
        <f>BO498/BO418</f>
        <v/>
      </c>
      <c r="BP502" s="1742" t="n"/>
      <c r="BQ502" s="1742" t="n"/>
      <c r="BR502" s="1742" t="n"/>
      <c r="BS502" s="1742" t="n"/>
      <c r="BT502" s="1740">
        <f>BT498/BT418</f>
        <v/>
      </c>
      <c r="BU502" s="1742" t="n"/>
      <c r="BV502" s="1742" t="n"/>
      <c r="BW502" s="1742" t="n"/>
      <c r="BX502" s="1742" t="n"/>
      <c r="BY502" s="1740">
        <f>BY498/BY418</f>
        <v/>
      </c>
      <c r="BZ502" s="1740">
        <f>BZ498/BZ418</f>
        <v/>
      </c>
      <c r="CA502" s="1740">
        <f>CA498/CA418</f>
        <v/>
      </c>
      <c r="CB502" s="1740">
        <f>CB498/CB418</f>
        <v/>
      </c>
      <c r="CC502" s="1744" t="n"/>
    </row>
    <row r="503" ht="14.4" customFormat="1" customHeight="1" s="1737">
      <c r="A503" s="1745">
        <f>"EV/EBITDA - "&amp;MO.ValuationToggle</f>
        <v/>
      </c>
      <c r="B503" s="1739" t="n"/>
      <c r="C503" s="1746">
        <f>C500/C387</f>
        <v/>
      </c>
      <c r="D503" s="1746">
        <f>D500/D387</f>
        <v/>
      </c>
      <c r="E503" s="1746">
        <f>E500/E387</f>
        <v/>
      </c>
      <c r="F503" s="1746">
        <f>F500/F387</f>
        <v/>
      </c>
      <c r="G503" s="1746">
        <f>G500/G387</f>
        <v/>
      </c>
      <c r="H503" s="1741" t="n"/>
      <c r="I503" s="1741" t="n"/>
      <c r="J503" s="1741" t="n"/>
      <c r="K503" s="1741" t="n"/>
      <c r="L503" s="1746">
        <f>L500/L387</f>
        <v/>
      </c>
      <c r="M503" s="1741" t="n"/>
      <c r="N503" s="1741" t="n"/>
      <c r="O503" s="1741" t="n"/>
      <c r="P503" s="1741" t="n"/>
      <c r="Q503" s="1746">
        <f>Q500/Q387</f>
        <v/>
      </c>
      <c r="R503" s="1741" t="n"/>
      <c r="S503" s="1742" t="n"/>
      <c r="T503" s="1741" t="n"/>
      <c r="U503" s="1741" t="n"/>
      <c r="V503" s="1746">
        <f>V500/V387</f>
        <v/>
      </c>
      <c r="W503" s="1741" t="n"/>
      <c r="X503" s="1742" t="n"/>
      <c r="Y503" s="1742" t="n"/>
      <c r="Z503" s="1741" t="n"/>
      <c r="AA503" s="1746">
        <f>AA500/AA387</f>
        <v/>
      </c>
      <c r="AB503" s="1741" t="n"/>
      <c r="AC503" s="1742" t="n"/>
      <c r="AD503" s="1742" t="n"/>
      <c r="AE503" s="1741" t="n"/>
      <c r="AF503" s="1746">
        <f>AF500/AF387</f>
        <v/>
      </c>
      <c r="AG503" s="1741" t="n"/>
      <c r="AH503" s="1742" t="n"/>
      <c r="AI503" s="1742" t="n"/>
      <c r="AJ503" s="1741" t="n"/>
      <c r="AK503" s="1746">
        <f>AK500/AK387</f>
        <v/>
      </c>
      <c r="AL503" s="1741" t="n"/>
      <c r="AM503" s="1742" t="n"/>
      <c r="AN503" s="1742" t="n"/>
      <c r="AO503" s="1741" t="n"/>
      <c r="AP503" s="1746">
        <f>AP500/AP387</f>
        <v/>
      </c>
      <c r="AQ503" s="1741" t="n"/>
      <c r="AR503" s="1742" t="n"/>
      <c r="AS503" s="1742" t="n"/>
      <c r="AT503" s="1741" t="n"/>
      <c r="AU503" s="1746">
        <f>AU500/AU387</f>
        <v/>
      </c>
      <c r="AV503" s="1741" t="n"/>
      <c r="AW503" s="1742" t="n"/>
      <c r="AX503" s="1742" t="n"/>
      <c r="AY503" s="1741" t="n"/>
      <c r="AZ503" s="1746">
        <f>AZ500/AZ387</f>
        <v/>
      </c>
      <c r="BA503" s="1741" t="n"/>
      <c r="BB503" s="1742" t="n"/>
      <c r="BC503" s="1742" t="n"/>
      <c r="BD503" s="1741" t="n"/>
      <c r="BE503" s="1746">
        <f>BE500/BE387</f>
        <v/>
      </c>
      <c r="BF503" s="1741" t="n"/>
      <c r="BG503" s="1742" t="n"/>
      <c r="BH503" s="1742" t="n"/>
      <c r="BI503" s="1741" t="n"/>
      <c r="BJ503" s="1746">
        <f>BJ500/BJ387</f>
        <v/>
      </c>
      <c r="BK503" s="1741" t="n"/>
      <c r="BL503" s="1742" t="n"/>
      <c r="BM503" s="1742" t="n"/>
      <c r="BN503" s="1741" t="n"/>
      <c r="BO503" s="1747">
        <f>BO500/BO387</f>
        <v/>
      </c>
      <c r="BP503" s="1742" t="n"/>
      <c r="BQ503" s="1742" t="n"/>
      <c r="BR503" s="1742" t="n"/>
      <c r="BS503" s="1742" t="n"/>
      <c r="BT503" s="1740">
        <f>BT500/BT387</f>
        <v/>
      </c>
      <c r="BU503" s="1742" t="n"/>
      <c r="BV503" s="1742" t="n"/>
      <c r="BW503" s="1742" t="n"/>
      <c r="BX503" s="1742" t="n"/>
      <c r="BY503" s="1740">
        <f>BY500/BY387</f>
        <v/>
      </c>
      <c r="BZ503" s="1740">
        <f>BZ500/BZ387</f>
        <v/>
      </c>
      <c r="CA503" s="1740">
        <f>CA500/CA387</f>
        <v/>
      </c>
      <c r="CB503" s="1740">
        <f>CB500/CB387</f>
        <v/>
      </c>
      <c r="CC503" s="1744" t="n"/>
    </row>
    <row r="504" ht="14.4" customFormat="1" customHeight="1" s="1737">
      <c r="A504" s="1745">
        <f>"P/CF - "&amp;MO.ValuationToggle</f>
        <v/>
      </c>
      <c r="B504" s="1739" t="n"/>
      <c r="C504" s="1746">
        <f>C498/C455</f>
        <v/>
      </c>
      <c r="D504" s="1746">
        <f>D498/D455</f>
        <v/>
      </c>
      <c r="E504" s="1746">
        <f>E498/E455</f>
        <v/>
      </c>
      <c r="F504" s="1746">
        <f>F498/F455</f>
        <v/>
      </c>
      <c r="G504" s="1746">
        <f>G498/G455</f>
        <v/>
      </c>
      <c r="H504" s="1741" t="n"/>
      <c r="I504" s="1741" t="n"/>
      <c r="J504" s="1741" t="n"/>
      <c r="K504" s="1741" t="n"/>
      <c r="L504" s="1746">
        <f>L498/L455</f>
        <v/>
      </c>
      <c r="M504" s="1741" t="n"/>
      <c r="N504" s="1741" t="n"/>
      <c r="O504" s="1741" t="n"/>
      <c r="P504" s="1741" t="n"/>
      <c r="Q504" s="1746">
        <f>Q498/Q455</f>
        <v/>
      </c>
      <c r="R504" s="1741" t="n"/>
      <c r="S504" s="1742" t="n"/>
      <c r="T504" s="1741" t="n"/>
      <c r="U504" s="1741" t="n"/>
      <c r="V504" s="1746">
        <f>V498/V455</f>
        <v/>
      </c>
      <c r="W504" s="1741" t="n"/>
      <c r="X504" s="1742" t="n"/>
      <c r="Y504" s="1742" t="n"/>
      <c r="Z504" s="1741" t="n"/>
      <c r="AA504" s="1746">
        <f>AA498/AA455</f>
        <v/>
      </c>
      <c r="AB504" s="1741" t="n"/>
      <c r="AC504" s="1742" t="n"/>
      <c r="AD504" s="1742" t="n"/>
      <c r="AE504" s="1741" t="n"/>
      <c r="AF504" s="1746">
        <f>AF498/AF455</f>
        <v/>
      </c>
      <c r="AG504" s="1741" t="n"/>
      <c r="AH504" s="1742" t="n"/>
      <c r="AI504" s="1742" t="n"/>
      <c r="AJ504" s="1741" t="n"/>
      <c r="AK504" s="1746">
        <f>AK498/AK455</f>
        <v/>
      </c>
      <c r="AL504" s="1741" t="n"/>
      <c r="AM504" s="1742" t="n"/>
      <c r="AN504" s="1742" t="n"/>
      <c r="AO504" s="1741" t="n"/>
      <c r="AP504" s="1746">
        <f>AP498/AP455</f>
        <v/>
      </c>
      <c r="AQ504" s="1741" t="n"/>
      <c r="AR504" s="1742" t="n"/>
      <c r="AS504" s="1742" t="n"/>
      <c r="AT504" s="1741" t="n"/>
      <c r="AU504" s="1746">
        <f>AU498/AU455</f>
        <v/>
      </c>
      <c r="AV504" s="1741" t="n"/>
      <c r="AW504" s="1742" t="n"/>
      <c r="AX504" s="1742" t="n"/>
      <c r="AY504" s="1741" t="n"/>
      <c r="AZ504" s="1746">
        <f>AZ498/AZ455</f>
        <v/>
      </c>
      <c r="BA504" s="1741" t="n"/>
      <c r="BB504" s="1742" t="n"/>
      <c r="BC504" s="1742" t="n"/>
      <c r="BD504" s="1741" t="n"/>
      <c r="BE504" s="1746">
        <f>BE498/BE455</f>
        <v/>
      </c>
      <c r="BF504" s="1741" t="n"/>
      <c r="BG504" s="1742" t="n"/>
      <c r="BH504" s="1742" t="n"/>
      <c r="BI504" s="1741" t="n"/>
      <c r="BJ504" s="1746">
        <f>BJ498/BJ455</f>
        <v/>
      </c>
      <c r="BK504" s="1741" t="n"/>
      <c r="BL504" s="1742" t="n"/>
      <c r="BM504" s="1742" t="n"/>
      <c r="BN504" s="1741" t="n"/>
      <c r="BO504" s="1747">
        <f>BO498/BO455</f>
        <v/>
      </c>
      <c r="BP504" s="1742" t="n"/>
      <c r="BQ504" s="1742" t="n"/>
      <c r="BR504" s="1742" t="n"/>
      <c r="BS504" s="1742" t="n"/>
      <c r="BT504" s="1740">
        <f>BT498/BT455</f>
        <v/>
      </c>
      <c r="BU504" s="1742" t="n"/>
      <c r="BV504" s="1742" t="n"/>
      <c r="BW504" s="1742" t="n"/>
      <c r="BX504" s="1742" t="n"/>
      <c r="BY504" s="1740">
        <f>BY498/BY455</f>
        <v/>
      </c>
      <c r="BZ504" s="1740">
        <f>BZ498/BZ455</f>
        <v/>
      </c>
      <c r="CA504" s="1740">
        <f>CA498/CA455</f>
        <v/>
      </c>
      <c r="CB504" s="1740">
        <f>CB498/CB455</f>
        <v/>
      </c>
      <c r="CC504" s="1744" t="n"/>
    </row>
    <row r="505" ht="14.4" customFormat="1" customHeight="1" s="1290">
      <c r="A505" s="1748">
        <f>"FCF Yield % to "&amp;MO.ValuationToggle&amp;" Market Cap"</f>
        <v/>
      </c>
      <c r="B505" s="1550" t="n"/>
      <c r="C505" s="1447">
        <f>C472/C499</f>
        <v/>
      </c>
      <c r="D505" s="1447">
        <f>D472/D499</f>
        <v/>
      </c>
      <c r="E505" s="1447">
        <f>E472/E499</f>
        <v/>
      </c>
      <c r="F505" s="1447">
        <f>F472/F499</f>
        <v/>
      </c>
      <c r="G505" s="1447">
        <f>G472/G499</f>
        <v/>
      </c>
      <c r="H505" s="1552" t="n"/>
      <c r="I505" s="1552" t="n"/>
      <c r="J505" s="1552" t="n"/>
      <c r="K505" s="1552" t="n"/>
      <c r="L505" s="1447">
        <f>L472/L499</f>
        <v/>
      </c>
      <c r="M505" s="1552" t="n"/>
      <c r="N505" s="1552" t="n"/>
      <c r="O505" s="1552" t="n"/>
      <c r="P505" s="1552" t="n"/>
      <c r="Q505" s="1447">
        <f>Q472/Q499</f>
        <v/>
      </c>
      <c r="R505" s="1552" t="n"/>
      <c r="S505" s="1552" t="n"/>
      <c r="T505" s="1552" t="n"/>
      <c r="U505" s="1552" t="n"/>
      <c r="V505" s="1447">
        <f>V472/V499</f>
        <v/>
      </c>
      <c r="W505" s="1552" t="n"/>
      <c r="X505" s="1552" t="n"/>
      <c r="Y505" s="1552" t="n"/>
      <c r="Z505" s="1552" t="n"/>
      <c r="AA505" s="1447">
        <f>AA472/AA499</f>
        <v/>
      </c>
      <c r="AB505" s="1552" t="n"/>
      <c r="AC505" s="1552" t="n"/>
      <c r="AD505" s="1552" t="n"/>
      <c r="AE505" s="1552" t="n"/>
      <c r="AF505" s="1447">
        <f>AF472/AF499</f>
        <v/>
      </c>
      <c r="AG505" s="1552" t="n"/>
      <c r="AH505" s="1552" t="n"/>
      <c r="AI505" s="1552" t="n"/>
      <c r="AJ505" s="1552" t="n"/>
      <c r="AK505" s="1447">
        <f>AK472/AK499</f>
        <v/>
      </c>
      <c r="AL505" s="1552" t="n"/>
      <c r="AM505" s="1552" t="n"/>
      <c r="AN505" s="1552" t="n"/>
      <c r="AO505" s="1552" t="n"/>
      <c r="AP505" s="1447">
        <f>AP472/AP499</f>
        <v/>
      </c>
      <c r="AQ505" s="1552" t="n"/>
      <c r="AR505" s="1552" t="n"/>
      <c r="AS505" s="1552" t="n"/>
      <c r="AT505" s="1552" t="n"/>
      <c r="AU505" s="1447">
        <f>AU472/AU499</f>
        <v/>
      </c>
      <c r="AV505" s="1552" t="n"/>
      <c r="AW505" s="1552" t="n"/>
      <c r="AX505" s="1552" t="n"/>
      <c r="AY505" s="1552" t="n"/>
      <c r="AZ505" s="1447">
        <f>AZ472/AZ499</f>
        <v/>
      </c>
      <c r="BA505" s="1552" t="n"/>
      <c r="BB505" s="1552" t="n"/>
      <c r="BC505" s="1552" t="n"/>
      <c r="BD505" s="1552" t="n"/>
      <c r="BE505" s="1447">
        <f>BE472/BE499</f>
        <v/>
      </c>
      <c r="BF505" s="1552" t="n"/>
      <c r="BG505" s="1552" t="n"/>
      <c r="BH505" s="1552" t="n"/>
      <c r="BI505" s="1552" t="n"/>
      <c r="BJ505" s="1447">
        <f>BJ472/BJ499</f>
        <v/>
      </c>
      <c r="BK505" s="1552" t="n"/>
      <c r="BL505" s="1552" t="n"/>
      <c r="BM505" s="1552" t="n"/>
      <c r="BN505" s="1552" t="n"/>
      <c r="BO505" s="1749">
        <f>BO472/BO499</f>
        <v/>
      </c>
      <c r="BP505" s="1552" t="n"/>
      <c r="BQ505" s="1552" t="n"/>
      <c r="BR505" s="1552" t="n"/>
      <c r="BS505" s="1552" t="n"/>
      <c r="BT505" s="1551">
        <f>BT472/BT499</f>
        <v/>
      </c>
      <c r="BU505" s="1552" t="n"/>
      <c r="BV505" s="1552" t="n"/>
      <c r="BW505" s="1552" t="n"/>
      <c r="BX505" s="1552" t="n"/>
      <c r="BY505" s="1551">
        <f>BY472/BY499</f>
        <v/>
      </c>
      <c r="BZ505" s="1551">
        <f>BZ472/BZ499</f>
        <v/>
      </c>
      <c r="CA505" s="1551">
        <f>CA472/CA499</f>
        <v/>
      </c>
      <c r="CB505" s="1551">
        <f>CB472/CB499</f>
        <v/>
      </c>
      <c r="CC505" s="1294" t="n"/>
    </row>
    <row r="506" ht="14.4" customFormat="1" customHeight="1" s="1290">
      <c r="A506" s="1748">
        <f>"FCF Yield % to "&amp;MO.ValuationToggle&amp;" Enterprise Value"</f>
        <v/>
      </c>
      <c r="B506" s="1550" t="n"/>
      <c r="C506" s="1447">
        <f>C472/C500</f>
        <v/>
      </c>
      <c r="D506" s="1447">
        <f>D472/D500</f>
        <v/>
      </c>
      <c r="E506" s="1447">
        <f>E472/E500</f>
        <v/>
      </c>
      <c r="F506" s="1447">
        <f>F472/F500</f>
        <v/>
      </c>
      <c r="G506" s="1447">
        <f>G472/G500</f>
        <v/>
      </c>
      <c r="H506" s="1552" t="n"/>
      <c r="I506" s="1552" t="n"/>
      <c r="J506" s="1552" t="n"/>
      <c r="K506" s="1552" t="n"/>
      <c r="L506" s="1447">
        <f>L472/L500</f>
        <v/>
      </c>
      <c r="M506" s="1552" t="n"/>
      <c r="N506" s="1552" t="n"/>
      <c r="O506" s="1552" t="n"/>
      <c r="P506" s="1552" t="n"/>
      <c r="Q506" s="1447">
        <f>Q472/Q500</f>
        <v/>
      </c>
      <c r="R506" s="1552" t="n"/>
      <c r="S506" s="1552" t="n"/>
      <c r="T506" s="1552" t="n"/>
      <c r="U506" s="1552" t="n"/>
      <c r="V506" s="1447">
        <f>V472/V500</f>
        <v/>
      </c>
      <c r="W506" s="1552" t="n"/>
      <c r="X506" s="1552" t="n"/>
      <c r="Y506" s="1552" t="n"/>
      <c r="Z506" s="1552" t="n"/>
      <c r="AA506" s="1447">
        <f>AA472/AA500</f>
        <v/>
      </c>
      <c r="AB506" s="1552" t="n"/>
      <c r="AC506" s="1552" t="n"/>
      <c r="AD506" s="1552" t="n"/>
      <c r="AE506" s="1552" t="n"/>
      <c r="AF506" s="1447">
        <f>AF472/AF500</f>
        <v/>
      </c>
      <c r="AG506" s="1552" t="n"/>
      <c r="AH506" s="1552" t="n"/>
      <c r="AI506" s="1552" t="n"/>
      <c r="AJ506" s="1552" t="n"/>
      <c r="AK506" s="1447">
        <f>AK472/AK500</f>
        <v/>
      </c>
      <c r="AL506" s="1552" t="n"/>
      <c r="AM506" s="1552" t="n"/>
      <c r="AN506" s="1552" t="n"/>
      <c r="AO506" s="1552" t="n"/>
      <c r="AP506" s="1447">
        <f>AP472/AP500</f>
        <v/>
      </c>
      <c r="AQ506" s="1552" t="n"/>
      <c r="AR506" s="1552" t="n"/>
      <c r="AS506" s="1552" t="n"/>
      <c r="AT506" s="1552" t="n"/>
      <c r="AU506" s="1447">
        <f>AU472/AU500</f>
        <v/>
      </c>
      <c r="AV506" s="1552" t="n"/>
      <c r="AW506" s="1552" t="n"/>
      <c r="AX506" s="1552" t="n"/>
      <c r="AY506" s="1552" t="n"/>
      <c r="AZ506" s="1447">
        <f>AZ472/AZ500</f>
        <v/>
      </c>
      <c r="BA506" s="1552" t="n"/>
      <c r="BB506" s="1552" t="n"/>
      <c r="BC506" s="1552" t="n"/>
      <c r="BD506" s="1552" t="n"/>
      <c r="BE506" s="1447">
        <f>BE472/BE500</f>
        <v/>
      </c>
      <c r="BF506" s="1552" t="n"/>
      <c r="BG506" s="1552" t="n"/>
      <c r="BH506" s="1552" t="n"/>
      <c r="BI506" s="1552" t="n"/>
      <c r="BJ506" s="1447">
        <f>BJ472/BJ500</f>
        <v/>
      </c>
      <c r="BK506" s="1552" t="n"/>
      <c r="BL506" s="1552" t="n"/>
      <c r="BM506" s="1552" t="n"/>
      <c r="BN506" s="1552" t="n"/>
      <c r="BO506" s="1749">
        <f>BO472/BO500</f>
        <v/>
      </c>
      <c r="BP506" s="1552" t="n"/>
      <c r="BQ506" s="1552" t="n"/>
      <c r="BR506" s="1552" t="n"/>
      <c r="BS506" s="1552" t="n"/>
      <c r="BT506" s="1551">
        <f>BT472/BT500</f>
        <v/>
      </c>
      <c r="BU506" s="1552" t="n"/>
      <c r="BV506" s="1552" t="n"/>
      <c r="BW506" s="1552" t="n"/>
      <c r="BX506" s="1552" t="n"/>
      <c r="BY506" s="1551">
        <f>BY472/BY500</f>
        <v/>
      </c>
      <c r="BZ506" s="1551">
        <f>BZ472/BZ500</f>
        <v/>
      </c>
      <c r="CA506" s="1551">
        <f>CA472/CA500</f>
        <v/>
      </c>
      <c r="CB506" s="1551">
        <f>CB472/CB500</f>
        <v/>
      </c>
      <c r="CC506" s="1294" t="n"/>
    </row>
    <row r="507" hidden="1" outlineLevel="1" ht="14.4" customFormat="1" customHeight="1" s="1290">
      <c r="A507" s="1367" t="n"/>
      <c r="B507" s="1550" t="n"/>
      <c r="C507" s="1551" t="n"/>
      <c r="D507" s="1551" t="n"/>
      <c r="E507" s="1551" t="n"/>
      <c r="F507" s="1551" t="n"/>
      <c r="G507" s="1551" t="n"/>
      <c r="H507" s="1552" t="n"/>
      <c r="I507" s="1552" t="n"/>
      <c r="J507" s="1552" t="n"/>
      <c r="K507" s="1552" t="n"/>
      <c r="L507" s="1551" t="n"/>
      <c r="M507" s="1552" t="n"/>
      <c r="N507" s="1552" t="n"/>
      <c r="O507" s="1552" t="n"/>
      <c r="P507" s="1552" t="n"/>
      <c r="Q507" s="1551" t="n"/>
      <c r="R507" s="1552" t="n"/>
      <c r="S507" s="1552" t="n"/>
      <c r="T507" s="1552" t="n"/>
      <c r="U507" s="1552" t="n"/>
      <c r="V507" s="1551" t="n"/>
      <c r="W507" s="1552" t="n"/>
      <c r="X507" s="1552" t="n"/>
      <c r="Y507" s="1552" t="n"/>
      <c r="Z507" s="1552" t="n"/>
      <c r="AA507" s="1551" t="n"/>
      <c r="AB507" s="1552" t="n"/>
      <c r="AC507" s="1552" t="n"/>
      <c r="AD507" s="1552" t="n"/>
      <c r="AE507" s="1552" t="n"/>
      <c r="AF507" s="1551" t="n"/>
      <c r="AG507" s="1552" t="n"/>
      <c r="AH507" s="1552" t="n"/>
      <c r="AI507" s="1552" t="n"/>
      <c r="AJ507" s="1552" t="n"/>
      <c r="AK507" s="1551" t="n"/>
      <c r="AL507" s="1552" t="n"/>
      <c r="AM507" s="1552" t="n"/>
      <c r="AN507" s="1552" t="n"/>
      <c r="AO507" s="1552" t="n"/>
      <c r="AP507" s="1551" t="n"/>
      <c r="AQ507" s="1552" t="n"/>
      <c r="AR507" s="1552" t="n"/>
      <c r="AS507" s="1552" t="n"/>
      <c r="AT507" s="1552" t="n"/>
      <c r="AU507" s="1551" t="n"/>
      <c r="AV507" s="1552" t="n"/>
      <c r="AW507" s="1552" t="n"/>
      <c r="AX507" s="1552" t="n"/>
      <c r="AY507" s="1552" t="n"/>
      <c r="AZ507" s="1551" t="n"/>
      <c r="BA507" s="1552" t="n"/>
      <c r="BB507" s="1552" t="n"/>
      <c r="BC507" s="1552" t="n"/>
      <c r="BD507" s="1552" t="n"/>
      <c r="BE507" s="1551" t="n"/>
      <c r="BF507" s="1552" t="n"/>
      <c r="BG507" s="1552" t="n"/>
      <c r="BH507" s="1552" t="n"/>
      <c r="BI507" s="1552" t="n"/>
      <c r="BJ507" s="1551" t="n"/>
      <c r="BK507" s="1552" t="n"/>
      <c r="BL507" s="1552" t="n"/>
      <c r="BM507" s="1552" t="n"/>
      <c r="BN507" s="1552" t="n"/>
      <c r="BO507" s="1553" t="n"/>
      <c r="BP507" s="1552" t="n"/>
      <c r="BQ507" s="1552" t="n"/>
      <c r="BR507" s="1552" t="n"/>
      <c r="BS507" s="1552" t="n"/>
      <c r="BT507" s="1551" t="n"/>
      <c r="BU507" s="1552" t="n"/>
      <c r="BV507" s="1552" t="n"/>
      <c r="BW507" s="1552" t="n"/>
      <c r="BX507" s="1552" t="n"/>
      <c r="BY507" s="1551" t="n"/>
      <c r="BZ507" s="1551" t="n"/>
      <c r="CA507" s="1551" t="n"/>
      <c r="CB507" s="1551" t="n"/>
      <c r="CC507" s="1294" t="n"/>
    </row>
    <row r="508" hidden="1" outlineLevel="1" ht="14.4" customFormat="1" customHeight="1" s="1750">
      <c r="A508" s="1751">
        <f>"Stock High, "&amp;HP.TradeCurrency</f>
        <v/>
      </c>
      <c r="B508" s="1752" t="n"/>
      <c r="C508" s="1753">
        <f>IF(INDEX(MO_SNA_IsHistoricalPeriod,1,COLUMN())=FALSE,0,INDEX(MO_SPT_StockHigh,1,COLUMN()))</f>
        <v/>
      </c>
      <c r="D508" s="1753">
        <f>IF(INDEX(MO_SNA_IsHistoricalPeriod,1,COLUMN())=FALSE,0,INDEX(MO_SPT_StockHigh,1,COLUMN()))</f>
        <v/>
      </c>
      <c r="E508" s="1753">
        <f>IF(INDEX(MO_SNA_IsHistoricalPeriod,1,COLUMN())=FALSE,0,INDEX(MO_SPT_StockHigh,1,COLUMN()))</f>
        <v/>
      </c>
      <c r="F508" s="1753">
        <f>IF(INDEX(MO_SNA_IsHistoricalPeriod,1,COLUMN())=FALSE,0,INDEX(MO_SPT_StockHigh,1,COLUMN()))</f>
        <v/>
      </c>
      <c r="G508" s="1753">
        <f>IF(INDEX(MO_SNA_IsHistoricalPeriod,1,COLUMN())=FALSE,0,INDEX(MO_SPT_StockHigh,1,COLUMN()))</f>
        <v/>
      </c>
      <c r="H508" s="1754">
        <f>IF(INDEX(MO_SNA_IsHistoricalPeriod,1,COLUMN())=FALSE,0,INDEX(MO_SPT_StockHigh,1,COLUMN()))</f>
        <v/>
      </c>
      <c r="I508" s="1754">
        <f>IF(INDEX(MO_SNA_IsHistoricalPeriod,1,COLUMN())=FALSE,0,INDEX(MO_SPT_StockHigh,1,COLUMN()))</f>
        <v/>
      </c>
      <c r="J508" s="1754">
        <f>IF(INDEX(MO_SNA_IsHistoricalPeriod,1,COLUMN())=FALSE,0,INDEX(MO_SPT_StockHigh,1,COLUMN()))</f>
        <v/>
      </c>
      <c r="K508" s="1754">
        <f>IF(INDEX(MO_SNA_IsHistoricalPeriod,1,COLUMN())=FALSE,0,INDEX(MO_SPT_StockHigh,1,COLUMN()))</f>
        <v/>
      </c>
      <c r="L508" s="1753">
        <f>IF(INDEX(MO_SNA_IsHistoricalPeriod,1,COLUMN())=FALSE,0,INDEX(MO_SPT_StockHigh,1,COLUMN()))</f>
        <v/>
      </c>
      <c r="M508" s="1754">
        <f>IF(INDEX(MO_SNA_IsHistoricalPeriod,1,COLUMN())=FALSE,0,INDEX(MO_SPT_StockHigh,1,COLUMN()))</f>
        <v/>
      </c>
      <c r="N508" s="1754">
        <f>IF(INDEX(MO_SNA_IsHistoricalPeriod,1,COLUMN())=FALSE,0,INDEX(MO_SPT_StockHigh,1,COLUMN()))</f>
        <v/>
      </c>
      <c r="O508" s="1754">
        <f>IF(INDEX(MO_SNA_IsHistoricalPeriod,1,COLUMN())=FALSE,0,INDEX(MO_SPT_StockHigh,1,COLUMN()))</f>
        <v/>
      </c>
      <c r="P508" s="1754">
        <f>IF(INDEX(MO_SNA_IsHistoricalPeriod,1,COLUMN())=FALSE,0,INDEX(MO_SPT_StockHigh,1,COLUMN()))</f>
        <v/>
      </c>
      <c r="Q508" s="1753">
        <f>IF(INDEX(MO_SNA_IsHistoricalPeriod,1,COLUMN())=FALSE,0,INDEX(MO_SPT_StockHigh,1,COLUMN()))</f>
        <v/>
      </c>
      <c r="R508" s="1754">
        <f>IF(INDEX(MO_SNA_IsHistoricalPeriod,1,COLUMN())=FALSE,0,INDEX(MO_SPT_StockHigh,1,COLUMN()))</f>
        <v/>
      </c>
      <c r="S508" s="1754">
        <f>IF(INDEX(MO_SNA_IsHistoricalPeriod,1,COLUMN())=FALSE,0,INDEX(MO_SPT_StockHigh,1,COLUMN()))</f>
        <v/>
      </c>
      <c r="T508" s="1754">
        <f>IF(INDEX(MO_SNA_IsHistoricalPeriod,1,COLUMN())=FALSE,0,INDEX(MO_SPT_StockHigh,1,COLUMN()))</f>
        <v/>
      </c>
      <c r="U508" s="1754">
        <f>IF(INDEX(MO_SNA_IsHistoricalPeriod,1,COLUMN())=FALSE,0,INDEX(MO_SPT_StockHigh,1,COLUMN()))</f>
        <v/>
      </c>
      <c r="V508" s="1753">
        <f>IF(INDEX(MO_SNA_IsHistoricalPeriod,1,COLUMN())=FALSE,0,INDEX(MO_SPT_StockHigh,1,COLUMN()))</f>
        <v/>
      </c>
      <c r="W508" s="1754">
        <f>IF(INDEX(MO_SNA_IsHistoricalPeriod,1,COLUMN())=FALSE,0,INDEX(MO_SPT_StockHigh,1,COLUMN()))</f>
        <v/>
      </c>
      <c r="X508" s="1754">
        <f>IF(INDEX(MO_SNA_IsHistoricalPeriod,1,COLUMN())=FALSE,0,INDEX(MO_SPT_StockHigh,1,COLUMN()))</f>
        <v/>
      </c>
      <c r="Y508" s="1754">
        <f>IF(INDEX(MO_SNA_IsHistoricalPeriod,1,COLUMN())=FALSE,0,INDEX(MO_SPT_StockHigh,1,COLUMN()))</f>
        <v/>
      </c>
      <c r="Z508" s="1754">
        <f>IF(INDEX(MO_SNA_IsHistoricalPeriod,1,COLUMN())=FALSE,0,INDEX(MO_SPT_StockHigh,1,COLUMN()))</f>
        <v/>
      </c>
      <c r="AA508" s="1753">
        <f>IF(INDEX(MO_SNA_IsHistoricalPeriod,1,COLUMN())=FALSE,0,INDEX(MO_SPT_StockHigh,1,COLUMN()))</f>
        <v/>
      </c>
      <c r="AB508" s="1754">
        <f>IF(INDEX(MO_SNA_IsHistoricalPeriod,1,COLUMN())=FALSE,0,INDEX(MO_SPT_StockHigh,1,COLUMN()))</f>
        <v/>
      </c>
      <c r="AC508" s="1754">
        <f>IF(INDEX(MO_SNA_IsHistoricalPeriod,1,COLUMN())=FALSE,0,INDEX(MO_SPT_StockHigh,1,COLUMN()))</f>
        <v/>
      </c>
      <c r="AD508" s="1754">
        <f>IF(INDEX(MO_SNA_IsHistoricalPeriod,1,COLUMN())=FALSE,0,INDEX(MO_SPT_StockHigh,1,COLUMN()))</f>
        <v/>
      </c>
      <c r="AE508" s="1754">
        <f>IF(INDEX(MO_SNA_IsHistoricalPeriod,1,COLUMN())=FALSE,0,INDEX(MO_SPT_StockHigh,1,COLUMN()))</f>
        <v/>
      </c>
      <c r="AF508" s="1753">
        <f>IF(INDEX(MO_SNA_IsHistoricalPeriod,1,COLUMN())=FALSE,0,INDEX(MO_SPT_StockHigh,1,COLUMN()))</f>
        <v/>
      </c>
      <c r="AG508" s="1754">
        <f>IF(INDEX(MO_SNA_IsHistoricalPeriod,1,COLUMN())=FALSE,0,INDEX(MO_SPT_StockHigh,1,COLUMN()))</f>
        <v/>
      </c>
      <c r="AH508" s="1754">
        <f>IF(INDEX(MO_SNA_IsHistoricalPeriod,1,COLUMN())=FALSE,0,INDEX(MO_SPT_StockHigh,1,COLUMN()))</f>
        <v/>
      </c>
      <c r="AI508" s="1754">
        <f>IF(INDEX(MO_SNA_IsHistoricalPeriod,1,COLUMN())=FALSE,0,INDEX(MO_SPT_StockHigh,1,COLUMN()))</f>
        <v/>
      </c>
      <c r="AJ508" s="1754">
        <f>IF(INDEX(MO_SNA_IsHistoricalPeriod,1,COLUMN())=FALSE,0,INDEX(MO_SPT_StockHigh,1,COLUMN()))</f>
        <v/>
      </c>
      <c r="AK508" s="1753">
        <f>IF(INDEX(MO_SNA_IsHistoricalPeriod,1,COLUMN())=FALSE,0,INDEX(MO_SPT_StockHigh,1,COLUMN()))</f>
        <v/>
      </c>
      <c r="AL508" s="1754">
        <f>IF(INDEX(MO_SNA_IsHistoricalPeriod,1,COLUMN())=FALSE,0,INDEX(MO_SPT_StockHigh,1,COLUMN()))</f>
        <v/>
      </c>
      <c r="AM508" s="1754">
        <f>IF(INDEX(MO_SNA_IsHistoricalPeriod,1,COLUMN())=FALSE,0,INDEX(MO_SPT_StockHigh,1,COLUMN()))</f>
        <v/>
      </c>
      <c r="AN508" s="1754">
        <f>IF(INDEX(MO_SNA_IsHistoricalPeriod,1,COLUMN())=FALSE,0,INDEX(MO_SPT_StockHigh,1,COLUMN()))</f>
        <v/>
      </c>
      <c r="AO508" s="1754">
        <f>IF(INDEX(MO_SNA_IsHistoricalPeriod,1,COLUMN())=FALSE,0,INDEX(MO_SPT_StockHigh,1,COLUMN()))</f>
        <v/>
      </c>
      <c r="AP508" s="1753">
        <f>IF(INDEX(MO_SNA_IsHistoricalPeriod,1,COLUMN())=FALSE,0,INDEX(MO_SPT_StockHigh,1,COLUMN()))</f>
        <v/>
      </c>
      <c r="AQ508" s="1754">
        <f>IF(INDEX(MO_SNA_IsHistoricalPeriod,1,COLUMN())=FALSE,0,INDEX(MO_SPT_StockHigh,1,COLUMN()))</f>
        <v/>
      </c>
      <c r="AR508" s="1754">
        <f>IF(INDEX(MO_SNA_IsHistoricalPeriod,1,COLUMN())=FALSE,0,INDEX(MO_SPT_StockHigh,1,COLUMN()))</f>
        <v/>
      </c>
      <c r="AS508" s="1754">
        <f>IF(INDEX(MO_SNA_IsHistoricalPeriod,1,COLUMN())=FALSE,0,INDEX(MO_SPT_StockHigh,1,COLUMN()))</f>
        <v/>
      </c>
      <c r="AT508" s="1754">
        <f>IF(INDEX(MO_SNA_IsHistoricalPeriod,1,COLUMN())=FALSE,0,INDEX(MO_SPT_StockHigh,1,COLUMN()))</f>
        <v/>
      </c>
      <c r="AU508" s="1753">
        <f>IF(INDEX(MO_SNA_IsHistoricalPeriod,1,COLUMN())=FALSE,0,INDEX(MO_SPT_StockHigh,1,COLUMN()))</f>
        <v/>
      </c>
      <c r="AV508" s="1754">
        <f>IF(INDEX(MO_SNA_IsHistoricalPeriod,1,COLUMN())=FALSE,0,INDEX(MO_SPT_StockHigh,1,COLUMN()))</f>
        <v/>
      </c>
      <c r="AW508" s="1754">
        <f>IF(INDEX(MO_SNA_IsHistoricalPeriod,1,COLUMN())=FALSE,0,INDEX(MO_SPT_StockHigh,1,COLUMN()))</f>
        <v/>
      </c>
      <c r="AX508" s="1754">
        <f>IF(INDEX(MO_SNA_IsHistoricalPeriod,1,COLUMN())=FALSE,0,INDEX(MO_SPT_StockHigh,1,COLUMN()))</f>
        <v/>
      </c>
      <c r="AY508" s="1754">
        <f>IF(INDEX(MO_SNA_IsHistoricalPeriod,1,COLUMN())=FALSE,0,INDEX(MO_SPT_StockHigh,1,COLUMN()))</f>
        <v/>
      </c>
      <c r="AZ508" s="1753">
        <f>IF(INDEX(MO_SNA_IsHistoricalPeriod,1,COLUMN())=FALSE,0,INDEX(MO_SPT_StockHigh,1,COLUMN()))</f>
        <v/>
      </c>
      <c r="BA508" s="1754">
        <f>IF(INDEX(MO_SNA_IsHistoricalPeriod,1,COLUMN())=FALSE,0,INDEX(MO_SPT_StockHigh,1,COLUMN()))</f>
        <v/>
      </c>
      <c r="BB508" s="1754">
        <f>IF(INDEX(MO_SNA_IsHistoricalPeriod,1,COLUMN())=FALSE,0,INDEX(MO_SPT_StockHigh,1,COLUMN()))</f>
        <v/>
      </c>
      <c r="BC508" s="1754">
        <f>IF(INDEX(MO_SNA_IsHistoricalPeriod,1,COLUMN())=FALSE,0,INDEX(MO_SPT_StockHigh,1,COLUMN()))</f>
        <v/>
      </c>
      <c r="BD508" s="1754">
        <f>IF(INDEX(MO_SNA_IsHistoricalPeriod,1,COLUMN())=FALSE,0,INDEX(MO_SPT_StockHigh,1,COLUMN()))</f>
        <v/>
      </c>
      <c r="BE508" s="1753">
        <f>IF(INDEX(MO_SNA_IsHistoricalPeriod,1,COLUMN())=FALSE,0,INDEX(MO_SPT_StockHigh,1,COLUMN()))</f>
        <v/>
      </c>
      <c r="BF508" s="1754">
        <f>IF(INDEX(MO_SNA_IsHistoricalPeriod,1,COLUMN())=FALSE,0,INDEX(MO_SPT_StockHigh,1,COLUMN()))</f>
        <v/>
      </c>
      <c r="BG508" s="1754">
        <f>IF(INDEX(MO_SNA_IsHistoricalPeriod,1,COLUMN())=FALSE,0,INDEX(MO_SPT_StockHigh,1,COLUMN()))</f>
        <v/>
      </c>
      <c r="BH508" s="1754">
        <f>IF(INDEX(MO_SNA_IsHistoricalPeriod,1,COLUMN())=FALSE,0,INDEX(MO_SPT_StockHigh,1,COLUMN()))</f>
        <v/>
      </c>
      <c r="BI508" s="1754">
        <f>IF(INDEX(MO_SNA_IsHistoricalPeriod,1,COLUMN())=FALSE,0,INDEX(MO_SPT_StockHigh,1,COLUMN()))</f>
        <v/>
      </c>
      <c r="BJ508" s="1753">
        <f>IF(INDEX(MO_SNA_IsHistoricalPeriod,1,COLUMN())=FALSE,0,INDEX(MO_SPT_StockHigh,1,COLUMN()))</f>
        <v/>
      </c>
      <c r="BK508" s="1754">
        <f>IF(INDEX(MO_SNA_IsHistoricalPeriod,1,COLUMN())=FALSE,0,INDEX(MO_SPT_StockHigh,1,COLUMN()))</f>
        <v/>
      </c>
      <c r="BL508" s="1754">
        <f>IF(INDEX(MO_SNA_IsHistoricalPeriod,1,COLUMN())=FALSE,0,INDEX(MO_SPT_StockHigh,1,COLUMN()))</f>
        <v/>
      </c>
      <c r="BM508" s="1754">
        <f>IF(INDEX(MO_SNA_IsHistoricalPeriod,1,COLUMN())=FALSE,0,INDEX(MO_SPT_StockHigh,1,COLUMN()))</f>
        <v/>
      </c>
      <c r="BN508" s="1754">
        <f>IF(INDEX(MO_SNA_IsHistoricalPeriod,1,COLUMN())=FALSE,0,INDEX(MO_SPT_StockHigh,1,COLUMN()))</f>
        <v/>
      </c>
      <c r="BO508" s="1755">
        <f>IF(INDEX(MO_SNA_IsHistoricalPeriod,1,COLUMN())=FALSE,0,INDEX(MO_SPT_StockHigh,1,COLUMN()))</f>
        <v/>
      </c>
      <c r="BP508" s="1756">
        <f>IF(INDEX(MO_SNA_IsHistoricalPeriod,1,COLUMN())=FALSE,0,INDEX(MO_SPT_StockHigh,1,COLUMN()))</f>
        <v/>
      </c>
      <c r="BQ508" s="1756">
        <f>IF(INDEX(MO_SNA_IsHistoricalPeriod,1,COLUMN())=FALSE,0,INDEX(MO_SPT_StockHigh,1,COLUMN()))</f>
        <v/>
      </c>
      <c r="BR508" s="1756">
        <f>IF(INDEX(MO_SNA_IsHistoricalPeriod,1,COLUMN())=FALSE,0,INDEX(MO_SPT_StockHigh,1,COLUMN()))</f>
        <v/>
      </c>
      <c r="BS508" s="1756">
        <f>IF(INDEX(MO_SNA_IsHistoricalPeriod,1,COLUMN())=FALSE,0,INDEX(MO_SPT_StockHigh,1,COLUMN()))</f>
        <v/>
      </c>
      <c r="BT508" s="1757">
        <f>IF(INDEX(MO_SNA_IsHistoricalPeriod,1,COLUMN())=FALSE,0,INDEX(MO_SPT_StockHigh,1,COLUMN()))</f>
        <v/>
      </c>
      <c r="BU508" s="1756">
        <f>IF(INDEX(MO_SNA_IsHistoricalPeriod,1,COLUMN())=FALSE,0,INDEX(MO_SPT_StockHigh,1,COLUMN()))</f>
        <v/>
      </c>
      <c r="BV508" s="1756">
        <f>IF(INDEX(MO_SNA_IsHistoricalPeriod,1,COLUMN())=FALSE,0,INDEX(MO_SPT_StockHigh,1,COLUMN()))</f>
        <v/>
      </c>
      <c r="BW508" s="1756">
        <f>IF(INDEX(MO_SNA_IsHistoricalPeriod,1,COLUMN())=FALSE,0,INDEX(MO_SPT_StockHigh,1,COLUMN()))</f>
        <v/>
      </c>
      <c r="BX508" s="1756">
        <f>IF(INDEX(MO_SNA_IsHistoricalPeriod,1,COLUMN())=FALSE,0,INDEX(MO_SPT_StockHigh,1,COLUMN()))</f>
        <v/>
      </c>
      <c r="BY508" s="1757">
        <f>IF(INDEX(MO_SNA_IsHistoricalPeriod,1,COLUMN())=FALSE,0,INDEX(MO_SPT_StockHigh,1,COLUMN()))</f>
        <v/>
      </c>
      <c r="BZ508" s="1757">
        <f>IF(INDEX(MO_SNA_IsHistoricalPeriod,1,COLUMN())=FALSE,0,INDEX(MO_SPT_StockHigh,1,COLUMN()))</f>
        <v/>
      </c>
      <c r="CA508" s="1757">
        <f>IF(INDEX(MO_SNA_IsHistoricalPeriod,1,COLUMN())=FALSE,0,INDEX(MO_SPT_StockHigh,1,COLUMN()))</f>
        <v/>
      </c>
      <c r="CB508" s="1757">
        <f>IF(INDEX(MO_SNA_IsHistoricalPeriod,1,COLUMN())=FALSE,0,INDEX(MO_SPT_StockHigh,1,COLUMN()))</f>
        <v/>
      </c>
      <c r="CC508" s="1758" t="n"/>
    </row>
    <row r="509" hidden="1" outlineLevel="1" ht="14.4" customFormat="1" customHeight="1" s="1750">
      <c r="A509" s="1751">
        <f>"Stock Low, "&amp;HP.TradeCurrency</f>
        <v/>
      </c>
      <c r="B509" s="1752" t="n"/>
      <c r="C509" s="1753">
        <f>IF(INDEX(MO_SNA_IsHistoricalPeriod,1,COLUMN())=FALSE,0,INDEX(MO_SPT_StockLow,1,COLUMN()))</f>
        <v/>
      </c>
      <c r="D509" s="1753">
        <f>IF(INDEX(MO_SNA_IsHistoricalPeriod,1,COLUMN())=FALSE,0,INDEX(MO_SPT_StockLow,1,COLUMN()))</f>
        <v/>
      </c>
      <c r="E509" s="1753">
        <f>IF(INDEX(MO_SNA_IsHistoricalPeriod,1,COLUMN())=FALSE,0,INDEX(MO_SPT_StockLow,1,COLUMN()))</f>
        <v/>
      </c>
      <c r="F509" s="1753">
        <f>IF(INDEX(MO_SNA_IsHistoricalPeriod,1,COLUMN())=FALSE,0,INDEX(MO_SPT_StockLow,1,COLUMN()))</f>
        <v/>
      </c>
      <c r="G509" s="1753">
        <f>IF(INDEX(MO_SNA_IsHistoricalPeriod,1,COLUMN())=FALSE,0,INDEX(MO_SPT_StockLow,1,COLUMN()))</f>
        <v/>
      </c>
      <c r="H509" s="1754">
        <f>IF(INDEX(MO_SNA_IsHistoricalPeriod,1,COLUMN())=FALSE,0,INDEX(MO_SPT_StockLow,1,COLUMN()))</f>
        <v/>
      </c>
      <c r="I509" s="1754">
        <f>IF(INDEX(MO_SNA_IsHistoricalPeriod,1,COLUMN())=FALSE,0,INDEX(MO_SPT_StockLow,1,COLUMN()))</f>
        <v/>
      </c>
      <c r="J509" s="1754">
        <f>IF(INDEX(MO_SNA_IsHistoricalPeriod,1,COLUMN())=FALSE,0,INDEX(MO_SPT_StockLow,1,COLUMN()))</f>
        <v/>
      </c>
      <c r="K509" s="1754">
        <f>IF(INDEX(MO_SNA_IsHistoricalPeriod,1,COLUMN())=FALSE,0,INDEX(MO_SPT_StockLow,1,COLUMN()))</f>
        <v/>
      </c>
      <c r="L509" s="1753">
        <f>IF(INDEX(MO_SNA_IsHistoricalPeriod,1,COLUMN())=FALSE,0,INDEX(MO_SPT_StockLow,1,COLUMN()))</f>
        <v/>
      </c>
      <c r="M509" s="1754">
        <f>IF(INDEX(MO_SNA_IsHistoricalPeriod,1,COLUMN())=FALSE,0,INDEX(MO_SPT_StockLow,1,COLUMN()))</f>
        <v/>
      </c>
      <c r="N509" s="1754">
        <f>IF(INDEX(MO_SNA_IsHistoricalPeriod,1,COLUMN())=FALSE,0,INDEX(MO_SPT_StockLow,1,COLUMN()))</f>
        <v/>
      </c>
      <c r="O509" s="1754">
        <f>IF(INDEX(MO_SNA_IsHistoricalPeriod,1,COLUMN())=FALSE,0,INDEX(MO_SPT_StockLow,1,COLUMN()))</f>
        <v/>
      </c>
      <c r="P509" s="1754">
        <f>IF(INDEX(MO_SNA_IsHistoricalPeriod,1,COLUMN())=FALSE,0,INDEX(MO_SPT_StockLow,1,COLUMN()))</f>
        <v/>
      </c>
      <c r="Q509" s="1753">
        <f>IF(INDEX(MO_SNA_IsHistoricalPeriod,1,COLUMN())=FALSE,0,INDEX(MO_SPT_StockLow,1,COLUMN()))</f>
        <v/>
      </c>
      <c r="R509" s="1754">
        <f>IF(INDEX(MO_SNA_IsHistoricalPeriod,1,COLUMN())=FALSE,0,INDEX(MO_SPT_StockLow,1,COLUMN()))</f>
        <v/>
      </c>
      <c r="S509" s="1754">
        <f>IF(INDEX(MO_SNA_IsHistoricalPeriod,1,COLUMN())=FALSE,0,INDEX(MO_SPT_StockLow,1,COLUMN()))</f>
        <v/>
      </c>
      <c r="T509" s="1754">
        <f>IF(INDEX(MO_SNA_IsHistoricalPeriod,1,COLUMN())=FALSE,0,INDEX(MO_SPT_StockLow,1,COLUMN()))</f>
        <v/>
      </c>
      <c r="U509" s="1754">
        <f>IF(INDEX(MO_SNA_IsHistoricalPeriod,1,COLUMN())=FALSE,0,INDEX(MO_SPT_StockLow,1,COLUMN()))</f>
        <v/>
      </c>
      <c r="V509" s="1753">
        <f>IF(INDEX(MO_SNA_IsHistoricalPeriod,1,COLUMN())=FALSE,0,INDEX(MO_SPT_StockLow,1,COLUMN()))</f>
        <v/>
      </c>
      <c r="W509" s="1754">
        <f>IF(INDEX(MO_SNA_IsHistoricalPeriod,1,COLUMN())=FALSE,0,INDEX(MO_SPT_StockLow,1,COLUMN()))</f>
        <v/>
      </c>
      <c r="X509" s="1754">
        <f>IF(INDEX(MO_SNA_IsHistoricalPeriod,1,COLUMN())=FALSE,0,INDEX(MO_SPT_StockLow,1,COLUMN()))</f>
        <v/>
      </c>
      <c r="Y509" s="1754">
        <f>IF(INDEX(MO_SNA_IsHistoricalPeriod,1,COLUMN())=FALSE,0,INDEX(MO_SPT_StockLow,1,COLUMN()))</f>
        <v/>
      </c>
      <c r="Z509" s="1754">
        <f>IF(INDEX(MO_SNA_IsHistoricalPeriod,1,COLUMN())=FALSE,0,INDEX(MO_SPT_StockLow,1,COLUMN()))</f>
        <v/>
      </c>
      <c r="AA509" s="1753">
        <f>IF(INDEX(MO_SNA_IsHistoricalPeriod,1,COLUMN())=FALSE,0,INDEX(MO_SPT_StockLow,1,COLUMN()))</f>
        <v/>
      </c>
      <c r="AB509" s="1754">
        <f>IF(INDEX(MO_SNA_IsHistoricalPeriod,1,COLUMN())=FALSE,0,INDEX(MO_SPT_StockLow,1,COLUMN()))</f>
        <v/>
      </c>
      <c r="AC509" s="1754">
        <f>IF(INDEX(MO_SNA_IsHistoricalPeriod,1,COLUMN())=FALSE,0,INDEX(MO_SPT_StockLow,1,COLUMN()))</f>
        <v/>
      </c>
      <c r="AD509" s="1754">
        <f>IF(INDEX(MO_SNA_IsHistoricalPeriod,1,COLUMN())=FALSE,0,INDEX(MO_SPT_StockLow,1,COLUMN()))</f>
        <v/>
      </c>
      <c r="AE509" s="1754">
        <f>IF(INDEX(MO_SNA_IsHistoricalPeriod,1,COLUMN())=FALSE,0,INDEX(MO_SPT_StockLow,1,COLUMN()))</f>
        <v/>
      </c>
      <c r="AF509" s="1753">
        <f>IF(INDEX(MO_SNA_IsHistoricalPeriod,1,COLUMN())=FALSE,0,INDEX(MO_SPT_StockLow,1,COLUMN()))</f>
        <v/>
      </c>
      <c r="AG509" s="1754">
        <f>IF(INDEX(MO_SNA_IsHistoricalPeriod,1,COLUMN())=FALSE,0,INDEX(MO_SPT_StockLow,1,COLUMN()))</f>
        <v/>
      </c>
      <c r="AH509" s="1754">
        <f>IF(INDEX(MO_SNA_IsHistoricalPeriod,1,COLUMN())=FALSE,0,INDEX(MO_SPT_StockLow,1,COLUMN()))</f>
        <v/>
      </c>
      <c r="AI509" s="1754">
        <f>IF(INDEX(MO_SNA_IsHistoricalPeriod,1,COLUMN())=FALSE,0,INDEX(MO_SPT_StockLow,1,COLUMN()))</f>
        <v/>
      </c>
      <c r="AJ509" s="1754">
        <f>IF(INDEX(MO_SNA_IsHistoricalPeriod,1,COLUMN())=FALSE,0,INDEX(MO_SPT_StockLow,1,COLUMN()))</f>
        <v/>
      </c>
      <c r="AK509" s="1753">
        <f>IF(INDEX(MO_SNA_IsHistoricalPeriod,1,COLUMN())=FALSE,0,INDEX(MO_SPT_StockLow,1,COLUMN()))</f>
        <v/>
      </c>
      <c r="AL509" s="1754">
        <f>IF(INDEX(MO_SNA_IsHistoricalPeriod,1,COLUMN())=FALSE,0,INDEX(MO_SPT_StockLow,1,COLUMN()))</f>
        <v/>
      </c>
      <c r="AM509" s="1754">
        <f>IF(INDEX(MO_SNA_IsHistoricalPeriod,1,COLUMN())=FALSE,0,INDEX(MO_SPT_StockLow,1,COLUMN()))</f>
        <v/>
      </c>
      <c r="AN509" s="1754">
        <f>IF(INDEX(MO_SNA_IsHistoricalPeriod,1,COLUMN())=FALSE,0,INDEX(MO_SPT_StockLow,1,COLUMN()))</f>
        <v/>
      </c>
      <c r="AO509" s="1754">
        <f>IF(INDEX(MO_SNA_IsHistoricalPeriod,1,COLUMN())=FALSE,0,INDEX(MO_SPT_StockLow,1,COLUMN()))</f>
        <v/>
      </c>
      <c r="AP509" s="1753">
        <f>IF(INDEX(MO_SNA_IsHistoricalPeriod,1,COLUMN())=FALSE,0,INDEX(MO_SPT_StockLow,1,COLUMN()))</f>
        <v/>
      </c>
      <c r="AQ509" s="1754">
        <f>IF(INDEX(MO_SNA_IsHistoricalPeriod,1,COLUMN())=FALSE,0,INDEX(MO_SPT_StockLow,1,COLUMN()))</f>
        <v/>
      </c>
      <c r="AR509" s="1754">
        <f>IF(INDEX(MO_SNA_IsHistoricalPeriod,1,COLUMN())=FALSE,0,INDEX(MO_SPT_StockLow,1,COLUMN()))</f>
        <v/>
      </c>
      <c r="AS509" s="1754">
        <f>IF(INDEX(MO_SNA_IsHistoricalPeriod,1,COLUMN())=FALSE,0,INDEX(MO_SPT_StockLow,1,COLUMN()))</f>
        <v/>
      </c>
      <c r="AT509" s="1754">
        <f>IF(INDEX(MO_SNA_IsHistoricalPeriod,1,COLUMN())=FALSE,0,INDEX(MO_SPT_StockLow,1,COLUMN()))</f>
        <v/>
      </c>
      <c r="AU509" s="1753">
        <f>IF(INDEX(MO_SNA_IsHistoricalPeriod,1,COLUMN())=FALSE,0,INDEX(MO_SPT_StockLow,1,COLUMN()))</f>
        <v/>
      </c>
      <c r="AV509" s="1754">
        <f>IF(INDEX(MO_SNA_IsHistoricalPeriod,1,COLUMN())=FALSE,0,INDEX(MO_SPT_StockLow,1,COLUMN()))</f>
        <v/>
      </c>
      <c r="AW509" s="1754">
        <f>IF(INDEX(MO_SNA_IsHistoricalPeriod,1,COLUMN())=FALSE,0,INDEX(MO_SPT_StockLow,1,COLUMN()))</f>
        <v/>
      </c>
      <c r="AX509" s="1754">
        <f>IF(INDEX(MO_SNA_IsHistoricalPeriod,1,COLUMN())=FALSE,0,INDEX(MO_SPT_StockLow,1,COLUMN()))</f>
        <v/>
      </c>
      <c r="AY509" s="1754">
        <f>IF(INDEX(MO_SNA_IsHistoricalPeriod,1,COLUMN())=FALSE,0,INDEX(MO_SPT_StockLow,1,COLUMN()))</f>
        <v/>
      </c>
      <c r="AZ509" s="1753">
        <f>IF(INDEX(MO_SNA_IsHistoricalPeriod,1,COLUMN())=FALSE,0,INDEX(MO_SPT_StockLow,1,COLUMN()))</f>
        <v/>
      </c>
      <c r="BA509" s="1754">
        <f>IF(INDEX(MO_SNA_IsHistoricalPeriod,1,COLUMN())=FALSE,0,INDEX(MO_SPT_StockLow,1,COLUMN()))</f>
        <v/>
      </c>
      <c r="BB509" s="1754">
        <f>IF(INDEX(MO_SNA_IsHistoricalPeriod,1,COLUMN())=FALSE,0,INDEX(MO_SPT_StockLow,1,COLUMN()))</f>
        <v/>
      </c>
      <c r="BC509" s="1754">
        <f>IF(INDEX(MO_SNA_IsHistoricalPeriod,1,COLUMN())=FALSE,0,INDEX(MO_SPT_StockLow,1,COLUMN()))</f>
        <v/>
      </c>
      <c r="BD509" s="1754">
        <f>IF(INDEX(MO_SNA_IsHistoricalPeriod,1,COLUMN())=FALSE,0,INDEX(MO_SPT_StockLow,1,COLUMN()))</f>
        <v/>
      </c>
      <c r="BE509" s="1753">
        <f>IF(INDEX(MO_SNA_IsHistoricalPeriod,1,COLUMN())=FALSE,0,INDEX(MO_SPT_StockLow,1,COLUMN()))</f>
        <v/>
      </c>
      <c r="BF509" s="1754">
        <f>IF(INDEX(MO_SNA_IsHistoricalPeriod,1,COLUMN())=FALSE,0,INDEX(MO_SPT_StockLow,1,COLUMN()))</f>
        <v/>
      </c>
      <c r="BG509" s="1754">
        <f>IF(INDEX(MO_SNA_IsHistoricalPeriod,1,COLUMN())=FALSE,0,INDEX(MO_SPT_StockLow,1,COLUMN()))</f>
        <v/>
      </c>
      <c r="BH509" s="1754">
        <f>IF(INDEX(MO_SNA_IsHistoricalPeriod,1,COLUMN())=FALSE,0,INDEX(MO_SPT_StockLow,1,COLUMN()))</f>
        <v/>
      </c>
      <c r="BI509" s="1754">
        <f>IF(INDEX(MO_SNA_IsHistoricalPeriod,1,COLUMN())=FALSE,0,INDEX(MO_SPT_StockLow,1,COLUMN()))</f>
        <v/>
      </c>
      <c r="BJ509" s="1753">
        <f>IF(INDEX(MO_SNA_IsHistoricalPeriod,1,COLUMN())=FALSE,0,INDEX(MO_SPT_StockLow,1,COLUMN()))</f>
        <v/>
      </c>
      <c r="BK509" s="1754">
        <f>IF(INDEX(MO_SNA_IsHistoricalPeriod,1,COLUMN())=FALSE,0,INDEX(MO_SPT_StockLow,1,COLUMN()))</f>
        <v/>
      </c>
      <c r="BL509" s="1754">
        <f>IF(INDEX(MO_SNA_IsHistoricalPeriod,1,COLUMN())=FALSE,0,INDEX(MO_SPT_StockLow,1,COLUMN()))</f>
        <v/>
      </c>
      <c r="BM509" s="1754">
        <f>IF(INDEX(MO_SNA_IsHistoricalPeriod,1,COLUMN())=FALSE,0,INDEX(MO_SPT_StockLow,1,COLUMN()))</f>
        <v/>
      </c>
      <c r="BN509" s="1754">
        <f>IF(INDEX(MO_SNA_IsHistoricalPeriod,1,COLUMN())=FALSE,0,INDEX(MO_SPT_StockLow,1,COLUMN()))</f>
        <v/>
      </c>
      <c r="BO509" s="1755">
        <f>IF(INDEX(MO_SNA_IsHistoricalPeriod,1,COLUMN())=FALSE,0,INDEX(MO_SPT_StockLow,1,COLUMN()))</f>
        <v/>
      </c>
      <c r="BP509" s="1756">
        <f>IF(INDEX(MO_SNA_IsHistoricalPeriod,1,COLUMN())=FALSE,0,INDEX(MO_SPT_StockLow,1,COLUMN()))</f>
        <v/>
      </c>
      <c r="BQ509" s="1756">
        <f>IF(INDEX(MO_SNA_IsHistoricalPeriod,1,COLUMN())=FALSE,0,INDEX(MO_SPT_StockLow,1,COLUMN()))</f>
        <v/>
      </c>
      <c r="BR509" s="1756">
        <f>IF(INDEX(MO_SNA_IsHistoricalPeriod,1,COLUMN())=FALSE,0,INDEX(MO_SPT_StockLow,1,COLUMN()))</f>
        <v/>
      </c>
      <c r="BS509" s="1756">
        <f>IF(INDEX(MO_SNA_IsHistoricalPeriod,1,COLUMN())=FALSE,0,INDEX(MO_SPT_StockLow,1,COLUMN()))</f>
        <v/>
      </c>
      <c r="BT509" s="1757">
        <f>IF(INDEX(MO_SNA_IsHistoricalPeriod,1,COLUMN())=FALSE,0,INDEX(MO_SPT_StockLow,1,COLUMN()))</f>
        <v/>
      </c>
      <c r="BU509" s="1756">
        <f>IF(INDEX(MO_SNA_IsHistoricalPeriod,1,COLUMN())=FALSE,0,INDEX(MO_SPT_StockLow,1,COLUMN()))</f>
        <v/>
      </c>
      <c r="BV509" s="1756">
        <f>IF(INDEX(MO_SNA_IsHistoricalPeriod,1,COLUMN())=FALSE,0,INDEX(MO_SPT_StockLow,1,COLUMN()))</f>
        <v/>
      </c>
      <c r="BW509" s="1756">
        <f>IF(INDEX(MO_SNA_IsHistoricalPeriod,1,COLUMN())=FALSE,0,INDEX(MO_SPT_StockLow,1,COLUMN()))</f>
        <v/>
      </c>
      <c r="BX509" s="1756">
        <f>IF(INDEX(MO_SNA_IsHistoricalPeriod,1,COLUMN())=FALSE,0,INDEX(MO_SPT_StockLow,1,COLUMN()))</f>
        <v/>
      </c>
      <c r="BY509" s="1757">
        <f>IF(INDEX(MO_SNA_IsHistoricalPeriod,1,COLUMN())=FALSE,0,INDEX(MO_SPT_StockLow,1,COLUMN()))</f>
        <v/>
      </c>
      <c r="BZ509" s="1757">
        <f>IF(INDEX(MO_SNA_IsHistoricalPeriod,1,COLUMN())=FALSE,0,INDEX(MO_SPT_StockLow,1,COLUMN()))</f>
        <v/>
      </c>
      <c r="CA509" s="1757">
        <f>IF(INDEX(MO_SNA_IsHistoricalPeriod,1,COLUMN())=FALSE,0,INDEX(MO_SPT_StockLow,1,COLUMN()))</f>
        <v/>
      </c>
      <c r="CB509" s="1757">
        <f>IF(INDEX(MO_SNA_IsHistoricalPeriod,1,COLUMN())=FALSE,0,INDEX(MO_SPT_StockLow,1,COLUMN()))</f>
        <v/>
      </c>
      <c r="CC509" s="1758" t="n"/>
    </row>
    <row r="510" hidden="1" outlineLevel="1" ht="14.4" customFormat="1" customHeight="1" s="1750">
      <c r="A510" s="1751">
        <f>"Stock Average, "&amp;HP.TradeCurrency</f>
        <v/>
      </c>
      <c r="B510" s="1752" t="n"/>
      <c r="C510" s="1753">
        <f>IF(INDEX(MO_SNA_IsHistoricalPeriod,1,COLUMN())=FALSE,0,INDEX(MO_SPT_StockAverage,1,COLUMN()))</f>
        <v/>
      </c>
      <c r="D510" s="1753">
        <f>IF(INDEX(MO_SNA_IsHistoricalPeriod,1,COLUMN())=FALSE,0,INDEX(MO_SPT_StockAverage,1,COLUMN()))</f>
        <v/>
      </c>
      <c r="E510" s="1753">
        <f>IF(INDEX(MO_SNA_IsHistoricalPeriod,1,COLUMN())=FALSE,0,INDEX(MO_SPT_StockAverage,1,COLUMN()))</f>
        <v/>
      </c>
      <c r="F510" s="1753">
        <f>IF(INDEX(MO_SNA_IsHistoricalPeriod,1,COLUMN())=FALSE,0,INDEX(MO_SPT_StockAverage,1,COLUMN()))</f>
        <v/>
      </c>
      <c r="G510" s="1753">
        <f>IF(INDEX(MO_SNA_IsHistoricalPeriod,1,COLUMN())=FALSE,0,INDEX(MO_SPT_StockAverage,1,COLUMN()))</f>
        <v/>
      </c>
      <c r="H510" s="1754">
        <f>IF(INDEX(MO_SNA_IsHistoricalPeriod,1,COLUMN())=FALSE,0,INDEX(MO_SPT_StockAverage,1,COLUMN()))</f>
        <v/>
      </c>
      <c r="I510" s="1754">
        <f>IF(INDEX(MO_SNA_IsHistoricalPeriod,1,COLUMN())=FALSE,0,INDEX(MO_SPT_StockAverage,1,COLUMN()))</f>
        <v/>
      </c>
      <c r="J510" s="1754">
        <f>IF(INDEX(MO_SNA_IsHistoricalPeriod,1,COLUMN())=FALSE,0,INDEX(MO_SPT_StockAverage,1,COLUMN()))</f>
        <v/>
      </c>
      <c r="K510" s="1754">
        <f>IF(INDEX(MO_SNA_IsHistoricalPeriod,1,COLUMN())=FALSE,0,INDEX(MO_SPT_StockAverage,1,COLUMN()))</f>
        <v/>
      </c>
      <c r="L510" s="1753">
        <f>IF(INDEX(MO_SNA_IsHistoricalPeriod,1,COLUMN())=FALSE,0,INDEX(MO_SPT_StockAverage,1,COLUMN()))</f>
        <v/>
      </c>
      <c r="M510" s="1754">
        <f>IF(INDEX(MO_SNA_IsHistoricalPeriod,1,COLUMN())=FALSE,0,INDEX(MO_SPT_StockAverage,1,COLUMN()))</f>
        <v/>
      </c>
      <c r="N510" s="1754">
        <f>IF(INDEX(MO_SNA_IsHistoricalPeriod,1,COLUMN())=FALSE,0,INDEX(MO_SPT_StockAverage,1,COLUMN()))</f>
        <v/>
      </c>
      <c r="O510" s="1754">
        <f>IF(INDEX(MO_SNA_IsHistoricalPeriod,1,COLUMN())=FALSE,0,INDEX(MO_SPT_StockAverage,1,COLUMN()))</f>
        <v/>
      </c>
      <c r="P510" s="1754">
        <f>IF(INDEX(MO_SNA_IsHistoricalPeriod,1,COLUMN())=FALSE,0,INDEX(MO_SPT_StockAverage,1,COLUMN()))</f>
        <v/>
      </c>
      <c r="Q510" s="1753">
        <f>IF(INDEX(MO_SNA_IsHistoricalPeriod,1,COLUMN())=FALSE,0,INDEX(MO_SPT_StockAverage,1,COLUMN()))</f>
        <v/>
      </c>
      <c r="R510" s="1754">
        <f>IF(INDEX(MO_SNA_IsHistoricalPeriod,1,COLUMN())=FALSE,0,INDEX(MO_SPT_StockAverage,1,COLUMN()))</f>
        <v/>
      </c>
      <c r="S510" s="1754">
        <f>IF(INDEX(MO_SNA_IsHistoricalPeriod,1,COLUMN())=FALSE,0,INDEX(MO_SPT_StockAverage,1,COLUMN()))</f>
        <v/>
      </c>
      <c r="T510" s="1754">
        <f>IF(INDEX(MO_SNA_IsHistoricalPeriod,1,COLUMN())=FALSE,0,INDEX(MO_SPT_StockAverage,1,COLUMN()))</f>
        <v/>
      </c>
      <c r="U510" s="1754">
        <f>IF(INDEX(MO_SNA_IsHistoricalPeriod,1,COLUMN())=FALSE,0,INDEX(MO_SPT_StockAverage,1,COLUMN()))</f>
        <v/>
      </c>
      <c r="V510" s="1753">
        <f>IF(INDEX(MO_SNA_IsHistoricalPeriod,1,COLUMN())=FALSE,0,INDEX(MO_SPT_StockAverage,1,COLUMN()))</f>
        <v/>
      </c>
      <c r="W510" s="1754">
        <f>IF(INDEX(MO_SNA_IsHistoricalPeriod,1,COLUMN())=FALSE,0,INDEX(MO_SPT_StockAverage,1,COLUMN()))</f>
        <v/>
      </c>
      <c r="X510" s="1754">
        <f>IF(INDEX(MO_SNA_IsHistoricalPeriod,1,COLUMN())=FALSE,0,INDEX(MO_SPT_StockAverage,1,COLUMN()))</f>
        <v/>
      </c>
      <c r="Y510" s="1754">
        <f>IF(INDEX(MO_SNA_IsHistoricalPeriod,1,COLUMN())=FALSE,0,INDEX(MO_SPT_StockAverage,1,COLUMN()))</f>
        <v/>
      </c>
      <c r="Z510" s="1754">
        <f>IF(INDEX(MO_SNA_IsHistoricalPeriod,1,COLUMN())=FALSE,0,INDEX(MO_SPT_StockAverage,1,COLUMN()))</f>
        <v/>
      </c>
      <c r="AA510" s="1753">
        <f>IF(INDEX(MO_SNA_IsHistoricalPeriod,1,COLUMN())=FALSE,0,INDEX(MO_SPT_StockAverage,1,COLUMN()))</f>
        <v/>
      </c>
      <c r="AB510" s="1754">
        <f>IF(INDEX(MO_SNA_IsHistoricalPeriod,1,COLUMN())=FALSE,0,INDEX(MO_SPT_StockAverage,1,COLUMN()))</f>
        <v/>
      </c>
      <c r="AC510" s="1754">
        <f>IF(INDEX(MO_SNA_IsHistoricalPeriod,1,COLUMN())=FALSE,0,INDEX(MO_SPT_StockAverage,1,COLUMN()))</f>
        <v/>
      </c>
      <c r="AD510" s="1754">
        <f>IF(INDEX(MO_SNA_IsHistoricalPeriod,1,COLUMN())=FALSE,0,INDEX(MO_SPT_StockAverage,1,COLUMN()))</f>
        <v/>
      </c>
      <c r="AE510" s="1754">
        <f>IF(INDEX(MO_SNA_IsHistoricalPeriod,1,COLUMN())=FALSE,0,INDEX(MO_SPT_StockAverage,1,COLUMN()))</f>
        <v/>
      </c>
      <c r="AF510" s="1753">
        <f>IF(INDEX(MO_SNA_IsHistoricalPeriod,1,COLUMN())=FALSE,0,INDEX(MO_SPT_StockAverage,1,COLUMN()))</f>
        <v/>
      </c>
      <c r="AG510" s="1754">
        <f>IF(INDEX(MO_SNA_IsHistoricalPeriod,1,COLUMN())=FALSE,0,INDEX(MO_SPT_StockAverage,1,COLUMN()))</f>
        <v/>
      </c>
      <c r="AH510" s="1754">
        <f>IF(INDEX(MO_SNA_IsHistoricalPeriod,1,COLUMN())=FALSE,0,INDEX(MO_SPT_StockAverage,1,COLUMN()))</f>
        <v/>
      </c>
      <c r="AI510" s="1754">
        <f>IF(INDEX(MO_SNA_IsHistoricalPeriod,1,COLUMN())=FALSE,0,INDEX(MO_SPT_StockAverage,1,COLUMN()))</f>
        <v/>
      </c>
      <c r="AJ510" s="1754">
        <f>IF(INDEX(MO_SNA_IsHistoricalPeriod,1,COLUMN())=FALSE,0,INDEX(MO_SPT_StockAverage,1,COLUMN()))</f>
        <v/>
      </c>
      <c r="AK510" s="1753">
        <f>IF(INDEX(MO_SNA_IsHistoricalPeriod,1,COLUMN())=FALSE,0,INDEX(MO_SPT_StockAverage,1,COLUMN()))</f>
        <v/>
      </c>
      <c r="AL510" s="1754">
        <f>IF(INDEX(MO_SNA_IsHistoricalPeriod,1,COLUMN())=FALSE,0,INDEX(MO_SPT_StockAverage,1,COLUMN()))</f>
        <v/>
      </c>
      <c r="AM510" s="1754">
        <f>IF(INDEX(MO_SNA_IsHistoricalPeriod,1,COLUMN())=FALSE,0,INDEX(MO_SPT_StockAverage,1,COLUMN()))</f>
        <v/>
      </c>
      <c r="AN510" s="1754">
        <f>IF(INDEX(MO_SNA_IsHistoricalPeriod,1,COLUMN())=FALSE,0,INDEX(MO_SPT_StockAverage,1,COLUMN()))</f>
        <v/>
      </c>
      <c r="AO510" s="1754">
        <f>IF(INDEX(MO_SNA_IsHistoricalPeriod,1,COLUMN())=FALSE,0,INDEX(MO_SPT_StockAverage,1,COLUMN()))</f>
        <v/>
      </c>
      <c r="AP510" s="1753">
        <f>IF(INDEX(MO_SNA_IsHistoricalPeriod,1,COLUMN())=FALSE,0,INDEX(MO_SPT_StockAverage,1,COLUMN()))</f>
        <v/>
      </c>
      <c r="AQ510" s="1754">
        <f>IF(INDEX(MO_SNA_IsHistoricalPeriod,1,COLUMN())=FALSE,0,INDEX(MO_SPT_StockAverage,1,COLUMN()))</f>
        <v/>
      </c>
      <c r="AR510" s="1754">
        <f>IF(INDEX(MO_SNA_IsHistoricalPeriod,1,COLUMN())=FALSE,0,INDEX(MO_SPT_StockAverage,1,COLUMN()))</f>
        <v/>
      </c>
      <c r="AS510" s="1754">
        <f>IF(INDEX(MO_SNA_IsHistoricalPeriod,1,COLUMN())=FALSE,0,INDEX(MO_SPT_StockAverage,1,COLUMN()))</f>
        <v/>
      </c>
      <c r="AT510" s="1754">
        <f>IF(INDEX(MO_SNA_IsHistoricalPeriod,1,COLUMN())=FALSE,0,INDEX(MO_SPT_StockAverage,1,COLUMN()))</f>
        <v/>
      </c>
      <c r="AU510" s="1753">
        <f>IF(INDEX(MO_SNA_IsHistoricalPeriod,1,COLUMN())=FALSE,0,INDEX(MO_SPT_StockAverage,1,COLUMN()))</f>
        <v/>
      </c>
      <c r="AV510" s="1754">
        <f>IF(INDEX(MO_SNA_IsHistoricalPeriod,1,COLUMN())=FALSE,0,INDEX(MO_SPT_StockAverage,1,COLUMN()))</f>
        <v/>
      </c>
      <c r="AW510" s="1754">
        <f>IF(INDEX(MO_SNA_IsHistoricalPeriod,1,COLUMN())=FALSE,0,INDEX(MO_SPT_StockAverage,1,COLUMN()))</f>
        <v/>
      </c>
      <c r="AX510" s="1754">
        <f>IF(INDEX(MO_SNA_IsHistoricalPeriod,1,COLUMN())=FALSE,0,INDEX(MO_SPT_StockAverage,1,COLUMN()))</f>
        <v/>
      </c>
      <c r="AY510" s="1754">
        <f>IF(INDEX(MO_SNA_IsHistoricalPeriod,1,COLUMN())=FALSE,0,INDEX(MO_SPT_StockAverage,1,COLUMN()))</f>
        <v/>
      </c>
      <c r="AZ510" s="1753">
        <f>IF(INDEX(MO_SNA_IsHistoricalPeriod,1,COLUMN())=FALSE,0,INDEX(MO_SPT_StockAverage,1,COLUMN()))</f>
        <v/>
      </c>
      <c r="BA510" s="1754">
        <f>IF(INDEX(MO_SNA_IsHistoricalPeriod,1,COLUMN())=FALSE,0,INDEX(MO_SPT_StockAverage,1,COLUMN()))</f>
        <v/>
      </c>
      <c r="BB510" s="1754">
        <f>IF(INDEX(MO_SNA_IsHistoricalPeriod,1,COLUMN())=FALSE,0,INDEX(MO_SPT_StockAverage,1,COLUMN()))</f>
        <v/>
      </c>
      <c r="BC510" s="1754">
        <f>IF(INDEX(MO_SNA_IsHistoricalPeriod,1,COLUMN())=FALSE,0,INDEX(MO_SPT_StockAverage,1,COLUMN()))</f>
        <v/>
      </c>
      <c r="BD510" s="1754">
        <f>IF(INDEX(MO_SNA_IsHistoricalPeriod,1,COLUMN())=FALSE,0,INDEX(MO_SPT_StockAverage,1,COLUMN()))</f>
        <v/>
      </c>
      <c r="BE510" s="1753">
        <f>IF(INDEX(MO_SNA_IsHistoricalPeriod,1,COLUMN())=FALSE,0,INDEX(MO_SPT_StockAverage,1,COLUMN()))</f>
        <v/>
      </c>
      <c r="BF510" s="1754">
        <f>IF(INDEX(MO_SNA_IsHistoricalPeriod,1,COLUMN())=FALSE,0,INDEX(MO_SPT_StockAverage,1,COLUMN()))</f>
        <v/>
      </c>
      <c r="BG510" s="1754">
        <f>IF(INDEX(MO_SNA_IsHistoricalPeriod,1,COLUMN())=FALSE,0,INDEX(MO_SPT_StockAverage,1,COLUMN()))</f>
        <v/>
      </c>
      <c r="BH510" s="1754">
        <f>IF(INDEX(MO_SNA_IsHistoricalPeriod,1,COLUMN())=FALSE,0,INDEX(MO_SPT_StockAverage,1,COLUMN()))</f>
        <v/>
      </c>
      <c r="BI510" s="1754">
        <f>IF(INDEX(MO_SNA_IsHistoricalPeriod,1,COLUMN())=FALSE,0,INDEX(MO_SPT_StockAverage,1,COLUMN()))</f>
        <v/>
      </c>
      <c r="BJ510" s="1753">
        <f>IF(INDEX(MO_SNA_IsHistoricalPeriod,1,COLUMN())=FALSE,0,INDEX(MO_SPT_StockAverage,1,COLUMN()))</f>
        <v/>
      </c>
      <c r="BK510" s="1754">
        <f>IF(INDEX(MO_SNA_IsHistoricalPeriod,1,COLUMN())=FALSE,0,INDEX(MO_SPT_StockAverage,1,COLUMN()))</f>
        <v/>
      </c>
      <c r="BL510" s="1754">
        <f>IF(INDEX(MO_SNA_IsHistoricalPeriod,1,COLUMN())=FALSE,0,INDEX(MO_SPT_StockAverage,1,COLUMN()))</f>
        <v/>
      </c>
      <c r="BM510" s="1754">
        <f>IF(INDEX(MO_SNA_IsHistoricalPeriod,1,COLUMN())=FALSE,0,INDEX(MO_SPT_StockAverage,1,COLUMN()))</f>
        <v/>
      </c>
      <c r="BN510" s="1754">
        <f>IF(INDEX(MO_SNA_IsHistoricalPeriod,1,COLUMN())=FALSE,0,INDEX(MO_SPT_StockAverage,1,COLUMN()))</f>
        <v/>
      </c>
      <c r="BO510" s="1755">
        <f>IF(INDEX(MO_SNA_IsHistoricalPeriod,1,COLUMN())=FALSE,0,INDEX(MO_SPT_StockAverage,1,COLUMN()))</f>
        <v/>
      </c>
      <c r="BP510" s="1756">
        <f>IF(INDEX(MO_SNA_IsHistoricalPeriod,1,COLUMN())=FALSE,0,INDEX(MO_SPT_StockAverage,1,COLUMN()))</f>
        <v/>
      </c>
      <c r="BQ510" s="1756">
        <f>IF(INDEX(MO_SNA_IsHistoricalPeriod,1,COLUMN())=FALSE,0,INDEX(MO_SPT_StockAverage,1,COLUMN()))</f>
        <v/>
      </c>
      <c r="BR510" s="1756">
        <f>IF(INDEX(MO_SNA_IsHistoricalPeriod,1,COLUMN())=FALSE,0,INDEX(MO_SPT_StockAverage,1,COLUMN()))</f>
        <v/>
      </c>
      <c r="BS510" s="1756">
        <f>IF(INDEX(MO_SNA_IsHistoricalPeriod,1,COLUMN())=FALSE,0,INDEX(MO_SPT_StockAverage,1,COLUMN()))</f>
        <v/>
      </c>
      <c r="BT510" s="1757">
        <f>IF(INDEX(MO_SNA_IsHistoricalPeriod,1,COLUMN())=FALSE,0,INDEX(MO_SPT_StockAverage,1,COLUMN()))</f>
        <v/>
      </c>
      <c r="BU510" s="1756">
        <f>IF(INDEX(MO_SNA_IsHistoricalPeriod,1,COLUMN())=FALSE,0,INDEX(MO_SPT_StockAverage,1,COLUMN()))</f>
        <v/>
      </c>
      <c r="BV510" s="1756">
        <f>IF(INDEX(MO_SNA_IsHistoricalPeriod,1,COLUMN())=FALSE,0,INDEX(MO_SPT_StockAverage,1,COLUMN()))</f>
        <v/>
      </c>
      <c r="BW510" s="1756">
        <f>IF(INDEX(MO_SNA_IsHistoricalPeriod,1,COLUMN())=FALSE,0,INDEX(MO_SPT_StockAverage,1,COLUMN()))</f>
        <v/>
      </c>
      <c r="BX510" s="1756">
        <f>IF(INDEX(MO_SNA_IsHistoricalPeriod,1,COLUMN())=FALSE,0,INDEX(MO_SPT_StockAverage,1,COLUMN()))</f>
        <v/>
      </c>
      <c r="BY510" s="1757">
        <f>IF(INDEX(MO_SNA_IsHistoricalPeriod,1,COLUMN())=FALSE,0,INDEX(MO_SPT_StockAverage,1,COLUMN()))</f>
        <v/>
      </c>
      <c r="BZ510" s="1757">
        <f>IF(INDEX(MO_SNA_IsHistoricalPeriod,1,COLUMN())=FALSE,0,INDEX(MO_SPT_StockAverage,1,COLUMN()))</f>
        <v/>
      </c>
      <c r="CA510" s="1757">
        <f>IF(INDEX(MO_SNA_IsHistoricalPeriod,1,COLUMN())=FALSE,0,INDEX(MO_SPT_StockAverage,1,COLUMN()))</f>
        <v/>
      </c>
      <c r="CB510" s="1757">
        <f>IF(INDEX(MO_SNA_IsHistoricalPeriod,1,COLUMN())=FALSE,0,INDEX(MO_SPT_StockAverage,1,COLUMN()))</f>
        <v/>
      </c>
      <c r="CC510" s="1758" t="n"/>
    </row>
    <row r="511" hidden="1" outlineLevel="1" ht="14.4" customFormat="1" customHeight="1" s="1750">
      <c r="A511" s="1751">
        <f>"Stock EoP, "&amp;HP.TradeCurrency</f>
        <v/>
      </c>
      <c r="B511" s="1752" t="n"/>
      <c r="C511" s="1759">
        <f>IF(INDEX(MO_SNA_IsHistoricalPeriod,1,COLUMN())=FALSE,MO.LastPrice,INDEX(MO_SPT_StockEoP,1,COLUMN()))</f>
        <v/>
      </c>
      <c r="D511" s="1759">
        <f>IF(INDEX(MO_SNA_IsHistoricalPeriod,1,COLUMN())=FALSE,MO.LastPrice,INDEX(MO_SPT_StockEoP,1,COLUMN()))</f>
        <v/>
      </c>
      <c r="E511" s="1759">
        <f>IF(INDEX(MO_SNA_IsHistoricalPeriod,1,COLUMN())=FALSE,MO.LastPrice,INDEX(MO_SPT_StockEoP,1,COLUMN()))</f>
        <v/>
      </c>
      <c r="F511" s="1759">
        <f>IF(INDEX(MO_SNA_IsHistoricalPeriod,1,COLUMN())=FALSE,MO.LastPrice,INDEX(MO_SPT_StockEoP,1,COLUMN()))</f>
        <v/>
      </c>
      <c r="G511" s="1759">
        <f>IF(INDEX(MO_SNA_IsHistoricalPeriod,1,COLUMN())=FALSE,MO.LastPrice,INDEX(MO_SPT_StockEoP,1,COLUMN()))</f>
        <v/>
      </c>
      <c r="H511" s="1760">
        <f>IF(INDEX(MO_SNA_IsHistoricalPeriod,1,COLUMN())=FALSE,MO.LastPrice,INDEX(MO_SPT_StockEoP,1,COLUMN()))</f>
        <v/>
      </c>
      <c r="I511" s="1760">
        <f>IF(INDEX(MO_SNA_IsHistoricalPeriod,1,COLUMN())=FALSE,MO.LastPrice,INDEX(MO_SPT_StockEoP,1,COLUMN()))</f>
        <v/>
      </c>
      <c r="J511" s="1760">
        <f>IF(INDEX(MO_SNA_IsHistoricalPeriod,1,COLUMN())=FALSE,MO.LastPrice,INDEX(MO_SPT_StockEoP,1,COLUMN()))</f>
        <v/>
      </c>
      <c r="K511" s="1760">
        <f>IF(INDEX(MO_SNA_IsHistoricalPeriod,1,COLUMN())=FALSE,MO.LastPrice,INDEX(MO_SPT_StockEoP,1,COLUMN()))</f>
        <v/>
      </c>
      <c r="L511" s="1759">
        <f>IF(INDEX(MO_SNA_IsHistoricalPeriod,1,COLUMN())=FALSE,MO.LastPrice,INDEX(MO_SPT_StockEoP,1,COLUMN()))</f>
        <v/>
      </c>
      <c r="M511" s="1760">
        <f>IF(INDEX(MO_SNA_IsHistoricalPeriod,1,COLUMN())=FALSE,MO.LastPrice,INDEX(MO_SPT_StockEoP,1,COLUMN()))</f>
        <v/>
      </c>
      <c r="N511" s="1760">
        <f>IF(INDEX(MO_SNA_IsHistoricalPeriod,1,COLUMN())=FALSE,MO.LastPrice,INDEX(MO_SPT_StockEoP,1,COLUMN()))</f>
        <v/>
      </c>
      <c r="O511" s="1760">
        <f>IF(INDEX(MO_SNA_IsHistoricalPeriod,1,COLUMN())=FALSE,MO.LastPrice,INDEX(MO_SPT_StockEoP,1,COLUMN()))</f>
        <v/>
      </c>
      <c r="P511" s="1760">
        <f>IF(INDEX(MO_SNA_IsHistoricalPeriod,1,COLUMN())=FALSE,MO.LastPrice,INDEX(MO_SPT_StockEoP,1,COLUMN()))</f>
        <v/>
      </c>
      <c r="Q511" s="1759">
        <f>IF(INDEX(MO_SNA_IsHistoricalPeriod,1,COLUMN())=FALSE,MO.LastPrice,INDEX(MO_SPT_StockEoP,1,COLUMN()))</f>
        <v/>
      </c>
      <c r="R511" s="1760">
        <f>IF(INDEX(MO_SNA_IsHistoricalPeriod,1,COLUMN())=FALSE,MO.LastPrice,INDEX(MO_SPT_StockEoP,1,COLUMN()))</f>
        <v/>
      </c>
      <c r="S511" s="1760">
        <f>IF(INDEX(MO_SNA_IsHistoricalPeriod,1,COLUMN())=FALSE,MO.LastPrice,INDEX(MO_SPT_StockEoP,1,COLUMN()))</f>
        <v/>
      </c>
      <c r="T511" s="1760">
        <f>IF(INDEX(MO_SNA_IsHistoricalPeriod,1,COLUMN())=FALSE,MO.LastPrice,INDEX(MO_SPT_StockEoP,1,COLUMN()))</f>
        <v/>
      </c>
      <c r="U511" s="1760">
        <f>IF(INDEX(MO_SNA_IsHistoricalPeriod,1,COLUMN())=FALSE,MO.LastPrice,INDEX(MO_SPT_StockEoP,1,COLUMN()))</f>
        <v/>
      </c>
      <c r="V511" s="1759">
        <f>IF(INDEX(MO_SNA_IsHistoricalPeriod,1,COLUMN())=FALSE,MO.LastPrice,INDEX(MO_SPT_StockEoP,1,COLUMN()))</f>
        <v/>
      </c>
      <c r="W511" s="1760">
        <f>IF(INDEX(MO_SNA_IsHistoricalPeriod,1,COLUMN())=FALSE,MO.LastPrice,INDEX(MO_SPT_StockEoP,1,COLUMN()))</f>
        <v/>
      </c>
      <c r="X511" s="1760">
        <f>IF(INDEX(MO_SNA_IsHistoricalPeriod,1,COLUMN())=FALSE,MO.LastPrice,INDEX(MO_SPT_StockEoP,1,COLUMN()))</f>
        <v/>
      </c>
      <c r="Y511" s="1760">
        <f>IF(INDEX(MO_SNA_IsHistoricalPeriod,1,COLUMN())=FALSE,MO.LastPrice,INDEX(MO_SPT_StockEoP,1,COLUMN()))</f>
        <v/>
      </c>
      <c r="Z511" s="1760">
        <f>IF(INDEX(MO_SNA_IsHistoricalPeriod,1,COLUMN())=FALSE,MO.LastPrice,INDEX(MO_SPT_StockEoP,1,COLUMN()))</f>
        <v/>
      </c>
      <c r="AA511" s="1759">
        <f>IF(INDEX(MO_SNA_IsHistoricalPeriod,1,COLUMN())=FALSE,MO.LastPrice,INDEX(MO_SPT_StockEoP,1,COLUMN()))</f>
        <v/>
      </c>
      <c r="AB511" s="1760">
        <f>IF(INDEX(MO_SNA_IsHistoricalPeriod,1,COLUMN())=FALSE,MO.LastPrice,INDEX(MO_SPT_StockEoP,1,COLUMN()))</f>
        <v/>
      </c>
      <c r="AC511" s="1760">
        <f>IF(INDEX(MO_SNA_IsHistoricalPeriod,1,COLUMN())=FALSE,MO.LastPrice,INDEX(MO_SPT_StockEoP,1,COLUMN()))</f>
        <v/>
      </c>
      <c r="AD511" s="1760">
        <f>IF(INDEX(MO_SNA_IsHistoricalPeriod,1,COLUMN())=FALSE,MO.LastPrice,INDEX(MO_SPT_StockEoP,1,COLUMN()))</f>
        <v/>
      </c>
      <c r="AE511" s="1760">
        <f>IF(INDEX(MO_SNA_IsHistoricalPeriod,1,COLUMN())=FALSE,MO.LastPrice,INDEX(MO_SPT_StockEoP,1,COLUMN()))</f>
        <v/>
      </c>
      <c r="AF511" s="1759">
        <f>IF(INDEX(MO_SNA_IsHistoricalPeriod,1,COLUMN())=FALSE,MO.LastPrice,INDEX(MO_SPT_StockEoP,1,COLUMN()))</f>
        <v/>
      </c>
      <c r="AG511" s="1760">
        <f>IF(INDEX(MO_SNA_IsHistoricalPeriod,1,COLUMN())=FALSE,MO.LastPrice,INDEX(MO_SPT_StockEoP,1,COLUMN()))</f>
        <v/>
      </c>
      <c r="AH511" s="1760">
        <f>IF(INDEX(MO_SNA_IsHistoricalPeriod,1,COLUMN())=FALSE,MO.LastPrice,INDEX(MO_SPT_StockEoP,1,COLUMN()))</f>
        <v/>
      </c>
      <c r="AI511" s="1760">
        <f>IF(INDEX(MO_SNA_IsHistoricalPeriod,1,COLUMN())=FALSE,MO.LastPrice,INDEX(MO_SPT_StockEoP,1,COLUMN()))</f>
        <v/>
      </c>
      <c r="AJ511" s="1760">
        <f>IF(INDEX(MO_SNA_IsHistoricalPeriod,1,COLUMN())=FALSE,MO.LastPrice,INDEX(MO_SPT_StockEoP,1,COLUMN()))</f>
        <v/>
      </c>
      <c r="AK511" s="1759">
        <f>IF(INDEX(MO_SNA_IsHistoricalPeriod,1,COLUMN())=FALSE,MO.LastPrice,INDEX(MO_SPT_StockEoP,1,COLUMN()))</f>
        <v/>
      </c>
      <c r="AL511" s="1760">
        <f>IF(INDEX(MO_SNA_IsHistoricalPeriod,1,COLUMN())=FALSE,MO.LastPrice,INDEX(MO_SPT_StockEoP,1,COLUMN()))</f>
        <v/>
      </c>
      <c r="AM511" s="1760">
        <f>IF(INDEX(MO_SNA_IsHistoricalPeriod,1,COLUMN())=FALSE,MO.LastPrice,INDEX(MO_SPT_StockEoP,1,COLUMN()))</f>
        <v/>
      </c>
      <c r="AN511" s="1760">
        <f>IF(INDEX(MO_SNA_IsHistoricalPeriod,1,COLUMN())=FALSE,MO.LastPrice,INDEX(MO_SPT_StockEoP,1,COLUMN()))</f>
        <v/>
      </c>
      <c r="AO511" s="1760">
        <f>IF(INDEX(MO_SNA_IsHistoricalPeriod,1,COLUMN())=FALSE,MO.LastPrice,INDEX(MO_SPT_StockEoP,1,COLUMN()))</f>
        <v/>
      </c>
      <c r="AP511" s="1759">
        <f>IF(INDEX(MO_SNA_IsHistoricalPeriod,1,COLUMN())=FALSE,MO.LastPrice,INDEX(MO_SPT_StockEoP,1,COLUMN()))</f>
        <v/>
      </c>
      <c r="AQ511" s="1760">
        <f>IF(INDEX(MO_SNA_IsHistoricalPeriod,1,COLUMN())=FALSE,MO.LastPrice,INDEX(MO_SPT_StockEoP,1,COLUMN()))</f>
        <v/>
      </c>
      <c r="AR511" s="1760">
        <f>IF(INDEX(MO_SNA_IsHistoricalPeriod,1,COLUMN())=FALSE,MO.LastPrice,INDEX(MO_SPT_StockEoP,1,COLUMN()))</f>
        <v/>
      </c>
      <c r="AS511" s="1760">
        <f>IF(INDEX(MO_SNA_IsHistoricalPeriod,1,COLUMN())=FALSE,MO.LastPrice,INDEX(MO_SPT_StockEoP,1,COLUMN()))</f>
        <v/>
      </c>
      <c r="AT511" s="1760">
        <f>IF(INDEX(MO_SNA_IsHistoricalPeriod,1,COLUMN())=FALSE,MO.LastPrice,INDEX(MO_SPT_StockEoP,1,COLUMN()))</f>
        <v/>
      </c>
      <c r="AU511" s="1759">
        <f>IF(INDEX(MO_SNA_IsHistoricalPeriod,1,COLUMN())=FALSE,MO.LastPrice,INDEX(MO_SPT_StockEoP,1,COLUMN()))</f>
        <v/>
      </c>
      <c r="AV511" s="1760">
        <f>IF(INDEX(MO_SNA_IsHistoricalPeriod,1,COLUMN())=FALSE,MO.LastPrice,INDEX(MO_SPT_StockEoP,1,COLUMN()))</f>
        <v/>
      </c>
      <c r="AW511" s="1760">
        <f>IF(INDEX(MO_SNA_IsHistoricalPeriod,1,COLUMN())=FALSE,MO.LastPrice,INDEX(MO_SPT_StockEoP,1,COLUMN()))</f>
        <v/>
      </c>
      <c r="AX511" s="1760">
        <f>IF(INDEX(MO_SNA_IsHistoricalPeriod,1,COLUMN())=FALSE,MO.LastPrice,INDEX(MO_SPT_StockEoP,1,COLUMN()))</f>
        <v/>
      </c>
      <c r="AY511" s="1760">
        <f>IF(INDEX(MO_SNA_IsHistoricalPeriod,1,COLUMN())=FALSE,MO.LastPrice,INDEX(MO_SPT_StockEoP,1,COLUMN()))</f>
        <v/>
      </c>
      <c r="AZ511" s="1759">
        <f>IF(INDEX(MO_SNA_IsHistoricalPeriod,1,COLUMN())=FALSE,MO.LastPrice,INDEX(MO_SPT_StockEoP,1,COLUMN()))</f>
        <v/>
      </c>
      <c r="BA511" s="1760">
        <f>IF(INDEX(MO_SNA_IsHistoricalPeriod,1,COLUMN())=FALSE,MO.LastPrice,INDEX(MO_SPT_StockEoP,1,COLUMN()))</f>
        <v/>
      </c>
      <c r="BB511" s="1760">
        <f>IF(INDEX(MO_SNA_IsHistoricalPeriod,1,COLUMN())=FALSE,MO.LastPrice,INDEX(MO_SPT_StockEoP,1,COLUMN()))</f>
        <v/>
      </c>
      <c r="BC511" s="1760">
        <f>IF(INDEX(MO_SNA_IsHistoricalPeriod,1,COLUMN())=FALSE,MO.LastPrice,INDEX(MO_SPT_StockEoP,1,COLUMN()))</f>
        <v/>
      </c>
      <c r="BD511" s="1760">
        <f>IF(INDEX(MO_SNA_IsHistoricalPeriod,1,COLUMN())=FALSE,MO.LastPrice,INDEX(MO_SPT_StockEoP,1,COLUMN()))</f>
        <v/>
      </c>
      <c r="BE511" s="1759">
        <f>IF(INDEX(MO_SNA_IsHistoricalPeriod,1,COLUMN())=FALSE,MO.LastPrice,INDEX(MO_SPT_StockEoP,1,COLUMN()))</f>
        <v/>
      </c>
      <c r="BF511" s="1760">
        <f>IF(INDEX(MO_SNA_IsHistoricalPeriod,1,COLUMN())=FALSE,MO.LastPrice,INDEX(MO_SPT_StockEoP,1,COLUMN()))</f>
        <v/>
      </c>
      <c r="BG511" s="1760">
        <f>IF(INDEX(MO_SNA_IsHistoricalPeriod,1,COLUMN())=FALSE,MO.LastPrice,INDEX(MO_SPT_StockEoP,1,COLUMN()))</f>
        <v/>
      </c>
      <c r="BH511" s="1760">
        <f>IF(INDEX(MO_SNA_IsHistoricalPeriod,1,COLUMN())=FALSE,MO.LastPrice,INDEX(MO_SPT_StockEoP,1,COLUMN()))</f>
        <v/>
      </c>
      <c r="BI511" s="1760">
        <f>IF(INDEX(MO_SNA_IsHistoricalPeriod,1,COLUMN())=FALSE,MO.LastPrice,INDEX(MO_SPT_StockEoP,1,COLUMN()))</f>
        <v/>
      </c>
      <c r="BJ511" s="1759">
        <f>IF(INDEX(MO_SNA_IsHistoricalPeriod,1,COLUMN())=FALSE,MO.LastPrice,INDEX(MO_SPT_StockEoP,1,COLUMN()))</f>
        <v/>
      </c>
      <c r="BK511" s="1760">
        <f>IF(INDEX(MO_SNA_IsHistoricalPeriod,1,COLUMN())=FALSE,MO.LastPrice,INDEX(MO_SPT_StockEoP,1,COLUMN()))</f>
        <v/>
      </c>
      <c r="BL511" s="1760">
        <f>IF(INDEX(MO_SNA_IsHistoricalPeriod,1,COLUMN())=FALSE,MO.LastPrice,INDEX(MO_SPT_StockEoP,1,COLUMN()))</f>
        <v/>
      </c>
      <c r="BM511" s="1760">
        <f>IF(INDEX(MO_SNA_IsHistoricalPeriod,1,COLUMN())=FALSE,MO.LastPrice,INDEX(MO_SPT_StockEoP,1,COLUMN()))</f>
        <v/>
      </c>
      <c r="BN511" s="1760">
        <f>IF(INDEX(MO_SNA_IsHistoricalPeriod,1,COLUMN())=FALSE,MO.LastPrice,INDEX(MO_SPT_StockEoP,1,COLUMN()))</f>
        <v/>
      </c>
      <c r="BO511" s="1761">
        <f>IF(INDEX(MO_SNA_IsHistoricalPeriod,1,COLUMN())=FALSE,MO.LastPrice,INDEX(MO_SPT_StockEoP,1,COLUMN()))</f>
        <v/>
      </c>
      <c r="BP511" s="1762">
        <f>IF(INDEX(MO_SNA_IsHistoricalPeriod,1,COLUMN())=FALSE,MO.LastPrice,INDEX(MO_SPT_StockEoP,1,COLUMN()))</f>
        <v/>
      </c>
      <c r="BQ511" s="1762">
        <f>IF(INDEX(MO_SNA_IsHistoricalPeriod,1,COLUMN())=FALSE,MO.LastPrice,INDEX(MO_SPT_StockEoP,1,COLUMN()))</f>
        <v/>
      </c>
      <c r="BR511" s="1762">
        <f>IF(INDEX(MO_SNA_IsHistoricalPeriod,1,COLUMN())=FALSE,MO.LastPrice,INDEX(MO_SPT_StockEoP,1,COLUMN()))</f>
        <v/>
      </c>
      <c r="BS511" s="1762">
        <f>IF(INDEX(MO_SNA_IsHistoricalPeriod,1,COLUMN())=FALSE,MO.LastPrice,INDEX(MO_SPT_StockEoP,1,COLUMN()))</f>
        <v/>
      </c>
      <c r="BT511" s="1763">
        <f>IF(INDEX(MO_SNA_IsHistoricalPeriod,1,COLUMN())=FALSE,MO.LastPrice,INDEX(MO_SPT_StockEoP,1,COLUMN()))</f>
        <v/>
      </c>
      <c r="BU511" s="1762">
        <f>IF(INDEX(MO_SNA_IsHistoricalPeriod,1,COLUMN())=FALSE,MO.LastPrice,INDEX(MO_SPT_StockEoP,1,COLUMN()))</f>
        <v/>
      </c>
      <c r="BV511" s="1762">
        <f>IF(INDEX(MO_SNA_IsHistoricalPeriod,1,COLUMN())=FALSE,MO.LastPrice,INDEX(MO_SPT_StockEoP,1,COLUMN()))</f>
        <v/>
      </c>
      <c r="BW511" s="1762">
        <f>IF(INDEX(MO_SNA_IsHistoricalPeriod,1,COLUMN())=FALSE,MO.LastPrice,INDEX(MO_SPT_StockEoP,1,COLUMN()))</f>
        <v/>
      </c>
      <c r="BX511" s="1762">
        <f>IF(INDEX(MO_SNA_IsHistoricalPeriod,1,COLUMN())=FALSE,MO.LastPrice,INDEX(MO_SPT_StockEoP,1,COLUMN()))</f>
        <v/>
      </c>
      <c r="BY511" s="1763">
        <f>IF(INDEX(MO_SNA_IsHistoricalPeriod,1,COLUMN())=FALSE,MO.LastPrice,INDEX(MO_SPT_StockEoP,1,COLUMN()))</f>
        <v/>
      </c>
      <c r="BZ511" s="1763">
        <f>IF(INDEX(MO_SNA_IsHistoricalPeriod,1,COLUMN())=FALSE,MO.LastPrice,INDEX(MO_SPT_StockEoP,1,COLUMN()))</f>
        <v/>
      </c>
      <c r="CA511" s="1763">
        <f>IF(INDEX(MO_SNA_IsHistoricalPeriod,1,COLUMN())=FALSE,MO.LastPrice,INDEX(MO_SPT_StockEoP,1,COLUMN()))</f>
        <v/>
      </c>
      <c r="CB511" s="1763">
        <f>IF(INDEX(MO_SNA_IsHistoricalPeriod,1,COLUMN())=FALSE,MO.LastPrice,INDEX(MO_SPT_StockEoP,1,COLUMN()))</f>
        <v/>
      </c>
      <c r="CC511" s="1758" t="n"/>
    </row>
    <row r="512" hidden="1" outlineLevel="1" ht="14.4" customFormat="1" customHeight="1" s="1518">
      <c r="A512" s="1764">
        <f>"Average FX Rate, "&amp;HP.TradeCurrency&amp;"/"&amp;MO.ReportCurrency</f>
        <v/>
      </c>
      <c r="B512" s="1765" t="n"/>
      <c r="C512" s="1766">
        <f>IF(INDEX(MO_SPT_FXAverage,1,COLUMN())=0,1,INDEX(MO_SPT_FXAverage,1,COLUMN()))</f>
        <v/>
      </c>
      <c r="D512" s="1766">
        <f>IF(INDEX(MO_SPT_FXAverage,1,COLUMN())=0,1,INDEX(MO_SPT_FXAverage,1,COLUMN()))</f>
        <v/>
      </c>
      <c r="E512" s="1766">
        <f>IF(INDEX(MO_SPT_FXAverage,1,COLUMN())=0,1,INDEX(MO_SPT_FXAverage,1,COLUMN()))</f>
        <v/>
      </c>
      <c r="F512" s="1766">
        <f>IF(INDEX(MO_SPT_FXAverage,1,COLUMN())=0,1,INDEX(MO_SPT_FXAverage,1,COLUMN()))</f>
        <v/>
      </c>
      <c r="G512" s="1766">
        <f>IF(INDEX(MO_SPT_FXAverage,1,COLUMN())=0,1,INDEX(MO_SPT_FXAverage,1,COLUMN()))</f>
        <v/>
      </c>
      <c r="H512" s="1767">
        <f>IF(INDEX(MO_SPT_FXAverage,1,COLUMN())=0,1,INDEX(MO_SPT_FXAverage,1,COLUMN()))</f>
        <v/>
      </c>
      <c r="I512" s="1767">
        <f>IF(INDEX(MO_SPT_FXAverage,1,COLUMN())=0,1,INDEX(MO_SPT_FXAverage,1,COLUMN()))</f>
        <v/>
      </c>
      <c r="J512" s="1767">
        <f>IF(INDEX(MO_SPT_FXAverage,1,COLUMN())=0,1,INDEX(MO_SPT_FXAverage,1,COLUMN()))</f>
        <v/>
      </c>
      <c r="K512" s="1767">
        <f>IF(INDEX(MO_SPT_FXAverage,1,COLUMN())=0,1,INDEX(MO_SPT_FXAverage,1,COLUMN()))</f>
        <v/>
      </c>
      <c r="L512" s="1766">
        <f>IF(INDEX(MO_SPT_FXAverage,1,COLUMN())=0,1,INDEX(MO_SPT_FXAverage,1,COLUMN()))</f>
        <v/>
      </c>
      <c r="M512" s="1767">
        <f>IF(INDEX(MO_SPT_FXAverage,1,COLUMN())=0,1,INDEX(MO_SPT_FXAverage,1,COLUMN()))</f>
        <v/>
      </c>
      <c r="N512" s="1767">
        <f>IF(INDEX(MO_SPT_FXAverage,1,COLUMN())=0,1,INDEX(MO_SPT_FXAverage,1,COLUMN()))</f>
        <v/>
      </c>
      <c r="O512" s="1767">
        <f>IF(INDEX(MO_SPT_FXAverage,1,COLUMN())=0,1,INDEX(MO_SPT_FXAverage,1,COLUMN()))</f>
        <v/>
      </c>
      <c r="P512" s="1767">
        <f>IF(INDEX(MO_SPT_FXAverage,1,COLUMN())=0,1,INDEX(MO_SPT_FXAverage,1,COLUMN()))</f>
        <v/>
      </c>
      <c r="Q512" s="1766">
        <f>IF(INDEX(MO_SPT_FXAverage,1,COLUMN())=0,1,INDEX(MO_SPT_FXAverage,1,COLUMN()))</f>
        <v/>
      </c>
      <c r="R512" s="1767">
        <f>IF(INDEX(MO_SPT_FXAverage,1,COLUMN())=0,1,INDEX(MO_SPT_FXAverage,1,COLUMN()))</f>
        <v/>
      </c>
      <c r="S512" s="1767">
        <f>IF(INDEX(MO_SPT_FXAverage,1,COLUMN())=0,1,INDEX(MO_SPT_FXAverage,1,COLUMN()))</f>
        <v/>
      </c>
      <c r="T512" s="1767">
        <f>IF(INDEX(MO_SPT_FXAverage,1,COLUMN())=0,1,INDEX(MO_SPT_FXAverage,1,COLUMN()))</f>
        <v/>
      </c>
      <c r="U512" s="1767">
        <f>IF(INDEX(MO_SPT_FXAverage,1,COLUMN())=0,1,INDEX(MO_SPT_FXAverage,1,COLUMN()))</f>
        <v/>
      </c>
      <c r="V512" s="1766">
        <f>IF(INDEX(MO_SPT_FXAverage,1,COLUMN())=0,1,INDEX(MO_SPT_FXAverage,1,COLUMN()))</f>
        <v/>
      </c>
      <c r="W512" s="1767">
        <f>IF(INDEX(MO_SPT_FXAverage,1,COLUMN())=0,1,INDEX(MO_SPT_FXAverage,1,COLUMN()))</f>
        <v/>
      </c>
      <c r="X512" s="1767">
        <f>IF(INDEX(MO_SPT_FXAverage,1,COLUMN())=0,1,INDEX(MO_SPT_FXAverage,1,COLUMN()))</f>
        <v/>
      </c>
      <c r="Y512" s="1767">
        <f>IF(INDEX(MO_SPT_FXAverage,1,COLUMN())=0,1,INDEX(MO_SPT_FXAverage,1,COLUMN()))</f>
        <v/>
      </c>
      <c r="Z512" s="1767">
        <f>IF(INDEX(MO_SPT_FXAverage,1,COLUMN())=0,1,INDEX(MO_SPT_FXAverage,1,COLUMN()))</f>
        <v/>
      </c>
      <c r="AA512" s="1766">
        <f>IF(INDEX(MO_SPT_FXAverage,1,COLUMN())=0,1,INDEX(MO_SPT_FXAverage,1,COLUMN()))</f>
        <v/>
      </c>
      <c r="AB512" s="1767">
        <f>IF(INDEX(MO_SPT_FXAverage,1,COLUMN())=0,1,INDEX(MO_SPT_FXAverage,1,COLUMN()))</f>
        <v/>
      </c>
      <c r="AC512" s="1767">
        <f>IF(INDEX(MO_SPT_FXAverage,1,COLUMN())=0,1,INDEX(MO_SPT_FXAverage,1,COLUMN()))</f>
        <v/>
      </c>
      <c r="AD512" s="1767">
        <f>IF(INDEX(MO_SPT_FXAverage,1,COLUMN())=0,1,INDEX(MO_SPT_FXAverage,1,COLUMN()))</f>
        <v/>
      </c>
      <c r="AE512" s="1767">
        <f>IF(INDEX(MO_SPT_FXAverage,1,COLUMN())=0,1,INDEX(MO_SPT_FXAverage,1,COLUMN()))</f>
        <v/>
      </c>
      <c r="AF512" s="1766">
        <f>IF(INDEX(MO_SPT_FXAverage,1,COLUMN())=0,1,INDEX(MO_SPT_FXAverage,1,COLUMN()))</f>
        <v/>
      </c>
      <c r="AG512" s="1767">
        <f>IF(INDEX(MO_SPT_FXAverage,1,COLUMN())=0,1,INDEX(MO_SPT_FXAverage,1,COLUMN()))</f>
        <v/>
      </c>
      <c r="AH512" s="1767">
        <f>IF(INDEX(MO_SPT_FXAverage,1,COLUMN())=0,1,INDEX(MO_SPT_FXAverage,1,COLUMN()))</f>
        <v/>
      </c>
      <c r="AI512" s="1767">
        <f>IF(INDEX(MO_SPT_FXAverage,1,COLUMN())=0,1,INDEX(MO_SPT_FXAverage,1,COLUMN()))</f>
        <v/>
      </c>
      <c r="AJ512" s="1767">
        <f>IF(INDEX(MO_SPT_FXAverage,1,COLUMN())=0,1,INDEX(MO_SPT_FXAverage,1,COLUMN()))</f>
        <v/>
      </c>
      <c r="AK512" s="1766">
        <f>IF(INDEX(MO_SPT_FXAverage,1,COLUMN())=0,1,INDEX(MO_SPT_FXAverage,1,COLUMN()))</f>
        <v/>
      </c>
      <c r="AL512" s="1767">
        <f>IF(INDEX(MO_SPT_FXAverage,1,COLUMN())=0,1,INDEX(MO_SPT_FXAverage,1,COLUMN()))</f>
        <v/>
      </c>
      <c r="AM512" s="1767">
        <f>IF(INDEX(MO_SPT_FXAverage,1,COLUMN())=0,1,INDEX(MO_SPT_FXAverage,1,COLUMN()))</f>
        <v/>
      </c>
      <c r="AN512" s="1767">
        <f>IF(INDEX(MO_SPT_FXAverage,1,COLUMN())=0,1,INDEX(MO_SPT_FXAverage,1,COLUMN()))</f>
        <v/>
      </c>
      <c r="AO512" s="1767">
        <f>IF(INDEX(MO_SPT_FXAverage,1,COLUMN())=0,1,INDEX(MO_SPT_FXAverage,1,COLUMN()))</f>
        <v/>
      </c>
      <c r="AP512" s="1766">
        <f>IF(INDEX(MO_SPT_FXAverage,1,COLUMN())=0,1,INDEX(MO_SPT_FXAverage,1,COLUMN()))</f>
        <v/>
      </c>
      <c r="AQ512" s="1767">
        <f>IF(INDEX(MO_SPT_FXAverage,1,COLUMN())=0,1,INDEX(MO_SPT_FXAverage,1,COLUMN()))</f>
        <v/>
      </c>
      <c r="AR512" s="1767">
        <f>IF(INDEX(MO_SPT_FXAverage,1,COLUMN())=0,1,INDEX(MO_SPT_FXAverage,1,COLUMN()))</f>
        <v/>
      </c>
      <c r="AS512" s="1767">
        <f>IF(INDEX(MO_SPT_FXAverage,1,COLUMN())=0,1,INDEX(MO_SPT_FXAverage,1,COLUMN()))</f>
        <v/>
      </c>
      <c r="AT512" s="1767">
        <f>IF(INDEX(MO_SPT_FXAverage,1,COLUMN())=0,1,INDEX(MO_SPT_FXAverage,1,COLUMN()))</f>
        <v/>
      </c>
      <c r="AU512" s="1766">
        <f>IF(INDEX(MO_SPT_FXAverage,1,COLUMN())=0,1,INDEX(MO_SPT_FXAverage,1,COLUMN()))</f>
        <v/>
      </c>
      <c r="AV512" s="1767">
        <f>IF(INDEX(MO_SPT_FXAverage,1,COLUMN())=0,1,INDEX(MO_SPT_FXAverage,1,COLUMN()))</f>
        <v/>
      </c>
      <c r="AW512" s="1767">
        <f>IF(INDEX(MO_SPT_FXAverage,1,COLUMN())=0,1,INDEX(MO_SPT_FXAverage,1,COLUMN()))</f>
        <v/>
      </c>
      <c r="AX512" s="1767">
        <f>IF(INDEX(MO_SPT_FXAverage,1,COLUMN())=0,1,INDEX(MO_SPT_FXAverage,1,COLUMN()))</f>
        <v/>
      </c>
      <c r="AY512" s="1767">
        <f>IF(INDEX(MO_SPT_FXAverage,1,COLUMN())=0,1,INDEX(MO_SPT_FXAverage,1,COLUMN()))</f>
        <v/>
      </c>
      <c r="AZ512" s="1766">
        <f>IF(INDEX(MO_SPT_FXAverage,1,COLUMN())=0,1,INDEX(MO_SPT_FXAverage,1,COLUMN()))</f>
        <v/>
      </c>
      <c r="BA512" s="1767">
        <f>IF(INDEX(MO_SPT_FXAverage,1,COLUMN())=0,1,INDEX(MO_SPT_FXAverage,1,COLUMN()))</f>
        <v/>
      </c>
      <c r="BB512" s="1767">
        <f>IF(INDEX(MO_SPT_FXAverage,1,COLUMN())=0,1,INDEX(MO_SPT_FXAverage,1,COLUMN()))</f>
        <v/>
      </c>
      <c r="BC512" s="1767">
        <f>IF(INDEX(MO_SPT_FXAverage,1,COLUMN())=0,1,INDEX(MO_SPT_FXAverage,1,COLUMN()))</f>
        <v/>
      </c>
      <c r="BD512" s="1767">
        <f>IF(INDEX(MO_SPT_FXAverage,1,COLUMN())=0,1,INDEX(MO_SPT_FXAverage,1,COLUMN()))</f>
        <v/>
      </c>
      <c r="BE512" s="1766">
        <f>IF(INDEX(MO_SPT_FXAverage,1,COLUMN())=0,1,INDEX(MO_SPT_FXAverage,1,COLUMN()))</f>
        <v/>
      </c>
      <c r="BF512" s="1767">
        <f>IF(INDEX(MO_SPT_FXAverage,1,COLUMN())=0,1,INDEX(MO_SPT_FXAverage,1,COLUMN()))</f>
        <v/>
      </c>
      <c r="BG512" s="1767">
        <f>IF(INDEX(MO_SPT_FXAverage,1,COLUMN())=0,1,INDEX(MO_SPT_FXAverage,1,COLUMN()))</f>
        <v/>
      </c>
      <c r="BH512" s="1767">
        <f>IF(INDEX(MO_SPT_FXAverage,1,COLUMN())=0,1,INDEX(MO_SPT_FXAverage,1,COLUMN()))</f>
        <v/>
      </c>
      <c r="BI512" s="1767">
        <f>IF(INDEX(MO_SPT_FXAverage,1,COLUMN())=0,1,INDEX(MO_SPT_FXAverage,1,COLUMN()))</f>
        <v/>
      </c>
      <c r="BJ512" s="1766">
        <f>IF(INDEX(MO_SPT_FXAverage,1,COLUMN())=0,1,INDEX(MO_SPT_FXAverage,1,COLUMN()))</f>
        <v/>
      </c>
      <c r="BK512" s="1767">
        <f>IF(INDEX(MO_SPT_FXAverage,1,COLUMN())=0,1,INDEX(MO_SPT_FXAverage,1,COLUMN()))</f>
        <v/>
      </c>
      <c r="BL512" s="1767">
        <f>IF(INDEX(MO_SPT_FXAverage,1,COLUMN())=0,1,INDEX(MO_SPT_FXAverage,1,COLUMN()))</f>
        <v/>
      </c>
      <c r="BM512" s="1767">
        <f>IF(INDEX(MO_SPT_FXAverage,1,COLUMN())=0,1,INDEX(MO_SPT_FXAverage,1,COLUMN()))</f>
        <v/>
      </c>
      <c r="BN512" s="1767">
        <f>IF(INDEX(MO_SPT_FXAverage,1,COLUMN())=0,1,INDEX(MO_SPT_FXAverage,1,COLUMN()))</f>
        <v/>
      </c>
      <c r="BO512" s="1768">
        <f>IF(INDEX(MO_SPT_FXAverage,1,COLUMN())=0,1,INDEX(MO_SPT_FXAverage,1,COLUMN()))</f>
        <v/>
      </c>
      <c r="BP512" s="1769">
        <f>IF(INDEX(MO_SPT_FXAverage,1,COLUMN())=0,1,INDEX(MO_SPT_FXAverage,1,COLUMN()))</f>
        <v/>
      </c>
      <c r="BQ512" s="1769">
        <f>IF(INDEX(MO_SPT_FXAverage,1,COLUMN())=0,1,INDEX(MO_SPT_FXAverage,1,COLUMN()))</f>
        <v/>
      </c>
      <c r="BR512" s="1769">
        <f>IF(INDEX(MO_SPT_FXAverage,1,COLUMN())=0,1,INDEX(MO_SPT_FXAverage,1,COLUMN()))</f>
        <v/>
      </c>
      <c r="BS512" s="1769">
        <f>IF(INDEX(MO_SPT_FXAverage,1,COLUMN())=0,1,INDEX(MO_SPT_FXAverage,1,COLUMN()))</f>
        <v/>
      </c>
      <c r="BT512" s="1525">
        <f>IF(INDEX(MO_SPT_FXAverage,1,COLUMN())=0,1,INDEX(MO_SPT_FXAverage,1,COLUMN()))</f>
        <v/>
      </c>
      <c r="BU512" s="1769">
        <f>IF(INDEX(MO_SPT_FXAverage,1,COLUMN())=0,1,INDEX(MO_SPT_FXAverage,1,COLUMN()))</f>
        <v/>
      </c>
      <c r="BV512" s="1769">
        <f>IF(INDEX(MO_SPT_FXAverage,1,COLUMN())=0,1,INDEX(MO_SPT_FXAverage,1,COLUMN()))</f>
        <v/>
      </c>
      <c r="BW512" s="1769">
        <f>IF(INDEX(MO_SPT_FXAverage,1,COLUMN())=0,1,INDEX(MO_SPT_FXAverage,1,COLUMN()))</f>
        <v/>
      </c>
      <c r="BX512" s="1769">
        <f>IF(INDEX(MO_SPT_FXAverage,1,COLUMN())=0,1,INDEX(MO_SPT_FXAverage,1,COLUMN()))</f>
        <v/>
      </c>
      <c r="BY512" s="1525">
        <f>IF(INDEX(MO_SPT_FXAverage,1,COLUMN())=0,1,INDEX(MO_SPT_FXAverage,1,COLUMN()))</f>
        <v/>
      </c>
      <c r="BZ512" s="1525">
        <f>IF(INDEX(MO_SPT_FXAverage,1,COLUMN())=0,1,INDEX(MO_SPT_FXAverage,1,COLUMN()))</f>
        <v/>
      </c>
      <c r="CA512" s="1525">
        <f>IF(INDEX(MO_SPT_FXAverage,1,COLUMN())=0,1,INDEX(MO_SPT_FXAverage,1,COLUMN()))</f>
        <v/>
      </c>
      <c r="CB512" s="1525">
        <f>IF(INDEX(MO_SPT_FXAverage,1,COLUMN())=0,1,INDEX(MO_SPT_FXAverage,1,COLUMN()))</f>
        <v/>
      </c>
      <c r="CC512" s="1526" t="n"/>
    </row>
    <row r="513" hidden="1" outlineLevel="1" ht="14.4" customFormat="1" customHeight="1" s="1518">
      <c r="A513" s="1764">
        <f>"EoP FX Rate, "&amp;HP.TradeCurrency&amp;"/"&amp;MO.ReportCurrency</f>
        <v/>
      </c>
      <c r="B513" s="1765" t="n"/>
      <c r="C513" s="1766">
        <f>IF(INDEX(MO_SNA_IsHistoricalPeriod,1,COLUMN())=FALSE,HP.MRFX,INDEX(MO_SPT_FXEoP,1,COLUMN()))</f>
        <v/>
      </c>
      <c r="D513" s="1766">
        <f>IF(INDEX(MO_SNA_IsHistoricalPeriod,1,COLUMN())=FALSE,HP.MRFX,INDEX(MO_SPT_FXEoP,1,COLUMN()))</f>
        <v/>
      </c>
      <c r="E513" s="1766">
        <f>IF(INDEX(MO_SNA_IsHistoricalPeriod,1,COLUMN())=FALSE,HP.MRFX,INDEX(MO_SPT_FXEoP,1,COLUMN()))</f>
        <v/>
      </c>
      <c r="F513" s="1766">
        <f>IF(INDEX(MO_SNA_IsHistoricalPeriod,1,COLUMN())=FALSE,HP.MRFX,INDEX(MO_SPT_FXEoP,1,COLUMN()))</f>
        <v/>
      </c>
      <c r="G513" s="1766">
        <f>IF(INDEX(MO_SNA_IsHistoricalPeriod,1,COLUMN())=FALSE,HP.MRFX,INDEX(MO_SPT_FXEoP,1,COLUMN()))</f>
        <v/>
      </c>
      <c r="H513" s="1767">
        <f>IF(INDEX(MO_SNA_IsHistoricalPeriod,1,COLUMN())=FALSE,HP.MRFX,INDEX(MO_SPT_FXEoP,1,COLUMN()))</f>
        <v/>
      </c>
      <c r="I513" s="1767">
        <f>IF(INDEX(MO_SNA_IsHistoricalPeriod,1,COLUMN())=FALSE,HP.MRFX,INDEX(MO_SPT_FXEoP,1,COLUMN()))</f>
        <v/>
      </c>
      <c r="J513" s="1767">
        <f>IF(INDEX(MO_SNA_IsHistoricalPeriod,1,COLUMN())=FALSE,HP.MRFX,INDEX(MO_SPT_FXEoP,1,COLUMN()))</f>
        <v/>
      </c>
      <c r="K513" s="1767">
        <f>IF(INDEX(MO_SNA_IsHistoricalPeriod,1,COLUMN())=FALSE,HP.MRFX,INDEX(MO_SPT_FXEoP,1,COLUMN()))</f>
        <v/>
      </c>
      <c r="L513" s="1766">
        <f>IF(INDEX(MO_SNA_IsHistoricalPeriod,1,COLUMN())=FALSE,HP.MRFX,INDEX(MO_SPT_FXEoP,1,COLUMN()))</f>
        <v/>
      </c>
      <c r="M513" s="1767">
        <f>IF(INDEX(MO_SNA_IsHistoricalPeriod,1,COLUMN())=FALSE,HP.MRFX,INDEX(MO_SPT_FXEoP,1,COLUMN()))</f>
        <v/>
      </c>
      <c r="N513" s="1767">
        <f>IF(INDEX(MO_SNA_IsHistoricalPeriod,1,COLUMN())=FALSE,HP.MRFX,INDEX(MO_SPT_FXEoP,1,COLUMN()))</f>
        <v/>
      </c>
      <c r="O513" s="1767">
        <f>IF(INDEX(MO_SNA_IsHistoricalPeriod,1,COLUMN())=FALSE,HP.MRFX,INDEX(MO_SPT_FXEoP,1,COLUMN()))</f>
        <v/>
      </c>
      <c r="P513" s="1767">
        <f>IF(INDEX(MO_SNA_IsHistoricalPeriod,1,COLUMN())=FALSE,HP.MRFX,INDEX(MO_SPT_FXEoP,1,COLUMN()))</f>
        <v/>
      </c>
      <c r="Q513" s="1766">
        <f>IF(INDEX(MO_SNA_IsHistoricalPeriod,1,COLUMN())=FALSE,HP.MRFX,INDEX(MO_SPT_FXEoP,1,COLUMN()))</f>
        <v/>
      </c>
      <c r="R513" s="1767">
        <f>IF(INDEX(MO_SNA_IsHistoricalPeriod,1,COLUMN())=FALSE,HP.MRFX,INDEX(MO_SPT_FXEoP,1,COLUMN()))</f>
        <v/>
      </c>
      <c r="S513" s="1767">
        <f>IF(INDEX(MO_SNA_IsHistoricalPeriod,1,COLUMN())=FALSE,HP.MRFX,INDEX(MO_SPT_FXEoP,1,COLUMN()))</f>
        <v/>
      </c>
      <c r="T513" s="1767">
        <f>IF(INDEX(MO_SNA_IsHistoricalPeriod,1,COLUMN())=FALSE,HP.MRFX,INDEX(MO_SPT_FXEoP,1,COLUMN()))</f>
        <v/>
      </c>
      <c r="U513" s="1767">
        <f>IF(INDEX(MO_SNA_IsHistoricalPeriod,1,COLUMN())=FALSE,HP.MRFX,INDEX(MO_SPT_FXEoP,1,COLUMN()))</f>
        <v/>
      </c>
      <c r="V513" s="1766">
        <f>IF(INDEX(MO_SNA_IsHistoricalPeriod,1,COLUMN())=FALSE,HP.MRFX,INDEX(MO_SPT_FXEoP,1,COLUMN()))</f>
        <v/>
      </c>
      <c r="W513" s="1767">
        <f>IF(INDEX(MO_SNA_IsHistoricalPeriod,1,COLUMN())=FALSE,HP.MRFX,INDEX(MO_SPT_FXEoP,1,COLUMN()))</f>
        <v/>
      </c>
      <c r="X513" s="1767">
        <f>IF(INDEX(MO_SNA_IsHistoricalPeriod,1,COLUMN())=FALSE,HP.MRFX,INDEX(MO_SPT_FXEoP,1,COLUMN()))</f>
        <v/>
      </c>
      <c r="Y513" s="1767">
        <f>IF(INDEX(MO_SNA_IsHistoricalPeriod,1,COLUMN())=FALSE,HP.MRFX,INDEX(MO_SPT_FXEoP,1,COLUMN()))</f>
        <v/>
      </c>
      <c r="Z513" s="1767">
        <f>IF(INDEX(MO_SNA_IsHistoricalPeriod,1,COLUMN())=FALSE,HP.MRFX,INDEX(MO_SPT_FXEoP,1,COLUMN()))</f>
        <v/>
      </c>
      <c r="AA513" s="1766">
        <f>IF(INDEX(MO_SNA_IsHistoricalPeriod,1,COLUMN())=FALSE,HP.MRFX,INDEX(MO_SPT_FXEoP,1,COLUMN()))</f>
        <v/>
      </c>
      <c r="AB513" s="1767">
        <f>IF(INDEX(MO_SNA_IsHistoricalPeriod,1,COLUMN())=FALSE,HP.MRFX,INDEX(MO_SPT_FXEoP,1,COLUMN()))</f>
        <v/>
      </c>
      <c r="AC513" s="1767">
        <f>IF(INDEX(MO_SNA_IsHistoricalPeriod,1,COLUMN())=FALSE,HP.MRFX,INDEX(MO_SPT_FXEoP,1,COLUMN()))</f>
        <v/>
      </c>
      <c r="AD513" s="1767">
        <f>IF(INDEX(MO_SNA_IsHistoricalPeriod,1,COLUMN())=FALSE,HP.MRFX,INDEX(MO_SPT_FXEoP,1,COLUMN()))</f>
        <v/>
      </c>
      <c r="AE513" s="1767">
        <f>IF(INDEX(MO_SNA_IsHistoricalPeriod,1,COLUMN())=FALSE,HP.MRFX,INDEX(MO_SPT_FXEoP,1,COLUMN()))</f>
        <v/>
      </c>
      <c r="AF513" s="1766">
        <f>IF(INDEX(MO_SNA_IsHistoricalPeriod,1,COLUMN())=FALSE,HP.MRFX,INDEX(MO_SPT_FXEoP,1,COLUMN()))</f>
        <v/>
      </c>
      <c r="AG513" s="1767">
        <f>IF(INDEX(MO_SNA_IsHistoricalPeriod,1,COLUMN())=FALSE,HP.MRFX,INDEX(MO_SPT_FXEoP,1,COLUMN()))</f>
        <v/>
      </c>
      <c r="AH513" s="1767">
        <f>IF(INDEX(MO_SNA_IsHistoricalPeriod,1,COLUMN())=FALSE,HP.MRFX,INDEX(MO_SPT_FXEoP,1,COLUMN()))</f>
        <v/>
      </c>
      <c r="AI513" s="1767">
        <f>IF(INDEX(MO_SNA_IsHistoricalPeriod,1,COLUMN())=FALSE,HP.MRFX,INDEX(MO_SPT_FXEoP,1,COLUMN()))</f>
        <v/>
      </c>
      <c r="AJ513" s="1767">
        <f>IF(INDEX(MO_SNA_IsHistoricalPeriod,1,COLUMN())=FALSE,HP.MRFX,INDEX(MO_SPT_FXEoP,1,COLUMN()))</f>
        <v/>
      </c>
      <c r="AK513" s="1766">
        <f>IF(INDEX(MO_SNA_IsHistoricalPeriod,1,COLUMN())=FALSE,HP.MRFX,INDEX(MO_SPT_FXEoP,1,COLUMN()))</f>
        <v/>
      </c>
      <c r="AL513" s="1767">
        <f>IF(INDEX(MO_SNA_IsHistoricalPeriod,1,COLUMN())=FALSE,HP.MRFX,INDEX(MO_SPT_FXEoP,1,COLUMN()))</f>
        <v/>
      </c>
      <c r="AM513" s="1767">
        <f>IF(INDEX(MO_SNA_IsHistoricalPeriod,1,COLUMN())=FALSE,HP.MRFX,INDEX(MO_SPT_FXEoP,1,COLUMN()))</f>
        <v/>
      </c>
      <c r="AN513" s="1767">
        <f>IF(INDEX(MO_SNA_IsHistoricalPeriod,1,COLUMN())=FALSE,HP.MRFX,INDEX(MO_SPT_FXEoP,1,COLUMN()))</f>
        <v/>
      </c>
      <c r="AO513" s="1767">
        <f>IF(INDEX(MO_SNA_IsHistoricalPeriod,1,COLUMN())=FALSE,HP.MRFX,INDEX(MO_SPT_FXEoP,1,COLUMN()))</f>
        <v/>
      </c>
      <c r="AP513" s="1766">
        <f>IF(INDEX(MO_SNA_IsHistoricalPeriod,1,COLUMN())=FALSE,HP.MRFX,INDEX(MO_SPT_FXEoP,1,COLUMN()))</f>
        <v/>
      </c>
      <c r="AQ513" s="1767">
        <f>IF(INDEX(MO_SNA_IsHistoricalPeriod,1,COLUMN())=FALSE,HP.MRFX,INDEX(MO_SPT_FXEoP,1,COLUMN()))</f>
        <v/>
      </c>
      <c r="AR513" s="1767">
        <f>IF(INDEX(MO_SNA_IsHistoricalPeriod,1,COLUMN())=FALSE,HP.MRFX,INDEX(MO_SPT_FXEoP,1,COLUMN()))</f>
        <v/>
      </c>
      <c r="AS513" s="1767">
        <f>IF(INDEX(MO_SNA_IsHistoricalPeriod,1,COLUMN())=FALSE,HP.MRFX,INDEX(MO_SPT_FXEoP,1,COLUMN()))</f>
        <v/>
      </c>
      <c r="AT513" s="1767">
        <f>IF(INDEX(MO_SNA_IsHistoricalPeriod,1,COLUMN())=FALSE,HP.MRFX,INDEX(MO_SPT_FXEoP,1,COLUMN()))</f>
        <v/>
      </c>
      <c r="AU513" s="1766">
        <f>IF(INDEX(MO_SNA_IsHistoricalPeriod,1,COLUMN())=FALSE,HP.MRFX,INDEX(MO_SPT_FXEoP,1,COLUMN()))</f>
        <v/>
      </c>
      <c r="AV513" s="1767">
        <f>IF(INDEX(MO_SNA_IsHistoricalPeriod,1,COLUMN())=FALSE,HP.MRFX,INDEX(MO_SPT_FXEoP,1,COLUMN()))</f>
        <v/>
      </c>
      <c r="AW513" s="1767">
        <f>IF(INDEX(MO_SNA_IsHistoricalPeriod,1,COLUMN())=FALSE,HP.MRFX,INDEX(MO_SPT_FXEoP,1,COLUMN()))</f>
        <v/>
      </c>
      <c r="AX513" s="1767">
        <f>IF(INDEX(MO_SNA_IsHistoricalPeriod,1,COLUMN())=FALSE,HP.MRFX,INDEX(MO_SPT_FXEoP,1,COLUMN()))</f>
        <v/>
      </c>
      <c r="AY513" s="1767">
        <f>IF(INDEX(MO_SNA_IsHistoricalPeriod,1,COLUMN())=FALSE,HP.MRFX,INDEX(MO_SPT_FXEoP,1,COLUMN()))</f>
        <v/>
      </c>
      <c r="AZ513" s="1766">
        <f>IF(INDEX(MO_SNA_IsHistoricalPeriod,1,COLUMN())=FALSE,HP.MRFX,INDEX(MO_SPT_FXEoP,1,COLUMN()))</f>
        <v/>
      </c>
      <c r="BA513" s="1767">
        <f>IF(INDEX(MO_SNA_IsHistoricalPeriod,1,COLUMN())=FALSE,HP.MRFX,INDEX(MO_SPT_FXEoP,1,COLUMN()))</f>
        <v/>
      </c>
      <c r="BB513" s="1767">
        <f>IF(INDEX(MO_SNA_IsHistoricalPeriod,1,COLUMN())=FALSE,HP.MRFX,INDEX(MO_SPT_FXEoP,1,COLUMN()))</f>
        <v/>
      </c>
      <c r="BC513" s="1767">
        <f>IF(INDEX(MO_SNA_IsHistoricalPeriod,1,COLUMN())=FALSE,HP.MRFX,INDEX(MO_SPT_FXEoP,1,COLUMN()))</f>
        <v/>
      </c>
      <c r="BD513" s="1767">
        <f>IF(INDEX(MO_SNA_IsHistoricalPeriod,1,COLUMN())=FALSE,HP.MRFX,INDEX(MO_SPT_FXEoP,1,COLUMN()))</f>
        <v/>
      </c>
      <c r="BE513" s="1766">
        <f>IF(INDEX(MO_SNA_IsHistoricalPeriod,1,COLUMN())=FALSE,HP.MRFX,INDEX(MO_SPT_FXEoP,1,COLUMN()))</f>
        <v/>
      </c>
      <c r="BF513" s="1767">
        <f>IF(INDEX(MO_SNA_IsHistoricalPeriod,1,COLUMN())=FALSE,HP.MRFX,INDEX(MO_SPT_FXEoP,1,COLUMN()))</f>
        <v/>
      </c>
      <c r="BG513" s="1767">
        <f>IF(INDEX(MO_SNA_IsHistoricalPeriod,1,COLUMN())=FALSE,HP.MRFX,INDEX(MO_SPT_FXEoP,1,COLUMN()))</f>
        <v/>
      </c>
      <c r="BH513" s="1767">
        <f>IF(INDEX(MO_SNA_IsHistoricalPeriod,1,COLUMN())=FALSE,HP.MRFX,INDEX(MO_SPT_FXEoP,1,COLUMN()))</f>
        <v/>
      </c>
      <c r="BI513" s="1767">
        <f>IF(INDEX(MO_SNA_IsHistoricalPeriod,1,COLUMN())=FALSE,HP.MRFX,INDEX(MO_SPT_FXEoP,1,COLUMN()))</f>
        <v/>
      </c>
      <c r="BJ513" s="1766">
        <f>IF(INDEX(MO_SNA_IsHistoricalPeriod,1,COLUMN())=FALSE,HP.MRFX,INDEX(MO_SPT_FXEoP,1,COLUMN()))</f>
        <v/>
      </c>
      <c r="BK513" s="1767">
        <f>IF(INDEX(MO_SNA_IsHistoricalPeriod,1,COLUMN())=FALSE,HP.MRFX,INDEX(MO_SPT_FXEoP,1,COLUMN()))</f>
        <v/>
      </c>
      <c r="BL513" s="1767">
        <f>IF(INDEX(MO_SNA_IsHistoricalPeriod,1,COLUMN())=FALSE,HP.MRFX,INDEX(MO_SPT_FXEoP,1,COLUMN()))</f>
        <v/>
      </c>
      <c r="BM513" s="1767">
        <f>IF(INDEX(MO_SNA_IsHistoricalPeriod,1,COLUMN())=FALSE,HP.MRFX,INDEX(MO_SPT_FXEoP,1,COLUMN()))</f>
        <v/>
      </c>
      <c r="BN513" s="1767">
        <f>IF(INDEX(MO_SNA_IsHistoricalPeriod,1,COLUMN())=FALSE,HP.MRFX,INDEX(MO_SPT_FXEoP,1,COLUMN()))</f>
        <v/>
      </c>
      <c r="BO513" s="1768">
        <f>IF(INDEX(MO_SNA_IsHistoricalPeriod,1,COLUMN())=FALSE,HP.MRFX,INDEX(MO_SPT_FXEoP,1,COLUMN()))</f>
        <v/>
      </c>
      <c r="BP513" s="1769">
        <f>IF(INDEX(MO_SNA_IsHistoricalPeriod,1,COLUMN())=FALSE,HP.MRFX,INDEX(MO_SPT_FXEoP,1,COLUMN()))</f>
        <v/>
      </c>
      <c r="BQ513" s="1769">
        <f>IF(INDEX(MO_SNA_IsHistoricalPeriod,1,COLUMN())=FALSE,HP.MRFX,INDEX(MO_SPT_FXEoP,1,COLUMN()))</f>
        <v/>
      </c>
      <c r="BR513" s="1769">
        <f>IF(INDEX(MO_SNA_IsHistoricalPeriod,1,COLUMN())=FALSE,HP.MRFX,INDEX(MO_SPT_FXEoP,1,COLUMN()))</f>
        <v/>
      </c>
      <c r="BS513" s="1769">
        <f>IF(INDEX(MO_SNA_IsHistoricalPeriod,1,COLUMN())=FALSE,HP.MRFX,INDEX(MO_SPT_FXEoP,1,COLUMN()))</f>
        <v/>
      </c>
      <c r="BT513" s="1525">
        <f>IF(INDEX(MO_SNA_IsHistoricalPeriod,1,COLUMN())=FALSE,HP.MRFX,INDEX(MO_SPT_FXEoP,1,COLUMN()))</f>
        <v/>
      </c>
      <c r="BU513" s="1769">
        <f>IF(INDEX(MO_SNA_IsHistoricalPeriod,1,COLUMN())=FALSE,HP.MRFX,INDEX(MO_SPT_FXEoP,1,COLUMN()))</f>
        <v/>
      </c>
      <c r="BV513" s="1769">
        <f>IF(INDEX(MO_SNA_IsHistoricalPeriod,1,COLUMN())=FALSE,HP.MRFX,INDEX(MO_SPT_FXEoP,1,COLUMN()))</f>
        <v/>
      </c>
      <c r="BW513" s="1769">
        <f>IF(INDEX(MO_SNA_IsHistoricalPeriod,1,COLUMN())=FALSE,HP.MRFX,INDEX(MO_SPT_FXEoP,1,COLUMN()))</f>
        <v/>
      </c>
      <c r="BX513" s="1769">
        <f>IF(INDEX(MO_SNA_IsHistoricalPeriod,1,COLUMN())=FALSE,HP.MRFX,INDEX(MO_SPT_FXEoP,1,COLUMN()))</f>
        <v/>
      </c>
      <c r="BY513" s="1525">
        <f>IF(INDEX(MO_SNA_IsHistoricalPeriod,1,COLUMN())=FALSE,HP.MRFX,INDEX(MO_SPT_FXEoP,1,COLUMN()))</f>
        <v/>
      </c>
      <c r="BZ513" s="1525">
        <f>IF(INDEX(MO_SNA_IsHistoricalPeriod,1,COLUMN())=FALSE,HP.MRFX,INDEX(MO_SPT_FXEoP,1,COLUMN()))</f>
        <v/>
      </c>
      <c r="CA513" s="1525">
        <f>IF(INDEX(MO_SNA_IsHistoricalPeriod,1,COLUMN())=FALSE,HP.MRFX,INDEX(MO_SPT_FXEoP,1,COLUMN()))</f>
        <v/>
      </c>
      <c r="CB513" s="1525">
        <f>IF(INDEX(MO_SNA_IsHistoricalPeriod,1,COLUMN())=FALSE,HP.MRFX,INDEX(MO_SPT_FXEoP,1,COLUMN()))</f>
        <v/>
      </c>
      <c r="CC513" s="1526" t="n"/>
    </row>
    <row r="514" hidden="1" outlineLevel="1" ht="14.4" customFormat="1" customHeight="1" s="1275">
      <c r="A514" s="1384" t="n"/>
      <c r="B514" s="1387" t="n"/>
      <c r="C514" s="1297" t="n"/>
      <c r="D514" s="1297" t="n"/>
      <c r="E514" s="1297" t="n"/>
      <c r="F514" s="1297" t="n"/>
      <c r="G514" s="1297" t="n"/>
      <c r="H514" s="1277" t="n"/>
      <c r="I514" s="1277" t="n"/>
      <c r="J514" s="1277" t="n"/>
      <c r="K514" s="1277" t="n"/>
      <c r="L514" s="1297" t="n"/>
      <c r="M514" s="1277" t="n"/>
      <c r="N514" s="1277" t="n"/>
      <c r="O514" s="1277" t="n"/>
      <c r="P514" s="1277" t="n"/>
      <c r="Q514" s="1297" t="n"/>
      <c r="R514" s="1277" t="n"/>
      <c r="S514" s="1277" t="n"/>
      <c r="T514" s="1277" t="n"/>
      <c r="U514" s="1277" t="n"/>
      <c r="V514" s="1297" t="n"/>
      <c r="W514" s="1277" t="n"/>
      <c r="X514" s="1277" t="n"/>
      <c r="Y514" s="1277" t="n"/>
      <c r="Z514" s="1277" t="n"/>
      <c r="AA514" s="1297" t="n"/>
      <c r="AB514" s="1277" t="n"/>
      <c r="AC514" s="1277" t="n"/>
      <c r="AD514" s="1277" t="n"/>
      <c r="AE514" s="1277" t="n"/>
      <c r="AF514" s="1297" t="n"/>
      <c r="AG514" s="1277" t="n"/>
      <c r="AH514" s="1277" t="n"/>
      <c r="AI514" s="1277" t="n"/>
      <c r="AJ514" s="1277" t="n"/>
      <c r="AK514" s="1297" t="n"/>
      <c r="AL514" s="1277" t="n"/>
      <c r="AM514" s="1277" t="n"/>
      <c r="AN514" s="1277" t="n"/>
      <c r="AO514" s="1277" t="n"/>
      <c r="AP514" s="1297" t="n"/>
      <c r="AQ514" s="1277" t="n"/>
      <c r="AR514" s="1277" t="n"/>
      <c r="AS514" s="1277" t="n"/>
      <c r="AT514" s="1277" t="n"/>
      <c r="AU514" s="1297" t="n"/>
      <c r="AV514" s="1277" t="n"/>
      <c r="AW514" s="1277" t="n"/>
      <c r="AX514" s="1277" t="n"/>
      <c r="AY514" s="1277" t="n"/>
      <c r="AZ514" s="1297" t="n"/>
      <c r="BA514" s="1277" t="n"/>
      <c r="BB514" s="1277" t="n"/>
      <c r="BC514" s="1277" t="n"/>
      <c r="BD514" s="1277" t="n"/>
      <c r="BE514" s="1297" t="n"/>
      <c r="BF514" s="1277" t="n"/>
      <c r="BG514" s="1277" t="n"/>
      <c r="BH514" s="1277" t="n"/>
      <c r="BI514" s="1277" t="n"/>
      <c r="BJ514" s="1297" t="n"/>
      <c r="BK514" s="1277" t="n"/>
      <c r="BL514" s="1277" t="n"/>
      <c r="BM514" s="1277" t="n"/>
      <c r="BN514" s="1277" t="n"/>
      <c r="BO514" s="1382" t="n"/>
      <c r="BP514" s="1277" t="n"/>
      <c r="BQ514" s="1277" t="n"/>
      <c r="BR514" s="1277" t="n"/>
      <c r="BS514" s="1277" t="n"/>
      <c r="BT514" s="1297" t="n"/>
      <c r="BU514" s="1277" t="n"/>
      <c r="BV514" s="1277" t="n"/>
      <c r="BW514" s="1277" t="n"/>
      <c r="BX514" s="1277" t="n"/>
      <c r="BY514" s="1297" t="n"/>
      <c r="BZ514" s="1297" t="n"/>
      <c r="CA514" s="1297" t="n"/>
      <c r="CB514" s="1297" t="n"/>
      <c r="CC514" s="1280" t="n"/>
    </row>
    <row r="515" hidden="1" outlineLevel="1" ht="14.4" customFormat="1" customHeight="1" s="1275">
      <c r="A515" s="1295" t="inlineStr">
        <is>
          <t>Average FX NTUSD</t>
        </is>
      </c>
      <c r="B515" s="1387" t="n"/>
      <c r="C515" s="1770">
        <f>1/C512</f>
        <v/>
      </c>
      <c r="D515" s="1770">
        <f>1/D512</f>
        <v/>
      </c>
      <c r="E515" s="1770">
        <f>1/E512</f>
        <v/>
      </c>
      <c r="F515" s="1770">
        <f>1/F512</f>
        <v/>
      </c>
      <c r="G515" s="1770">
        <f>1/G512</f>
        <v/>
      </c>
      <c r="H515" s="1771">
        <f>1/H512</f>
        <v/>
      </c>
      <c r="I515" s="1771">
        <f>1/I512</f>
        <v/>
      </c>
      <c r="J515" s="1771">
        <f>1/J512</f>
        <v/>
      </c>
      <c r="K515" s="1771">
        <f>1/K512</f>
        <v/>
      </c>
      <c r="L515" s="1770">
        <f>1/L512</f>
        <v/>
      </c>
      <c r="M515" s="1771">
        <f>1/M512</f>
        <v/>
      </c>
      <c r="N515" s="1771">
        <f>1/N512</f>
        <v/>
      </c>
      <c r="O515" s="1771">
        <f>1/O512</f>
        <v/>
      </c>
      <c r="P515" s="1771">
        <f>1/P512</f>
        <v/>
      </c>
      <c r="Q515" s="1770">
        <f>1/Q512</f>
        <v/>
      </c>
      <c r="R515" s="1771">
        <f>1/R512</f>
        <v/>
      </c>
      <c r="S515" s="1771">
        <f>1/S512</f>
        <v/>
      </c>
      <c r="T515" s="1771">
        <f>1/T512</f>
        <v/>
      </c>
      <c r="U515" s="1771">
        <f>1/U512</f>
        <v/>
      </c>
      <c r="V515" s="1770">
        <f>1/V512</f>
        <v/>
      </c>
      <c r="W515" s="1771">
        <f>1/W512</f>
        <v/>
      </c>
      <c r="X515" s="1771">
        <f>1/X512</f>
        <v/>
      </c>
      <c r="Y515" s="1771">
        <f>1/Y512</f>
        <v/>
      </c>
      <c r="Z515" s="1771">
        <f>1/Z512</f>
        <v/>
      </c>
      <c r="AA515" s="1770">
        <f>1/AA512</f>
        <v/>
      </c>
      <c r="AB515" s="1771">
        <f>1/AB512</f>
        <v/>
      </c>
      <c r="AC515" s="1771">
        <f>1/AC512</f>
        <v/>
      </c>
      <c r="AD515" s="1771">
        <f>1/AD512</f>
        <v/>
      </c>
      <c r="AE515" s="1771">
        <f>1/AE512</f>
        <v/>
      </c>
      <c r="AF515" s="1770">
        <f>1/AF512</f>
        <v/>
      </c>
      <c r="AG515" s="1771">
        <f>1/AG512</f>
        <v/>
      </c>
      <c r="AH515" s="1771">
        <f>1/AH512</f>
        <v/>
      </c>
      <c r="AI515" s="1771">
        <f>1/AI512</f>
        <v/>
      </c>
      <c r="AJ515" s="1771">
        <f>1/AJ512</f>
        <v/>
      </c>
      <c r="AK515" s="1770">
        <f>1/AK512</f>
        <v/>
      </c>
      <c r="AL515" s="1771">
        <f>1/AL512</f>
        <v/>
      </c>
      <c r="AM515" s="1771">
        <f>1/AM512</f>
        <v/>
      </c>
      <c r="AN515" s="1771">
        <f>1/AN512</f>
        <v/>
      </c>
      <c r="AO515" s="1771">
        <f>1/AO512</f>
        <v/>
      </c>
      <c r="AP515" s="1770">
        <f>1/AP512</f>
        <v/>
      </c>
      <c r="AQ515" s="1771">
        <f>1/AQ512</f>
        <v/>
      </c>
      <c r="AR515" s="1771">
        <f>1/AR512</f>
        <v/>
      </c>
      <c r="AS515" s="1771">
        <f>1/AS512</f>
        <v/>
      </c>
      <c r="AT515" s="1771">
        <f>1/AT512</f>
        <v/>
      </c>
      <c r="AU515" s="1770">
        <f>1/AU512</f>
        <v/>
      </c>
      <c r="AV515" s="1771">
        <f>1/AV512</f>
        <v/>
      </c>
      <c r="AW515" s="1771">
        <f>1/AW512</f>
        <v/>
      </c>
      <c r="AX515" s="1771">
        <f>1/AX512</f>
        <v/>
      </c>
      <c r="AY515" s="1771">
        <f>1/AY512</f>
        <v/>
      </c>
      <c r="AZ515" s="1770">
        <f>1/AZ512</f>
        <v/>
      </c>
      <c r="BA515" s="1771">
        <f>1/BA512</f>
        <v/>
      </c>
      <c r="BB515" s="1771">
        <f>1/BB512</f>
        <v/>
      </c>
      <c r="BC515" s="1771">
        <f>1/BC512</f>
        <v/>
      </c>
      <c r="BD515" s="1771">
        <f>1/BD512</f>
        <v/>
      </c>
      <c r="BE515" s="1770">
        <f>1/BE512</f>
        <v/>
      </c>
      <c r="BF515" s="1771">
        <f>1/BF512</f>
        <v/>
      </c>
      <c r="BG515" s="1771">
        <f>1/BG512</f>
        <v/>
      </c>
      <c r="BH515" s="1771">
        <f>1/BH512</f>
        <v/>
      </c>
      <c r="BI515" s="1771">
        <f>1/BI512</f>
        <v/>
      </c>
      <c r="BJ515" s="1770">
        <f>1/BJ512</f>
        <v/>
      </c>
      <c r="BK515" s="1771">
        <f>1/BK512</f>
        <v/>
      </c>
      <c r="BL515" s="1771">
        <f>1/BL512</f>
        <v/>
      </c>
      <c r="BM515" s="1771">
        <f>1/BM512</f>
        <v/>
      </c>
      <c r="BN515" s="1771">
        <f>1/BN512</f>
        <v/>
      </c>
      <c r="BO515" s="1772">
        <f>1/BO512</f>
        <v/>
      </c>
      <c r="BP515" s="1773">
        <f>1/BP512</f>
        <v/>
      </c>
      <c r="BQ515" s="1773">
        <f>1/BQ512</f>
        <v/>
      </c>
      <c r="BR515" s="1773">
        <f>1/BR512</f>
        <v/>
      </c>
      <c r="BS515" s="1773">
        <f>1/BS512</f>
        <v/>
      </c>
      <c r="BT515" s="1774">
        <f>1/BT512</f>
        <v/>
      </c>
      <c r="BU515" s="1773">
        <f>1/BU512</f>
        <v/>
      </c>
      <c r="BV515" s="1773">
        <f>1/BV512</f>
        <v/>
      </c>
      <c r="BW515" s="1773">
        <f>1/BW512</f>
        <v/>
      </c>
      <c r="BX515" s="1773">
        <f>1/BX512</f>
        <v/>
      </c>
      <c r="BY515" s="1774">
        <f>1/BY512</f>
        <v/>
      </c>
      <c r="BZ515" s="1774">
        <f>1/BZ512</f>
        <v/>
      </c>
      <c r="CA515" s="1774">
        <f>1/CA512</f>
        <v/>
      </c>
      <c r="CB515" s="1774">
        <f>1/CB512</f>
        <v/>
      </c>
      <c r="CC515" s="1280" t="n"/>
    </row>
    <row r="516" hidden="1" outlineLevel="1" ht="14.4" customFormat="1" customHeight="1" s="1275">
      <c r="A516" s="1295" t="inlineStr">
        <is>
          <t>EOP FX NTUSD</t>
        </is>
      </c>
      <c r="B516" s="1387" t="n"/>
      <c r="C516" s="1770">
        <f>C258</f>
        <v/>
      </c>
      <c r="D516" s="1770">
        <f>D258</f>
        <v/>
      </c>
      <c r="E516" s="1770">
        <f>E258</f>
        <v/>
      </c>
      <c r="F516" s="1770">
        <f>F258</f>
        <v/>
      </c>
      <c r="G516" s="1770">
        <f>G258</f>
        <v/>
      </c>
      <c r="H516" s="1771">
        <f>H258</f>
        <v/>
      </c>
      <c r="I516" s="1771">
        <f>I258</f>
        <v/>
      </c>
      <c r="J516" s="1771">
        <f>J258</f>
        <v/>
      </c>
      <c r="K516" s="1771">
        <f>K258</f>
        <v/>
      </c>
      <c r="L516" s="1770">
        <f>L258</f>
        <v/>
      </c>
      <c r="M516" s="1771">
        <f>M258</f>
        <v/>
      </c>
      <c r="N516" s="1771">
        <f>N258</f>
        <v/>
      </c>
      <c r="O516" s="1771">
        <f>O258</f>
        <v/>
      </c>
      <c r="P516" s="1771">
        <f>P258</f>
        <v/>
      </c>
      <c r="Q516" s="1770">
        <f>Q258</f>
        <v/>
      </c>
      <c r="R516" s="1771">
        <f>R258</f>
        <v/>
      </c>
      <c r="S516" s="1771">
        <f>S258</f>
        <v/>
      </c>
      <c r="T516" s="1771">
        <f>T258</f>
        <v/>
      </c>
      <c r="U516" s="1771">
        <f>U258</f>
        <v/>
      </c>
      <c r="V516" s="1770">
        <f>V258</f>
        <v/>
      </c>
      <c r="W516" s="1771">
        <f>W258</f>
        <v/>
      </c>
      <c r="X516" s="1771">
        <f>X258</f>
        <v/>
      </c>
      <c r="Y516" s="1771">
        <f>Y258</f>
        <v/>
      </c>
      <c r="Z516" s="1771">
        <f>Z258</f>
        <v/>
      </c>
      <c r="AA516" s="1770">
        <f>AA258</f>
        <v/>
      </c>
      <c r="AB516" s="1771">
        <f>AB258</f>
        <v/>
      </c>
      <c r="AC516" s="1771">
        <f>AC258</f>
        <v/>
      </c>
      <c r="AD516" s="1771">
        <f>AD258</f>
        <v/>
      </c>
      <c r="AE516" s="1771">
        <f>AE258</f>
        <v/>
      </c>
      <c r="AF516" s="1770">
        <f>AF258</f>
        <v/>
      </c>
      <c r="AG516" s="1771">
        <f>AG258</f>
        <v/>
      </c>
      <c r="AH516" s="1771">
        <f>AH258</f>
        <v/>
      </c>
      <c r="AI516" s="1771">
        <f>AI258</f>
        <v/>
      </c>
      <c r="AJ516" s="1771">
        <f>AJ258</f>
        <v/>
      </c>
      <c r="AK516" s="1770">
        <f>AK258</f>
        <v/>
      </c>
      <c r="AL516" s="1771">
        <f>AL258</f>
        <v/>
      </c>
      <c r="AM516" s="1771">
        <f>AM258</f>
        <v/>
      </c>
      <c r="AN516" s="1771">
        <f>AN258</f>
        <v/>
      </c>
      <c r="AO516" s="1771">
        <f>AO258</f>
        <v/>
      </c>
      <c r="AP516" s="1770">
        <f>AP258</f>
        <v/>
      </c>
      <c r="AQ516" s="1771">
        <f>AQ258</f>
        <v/>
      </c>
      <c r="AR516" s="1771">
        <f>AR258</f>
        <v/>
      </c>
      <c r="AS516" s="1771">
        <f>AS258</f>
        <v/>
      </c>
      <c r="AT516" s="1771">
        <f>AT258</f>
        <v/>
      </c>
      <c r="AU516" s="1770">
        <f>AU258</f>
        <v/>
      </c>
      <c r="AV516" s="1771">
        <f>AV258</f>
        <v/>
      </c>
      <c r="AW516" s="1771">
        <f>AW258</f>
        <v/>
      </c>
      <c r="AX516" s="1771">
        <f>AX258</f>
        <v/>
      </c>
      <c r="AY516" s="1771">
        <f>AY258</f>
        <v/>
      </c>
      <c r="AZ516" s="1770">
        <f>AZ258</f>
        <v/>
      </c>
      <c r="BA516" s="1771">
        <f>BA258</f>
        <v/>
      </c>
      <c r="BB516" s="1771">
        <f>BB258</f>
        <v/>
      </c>
      <c r="BC516" s="1771">
        <f>BC258</f>
        <v/>
      </c>
      <c r="BD516" s="1771">
        <f>BD258</f>
        <v/>
      </c>
      <c r="BE516" s="1770">
        <f>BE258</f>
        <v/>
      </c>
      <c r="BF516" s="1771">
        <f>BF258</f>
        <v/>
      </c>
      <c r="BG516" s="1771">
        <f>BG258</f>
        <v/>
      </c>
      <c r="BH516" s="1771">
        <f>BH258</f>
        <v/>
      </c>
      <c r="BI516" s="1771">
        <f>BI258</f>
        <v/>
      </c>
      <c r="BJ516" s="1770">
        <f>BJ258</f>
        <v/>
      </c>
      <c r="BK516" s="1771">
        <f>BK258</f>
        <v/>
      </c>
      <c r="BL516" s="1771">
        <f>BL258</f>
        <v/>
      </c>
      <c r="BM516" s="1771">
        <f>BM258</f>
        <v/>
      </c>
      <c r="BN516" s="1771">
        <f>BN258</f>
        <v/>
      </c>
      <c r="BO516" s="1772">
        <f>BO258</f>
        <v/>
      </c>
      <c r="BP516" s="1773">
        <f>+BP515*2-BO516</f>
        <v/>
      </c>
      <c r="BQ516" s="1773">
        <f>+BQ515*2-BP516</f>
        <v/>
      </c>
      <c r="BR516" s="1773">
        <f>+BR515*2-BQ516</f>
        <v/>
      </c>
      <c r="BS516" s="1773">
        <f>+BS515*2-BR516</f>
        <v/>
      </c>
      <c r="BT516" s="1774">
        <f>+BS516</f>
        <v/>
      </c>
      <c r="BU516" s="1773">
        <f>+BU515*2-BT516</f>
        <v/>
      </c>
      <c r="BV516" s="1773">
        <f>+BV515*2-BU516</f>
        <v/>
      </c>
      <c r="BW516" s="1773">
        <f>+BW515*2-BV516</f>
        <v/>
      </c>
      <c r="BX516" s="1773">
        <f>+BX515*2-BW516</f>
        <v/>
      </c>
      <c r="BY516" s="1774">
        <f>+BX516</f>
        <v/>
      </c>
      <c r="BZ516" s="1774">
        <f>+BZ515*2-BY516</f>
        <v/>
      </c>
      <c r="CA516" s="1774">
        <f>+CA515*2-BZ516</f>
        <v/>
      </c>
      <c r="CB516" s="1774">
        <f>+CB515*2-CA516</f>
        <v/>
      </c>
      <c r="CC516" s="1280" t="n"/>
    </row>
    <row r="517" hidden="1" outlineLevel="1" ht="14.4" customFormat="1" customHeight="1" s="1275">
      <c r="A517" s="1384" t="n"/>
      <c r="B517" s="1387" t="n"/>
      <c r="C517" s="1297" t="n"/>
      <c r="D517" s="1297" t="n"/>
      <c r="E517" s="1297" t="n"/>
      <c r="F517" s="1297" t="n"/>
      <c r="G517" s="1297" t="n"/>
      <c r="H517" s="1277" t="n"/>
      <c r="I517" s="1277" t="n"/>
      <c r="J517" s="1277" t="n"/>
      <c r="K517" s="1277" t="n"/>
      <c r="L517" s="1297" t="n"/>
      <c r="M517" s="1277" t="n"/>
      <c r="N517" s="1277" t="n"/>
      <c r="O517" s="1277" t="n"/>
      <c r="P517" s="1277" t="n"/>
      <c r="Q517" s="1297" t="n"/>
      <c r="R517" s="1277" t="n"/>
      <c r="S517" s="1277" t="n"/>
      <c r="T517" s="1277" t="n"/>
      <c r="U517" s="1277" t="n"/>
      <c r="V517" s="1297" t="n"/>
      <c r="W517" s="1277" t="n"/>
      <c r="X517" s="1277" t="n"/>
      <c r="Y517" s="1277" t="n"/>
      <c r="Z517" s="1277" t="n"/>
      <c r="AA517" s="1297" t="n"/>
      <c r="AB517" s="1277" t="n"/>
      <c r="AC517" s="1277" t="n"/>
      <c r="AD517" s="1277" t="n"/>
      <c r="AE517" s="1277" t="n"/>
      <c r="AF517" s="1297" t="n"/>
      <c r="AG517" s="1277" t="n"/>
      <c r="AH517" s="1277" t="n"/>
      <c r="AI517" s="1277" t="n"/>
      <c r="AJ517" s="1277" t="n"/>
      <c r="AK517" s="1297" t="n"/>
      <c r="AL517" s="1277" t="n"/>
      <c r="AM517" s="1277" t="n"/>
      <c r="AN517" s="1277" t="n"/>
      <c r="AO517" s="1277" t="n"/>
      <c r="AP517" s="1297" t="n"/>
      <c r="AQ517" s="1277" t="n"/>
      <c r="AR517" s="1277" t="n"/>
      <c r="AS517" s="1277" t="n"/>
      <c r="AT517" s="1277" t="n"/>
      <c r="AU517" s="1297" t="n"/>
      <c r="AV517" s="1277" t="n"/>
      <c r="AW517" s="1277" t="n"/>
      <c r="AX517" s="1277" t="n"/>
      <c r="AY517" s="1277" t="n"/>
      <c r="AZ517" s="1297" t="n"/>
      <c r="BA517" s="1277" t="n"/>
      <c r="BB517" s="1277" t="n"/>
      <c r="BC517" s="1277" t="n"/>
      <c r="BD517" s="1277" t="n"/>
      <c r="BE517" s="1297" t="n"/>
      <c r="BF517" s="1277" t="n"/>
      <c r="BG517" s="1277" t="n"/>
      <c r="BH517" s="1277" t="n"/>
      <c r="BI517" s="1277" t="n"/>
      <c r="BJ517" s="1297" t="n"/>
      <c r="BK517" s="1277" t="n"/>
      <c r="BL517" s="1277" t="n"/>
      <c r="BM517" s="1277" t="n"/>
      <c r="BN517" s="1277" t="n"/>
      <c r="BO517" s="1382" t="n"/>
      <c r="BP517" s="1277" t="n"/>
      <c r="BQ517" s="1277" t="n"/>
      <c r="BR517" s="1277" t="n"/>
      <c r="BS517" s="1277" t="n"/>
      <c r="BT517" s="1297" t="n"/>
      <c r="BU517" s="1277" t="n"/>
      <c r="BV517" s="1277" t="n"/>
      <c r="BW517" s="1277" t="n"/>
      <c r="BX517" s="1277" t="n"/>
      <c r="BY517" s="1297" t="n"/>
      <c r="BZ517" s="1297" t="n"/>
      <c r="CA517" s="1297" t="n"/>
      <c r="CB517" s="1297" t="n"/>
      <c r="CC517" s="1280" t="n"/>
    </row>
    <row r="518" hidden="1" outlineLevel="1" ht="14.4" customFormat="1" customHeight="1" s="1275">
      <c r="A518" s="1775" t="inlineStr">
        <is>
          <t>Enterprise Value Components</t>
        </is>
      </c>
      <c r="B518" s="1387" t="n"/>
      <c r="C518" s="1297" t="n"/>
      <c r="D518" s="1297" t="n"/>
      <c r="E518" s="1297" t="n"/>
      <c r="F518" s="1297" t="n"/>
      <c r="G518" s="1297" t="n"/>
      <c r="H518" s="1277" t="n"/>
      <c r="I518" s="1277" t="n"/>
      <c r="J518" s="1277" t="n"/>
      <c r="K518" s="1277" t="n"/>
      <c r="L518" s="1297" t="n"/>
      <c r="M518" s="1277" t="n"/>
      <c r="N518" s="1277" t="n"/>
      <c r="O518" s="1277" t="n"/>
      <c r="P518" s="1277" t="n"/>
      <c r="Q518" s="1297" t="n"/>
      <c r="R518" s="1277" t="n"/>
      <c r="S518" s="1277" t="n"/>
      <c r="T518" s="1277" t="n"/>
      <c r="U518" s="1277" t="n"/>
      <c r="V518" s="1297" t="n"/>
      <c r="W518" s="1277" t="n"/>
      <c r="X518" s="1277" t="n"/>
      <c r="Y518" s="1277" t="n"/>
      <c r="Z518" s="1277" t="n"/>
      <c r="AA518" s="1297" t="n"/>
      <c r="AB518" s="1277" t="n"/>
      <c r="AC518" s="1277" t="n"/>
      <c r="AD518" s="1277" t="n"/>
      <c r="AE518" s="1277" t="n"/>
      <c r="AF518" s="1297" t="n"/>
      <c r="AG518" s="1277" t="n"/>
      <c r="AH518" s="1277" t="n"/>
      <c r="AI518" s="1277" t="n"/>
      <c r="AJ518" s="1277" t="n"/>
      <c r="AK518" s="1297" t="n"/>
      <c r="AL518" s="1277" t="n"/>
      <c r="AM518" s="1277" t="n"/>
      <c r="AN518" s="1277" t="n"/>
      <c r="AO518" s="1277" t="n"/>
      <c r="AP518" s="1297" t="n"/>
      <c r="AQ518" s="1277" t="n"/>
      <c r="AR518" s="1277" t="n"/>
      <c r="AS518" s="1277" t="n"/>
      <c r="AT518" s="1277" t="n"/>
      <c r="AU518" s="1297" t="n"/>
      <c r="AV518" s="1277" t="n"/>
      <c r="AW518" s="1277" t="n"/>
      <c r="AX518" s="1277" t="n"/>
      <c r="AY518" s="1277" t="n"/>
      <c r="AZ518" s="1297" t="n"/>
      <c r="BA518" s="1277" t="n"/>
      <c r="BB518" s="1277" t="n"/>
      <c r="BC518" s="1277" t="n"/>
      <c r="BD518" s="1277" t="n"/>
      <c r="BE518" s="1297" t="n"/>
      <c r="BF518" s="1277" t="n"/>
      <c r="BG518" s="1277" t="n"/>
      <c r="BH518" s="1277" t="n"/>
      <c r="BI518" s="1277" t="n"/>
      <c r="BJ518" s="1297" t="n"/>
      <c r="BK518" s="1277" t="n"/>
      <c r="BL518" s="1277" t="n"/>
      <c r="BM518" s="1277" t="n"/>
      <c r="BN518" s="1277" t="n"/>
      <c r="BO518" s="1382" t="n"/>
      <c r="BP518" s="1277" t="n"/>
      <c r="BQ518" s="1277" t="n"/>
      <c r="BR518" s="1277" t="n"/>
      <c r="BS518" s="1277" t="n"/>
      <c r="BT518" s="1297" t="n"/>
      <c r="BU518" s="1277" t="n"/>
      <c r="BV518" s="1277" t="n"/>
      <c r="BW518" s="1277" t="n"/>
      <c r="BX518" s="1277" t="n"/>
      <c r="BY518" s="1297" t="n"/>
      <c r="BZ518" s="1297" t="n"/>
      <c r="CA518" s="1297" t="n"/>
      <c r="CB518" s="1297" t="n"/>
      <c r="CC518" s="1280" t="n"/>
    </row>
    <row r="519" hidden="1" outlineLevel="1" ht="14.4" customFormat="1" customHeight="1" s="1275">
      <c r="A519" s="1590" t="inlineStr">
        <is>
          <t>Noncontrolling Interest</t>
        </is>
      </c>
      <c r="B519" s="1387" t="n"/>
      <c r="C519" s="1446">
        <f>C951</f>
        <v/>
      </c>
      <c r="D519" s="1446">
        <f>D951</f>
        <v/>
      </c>
      <c r="E519" s="1446">
        <f>E951</f>
        <v/>
      </c>
      <c r="F519" s="1446">
        <f>F951</f>
        <v/>
      </c>
      <c r="G519" s="1446">
        <f>G951</f>
        <v/>
      </c>
      <c r="H519" s="1280">
        <f>H951</f>
        <v/>
      </c>
      <c r="I519" s="1280">
        <f>I951</f>
        <v/>
      </c>
      <c r="J519" s="1280">
        <f>J951</f>
        <v/>
      </c>
      <c r="K519" s="1280">
        <f>K951</f>
        <v/>
      </c>
      <c r="L519" s="1446">
        <f>L951</f>
        <v/>
      </c>
      <c r="M519" s="1280">
        <f>M951</f>
        <v/>
      </c>
      <c r="N519" s="1280">
        <f>N951</f>
        <v/>
      </c>
      <c r="O519" s="1280">
        <f>O951</f>
        <v/>
      </c>
      <c r="P519" s="1280">
        <f>P951</f>
        <v/>
      </c>
      <c r="Q519" s="1446">
        <f>Q951</f>
        <v/>
      </c>
      <c r="R519" s="1280">
        <f>R951</f>
        <v/>
      </c>
      <c r="S519" s="1280">
        <f>S951</f>
        <v/>
      </c>
      <c r="T519" s="1280">
        <f>T951</f>
        <v/>
      </c>
      <c r="U519" s="1280">
        <f>U951</f>
        <v/>
      </c>
      <c r="V519" s="1446">
        <f>V951</f>
        <v/>
      </c>
      <c r="W519" s="1280">
        <f>W951</f>
        <v/>
      </c>
      <c r="X519" s="1280">
        <f>X951</f>
        <v/>
      </c>
      <c r="Y519" s="1280">
        <f>Y951</f>
        <v/>
      </c>
      <c r="Z519" s="1280">
        <f>Z951</f>
        <v/>
      </c>
      <c r="AA519" s="1446">
        <f>AA951</f>
        <v/>
      </c>
      <c r="AB519" s="1280">
        <f>AB951</f>
        <v/>
      </c>
      <c r="AC519" s="1280">
        <f>AC951</f>
        <v/>
      </c>
      <c r="AD519" s="1280">
        <f>AD951</f>
        <v/>
      </c>
      <c r="AE519" s="1280">
        <f>AE951</f>
        <v/>
      </c>
      <c r="AF519" s="1446">
        <f>AF951</f>
        <v/>
      </c>
      <c r="AG519" s="1280">
        <f>AG951</f>
        <v/>
      </c>
      <c r="AH519" s="1280">
        <f>AH951</f>
        <v/>
      </c>
      <c r="AI519" s="1280">
        <f>AI951</f>
        <v/>
      </c>
      <c r="AJ519" s="1280">
        <f>AJ951</f>
        <v/>
      </c>
      <c r="AK519" s="1446">
        <f>AK951</f>
        <v/>
      </c>
      <c r="AL519" s="1280">
        <f>AL951</f>
        <v/>
      </c>
      <c r="AM519" s="1280">
        <f>AM951</f>
        <v/>
      </c>
      <c r="AN519" s="1280">
        <f>AN951</f>
        <v/>
      </c>
      <c r="AO519" s="1280">
        <f>AO951</f>
        <v/>
      </c>
      <c r="AP519" s="1446">
        <f>AP951</f>
        <v/>
      </c>
      <c r="AQ519" s="1280">
        <f>AQ951</f>
        <v/>
      </c>
      <c r="AR519" s="1280">
        <f>AR951</f>
        <v/>
      </c>
      <c r="AS519" s="1280">
        <f>AS951</f>
        <v/>
      </c>
      <c r="AT519" s="1280">
        <f>AT951</f>
        <v/>
      </c>
      <c r="AU519" s="1446">
        <f>AU951</f>
        <v/>
      </c>
      <c r="AV519" s="1280">
        <f>AV951</f>
        <v/>
      </c>
      <c r="AW519" s="1280">
        <f>AW951</f>
        <v/>
      </c>
      <c r="AX519" s="1280">
        <f>AX951</f>
        <v/>
      </c>
      <c r="AY519" s="1280">
        <f>AY951</f>
        <v/>
      </c>
      <c r="AZ519" s="1446">
        <f>AZ951</f>
        <v/>
      </c>
      <c r="BA519" s="1280">
        <f>BA951</f>
        <v/>
      </c>
      <c r="BB519" s="1280">
        <f>BB951</f>
        <v/>
      </c>
      <c r="BC519" s="1280">
        <f>BC951</f>
        <v/>
      </c>
      <c r="BD519" s="1280">
        <f>BD951</f>
        <v/>
      </c>
      <c r="BE519" s="1446">
        <f>BE951</f>
        <v/>
      </c>
      <c r="BF519" s="1280">
        <f>BF951</f>
        <v/>
      </c>
      <c r="BG519" s="1280">
        <f>BG951</f>
        <v/>
      </c>
      <c r="BH519" s="1280">
        <f>BH951</f>
        <v/>
      </c>
      <c r="BI519" s="1280">
        <f>BI951</f>
        <v/>
      </c>
      <c r="BJ519" s="1446">
        <f>BJ951</f>
        <v/>
      </c>
      <c r="BK519" s="1280">
        <f>BK951</f>
        <v/>
      </c>
      <c r="BL519" s="1280">
        <f>BL951</f>
        <v/>
      </c>
      <c r="BM519" s="1280">
        <f>BM951</f>
        <v/>
      </c>
      <c r="BN519" s="1280">
        <f>BN951</f>
        <v/>
      </c>
      <c r="BO519" s="1300">
        <f>BO951</f>
        <v/>
      </c>
      <c r="BP519" s="1277">
        <f>BP951</f>
        <v/>
      </c>
      <c r="BQ519" s="1277">
        <f>BQ951</f>
        <v/>
      </c>
      <c r="BR519" s="1277">
        <f>BR951</f>
        <v/>
      </c>
      <c r="BS519" s="1277">
        <f>BS951</f>
        <v/>
      </c>
      <c r="BT519" s="1297">
        <f>BT951</f>
        <v/>
      </c>
      <c r="BU519" s="1277">
        <f>BU951</f>
        <v/>
      </c>
      <c r="BV519" s="1277">
        <f>BV951</f>
        <v/>
      </c>
      <c r="BW519" s="1277">
        <f>BW951</f>
        <v/>
      </c>
      <c r="BX519" s="1277">
        <f>BX951</f>
        <v/>
      </c>
      <c r="BY519" s="1297">
        <f>BY951</f>
        <v/>
      </c>
      <c r="BZ519" s="1297">
        <f>BZ951</f>
        <v/>
      </c>
      <c r="CA519" s="1297">
        <f>CA951</f>
        <v/>
      </c>
      <c r="CB519" s="1297">
        <f>CB951</f>
        <v/>
      </c>
      <c r="CC519" s="1280" t="n"/>
    </row>
    <row r="520" hidden="1" outlineLevel="1" ht="14.4" customFormat="1" customHeight="1" s="1275">
      <c r="A520" s="1590" t="inlineStr">
        <is>
          <t>Preferred Shares</t>
        </is>
      </c>
      <c r="B520" s="1387" t="n"/>
      <c r="C520" s="1297" t="n"/>
      <c r="D520" s="1297" t="n"/>
      <c r="E520" s="1297" t="n"/>
      <c r="F520" s="1297" t="n"/>
      <c r="G520" s="1297" t="n"/>
      <c r="H520" s="1277" t="n"/>
      <c r="I520" s="1277" t="n"/>
      <c r="J520" s="1277" t="n"/>
      <c r="K520" s="1277" t="n"/>
      <c r="L520" s="1297" t="n"/>
      <c r="M520" s="1277" t="n"/>
      <c r="N520" s="1277" t="n"/>
      <c r="O520" s="1277" t="n"/>
      <c r="P520" s="1277" t="n"/>
      <c r="Q520" s="1297" t="n"/>
      <c r="R520" s="1277" t="n"/>
      <c r="S520" s="1277" t="n"/>
      <c r="T520" s="1277" t="n"/>
      <c r="U520" s="1277" t="n"/>
      <c r="V520" s="1297" t="n"/>
      <c r="W520" s="1277" t="n"/>
      <c r="X520" s="1277" t="n"/>
      <c r="Y520" s="1277" t="n"/>
      <c r="Z520" s="1277" t="n"/>
      <c r="AA520" s="1297" t="n"/>
      <c r="AB520" s="1277" t="n"/>
      <c r="AC520" s="1277" t="n"/>
      <c r="AD520" s="1277" t="n"/>
      <c r="AE520" s="1277" t="n"/>
      <c r="AF520" s="1297" t="n"/>
      <c r="AG520" s="1277" t="n"/>
      <c r="AH520" s="1277" t="n"/>
      <c r="AI520" s="1277" t="n"/>
      <c r="AJ520" s="1277" t="n"/>
      <c r="AK520" s="1297" t="n"/>
      <c r="AL520" s="1277" t="n"/>
      <c r="AM520" s="1277" t="n"/>
      <c r="AN520" s="1277" t="n"/>
      <c r="AO520" s="1277" t="n"/>
      <c r="AP520" s="1297" t="n"/>
      <c r="AQ520" s="1277" t="n"/>
      <c r="AR520" s="1277" t="n"/>
      <c r="AS520" s="1277" t="n"/>
      <c r="AT520" s="1277" t="n"/>
      <c r="AU520" s="1297" t="n"/>
      <c r="AV520" s="1277" t="n"/>
      <c r="AW520" s="1277" t="n"/>
      <c r="AX520" s="1277" t="n"/>
      <c r="AY520" s="1277" t="n"/>
      <c r="AZ520" s="1297" t="n"/>
      <c r="BA520" s="1277" t="n"/>
      <c r="BB520" s="1277" t="n"/>
      <c r="BC520" s="1277" t="n"/>
      <c r="BD520" s="1277" t="n"/>
      <c r="BE520" s="1297" t="n"/>
      <c r="BF520" s="1277" t="n"/>
      <c r="BG520" s="1277" t="n"/>
      <c r="BH520" s="1277" t="n"/>
      <c r="BI520" s="1277" t="n"/>
      <c r="BJ520" s="1297" t="n"/>
      <c r="BK520" s="1277" t="n"/>
      <c r="BL520" s="1277" t="n"/>
      <c r="BM520" s="1277" t="n"/>
      <c r="BN520" s="1277" t="n"/>
      <c r="BO520" s="1382" t="n"/>
      <c r="BP520" s="1277" t="n"/>
      <c r="BQ520" s="1277" t="n"/>
      <c r="BR520" s="1277" t="n"/>
      <c r="BS520" s="1277" t="n"/>
      <c r="BT520" s="1297" t="n"/>
      <c r="BU520" s="1277" t="n"/>
      <c r="BV520" s="1277" t="n"/>
      <c r="BW520" s="1277" t="n"/>
      <c r="BX520" s="1277" t="n"/>
      <c r="BY520" s="1297" t="n"/>
      <c r="BZ520" s="1297" t="n"/>
      <c r="CA520" s="1297" t="n"/>
      <c r="CB520" s="1297" t="n"/>
      <c r="CC520" s="1280" t="n"/>
    </row>
    <row r="521" hidden="1" outlineLevel="1" ht="14.4" customFormat="1" customHeight="1" s="1275">
      <c r="A521" s="1590" t="inlineStr">
        <is>
          <t>Other EV Components</t>
        </is>
      </c>
      <c r="B521" s="1387" t="n"/>
      <c r="C521" s="1446">
        <f>+C935</f>
        <v/>
      </c>
      <c r="D521" s="1446">
        <f>+D935</f>
        <v/>
      </c>
      <c r="E521" s="1446">
        <f>+E935</f>
        <v/>
      </c>
      <c r="F521" s="1446">
        <f>+F935</f>
        <v/>
      </c>
      <c r="G521" s="1446">
        <f>+G935</f>
        <v/>
      </c>
      <c r="H521" s="1280">
        <f>+H935</f>
        <v/>
      </c>
      <c r="I521" s="1280">
        <f>+I935</f>
        <v/>
      </c>
      <c r="J521" s="1280">
        <f>+J935</f>
        <v/>
      </c>
      <c r="K521" s="1280">
        <f>+K935</f>
        <v/>
      </c>
      <c r="L521" s="1446">
        <f>+L935</f>
        <v/>
      </c>
      <c r="M521" s="1280">
        <f>+M935</f>
        <v/>
      </c>
      <c r="N521" s="1280">
        <f>+N935</f>
        <v/>
      </c>
      <c r="O521" s="1280">
        <f>+O935</f>
        <v/>
      </c>
      <c r="P521" s="1280">
        <f>+P935</f>
        <v/>
      </c>
      <c r="Q521" s="1446">
        <f>+Q935</f>
        <v/>
      </c>
      <c r="R521" s="1280">
        <f>+R935</f>
        <v/>
      </c>
      <c r="S521" s="1280">
        <f>+S935</f>
        <v/>
      </c>
      <c r="T521" s="1280">
        <f>+T935</f>
        <v/>
      </c>
      <c r="U521" s="1280">
        <f>+U935</f>
        <v/>
      </c>
      <c r="V521" s="1446">
        <f>+V935</f>
        <v/>
      </c>
      <c r="W521" s="1280">
        <f>+W935</f>
        <v/>
      </c>
      <c r="X521" s="1280">
        <f>+X935</f>
        <v/>
      </c>
      <c r="Y521" s="1280">
        <f>+Y935</f>
        <v/>
      </c>
      <c r="Z521" s="1280">
        <f>+Z935</f>
        <v/>
      </c>
      <c r="AA521" s="1446">
        <f>+AA935</f>
        <v/>
      </c>
      <c r="AB521" s="1280">
        <f>+AB935</f>
        <v/>
      </c>
      <c r="AC521" s="1280">
        <f>+AC935</f>
        <v/>
      </c>
      <c r="AD521" s="1280">
        <f>+AD935</f>
        <v/>
      </c>
      <c r="AE521" s="1280">
        <f>+AE935</f>
        <v/>
      </c>
      <c r="AF521" s="1446">
        <f>+AF935</f>
        <v/>
      </c>
      <c r="AG521" s="1280">
        <f>+AG935</f>
        <v/>
      </c>
      <c r="AH521" s="1280">
        <f>+AH935</f>
        <v/>
      </c>
      <c r="AI521" s="1280">
        <f>+AI935</f>
        <v/>
      </c>
      <c r="AJ521" s="1280">
        <f>+AJ935</f>
        <v/>
      </c>
      <c r="AK521" s="1446">
        <f>+AK935</f>
        <v/>
      </c>
      <c r="AL521" s="1280">
        <f>+AL935</f>
        <v/>
      </c>
      <c r="AM521" s="1280">
        <f>+AM935</f>
        <v/>
      </c>
      <c r="AN521" s="1280">
        <f>+AN935</f>
        <v/>
      </c>
      <c r="AO521" s="1280">
        <f>+AO935</f>
        <v/>
      </c>
      <c r="AP521" s="1446">
        <f>+AP935</f>
        <v/>
      </c>
      <c r="AQ521" s="1280">
        <f>+AQ935</f>
        <v/>
      </c>
      <c r="AR521" s="1280">
        <f>+AR935</f>
        <v/>
      </c>
      <c r="AS521" s="1280">
        <f>+AS935</f>
        <v/>
      </c>
      <c r="AT521" s="1280">
        <f>+AT935</f>
        <v/>
      </c>
      <c r="AU521" s="1446">
        <f>+AU935</f>
        <v/>
      </c>
      <c r="AV521" s="1280">
        <f>+AV935</f>
        <v/>
      </c>
      <c r="AW521" s="1280">
        <f>+AW935</f>
        <v/>
      </c>
      <c r="AX521" s="1280">
        <f>+AX935</f>
        <v/>
      </c>
      <c r="AY521" s="1280">
        <f>+AY935</f>
        <v/>
      </c>
      <c r="AZ521" s="1446">
        <f>+AZ935</f>
        <v/>
      </c>
      <c r="BA521" s="1280">
        <f>+BA935</f>
        <v/>
      </c>
      <c r="BB521" s="1280">
        <f>+BB935</f>
        <v/>
      </c>
      <c r="BC521" s="1280">
        <f>+BC935</f>
        <v/>
      </c>
      <c r="BD521" s="1280">
        <f>+BD935</f>
        <v/>
      </c>
      <c r="BE521" s="1446">
        <f>+BE935</f>
        <v/>
      </c>
      <c r="BF521" s="1280">
        <f>+BF935</f>
        <v/>
      </c>
      <c r="BG521" s="1280">
        <f>+BG935</f>
        <v/>
      </c>
      <c r="BH521" s="1280">
        <f>+BH935</f>
        <v/>
      </c>
      <c r="BI521" s="1280">
        <f>+BI935</f>
        <v/>
      </c>
      <c r="BJ521" s="1446">
        <f>+BJ935</f>
        <v/>
      </c>
      <c r="BK521" s="1280">
        <f>+BK935</f>
        <v/>
      </c>
      <c r="BL521" s="1280">
        <f>+BL935</f>
        <v/>
      </c>
      <c r="BM521" s="1280">
        <f>+BM935</f>
        <v/>
      </c>
      <c r="BN521" s="1280">
        <f>+BN935</f>
        <v/>
      </c>
      <c r="BO521" s="1300">
        <f>+BO935</f>
        <v/>
      </c>
      <c r="BP521" s="1277">
        <f>+BP935</f>
        <v/>
      </c>
      <c r="BQ521" s="1277">
        <f>+BQ935</f>
        <v/>
      </c>
      <c r="BR521" s="1277">
        <f>+BR935</f>
        <v/>
      </c>
      <c r="BS521" s="1277">
        <f>+BS935</f>
        <v/>
      </c>
      <c r="BT521" s="1297">
        <f>+BT935</f>
        <v/>
      </c>
      <c r="BU521" s="1277">
        <f>+BU935</f>
        <v/>
      </c>
      <c r="BV521" s="1277">
        <f>+BV935</f>
        <v/>
      </c>
      <c r="BW521" s="1277">
        <f>+BW935</f>
        <v/>
      </c>
      <c r="BX521" s="1277">
        <f>+BX935</f>
        <v/>
      </c>
      <c r="BY521" s="1297">
        <f>+BY935</f>
        <v/>
      </c>
      <c r="BZ521" s="1297">
        <f>+BZ935</f>
        <v/>
      </c>
      <c r="CA521" s="1297">
        <f>+CA935</f>
        <v/>
      </c>
      <c r="CB521" s="1297">
        <f>+CB935</f>
        <v/>
      </c>
      <c r="CC521" s="1280" t="n"/>
    </row>
    <row r="522" collapsed="1" ht="14.4" customFormat="1" customHeight="1" s="1275">
      <c r="A522" s="1425" t="n"/>
      <c r="B522" s="1387" t="n"/>
      <c r="C522" s="1297" t="n"/>
      <c r="D522" s="1297" t="n"/>
      <c r="E522" s="1297" t="n"/>
      <c r="F522" s="1297" t="n"/>
      <c r="G522" s="1297" t="n"/>
      <c r="H522" s="1277" t="n"/>
      <c r="I522" s="1277" t="n"/>
      <c r="J522" s="1277" t="n"/>
      <c r="K522" s="1277" t="n"/>
      <c r="L522" s="1297" t="n"/>
      <c r="M522" s="1277" t="n"/>
      <c r="N522" s="1277" t="n"/>
      <c r="O522" s="1277" t="n"/>
      <c r="P522" s="1277" t="n"/>
      <c r="Q522" s="1297" t="n"/>
      <c r="R522" s="1277" t="n"/>
      <c r="S522" s="1277" t="n"/>
      <c r="T522" s="1277" t="n"/>
      <c r="U522" s="1277" t="n"/>
      <c r="V522" s="1297" t="n"/>
      <c r="W522" s="1277" t="n"/>
      <c r="X522" s="1277" t="n"/>
      <c r="Y522" s="1277" t="n"/>
      <c r="Z522" s="1277" t="n"/>
      <c r="AA522" s="1297" t="n"/>
      <c r="AB522" s="1277" t="n"/>
      <c r="AC522" s="1277" t="n"/>
      <c r="AD522" s="1277" t="n"/>
      <c r="AE522" s="1277" t="n"/>
      <c r="AF522" s="1297" t="n"/>
      <c r="AG522" s="1277" t="n"/>
      <c r="AH522" s="1277" t="n"/>
      <c r="AI522" s="1277" t="n"/>
      <c r="AJ522" s="1277" t="n"/>
      <c r="AK522" s="1297" t="n"/>
      <c r="AL522" s="1277" t="n"/>
      <c r="AM522" s="1277" t="n"/>
      <c r="AN522" s="1277" t="n"/>
      <c r="AO522" s="1277" t="n"/>
      <c r="AP522" s="1297" t="n"/>
      <c r="AQ522" s="1277" t="n"/>
      <c r="AR522" s="1277" t="n"/>
      <c r="AS522" s="1277" t="n"/>
      <c r="AT522" s="1277" t="n"/>
      <c r="AU522" s="1297" t="n"/>
      <c r="AV522" s="1277" t="n"/>
      <c r="AW522" s="1277" t="n"/>
      <c r="AX522" s="1277" t="n"/>
      <c r="AY522" s="1277" t="n"/>
      <c r="AZ522" s="1297" t="n"/>
      <c r="BA522" s="1277" t="n"/>
      <c r="BB522" s="1277" t="n"/>
      <c r="BC522" s="1277" t="n"/>
      <c r="BD522" s="1277" t="n"/>
      <c r="BE522" s="1297" t="n"/>
      <c r="BF522" s="1277" t="n"/>
      <c r="BG522" s="1277" t="n"/>
      <c r="BH522" s="1277" t="n"/>
      <c r="BI522" s="1277" t="n"/>
      <c r="BJ522" s="1297" t="n"/>
      <c r="BK522" s="1277" t="n"/>
      <c r="BL522" s="1277" t="n"/>
      <c r="BM522" s="1277" t="n"/>
      <c r="BN522" s="1277" t="n"/>
      <c r="BO522" s="1382" t="n"/>
      <c r="BP522" s="1277" t="n"/>
      <c r="BQ522" s="1277" t="n"/>
      <c r="BR522" s="1277" t="n"/>
      <c r="BS522" s="1277" t="n"/>
      <c r="BT522" s="1297" t="n"/>
      <c r="BU522" s="1277" t="n"/>
      <c r="BV522" s="1277" t="n"/>
      <c r="BW522" s="1277" t="n"/>
      <c r="BX522" s="1277" t="n"/>
      <c r="BY522" s="1297" t="n"/>
      <c r="BZ522" s="1297" t="n"/>
      <c r="CA522" s="1297" t="n"/>
      <c r="CB522" s="1297" t="n"/>
      <c r="CC522" s="1280" t="n"/>
    </row>
    <row r="523" ht="14.4" customFormat="1" customHeight="1" s="1275">
      <c r="A523" s="1357" t="inlineStr">
        <is>
          <t>Cumulative Cash Flow Statement</t>
        </is>
      </c>
      <c r="B523" s="1358" t="n"/>
      <c r="C523" s="1358" t="n"/>
      <c r="D523" s="1358" t="n"/>
      <c r="E523" s="1358" t="n"/>
      <c r="F523" s="1358" t="n"/>
      <c r="G523" s="1358" t="n"/>
      <c r="H523" s="1358" t="n"/>
      <c r="I523" s="1358" t="n"/>
      <c r="J523" s="1358" t="n"/>
      <c r="K523" s="1358" t="n"/>
      <c r="L523" s="1358" t="n"/>
      <c r="M523" s="1358" t="n"/>
      <c r="N523" s="1358" t="n"/>
      <c r="O523" s="1358" t="n"/>
      <c r="P523" s="1358" t="n"/>
      <c r="Q523" s="1358" t="n"/>
      <c r="R523" s="1358" t="n"/>
      <c r="S523" s="1358" t="n"/>
      <c r="T523" s="1358" t="n"/>
      <c r="U523" s="1358" t="n"/>
      <c r="V523" s="1358" t="n"/>
      <c r="W523" s="1358" t="n"/>
      <c r="X523" s="1358" t="n"/>
      <c r="Y523" s="1358" t="n"/>
      <c r="Z523" s="1358" t="n"/>
      <c r="AA523" s="1358" t="n"/>
      <c r="AB523" s="1358" t="n"/>
      <c r="AC523" s="1358" t="n"/>
      <c r="AD523" s="1358" t="n"/>
      <c r="AE523" s="1358" t="n"/>
      <c r="AF523" s="1358" t="n"/>
      <c r="AG523" s="1358" t="n"/>
      <c r="AH523" s="1358" t="n"/>
      <c r="AI523" s="1358" t="n"/>
      <c r="AJ523" s="1358" t="n"/>
      <c r="AK523" s="1358" t="n"/>
      <c r="AL523" s="1358" t="n"/>
      <c r="AM523" s="1358" t="n"/>
      <c r="AN523" s="1358" t="n"/>
      <c r="AO523" s="1358" t="n"/>
      <c r="AP523" s="1358" t="n"/>
      <c r="AQ523" s="1358" t="n"/>
      <c r="AR523" s="1358" t="n"/>
      <c r="AS523" s="1358" t="n"/>
      <c r="AT523" s="1358" t="n"/>
      <c r="AU523" s="1358" t="n"/>
      <c r="AV523" s="1358" t="n"/>
      <c r="AW523" s="1358" t="n"/>
      <c r="AX523" s="1358" t="n"/>
      <c r="AY523" s="1358" t="n"/>
      <c r="AZ523" s="1358" t="n"/>
      <c r="BA523" s="1358" t="n"/>
      <c r="BB523" s="1358" t="n"/>
      <c r="BC523" s="1358" t="n"/>
      <c r="BD523" s="1358" t="n"/>
      <c r="BE523" s="1358" t="n"/>
      <c r="BF523" s="1358" t="n"/>
      <c r="BG523" s="1358" t="n"/>
      <c r="BH523" s="1358" t="n"/>
      <c r="BI523" s="1358" t="n"/>
      <c r="BJ523" s="1358" t="n"/>
      <c r="BK523" s="1358" t="n"/>
      <c r="BL523" s="1358" t="n"/>
      <c r="BM523" s="1358" t="n"/>
      <c r="BN523" s="1358" t="n"/>
      <c r="BO523" s="1359" t="n"/>
      <c r="BP523" s="1358" t="n"/>
      <c r="BQ523" s="1358" t="n"/>
      <c r="BR523" s="1358" t="n"/>
      <c r="BS523" s="1358" t="n"/>
      <c r="BT523" s="1358" t="n"/>
      <c r="BU523" s="1358" t="n"/>
      <c r="BV523" s="1358" t="n"/>
      <c r="BW523" s="1358" t="n"/>
      <c r="BX523" s="1358" t="n"/>
      <c r="BY523" s="1358" t="n"/>
      <c r="BZ523" s="1358" t="n"/>
      <c r="CA523" s="1358" t="n"/>
      <c r="CB523" s="1358" t="n"/>
      <c r="CC523" s="1280" t="n"/>
    </row>
    <row r="524" hidden="1" outlineLevel="1" ht="14.4" customFormat="1" customHeight="1" s="1275">
      <c r="A524" s="1577" t="inlineStr">
        <is>
          <t>CFO</t>
        </is>
      </c>
      <c r="B524" s="1394" t="n"/>
      <c r="C524" s="1297" t="n"/>
      <c r="D524" s="1297" t="n"/>
      <c r="E524" s="1297" t="n"/>
      <c r="F524" s="1297" t="n"/>
      <c r="G524" s="1297" t="n"/>
      <c r="H524" s="1277" t="n"/>
      <c r="I524" s="1277" t="n"/>
      <c r="J524" s="1277" t="n"/>
      <c r="K524" s="1277" t="n"/>
      <c r="L524" s="1297" t="n"/>
      <c r="M524" s="1277" t="n"/>
      <c r="N524" s="1277" t="n"/>
      <c r="O524" s="1277" t="n"/>
      <c r="P524" s="1277" t="n"/>
      <c r="Q524" s="1297" t="n"/>
      <c r="R524" s="1277" t="n"/>
      <c r="S524" s="1277" t="n"/>
      <c r="T524" s="1277" t="n"/>
      <c r="U524" s="1277" t="n"/>
      <c r="V524" s="1297" t="n"/>
      <c r="W524" s="1277" t="n"/>
      <c r="X524" s="1277" t="n"/>
      <c r="Y524" s="1277" t="n"/>
      <c r="Z524" s="1277" t="n"/>
      <c r="AA524" s="1297" t="n"/>
      <c r="AB524" s="1277" t="n"/>
      <c r="AC524" s="1277" t="n"/>
      <c r="AD524" s="1277" t="n"/>
      <c r="AE524" s="1277" t="n"/>
      <c r="AF524" s="1297" t="n"/>
      <c r="AG524" s="1277" t="n"/>
      <c r="AH524" s="1277" t="n"/>
      <c r="AI524" s="1277" t="n"/>
      <c r="AJ524" s="1277" t="n"/>
      <c r="AK524" s="1297" t="n"/>
      <c r="AL524" s="1277" t="n"/>
      <c r="AM524" s="1277" t="n"/>
      <c r="AN524" s="1277" t="n"/>
      <c r="AO524" s="1277" t="n"/>
      <c r="AP524" s="1297" t="n"/>
      <c r="AQ524" s="1277" t="n"/>
      <c r="AR524" s="1277" t="n"/>
      <c r="AS524" s="1277" t="n"/>
      <c r="AT524" s="1277" t="n"/>
      <c r="AU524" s="1297" t="n"/>
      <c r="AV524" s="1277" t="n"/>
      <c r="AW524" s="1277" t="n"/>
      <c r="AX524" s="1277" t="n"/>
      <c r="AY524" s="1277" t="n"/>
      <c r="AZ524" s="1297" t="n"/>
      <c r="BA524" s="1277" t="n"/>
      <c r="BB524" s="1277" t="n"/>
      <c r="BC524" s="1277" t="n"/>
      <c r="BD524" s="1277" t="n"/>
      <c r="BE524" s="1297" t="n"/>
      <c r="BF524" s="1277" t="n"/>
      <c r="BG524" s="1277" t="n"/>
      <c r="BH524" s="1277" t="n"/>
      <c r="BI524" s="1277" t="n"/>
      <c r="BJ524" s="1297" t="n"/>
      <c r="BK524" s="1277" t="n"/>
      <c r="BL524" s="1277" t="n"/>
      <c r="BM524" s="1277" t="n"/>
      <c r="BN524" s="1277" t="n"/>
      <c r="BO524" s="1382" t="n"/>
      <c r="BP524" s="1277" t="n"/>
      <c r="BQ524" s="1277" t="n"/>
      <c r="BR524" s="1277" t="n"/>
      <c r="BS524" s="1277" t="n"/>
      <c r="BT524" s="1297" t="n"/>
      <c r="BU524" s="1277" t="n"/>
      <c r="BV524" s="1277" t="n"/>
      <c r="BW524" s="1277" t="n"/>
      <c r="BX524" s="1277" t="n"/>
      <c r="BY524" s="1297" t="n"/>
      <c r="BZ524" s="1297" t="n"/>
      <c r="CA524" s="1297" t="n"/>
      <c r="CB524" s="1297" t="n"/>
      <c r="CC524" s="1280" t="n"/>
    </row>
    <row r="525" hidden="1" outlineLevel="1" ht="14.4" customFormat="1" customHeight="1" s="1275">
      <c r="A525" s="1384" t="inlineStr">
        <is>
          <t>Income before income tax</t>
        </is>
      </c>
      <c r="B525" s="1387" t="n"/>
      <c r="C525" s="1297" t="n"/>
      <c r="D525" s="1297" t="n"/>
      <c r="E525" s="1297" t="n"/>
      <c r="F525" s="1299" t="n">
        <v>181676.456</v>
      </c>
      <c r="G525" s="1299" t="n">
        <v>215487.122</v>
      </c>
      <c r="H525" s="1298" t="n">
        <v>53297.325</v>
      </c>
      <c r="I525" s="1298" t="n">
        <v>127390.897</v>
      </c>
      <c r="J525" s="1298" t="n">
        <v>212767.541</v>
      </c>
      <c r="K525" s="1277">
        <f>L525</f>
        <v/>
      </c>
      <c r="L525" s="1299" t="n">
        <v>302078.357</v>
      </c>
      <c r="M525" s="1298" t="n">
        <v>88258.98</v>
      </c>
      <c r="N525" s="1298" t="n">
        <v>186390.663</v>
      </c>
      <c r="O525" s="1298" t="n">
        <v>269785.282</v>
      </c>
      <c r="P525" s="1277">
        <f>Q525</f>
        <v/>
      </c>
      <c r="Q525" s="1299" t="n">
        <v>350428.911</v>
      </c>
      <c r="R525" s="1298" t="n">
        <v>72255.899</v>
      </c>
      <c r="S525" s="1298" t="n">
        <v>165662.29</v>
      </c>
      <c r="T525" s="1298" t="n">
        <v>273911.905</v>
      </c>
      <c r="U525" s="1277">
        <f>V525</f>
        <v/>
      </c>
      <c r="V525" s="1299" t="n">
        <v>385959.38</v>
      </c>
      <c r="W525" s="1298" t="n">
        <v>97822.499</v>
      </c>
      <c r="X525" s="1298" t="n">
        <v>183939.966</v>
      </c>
      <c r="Y525" s="1298" t="n">
        <v>284458.13</v>
      </c>
      <c r="Z525" s="1277">
        <f>AA525</f>
        <v/>
      </c>
      <c r="AA525" s="1299" t="n">
        <v>396133.03</v>
      </c>
      <c r="AB525" s="1298" t="n">
        <v>99943.621</v>
      </c>
      <c r="AC525" s="1298" t="n">
        <v>187531.229</v>
      </c>
      <c r="AD525" s="1298" t="n">
        <v>286428.171</v>
      </c>
      <c r="AE525" s="1277">
        <f>AF525</f>
        <v/>
      </c>
      <c r="AF525" s="1299" t="n">
        <v>397510.263</v>
      </c>
      <c r="AG525" s="1298" t="n">
        <v>68181.652</v>
      </c>
      <c r="AH525" s="1298" t="n">
        <v>148727.092</v>
      </c>
      <c r="AI525" s="1298" t="n">
        <v>261063.363</v>
      </c>
      <c r="AJ525" s="1277">
        <f>AK525</f>
        <v/>
      </c>
      <c r="AK525" s="1299" t="n">
        <v>389845.336</v>
      </c>
      <c r="AL525" s="1298" t="n">
        <v>132147.178</v>
      </c>
      <c r="AM525" s="1298" t="n">
        <v>268545.816</v>
      </c>
      <c r="AN525" s="1298" t="n">
        <v>423669.819</v>
      </c>
      <c r="AO525" s="1277">
        <f>AP525</f>
        <v/>
      </c>
      <c r="AP525" s="1299" t="n">
        <v>584777.1800000001</v>
      </c>
      <c r="AQ525" s="1298" t="n">
        <v>155064.389</v>
      </c>
      <c r="AR525" s="1298" t="n">
        <v>304455.464</v>
      </c>
      <c r="AS525" s="1298" t="n">
        <v>478307.103</v>
      </c>
      <c r="AT525" s="1277">
        <f>AU525</f>
        <v/>
      </c>
      <c r="AU525" s="1299" t="n">
        <v>663126.314</v>
      </c>
      <c r="AV525" s="1298" t="n">
        <v>226831.696</v>
      </c>
      <c r="AW525" s="1298" t="n">
        <v>492829.977</v>
      </c>
      <c r="AX525" s="1298" t="n">
        <v>809520.844</v>
      </c>
      <c r="AY525" s="1277">
        <f>AZ525</f>
        <v/>
      </c>
      <c r="AZ525" s="1299" t="n">
        <v>1144190.718</v>
      </c>
      <c r="BA525" s="1298" t="n">
        <v>244274.931</v>
      </c>
      <c r="BB525" s="1298" t="n">
        <v>458949.84</v>
      </c>
      <c r="BC525" s="1298" t="n">
        <v>700890.335</v>
      </c>
      <c r="BD525" s="1277">
        <f>BE525</f>
        <v/>
      </c>
      <c r="BE525" s="1299" t="n">
        <v>979171.324</v>
      </c>
      <c r="BF525" s="1298" t="n">
        <v>266543.204</v>
      </c>
      <c r="BG525" s="1298" t="n">
        <v>572853.779</v>
      </c>
      <c r="BH525" s="1298" t="n">
        <v>957040.6310000001</v>
      </c>
      <c r="BI525" s="1277">
        <f>BJ525</f>
        <v/>
      </c>
      <c r="BJ525" s="1299" t="n">
        <v>1405838.635</v>
      </c>
      <c r="BK525" s="1298" t="n">
        <v>430895.412</v>
      </c>
      <c r="BL525" s="1298" t="n">
        <v>923930.616</v>
      </c>
      <c r="BM525" s="1298" t="n">
        <v>1449299.639</v>
      </c>
      <c r="BN525" s="1277">
        <f>BO525</f>
        <v/>
      </c>
      <c r="BO525" s="1645" t="n">
        <v>2041663</v>
      </c>
      <c r="BP525" s="1277" t="n"/>
      <c r="BQ525" s="1277" t="n"/>
      <c r="BR525" s="1277" t="n"/>
      <c r="BS525" s="1277" t="n"/>
      <c r="BT525" s="1297" t="n"/>
      <c r="BU525" s="1277" t="n"/>
      <c r="BV525" s="1277" t="n"/>
      <c r="BW525" s="1277" t="n"/>
      <c r="BX525" s="1277" t="n"/>
      <c r="BY525" s="1297" t="n"/>
      <c r="BZ525" s="1297" t="n"/>
      <c r="CA525" s="1297" t="n"/>
      <c r="CB525" s="1297" t="n"/>
      <c r="CC525" s="1280" t="n"/>
    </row>
    <row r="526" hidden="1" outlineLevel="1" ht="14.4" customFormat="1" customHeight="1" s="1275">
      <c r="A526" s="1384" t="inlineStr">
        <is>
          <t>Net income attributable to shareholders of the parent</t>
        </is>
      </c>
      <c r="B526" s="1387" t="n"/>
      <c r="C526" s="1299" t="n">
        <v>89217.836</v>
      </c>
      <c r="D526" s="1299" t="n">
        <v>161605.009</v>
      </c>
      <c r="E526" s="1299" t="n">
        <v>134201.279</v>
      </c>
      <c r="F526" s="1297" t="n"/>
      <c r="G526" s="1297" t="n"/>
      <c r="H526" s="1277" t="n"/>
      <c r="I526" s="1277" t="n"/>
      <c r="J526" s="1277" t="n"/>
      <c r="K526" s="1277">
        <f>L526</f>
        <v/>
      </c>
      <c r="L526" s="1297" t="n"/>
      <c r="M526" s="1277" t="n"/>
      <c r="N526" s="1277" t="n"/>
      <c r="O526" s="1277" t="n"/>
      <c r="P526" s="1277">
        <f>Q526</f>
        <v/>
      </c>
      <c r="Q526" s="1297" t="n"/>
      <c r="R526" s="1277" t="n"/>
      <c r="S526" s="1277" t="n"/>
      <c r="T526" s="1277" t="n"/>
      <c r="U526" s="1277">
        <f>V526</f>
        <v/>
      </c>
      <c r="V526" s="1297" t="n"/>
      <c r="W526" s="1277" t="n"/>
      <c r="X526" s="1277" t="n"/>
      <c r="Y526" s="1277" t="n"/>
      <c r="Z526" s="1277">
        <f>AA526</f>
        <v/>
      </c>
      <c r="AA526" s="1297" t="n"/>
      <c r="AB526" s="1277" t="n"/>
      <c r="AC526" s="1277" t="n"/>
      <c r="AD526" s="1277" t="n"/>
      <c r="AE526" s="1277">
        <f>AF526</f>
        <v/>
      </c>
      <c r="AF526" s="1297" t="n"/>
      <c r="AG526" s="1277" t="n"/>
      <c r="AH526" s="1277" t="n"/>
      <c r="AI526" s="1277" t="n"/>
      <c r="AJ526" s="1277" t="n"/>
      <c r="AK526" s="1297" t="n"/>
      <c r="AL526" s="1277" t="n"/>
      <c r="AM526" s="1277" t="n"/>
      <c r="AN526" s="1277" t="n"/>
      <c r="AO526" s="1277">
        <f>AP526</f>
        <v/>
      </c>
      <c r="AP526" s="1297" t="n"/>
      <c r="AQ526" s="1277" t="n"/>
      <c r="AR526" s="1277" t="n"/>
      <c r="AS526" s="1277" t="n"/>
      <c r="AT526" s="1277">
        <f>AU526</f>
        <v/>
      </c>
      <c r="AU526" s="1297" t="n"/>
      <c r="AV526" s="1277" t="n"/>
      <c r="AW526" s="1277" t="n"/>
      <c r="AX526" s="1277" t="n"/>
      <c r="AY526" s="1277">
        <f>AZ526</f>
        <v/>
      </c>
      <c r="AZ526" s="1297" t="n"/>
      <c r="BA526" s="1277" t="n"/>
      <c r="BB526" s="1277" t="n"/>
      <c r="BC526" s="1277" t="n"/>
      <c r="BD526" s="1277">
        <f>BE526</f>
        <v/>
      </c>
      <c r="BE526" s="1297" t="n"/>
      <c r="BF526" s="1277" t="n"/>
      <c r="BG526" s="1277" t="n"/>
      <c r="BH526" s="1277" t="n"/>
      <c r="BI526" s="1277" t="n"/>
      <c r="BJ526" s="1297" t="n"/>
      <c r="BK526" s="1277" t="n"/>
      <c r="BL526" s="1277" t="n"/>
      <c r="BM526" s="1277" t="n"/>
      <c r="BN526" s="1277" t="n"/>
      <c r="BO526" s="1382" t="n"/>
      <c r="BP526" s="1277" t="n"/>
      <c r="BQ526" s="1277" t="n"/>
      <c r="BR526" s="1277" t="n"/>
      <c r="BS526" s="1277" t="n"/>
      <c r="BT526" s="1297" t="n"/>
      <c r="BU526" s="1277" t="n"/>
      <c r="BV526" s="1277" t="n"/>
      <c r="BW526" s="1277" t="n"/>
      <c r="BX526" s="1277" t="n"/>
      <c r="BY526" s="1297" t="n"/>
      <c r="BZ526" s="1297" t="n"/>
      <c r="CA526" s="1297" t="n"/>
      <c r="CB526" s="1297" t="n"/>
      <c r="CC526" s="1280" t="n"/>
    </row>
    <row r="527" hidden="1" outlineLevel="1" ht="14.4" customFormat="1" customHeight="1" s="1275">
      <c r="A527" s="1384" t="inlineStr">
        <is>
          <t>Net income (loss) attributable to minority interests</t>
        </is>
      </c>
      <c r="B527" s="1387" t="n"/>
      <c r="C527" s="1299" t="n">
        <v>248.387</v>
      </c>
      <c r="D527" s="1299" t="n">
        <v>676.921</v>
      </c>
      <c r="E527" s="1299" t="n">
        <v>251.981</v>
      </c>
      <c r="F527" s="1297" t="n"/>
      <c r="G527" s="1297" t="n"/>
      <c r="H527" s="1277" t="n"/>
      <c r="I527" s="1277" t="n"/>
      <c r="J527" s="1277" t="n"/>
      <c r="K527" s="1277">
        <f>L527</f>
        <v/>
      </c>
      <c r="L527" s="1297" t="n"/>
      <c r="M527" s="1277" t="n"/>
      <c r="N527" s="1277" t="n"/>
      <c r="O527" s="1277" t="n"/>
      <c r="P527" s="1277">
        <f>Q527</f>
        <v/>
      </c>
      <c r="Q527" s="1297" t="n"/>
      <c r="R527" s="1277" t="n"/>
      <c r="S527" s="1277" t="n"/>
      <c r="T527" s="1277" t="n"/>
      <c r="U527" s="1277">
        <f>V527</f>
        <v/>
      </c>
      <c r="V527" s="1297" t="n"/>
      <c r="W527" s="1277" t="n"/>
      <c r="X527" s="1277" t="n"/>
      <c r="Y527" s="1277" t="n"/>
      <c r="Z527" s="1277">
        <f>AA527</f>
        <v/>
      </c>
      <c r="AA527" s="1297" t="n"/>
      <c r="AB527" s="1277" t="n"/>
      <c r="AC527" s="1277" t="n"/>
      <c r="AD527" s="1277" t="n"/>
      <c r="AE527" s="1277">
        <f>AF527</f>
        <v/>
      </c>
      <c r="AF527" s="1297" t="n"/>
      <c r="AG527" s="1277" t="n"/>
      <c r="AH527" s="1277" t="n"/>
      <c r="AI527" s="1277" t="n"/>
      <c r="AJ527" s="1277" t="n"/>
      <c r="AK527" s="1297" t="n"/>
      <c r="AL527" s="1277" t="n"/>
      <c r="AM527" s="1277" t="n"/>
      <c r="AN527" s="1277" t="n"/>
      <c r="AO527" s="1277">
        <f>AP527</f>
        <v/>
      </c>
      <c r="AP527" s="1297" t="n"/>
      <c r="AQ527" s="1277" t="n"/>
      <c r="AR527" s="1277" t="n"/>
      <c r="AS527" s="1277" t="n"/>
      <c r="AT527" s="1277">
        <f>AU527</f>
        <v/>
      </c>
      <c r="AU527" s="1297" t="n"/>
      <c r="AV527" s="1277" t="n"/>
      <c r="AW527" s="1277" t="n"/>
      <c r="AX527" s="1277" t="n"/>
      <c r="AY527" s="1277">
        <f>AZ527</f>
        <v/>
      </c>
      <c r="AZ527" s="1297" t="n"/>
      <c r="BA527" s="1277" t="n"/>
      <c r="BB527" s="1277" t="n"/>
      <c r="BC527" s="1277" t="n"/>
      <c r="BD527" s="1277">
        <f>BE527</f>
        <v/>
      </c>
      <c r="BE527" s="1297" t="n"/>
      <c r="BF527" s="1277" t="n"/>
      <c r="BG527" s="1277" t="n"/>
      <c r="BH527" s="1277" t="n"/>
      <c r="BI527" s="1277" t="n"/>
      <c r="BJ527" s="1297" t="n"/>
      <c r="BK527" s="1277" t="n"/>
      <c r="BL527" s="1277" t="n"/>
      <c r="BM527" s="1277" t="n"/>
      <c r="BN527" s="1277" t="n"/>
      <c r="BO527" s="1382" t="n"/>
      <c r="BP527" s="1277" t="n"/>
      <c r="BQ527" s="1277" t="n"/>
      <c r="BR527" s="1277" t="n"/>
      <c r="BS527" s="1277" t="n"/>
      <c r="BT527" s="1297" t="n"/>
      <c r="BU527" s="1277" t="n"/>
      <c r="BV527" s="1277" t="n"/>
      <c r="BW527" s="1277" t="n"/>
      <c r="BX527" s="1277" t="n"/>
      <c r="BY527" s="1297" t="n"/>
      <c r="BZ527" s="1297" t="n"/>
      <c r="CA527" s="1297" t="n"/>
      <c r="CB527" s="1297" t="n"/>
      <c r="CC527" s="1280" t="n"/>
    </row>
    <row r="528" hidden="1" outlineLevel="1" ht="14.4" customFormat="1" customHeight="1" s="1275">
      <c r="A528" s="1384" t="inlineStr">
        <is>
          <t>Depreciation expense</t>
        </is>
      </c>
      <c r="B528" s="1387" t="n"/>
      <c r="C528" s="1299" t="n">
        <v>80814.74800000001</v>
      </c>
      <c r="D528" s="1299" t="n">
        <v>87810.103</v>
      </c>
      <c r="E528" s="1299" t="n">
        <v>107681.521</v>
      </c>
      <c r="F528" s="1299" t="n">
        <v>129168.514</v>
      </c>
      <c r="G528" s="1299" t="n">
        <v>153979.847</v>
      </c>
      <c r="H528" s="1298" t="n">
        <v>40985.942</v>
      </c>
      <c r="I528" s="1298" t="n">
        <v>86338.443</v>
      </c>
      <c r="J528" s="1298" t="n">
        <v>141919.819</v>
      </c>
      <c r="K528" s="1277">
        <f>L528</f>
        <v/>
      </c>
      <c r="L528" s="1299" t="n">
        <v>197645.186</v>
      </c>
      <c r="M528" s="1298" t="n">
        <v>54706.227</v>
      </c>
      <c r="N528" s="1298" t="n">
        <v>108544.796</v>
      </c>
      <c r="O528" s="1298" t="n">
        <v>163884.425</v>
      </c>
      <c r="P528" s="1277">
        <f>Q528</f>
        <v/>
      </c>
      <c r="Q528" s="1299" t="n">
        <v>219303.369</v>
      </c>
      <c r="R528" s="1298" t="n">
        <v>54950.729</v>
      </c>
      <c r="S528" s="1298" t="n">
        <v>109352.892</v>
      </c>
      <c r="T528" s="1298" t="n">
        <v>164665.319</v>
      </c>
      <c r="U528" s="1277">
        <f>V528</f>
        <v/>
      </c>
      <c r="V528" s="1299" t="n">
        <v>220084.998</v>
      </c>
      <c r="W528" s="1298" t="n">
        <v>59133.361</v>
      </c>
      <c r="X528" s="1298" t="n">
        <v>116099.116</v>
      </c>
      <c r="Y528" s="1298" t="n">
        <v>186131.944</v>
      </c>
      <c r="Z528" s="1277">
        <f>AA528</f>
        <v/>
      </c>
      <c r="AA528" s="1299" t="n">
        <v>255795.962</v>
      </c>
      <c r="AB528" s="1298" t="n">
        <v>70462.28599999999</v>
      </c>
      <c r="AC528" s="1298" t="n">
        <v>140813.756</v>
      </c>
      <c r="AD528" s="1298" t="n">
        <v>213318.95</v>
      </c>
      <c r="AE528" s="1277">
        <f>AF528</f>
        <v/>
      </c>
      <c r="AF528" s="1299" t="n">
        <v>288124.897</v>
      </c>
      <c r="AG528" s="1298" t="n">
        <v>76192.46799999999</v>
      </c>
      <c r="AH528" s="1298" t="n">
        <v>149897.048</v>
      </c>
      <c r="AI528" s="1298" t="n">
        <v>215274.524</v>
      </c>
      <c r="AJ528" s="1277">
        <f>AK528</f>
        <v/>
      </c>
      <c r="AK528" s="1299" t="n">
        <v>281411.832</v>
      </c>
      <c r="AL528" s="1298" t="n">
        <v>67083.74099999999</v>
      </c>
      <c r="AM528" s="1298" t="n">
        <v>136065.309</v>
      </c>
      <c r="AN528" s="1298" t="n">
        <v>228890.246</v>
      </c>
      <c r="AO528" s="1277">
        <f>AP528</f>
        <v/>
      </c>
      <c r="AP528" s="1299" t="n">
        <v>324538.443</v>
      </c>
      <c r="AQ528" s="1298" t="n">
        <v>98972.867</v>
      </c>
      <c r="AR528" s="1298" t="n">
        <v>200697.053</v>
      </c>
      <c r="AS528" s="1298" t="n">
        <v>305598.797</v>
      </c>
      <c r="AT528" s="1277">
        <f>AU528</f>
        <v/>
      </c>
      <c r="AU528" s="1299" t="n">
        <v>414187.7</v>
      </c>
      <c r="AV528" s="1298" t="n">
        <v>108934.265</v>
      </c>
      <c r="AW528" s="1298" t="n">
        <v>219975</v>
      </c>
      <c r="AX528" s="1298" t="n">
        <v>323122.219</v>
      </c>
      <c r="AY528" s="1277">
        <f>AZ528</f>
        <v/>
      </c>
      <c r="AZ528" s="1299" t="n">
        <v>428498.179</v>
      </c>
      <c r="BA528" s="1298" t="n">
        <v>108083.376</v>
      </c>
      <c r="BB528" s="1298" t="n">
        <v>229727.337</v>
      </c>
      <c r="BC528" s="1298" t="n">
        <v>374654.167</v>
      </c>
      <c r="BD528" s="1277">
        <f>BE528</f>
        <v/>
      </c>
      <c r="BE528" s="1299" t="n">
        <v>522932.671</v>
      </c>
      <c r="BF528" s="1298" t="n">
        <v>156697.101</v>
      </c>
      <c r="BG528" s="1298" t="n">
        <v>319626.411</v>
      </c>
      <c r="BH528" s="1298" t="n">
        <v>485541.546</v>
      </c>
      <c r="BI528" s="1277">
        <f>BJ528</f>
        <v/>
      </c>
      <c r="BJ528" s="1299" t="n">
        <v>653610.486</v>
      </c>
      <c r="BK528" s="1298" t="n">
        <v>173004.927</v>
      </c>
      <c r="BL528" s="1298" t="n">
        <v>359012.194</v>
      </c>
      <c r="BM528" s="1298" t="n">
        <v>519704.707</v>
      </c>
      <c r="BN528" s="1277">
        <f>BO528</f>
        <v/>
      </c>
      <c r="BO528" s="1382">
        <f>688096-BO529</f>
        <v/>
      </c>
      <c r="BP528" s="1277" t="n"/>
      <c r="BQ528" s="1277" t="n"/>
      <c r="BR528" s="1277" t="n"/>
      <c r="BS528" s="1277" t="n"/>
      <c r="BT528" s="1297" t="n"/>
      <c r="BU528" s="1277" t="n"/>
      <c r="BV528" s="1277" t="n"/>
      <c r="BW528" s="1277" t="n"/>
      <c r="BX528" s="1277" t="n"/>
      <c r="BY528" s="1297" t="n"/>
      <c r="BZ528" s="1297" t="n"/>
      <c r="CA528" s="1297" t="n"/>
      <c r="CB528" s="1297" t="n"/>
      <c r="CC528" s="1280" t="n"/>
    </row>
    <row r="529" hidden="1" outlineLevel="1" ht="14.4" customFormat="1" customHeight="1" s="1275">
      <c r="A529" s="1384" t="inlineStr">
        <is>
          <t>Amortization expense</t>
        </is>
      </c>
      <c r="B529" s="1387" t="n"/>
      <c r="C529" s="1297" t="n"/>
      <c r="D529" s="1297" t="n"/>
      <c r="E529" s="1297" t="n"/>
      <c r="F529" s="1299" t="n">
        <v>2180.775</v>
      </c>
      <c r="G529" s="1299" t="n">
        <v>2202.022</v>
      </c>
      <c r="H529" s="1298" t="n">
        <v>636.4349999999999</v>
      </c>
      <c r="I529" s="1298" t="n">
        <v>1263.048</v>
      </c>
      <c r="J529" s="1298" t="n">
        <v>1914.239</v>
      </c>
      <c r="K529" s="1277">
        <f>L529</f>
        <v/>
      </c>
      <c r="L529" s="1299" t="n">
        <v>2606.349</v>
      </c>
      <c r="M529" s="1298" t="n">
        <v>771.769</v>
      </c>
      <c r="N529" s="1298" t="n">
        <v>1556.307</v>
      </c>
      <c r="O529" s="1298" t="n">
        <v>2365.32</v>
      </c>
      <c r="P529" s="1277">
        <f>Q529</f>
        <v/>
      </c>
      <c r="Q529" s="1299" t="n">
        <v>3202.2</v>
      </c>
      <c r="R529" s="1298" t="n">
        <v>896.332</v>
      </c>
      <c r="S529" s="1298" t="n">
        <v>1769.157</v>
      </c>
      <c r="T529" s="1298" t="n">
        <v>2725.524</v>
      </c>
      <c r="U529" s="1277">
        <f>V529</f>
        <v/>
      </c>
      <c r="V529" s="1299" t="n">
        <v>3743.406</v>
      </c>
      <c r="W529" s="1298" t="n">
        <v>1038.824</v>
      </c>
      <c r="X529" s="1298" t="n">
        <v>2065.459</v>
      </c>
      <c r="Y529" s="1298" t="n">
        <v>3197.293</v>
      </c>
      <c r="Z529" s="1277">
        <f>AA529</f>
        <v/>
      </c>
      <c r="AA529" s="1299" t="n">
        <v>4346.736</v>
      </c>
      <c r="AB529" s="1298" t="n">
        <v>1035.591</v>
      </c>
      <c r="AC529" s="1298" t="n">
        <v>2092.805</v>
      </c>
      <c r="AD529" s="1298" t="n">
        <v>3197.428</v>
      </c>
      <c r="AE529" s="1277">
        <f>AF529</f>
        <v/>
      </c>
      <c r="AF529" s="1299" t="n">
        <v>4421.405</v>
      </c>
      <c r="AG529" s="1298" t="n">
        <v>1355.336</v>
      </c>
      <c r="AH529" s="1298" t="n">
        <v>2699.106</v>
      </c>
      <c r="AI529" s="1298" t="n">
        <v>4077.932</v>
      </c>
      <c r="AJ529" s="1277">
        <f>AK529</f>
        <v/>
      </c>
      <c r="AK529" s="1299" t="n">
        <v>5472.409</v>
      </c>
      <c r="AL529" s="1298" t="n">
        <v>1470.736</v>
      </c>
      <c r="AM529" s="1298" t="n">
        <v>3364.42</v>
      </c>
      <c r="AN529" s="1298" t="n">
        <v>5272.559</v>
      </c>
      <c r="AO529" s="1277">
        <f>AP529</f>
        <v/>
      </c>
      <c r="AP529" s="1299" t="n">
        <v>7186.248</v>
      </c>
      <c r="AQ529" s="1298" t="n">
        <v>1927.451</v>
      </c>
      <c r="AR529" s="1298" t="n">
        <v>4008.423</v>
      </c>
      <c r="AS529" s="1298" t="n">
        <v>6133.442</v>
      </c>
      <c r="AT529" s="1277">
        <f>AU529</f>
        <v/>
      </c>
      <c r="AU529" s="1299" t="n">
        <v>8207.169</v>
      </c>
      <c r="AV529" s="1298" t="n">
        <v>2167.798</v>
      </c>
      <c r="AW529" s="1298" t="n">
        <v>4351.71</v>
      </c>
      <c r="AX529" s="1298" t="n">
        <v>6550.157</v>
      </c>
      <c r="AY529" s="1277">
        <f>AZ529</f>
        <v/>
      </c>
      <c r="AZ529" s="1299" t="n">
        <v>8756.093999999999</v>
      </c>
      <c r="BA529" s="1298" t="n">
        <v>2239.265</v>
      </c>
      <c r="BB529" s="1298" t="n">
        <v>4534.992</v>
      </c>
      <c r="BC529" s="1298" t="n">
        <v>6888.324</v>
      </c>
      <c r="BD529" s="1277">
        <f>BE529</f>
        <v/>
      </c>
      <c r="BE529" s="1299" t="n">
        <v>9258.25</v>
      </c>
      <c r="BF529" s="1298" t="n">
        <v>2326.061</v>
      </c>
      <c r="BG529" s="1298" t="n">
        <v>4563.345</v>
      </c>
      <c r="BH529" s="1298" t="n">
        <v>6876.767</v>
      </c>
      <c r="BI529" s="1277">
        <f>BJ529</f>
        <v/>
      </c>
      <c r="BJ529" s="1299" t="n">
        <v>9186.148999999999</v>
      </c>
      <c r="BK529" s="1298" t="n">
        <v>2134.152</v>
      </c>
      <c r="BL529" s="1298" t="n">
        <v>4184.797</v>
      </c>
      <c r="BM529" s="1298" t="n">
        <v>6279.555</v>
      </c>
      <c r="BN529" s="1277">
        <f>BO529</f>
        <v/>
      </c>
      <c r="BO529" s="1645" t="n">
        <v>8500</v>
      </c>
      <c r="BP529" s="1277" t="n"/>
      <c r="BQ529" s="1277" t="n"/>
      <c r="BR529" s="1277" t="n"/>
      <c r="BS529" s="1277" t="n"/>
      <c r="BT529" s="1297" t="n"/>
      <c r="BU529" s="1277" t="n"/>
      <c r="BV529" s="1277" t="n"/>
      <c r="BW529" s="1277" t="n"/>
      <c r="BX529" s="1277" t="n"/>
      <c r="BY529" s="1297" t="n"/>
      <c r="BZ529" s="1297" t="n"/>
      <c r="CA529" s="1297" t="n"/>
      <c r="CB529" s="1297" t="n"/>
      <c r="CC529" s="1280" t="n"/>
    </row>
    <row r="530" hidden="1" outlineLevel="1" ht="14.4" customFormat="1" customHeight="1" s="1275">
      <c r="A530" s="1384" t="inlineStr">
        <is>
          <t>Unrealized gross profit from affiliates</t>
        </is>
      </c>
      <c r="B530" s="1387" t="n"/>
      <c r="C530" s="1297" t="n"/>
      <c r="D530" s="1299" t="n">
        <v>0</v>
      </c>
      <c r="E530" s="1299" t="n">
        <v>74.029</v>
      </c>
      <c r="F530" s="1297" t="n"/>
      <c r="G530" s="1297" t="n"/>
      <c r="H530" s="1277" t="n"/>
      <c r="I530" s="1277" t="n"/>
      <c r="J530" s="1277" t="n"/>
      <c r="K530" s="1277">
        <f>L530</f>
        <v/>
      </c>
      <c r="L530" s="1297" t="n"/>
      <c r="M530" s="1277" t="n"/>
      <c r="N530" s="1277" t="n"/>
      <c r="O530" s="1277" t="n"/>
      <c r="P530" s="1277">
        <f>Q530</f>
        <v/>
      </c>
      <c r="Q530" s="1297" t="n"/>
      <c r="R530" s="1277" t="n"/>
      <c r="S530" s="1277" t="n"/>
      <c r="T530" s="1277" t="n"/>
      <c r="U530" s="1277">
        <f>V530</f>
        <v/>
      </c>
      <c r="V530" s="1297" t="n"/>
      <c r="W530" s="1277" t="n"/>
      <c r="X530" s="1277" t="n"/>
      <c r="Y530" s="1277" t="n"/>
      <c r="Z530" s="1277">
        <f>AA530</f>
        <v/>
      </c>
      <c r="AA530" s="1297" t="n"/>
      <c r="AB530" s="1277" t="n"/>
      <c r="AC530" s="1277" t="n"/>
      <c r="AD530" s="1277" t="n"/>
      <c r="AE530" s="1277">
        <f>AF530</f>
        <v/>
      </c>
      <c r="AF530" s="1297" t="n"/>
      <c r="AG530" s="1277" t="n"/>
      <c r="AH530" s="1277" t="n"/>
      <c r="AI530" s="1277" t="n"/>
      <c r="AJ530" s="1277" t="n"/>
      <c r="AK530" s="1297" t="n"/>
      <c r="AL530" s="1277" t="n"/>
      <c r="AM530" s="1277" t="n"/>
      <c r="AN530" s="1277" t="n"/>
      <c r="AO530" s="1277">
        <f>AP530</f>
        <v/>
      </c>
      <c r="AP530" s="1297" t="n"/>
      <c r="AQ530" s="1277" t="n"/>
      <c r="AR530" s="1277" t="n"/>
      <c r="AS530" s="1277" t="n"/>
      <c r="AT530" s="1277">
        <f>AU530</f>
        <v/>
      </c>
      <c r="AU530" s="1297" t="n"/>
      <c r="AV530" s="1277" t="n"/>
      <c r="AW530" s="1277" t="n"/>
      <c r="AX530" s="1277" t="n"/>
      <c r="AY530" s="1277">
        <f>AZ530</f>
        <v/>
      </c>
      <c r="AZ530" s="1297" t="n"/>
      <c r="BA530" s="1277" t="n"/>
      <c r="BB530" s="1277" t="n"/>
      <c r="BC530" s="1277" t="n"/>
      <c r="BD530" s="1277">
        <f>BE530</f>
        <v/>
      </c>
      <c r="BE530" s="1297" t="n"/>
      <c r="BF530" s="1277" t="n"/>
      <c r="BG530" s="1277" t="n"/>
      <c r="BH530" s="1277" t="n"/>
      <c r="BI530" s="1277" t="n"/>
      <c r="BJ530" s="1297" t="n"/>
      <c r="BK530" s="1277" t="n"/>
      <c r="BL530" s="1277" t="n"/>
      <c r="BM530" s="1277" t="n"/>
      <c r="BN530" s="1277" t="n"/>
      <c r="BO530" s="1382" t="n"/>
      <c r="BP530" s="1277" t="n"/>
      <c r="BQ530" s="1277" t="n"/>
      <c r="BR530" s="1277" t="n"/>
      <c r="BS530" s="1277" t="n"/>
      <c r="BT530" s="1297" t="n"/>
      <c r="BU530" s="1277" t="n"/>
      <c r="BV530" s="1277" t="n"/>
      <c r="BW530" s="1277" t="n"/>
      <c r="BX530" s="1277" t="n"/>
      <c r="BY530" s="1297" t="n"/>
      <c r="BZ530" s="1297" t="n"/>
      <c r="CA530" s="1297" t="n"/>
      <c r="CB530" s="1297" t="n"/>
      <c r="CC530" s="1280" t="n"/>
    </row>
    <row r="531" hidden="1" outlineLevel="1" ht="14.4" customFormat="1" customHeight="1" s="1275">
      <c r="A531" s="1384" t="inlineStr">
        <is>
          <t>Amortization of premium/discount of financial assets</t>
        </is>
      </c>
      <c r="B531" s="1387" t="n"/>
      <c r="C531" s="1299" t="n">
        <v>21.483</v>
      </c>
      <c r="D531" s="1299" t="n">
        <v>34.142</v>
      </c>
      <c r="E531" s="1299" t="n">
        <v>24.711</v>
      </c>
      <c r="F531" s="1297" t="n"/>
      <c r="G531" s="1297" t="n"/>
      <c r="H531" s="1277" t="n"/>
      <c r="I531" s="1277" t="n"/>
      <c r="J531" s="1277" t="n"/>
      <c r="K531" s="1277">
        <f>L531</f>
        <v/>
      </c>
      <c r="L531" s="1297" t="n"/>
      <c r="M531" s="1277" t="n"/>
      <c r="N531" s="1277" t="n"/>
      <c r="O531" s="1277" t="n"/>
      <c r="P531" s="1277">
        <f>Q531</f>
        <v/>
      </c>
      <c r="Q531" s="1297" t="n"/>
      <c r="R531" s="1277" t="n"/>
      <c r="S531" s="1277" t="n"/>
      <c r="T531" s="1277" t="n"/>
      <c r="U531" s="1277">
        <f>V531</f>
        <v/>
      </c>
      <c r="V531" s="1297" t="n"/>
      <c r="W531" s="1277" t="n"/>
      <c r="X531" s="1277" t="n"/>
      <c r="Y531" s="1277" t="n"/>
      <c r="Z531" s="1277">
        <f>AA531</f>
        <v/>
      </c>
      <c r="AA531" s="1297" t="n"/>
      <c r="AB531" s="1277" t="n"/>
      <c r="AC531" s="1277" t="n"/>
      <c r="AD531" s="1277" t="n"/>
      <c r="AE531" s="1277">
        <f>AF531</f>
        <v/>
      </c>
      <c r="AF531" s="1297" t="n"/>
      <c r="AG531" s="1277" t="n"/>
      <c r="AH531" s="1277" t="n"/>
      <c r="AI531" s="1277" t="n"/>
      <c r="AJ531" s="1277" t="n"/>
      <c r="AK531" s="1297" t="n"/>
      <c r="AL531" s="1277" t="n"/>
      <c r="AM531" s="1277" t="n"/>
      <c r="AN531" s="1277" t="n"/>
      <c r="AO531" s="1277">
        <f>AP531</f>
        <v/>
      </c>
      <c r="AP531" s="1297" t="n"/>
      <c r="AQ531" s="1277" t="n"/>
      <c r="AR531" s="1277" t="n"/>
      <c r="AS531" s="1277" t="n"/>
      <c r="AT531" s="1277">
        <f>AU531</f>
        <v/>
      </c>
      <c r="AU531" s="1297" t="n"/>
      <c r="AV531" s="1277" t="n"/>
      <c r="AW531" s="1277" t="n"/>
      <c r="AX531" s="1277" t="n"/>
      <c r="AY531" s="1277">
        <f>AZ531</f>
        <v/>
      </c>
      <c r="AZ531" s="1297" t="n"/>
      <c r="BA531" s="1277" t="n"/>
      <c r="BB531" s="1277" t="n"/>
      <c r="BC531" s="1277" t="n"/>
      <c r="BD531" s="1277">
        <f>BE531</f>
        <v/>
      </c>
      <c r="BE531" s="1297" t="n"/>
      <c r="BF531" s="1277" t="n"/>
      <c r="BG531" s="1277" t="n"/>
      <c r="BH531" s="1277" t="n"/>
      <c r="BI531" s="1277" t="n"/>
      <c r="BJ531" s="1297" t="n"/>
      <c r="BK531" s="1277" t="n"/>
      <c r="BL531" s="1277" t="n"/>
      <c r="BM531" s="1277" t="n"/>
      <c r="BN531" s="1277" t="n"/>
      <c r="BO531" s="1382" t="n"/>
      <c r="BP531" s="1277" t="n"/>
      <c r="BQ531" s="1277" t="n"/>
      <c r="BR531" s="1277" t="n"/>
      <c r="BS531" s="1277" t="n"/>
      <c r="BT531" s="1297" t="n"/>
      <c r="BU531" s="1277" t="n"/>
      <c r="BV531" s="1277" t="n"/>
      <c r="BW531" s="1277" t="n"/>
      <c r="BX531" s="1277" t="n"/>
      <c r="BY531" s="1297" t="n"/>
      <c r="BZ531" s="1297" t="n"/>
      <c r="CA531" s="1297" t="n"/>
      <c r="CB531" s="1297" t="n"/>
      <c r="CC531" s="1280" t="n"/>
    </row>
    <row r="532" hidden="1" outlineLevel="1" ht="14.4" customFormat="1" customHeight="1" s="1275">
      <c r="A532" s="1384" t="inlineStr">
        <is>
          <t>Stock option compensation cost of subsidiary</t>
        </is>
      </c>
      <c r="B532" s="1387" t="n"/>
      <c r="C532" s="1297" t="n"/>
      <c r="D532" s="1297" t="n"/>
      <c r="E532" s="1297" t="n"/>
      <c r="F532" s="1299" t="n">
        <v>6.219</v>
      </c>
      <c r="G532" s="1299" t="n">
        <v>5.312</v>
      </c>
      <c r="H532" s="1277" t="n"/>
      <c r="I532" s="1277" t="n"/>
      <c r="J532" s="1277" t="n"/>
      <c r="K532" s="1277">
        <f>L532</f>
        <v/>
      </c>
      <c r="L532" s="1297" t="n"/>
      <c r="M532" s="1277" t="n"/>
      <c r="N532" s="1277" t="n"/>
      <c r="O532" s="1277" t="n"/>
      <c r="P532" s="1277">
        <f>Q532</f>
        <v/>
      </c>
      <c r="Q532" s="1297" t="n"/>
      <c r="R532" s="1277" t="n"/>
      <c r="S532" s="1277" t="n"/>
      <c r="T532" s="1277" t="n"/>
      <c r="U532" s="1277">
        <f>V532</f>
        <v/>
      </c>
      <c r="V532" s="1297" t="n"/>
      <c r="W532" s="1277" t="n"/>
      <c r="X532" s="1277" t="n"/>
      <c r="Y532" s="1277" t="n"/>
      <c r="Z532" s="1277">
        <f>AA532</f>
        <v/>
      </c>
      <c r="AA532" s="1297" t="n"/>
      <c r="AB532" s="1277" t="n"/>
      <c r="AC532" s="1277" t="n"/>
      <c r="AD532" s="1277" t="n"/>
      <c r="AE532" s="1277">
        <f>AF532</f>
        <v/>
      </c>
      <c r="AF532" s="1297" t="n"/>
      <c r="AG532" s="1277" t="n"/>
      <c r="AH532" s="1277" t="n"/>
      <c r="AI532" s="1277" t="n"/>
      <c r="AJ532" s="1277" t="n"/>
      <c r="AK532" s="1297" t="n"/>
      <c r="AL532" s="1277" t="n"/>
      <c r="AM532" s="1277" t="n"/>
      <c r="AN532" s="1277" t="n"/>
      <c r="AO532" s="1277">
        <f>AP532</f>
        <v/>
      </c>
      <c r="AP532" s="1297" t="n"/>
      <c r="AQ532" s="1277" t="n"/>
      <c r="AR532" s="1277" t="n"/>
      <c r="AS532" s="1277" t="n"/>
      <c r="AT532" s="1277">
        <f>AU532</f>
        <v/>
      </c>
      <c r="AU532" s="1297" t="n"/>
      <c r="AV532" s="1277" t="n"/>
      <c r="AW532" s="1277" t="n"/>
      <c r="AX532" s="1277" t="n"/>
      <c r="AY532" s="1277">
        <f>AZ532</f>
        <v/>
      </c>
      <c r="AZ532" s="1297" t="n"/>
      <c r="BA532" s="1277" t="n"/>
      <c r="BB532" s="1277" t="n"/>
      <c r="BC532" s="1277" t="n"/>
      <c r="BD532" s="1277">
        <f>BE532</f>
        <v/>
      </c>
      <c r="BE532" s="1297" t="n"/>
      <c r="BF532" s="1277" t="n"/>
      <c r="BG532" s="1277" t="n"/>
      <c r="BH532" s="1277" t="n"/>
      <c r="BI532" s="1277" t="n"/>
      <c r="BJ532" s="1297" t="n"/>
      <c r="BK532" s="1277" t="n"/>
      <c r="BL532" s="1277" t="n"/>
      <c r="BM532" s="1277" t="n"/>
      <c r="BN532" s="1277" t="n"/>
      <c r="BO532" s="1382" t="n"/>
      <c r="BP532" s="1277" t="n"/>
      <c r="BQ532" s="1277" t="n"/>
      <c r="BR532" s="1277" t="n"/>
      <c r="BS532" s="1277" t="n"/>
      <c r="BT532" s="1297" t="n"/>
      <c r="BU532" s="1277" t="n"/>
      <c r="BV532" s="1277" t="n"/>
      <c r="BW532" s="1277" t="n"/>
      <c r="BX532" s="1277" t="n"/>
      <c r="BY532" s="1297" t="n"/>
      <c r="BZ532" s="1297" t="n"/>
      <c r="CA532" s="1297" t="n"/>
      <c r="CB532" s="1297" t="n"/>
      <c r="CC532" s="1280" t="n"/>
    </row>
    <row r="533" hidden="1" outlineLevel="1" ht="14.4" customFormat="1" customHeight="1" s="1275">
      <c r="A533" s="1384" t="inlineStr">
        <is>
          <t>Reversal of expected credit losses on investments in debt instruments</t>
        </is>
      </c>
      <c r="B533" s="1387" t="n"/>
      <c r="C533" s="1297" t="n"/>
      <c r="D533" s="1297" t="n"/>
      <c r="E533" s="1297" t="n"/>
      <c r="F533" s="1297" t="n"/>
      <c r="G533" s="1297" t="n"/>
      <c r="H533" s="1277" t="n"/>
      <c r="I533" s="1277" t="n"/>
      <c r="J533" s="1277" t="n"/>
      <c r="K533" s="1277" t="n"/>
      <c r="L533" s="1297" t="n"/>
      <c r="M533" s="1277" t="n"/>
      <c r="N533" s="1277" t="n"/>
      <c r="O533" s="1277" t="n"/>
      <c r="P533" s="1277" t="n"/>
      <c r="Q533" s="1297" t="n"/>
      <c r="R533" s="1277" t="n"/>
      <c r="S533" s="1277" t="n"/>
      <c r="T533" s="1277" t="n"/>
      <c r="U533" s="1277" t="n"/>
      <c r="V533" s="1297" t="n"/>
      <c r="W533" s="1277" t="n"/>
      <c r="X533" s="1277" t="n"/>
      <c r="Y533" s="1277" t="n"/>
      <c r="Z533" s="1277" t="n"/>
      <c r="AA533" s="1297" t="n"/>
      <c r="AB533" s="1298" t="n">
        <v>-1.757</v>
      </c>
      <c r="AC533" s="1298" t="n">
        <v>-1.453</v>
      </c>
      <c r="AD533" s="1298" t="n">
        <v>-2.279</v>
      </c>
      <c r="AE533" s="1277">
        <f>AF533</f>
        <v/>
      </c>
      <c r="AF533" s="1299" t="n">
        <v>-2.383</v>
      </c>
      <c r="AG533" s="1298" t="n">
        <v>-4.885</v>
      </c>
      <c r="AH533" s="1298" t="n">
        <v>-0.987</v>
      </c>
      <c r="AI533" s="1298" t="n">
        <v>2.651</v>
      </c>
      <c r="AJ533" s="1277">
        <f>AK533</f>
        <v/>
      </c>
      <c r="AK533" s="1299" t="n">
        <v>1.714</v>
      </c>
      <c r="AL533" s="1298" t="n">
        <v>1.626</v>
      </c>
      <c r="AM533" s="1298" t="n">
        <v>0.188</v>
      </c>
      <c r="AN533" s="1298" t="n">
        <v>4.219</v>
      </c>
      <c r="AO533" s="1277">
        <f>AP533</f>
        <v/>
      </c>
      <c r="AP533" s="1299" t="n">
        <v>3.672</v>
      </c>
      <c r="AQ533" s="1298" t="n">
        <v>-0.497</v>
      </c>
      <c r="AR533" s="1298" t="n">
        <v>-3.284</v>
      </c>
      <c r="AS533" s="1298" t="n">
        <v>-5.246</v>
      </c>
      <c r="AT533" s="1277">
        <f>AU533</f>
        <v/>
      </c>
      <c r="AU533" s="1299" t="n">
        <v>-2.735</v>
      </c>
      <c r="AV533" s="1298" t="n">
        <v>11.768</v>
      </c>
      <c r="AW533" s="1298" t="n">
        <v>22.878</v>
      </c>
      <c r="AX533" s="1298" t="n">
        <v>33.282</v>
      </c>
      <c r="AY533" s="1277">
        <f>AZ533</f>
        <v/>
      </c>
      <c r="AZ533" s="1299" t="n">
        <v>52.351</v>
      </c>
      <c r="BA533" s="1298" t="n">
        <v>6.164</v>
      </c>
      <c r="BB533" s="1298" t="n">
        <v>20.314</v>
      </c>
      <c r="BC533" s="1298" t="n">
        <v>41.161</v>
      </c>
      <c r="BD533" s="1277">
        <f>BE533</f>
        <v/>
      </c>
      <c r="BE533" s="1299" t="n">
        <v>35.745</v>
      </c>
      <c r="BF533" s="1298" t="n">
        <v>6.573</v>
      </c>
      <c r="BG533" s="1298" t="n">
        <v>18.755</v>
      </c>
      <c r="BH533" s="1298" t="n">
        <v>35.268</v>
      </c>
      <c r="BI533" s="1277">
        <f>BJ533</f>
        <v/>
      </c>
      <c r="BJ533" s="1299" t="n">
        <v>49.907</v>
      </c>
      <c r="BK533" s="1298" t="n">
        <v>-8.359999999999999</v>
      </c>
      <c r="BL533" s="1298" t="n">
        <v>-25.22</v>
      </c>
      <c r="BM533" s="1298" t="n">
        <v>-25.482</v>
      </c>
      <c r="BN533" s="1277">
        <f>BO533</f>
        <v/>
      </c>
      <c r="BO533" s="1382" t="n"/>
      <c r="BP533" s="1277" t="n"/>
      <c r="BQ533" s="1277" t="n"/>
      <c r="BR533" s="1277" t="n"/>
      <c r="BS533" s="1277" t="n"/>
      <c r="BT533" s="1297" t="n"/>
      <c r="BU533" s="1277" t="n"/>
      <c r="BV533" s="1277" t="n"/>
      <c r="BW533" s="1277" t="n"/>
      <c r="BX533" s="1277" t="n"/>
      <c r="BY533" s="1297" t="n"/>
      <c r="BZ533" s="1297" t="n"/>
      <c r="CA533" s="1297" t="n"/>
      <c r="CB533" s="1297" t="n"/>
      <c r="CC533" s="1280" t="n"/>
    </row>
    <row r="534" hidden="1" outlineLevel="1" ht="14.4" customFormat="1" customHeight="1" s="1275">
      <c r="A534" s="1295" t="inlineStr">
        <is>
          <t>Finance costs</t>
        </is>
      </c>
      <c r="B534" s="1387" t="n"/>
      <c r="C534" s="1297" t="n"/>
      <c r="D534" s="1297" t="n"/>
      <c r="E534" s="1297" t="n"/>
      <c r="F534" s="1299" t="n">
        <v>1020.422</v>
      </c>
      <c r="G534" s="1299" t="n">
        <v>2646.776</v>
      </c>
      <c r="H534" s="1298" t="n">
        <v>796.58</v>
      </c>
      <c r="I534" s="1298" t="n">
        <v>1598.03</v>
      </c>
      <c r="J534" s="1298" t="n">
        <v>2414.084</v>
      </c>
      <c r="K534" s="1280">
        <f>L534</f>
        <v/>
      </c>
      <c r="L534" s="1299" t="n">
        <v>3236.345</v>
      </c>
      <c r="M534" s="1298" t="n">
        <v>793.942</v>
      </c>
      <c r="N534" s="1298" t="n">
        <v>1577.343</v>
      </c>
      <c r="O534" s="1298" t="n">
        <v>2370.284</v>
      </c>
      <c r="P534" s="1280">
        <f>Q534</f>
        <v/>
      </c>
      <c r="Q534" s="1299" t="n">
        <v>3190.331</v>
      </c>
      <c r="R534" s="1298" t="n">
        <v>850.58</v>
      </c>
      <c r="S534" s="1298" t="n">
        <v>1672.005</v>
      </c>
      <c r="T534" s="1298" t="n">
        <v>2494.672</v>
      </c>
      <c r="U534" s="1280">
        <f>V534</f>
        <v/>
      </c>
      <c r="V534" s="1299" t="n">
        <v>3306.153</v>
      </c>
      <c r="W534" s="1298" t="n">
        <v>816.664</v>
      </c>
      <c r="X534" s="1298" t="n">
        <v>1656.577</v>
      </c>
      <c r="Y534" s="1298" t="n">
        <v>2499.791</v>
      </c>
      <c r="Z534" s="1280">
        <f>AA534</f>
        <v/>
      </c>
      <c r="AA534" s="1299" t="n">
        <v>3330.313</v>
      </c>
      <c r="AB534" s="1298" t="n">
        <v>807.966</v>
      </c>
      <c r="AC534" s="1298" t="n">
        <v>1436.25</v>
      </c>
      <c r="AD534" s="1298" t="n">
        <v>2175.318</v>
      </c>
      <c r="AE534" s="1280">
        <f>AF534</f>
        <v/>
      </c>
      <c r="AF534" s="1299" t="n">
        <v>3051.223</v>
      </c>
      <c r="AG534" s="1298" t="n">
        <v>899.0650000000001</v>
      </c>
      <c r="AH534" s="1298" t="n">
        <v>1763.816</v>
      </c>
      <c r="AI534" s="1298" t="n">
        <v>2607.25</v>
      </c>
      <c r="AJ534" s="1280">
        <f>AK534</f>
        <v/>
      </c>
      <c r="AK534" s="1299" t="n">
        <v>3250.847</v>
      </c>
      <c r="AL534" s="1298" t="n">
        <v>530.564</v>
      </c>
      <c r="AM534" s="1298" t="n">
        <v>939.7089999999999</v>
      </c>
      <c r="AN534" s="1298" t="n">
        <v>1312.873</v>
      </c>
      <c r="AO534" s="1280">
        <f>AP534</f>
        <v/>
      </c>
      <c r="AP534" s="1299" t="n">
        <v>2081.455</v>
      </c>
      <c r="AQ534" s="1298" t="n">
        <v>772.095</v>
      </c>
      <c r="AR534" s="1298" t="n">
        <v>1906.494</v>
      </c>
      <c r="AS534" s="1298" t="n">
        <v>3240.557</v>
      </c>
      <c r="AT534" s="1280">
        <f>AU534</f>
        <v/>
      </c>
      <c r="AU534" s="1299" t="n">
        <v>5414.218</v>
      </c>
      <c r="AV534" s="1298" t="n">
        <v>2140.766</v>
      </c>
      <c r="AW534" s="1298" t="n">
        <v>5044.997</v>
      </c>
      <c r="AX534" s="1298" t="n">
        <v>8415.014999999999</v>
      </c>
      <c r="AY534" s="1280">
        <f>AZ534</f>
        <v/>
      </c>
      <c r="AZ534" s="1299" t="n">
        <v>11749.984</v>
      </c>
      <c r="BA534" s="1298" t="n">
        <v>2963.686</v>
      </c>
      <c r="BB534" s="1298" t="n">
        <v>5968.841</v>
      </c>
      <c r="BC534" s="1298" t="n">
        <v>9080.763000000001</v>
      </c>
      <c r="BD534" s="1280">
        <f>BE534</f>
        <v/>
      </c>
      <c r="BE534" s="1299" t="n">
        <v>11999.36</v>
      </c>
      <c r="BF534" s="1298" t="n">
        <v>2698.255</v>
      </c>
      <c r="BG534" s="1298" t="n">
        <v>5336.395</v>
      </c>
      <c r="BH534" s="1298" t="n">
        <v>7972.185</v>
      </c>
      <c r="BI534" s="1280">
        <f>BJ534</f>
        <v/>
      </c>
      <c r="BJ534" s="1299" t="n">
        <v>10495.32</v>
      </c>
      <c r="BK534" s="1298" t="n">
        <v>2677.274</v>
      </c>
      <c r="BL534" s="1298" t="n">
        <v>6368.369</v>
      </c>
      <c r="BM534" s="1298" t="n">
        <v>9326.937</v>
      </c>
      <c r="BN534" s="1280">
        <f>BO534</f>
        <v/>
      </c>
      <c r="BO534" s="1382" t="n"/>
      <c r="BP534" s="1277" t="n"/>
      <c r="BQ534" s="1277" t="n"/>
      <c r="BR534" s="1277" t="n"/>
      <c r="BS534" s="1277" t="n"/>
      <c r="BT534" s="1297" t="n"/>
      <c r="BU534" s="1277" t="n"/>
      <c r="BV534" s="1277" t="n"/>
      <c r="BW534" s="1277" t="n"/>
      <c r="BX534" s="1277" t="n"/>
      <c r="BY534" s="1297" t="n"/>
      <c r="BZ534" s="1297" t="n"/>
      <c r="CA534" s="1297" t="n"/>
      <c r="CB534" s="1297" t="n"/>
      <c r="CC534" s="1280" t="n"/>
    </row>
    <row r="535" hidden="1" outlineLevel="1" ht="14.4" customFormat="1" customHeight="1" s="1275">
      <c r="A535" s="1295" t="inlineStr">
        <is>
          <t>Share of profits of associates</t>
        </is>
      </c>
      <c r="B535" s="1387" t="n"/>
      <c r="C535" s="1297" t="n"/>
      <c r="D535" s="1297" t="n"/>
      <c r="E535" s="1297" t="n"/>
      <c r="F535" s="1299" t="n">
        <v>-2073.729</v>
      </c>
      <c r="G535" s="1299" t="n">
        <v>-3972.031</v>
      </c>
      <c r="H535" s="1298" t="n">
        <v>-955.609</v>
      </c>
      <c r="I535" s="1298" t="n">
        <v>-2003.434</v>
      </c>
      <c r="J535" s="1298" t="n">
        <v>-3040.159</v>
      </c>
      <c r="K535" s="1280">
        <f>L535</f>
        <v/>
      </c>
      <c r="L535" s="1299" t="n">
        <v>-3950.469</v>
      </c>
      <c r="M535" s="1298" t="n">
        <v>-1134.649</v>
      </c>
      <c r="N535" s="1298" t="n">
        <v>-1950.398</v>
      </c>
      <c r="O535" s="1298" t="n">
        <v>-2876.252</v>
      </c>
      <c r="P535" s="1280">
        <f>Q535</f>
        <v/>
      </c>
      <c r="Q535" s="1299" t="n">
        <v>-4132.128</v>
      </c>
      <c r="R535" s="1298" t="n">
        <v>-840.895</v>
      </c>
      <c r="S535" s="1298" t="n">
        <v>-1733.161</v>
      </c>
      <c r="T535" s="1298" t="n">
        <v>-2614.537</v>
      </c>
      <c r="U535" s="1280">
        <f>V535</f>
        <v/>
      </c>
      <c r="V535" s="1299" t="n">
        <v>-3495.6</v>
      </c>
      <c r="W535" s="1298" t="n">
        <v>-666.8099999999999</v>
      </c>
      <c r="X535" s="1298" t="n">
        <v>-1285.261</v>
      </c>
      <c r="Y535" s="1298" t="n">
        <v>-2036.879</v>
      </c>
      <c r="Z535" s="1280">
        <f>AA535</f>
        <v/>
      </c>
      <c r="AA535" s="1299" t="n">
        <v>-2985.941</v>
      </c>
      <c r="AB535" s="1298" t="n">
        <v>-681.7910000000001</v>
      </c>
      <c r="AC535" s="1298" t="n">
        <v>-948.284</v>
      </c>
      <c r="AD535" s="1298" t="n">
        <v>-1946.111</v>
      </c>
      <c r="AE535" s="1280">
        <f>AF535</f>
        <v/>
      </c>
      <c r="AF535" s="1299" t="n">
        <v>-3057.781</v>
      </c>
      <c r="AG535" s="1298" t="n">
        <v>-433.491</v>
      </c>
      <c r="AH535" s="1298" t="n">
        <v>-1062.026</v>
      </c>
      <c r="AI535" s="1298" t="n">
        <v>-1977.74</v>
      </c>
      <c r="AJ535" s="1280">
        <f>AK535</f>
        <v/>
      </c>
      <c r="AK535" s="1299" t="n">
        <v>-2844.222</v>
      </c>
      <c r="AL535" s="1298" t="n">
        <v>-725.968</v>
      </c>
      <c r="AM535" s="1298" t="n">
        <v>-1404.725</v>
      </c>
      <c r="AN535" s="1298" t="n">
        <v>-2237.89</v>
      </c>
      <c r="AO535" s="1280">
        <f>AP535</f>
        <v/>
      </c>
      <c r="AP535" s="1299" t="n">
        <v>-3592.818</v>
      </c>
      <c r="AQ535" s="1298" t="n">
        <v>-1267.112</v>
      </c>
      <c r="AR535" s="1298" t="n">
        <v>-2439</v>
      </c>
      <c r="AS535" s="1298" t="n">
        <v>-3952.156</v>
      </c>
      <c r="AT535" s="1280">
        <f>AU535</f>
        <v/>
      </c>
      <c r="AU535" s="1299" t="n">
        <v>-5603.084</v>
      </c>
      <c r="AV535" s="1298" t="n">
        <v>-1725.49</v>
      </c>
      <c r="AW535" s="1298" t="n">
        <v>-3983.495</v>
      </c>
      <c r="AX535" s="1298" t="n">
        <v>-6061.304</v>
      </c>
      <c r="AY535" s="1280">
        <f>AZ535</f>
        <v/>
      </c>
      <c r="AZ535" s="1299" t="n">
        <v>-7798.359</v>
      </c>
      <c r="BA535" s="1298" t="n">
        <v>-1038.817</v>
      </c>
      <c r="BB535" s="1298" t="n">
        <v>-2173.004</v>
      </c>
      <c r="BC535" s="1298" t="n">
        <v>-3339.974</v>
      </c>
      <c r="BD535" s="1280">
        <f>BE535</f>
        <v/>
      </c>
      <c r="BE535" s="1299" t="n">
        <v>-4655.098</v>
      </c>
      <c r="BF535" s="1298" t="n">
        <v>-878.001</v>
      </c>
      <c r="BG535" s="1298" t="n">
        <v>-2030.226</v>
      </c>
      <c r="BH535" s="1298" t="n">
        <v>-3590.959</v>
      </c>
      <c r="BI535" s="1280">
        <f>BJ535</f>
        <v/>
      </c>
      <c r="BJ535" s="1299" t="n">
        <v>-4879.367</v>
      </c>
      <c r="BK535" s="1298" t="n">
        <v>-1368.307</v>
      </c>
      <c r="BL535" s="1298" t="n">
        <v>-2589.255</v>
      </c>
      <c r="BM535" s="1298" t="n">
        <v>-4013.993</v>
      </c>
      <c r="BN535" s="1280">
        <f>BO535</f>
        <v/>
      </c>
      <c r="BO535" s="1645" t="n">
        <v>-5497</v>
      </c>
      <c r="BP535" s="1277" t="n"/>
      <c r="BQ535" s="1277" t="n"/>
      <c r="BR535" s="1277" t="n"/>
      <c r="BS535" s="1277" t="n"/>
      <c r="BT535" s="1297" t="n"/>
      <c r="BU535" s="1277" t="n"/>
      <c r="BV535" s="1277" t="n"/>
      <c r="BW535" s="1277" t="n"/>
      <c r="BX535" s="1277" t="n"/>
      <c r="BY535" s="1297" t="n"/>
      <c r="BZ535" s="1297" t="n"/>
      <c r="CA535" s="1297" t="n"/>
      <c r="CB535" s="1297" t="n"/>
      <c r="CC535" s="1280" t="n"/>
    </row>
    <row r="536" hidden="1" outlineLevel="1" ht="14.4" customFormat="1" customHeight="1" s="1275">
      <c r="A536" s="1295" t="inlineStr">
        <is>
          <t>Interest income</t>
        </is>
      </c>
      <c r="B536" s="1387" t="n"/>
      <c r="C536" s="1297" t="n"/>
      <c r="D536" s="1297" t="n"/>
      <c r="E536" s="1297" t="n"/>
      <c r="F536" s="1299" t="n">
        <v>-1645.036</v>
      </c>
      <c r="G536" s="1299" t="n">
        <v>-1835.98</v>
      </c>
      <c r="H536" s="1298" t="n">
        <v>-613.699</v>
      </c>
      <c r="I536" s="1298" t="n">
        <v>-1292.325</v>
      </c>
      <c r="J536" s="1298" t="n">
        <v>-1974.366</v>
      </c>
      <c r="K536" s="1280">
        <f>L536</f>
        <v/>
      </c>
      <c r="L536" s="1299" t="n">
        <v>-2730.674</v>
      </c>
      <c r="M536" s="1298" t="n">
        <v>-881.782</v>
      </c>
      <c r="N536" s="1298" t="n">
        <v>-1817.825</v>
      </c>
      <c r="O536" s="1298" t="n">
        <v>-2875.858</v>
      </c>
      <c r="P536" s="1280">
        <f>Q536</f>
        <v/>
      </c>
      <c r="Q536" s="1299" t="n">
        <v>-4129.316</v>
      </c>
      <c r="R536" s="1298" t="n">
        <v>-1332.589</v>
      </c>
      <c r="S536" s="1298" t="n">
        <v>-2987.896</v>
      </c>
      <c r="T536" s="1298" t="n">
        <v>-4509.169</v>
      </c>
      <c r="U536" s="1280">
        <f>V536</f>
        <v/>
      </c>
      <c r="V536" s="1299" t="n">
        <v>-6317.5</v>
      </c>
      <c r="W536" s="1298" t="n">
        <v>-2104.979</v>
      </c>
      <c r="X536" s="1298" t="n">
        <v>-4588.686</v>
      </c>
      <c r="Y536" s="1298" t="n">
        <v>-6714.157</v>
      </c>
      <c r="Z536" s="1280">
        <f>AA536</f>
        <v/>
      </c>
      <c r="AA536" s="1299" t="n">
        <v>-9464.706</v>
      </c>
      <c r="AB536" s="1298" t="n">
        <v>-3154.189</v>
      </c>
      <c r="AC536" s="1298" t="n">
        <v>-6726.119</v>
      </c>
      <c r="AD536" s="1298" t="n">
        <v>-10543.592</v>
      </c>
      <c r="AE536" s="1280">
        <f>AF536</f>
        <v/>
      </c>
      <c r="AF536" s="1299" t="n">
        <v>-14694.456</v>
      </c>
      <c r="AG536" s="1298" t="n">
        <v>-4408.776</v>
      </c>
      <c r="AH536" s="1298" t="n">
        <v>-8955.692999999999</v>
      </c>
      <c r="AI536" s="1298" t="n">
        <v>-12871.791</v>
      </c>
      <c r="AJ536" s="1280">
        <f>AK536</f>
        <v/>
      </c>
      <c r="AK536" s="1299" t="n">
        <v>-16189.374</v>
      </c>
      <c r="AL536" s="1298" t="n">
        <v>-2989.069</v>
      </c>
      <c r="AM536" s="1298" t="n">
        <v>-5467.431</v>
      </c>
      <c r="AN536" s="1298" t="n">
        <v>-7365.394</v>
      </c>
      <c r="AO536" s="1280">
        <f>AP536</f>
        <v/>
      </c>
      <c r="AP536" s="1299" t="n">
        <v>-9018.4</v>
      </c>
      <c r="AQ536" s="1298" t="n">
        <v>-1460.904</v>
      </c>
      <c r="AR536" s="1298" t="n">
        <v>-2889.585</v>
      </c>
      <c r="AS536" s="1298" t="n">
        <v>-4246.129</v>
      </c>
      <c r="AT536" s="1280">
        <f>AU536</f>
        <v/>
      </c>
      <c r="AU536" s="1299" t="n">
        <v>-5708.765</v>
      </c>
      <c r="AV536" s="1298" t="n">
        <v>-1673.879</v>
      </c>
      <c r="AW536" s="1298" t="n">
        <v>-5219.824</v>
      </c>
      <c r="AX536" s="1298" t="n">
        <v>-11834.868</v>
      </c>
      <c r="AY536" s="1280">
        <f>AZ536</f>
        <v/>
      </c>
      <c r="AZ536" s="1299" t="n">
        <v>-22422.209</v>
      </c>
      <c r="BA536" s="1298" t="n">
        <v>-13617.818</v>
      </c>
      <c r="BB536" s="1298" t="n">
        <v>-27289.839</v>
      </c>
      <c r="BC536" s="1298" t="n">
        <v>-42885.113</v>
      </c>
      <c r="BD536" s="1280">
        <f>BE536</f>
        <v/>
      </c>
      <c r="BE536" s="1299" t="n">
        <v>-60293.901</v>
      </c>
      <c r="BF536" s="1298" t="n">
        <v>-19359.172</v>
      </c>
      <c r="BG536" s="1298" t="n">
        <v>-40338.405</v>
      </c>
      <c r="BH536" s="1298" t="n">
        <v>-62940.059</v>
      </c>
      <c r="BI536" s="1280">
        <f>BJ536</f>
        <v/>
      </c>
      <c r="BJ536" s="1299" t="n">
        <v>-87213.399</v>
      </c>
      <c r="BK536" s="1298" t="n">
        <v>-24859.312</v>
      </c>
      <c r="BL536" s="1298" t="n">
        <v>-50051.31</v>
      </c>
      <c r="BM536" s="1298" t="n">
        <v>-76231.655</v>
      </c>
      <c r="BN536" s="1280">
        <f>BO536</f>
        <v/>
      </c>
      <c r="BO536" s="1382" t="n"/>
      <c r="BP536" s="1277" t="n"/>
      <c r="BQ536" s="1277" t="n"/>
      <c r="BR536" s="1277" t="n"/>
      <c r="BS536" s="1277" t="n"/>
      <c r="BT536" s="1297" t="n"/>
      <c r="BU536" s="1277" t="n"/>
      <c r="BV536" s="1277" t="n"/>
      <c r="BW536" s="1277" t="n"/>
      <c r="BX536" s="1277" t="n"/>
      <c r="BY536" s="1297" t="n"/>
      <c r="BZ536" s="1297" t="n"/>
      <c r="CA536" s="1297" t="n"/>
      <c r="CB536" s="1297" t="n"/>
      <c r="CC536" s="1280" t="n"/>
    </row>
    <row r="537" hidden="1" outlineLevel="1" ht="14.4" customFormat="1" customHeight="1" s="1275">
      <c r="A537" s="1295" t="inlineStr">
        <is>
          <t>Discounts on short-term loans</t>
        </is>
      </c>
      <c r="B537" s="1387" t="n"/>
      <c r="C537" s="1297" t="n"/>
      <c r="D537" s="1297" t="n"/>
      <c r="E537" s="1297" t="n"/>
      <c r="F537" s="1297" t="n"/>
      <c r="G537" s="1297" t="n"/>
      <c r="H537" s="1277" t="n"/>
      <c r="I537" s="1277" t="n"/>
      <c r="J537" s="1277" t="n"/>
      <c r="K537" s="1277" t="n"/>
      <c r="L537" s="1297" t="n"/>
      <c r="M537" s="1277" t="n"/>
      <c r="N537" s="1277" t="n"/>
      <c r="O537" s="1277" t="n"/>
      <c r="P537" s="1277" t="n"/>
      <c r="Q537" s="1297" t="n"/>
      <c r="R537" s="1277" t="n"/>
      <c r="S537" s="1277" t="n"/>
      <c r="T537" s="1277" t="n"/>
      <c r="U537" s="1277" t="n"/>
      <c r="V537" s="1297" t="n"/>
      <c r="W537" s="1277" t="n"/>
      <c r="X537" s="1277" t="n"/>
      <c r="Y537" s="1277" t="n"/>
      <c r="Z537" s="1277" t="n"/>
      <c r="AA537" s="1297" t="n"/>
      <c r="AB537" s="1277" t="n"/>
      <c r="AC537" s="1277" t="n"/>
      <c r="AD537" s="1277" t="n"/>
      <c r="AE537" s="1277" t="n"/>
      <c r="AF537" s="1297" t="n"/>
      <c r="AG537" s="1277" t="n"/>
      <c r="AH537" s="1277" t="n"/>
      <c r="AI537" s="1277" t="n"/>
      <c r="AJ537" s="1277" t="n"/>
      <c r="AK537" s="1297" t="n"/>
      <c r="AL537" s="1277" t="n"/>
      <c r="AM537" s="1277" t="n"/>
      <c r="AN537" s="1277" t="n"/>
      <c r="AO537" s="1277" t="n"/>
      <c r="AP537" s="1297" t="n"/>
      <c r="AQ537" s="1298" t="n">
        <v>-127.838</v>
      </c>
      <c r="AR537" s="1298" t="n">
        <v>-283.707</v>
      </c>
      <c r="AS537" s="1277" t="n"/>
      <c r="AT537" s="1280">
        <f>AU537</f>
        <v/>
      </c>
      <c r="AU537" s="1297" t="n"/>
      <c r="AV537" s="1277" t="n"/>
      <c r="AW537" s="1277" t="n"/>
      <c r="AX537" s="1277" t="n"/>
      <c r="AY537" s="1280">
        <f>AZ537</f>
        <v/>
      </c>
      <c r="AZ537" s="1297" t="n"/>
      <c r="BA537" s="1277" t="n"/>
      <c r="BB537" s="1277" t="n"/>
      <c r="BC537" s="1277" t="n"/>
      <c r="BD537" s="1280">
        <f>BE537</f>
        <v/>
      </c>
      <c r="BE537" s="1297" t="n"/>
      <c r="BF537" s="1277" t="n"/>
      <c r="BG537" s="1277" t="n"/>
      <c r="BH537" s="1277" t="n"/>
      <c r="BI537" s="1277" t="n"/>
      <c r="BJ537" s="1297" t="n"/>
      <c r="BK537" s="1277" t="n"/>
      <c r="BL537" s="1277" t="n"/>
      <c r="BM537" s="1277" t="n"/>
      <c r="BN537" s="1277" t="n"/>
      <c r="BO537" s="1382" t="n"/>
      <c r="BP537" s="1277" t="n"/>
      <c r="BQ537" s="1277" t="n"/>
      <c r="BR537" s="1277" t="n"/>
      <c r="BS537" s="1277" t="n"/>
      <c r="BT537" s="1297" t="n"/>
      <c r="BU537" s="1277" t="n"/>
      <c r="BV537" s="1277" t="n"/>
      <c r="BW537" s="1277" t="n"/>
      <c r="BX537" s="1277" t="n"/>
      <c r="BY537" s="1297" t="n"/>
      <c r="BZ537" s="1297" t="n"/>
      <c r="CA537" s="1297" t="n"/>
      <c r="CB537" s="1297" t="n"/>
      <c r="CC537" s="1280" t="n"/>
    </row>
    <row r="538" hidden="1" outlineLevel="1" ht="14.4" customFormat="1" customHeight="1" s="1275">
      <c r="A538" s="1384" t="inlineStr">
        <is>
          <t>Share based compensation</t>
        </is>
      </c>
      <c r="B538" s="1387" t="n"/>
      <c r="C538" s="1297" t="n"/>
      <c r="D538" s="1297" t="n"/>
      <c r="E538" s="1297" t="n"/>
      <c r="F538" s="1297" t="n"/>
      <c r="G538" s="1297" t="n"/>
      <c r="H538" s="1277" t="n"/>
      <c r="I538" s="1277" t="n"/>
      <c r="J538" s="1277" t="n"/>
      <c r="K538" s="1277" t="n"/>
      <c r="L538" s="1297" t="n"/>
      <c r="M538" s="1277" t="n"/>
      <c r="N538" s="1277" t="n"/>
      <c r="O538" s="1277" t="n"/>
      <c r="P538" s="1277" t="n"/>
      <c r="Q538" s="1297" t="n"/>
      <c r="R538" s="1277" t="n"/>
      <c r="S538" s="1277" t="n"/>
      <c r="T538" s="1277" t="n"/>
      <c r="U538" s="1277" t="n"/>
      <c r="V538" s="1297" t="n"/>
      <c r="W538" s="1277" t="n"/>
      <c r="X538" s="1277" t="n"/>
      <c r="Y538" s="1277" t="n"/>
      <c r="Z538" s="1277" t="n"/>
      <c r="AA538" s="1297" t="n"/>
      <c r="AB538" s="1277" t="n"/>
      <c r="AC538" s="1277" t="n"/>
      <c r="AD538" s="1277" t="n"/>
      <c r="AE538" s="1277" t="n"/>
      <c r="AF538" s="1297" t="n"/>
      <c r="AG538" s="1277" t="n"/>
      <c r="AH538" s="1277" t="n"/>
      <c r="AI538" s="1298" t="n">
        <v>1.406</v>
      </c>
      <c r="AJ538" s="1277">
        <f>AK538</f>
        <v/>
      </c>
      <c r="AK538" s="1299" t="n">
        <v>2.818</v>
      </c>
      <c r="AL538" s="1298" t="n">
        <v>1.41</v>
      </c>
      <c r="AM538" s="1298" t="n">
        <v>2.988</v>
      </c>
      <c r="AN538" s="1298" t="n">
        <v>4.873</v>
      </c>
      <c r="AO538" s="1277">
        <f>AP538</f>
        <v/>
      </c>
      <c r="AP538" s="1299" t="n">
        <v>6.612</v>
      </c>
      <c r="AQ538" s="1298" t="n">
        <v>1.704</v>
      </c>
      <c r="AR538" s="1298" t="n">
        <v>3.454</v>
      </c>
      <c r="AS538" s="1298" t="n">
        <v>6.007</v>
      </c>
      <c r="AT538" s="1277">
        <f>AU538</f>
        <v/>
      </c>
      <c r="AU538" s="1299" t="n">
        <v>7.788</v>
      </c>
      <c r="AV538" s="1298" t="n">
        <v>27.453</v>
      </c>
      <c r="AW538" s="1298" t="n">
        <v>141.801</v>
      </c>
      <c r="AX538" s="1298" t="n">
        <v>222.091</v>
      </c>
      <c r="AY538" s="1277">
        <f>AZ538</f>
        <v/>
      </c>
      <c r="AZ538" s="1299" t="n">
        <v>302.348</v>
      </c>
      <c r="BA538" s="1298" t="n">
        <v>100.772</v>
      </c>
      <c r="BB538" s="1298" t="n">
        <v>228.352</v>
      </c>
      <c r="BC538" s="1298" t="n">
        <v>355.701</v>
      </c>
      <c r="BD538" s="1277">
        <f>BE538</f>
        <v/>
      </c>
      <c r="BE538" s="1299" t="n">
        <v>483.05</v>
      </c>
      <c r="BF538" s="1298" t="n">
        <v>181.831</v>
      </c>
      <c r="BG538" s="1298" t="n">
        <v>412.787</v>
      </c>
      <c r="BH538" s="1298" t="n">
        <v>735.748</v>
      </c>
      <c r="BI538" s="1277">
        <f>BJ538</f>
        <v/>
      </c>
      <c r="BJ538" s="1299" t="n">
        <v>1242.719</v>
      </c>
      <c r="BK538" s="1298" t="n">
        <v>455.241</v>
      </c>
      <c r="BL538" s="1298" t="n">
        <v>799.647</v>
      </c>
      <c r="BM538" s="1298" t="n">
        <v>1073.063</v>
      </c>
      <c r="BN538" s="1277">
        <f>BO538</f>
        <v/>
      </c>
      <c r="BO538" s="1382" t="n"/>
      <c r="BP538" s="1277" t="n"/>
      <c r="BQ538" s="1277" t="n"/>
      <c r="BR538" s="1277" t="n"/>
      <c r="BS538" s="1277" t="n"/>
      <c r="BT538" s="1297" t="n"/>
      <c r="BU538" s="1277" t="n"/>
      <c r="BV538" s="1277" t="n"/>
      <c r="BW538" s="1277" t="n"/>
      <c r="BX538" s="1277" t="n"/>
      <c r="BY538" s="1297" t="n"/>
      <c r="BZ538" s="1297" t="n"/>
      <c r="CA538" s="1297" t="n"/>
      <c r="CB538" s="1297" t="n"/>
      <c r="CC538" s="1280" t="n"/>
    </row>
    <row r="539" hidden="1" outlineLevel="1" ht="14.4" customFormat="1" customHeight="1" s="1275">
      <c r="A539" s="1295" t="inlineStr">
        <is>
          <t>Loss (gain) on disposal or retirement of property, plant and equipment, net</t>
        </is>
      </c>
      <c r="B539" s="1387" t="n"/>
      <c r="C539" s="1299" t="n">
        <v>-45.475</v>
      </c>
      <c r="D539" s="1299" t="n">
        <v>633.23</v>
      </c>
      <c r="E539" s="1299" t="n">
        <v>-3.286</v>
      </c>
      <c r="F539" s="1299" t="n">
        <v>-0.103</v>
      </c>
      <c r="G539" s="1299" t="n">
        <v>-48.848</v>
      </c>
      <c r="H539" s="1298" t="n">
        <v>-0.497</v>
      </c>
      <c r="I539" s="1298" t="n">
        <v>-15.325</v>
      </c>
      <c r="J539" s="1298" t="n">
        <v>-13.482</v>
      </c>
      <c r="K539" s="1280">
        <f>L539</f>
        <v/>
      </c>
      <c r="L539" s="1299" t="n">
        <v>-14.518</v>
      </c>
      <c r="M539" s="1298" t="n">
        <v>4.081</v>
      </c>
      <c r="N539" s="1298" t="n">
        <v>50.368</v>
      </c>
      <c r="O539" s="1298" t="n">
        <v>49.503</v>
      </c>
      <c r="P539" s="1280">
        <f>Q539</f>
        <v/>
      </c>
      <c r="Q539" s="1299" t="n">
        <v>-433.559</v>
      </c>
      <c r="R539" s="1298" t="n">
        <v>-8.234999999999999</v>
      </c>
      <c r="S539" s="1298" t="n">
        <v>-6.828</v>
      </c>
      <c r="T539" s="1298" t="n">
        <v>-61.491</v>
      </c>
      <c r="U539" s="1280">
        <f>V539</f>
        <v/>
      </c>
      <c r="V539" s="1299" t="n">
        <v>-46.548</v>
      </c>
      <c r="W539" s="1298" t="n">
        <v>-22.195</v>
      </c>
      <c r="X539" s="1298" t="n">
        <v>-15.343</v>
      </c>
      <c r="Y539" s="1298" t="n">
        <v>251.319</v>
      </c>
      <c r="Z539" s="1280">
        <f>AA539</f>
        <v/>
      </c>
      <c r="AA539" s="1299" t="n">
        <v>1097.908</v>
      </c>
      <c r="AB539" s="1298" t="n">
        <v>582.384</v>
      </c>
      <c r="AC539" s="1298" t="n">
        <v>793.09</v>
      </c>
      <c r="AD539" s="1298" t="n">
        <v>789.005</v>
      </c>
      <c r="AE539" s="1280">
        <f>AF539</f>
        <v/>
      </c>
      <c r="AF539" s="1299" t="n">
        <v>1005.644</v>
      </c>
      <c r="AG539" s="1298" t="n">
        <v>421.408</v>
      </c>
      <c r="AH539" s="1298" t="n">
        <v>700.386</v>
      </c>
      <c r="AI539" s="1298" t="n">
        <v>866.235</v>
      </c>
      <c r="AJ539" s="1280">
        <f>AK539</f>
        <v/>
      </c>
      <c r="AK539" s="1299" t="n">
        <v>949.965</v>
      </c>
      <c r="AL539" s="1298" t="n">
        <v>-35.39</v>
      </c>
      <c r="AM539" s="1298" t="n">
        <v>-6.29</v>
      </c>
      <c r="AN539" s="1298" t="n">
        <v>-152.305</v>
      </c>
      <c r="AO539" s="1280">
        <f>AP539</f>
        <v/>
      </c>
      <c r="AP539" s="1299" t="n">
        <v>-188.863</v>
      </c>
      <c r="AQ539" s="1298" t="n">
        <v>-9.960000000000001</v>
      </c>
      <c r="AR539" s="1298" t="n">
        <v>10.581</v>
      </c>
      <c r="AS539" s="1298" t="n">
        <v>123.673</v>
      </c>
      <c r="AT539" s="1280">
        <f>AU539</f>
        <v/>
      </c>
      <c r="AU539" s="1299" t="n">
        <v>273.627</v>
      </c>
      <c r="AV539" s="1298" t="n">
        <v>48.257</v>
      </c>
      <c r="AW539" s="1298" t="n">
        <v>59.37</v>
      </c>
      <c r="AX539" s="1298" t="n">
        <v>91.532</v>
      </c>
      <c r="AY539" s="1280">
        <f>AZ539</f>
        <v/>
      </c>
      <c r="AZ539" s="1299" t="n">
        <v>-98.85599999999999</v>
      </c>
      <c r="BA539" s="1298" t="n">
        <v>114.442</v>
      </c>
      <c r="BB539" s="1298" t="n">
        <v>333.707</v>
      </c>
      <c r="BC539" s="1298" t="n">
        <v>335.393</v>
      </c>
      <c r="BD539" s="1280">
        <f>BE539</f>
        <v/>
      </c>
      <c r="BE539" s="1299" t="n">
        <v>369.14</v>
      </c>
      <c r="BF539" s="1298" t="n">
        <v>294.092</v>
      </c>
      <c r="BG539" s="1298" t="n">
        <v>1267.199</v>
      </c>
      <c r="BH539" s="1298" t="n">
        <v>1965.956</v>
      </c>
      <c r="BI539" s="1280">
        <f>BJ539</f>
        <v/>
      </c>
      <c r="BJ539" s="1299" t="n">
        <v>2597.927</v>
      </c>
      <c r="BK539" s="1298" t="n">
        <v>781.375</v>
      </c>
      <c r="BL539" s="1298" t="n">
        <v>1235.418</v>
      </c>
      <c r="BM539" s="1298" t="n">
        <v>1486.709</v>
      </c>
      <c r="BN539" s="1280">
        <f>BO539</f>
        <v/>
      </c>
      <c r="BO539" s="1382" t="n"/>
      <c r="BP539" s="1277" t="n"/>
      <c r="BQ539" s="1277" t="n"/>
      <c r="BR539" s="1277" t="n"/>
      <c r="BS539" s="1277" t="n"/>
      <c r="BT539" s="1297" t="n"/>
      <c r="BU539" s="1277" t="n"/>
      <c r="BV539" s="1277" t="n"/>
      <c r="BW539" s="1277" t="n"/>
      <c r="BX539" s="1277" t="n"/>
      <c r="BY539" s="1297" t="n"/>
      <c r="BZ539" s="1297" t="n"/>
      <c r="CA539" s="1297" t="n"/>
      <c r="CB539" s="1297" t="n"/>
      <c r="CC539" s="1280" t="n"/>
    </row>
    <row r="540" hidden="1" outlineLevel="1" ht="14.4" customFormat="1" customHeight="1" s="1275">
      <c r="A540" s="1295" t="inlineStr">
        <is>
          <t>Gain on disposal of intangible assets, net</t>
        </is>
      </c>
      <c r="B540" s="1387" t="n"/>
      <c r="C540" s="1297" t="n"/>
      <c r="D540" s="1297" t="n"/>
      <c r="E540" s="1297" t="n"/>
      <c r="F540" s="1297" t="n"/>
      <c r="G540" s="1297" t="n"/>
      <c r="H540" s="1277" t="n"/>
      <c r="I540" s="1277" t="n"/>
      <c r="J540" s="1277" t="n"/>
      <c r="K540" s="1277" t="n"/>
      <c r="L540" s="1297" t="n"/>
      <c r="M540" s="1277" t="n"/>
      <c r="N540" s="1277" t="n"/>
      <c r="O540" s="1277" t="n"/>
      <c r="P540" s="1277" t="n"/>
      <c r="Q540" s="1297" t="n"/>
      <c r="R540" s="1277" t="n"/>
      <c r="S540" s="1277" t="n"/>
      <c r="T540" s="1277" t="n"/>
      <c r="U540" s="1277" t="n"/>
      <c r="V540" s="1297" t="n"/>
      <c r="W540" s="1277" t="n"/>
      <c r="X540" s="1277" t="n"/>
      <c r="Y540" s="1277" t="n"/>
      <c r="Z540" s="1277" t="n"/>
      <c r="AA540" s="1297" t="n"/>
      <c r="AB540" s="1298" t="n">
        <v>-0.436</v>
      </c>
      <c r="AC540" s="1298" t="n">
        <v>-0.436</v>
      </c>
      <c r="AD540" s="1298" t="n">
        <v>-0.436</v>
      </c>
      <c r="AE540" s="1280">
        <f>AF540</f>
        <v/>
      </c>
      <c r="AF540" s="1299" t="n">
        <v>-0.436</v>
      </c>
      <c r="AG540" s="1277" t="n"/>
      <c r="AH540" s="1298" t="n">
        <v>2.377</v>
      </c>
      <c r="AI540" s="1298" t="n">
        <v>2.377</v>
      </c>
      <c r="AJ540" s="1280">
        <f>AK540</f>
        <v/>
      </c>
      <c r="AK540" s="1299" t="n">
        <v>2.377</v>
      </c>
      <c r="AL540" s="1277" t="n"/>
      <c r="AM540" s="1277" t="n"/>
      <c r="AN540" s="1298" t="n">
        <v>0.599</v>
      </c>
      <c r="AO540" s="1280">
        <f>AP540</f>
        <v/>
      </c>
      <c r="AP540" s="1299" t="n">
        <v>0.599</v>
      </c>
      <c r="AQ540" s="1277" t="n"/>
      <c r="AR540" s="1298" t="n">
        <v>1.228</v>
      </c>
      <c r="AS540" s="1298" t="n">
        <v>1.228</v>
      </c>
      <c r="AT540" s="1280">
        <f>AU540</f>
        <v/>
      </c>
      <c r="AU540" s="1299" t="n">
        <v>1.228</v>
      </c>
      <c r="AV540" s="1277" t="n"/>
      <c r="AW540" s="1277" t="n"/>
      <c r="AX540" s="1277" t="n"/>
      <c r="AY540" s="1280">
        <f>AZ540</f>
        <v/>
      </c>
      <c r="AZ540" s="1299" t="n">
        <v>6.004</v>
      </c>
      <c r="BA540" s="1298" t="n">
        <v>-0.769</v>
      </c>
      <c r="BB540" s="1298" t="n">
        <v>-1.539</v>
      </c>
      <c r="BC540" s="1298" t="n">
        <v>-2.308</v>
      </c>
      <c r="BD540" s="1280">
        <f>BE540</f>
        <v/>
      </c>
      <c r="BE540" s="1299" t="n">
        <v>-3.045</v>
      </c>
      <c r="BF540" s="1277" t="n"/>
      <c r="BG540" s="1277" t="n"/>
      <c r="BH540" s="1277" t="n"/>
      <c r="BI540" s="1280">
        <f>BJ540</f>
        <v/>
      </c>
      <c r="BJ540" s="1299" t="n">
        <v>0.034</v>
      </c>
      <c r="BK540" s="1277" t="n"/>
      <c r="BL540" s="1298" t="n">
        <v>2.071</v>
      </c>
      <c r="BM540" s="1298" t="n">
        <v>2.071</v>
      </c>
      <c r="BN540" s="1280">
        <f>BO540</f>
        <v/>
      </c>
      <c r="BO540" s="1382" t="n"/>
      <c r="BP540" s="1277" t="n"/>
      <c r="BQ540" s="1277" t="n"/>
      <c r="BR540" s="1277" t="n"/>
      <c r="BS540" s="1277" t="n"/>
      <c r="BT540" s="1297" t="n"/>
      <c r="BU540" s="1277" t="n"/>
      <c r="BV540" s="1277" t="n"/>
      <c r="BW540" s="1277" t="n"/>
      <c r="BX540" s="1277" t="n"/>
      <c r="BY540" s="1297" t="n"/>
      <c r="BZ540" s="1297" t="n"/>
      <c r="CA540" s="1297" t="n"/>
      <c r="CB540" s="1297" t="n"/>
      <c r="CC540" s="1280" t="n"/>
    </row>
    <row r="541" hidden="1" outlineLevel="1" ht="14.4" customFormat="1" customHeight="1" s="1275">
      <c r="A541" s="1295" t="inlineStr">
        <is>
          <t>Reversal of impairment loss on property, plant and equipment</t>
        </is>
      </c>
      <c r="B541" s="1387" t="n"/>
      <c r="C541" s="1297" t="n"/>
      <c r="D541" s="1297" t="n"/>
      <c r="E541" s="1297" t="n"/>
      <c r="F541" s="1297" t="n"/>
      <c r="G541" s="1297" t="n"/>
      <c r="H541" s="1277" t="n"/>
      <c r="I541" s="1277" t="n"/>
      <c r="J541" s="1277" t="n"/>
      <c r="K541" s="1277" t="n"/>
      <c r="L541" s="1297" t="n"/>
      <c r="M541" s="1277" t="n"/>
      <c r="N541" s="1277" t="n"/>
      <c r="O541" s="1277" t="n"/>
      <c r="P541" s="1277" t="n"/>
      <c r="Q541" s="1297" t="n"/>
      <c r="R541" s="1277" t="n"/>
      <c r="S541" s="1277" t="n"/>
      <c r="T541" s="1277" t="n"/>
      <c r="U541" s="1277" t="n"/>
      <c r="V541" s="1297" t="n"/>
      <c r="W541" s="1277" t="n"/>
      <c r="X541" s="1277" t="n"/>
      <c r="Y541" s="1277" t="n"/>
      <c r="Z541" s="1277" t="n"/>
      <c r="AA541" s="1297" t="n"/>
      <c r="AB541" s="1277" t="n"/>
      <c r="AC541" s="1277" t="n"/>
      <c r="AD541" s="1277" t="n"/>
      <c r="AE541" s="1277" t="n"/>
      <c r="AF541" s="1297" t="n"/>
      <c r="AG541" s="1298" t="n">
        <v>-301.384</v>
      </c>
      <c r="AH541" s="1298" t="n">
        <v>-301.384</v>
      </c>
      <c r="AI541" s="1298" t="n">
        <v>-301.384</v>
      </c>
      <c r="AJ541" s="1280">
        <f>AK541</f>
        <v/>
      </c>
      <c r="AK541" s="1299" t="n">
        <v>-301.384</v>
      </c>
      <c r="AL541" s="1277" t="n"/>
      <c r="AM541" s="1277" t="n"/>
      <c r="AN541" s="1298" t="n">
        <v>10.159</v>
      </c>
      <c r="AO541" s="1280">
        <f>AP541</f>
        <v/>
      </c>
      <c r="AP541" s="1299" t="n">
        <v>10.159</v>
      </c>
      <c r="AQ541" s="1277" t="n"/>
      <c r="AR541" s="1277" t="n"/>
      <c r="AS541" s="1277" t="n"/>
      <c r="AT541" s="1280">
        <f>AU541</f>
        <v/>
      </c>
      <c r="AU541" s="1297" t="n"/>
      <c r="AV541" s="1277" t="n"/>
      <c r="AW541" s="1277" t="n"/>
      <c r="AX541" s="1277" t="n"/>
      <c r="AY541" s="1280">
        <f>AZ541</f>
        <v/>
      </c>
      <c r="AZ541" s="1297" t="n"/>
      <c r="BA541" s="1277" t="n"/>
      <c r="BB541" s="1277" t="n"/>
      <c r="BC541" s="1277" t="n"/>
      <c r="BD541" s="1280">
        <f>BE541</f>
        <v/>
      </c>
      <c r="BE541" s="1297" t="n"/>
      <c r="BF541" s="1277" t="n"/>
      <c r="BG541" s="1277" t="n"/>
      <c r="BH541" s="1277" t="n"/>
      <c r="BI541" s="1280">
        <f>BJ541</f>
        <v/>
      </c>
      <c r="BJ541" s="1297" t="n"/>
      <c r="BK541" s="1277" t="n"/>
      <c r="BL541" s="1277" t="n"/>
      <c r="BM541" s="1277" t="n"/>
      <c r="BN541" s="1280">
        <f>BO541</f>
        <v/>
      </c>
      <c r="BO541" s="1382" t="n"/>
      <c r="BP541" s="1277" t="n"/>
      <c r="BQ541" s="1277" t="n"/>
      <c r="BR541" s="1277" t="n"/>
      <c r="BS541" s="1277" t="n"/>
      <c r="BT541" s="1297" t="n"/>
      <c r="BU541" s="1277" t="n"/>
      <c r="BV541" s="1277" t="n"/>
      <c r="BW541" s="1277" t="n"/>
      <c r="BX541" s="1277" t="n"/>
      <c r="BY541" s="1297" t="n"/>
      <c r="BZ541" s="1297" t="n"/>
      <c r="CA541" s="1297" t="n"/>
      <c r="CB541" s="1297" t="n"/>
      <c r="CC541" s="1280" t="n"/>
    </row>
    <row r="542" hidden="1" outlineLevel="1" ht="14.4" customFormat="1" customHeight="1" s="1275">
      <c r="A542" s="1295" t="inlineStr">
        <is>
          <t>Loss (gain) on financial instruments at fair value through profit or loss</t>
        </is>
      </c>
      <c r="B542" s="1387" t="n"/>
      <c r="C542" s="1297" t="n"/>
      <c r="D542" s="1297" t="n"/>
      <c r="E542" s="1297" t="n"/>
      <c r="F542" s="1297" t="n"/>
      <c r="G542" s="1297" t="n"/>
      <c r="H542" s="1277" t="n"/>
      <c r="I542" s="1277" t="n"/>
      <c r="J542" s="1277" t="n"/>
      <c r="K542" s="1277" t="n"/>
      <c r="L542" s="1297" t="n"/>
      <c r="M542" s="1277" t="n"/>
      <c r="N542" s="1277" t="n"/>
      <c r="O542" s="1277" t="n"/>
      <c r="P542" s="1277" t="n"/>
      <c r="Q542" s="1297" t="n"/>
      <c r="R542" s="1277" t="n"/>
      <c r="S542" s="1277" t="n"/>
      <c r="T542" s="1277" t="n"/>
      <c r="U542" s="1277" t="n"/>
      <c r="V542" s="1297" t="n"/>
      <c r="W542" s="1277" t="n"/>
      <c r="X542" s="1277" t="n"/>
      <c r="Y542" s="1277" t="n"/>
      <c r="Z542" s="1277" t="n"/>
      <c r="AA542" s="1297" t="n"/>
      <c r="AB542" s="1298" t="n">
        <v>28.142</v>
      </c>
      <c r="AC542" s="1298" t="n">
        <v>60.541</v>
      </c>
      <c r="AD542" s="1298" t="n">
        <v>244.799</v>
      </c>
      <c r="AE542" s="1280">
        <f>AF542</f>
        <v/>
      </c>
      <c r="AF542" s="1299" t="n">
        <v>358.156</v>
      </c>
      <c r="AG542" s="1298" t="n">
        <v>338.047</v>
      </c>
      <c r="AH542" s="1298" t="n">
        <v>890.206</v>
      </c>
      <c r="AI542" s="1298" t="n">
        <v>958.0839999999999</v>
      </c>
      <c r="AJ542" s="1280">
        <f>AK542</f>
        <v/>
      </c>
      <c r="AK542" s="1299" t="n">
        <v>955.723</v>
      </c>
      <c r="AL542" s="1298" t="n">
        <v>2.883</v>
      </c>
      <c r="AM542" s="1298" t="n">
        <v>3.434</v>
      </c>
      <c r="AN542" s="1298" t="n">
        <v>-2.36</v>
      </c>
      <c r="AO542" s="1280">
        <f>AP542</f>
        <v/>
      </c>
      <c r="AP542" s="1299" t="n">
        <v>-3.005</v>
      </c>
      <c r="AQ542" s="1277" t="n"/>
      <c r="AR542" s="1277" t="n"/>
      <c r="AS542" s="1277" t="n"/>
      <c r="AT542" s="1280">
        <f>AU542</f>
        <v/>
      </c>
      <c r="AU542" s="1297" t="n"/>
      <c r="AV542" s="1277" t="n"/>
      <c r="AW542" s="1277" t="n"/>
      <c r="AX542" s="1277" t="n"/>
      <c r="AY542" s="1280">
        <f>AZ542</f>
        <v/>
      </c>
      <c r="AZ542" s="1297" t="n"/>
      <c r="BA542" s="1298" t="n">
        <v>-23.522</v>
      </c>
      <c r="BB542" s="1298" t="n">
        <v>-25.519</v>
      </c>
      <c r="BC542" s="1298" t="n">
        <v>-27.022</v>
      </c>
      <c r="BD542" s="1280">
        <f>BE542</f>
        <v/>
      </c>
      <c r="BE542" s="1299" t="n">
        <v>-12.355</v>
      </c>
      <c r="BF542" s="1298" t="n">
        <v>0.752</v>
      </c>
      <c r="BG542" s="1298" t="n">
        <v>184.681</v>
      </c>
      <c r="BH542" s="1298" t="n">
        <v>139.28</v>
      </c>
      <c r="BI542" s="1280">
        <f>BJ542</f>
        <v/>
      </c>
      <c r="BJ542" s="1299" t="n">
        <v>137.694</v>
      </c>
      <c r="BK542" s="1298" t="n">
        <v>-21.7</v>
      </c>
      <c r="BL542" s="1298" t="n">
        <v>-204.315</v>
      </c>
      <c r="BM542" s="1298" t="n">
        <v>-356.143</v>
      </c>
      <c r="BN542" s="1280">
        <f>BO542</f>
        <v/>
      </c>
      <c r="BO542" s="1382" t="n"/>
      <c r="BP542" s="1277" t="n"/>
      <c r="BQ542" s="1277" t="n"/>
      <c r="BR542" s="1277" t="n"/>
      <c r="BS542" s="1277" t="n"/>
      <c r="BT542" s="1297" t="n"/>
      <c r="BU542" s="1277" t="n"/>
      <c r="BV542" s="1277" t="n"/>
      <c r="BW542" s="1277" t="n"/>
      <c r="BX542" s="1277" t="n"/>
      <c r="BY542" s="1297" t="n"/>
      <c r="BZ542" s="1297" t="n"/>
      <c r="CA542" s="1297" t="n"/>
      <c r="CB542" s="1297" t="n"/>
      <c r="CC542" s="1280" t="n"/>
    </row>
    <row r="543" hidden="1" outlineLevel="1" ht="14.4" customFormat="1" customHeight="1" s="1275">
      <c r="A543" s="1295" t="inlineStr">
        <is>
          <t>Loss on disposal of investments in debt instruments at fair value though other comprehensive income</t>
        </is>
      </c>
      <c r="B543" s="1387" t="n"/>
      <c r="C543" s="1297" t="n"/>
      <c r="D543" s="1297" t="n"/>
      <c r="E543" s="1297" t="n"/>
      <c r="F543" s="1297" t="n"/>
      <c r="G543" s="1297" t="n"/>
      <c r="H543" s="1277" t="n"/>
      <c r="I543" s="1277" t="n"/>
      <c r="J543" s="1277" t="n"/>
      <c r="K543" s="1277" t="n"/>
      <c r="L543" s="1297" t="n"/>
      <c r="M543" s="1277" t="n"/>
      <c r="N543" s="1277" t="n"/>
      <c r="O543" s="1277" t="n"/>
      <c r="P543" s="1277" t="n"/>
      <c r="Q543" s="1297" t="n"/>
      <c r="R543" s="1277" t="n"/>
      <c r="S543" s="1277" t="n"/>
      <c r="T543" s="1277" t="n"/>
      <c r="U543" s="1277" t="n"/>
      <c r="V543" s="1297" t="n"/>
      <c r="W543" s="1277" t="n"/>
      <c r="X543" s="1277" t="n"/>
      <c r="Y543" s="1277" t="n"/>
      <c r="Z543" s="1277" t="n"/>
      <c r="AA543" s="1297" t="n"/>
      <c r="AB543" s="1298" t="n">
        <v>252.328</v>
      </c>
      <c r="AC543" s="1298" t="n">
        <v>512.2670000000001</v>
      </c>
      <c r="AD543" s="1298" t="n">
        <v>774.784</v>
      </c>
      <c r="AE543" s="1280">
        <f>AF543</f>
        <v/>
      </c>
      <c r="AF543" s="1299" t="n">
        <v>989.138</v>
      </c>
      <c r="AG543" s="1298" t="n">
        <v>53.105</v>
      </c>
      <c r="AH543" s="1298" t="n">
        <v>-172.465</v>
      </c>
      <c r="AI543" s="1298" t="n">
        <v>-499.147</v>
      </c>
      <c r="AJ543" s="1280">
        <f>AK543</f>
        <v/>
      </c>
      <c r="AK543" s="1299" t="n">
        <v>-537.835</v>
      </c>
      <c r="AL543" s="1298" t="n">
        <v>-179.412</v>
      </c>
      <c r="AM543" s="1298" t="n">
        <v>-926.919</v>
      </c>
      <c r="AN543" s="1298" t="n">
        <v>-1327.251</v>
      </c>
      <c r="AO543" s="1280">
        <f>AP543</f>
        <v/>
      </c>
      <c r="AP543" s="1299" t="n">
        <v>-1439.42</v>
      </c>
      <c r="AQ543" s="1298" t="n">
        <v>-2.986</v>
      </c>
      <c r="AR543" s="1298" t="n">
        <v>-169.334</v>
      </c>
      <c r="AS543" s="1298" t="n">
        <v>-183.349</v>
      </c>
      <c r="AT543" s="1280">
        <f>AU543</f>
        <v/>
      </c>
      <c r="AU543" s="1299" t="n">
        <v>-93.229</v>
      </c>
      <c r="AV543" s="1298" t="n">
        <v>140.778</v>
      </c>
      <c r="AW543" s="1298" t="n">
        <v>245.151</v>
      </c>
      <c r="AX543" s="1298" t="n">
        <v>346.125</v>
      </c>
      <c r="AY543" s="1280">
        <f>AZ543</f>
        <v/>
      </c>
      <c r="AZ543" s="1299" t="n">
        <v>410.076</v>
      </c>
      <c r="BA543" s="1298" t="n">
        <v>135.693</v>
      </c>
      <c r="BB543" s="1298" t="n">
        <v>257.553</v>
      </c>
      <c r="BC543" s="1298" t="n">
        <v>372.631</v>
      </c>
      <c r="BD543" s="1280">
        <f>BE543</f>
        <v/>
      </c>
      <c r="BE543" s="1299" t="n">
        <v>473.897</v>
      </c>
      <c r="BF543" s="1298" t="n">
        <v>102.504</v>
      </c>
      <c r="BG543" s="1298" t="n">
        <v>205.086</v>
      </c>
      <c r="BH543" s="1298" t="n">
        <v>286.502</v>
      </c>
      <c r="BI543" s="1280">
        <f>BJ543</f>
        <v/>
      </c>
      <c r="BJ543" s="1299" t="n">
        <v>683.117</v>
      </c>
      <c r="BK543" s="1298" t="n">
        <v>50.24</v>
      </c>
      <c r="BL543" s="1298" t="n">
        <v>82.845</v>
      </c>
      <c r="BM543" s="1298" t="n">
        <v>99.61499999999999</v>
      </c>
      <c r="BN543" s="1280">
        <f>BO543</f>
        <v/>
      </c>
      <c r="BO543" s="1382" t="n"/>
      <c r="BP543" s="1277" t="n"/>
      <c r="BQ543" s="1277" t="n"/>
      <c r="BR543" s="1277" t="n"/>
      <c r="BS543" s="1277" t="n"/>
      <c r="BT543" s="1297" t="n"/>
      <c r="BU543" s="1277" t="n"/>
      <c r="BV543" s="1277" t="n"/>
      <c r="BW543" s="1277" t="n"/>
      <c r="BX543" s="1277" t="n"/>
      <c r="BY543" s="1297" t="n"/>
      <c r="BZ543" s="1297" t="n"/>
      <c r="CA543" s="1297" t="n"/>
      <c r="CB543" s="1297" t="n"/>
      <c r="CC543" s="1280" t="n"/>
    </row>
    <row r="544" hidden="1" outlineLevel="1" ht="14.4" customFormat="1" customHeight="1" s="1275">
      <c r="A544" s="1295" t="inlineStr">
        <is>
          <t>Impairment loss of noncurrent assets held for sale</t>
        </is>
      </c>
      <c r="B544" s="1387" t="n"/>
      <c r="C544" s="1297" t="n"/>
      <c r="D544" s="1297" t="n"/>
      <c r="E544" s="1297" t="n"/>
      <c r="F544" s="1299" t="n">
        <v>0</v>
      </c>
      <c r="G544" s="1299" t="n">
        <v>0</v>
      </c>
      <c r="H544" s="1277" t="n"/>
      <c r="I544" s="1277" t="n"/>
      <c r="J544" s="1277" t="n"/>
      <c r="K544" s="1280">
        <f>L544</f>
        <v/>
      </c>
      <c r="L544" s="1299" t="n">
        <v>735.466</v>
      </c>
      <c r="M544" s="1277" t="n"/>
      <c r="N544" s="1277" t="n"/>
      <c r="O544" s="1277" t="n"/>
      <c r="P544" s="1280">
        <f>Q544</f>
        <v/>
      </c>
      <c r="Q544" s="1297" t="n"/>
      <c r="R544" s="1277" t="n"/>
      <c r="S544" s="1277" t="n"/>
      <c r="T544" s="1277" t="n"/>
      <c r="U544" s="1280">
        <f>V544</f>
        <v/>
      </c>
      <c r="V544" s="1297" t="n"/>
      <c r="W544" s="1277" t="n"/>
      <c r="X544" s="1277" t="n"/>
      <c r="Y544" s="1277" t="n"/>
      <c r="Z544" s="1280">
        <f>AA544</f>
        <v/>
      </c>
      <c r="AA544" s="1297" t="n"/>
      <c r="AB544" s="1277" t="n"/>
      <c r="AC544" s="1277" t="n"/>
      <c r="AD544" s="1277" t="n"/>
      <c r="AE544" s="1280">
        <f>AF544</f>
        <v/>
      </c>
      <c r="AF544" s="1297" t="n"/>
      <c r="AG544" s="1277" t="n"/>
      <c r="AH544" s="1277" t="n"/>
      <c r="AI544" s="1277" t="n"/>
      <c r="AJ544" s="1277" t="n"/>
      <c r="AK544" s="1297" t="n"/>
      <c r="AL544" s="1277" t="n"/>
      <c r="AM544" s="1277" t="n"/>
      <c r="AN544" s="1277" t="n"/>
      <c r="AO544" s="1280">
        <f>AP544</f>
        <v/>
      </c>
      <c r="AP544" s="1297" t="n"/>
      <c r="AQ544" s="1277" t="n"/>
      <c r="AR544" s="1277" t="n"/>
      <c r="AS544" s="1277" t="n"/>
      <c r="AT544" s="1280">
        <f>AU544</f>
        <v/>
      </c>
      <c r="AU544" s="1297" t="n"/>
      <c r="AV544" s="1277" t="n"/>
      <c r="AW544" s="1277" t="n"/>
      <c r="AX544" s="1277" t="n"/>
      <c r="AY544" s="1280">
        <f>AZ544</f>
        <v/>
      </c>
      <c r="AZ544" s="1297" t="n"/>
      <c r="BA544" s="1277" t="n"/>
      <c r="BB544" s="1277" t="n"/>
      <c r="BC544" s="1277" t="n"/>
      <c r="BD544" s="1280">
        <f>BE544</f>
        <v/>
      </c>
      <c r="BE544" s="1297" t="n"/>
      <c r="BF544" s="1277" t="n"/>
      <c r="BG544" s="1277" t="n"/>
      <c r="BH544" s="1277" t="n"/>
      <c r="BI544" s="1280">
        <f>BJ544</f>
        <v/>
      </c>
      <c r="BJ544" s="1297" t="n"/>
      <c r="BK544" s="1277" t="n"/>
      <c r="BL544" s="1277" t="n"/>
      <c r="BM544" s="1277" t="n"/>
      <c r="BN544" s="1280">
        <f>BO544</f>
        <v/>
      </c>
      <c r="BO544" s="1382" t="n"/>
      <c r="BP544" s="1277" t="n"/>
      <c r="BQ544" s="1277" t="n"/>
      <c r="BR544" s="1277" t="n"/>
      <c r="BS544" s="1277" t="n"/>
      <c r="BT544" s="1297" t="n"/>
      <c r="BU544" s="1277" t="n"/>
      <c r="BV544" s="1277" t="n"/>
      <c r="BW544" s="1277" t="n"/>
      <c r="BX544" s="1277" t="n"/>
      <c r="BY544" s="1297" t="n"/>
      <c r="BZ544" s="1297" t="n"/>
      <c r="CA544" s="1297" t="n"/>
      <c r="CB544" s="1297" t="n"/>
      <c r="CC544" s="1280" t="n"/>
    </row>
    <row r="545" hidden="1" outlineLevel="1" ht="14.4" customFormat="1" customHeight="1" s="1275">
      <c r="A545" s="1295" t="inlineStr">
        <is>
          <t>Impairment loss on property, plant and equipment</t>
        </is>
      </c>
      <c r="B545" s="1387" t="n"/>
      <c r="C545" s="1299" t="n">
        <v>0</v>
      </c>
      <c r="D545" s="1299" t="n">
        <v>0.319</v>
      </c>
      <c r="E545" s="1299" t="n">
        <v>98.009</v>
      </c>
      <c r="F545" s="1299" t="n">
        <v>444.505</v>
      </c>
      <c r="G545" s="1299" t="n">
        <v>0</v>
      </c>
      <c r="H545" s="1298" t="n">
        <v>0</v>
      </c>
      <c r="I545" s="1298" t="n">
        <v>239.864</v>
      </c>
      <c r="J545" s="1298" t="n">
        <v>239.864</v>
      </c>
      <c r="K545" s="1280">
        <f>L545</f>
        <v/>
      </c>
      <c r="L545" s="1299" t="n">
        <v>239.864</v>
      </c>
      <c r="M545" s="1298" t="n">
        <v>0</v>
      </c>
      <c r="N545" s="1298" t="n">
        <v>31.305</v>
      </c>
      <c r="O545" s="1298" t="n">
        <v>2317.424</v>
      </c>
      <c r="P545" s="1280">
        <f>Q545</f>
        <v/>
      </c>
      <c r="Q545" s="1299" t="n">
        <v>2545.584</v>
      </c>
      <c r="R545" s="1298" t="n">
        <v>0</v>
      </c>
      <c r="S545" s="1298" t="n">
        <v>0</v>
      </c>
      <c r="T545" s="1298" t="n">
        <v>0</v>
      </c>
      <c r="U545" s="1280">
        <f>V545</f>
        <v/>
      </c>
      <c r="V545" s="1299" t="n">
        <v>0</v>
      </c>
      <c r="W545" s="1277" t="n"/>
      <c r="X545" s="1277" t="n"/>
      <c r="Y545" s="1277" t="n"/>
      <c r="Z545" s="1280">
        <f>AA545</f>
        <v/>
      </c>
      <c r="AA545" s="1297" t="n"/>
      <c r="AB545" s="1277" t="n"/>
      <c r="AC545" s="1298" t="n">
        <v>488.336</v>
      </c>
      <c r="AD545" s="1298" t="n">
        <v>488.336</v>
      </c>
      <c r="AE545" s="1280">
        <f>AF545</f>
        <v/>
      </c>
      <c r="AF545" s="1299" t="n">
        <v>423.468</v>
      </c>
      <c r="AG545" s="1277" t="n"/>
      <c r="AH545" s="1277" t="n"/>
      <c r="AI545" s="1277" t="n"/>
      <c r="AJ545" s="1277" t="n"/>
      <c r="AK545" s="1297" t="n"/>
      <c r="AL545" s="1277" t="n"/>
      <c r="AM545" s="1277" t="n"/>
      <c r="AN545" s="1277" t="n"/>
      <c r="AO545" s="1280">
        <f>AP545</f>
        <v/>
      </c>
      <c r="AP545" s="1297" t="n"/>
      <c r="AQ545" s="1298" t="n">
        <v>274.388</v>
      </c>
      <c r="AR545" s="1298" t="n">
        <v>274.388</v>
      </c>
      <c r="AS545" s="1298" t="n">
        <v>274.388</v>
      </c>
      <c r="AT545" s="1280">
        <f>AU545</f>
        <v/>
      </c>
      <c r="AU545" s="1299" t="n">
        <v>274.388</v>
      </c>
      <c r="AV545" s="1298" t="n">
        <v>790.74</v>
      </c>
      <c r="AW545" s="1298" t="n">
        <v>790.74</v>
      </c>
      <c r="AX545" s="1298" t="n">
        <v>790.74</v>
      </c>
      <c r="AY545" s="1280">
        <f>AZ545</f>
        <v/>
      </c>
      <c r="AZ545" s="1299" t="n">
        <v>790.74</v>
      </c>
      <c r="BA545" s="1277" t="n"/>
      <c r="BB545" s="1277" t="n"/>
      <c r="BC545" s="1277" t="n"/>
      <c r="BD545" s="1280">
        <f>BE545</f>
        <v/>
      </c>
      <c r="BE545" s="1297" t="n"/>
      <c r="BF545" s="1277" t="n"/>
      <c r="BG545" s="1298" t="n">
        <v>1150.485</v>
      </c>
      <c r="BH545" s="1298" t="n">
        <v>1150.485</v>
      </c>
      <c r="BI545" s="1280">
        <f>BJ545</f>
        <v/>
      </c>
      <c r="BJ545" s="1299" t="n">
        <v>1150.485</v>
      </c>
      <c r="BK545" s="1298" t="n">
        <v>1297.218</v>
      </c>
      <c r="BL545" s="1298" t="n">
        <v>1670.522</v>
      </c>
      <c r="BM545" s="1298" t="n">
        <v>1671.981</v>
      </c>
      <c r="BN545" s="1280">
        <f>BO545</f>
        <v/>
      </c>
      <c r="BO545" s="1382" t="n"/>
      <c r="BP545" s="1277" t="n"/>
      <c r="BQ545" s="1277" t="n"/>
      <c r="BR545" s="1277" t="n"/>
      <c r="BS545" s="1277" t="n"/>
      <c r="BT545" s="1297" t="n"/>
      <c r="BU545" s="1277" t="n"/>
      <c r="BV545" s="1277" t="n"/>
      <c r="BW545" s="1277" t="n"/>
      <c r="BX545" s="1277" t="n"/>
      <c r="BY545" s="1297" t="n"/>
      <c r="BZ545" s="1297" t="n"/>
      <c r="CA545" s="1297" t="n"/>
      <c r="CB545" s="1297" t="n"/>
      <c r="CC545" s="1280" t="n"/>
    </row>
    <row r="546" hidden="1" outlineLevel="1" ht="14.4" customFormat="1" customHeight="1" s="1275">
      <c r="A546" s="1295" t="inlineStr">
        <is>
          <t>Impairment loss on intangible assets</t>
        </is>
      </c>
      <c r="B546" s="1387" t="n"/>
      <c r="C546" s="1297" t="n"/>
      <c r="D546" s="1297" t="n"/>
      <c r="E546" s="1297" t="n"/>
      <c r="F546" s="1299" t="n">
        <v>0</v>
      </c>
      <c r="G546" s="1299" t="n">
        <v>0</v>
      </c>
      <c r="H546" s="1298" t="n">
        <v>0</v>
      </c>
      <c r="I546" s="1298" t="n">
        <v>0</v>
      </c>
      <c r="J546" s="1298" t="n">
        <v>0</v>
      </c>
      <c r="K546" s="1280">
        <f>L546</f>
        <v/>
      </c>
      <c r="L546" s="1299" t="n">
        <v>0</v>
      </c>
      <c r="M546" s="1298" t="n">
        <v>0</v>
      </c>
      <c r="N546" s="1298" t="n">
        <v>0</v>
      </c>
      <c r="O546" s="1298" t="n">
        <v>58.514</v>
      </c>
      <c r="P546" s="1280">
        <f>Q546</f>
        <v/>
      </c>
      <c r="Q546" s="1299" t="n">
        <v>58.814</v>
      </c>
      <c r="R546" s="1298" t="n">
        <v>0</v>
      </c>
      <c r="S546" s="1298" t="n">
        <v>0</v>
      </c>
      <c r="T546" s="1298" t="n">
        <v>0</v>
      </c>
      <c r="U546" s="1280">
        <f>V546</f>
        <v/>
      </c>
      <c r="V546" s="1299" t="n">
        <v>0</v>
      </c>
      <c r="W546" s="1298" t="n">
        <v>0</v>
      </c>
      <c r="X546" s="1298" t="n">
        <v>0</v>
      </c>
      <c r="Y546" s="1298" t="n">
        <v>13.52</v>
      </c>
      <c r="Z546" s="1280">
        <f>AA546</f>
        <v/>
      </c>
      <c r="AA546" s="1299" t="n">
        <v>13.52</v>
      </c>
      <c r="AB546" s="1277" t="n"/>
      <c r="AC546" s="1277" t="n"/>
      <c r="AD546" s="1277" t="n"/>
      <c r="AE546" s="1280">
        <f>AF546</f>
        <v/>
      </c>
      <c r="AF546" s="1297" t="n"/>
      <c r="AG546" s="1277" t="n"/>
      <c r="AH546" s="1277" t="n"/>
      <c r="AI546" s="1277" t="n"/>
      <c r="AJ546" s="1277" t="n"/>
      <c r="AK546" s="1297" t="n"/>
      <c r="AL546" s="1277" t="n"/>
      <c r="AM546" s="1277" t="n"/>
      <c r="AN546" s="1277" t="n"/>
      <c r="AO546" s="1280">
        <f>AP546</f>
        <v/>
      </c>
      <c r="AP546" s="1297" t="n"/>
      <c r="AQ546" s="1277" t="n"/>
      <c r="AR546" s="1277" t="n"/>
      <c r="AS546" s="1277" t="n"/>
      <c r="AT546" s="1280">
        <f>AU546</f>
        <v/>
      </c>
      <c r="AU546" s="1297" t="n"/>
      <c r="AV546" s="1277" t="n"/>
      <c r="AW546" s="1277" t="n"/>
      <c r="AX546" s="1277" t="n"/>
      <c r="AY546" s="1280">
        <f>AZ546</f>
        <v/>
      </c>
      <c r="AZ546" s="1297" t="n"/>
      <c r="BA546" s="1277" t="n"/>
      <c r="BB546" s="1277" t="n"/>
      <c r="BC546" s="1277" t="n"/>
      <c r="BD546" s="1280">
        <f>BE546</f>
        <v/>
      </c>
      <c r="BE546" s="1297" t="n"/>
      <c r="BF546" s="1277" t="n"/>
      <c r="BG546" s="1277" t="n"/>
      <c r="BH546" s="1277" t="n"/>
      <c r="BI546" s="1280">
        <f>BJ546</f>
        <v/>
      </c>
      <c r="BJ546" s="1297" t="n"/>
      <c r="BK546" s="1277" t="n"/>
      <c r="BL546" s="1277" t="n"/>
      <c r="BM546" s="1277" t="n"/>
      <c r="BN546" s="1280">
        <f>BO546</f>
        <v/>
      </c>
      <c r="BO546" s="1382" t="n"/>
      <c r="BP546" s="1277" t="n"/>
      <c r="BQ546" s="1277" t="n"/>
      <c r="BR546" s="1277" t="n"/>
      <c r="BS546" s="1277" t="n"/>
      <c r="BT546" s="1297" t="n"/>
      <c r="BU546" s="1277" t="n"/>
      <c r="BV546" s="1277" t="n"/>
      <c r="BW546" s="1277" t="n"/>
      <c r="BX546" s="1277" t="n"/>
      <c r="BY546" s="1297" t="n"/>
      <c r="BZ546" s="1297" t="n"/>
      <c r="CA546" s="1297" t="n"/>
      <c r="CB546" s="1297" t="n"/>
      <c r="CC546" s="1280" t="n"/>
    </row>
    <row r="547" hidden="1" outlineLevel="1" ht="14.4" customFormat="1" customHeight="1" s="1275">
      <c r="A547" s="1295" t="inlineStr">
        <is>
          <t>Impairment loss on financial assets</t>
        </is>
      </c>
      <c r="B547" s="1387" t="n"/>
      <c r="C547" s="1299" t="n">
        <v>913.23</v>
      </c>
      <c r="D547" s="1299" t="n">
        <v>159.798</v>
      </c>
      <c r="E547" s="1299" t="n">
        <v>265.515</v>
      </c>
      <c r="F547" s="1299" t="n">
        <v>4231.602</v>
      </c>
      <c r="G547" s="1299" t="n">
        <v>352.214</v>
      </c>
      <c r="H547" s="1298" t="n">
        <v>0</v>
      </c>
      <c r="I547" s="1298" t="n">
        <v>0</v>
      </c>
      <c r="J547" s="1298" t="n">
        <v>176.92</v>
      </c>
      <c r="K547" s="1280">
        <f>L547</f>
        <v/>
      </c>
      <c r="L547" s="1299" t="n">
        <v>211.477</v>
      </c>
      <c r="M547" s="1298" t="n">
        <v>0</v>
      </c>
      <c r="N547" s="1298" t="n">
        <v>0</v>
      </c>
      <c r="O547" s="1298" t="n">
        <v>132.015</v>
      </c>
      <c r="P547" s="1280">
        <f>Q547</f>
        <v/>
      </c>
      <c r="Q547" s="1299" t="n">
        <v>154.721</v>
      </c>
      <c r="R547" s="1298" t="n">
        <v>0</v>
      </c>
      <c r="S547" s="1298" t="n">
        <v>30.872</v>
      </c>
      <c r="T547" s="1298" t="n">
        <v>55.055</v>
      </c>
      <c r="U547" s="1280">
        <f>V547</f>
        <v/>
      </c>
      <c r="V547" s="1299" t="n">
        <v>122.24</v>
      </c>
      <c r="W547" s="1298" t="n">
        <v>12.032</v>
      </c>
      <c r="X547" s="1298" t="n">
        <v>12.032</v>
      </c>
      <c r="Y547" s="1298" t="n">
        <v>15.941</v>
      </c>
      <c r="Z547" s="1280">
        <f>AA547</f>
        <v/>
      </c>
      <c r="AA547" s="1299" t="n">
        <v>29.603</v>
      </c>
      <c r="AB547" s="1277" t="n"/>
      <c r="AC547" s="1277" t="n"/>
      <c r="AD547" s="1277" t="n"/>
      <c r="AE547" s="1280">
        <f>AF547</f>
        <v/>
      </c>
      <c r="AF547" s="1297" t="n"/>
      <c r="AG547" s="1277" t="n"/>
      <c r="AH547" s="1277" t="n"/>
      <c r="AI547" s="1277" t="n"/>
      <c r="AJ547" s="1277" t="n"/>
      <c r="AK547" s="1297" t="n"/>
      <c r="AL547" s="1277" t="n"/>
      <c r="AM547" s="1277" t="n"/>
      <c r="AN547" s="1277" t="n"/>
      <c r="AO547" s="1280">
        <f>AP547</f>
        <v/>
      </c>
      <c r="AP547" s="1297" t="n"/>
      <c r="AQ547" s="1277" t="n"/>
      <c r="AR547" s="1277" t="n"/>
      <c r="AS547" s="1277" t="n"/>
      <c r="AT547" s="1280">
        <f>AU547</f>
        <v/>
      </c>
      <c r="AU547" s="1297" t="n"/>
      <c r="AV547" s="1277" t="n"/>
      <c r="AW547" s="1277" t="n"/>
      <c r="AX547" s="1277" t="n"/>
      <c r="AY547" s="1280">
        <f>AZ547</f>
        <v/>
      </c>
      <c r="AZ547" s="1297" t="n"/>
      <c r="BA547" s="1277" t="n"/>
      <c r="BB547" s="1277" t="n"/>
      <c r="BC547" s="1277" t="n"/>
      <c r="BD547" s="1280">
        <f>BE547</f>
        <v/>
      </c>
      <c r="BE547" s="1297" t="n"/>
      <c r="BF547" s="1277" t="n"/>
      <c r="BG547" s="1277" t="n"/>
      <c r="BH547" s="1277" t="n"/>
      <c r="BI547" s="1280">
        <f>BJ547</f>
        <v/>
      </c>
      <c r="BJ547" s="1297" t="n"/>
      <c r="BK547" s="1277" t="n"/>
      <c r="BL547" s="1277" t="n"/>
      <c r="BM547" s="1277" t="n"/>
      <c r="BN547" s="1280">
        <f>BO547</f>
        <v/>
      </c>
      <c r="BO547" s="1382" t="n"/>
      <c r="BP547" s="1277" t="n"/>
      <c r="BQ547" s="1277" t="n"/>
      <c r="BR547" s="1277" t="n"/>
      <c r="BS547" s="1277" t="n"/>
      <c r="BT547" s="1297" t="n"/>
      <c r="BU547" s="1277" t="n"/>
      <c r="BV547" s="1277" t="n"/>
      <c r="BW547" s="1277" t="n"/>
      <c r="BX547" s="1277" t="n"/>
      <c r="BY547" s="1297" t="n"/>
      <c r="BZ547" s="1297" t="n"/>
      <c r="CA547" s="1297" t="n"/>
      <c r="CB547" s="1297" t="n"/>
      <c r="CC547" s="1280" t="n"/>
    </row>
    <row r="548" hidden="1" outlineLevel="1" ht="14.4" customFormat="1" customHeight="1" s="1275">
      <c r="A548" s="1295" t="inlineStr">
        <is>
          <t>Gain on disposal of available-for-sale financial assets, net</t>
        </is>
      </c>
      <c r="B548" s="1387" t="n"/>
      <c r="C548" s="1299" t="n">
        <v>20.337</v>
      </c>
      <c r="D548" s="1299" t="n">
        <v>-603.3680000000001</v>
      </c>
      <c r="E548" s="1299" t="n">
        <v>-212.442</v>
      </c>
      <c r="F548" s="1299" t="n">
        <v>-399.598</v>
      </c>
      <c r="G548" s="1299" t="n">
        <v>-1267.086</v>
      </c>
      <c r="H548" s="1298" t="n">
        <v>-20.987</v>
      </c>
      <c r="I548" s="1298" t="n">
        <v>-134.02</v>
      </c>
      <c r="J548" s="1298" t="n">
        <v>-260.908</v>
      </c>
      <c r="K548" s="1280">
        <f>L548</f>
        <v/>
      </c>
      <c r="L548" s="1299" t="n">
        <v>-280.956</v>
      </c>
      <c r="M548" s="1298" t="n">
        <v>-2.961</v>
      </c>
      <c r="N548" s="1298" t="n">
        <v>-17642.367</v>
      </c>
      <c r="O548" s="1298" t="n">
        <v>-21482.011</v>
      </c>
      <c r="P548" s="1280">
        <f>Q548</f>
        <v/>
      </c>
      <c r="Q548" s="1299" t="n">
        <v>-22070.736</v>
      </c>
      <c r="R548" s="1298" t="n">
        <v>10.829</v>
      </c>
      <c r="S548" s="1298" t="n">
        <v>-89.669</v>
      </c>
      <c r="T548" s="1298" t="n">
        <v>-83.13800000000001</v>
      </c>
      <c r="U548" s="1280">
        <f>V548</f>
        <v/>
      </c>
      <c r="V548" s="1299" t="n">
        <v>4.014</v>
      </c>
      <c r="W548" s="1298" t="n">
        <v>8.981999999999999</v>
      </c>
      <c r="X548" s="1298" t="n">
        <v>59.311</v>
      </c>
      <c r="Y548" s="1298" t="n">
        <v>-266.986</v>
      </c>
      <c r="Z548" s="1280">
        <f>AA548</f>
        <v/>
      </c>
      <c r="AA548" s="1299" t="n">
        <v>-76.986</v>
      </c>
      <c r="AB548" s="1277" t="n"/>
      <c r="AC548" s="1277" t="n"/>
      <c r="AD548" s="1277" t="n"/>
      <c r="AE548" s="1280">
        <f>AF548</f>
        <v/>
      </c>
      <c r="AF548" s="1297" t="n"/>
      <c r="AG548" s="1277" t="n"/>
      <c r="AH548" s="1277" t="n"/>
      <c r="AI548" s="1277" t="n"/>
      <c r="AJ548" s="1277" t="n"/>
      <c r="AK548" s="1297" t="n"/>
      <c r="AL548" s="1277" t="n"/>
      <c r="AM548" s="1277" t="n"/>
      <c r="AN548" s="1277" t="n"/>
      <c r="AO548" s="1280">
        <f>AP548</f>
        <v/>
      </c>
      <c r="AP548" s="1297" t="n"/>
      <c r="AQ548" s="1277" t="n"/>
      <c r="AR548" s="1277" t="n"/>
      <c r="AS548" s="1277" t="n"/>
      <c r="AT548" s="1280">
        <f>AU548</f>
        <v/>
      </c>
      <c r="AU548" s="1297" t="n"/>
      <c r="AV548" s="1277" t="n"/>
      <c r="AW548" s="1277" t="n"/>
      <c r="AX548" s="1277" t="n"/>
      <c r="AY548" s="1280">
        <f>AZ548</f>
        <v/>
      </c>
      <c r="AZ548" s="1297" t="n"/>
      <c r="BA548" s="1277" t="n"/>
      <c r="BB548" s="1277" t="n"/>
      <c r="BC548" s="1277" t="n"/>
      <c r="BD548" s="1280">
        <f>BE548</f>
        <v/>
      </c>
      <c r="BE548" s="1297" t="n"/>
      <c r="BF548" s="1277" t="n"/>
      <c r="BG548" s="1277" t="n"/>
      <c r="BH548" s="1277" t="n"/>
      <c r="BI548" s="1280">
        <f>BJ548</f>
        <v/>
      </c>
      <c r="BJ548" s="1297" t="n"/>
      <c r="BK548" s="1277" t="n"/>
      <c r="BL548" s="1277" t="n"/>
      <c r="BM548" s="1277" t="n"/>
      <c r="BN548" s="1280">
        <f>BO548</f>
        <v/>
      </c>
      <c r="BO548" s="1382" t="n"/>
      <c r="BP548" s="1277" t="n"/>
      <c r="BQ548" s="1277" t="n"/>
      <c r="BR548" s="1277" t="n"/>
      <c r="BS548" s="1277" t="n"/>
      <c r="BT548" s="1297" t="n"/>
      <c r="BU548" s="1277" t="n"/>
      <c r="BV548" s="1277" t="n"/>
      <c r="BW548" s="1277" t="n"/>
      <c r="BX548" s="1277" t="n"/>
      <c r="BY548" s="1297" t="n"/>
      <c r="BZ548" s="1297" t="n"/>
      <c r="CA548" s="1297" t="n"/>
      <c r="CB548" s="1297" t="n"/>
      <c r="CC548" s="1280" t="n"/>
    </row>
    <row r="549" hidden="1" outlineLevel="1" ht="14.4" customFormat="1" customHeight="1" s="1275">
      <c r="A549" s="1295" t="inlineStr">
        <is>
          <t>Gain on held-to-maturity financial assets redeemed by the issuer</t>
        </is>
      </c>
      <c r="B549" s="1387" t="n"/>
      <c r="C549" s="1299" t="n">
        <v>-16.091</v>
      </c>
      <c r="D549" s="1297" t="n"/>
      <c r="E549" s="1297" t="n"/>
      <c r="F549" s="1297" t="n"/>
      <c r="G549" s="1297" t="n"/>
      <c r="H549" s="1277" t="n"/>
      <c r="I549" s="1277" t="n"/>
      <c r="J549" s="1277" t="n"/>
      <c r="K549" s="1280">
        <f>L549</f>
        <v/>
      </c>
      <c r="L549" s="1297" t="n"/>
      <c r="M549" s="1277" t="n"/>
      <c r="N549" s="1277" t="n"/>
      <c r="O549" s="1277" t="n"/>
      <c r="P549" s="1280">
        <f>Q549</f>
        <v/>
      </c>
      <c r="Q549" s="1297" t="n"/>
      <c r="R549" s="1277" t="n"/>
      <c r="S549" s="1277" t="n"/>
      <c r="T549" s="1277" t="n"/>
      <c r="U549" s="1280">
        <f>V549</f>
        <v/>
      </c>
      <c r="V549" s="1297" t="n"/>
      <c r="W549" s="1277" t="n"/>
      <c r="X549" s="1277" t="n"/>
      <c r="Y549" s="1277" t="n"/>
      <c r="Z549" s="1280">
        <f>AA549</f>
        <v/>
      </c>
      <c r="AA549" s="1297" t="n"/>
      <c r="AB549" s="1277" t="n"/>
      <c r="AC549" s="1277" t="n"/>
      <c r="AD549" s="1277" t="n"/>
      <c r="AE549" s="1280">
        <f>AF549</f>
        <v/>
      </c>
      <c r="AF549" s="1297" t="n"/>
      <c r="AG549" s="1277" t="n"/>
      <c r="AH549" s="1277" t="n"/>
      <c r="AI549" s="1277" t="n"/>
      <c r="AJ549" s="1277" t="n"/>
      <c r="AK549" s="1297" t="n"/>
      <c r="AL549" s="1277" t="n"/>
      <c r="AM549" s="1277" t="n"/>
      <c r="AN549" s="1277" t="n"/>
      <c r="AO549" s="1280">
        <f>AP549</f>
        <v/>
      </c>
      <c r="AP549" s="1297" t="n"/>
      <c r="AQ549" s="1277" t="n"/>
      <c r="AR549" s="1277" t="n"/>
      <c r="AS549" s="1277" t="n"/>
      <c r="AT549" s="1280">
        <f>AU549</f>
        <v/>
      </c>
      <c r="AU549" s="1297" t="n"/>
      <c r="AV549" s="1277" t="n"/>
      <c r="AW549" s="1277" t="n"/>
      <c r="AX549" s="1277" t="n"/>
      <c r="AY549" s="1280">
        <f>AZ549</f>
        <v/>
      </c>
      <c r="AZ549" s="1297" t="n"/>
      <c r="BA549" s="1277" t="n"/>
      <c r="BB549" s="1277" t="n"/>
      <c r="BC549" s="1277" t="n"/>
      <c r="BD549" s="1280">
        <f>BE549</f>
        <v/>
      </c>
      <c r="BE549" s="1297" t="n"/>
      <c r="BF549" s="1277" t="n"/>
      <c r="BG549" s="1277" t="n"/>
      <c r="BH549" s="1277" t="n"/>
      <c r="BI549" s="1280">
        <f>BJ549</f>
        <v/>
      </c>
      <c r="BJ549" s="1297" t="n"/>
      <c r="BK549" s="1277" t="n"/>
      <c r="BL549" s="1277" t="n"/>
      <c r="BM549" s="1277" t="n"/>
      <c r="BN549" s="1280">
        <f>BO549</f>
        <v/>
      </c>
      <c r="BO549" s="1382" t="n"/>
      <c r="BP549" s="1277" t="n"/>
      <c r="BQ549" s="1277" t="n"/>
      <c r="BR549" s="1277" t="n"/>
      <c r="BS549" s="1277" t="n"/>
      <c r="BT549" s="1297" t="n"/>
      <c r="BU549" s="1277" t="n"/>
      <c r="BV549" s="1277" t="n"/>
      <c r="BW549" s="1277" t="n"/>
      <c r="BX549" s="1277" t="n"/>
      <c r="BY549" s="1297" t="n"/>
      <c r="BZ549" s="1297" t="n"/>
      <c r="CA549" s="1297" t="n"/>
      <c r="CB549" s="1297" t="n"/>
      <c r="CC549" s="1280" t="n"/>
    </row>
    <row r="550" hidden="1" outlineLevel="1" ht="14.4" customFormat="1" customHeight="1" s="1275">
      <c r="A550" s="1295" t="inlineStr">
        <is>
          <t>Gain on disposal of financial assets carried at cost, net</t>
        </is>
      </c>
      <c r="B550" s="1387" t="n"/>
      <c r="C550" s="1299" t="n">
        <v>-20.245</v>
      </c>
      <c r="D550" s="1299" t="n">
        <v>-133.475</v>
      </c>
      <c r="E550" s="1299" t="n">
        <v>-20.772</v>
      </c>
      <c r="F550" s="1299" t="n">
        <v>-141.491</v>
      </c>
      <c r="G550" s="1299" t="n">
        <v>-44.721</v>
      </c>
      <c r="H550" s="1298" t="n">
        <v>-23.758</v>
      </c>
      <c r="I550" s="1298" t="n">
        <v>-52.694</v>
      </c>
      <c r="J550" s="1298" t="n">
        <v>-65.819</v>
      </c>
      <c r="K550" s="1280">
        <f>L550</f>
        <v/>
      </c>
      <c r="L550" s="1299" t="n">
        <v>-81.449</v>
      </c>
      <c r="M550" s="1298" t="n">
        <v>-42.243</v>
      </c>
      <c r="N550" s="1298" t="n">
        <v>-70.59699999999999</v>
      </c>
      <c r="O550" s="1298" t="n">
        <v>-82.128</v>
      </c>
      <c r="P550" s="1280">
        <f>Q550</f>
        <v/>
      </c>
      <c r="Q550" s="1299" t="n">
        <v>-87.193</v>
      </c>
      <c r="R550" s="1298" t="n">
        <v>-14.381</v>
      </c>
      <c r="S550" s="1298" t="n">
        <v>-20.009</v>
      </c>
      <c r="T550" s="1298" t="n">
        <v>-37.831</v>
      </c>
      <c r="U550" s="1280">
        <f>V550</f>
        <v/>
      </c>
      <c r="V550" s="1299" t="n">
        <v>-37.241</v>
      </c>
      <c r="W550" s="1298" t="n">
        <v>0</v>
      </c>
      <c r="X550" s="1298" t="n">
        <v>-4.753</v>
      </c>
      <c r="Y550" s="1298" t="n">
        <v>-12.809</v>
      </c>
      <c r="Z550" s="1280">
        <f>AA550</f>
        <v/>
      </c>
      <c r="AA550" s="1299" t="n">
        <v>-12.809</v>
      </c>
      <c r="AB550" s="1277" t="n"/>
      <c r="AC550" s="1277" t="n"/>
      <c r="AD550" s="1277" t="n"/>
      <c r="AE550" s="1280">
        <f>AF550</f>
        <v/>
      </c>
      <c r="AF550" s="1297" t="n"/>
      <c r="AG550" s="1277" t="n"/>
      <c r="AH550" s="1277" t="n"/>
      <c r="AI550" s="1277" t="n"/>
      <c r="AJ550" s="1277" t="n"/>
      <c r="AK550" s="1297" t="n"/>
      <c r="AL550" s="1277" t="n"/>
      <c r="AM550" s="1277" t="n"/>
      <c r="AN550" s="1277" t="n"/>
      <c r="AO550" s="1280">
        <f>AP550</f>
        <v/>
      </c>
      <c r="AP550" s="1297" t="n"/>
      <c r="AQ550" s="1277" t="n"/>
      <c r="AR550" s="1277" t="n"/>
      <c r="AS550" s="1277" t="n"/>
      <c r="AT550" s="1280">
        <f>AU550</f>
        <v/>
      </c>
      <c r="AU550" s="1297" t="n"/>
      <c r="AV550" s="1277" t="n"/>
      <c r="AW550" s="1277" t="n"/>
      <c r="AX550" s="1277" t="n"/>
      <c r="AY550" s="1280">
        <f>AZ550</f>
        <v/>
      </c>
      <c r="AZ550" s="1297" t="n"/>
      <c r="BA550" s="1277" t="n"/>
      <c r="BB550" s="1277" t="n"/>
      <c r="BC550" s="1277" t="n"/>
      <c r="BD550" s="1280">
        <f>BE550</f>
        <v/>
      </c>
      <c r="BE550" s="1297" t="n"/>
      <c r="BF550" s="1277" t="n"/>
      <c r="BG550" s="1277" t="n"/>
      <c r="BH550" s="1277" t="n"/>
      <c r="BI550" s="1280">
        <f>BJ550</f>
        <v/>
      </c>
      <c r="BJ550" s="1297" t="n"/>
      <c r="BK550" s="1277" t="n"/>
      <c r="BL550" s="1277" t="n"/>
      <c r="BM550" s="1277" t="n"/>
      <c r="BN550" s="1280">
        <f>BO550</f>
        <v/>
      </c>
      <c r="BO550" s="1382" t="n"/>
      <c r="BP550" s="1277" t="n"/>
      <c r="BQ550" s="1277" t="n"/>
      <c r="BR550" s="1277" t="n"/>
      <c r="BS550" s="1277" t="n"/>
      <c r="BT550" s="1297" t="n"/>
      <c r="BU550" s="1277" t="n"/>
      <c r="BV550" s="1277" t="n"/>
      <c r="BW550" s="1277" t="n"/>
      <c r="BX550" s="1277" t="n"/>
      <c r="BY550" s="1297" t="n"/>
      <c r="BZ550" s="1297" t="n"/>
      <c r="CA550" s="1297" t="n"/>
      <c r="CB550" s="1297" t="n"/>
      <c r="CC550" s="1280" t="n"/>
    </row>
    <row r="551" hidden="1" outlineLevel="1" ht="14.4" customFormat="1" customHeight="1" s="1275">
      <c r="A551" s="1295" t="inlineStr">
        <is>
          <t>Equity in earnings of equity method investees, net</t>
        </is>
      </c>
      <c r="B551" s="1387" t="n"/>
      <c r="C551" s="1299" t="n">
        <v>-45.994</v>
      </c>
      <c r="D551" s="1299" t="n">
        <v>-2298.159</v>
      </c>
      <c r="E551" s="1299" t="n">
        <v>-897.611</v>
      </c>
      <c r="F551" s="1297" t="n"/>
      <c r="G551" s="1297" t="n"/>
      <c r="H551" s="1277" t="n"/>
      <c r="I551" s="1277" t="n"/>
      <c r="J551" s="1277" t="n"/>
      <c r="K551" s="1280">
        <f>L551</f>
        <v/>
      </c>
      <c r="L551" s="1297" t="n"/>
      <c r="M551" s="1277" t="n"/>
      <c r="N551" s="1277" t="n"/>
      <c r="O551" s="1277" t="n"/>
      <c r="P551" s="1280">
        <f>Q551</f>
        <v/>
      </c>
      <c r="Q551" s="1297" t="n"/>
      <c r="R551" s="1277" t="n"/>
      <c r="S551" s="1277" t="n"/>
      <c r="T551" s="1277" t="n"/>
      <c r="U551" s="1280">
        <f>V551</f>
        <v/>
      </c>
      <c r="V551" s="1297" t="n"/>
      <c r="W551" s="1277" t="n"/>
      <c r="X551" s="1277" t="n"/>
      <c r="Y551" s="1277" t="n"/>
      <c r="Z551" s="1280">
        <f>AA551</f>
        <v/>
      </c>
      <c r="AA551" s="1297" t="n"/>
      <c r="AB551" s="1277" t="n"/>
      <c r="AC551" s="1277" t="n"/>
      <c r="AD551" s="1277" t="n"/>
      <c r="AE551" s="1280">
        <f>AF551</f>
        <v/>
      </c>
      <c r="AF551" s="1297" t="n"/>
      <c r="AG551" s="1277" t="n"/>
      <c r="AH551" s="1277" t="n"/>
      <c r="AI551" s="1277" t="n"/>
      <c r="AJ551" s="1277" t="n"/>
      <c r="AK551" s="1297" t="n"/>
      <c r="AL551" s="1277" t="n"/>
      <c r="AM551" s="1277" t="n"/>
      <c r="AN551" s="1277" t="n"/>
      <c r="AO551" s="1280">
        <f>AP551</f>
        <v/>
      </c>
      <c r="AP551" s="1297" t="n"/>
      <c r="AQ551" s="1277" t="n"/>
      <c r="AR551" s="1277" t="n"/>
      <c r="AS551" s="1277" t="n"/>
      <c r="AT551" s="1280">
        <f>AU551</f>
        <v/>
      </c>
      <c r="AU551" s="1297" t="n"/>
      <c r="AV551" s="1277" t="n"/>
      <c r="AW551" s="1277" t="n"/>
      <c r="AX551" s="1277" t="n"/>
      <c r="AY551" s="1280">
        <f>AZ551</f>
        <v/>
      </c>
      <c r="AZ551" s="1297" t="n"/>
      <c r="BA551" s="1277" t="n"/>
      <c r="BB551" s="1277" t="n"/>
      <c r="BC551" s="1277" t="n"/>
      <c r="BD551" s="1280">
        <f>BE551</f>
        <v/>
      </c>
      <c r="BE551" s="1297" t="n"/>
      <c r="BF551" s="1277" t="n"/>
      <c r="BG551" s="1277" t="n"/>
      <c r="BH551" s="1277" t="n"/>
      <c r="BI551" s="1280">
        <f>BJ551</f>
        <v/>
      </c>
      <c r="BJ551" s="1297" t="n"/>
      <c r="BK551" s="1277" t="n"/>
      <c r="BL551" s="1277" t="n"/>
      <c r="BM551" s="1277" t="n"/>
      <c r="BN551" s="1280">
        <f>BO551</f>
        <v/>
      </c>
      <c r="BO551" s="1382" t="n"/>
      <c r="BP551" s="1277" t="n"/>
      <c r="BQ551" s="1277" t="n"/>
      <c r="BR551" s="1277" t="n"/>
      <c r="BS551" s="1277" t="n"/>
      <c r="BT551" s="1297" t="n"/>
      <c r="BU551" s="1277" t="n"/>
      <c r="BV551" s="1277" t="n"/>
      <c r="BW551" s="1277" t="n"/>
      <c r="BX551" s="1277" t="n"/>
      <c r="BY551" s="1297" t="n"/>
      <c r="BZ551" s="1297" t="n"/>
      <c r="CA551" s="1297" t="n"/>
      <c r="CB551" s="1297" t="n"/>
      <c r="CC551" s="1280" t="n"/>
    </row>
    <row r="552" hidden="1" outlineLevel="1" ht="14.4" customFormat="1" customHeight="1" s="1275">
      <c r="A552" s="1295" t="inlineStr">
        <is>
          <t>Cash dividends received from equity method investees</t>
        </is>
      </c>
      <c r="B552" s="1387" t="n"/>
      <c r="C552" s="1299" t="n">
        <v>1239.49</v>
      </c>
      <c r="D552" s="1299" t="n">
        <v>320.002</v>
      </c>
      <c r="E552" s="1299" t="n">
        <v>2848.141</v>
      </c>
      <c r="F552" s="1297" t="n"/>
      <c r="G552" s="1297" t="n"/>
      <c r="H552" s="1277" t="n"/>
      <c r="I552" s="1277" t="n"/>
      <c r="J552" s="1277" t="n"/>
      <c r="K552" s="1280">
        <f>L552</f>
        <v/>
      </c>
      <c r="L552" s="1297" t="n"/>
      <c r="M552" s="1277" t="n"/>
      <c r="N552" s="1277" t="n"/>
      <c r="O552" s="1277" t="n"/>
      <c r="P552" s="1280">
        <f>Q552</f>
        <v/>
      </c>
      <c r="Q552" s="1297" t="n"/>
      <c r="R552" s="1277" t="n"/>
      <c r="S552" s="1277" t="n"/>
      <c r="T552" s="1277" t="n"/>
      <c r="U552" s="1280">
        <f>V552</f>
        <v/>
      </c>
      <c r="V552" s="1297" t="n"/>
      <c r="W552" s="1277" t="n"/>
      <c r="X552" s="1277" t="n"/>
      <c r="Y552" s="1277" t="n"/>
      <c r="Z552" s="1280">
        <f>AA552</f>
        <v/>
      </c>
      <c r="AA552" s="1297" t="n"/>
      <c r="AB552" s="1277" t="n"/>
      <c r="AC552" s="1277" t="n"/>
      <c r="AD552" s="1277" t="n"/>
      <c r="AE552" s="1280">
        <f>AF552</f>
        <v/>
      </c>
      <c r="AF552" s="1297" t="n"/>
      <c r="AG552" s="1277" t="n"/>
      <c r="AH552" s="1277" t="n"/>
      <c r="AI552" s="1277" t="n"/>
      <c r="AJ552" s="1277" t="n"/>
      <c r="AK552" s="1297" t="n"/>
      <c r="AL552" s="1277" t="n"/>
      <c r="AM552" s="1277" t="n"/>
      <c r="AN552" s="1277" t="n"/>
      <c r="AO552" s="1280">
        <f>AP552</f>
        <v/>
      </c>
      <c r="AP552" s="1297" t="n"/>
      <c r="AQ552" s="1277" t="n"/>
      <c r="AR552" s="1277" t="n"/>
      <c r="AS552" s="1277" t="n"/>
      <c r="AT552" s="1280">
        <f>AU552</f>
        <v/>
      </c>
      <c r="AU552" s="1297" t="n"/>
      <c r="AV552" s="1277" t="n"/>
      <c r="AW552" s="1277" t="n"/>
      <c r="AX552" s="1277" t="n"/>
      <c r="AY552" s="1280">
        <f>AZ552</f>
        <v/>
      </c>
      <c r="AZ552" s="1297" t="n"/>
      <c r="BA552" s="1277" t="n"/>
      <c r="BB552" s="1277" t="n"/>
      <c r="BC552" s="1277" t="n"/>
      <c r="BD552" s="1280">
        <f>BE552</f>
        <v/>
      </c>
      <c r="BE552" s="1297" t="n"/>
      <c r="BF552" s="1277" t="n"/>
      <c r="BG552" s="1277" t="n"/>
      <c r="BH552" s="1277" t="n"/>
      <c r="BI552" s="1280">
        <f>BJ552</f>
        <v/>
      </c>
      <c r="BJ552" s="1297" t="n"/>
      <c r="BK552" s="1277" t="n"/>
      <c r="BL552" s="1277" t="n"/>
      <c r="BM552" s="1277" t="n"/>
      <c r="BN552" s="1280">
        <f>BO552</f>
        <v/>
      </c>
      <c r="BO552" s="1382" t="n"/>
      <c r="BP552" s="1277" t="n"/>
      <c r="BQ552" s="1277" t="n"/>
      <c r="BR552" s="1277" t="n"/>
      <c r="BS552" s="1277" t="n"/>
      <c r="BT552" s="1297" t="n"/>
      <c r="BU552" s="1277" t="n"/>
      <c r="BV552" s="1277" t="n"/>
      <c r="BW552" s="1277" t="n"/>
      <c r="BX552" s="1277" t="n"/>
      <c r="BY552" s="1297" t="n"/>
      <c r="BZ552" s="1297" t="n"/>
      <c r="CA552" s="1297" t="n"/>
      <c r="CB552" s="1297" t="n"/>
      <c r="CC552" s="1280" t="n"/>
    </row>
    <row r="553" hidden="1" outlineLevel="1" ht="14.4" customFormat="1" customHeight="1" s="1275">
      <c r="A553" s="1295" t="inlineStr">
        <is>
          <t>Loss on disposal of investments accounted for using equity method, net</t>
        </is>
      </c>
      <c r="B553" s="1387" t="n"/>
      <c r="C553" s="1297" t="n"/>
      <c r="D553" s="1297" t="n"/>
      <c r="E553" s="1297" t="n"/>
      <c r="F553" s="1299" t="n">
        <v>-4.977</v>
      </c>
      <c r="G553" s="1299" t="n">
        <v>0.733</v>
      </c>
      <c r="H553" s="1298" t="n">
        <v>0</v>
      </c>
      <c r="I553" s="1298" t="n">
        <v>-2028.643</v>
      </c>
      <c r="J553" s="1298" t="n">
        <v>-2028.643</v>
      </c>
      <c r="K553" s="1280">
        <f>L553</f>
        <v/>
      </c>
      <c r="L553" s="1299" t="n">
        <v>-2028.643</v>
      </c>
      <c r="M553" s="1298" t="n">
        <v>0</v>
      </c>
      <c r="N553" s="1298" t="n">
        <v>-2305.323</v>
      </c>
      <c r="O553" s="1298" t="n">
        <v>-2305.323</v>
      </c>
      <c r="P553" s="1280">
        <f>Q553</f>
        <v/>
      </c>
      <c r="Q553" s="1299" t="n">
        <v>-2507.707</v>
      </c>
      <c r="R553" s="1298" t="n">
        <v>0</v>
      </c>
      <c r="S553" s="1298" t="n">
        <v>259.96</v>
      </c>
      <c r="T553" s="1298" t="n">
        <v>259.96</v>
      </c>
      <c r="U553" s="1280">
        <f>V553</f>
        <v/>
      </c>
      <c r="V553" s="1299" t="n">
        <v>259.96</v>
      </c>
      <c r="W553" s="1298" t="n">
        <v>0</v>
      </c>
      <c r="X553" s="1298" t="n">
        <v>0</v>
      </c>
      <c r="Y553" s="1298" t="n">
        <v>0</v>
      </c>
      <c r="Z553" s="1280">
        <f>AA553</f>
        <v/>
      </c>
      <c r="AA553" s="1297" t="n"/>
      <c r="AB553" s="1277" t="n"/>
      <c r="AC553" s="1277" t="n"/>
      <c r="AD553" s="1277" t="n"/>
      <c r="AE553" s="1280">
        <f>AF553</f>
        <v/>
      </c>
      <c r="AF553" s="1297" t="n"/>
      <c r="AG553" s="1277" t="n"/>
      <c r="AH553" s="1277" t="n"/>
      <c r="AI553" s="1277" t="n"/>
      <c r="AJ553" s="1277" t="n"/>
      <c r="AK553" s="1297" t="n"/>
      <c r="AL553" s="1277" t="n"/>
      <c r="AM553" s="1277" t="n"/>
      <c r="AN553" s="1277" t="n"/>
      <c r="AO553" s="1280">
        <f>AP553</f>
        <v/>
      </c>
      <c r="AP553" s="1297" t="n"/>
      <c r="AQ553" s="1277" t="n"/>
      <c r="AR553" s="1277" t="n"/>
      <c r="AS553" s="1277" t="n"/>
      <c r="AT553" s="1280">
        <f>AU553</f>
        <v/>
      </c>
      <c r="AU553" s="1297" t="n"/>
      <c r="AV553" s="1277" t="n"/>
      <c r="AW553" s="1277" t="n"/>
      <c r="AX553" s="1277" t="n"/>
      <c r="AY553" s="1280">
        <f>AZ553</f>
        <v/>
      </c>
      <c r="AZ553" s="1297" t="n"/>
      <c r="BA553" s="1277" t="n"/>
      <c r="BB553" s="1277" t="n"/>
      <c r="BC553" s="1277" t="n"/>
      <c r="BD553" s="1280">
        <f>BE553</f>
        <v/>
      </c>
      <c r="BE553" s="1299" t="n">
        <v>-15.758</v>
      </c>
      <c r="BF553" s="1277" t="n"/>
      <c r="BG553" s="1277" t="n"/>
      <c r="BH553" s="1277" t="n"/>
      <c r="BI553" s="1280">
        <f>BJ553</f>
        <v/>
      </c>
      <c r="BJ553" s="1299" t="n">
        <v>-7.126</v>
      </c>
      <c r="BK553" s="1277" t="n"/>
      <c r="BL553" s="1277" t="n"/>
      <c r="BM553" s="1277" t="n"/>
      <c r="BN553" s="1280">
        <f>BO553</f>
        <v/>
      </c>
      <c r="BO553" s="1382" t="n"/>
      <c r="BP553" s="1277" t="n"/>
      <c r="BQ553" s="1277" t="n"/>
      <c r="BR553" s="1277" t="n"/>
      <c r="BS553" s="1277" t="n"/>
      <c r="BT553" s="1297" t="n"/>
      <c r="BU553" s="1277" t="n"/>
      <c r="BV553" s="1277" t="n"/>
      <c r="BW553" s="1277" t="n"/>
      <c r="BX553" s="1277" t="n"/>
      <c r="BY553" s="1297" t="n"/>
      <c r="BZ553" s="1297" t="n"/>
      <c r="CA553" s="1297" t="n"/>
      <c r="CB553" s="1297" t="n"/>
      <c r="CC553" s="1280" t="n"/>
    </row>
    <row r="554" hidden="1" outlineLevel="1" ht="14.4" customFormat="1" customHeight="1" s="1275">
      <c r="A554" s="1295" t="inlineStr">
        <is>
          <t>Loss from liquidation of subsidiaries</t>
        </is>
      </c>
      <c r="B554" s="1387" t="n"/>
      <c r="C554" s="1297" t="n"/>
      <c r="D554" s="1297" t="n"/>
      <c r="E554" s="1297" t="n"/>
      <c r="F554" s="1299" t="n">
        <v>0</v>
      </c>
      <c r="G554" s="1299" t="n">
        <v>0</v>
      </c>
      <c r="H554" s="1298" t="n">
        <v>0</v>
      </c>
      <c r="I554" s="1298" t="n">
        <v>0</v>
      </c>
      <c r="J554" s="1298" t="n">
        <v>0.09</v>
      </c>
      <c r="K554" s="1280">
        <f>L554</f>
        <v/>
      </c>
      <c r="L554" s="1299" t="n">
        <v>0.09</v>
      </c>
      <c r="M554" s="1298" t="n">
        <v>0</v>
      </c>
      <c r="N554" s="1298" t="n">
        <v>0</v>
      </c>
      <c r="O554" s="1298" t="n">
        <v>0</v>
      </c>
      <c r="P554" s="1280">
        <f>Q554</f>
        <v/>
      </c>
      <c r="Q554" s="1299" t="n">
        <v>138.243</v>
      </c>
      <c r="R554" s="1298" t="n">
        <v>0</v>
      </c>
      <c r="S554" s="1298" t="n">
        <v>36.105</v>
      </c>
      <c r="T554" s="1298" t="n">
        <v>36.105</v>
      </c>
      <c r="U554" s="1280">
        <f>V554</f>
        <v/>
      </c>
      <c r="V554" s="1299" t="n">
        <v>36.105</v>
      </c>
      <c r="W554" s="1298" t="n">
        <v>0</v>
      </c>
      <c r="X554" s="1298" t="n">
        <v>0</v>
      </c>
      <c r="Y554" s="1298" t="n">
        <v>0</v>
      </c>
      <c r="Z554" s="1280">
        <f>AA554</f>
        <v/>
      </c>
      <c r="AA554" s="1299" t="n">
        <v>-17.343</v>
      </c>
      <c r="AB554" s="1277" t="n"/>
      <c r="AC554" s="1277" t="n"/>
      <c r="AD554" s="1277" t="n"/>
      <c r="AE554" s="1280">
        <f>AF554</f>
        <v/>
      </c>
      <c r="AF554" s="1297" t="n"/>
      <c r="AG554" s="1298" t="n">
        <v>4.598</v>
      </c>
      <c r="AH554" s="1298" t="n">
        <v>4.598</v>
      </c>
      <c r="AI554" s="1298" t="n">
        <v>4.598</v>
      </c>
      <c r="AJ554" s="1280">
        <f>AK554</f>
        <v/>
      </c>
      <c r="AK554" s="1299" t="n">
        <v>4.598</v>
      </c>
      <c r="AL554" s="1277" t="n"/>
      <c r="AM554" s="1277" t="n"/>
      <c r="AN554" s="1277" t="n"/>
      <c r="AO554" s="1280">
        <f>AP554</f>
        <v/>
      </c>
      <c r="AP554" s="1297" t="n"/>
      <c r="AQ554" s="1277" t="n"/>
      <c r="AR554" s="1277" t="n"/>
      <c r="AS554" s="1277" t="n"/>
      <c r="AT554" s="1280">
        <f>AU554</f>
        <v/>
      </c>
      <c r="AU554" s="1297" t="n"/>
      <c r="AV554" s="1277" t="n"/>
      <c r="AW554" s="1277" t="n"/>
      <c r="AX554" s="1277" t="n"/>
      <c r="AY554" s="1280">
        <f>AZ554</f>
        <v/>
      </c>
      <c r="AZ554" s="1297" t="n"/>
      <c r="BA554" s="1277" t="n"/>
      <c r="BB554" s="1277" t="n"/>
      <c r="BC554" s="1277" t="n"/>
      <c r="BD554" s="1280">
        <f>BE554</f>
        <v/>
      </c>
      <c r="BE554" s="1297" t="n"/>
      <c r="BF554" s="1277" t="n"/>
      <c r="BG554" s="1277" t="n"/>
      <c r="BH554" s="1277" t="n"/>
      <c r="BI554" s="1280">
        <f>BJ554</f>
        <v/>
      </c>
      <c r="BJ554" s="1297" t="n"/>
      <c r="BK554" s="1298" t="n">
        <v>167.986</v>
      </c>
      <c r="BL554" s="1298" t="n">
        <v>167.986</v>
      </c>
      <c r="BM554" s="1298" t="n">
        <v>167.986</v>
      </c>
      <c r="BN554" s="1280">
        <f>BO554</f>
        <v/>
      </c>
      <c r="BO554" s="1382" t="n"/>
      <c r="BP554" s="1277" t="n"/>
      <c r="BQ554" s="1277" t="n"/>
      <c r="BR554" s="1277" t="n"/>
      <c r="BS554" s="1277" t="n"/>
      <c r="BT554" s="1297" t="n"/>
      <c r="BU554" s="1277" t="n"/>
      <c r="BV554" s="1277" t="n"/>
      <c r="BW554" s="1277" t="n"/>
      <c r="BX554" s="1277" t="n"/>
      <c r="BY554" s="1297" t="n"/>
      <c r="BZ554" s="1297" t="n"/>
      <c r="CA554" s="1297" t="n"/>
      <c r="CB554" s="1297" t="n"/>
      <c r="CC554" s="1280" t="n"/>
    </row>
    <row r="555" hidden="1" outlineLevel="1" ht="14.4" customFormat="1" customHeight="1" s="1275">
      <c r="A555" s="1295" t="inlineStr">
        <is>
          <t>Gain on deconsolidation of subsidiary</t>
        </is>
      </c>
      <c r="B555" s="1387" t="n"/>
      <c r="C555" s="1297" t="n"/>
      <c r="D555" s="1297" t="n"/>
      <c r="E555" s="1297" t="n"/>
      <c r="F555" s="1299" t="n">
        <v>0</v>
      </c>
      <c r="G555" s="1299" t="n">
        <v>-293.578</v>
      </c>
      <c r="H555" s="1277" t="n"/>
      <c r="I555" s="1277" t="n"/>
      <c r="J555" s="1277" t="n"/>
      <c r="K555" s="1280">
        <f>L555</f>
        <v/>
      </c>
      <c r="L555" s="1297" t="n"/>
      <c r="M555" s="1277" t="n"/>
      <c r="N555" s="1277" t="n"/>
      <c r="O555" s="1277" t="n"/>
      <c r="P555" s="1280">
        <f>Q555</f>
        <v/>
      </c>
      <c r="Q555" s="1297" t="n"/>
      <c r="R555" s="1277" t="n"/>
      <c r="S555" s="1277" t="n"/>
      <c r="T555" s="1277" t="n"/>
      <c r="U555" s="1280">
        <f>V555</f>
        <v/>
      </c>
      <c r="V555" s="1297" t="n"/>
      <c r="W555" s="1277" t="n"/>
      <c r="X555" s="1277" t="n"/>
      <c r="Y555" s="1277" t="n"/>
      <c r="Z555" s="1280">
        <f>AA555</f>
        <v/>
      </c>
      <c r="AA555" s="1297" t="n"/>
      <c r="AB555" s="1277" t="n"/>
      <c r="AC555" s="1277" t="n"/>
      <c r="AD555" s="1277" t="n"/>
      <c r="AE555" s="1280">
        <f>AF555</f>
        <v/>
      </c>
      <c r="AF555" s="1297" t="n"/>
      <c r="AG555" s="1277" t="n"/>
      <c r="AH555" s="1277" t="n"/>
      <c r="AI555" s="1277" t="n"/>
      <c r="AJ555" s="1277" t="n"/>
      <c r="AK555" s="1297" t="n"/>
      <c r="AL555" s="1277" t="n"/>
      <c r="AM555" s="1277" t="n"/>
      <c r="AN555" s="1277" t="n"/>
      <c r="AO555" s="1280">
        <f>AP555</f>
        <v/>
      </c>
      <c r="AP555" s="1297" t="n"/>
      <c r="AQ555" s="1277" t="n"/>
      <c r="AR555" s="1277" t="n"/>
      <c r="AS555" s="1277" t="n"/>
      <c r="AT555" s="1280">
        <f>AU555</f>
        <v/>
      </c>
      <c r="AU555" s="1297" t="n"/>
      <c r="AV555" s="1277" t="n"/>
      <c r="AW555" s="1277" t="n"/>
      <c r="AX555" s="1277" t="n"/>
      <c r="AY555" s="1280">
        <f>AZ555</f>
        <v/>
      </c>
      <c r="AZ555" s="1297" t="n"/>
      <c r="BA555" s="1277" t="n"/>
      <c r="BB555" s="1277" t="n"/>
      <c r="BC555" s="1277" t="n"/>
      <c r="BD555" s="1280">
        <f>BE555</f>
        <v/>
      </c>
      <c r="BE555" s="1297" t="n"/>
      <c r="BF555" s="1277" t="n"/>
      <c r="BG555" s="1277" t="n"/>
      <c r="BH555" s="1277" t="n"/>
      <c r="BI555" s="1280">
        <f>BJ555</f>
        <v/>
      </c>
      <c r="BJ555" s="1297" t="n"/>
      <c r="BK555" s="1277" t="n"/>
      <c r="BL555" s="1277" t="n"/>
      <c r="BM555" s="1277" t="n"/>
      <c r="BN555" s="1280">
        <f>BO555</f>
        <v/>
      </c>
      <c r="BO555" s="1382" t="n"/>
      <c r="BP555" s="1277" t="n"/>
      <c r="BQ555" s="1277" t="n"/>
      <c r="BR555" s="1277" t="n"/>
      <c r="BS555" s="1277" t="n"/>
      <c r="BT555" s="1297" t="n"/>
      <c r="BU555" s="1277" t="n"/>
      <c r="BV555" s="1277" t="n"/>
      <c r="BW555" s="1277" t="n"/>
      <c r="BX555" s="1277" t="n"/>
      <c r="BY555" s="1297" t="n"/>
      <c r="BZ555" s="1297" t="n"/>
      <c r="CA555" s="1297" t="n"/>
      <c r="CB555" s="1297" t="n"/>
      <c r="CC555" s="1280" t="n"/>
    </row>
    <row r="556" hidden="1" outlineLevel="1" ht="14.4" customFormat="1" customHeight="1" s="1275">
      <c r="A556" s="1295" t="inlineStr">
        <is>
          <t>Unrealized gross profit on sales to associates</t>
        </is>
      </c>
      <c r="B556" s="1387" t="n"/>
      <c r="C556" s="1297" t="n"/>
      <c r="D556" s="1297" t="n"/>
      <c r="E556" s="1297" t="n"/>
      <c r="F556" s="1299" t="n">
        <v>25.029</v>
      </c>
      <c r="G556" s="1299" t="n">
        <v>20.87</v>
      </c>
      <c r="H556" s="1298" t="n">
        <v>-21.017</v>
      </c>
      <c r="I556" s="1298" t="n">
        <v>-16.648</v>
      </c>
      <c r="J556" s="1298" t="n">
        <v>-13.442</v>
      </c>
      <c r="K556" s="1280">
        <f>L556</f>
        <v/>
      </c>
      <c r="L556" s="1299" t="n">
        <v>-28.556</v>
      </c>
      <c r="M556" s="1298" t="n">
        <v>19.547</v>
      </c>
      <c r="N556" s="1298" t="n">
        <v>18.536</v>
      </c>
      <c r="O556" s="1298" t="n">
        <v>-0.735</v>
      </c>
      <c r="P556" s="1280">
        <f>Q556</f>
        <v/>
      </c>
      <c r="Q556" s="1299" t="n">
        <v>-15.126</v>
      </c>
      <c r="R556" s="1298" t="n">
        <v>32.889</v>
      </c>
      <c r="S556" s="1298" t="n">
        <v>39.898</v>
      </c>
      <c r="T556" s="1298" t="n">
        <v>28.181</v>
      </c>
      <c r="U556" s="1280">
        <f>V556</f>
        <v/>
      </c>
      <c r="V556" s="1299" t="n">
        <v>29.073</v>
      </c>
      <c r="W556" s="1298" t="n">
        <v>-3.97</v>
      </c>
      <c r="X556" s="1298" t="n">
        <v>40.619</v>
      </c>
      <c r="Y556" s="1298" t="n">
        <v>37.152</v>
      </c>
      <c r="Z556" s="1280">
        <f>AA556</f>
        <v/>
      </c>
      <c r="AA556" s="1299" t="n">
        <v>4.553</v>
      </c>
      <c r="AB556" s="1298" t="n">
        <v>117.155</v>
      </c>
      <c r="AC556" s="1298" t="n">
        <v>174.325</v>
      </c>
      <c r="AD556" s="1298" t="n">
        <v>188.528</v>
      </c>
      <c r="AE556" s="1280">
        <f>AF556</f>
        <v/>
      </c>
      <c r="AF556" s="1299" t="n">
        <v>111.788</v>
      </c>
      <c r="AG556" s="1298" t="n">
        <v>-5.432</v>
      </c>
      <c r="AH556" s="1298" t="n">
        <v>-62.262</v>
      </c>
      <c r="AI556" s="1298" t="n">
        <v>-42.535</v>
      </c>
      <c r="AJ556" s="1280">
        <f>AK556</f>
        <v/>
      </c>
      <c r="AK556" s="1299" t="n">
        <v>-3.395</v>
      </c>
      <c r="AL556" s="1298" t="n">
        <v>7.673</v>
      </c>
      <c r="AM556" s="1298" t="n">
        <v>76.70699999999999</v>
      </c>
      <c r="AN556" s="1298" t="n">
        <v>63.881</v>
      </c>
      <c r="AO556" s="1280">
        <f>AP556</f>
        <v/>
      </c>
      <c r="AP556" s="1299" t="n">
        <v>16.382</v>
      </c>
      <c r="AQ556" s="1298" t="n">
        <v>-64.211</v>
      </c>
      <c r="AR556" s="1298" t="n">
        <v>-26.894</v>
      </c>
      <c r="AS556" s="1298" t="n">
        <v>75.595</v>
      </c>
      <c r="AT556" s="1280">
        <f>AU556</f>
        <v/>
      </c>
      <c r="AU556" s="1297" t="n"/>
      <c r="AV556" s="1277" t="n"/>
      <c r="AW556" s="1277" t="n"/>
      <c r="AX556" s="1277" t="n"/>
      <c r="AY556" s="1280">
        <f>AZ556</f>
        <v/>
      </c>
      <c r="AZ556" s="1297" t="n"/>
      <c r="BA556" s="1277" t="n"/>
      <c r="BB556" s="1277" t="n"/>
      <c r="BC556" s="1277" t="n"/>
      <c r="BD556" s="1280">
        <f>BE556</f>
        <v/>
      </c>
      <c r="BE556" s="1297" t="n"/>
      <c r="BF556" s="1277" t="n"/>
      <c r="BG556" s="1277" t="n"/>
      <c r="BH556" s="1277" t="n"/>
      <c r="BI556" s="1280">
        <f>BJ556</f>
        <v/>
      </c>
      <c r="BJ556" s="1297" t="n"/>
      <c r="BK556" s="1277" t="n"/>
      <c r="BL556" s="1277" t="n"/>
      <c r="BM556" s="1277" t="n"/>
      <c r="BN556" s="1280">
        <f>BO556</f>
        <v/>
      </c>
      <c r="BO556" s="1382" t="n"/>
      <c r="BP556" s="1277" t="n"/>
      <c r="BQ556" s="1277" t="n"/>
      <c r="BR556" s="1277" t="n"/>
      <c r="BS556" s="1277" t="n"/>
      <c r="BT556" s="1297" t="n"/>
      <c r="BU556" s="1277" t="n"/>
      <c r="BV556" s="1277" t="n"/>
      <c r="BW556" s="1277" t="n"/>
      <c r="BX556" s="1277" t="n"/>
      <c r="BY556" s="1297" t="n"/>
      <c r="BZ556" s="1297" t="n"/>
      <c r="CA556" s="1297" t="n"/>
      <c r="CB556" s="1297" t="n"/>
      <c r="CC556" s="1280" t="n"/>
    </row>
    <row r="557" hidden="1" outlineLevel="1" ht="14.4" customFormat="1" customHeight="1" s="1275">
      <c r="A557" s="1295" t="inlineStr">
        <is>
          <t>Gain on foreign exchange, net</t>
        </is>
      </c>
      <c r="B557" s="1387" t="n"/>
      <c r="C557" s="1297" t="n"/>
      <c r="D557" s="1297" t="n"/>
      <c r="E557" s="1297" t="n"/>
      <c r="F557" s="1299" t="n">
        <v>-3219.144</v>
      </c>
      <c r="G557" s="1299" t="n">
        <v>317.547</v>
      </c>
      <c r="H557" s="1298" t="n">
        <v>2665.824</v>
      </c>
      <c r="I557" s="1298" t="n">
        <v>1646.248</v>
      </c>
      <c r="J557" s="1298" t="n">
        <v>1200.859</v>
      </c>
      <c r="K557" s="1280">
        <f>L557</f>
        <v/>
      </c>
      <c r="L557" s="1299" t="n">
        <v>3615.493</v>
      </c>
      <c r="M557" s="1298" t="n">
        <v>-1054.551</v>
      </c>
      <c r="N557" s="1298" t="n">
        <v>-2014.106</v>
      </c>
      <c r="O557" s="1298" t="n">
        <v>2492.659</v>
      </c>
      <c r="P557" s="1280">
        <f>Q557</f>
        <v/>
      </c>
      <c r="Q557" s="1299" t="n">
        <v>2563.439</v>
      </c>
      <c r="R557" s="1298" t="n">
        <v>-1293.976</v>
      </c>
      <c r="S557" s="1298" t="n">
        <v>308.122</v>
      </c>
      <c r="T557" s="1298" t="n">
        <v>-2542.581</v>
      </c>
      <c r="U557" s="1280">
        <f>V557</f>
        <v/>
      </c>
      <c r="V557" s="1299" t="n">
        <v>-2656.406</v>
      </c>
      <c r="W557" s="1298" t="n">
        <v>-7106.552</v>
      </c>
      <c r="X557" s="1298" t="n">
        <v>-6377.351</v>
      </c>
      <c r="Y557" s="1298" t="n">
        <v>-6624.087</v>
      </c>
      <c r="Z557" s="1280">
        <f>AA557</f>
        <v/>
      </c>
      <c r="AA557" s="1299" t="n">
        <v>-9118.58</v>
      </c>
      <c r="AB557" s="1298" t="n">
        <v>-1205.272</v>
      </c>
      <c r="AC557" s="1298" t="n">
        <v>2098.7</v>
      </c>
      <c r="AD557" s="1298" t="n">
        <v>1863.969</v>
      </c>
      <c r="AE557" s="1280">
        <f>AF557</f>
        <v/>
      </c>
      <c r="AF557" s="1299" t="n">
        <v>2916.659</v>
      </c>
      <c r="AG557" s="1298" t="n">
        <v>22.722</v>
      </c>
      <c r="AH557" s="1298" t="n">
        <v>1722.527</v>
      </c>
      <c r="AI557" s="1298" t="n">
        <v>737.001</v>
      </c>
      <c r="AJ557" s="1280">
        <f>AK557</f>
        <v/>
      </c>
      <c r="AK557" s="1299" t="n">
        <v>-5228.218</v>
      </c>
      <c r="AL557" s="1298" t="n">
        <v>804.399</v>
      </c>
      <c r="AM557" s="1298" t="n">
        <v>-2916.873</v>
      </c>
      <c r="AN557" s="1298" t="n">
        <v>-741.378</v>
      </c>
      <c r="AO557" s="1280">
        <f>AP557</f>
        <v/>
      </c>
      <c r="AP557" s="1299" t="n">
        <v>-1372.61</v>
      </c>
      <c r="AQ557" s="1298" t="n">
        <v>-4773.733</v>
      </c>
      <c r="AR557" s="1298" t="n">
        <v>-7684.209</v>
      </c>
      <c r="AS557" s="1298" t="n">
        <v>-11104.453</v>
      </c>
      <c r="AT557" s="1280">
        <f>AU557</f>
        <v/>
      </c>
      <c r="AU557" s="1299" t="n">
        <v>-16115.936</v>
      </c>
      <c r="AV557" s="1298" t="n">
        <v>2074.789</v>
      </c>
      <c r="AW557" s="1298" t="n">
        <v>1760.843</v>
      </c>
      <c r="AX557" s="1298" t="n">
        <v>12532.183</v>
      </c>
      <c r="AY557" s="1280">
        <f>AZ557</f>
        <v/>
      </c>
      <c r="AZ557" s="1299" t="n">
        <v>10342.706</v>
      </c>
      <c r="BA557" s="1298" t="n">
        <v>-1319.013</v>
      </c>
      <c r="BB557" s="1298" t="n">
        <v>519.59</v>
      </c>
      <c r="BC557" s="1298" t="n">
        <v>4178.853</v>
      </c>
      <c r="BD557" s="1280">
        <f>BE557</f>
        <v/>
      </c>
      <c r="BE557" s="1299" t="n">
        <v>-246.695</v>
      </c>
      <c r="BF557" s="1298" t="n">
        <v>3336.832</v>
      </c>
      <c r="BG557" s="1298" t="n">
        <v>4119.804</v>
      </c>
      <c r="BH557" s="1298" t="n">
        <v>2239.835</v>
      </c>
      <c r="BI557" s="1280">
        <f>BJ557</f>
        <v/>
      </c>
      <c r="BJ557" s="1299" t="n">
        <v>4576.295</v>
      </c>
      <c r="BK557" s="1298" t="n">
        <v>3884.055</v>
      </c>
      <c r="BL557" s="1298" t="n">
        <v>-17895.105</v>
      </c>
      <c r="BM557" s="1298" t="n">
        <v>-9352.9</v>
      </c>
      <c r="BN557" s="1280">
        <f>BO557</f>
        <v/>
      </c>
      <c r="BO557" s="1382" t="n"/>
      <c r="BP557" s="1277" t="n"/>
      <c r="BQ557" s="1277" t="n"/>
      <c r="BR557" s="1277" t="n"/>
      <c r="BS557" s="1277" t="n"/>
      <c r="BT557" s="1297" t="n"/>
      <c r="BU557" s="1277" t="n"/>
      <c r="BV557" s="1277" t="n"/>
      <c r="BW557" s="1277" t="n"/>
      <c r="BX557" s="1277" t="n"/>
      <c r="BY557" s="1297" t="n"/>
      <c r="BZ557" s="1297" t="n"/>
      <c r="CA557" s="1297" t="n"/>
      <c r="CB557" s="1297" t="n"/>
      <c r="CC557" s="1280" t="n"/>
    </row>
    <row r="558" hidden="1" outlineLevel="1" ht="14.4" customFormat="1" customHeight="1" s="1275">
      <c r="A558" s="1295" t="inlineStr">
        <is>
          <t>Dividend income</t>
        </is>
      </c>
      <c r="B558" s="1387" t="n"/>
      <c r="C558" s="1297" t="n"/>
      <c r="D558" s="1297" t="n"/>
      <c r="E558" s="1297" t="n"/>
      <c r="F558" s="1299" t="n">
        <v>-71.057</v>
      </c>
      <c r="G558" s="1299" t="n">
        <v>-506.143</v>
      </c>
      <c r="H558" s="1298" t="n">
        <v>0</v>
      </c>
      <c r="I558" s="1298" t="n">
        <v>-637.957</v>
      </c>
      <c r="J558" s="1298" t="n">
        <v>-644.241</v>
      </c>
      <c r="K558" s="1280">
        <f>L558</f>
        <v/>
      </c>
      <c r="L558" s="1299" t="n">
        <v>-649.7329999999999</v>
      </c>
      <c r="M558" s="1298" t="n">
        <v>0</v>
      </c>
      <c r="N558" s="1298" t="n">
        <v>-608.707</v>
      </c>
      <c r="O558" s="1298" t="n">
        <v>-616.675</v>
      </c>
      <c r="P558" s="1280">
        <f>Q558</f>
        <v/>
      </c>
      <c r="Q558" s="1299" t="n">
        <v>-621.513</v>
      </c>
      <c r="R558" s="1298" t="n">
        <v>0</v>
      </c>
      <c r="S558" s="1298" t="n">
        <v>-137.459</v>
      </c>
      <c r="T558" s="1298" t="n">
        <v>-137.42</v>
      </c>
      <c r="U558" s="1280">
        <f>V558</f>
        <v/>
      </c>
      <c r="V558" s="1299" t="n">
        <v>-137.401</v>
      </c>
      <c r="W558" s="1298" t="n">
        <v>0</v>
      </c>
      <c r="X558" s="1298" t="n">
        <v>-142.503</v>
      </c>
      <c r="Y558" s="1298" t="n">
        <v>-145.588</v>
      </c>
      <c r="Z558" s="1280">
        <f>AA558</f>
        <v/>
      </c>
      <c r="AA558" s="1299" t="n">
        <v>-145.588</v>
      </c>
      <c r="AB558" s="1298" t="n">
        <v>-0.453</v>
      </c>
      <c r="AC558" s="1298" t="n">
        <v>-158.358</v>
      </c>
      <c r="AD558" s="1298" t="n">
        <v>-158.358</v>
      </c>
      <c r="AE558" s="1280">
        <f>AF558</f>
        <v/>
      </c>
      <c r="AF558" s="1299" t="n">
        <v>-158.358</v>
      </c>
      <c r="AG558" s="1277" t="n"/>
      <c r="AH558" s="1298" t="n">
        <v>-244.43</v>
      </c>
      <c r="AI558" s="1298" t="n">
        <v>-246.455</v>
      </c>
      <c r="AJ558" s="1280">
        <f>AK558</f>
        <v/>
      </c>
      <c r="AK558" s="1299" t="n">
        <v>-417.295</v>
      </c>
      <c r="AL558" s="1298" t="n">
        <v>-110.509</v>
      </c>
      <c r="AM558" s="1298" t="n">
        <v>-341.797</v>
      </c>
      <c r="AN558" s="1298" t="n">
        <v>-452.57</v>
      </c>
      <c r="AO558" s="1280">
        <f>AP558</f>
        <v/>
      </c>
      <c r="AP558" s="1299" t="n">
        <v>-637.575</v>
      </c>
      <c r="AQ558" s="1298" t="n">
        <v>-169.167</v>
      </c>
      <c r="AR558" s="1298" t="n">
        <v>-348.146</v>
      </c>
      <c r="AS558" s="1298" t="n">
        <v>-357.214</v>
      </c>
      <c r="AT558" s="1280">
        <f>AU558</f>
        <v/>
      </c>
      <c r="AU558" s="1299" t="n">
        <v>-362.31</v>
      </c>
      <c r="AV558" s="1298" t="n">
        <v>-0.075</v>
      </c>
      <c r="AW558" s="1298" t="n">
        <v>-240.84</v>
      </c>
      <c r="AX558" s="1298" t="n">
        <v>-260.534</v>
      </c>
      <c r="AY558" s="1280">
        <f>AZ558</f>
        <v/>
      </c>
      <c r="AZ558" s="1299" t="n">
        <v>-266.767</v>
      </c>
      <c r="BA558" s="1298" t="n">
        <v>-72.021</v>
      </c>
      <c r="BB558" s="1298" t="n">
        <v>-309.672</v>
      </c>
      <c r="BC558" s="1298" t="n">
        <v>-387.837</v>
      </c>
      <c r="BD558" s="1280">
        <f>BE558</f>
        <v/>
      </c>
      <c r="BE558" s="1299" t="n">
        <v>-464.094</v>
      </c>
      <c r="BF558" s="1298" t="n">
        <v>-71.879</v>
      </c>
      <c r="BG558" s="1298" t="n">
        <v>-275.135</v>
      </c>
      <c r="BH558" s="1298" t="n">
        <v>-316.056</v>
      </c>
      <c r="BI558" s="1280">
        <f>BJ558</f>
        <v/>
      </c>
      <c r="BJ558" s="1299" t="n">
        <v>-566.879</v>
      </c>
      <c r="BK558" s="1298" t="n">
        <v>-51.509</v>
      </c>
      <c r="BL558" s="1298" t="n">
        <v>-463.552</v>
      </c>
      <c r="BM558" s="1298" t="n">
        <v>-543.77</v>
      </c>
      <c r="BN558" s="1280">
        <f>BO558</f>
        <v/>
      </c>
      <c r="BO558" s="1382" t="n"/>
      <c r="BP558" s="1277" t="n"/>
      <c r="BQ558" s="1277" t="n"/>
      <c r="BR558" s="1277" t="n"/>
      <c r="BS558" s="1277" t="n"/>
      <c r="BT558" s="1297" t="n"/>
      <c r="BU558" s="1277" t="n"/>
      <c r="BV558" s="1277" t="n"/>
      <c r="BW558" s="1277" t="n"/>
      <c r="BX558" s="1277" t="n"/>
      <c r="BY558" s="1297" t="n"/>
      <c r="BZ558" s="1297" t="n"/>
      <c r="CA558" s="1297" t="n"/>
      <c r="CB558" s="1297" t="n"/>
      <c r="CC558" s="1280" t="n"/>
    </row>
    <row r="559" hidden="1" outlineLevel="1" ht="14.4" customFormat="1" customHeight="1" s="1275">
      <c r="A559" s="1295" t="inlineStr">
        <is>
          <t>Income from receipt of equity securities in settlement of trade receivables</t>
        </is>
      </c>
      <c r="B559" s="1387" t="n"/>
      <c r="C559" s="1299" t="n">
        <v>0</v>
      </c>
      <c r="D559" s="1299" t="n">
        <v>-4434.364</v>
      </c>
      <c r="E559" s="1299" t="n">
        <v>-158.779</v>
      </c>
      <c r="F559" s="1299" t="n">
        <v>-0.886</v>
      </c>
      <c r="G559" s="1299" t="n">
        <v>-9.977</v>
      </c>
      <c r="H559" s="1277" t="n"/>
      <c r="I559" s="1298" t="n">
        <v>-1.211</v>
      </c>
      <c r="J559" s="1298" t="n">
        <v>-1.211</v>
      </c>
      <c r="K559" s="1280">
        <f>L559</f>
        <v/>
      </c>
      <c r="L559" s="1299" t="n">
        <v>-1.211</v>
      </c>
      <c r="M559" s="1277" t="n"/>
      <c r="N559" s="1277" t="n"/>
      <c r="O559" s="1277" t="n"/>
      <c r="P559" s="1280">
        <f>Q559</f>
        <v/>
      </c>
      <c r="Q559" s="1297" t="n"/>
      <c r="R559" s="1277" t="n"/>
      <c r="S559" s="1277" t="n"/>
      <c r="T559" s="1277" t="n"/>
      <c r="U559" s="1280">
        <f>V559</f>
        <v/>
      </c>
      <c r="V559" s="1297" t="n"/>
      <c r="W559" s="1277" t="n"/>
      <c r="X559" s="1277" t="n"/>
      <c r="Y559" s="1277" t="n"/>
      <c r="Z559" s="1280">
        <f>AA559</f>
        <v/>
      </c>
      <c r="AA559" s="1297" t="n"/>
      <c r="AB559" s="1277" t="n"/>
      <c r="AC559" s="1277" t="n"/>
      <c r="AD559" s="1277" t="n"/>
      <c r="AE559" s="1280">
        <f>AF559</f>
        <v/>
      </c>
      <c r="AF559" s="1297" t="n"/>
      <c r="AG559" s="1277" t="n"/>
      <c r="AH559" s="1277" t="n"/>
      <c r="AI559" s="1277" t="n"/>
      <c r="AJ559" s="1277" t="n"/>
      <c r="AK559" s="1297" t="n"/>
      <c r="AL559" s="1277" t="n"/>
      <c r="AM559" s="1277" t="n"/>
      <c r="AN559" s="1277" t="n"/>
      <c r="AO559" s="1280">
        <f>AP559</f>
        <v/>
      </c>
      <c r="AP559" s="1297" t="n"/>
      <c r="AQ559" s="1277" t="n"/>
      <c r="AR559" s="1277" t="n"/>
      <c r="AS559" s="1277" t="n"/>
      <c r="AT559" s="1280">
        <f>AU559</f>
        <v/>
      </c>
      <c r="AU559" s="1297" t="n"/>
      <c r="AV559" s="1277" t="n"/>
      <c r="AW559" s="1277" t="n"/>
      <c r="AX559" s="1277" t="n"/>
      <c r="AY559" s="1280">
        <f>AZ559</f>
        <v/>
      </c>
      <c r="AZ559" s="1297" t="n"/>
      <c r="BA559" s="1277" t="n"/>
      <c r="BB559" s="1277" t="n"/>
      <c r="BC559" s="1277" t="n"/>
      <c r="BD559" s="1280">
        <f>BE559</f>
        <v/>
      </c>
      <c r="BE559" s="1297" t="n"/>
      <c r="BF559" s="1277" t="n"/>
      <c r="BG559" s="1277" t="n"/>
      <c r="BH559" s="1277" t="n"/>
      <c r="BI559" s="1280">
        <f>BJ559</f>
        <v/>
      </c>
      <c r="BJ559" s="1297" t="n"/>
      <c r="BK559" s="1277" t="n"/>
      <c r="BL559" s="1277" t="n"/>
      <c r="BM559" s="1277" t="n"/>
      <c r="BN559" s="1280">
        <f>BO559</f>
        <v/>
      </c>
      <c r="BO559" s="1382" t="n"/>
      <c r="BP559" s="1277" t="n"/>
      <c r="BQ559" s="1277" t="n"/>
      <c r="BR559" s="1277" t="n"/>
      <c r="BS559" s="1277" t="n"/>
      <c r="BT559" s="1297" t="n"/>
      <c r="BU559" s="1277" t="n"/>
      <c r="BV559" s="1277" t="n"/>
      <c r="BW559" s="1277" t="n"/>
      <c r="BX559" s="1277" t="n"/>
      <c r="BY559" s="1297" t="n"/>
      <c r="BZ559" s="1297" t="n"/>
      <c r="CA559" s="1297" t="n"/>
      <c r="CB559" s="1297" t="n"/>
      <c r="CC559" s="1280" t="n"/>
    </row>
    <row r="560" hidden="1" outlineLevel="1" ht="14.4" customFormat="1" customHeight="1" s="1275">
      <c r="A560" s="1295" t="inlineStr">
        <is>
          <t>Loss from hedging instruments</t>
        </is>
      </c>
      <c r="B560" s="1387" t="n"/>
      <c r="C560" s="1297" t="n"/>
      <c r="D560" s="1297" t="n"/>
      <c r="E560" s="1297" t="n"/>
      <c r="F560" s="1299" t="n">
        <v>0</v>
      </c>
      <c r="G560" s="1299" t="n">
        <v>5602.779</v>
      </c>
      <c r="H560" s="1298" t="n">
        <v>-325.678</v>
      </c>
      <c r="I560" s="1298" t="n">
        <v>589.2430000000001</v>
      </c>
      <c r="J560" s="1298" t="n">
        <v>4643.145</v>
      </c>
      <c r="K560" s="1280">
        <f>L560</f>
        <v/>
      </c>
      <c r="L560" s="1299" t="n">
        <v>10577.714</v>
      </c>
      <c r="M560" s="1298" t="n">
        <v>-4592.076</v>
      </c>
      <c r="N560" s="1298" t="n">
        <v>737.3049999999999</v>
      </c>
      <c r="O560" s="1298" t="n">
        <v>137.124</v>
      </c>
      <c r="P560" s="1280">
        <f>Q560</f>
        <v/>
      </c>
      <c r="Q560" s="1299" t="n">
        <v>134.112</v>
      </c>
      <c r="R560" s="1298" t="n">
        <v>11.87</v>
      </c>
      <c r="S560" s="1298" t="n">
        <v>15.548</v>
      </c>
      <c r="T560" s="1298" t="n">
        <v>14.763</v>
      </c>
      <c r="U560" s="1280">
        <f>V560</f>
        <v/>
      </c>
      <c r="V560" s="1299" t="n">
        <v>-12.725</v>
      </c>
      <c r="W560" s="1298" t="n">
        <v>15.78</v>
      </c>
      <c r="X560" s="1277" t="n"/>
      <c r="Y560" s="1277" t="n"/>
      <c r="Z560" s="1280">
        <f>AA560</f>
        <v/>
      </c>
      <c r="AA560" s="1297" t="n"/>
      <c r="AB560" s="1277" t="n"/>
      <c r="AC560" s="1277" t="n"/>
      <c r="AD560" s="1277" t="n"/>
      <c r="AE560" s="1280">
        <f>AF560</f>
        <v/>
      </c>
      <c r="AF560" s="1297" t="n"/>
      <c r="AG560" s="1277" t="n"/>
      <c r="AH560" s="1277" t="n"/>
      <c r="AI560" s="1277" t="n"/>
      <c r="AJ560" s="1277" t="n"/>
      <c r="AK560" s="1297" t="n"/>
      <c r="AL560" s="1277" t="n"/>
      <c r="AM560" s="1277" t="n"/>
      <c r="AN560" s="1277" t="n"/>
      <c r="AO560" s="1280">
        <f>AP560</f>
        <v/>
      </c>
      <c r="AP560" s="1297" t="n"/>
      <c r="AQ560" s="1277" t="n"/>
      <c r="AR560" s="1277" t="n"/>
      <c r="AS560" s="1277" t="n"/>
      <c r="AT560" s="1280">
        <f>AU560</f>
        <v/>
      </c>
      <c r="AU560" s="1297" t="n"/>
      <c r="AV560" s="1277" t="n"/>
      <c r="AW560" s="1277" t="n"/>
      <c r="AX560" s="1277" t="n"/>
      <c r="AY560" s="1280">
        <f>AZ560</f>
        <v/>
      </c>
      <c r="AZ560" s="1297" t="n"/>
      <c r="BA560" s="1277" t="n"/>
      <c r="BB560" s="1277" t="n"/>
      <c r="BC560" s="1277" t="n"/>
      <c r="BD560" s="1280">
        <f>BE560</f>
        <v/>
      </c>
      <c r="BE560" s="1297" t="n"/>
      <c r="BF560" s="1277" t="n"/>
      <c r="BG560" s="1277" t="n"/>
      <c r="BH560" s="1277" t="n"/>
      <c r="BI560" s="1280">
        <f>BJ560</f>
        <v/>
      </c>
      <c r="BJ560" s="1297" t="n"/>
      <c r="BK560" s="1277" t="n"/>
      <c r="BL560" s="1277" t="n"/>
      <c r="BM560" s="1277" t="n"/>
      <c r="BN560" s="1280">
        <f>BO560</f>
        <v/>
      </c>
      <c r="BO560" s="1382" t="n"/>
      <c r="BP560" s="1277" t="n"/>
      <c r="BQ560" s="1277" t="n"/>
      <c r="BR560" s="1277" t="n"/>
      <c r="BS560" s="1277" t="n"/>
      <c r="BT560" s="1297" t="n"/>
      <c r="BU560" s="1277" t="n"/>
      <c r="BV560" s="1277" t="n"/>
      <c r="BW560" s="1277" t="n"/>
      <c r="BX560" s="1277" t="n"/>
      <c r="BY560" s="1297" t="n"/>
      <c r="BZ560" s="1297" t="n"/>
      <c r="CA560" s="1297" t="n"/>
      <c r="CB560" s="1297" t="n"/>
      <c r="CC560" s="1280" t="n"/>
    </row>
    <row r="561" hidden="1" outlineLevel="1" ht="14.4" customFormat="1" customHeight="1" s="1275">
      <c r="A561" s="1295" t="inlineStr">
        <is>
          <t>Loss arising from fair value hedges, net</t>
        </is>
      </c>
      <c r="B561" s="1387" t="n"/>
      <c r="C561" s="1297" t="n"/>
      <c r="D561" s="1297" t="n"/>
      <c r="E561" s="1297" t="n"/>
      <c r="F561" s="1299" t="n">
        <v>0</v>
      </c>
      <c r="G561" s="1299" t="n">
        <v>-5071.118</v>
      </c>
      <c r="H561" s="1298" t="n">
        <v>327.961</v>
      </c>
      <c r="I561" s="1298" t="n">
        <v>0</v>
      </c>
      <c r="J561" s="1298" t="n">
        <v>-4163.555</v>
      </c>
      <c r="K561" s="1280">
        <f>L561</f>
        <v/>
      </c>
      <c r="L561" s="1299" t="n">
        <v>-10088.628</v>
      </c>
      <c r="M561" s="1298" t="n">
        <v>4602.284</v>
      </c>
      <c r="N561" s="1298" t="n">
        <v>0</v>
      </c>
      <c r="O561" s="1298" t="n">
        <v>298.751</v>
      </c>
      <c r="P561" s="1280">
        <f>Q561</f>
        <v/>
      </c>
      <c r="Q561" s="1299" t="n">
        <v>305.319</v>
      </c>
      <c r="R561" s="1298" t="n">
        <v>-10.625</v>
      </c>
      <c r="S561" s="1298" t="n">
        <v>0</v>
      </c>
      <c r="T561" s="1298" t="n">
        <v>-14.634</v>
      </c>
      <c r="U561" s="1280">
        <f>V561</f>
        <v/>
      </c>
      <c r="V561" s="1299" t="n">
        <v>-4.248</v>
      </c>
      <c r="W561" s="1298" t="n">
        <v>3.707</v>
      </c>
      <c r="X561" s="1298" t="n">
        <v>23.494</v>
      </c>
      <c r="Y561" s="1298" t="n">
        <v>32.058</v>
      </c>
      <c r="Z561" s="1280">
        <f>AA561</f>
        <v/>
      </c>
      <c r="AA561" s="1299" t="n">
        <v>30.293</v>
      </c>
      <c r="AB561" s="1298" t="n">
        <v>-0.352</v>
      </c>
      <c r="AC561" s="1298" t="n">
        <v>-7.725</v>
      </c>
      <c r="AD561" s="1298" t="n">
        <v>2.494</v>
      </c>
      <c r="AE561" s="1280">
        <f>AF561</f>
        <v/>
      </c>
      <c r="AF561" s="1299" t="n">
        <v>2.386</v>
      </c>
      <c r="AG561" s="1298" t="n">
        <v>-11.758</v>
      </c>
      <c r="AH561" s="1298" t="n">
        <v>-17.826</v>
      </c>
      <c r="AI561" s="1298" t="n">
        <v>-12.976</v>
      </c>
      <c r="AJ561" s="1280">
        <f>AK561</f>
        <v/>
      </c>
      <c r="AK561" s="1299" t="n">
        <v>-13.091</v>
      </c>
      <c r="AL561" s="1277" t="n"/>
      <c r="AM561" s="1277" t="n"/>
      <c r="AN561" s="1277" t="n"/>
      <c r="AO561" s="1280">
        <f>AP561</f>
        <v/>
      </c>
      <c r="AP561" s="1297" t="n"/>
      <c r="AQ561" s="1277" t="n"/>
      <c r="AR561" s="1277" t="n"/>
      <c r="AS561" s="1277" t="n"/>
      <c r="AT561" s="1280">
        <f>AU561</f>
        <v/>
      </c>
      <c r="AU561" s="1297" t="n"/>
      <c r="AV561" s="1277" t="n"/>
      <c r="AW561" s="1277" t="n"/>
      <c r="AX561" s="1277" t="n"/>
      <c r="AY561" s="1280">
        <f>AZ561</f>
        <v/>
      </c>
      <c r="AZ561" s="1297" t="n"/>
      <c r="BA561" s="1277" t="n"/>
      <c r="BB561" s="1277" t="n"/>
      <c r="BC561" s="1277" t="n"/>
      <c r="BD561" s="1280">
        <f>BE561</f>
        <v/>
      </c>
      <c r="BE561" s="1297" t="n"/>
      <c r="BF561" s="1277" t="n"/>
      <c r="BG561" s="1277" t="n"/>
      <c r="BH561" s="1277" t="n"/>
      <c r="BI561" s="1280">
        <f>BJ561</f>
        <v/>
      </c>
      <c r="BJ561" s="1297" t="n"/>
      <c r="BK561" s="1277" t="n"/>
      <c r="BL561" s="1277" t="n"/>
      <c r="BM561" s="1277" t="n"/>
      <c r="BN561" s="1280">
        <f>BO561</f>
        <v/>
      </c>
      <c r="BO561" s="1382" t="n"/>
      <c r="BP561" s="1277" t="n"/>
      <c r="BQ561" s="1277" t="n"/>
      <c r="BR561" s="1277" t="n"/>
      <c r="BS561" s="1277" t="n"/>
      <c r="BT561" s="1297" t="n"/>
      <c r="BU561" s="1277" t="n"/>
      <c r="BV561" s="1277" t="n"/>
      <c r="BW561" s="1277" t="n"/>
      <c r="BX561" s="1277" t="n"/>
      <c r="BY561" s="1297" t="n"/>
      <c r="BZ561" s="1297" t="n"/>
      <c r="CA561" s="1297" t="n"/>
      <c r="CB561" s="1297" t="n"/>
      <c r="CC561" s="1280" t="n"/>
    </row>
    <row r="562" hidden="1" outlineLevel="1" ht="14.4" customFormat="1" customHeight="1" s="1275">
      <c r="A562" s="1295" t="inlineStr">
        <is>
          <t>Loss on lease modification</t>
        </is>
      </c>
      <c r="B562" s="1387" t="n"/>
      <c r="C562" s="1297" t="n"/>
      <c r="D562" s="1297" t="n"/>
      <c r="E562" s="1297" t="n"/>
      <c r="F562" s="1297" t="n"/>
      <c r="G562" s="1297" t="n"/>
      <c r="H562" s="1277" t="n"/>
      <c r="I562" s="1277" t="n"/>
      <c r="J562" s="1277" t="n"/>
      <c r="K562" s="1277" t="n"/>
      <c r="L562" s="1297" t="n"/>
      <c r="M562" s="1277" t="n"/>
      <c r="N562" s="1277" t="n"/>
      <c r="O562" s="1277" t="n"/>
      <c r="P562" s="1277" t="n"/>
      <c r="Q562" s="1297" t="n"/>
      <c r="R562" s="1277" t="n"/>
      <c r="S562" s="1277" t="n"/>
      <c r="T562" s="1277" t="n"/>
      <c r="U562" s="1277" t="n"/>
      <c r="V562" s="1297" t="n"/>
      <c r="W562" s="1277" t="n"/>
      <c r="X562" s="1277" t="n"/>
      <c r="Y562" s="1277" t="n"/>
      <c r="Z562" s="1277" t="n"/>
      <c r="AA562" s="1297" t="n"/>
      <c r="AB562" s="1277" t="n"/>
      <c r="AC562" s="1277" t="n"/>
      <c r="AD562" s="1277" t="n"/>
      <c r="AE562" s="1277" t="n"/>
      <c r="AF562" s="1297" t="n"/>
      <c r="AG562" s="1277" t="n"/>
      <c r="AH562" s="1298" t="n">
        <v>0.196</v>
      </c>
      <c r="AI562" s="1298" t="n">
        <v>0.344</v>
      </c>
      <c r="AJ562" s="1280">
        <f>AK562</f>
        <v/>
      </c>
      <c r="AK562" s="1299" t="n">
        <v>-2.075</v>
      </c>
      <c r="AL562" s="1277" t="n"/>
      <c r="AM562" s="1298" t="n">
        <v>-0.003</v>
      </c>
      <c r="AN562" s="1298" t="n">
        <v>-0.461</v>
      </c>
      <c r="AO562" s="1280">
        <f>AP562</f>
        <v/>
      </c>
      <c r="AP562" s="1299" t="n">
        <v>-2.828</v>
      </c>
      <c r="AQ562" s="1277" t="n"/>
      <c r="AR562" s="1277" t="n"/>
      <c r="AS562" s="1298" t="n">
        <v>-414.281</v>
      </c>
      <c r="AT562" s="1280">
        <f>AU562</f>
        <v/>
      </c>
      <c r="AU562" s="1297" t="n"/>
      <c r="AV562" s="1277" t="n"/>
      <c r="AW562" s="1277" t="n"/>
      <c r="AX562" s="1277" t="n"/>
      <c r="AY562" s="1280">
        <f>AZ562</f>
        <v/>
      </c>
      <c r="AZ562" s="1297" t="n"/>
      <c r="BA562" s="1277" t="n"/>
      <c r="BB562" s="1277" t="n"/>
      <c r="BC562" s="1277" t="n"/>
      <c r="BD562" s="1280">
        <f>BE562</f>
        <v/>
      </c>
      <c r="BE562" s="1297" t="n"/>
      <c r="BF562" s="1277" t="n"/>
      <c r="BG562" s="1277" t="n"/>
      <c r="BH562" s="1277" t="n"/>
      <c r="BI562" s="1280">
        <f>BJ562</f>
        <v/>
      </c>
      <c r="BJ562" s="1297" t="n"/>
      <c r="BK562" s="1277" t="n"/>
      <c r="BL562" s="1277" t="n"/>
      <c r="BM562" s="1277" t="n"/>
      <c r="BN562" s="1280">
        <f>BO562</f>
        <v/>
      </c>
      <c r="BO562" s="1382" t="n"/>
      <c r="BP562" s="1277" t="n"/>
      <c r="BQ562" s="1277" t="n"/>
      <c r="BR562" s="1277" t="n"/>
      <c r="BS562" s="1277" t="n"/>
      <c r="BT562" s="1297" t="n"/>
      <c r="BU562" s="1277" t="n"/>
      <c r="BV562" s="1277" t="n"/>
      <c r="BW562" s="1277" t="n"/>
      <c r="BX562" s="1277" t="n"/>
      <c r="BY562" s="1297" t="n"/>
      <c r="BZ562" s="1297" t="n"/>
      <c r="CA562" s="1297" t="n"/>
      <c r="CB562" s="1297" t="n"/>
      <c r="CC562" s="1280" t="n"/>
    </row>
    <row r="563" hidden="1" outlineLevel="1" ht="14.4" customFormat="1" customHeight="1" s="1275">
      <c r="A563" s="1295" t="inlineStr">
        <is>
          <t>Deferred income tax</t>
        </is>
      </c>
      <c r="B563" s="1387" t="n"/>
      <c r="C563" s="1299" t="n">
        <v>-1752.409</v>
      </c>
      <c r="D563" s="1299" t="n">
        <v>-377.248</v>
      </c>
      <c r="E563" s="1299" t="n">
        <v>-491.122</v>
      </c>
      <c r="F563" s="1297" t="n"/>
      <c r="G563" s="1297" t="n"/>
      <c r="H563" s="1277" t="n"/>
      <c r="I563" s="1277" t="n"/>
      <c r="J563" s="1277" t="n"/>
      <c r="K563" s="1280">
        <f>L563</f>
        <v/>
      </c>
      <c r="L563" s="1297" t="n"/>
      <c r="M563" s="1277" t="n"/>
      <c r="N563" s="1277" t="n"/>
      <c r="O563" s="1277" t="n"/>
      <c r="P563" s="1280">
        <f>Q563</f>
        <v/>
      </c>
      <c r="Q563" s="1297" t="n"/>
      <c r="R563" s="1277" t="n"/>
      <c r="S563" s="1277" t="n"/>
      <c r="T563" s="1277" t="n"/>
      <c r="U563" s="1280">
        <f>V563</f>
        <v/>
      </c>
      <c r="V563" s="1297" t="n"/>
      <c r="W563" s="1277" t="n"/>
      <c r="X563" s="1277" t="n"/>
      <c r="Y563" s="1277" t="n"/>
      <c r="Z563" s="1280">
        <f>AA563</f>
        <v/>
      </c>
      <c r="AA563" s="1297" t="n"/>
      <c r="AB563" s="1277" t="n"/>
      <c r="AC563" s="1277" t="n"/>
      <c r="AD563" s="1277" t="n"/>
      <c r="AE563" s="1280">
        <f>AF563</f>
        <v/>
      </c>
      <c r="AF563" s="1297" t="n"/>
      <c r="AG563" s="1277" t="n"/>
      <c r="AH563" s="1277" t="n"/>
      <c r="AI563" s="1277" t="n"/>
      <c r="AJ563" s="1277" t="n"/>
      <c r="AK563" s="1297" t="n"/>
      <c r="AL563" s="1277" t="n"/>
      <c r="AM563" s="1277" t="n"/>
      <c r="AN563" s="1277" t="n"/>
      <c r="AO563" s="1280">
        <f>AP563</f>
        <v/>
      </c>
      <c r="AP563" s="1297" t="n"/>
      <c r="AQ563" s="1277" t="n"/>
      <c r="AR563" s="1277" t="n"/>
      <c r="AS563" s="1277" t="n"/>
      <c r="AT563" s="1280">
        <f>AU563</f>
        <v/>
      </c>
      <c r="AU563" s="1297" t="n"/>
      <c r="AV563" s="1277" t="n"/>
      <c r="AW563" s="1277" t="n"/>
      <c r="AX563" s="1277" t="n"/>
      <c r="AY563" s="1280">
        <f>AZ563</f>
        <v/>
      </c>
      <c r="AZ563" s="1297" t="n"/>
      <c r="BA563" s="1277" t="n"/>
      <c r="BB563" s="1277" t="n"/>
      <c r="BC563" s="1277" t="n"/>
      <c r="BD563" s="1280">
        <f>BE563</f>
        <v/>
      </c>
      <c r="BE563" s="1297" t="n"/>
      <c r="BF563" s="1277" t="n"/>
      <c r="BG563" s="1277" t="n"/>
      <c r="BH563" s="1277" t="n"/>
      <c r="BI563" s="1280">
        <f>BJ563</f>
        <v/>
      </c>
      <c r="BJ563" s="1297" t="n"/>
      <c r="BK563" s="1277" t="n"/>
      <c r="BL563" s="1277" t="n"/>
      <c r="BM563" s="1277" t="n"/>
      <c r="BN563" s="1280">
        <f>BO563</f>
        <v/>
      </c>
      <c r="BO563" s="1382" t="n"/>
      <c r="BP563" s="1277" t="n"/>
      <c r="BQ563" s="1277" t="n"/>
      <c r="BR563" s="1277" t="n"/>
      <c r="BS563" s="1277" t="n"/>
      <c r="BT563" s="1297" t="n"/>
      <c r="BU563" s="1277" t="n"/>
      <c r="BV563" s="1277" t="n"/>
      <c r="BW563" s="1277" t="n"/>
      <c r="BX563" s="1277" t="n"/>
      <c r="BY563" s="1297" t="n"/>
      <c r="BZ563" s="1297" t="n"/>
      <c r="CA563" s="1297" t="n"/>
      <c r="CB563" s="1297" t="n"/>
      <c r="CC563" s="1280" t="n"/>
    </row>
    <row r="564" hidden="1" outlineLevel="1" ht="14.4" customFormat="1" customHeight="1" s="1275">
      <c r="A564" s="1295" t="inlineStr">
        <is>
          <t>Gain from lease agreement modification</t>
        </is>
      </c>
      <c r="B564" s="1387" t="n"/>
      <c r="C564" s="1297" t="n"/>
      <c r="D564" s="1297" t="n"/>
      <c r="E564" s="1297" t="n"/>
      <c r="F564" s="1299" t="n">
        <v>0</v>
      </c>
      <c r="G564" s="1299" t="n">
        <v>0</v>
      </c>
      <c r="H564" s="1298" t="n">
        <v>0</v>
      </c>
      <c r="I564" s="1298" t="n">
        <v>-78.10899999999999</v>
      </c>
      <c r="J564" s="1298" t="n">
        <v>0</v>
      </c>
      <c r="K564" s="1280">
        <f>L564</f>
        <v/>
      </c>
      <c r="L564" s="1299" t="n">
        <v>0</v>
      </c>
      <c r="M564" s="1298" t="n">
        <v>0</v>
      </c>
      <c r="N564" s="1298" t="n">
        <v>-299.191</v>
      </c>
      <c r="O564" s="1298" t="n">
        <v>-428.388</v>
      </c>
      <c r="P564" s="1280">
        <f>Q564</f>
        <v/>
      </c>
      <c r="Q564" s="1299" t="n">
        <v>-430.041</v>
      </c>
      <c r="R564" s="1298" t="n">
        <v>0</v>
      </c>
      <c r="S564" s="1298" t="n">
        <v>-14.707</v>
      </c>
      <c r="T564" s="1298" t="n">
        <v>0</v>
      </c>
      <c r="U564" s="1280">
        <f>V564</f>
        <v/>
      </c>
      <c r="V564" s="1299" t="n">
        <v>0</v>
      </c>
      <c r="W564" s="1277" t="n"/>
      <c r="X564" s="1277" t="n"/>
      <c r="Y564" s="1277" t="n"/>
      <c r="Z564" s="1280">
        <f>AA564</f>
        <v/>
      </c>
      <c r="AA564" s="1297" t="n"/>
      <c r="AB564" s="1277" t="n"/>
      <c r="AC564" s="1277" t="n"/>
      <c r="AD564" s="1277" t="n"/>
      <c r="AE564" s="1280">
        <f>AF564</f>
        <v/>
      </c>
      <c r="AF564" s="1297" t="n"/>
      <c r="AG564" s="1277" t="n"/>
      <c r="AH564" s="1277" t="n"/>
      <c r="AI564" s="1277" t="n"/>
      <c r="AJ564" s="1277" t="n"/>
      <c r="AK564" s="1297" t="n"/>
      <c r="AL564" s="1277" t="n"/>
      <c r="AM564" s="1277" t="n"/>
      <c r="AN564" s="1277" t="n"/>
      <c r="AO564" s="1280">
        <f>AP564</f>
        <v/>
      </c>
      <c r="AP564" s="1297" t="n"/>
      <c r="AQ564" s="1277" t="n"/>
      <c r="AR564" s="1277" t="n"/>
      <c r="AS564" s="1277" t="n"/>
      <c r="AT564" s="1280">
        <f>AU564</f>
        <v/>
      </c>
      <c r="AU564" s="1297" t="n"/>
      <c r="AV564" s="1277" t="n"/>
      <c r="AW564" s="1277" t="n"/>
      <c r="AX564" s="1277" t="n"/>
      <c r="AY564" s="1280">
        <f>AZ564</f>
        <v/>
      </c>
      <c r="AZ564" s="1297" t="n"/>
      <c r="BA564" s="1277" t="n"/>
      <c r="BB564" s="1277" t="n"/>
      <c r="BC564" s="1277" t="n"/>
      <c r="BD564" s="1280">
        <f>BE564</f>
        <v/>
      </c>
      <c r="BE564" s="1297" t="n"/>
      <c r="BF564" s="1277" t="n"/>
      <c r="BG564" s="1277" t="n"/>
      <c r="BH564" s="1277" t="n"/>
      <c r="BI564" s="1280">
        <f>BJ564</f>
        <v/>
      </c>
      <c r="BJ564" s="1297" t="n"/>
      <c r="BK564" s="1277" t="n"/>
      <c r="BL564" s="1277" t="n"/>
      <c r="BM564" s="1277" t="n"/>
      <c r="BN564" s="1280">
        <f>BO564</f>
        <v/>
      </c>
      <c r="BO564" s="1382" t="n"/>
      <c r="BP564" s="1277" t="n"/>
      <c r="BQ564" s="1277" t="n"/>
      <c r="BR564" s="1277" t="n"/>
      <c r="BS564" s="1277" t="n"/>
      <c r="BT564" s="1297" t="n"/>
      <c r="BU564" s="1277" t="n"/>
      <c r="BV564" s="1277" t="n"/>
      <c r="BW564" s="1277" t="n"/>
      <c r="BX564" s="1277" t="n"/>
      <c r="BY564" s="1297" t="n"/>
      <c r="BZ564" s="1297" t="n"/>
      <c r="CA564" s="1297" t="n"/>
      <c r="CB564" s="1297" t="n"/>
      <c r="CC564" s="1280" t="n"/>
    </row>
    <row r="565" hidden="1" outlineLevel="1" ht="14.4" customFormat="1" customHeight="1" s="1275">
      <c r="A565" s="1460" t="inlineStr">
        <is>
          <t>Others</t>
        </is>
      </c>
      <c r="B565" s="1389" t="n"/>
      <c r="C565" s="1364" t="n"/>
      <c r="D565" s="1364" t="n"/>
      <c r="E565" s="1364" t="n"/>
      <c r="F565" s="1364" t="n"/>
      <c r="G565" s="1364" t="n"/>
      <c r="H565" s="1365" t="n"/>
      <c r="I565" s="1365" t="n"/>
      <c r="J565" s="1365" t="n"/>
      <c r="K565" s="1365" t="n"/>
      <c r="L565" s="1364" t="n"/>
      <c r="M565" s="1365" t="n"/>
      <c r="N565" s="1365" t="n"/>
      <c r="O565" s="1365" t="n"/>
      <c r="P565" s="1365" t="n"/>
      <c r="Q565" s="1364" t="n"/>
      <c r="R565" s="1365" t="n"/>
      <c r="S565" s="1365" t="n"/>
      <c r="T565" s="1365" t="n"/>
      <c r="U565" s="1365" t="n"/>
      <c r="V565" s="1364" t="n"/>
      <c r="W565" s="1365" t="n"/>
      <c r="X565" s="1365" t="n"/>
      <c r="Y565" s="1365" t="n"/>
      <c r="Z565" s="1365" t="n"/>
      <c r="AA565" s="1364" t="n"/>
      <c r="AB565" s="1365" t="n"/>
      <c r="AC565" s="1365" t="n"/>
      <c r="AD565" s="1365" t="n"/>
      <c r="AE565" s="1365" t="n"/>
      <c r="AF565" s="1364" t="n"/>
      <c r="AG565" s="1365" t="n"/>
      <c r="AH565" s="1365" t="n"/>
      <c r="AI565" s="1365" t="n"/>
      <c r="AJ565" s="1365" t="n"/>
      <c r="AK565" s="1364" t="n"/>
      <c r="AL565" s="1365" t="n"/>
      <c r="AM565" s="1365" t="n"/>
      <c r="AN565" s="1365" t="n"/>
      <c r="AO565" s="1365" t="n"/>
      <c r="AP565" s="1364" t="n"/>
      <c r="AQ565" s="1365" t="n"/>
      <c r="AR565" s="1365" t="n"/>
      <c r="AS565" s="1365" t="n"/>
      <c r="AT565" s="1280">
        <f>AU565</f>
        <v/>
      </c>
      <c r="AU565" s="1390" t="n">
        <v>-414.219</v>
      </c>
      <c r="AV565" s="1391" t="n">
        <v>-258.328</v>
      </c>
      <c r="AW565" s="1391" t="n">
        <v>-260.642</v>
      </c>
      <c r="AX565" s="1391" t="n">
        <v>-292.572</v>
      </c>
      <c r="AY565" s="1280">
        <f>AZ565</f>
        <v/>
      </c>
      <c r="AZ565" s="1390" t="n">
        <v>138.827</v>
      </c>
      <c r="BA565" s="1391" t="n">
        <v>85.997</v>
      </c>
      <c r="BB565" s="1391" t="n">
        <v>-10.497</v>
      </c>
      <c r="BC565" s="1391" t="n">
        <v>-280.262</v>
      </c>
      <c r="BD565" s="1280">
        <f>BE565</f>
        <v/>
      </c>
      <c r="BE565" s="1390" t="n">
        <v>-337.935</v>
      </c>
      <c r="BF565" s="1391" t="n">
        <v>-134.755</v>
      </c>
      <c r="BG565" s="1391" t="n">
        <v>-137.311</v>
      </c>
      <c r="BH565" s="1391" t="n">
        <v>-294.299</v>
      </c>
      <c r="BI565" s="1280">
        <f>BJ565</f>
        <v/>
      </c>
      <c r="BJ565" s="1390" t="n">
        <v>-435.644</v>
      </c>
      <c r="BK565" s="1391" t="n">
        <v>247.618</v>
      </c>
      <c r="BL565" s="1391" t="n">
        <v>583.4640000000001</v>
      </c>
      <c r="BM565" s="1391" t="n">
        <v>925.282</v>
      </c>
      <c r="BN565" s="1280">
        <f>BO565</f>
        <v/>
      </c>
      <c r="BO565" s="1366" t="n"/>
      <c r="BP565" s="1365" t="n"/>
      <c r="BQ565" s="1365" t="n"/>
      <c r="BR565" s="1365" t="n"/>
      <c r="BS565" s="1365" t="n"/>
      <c r="BT565" s="1364" t="n"/>
      <c r="BU565" s="1365" t="n"/>
      <c r="BV565" s="1365" t="n"/>
      <c r="BW565" s="1365" t="n"/>
      <c r="BX565" s="1365" t="n"/>
      <c r="BY565" s="1364" t="n"/>
      <c r="BZ565" s="1364" t="n"/>
      <c r="CA565" s="1364" t="n"/>
      <c r="CB565" s="1364" t="n"/>
      <c r="CC565" s="1280" t="n"/>
    </row>
    <row r="566" hidden="1" outlineLevel="1" ht="14.4" customFormat="1" customHeight="1" s="1323">
      <c r="A566" s="1324" t="inlineStr">
        <is>
          <t>CFO before WC</t>
        </is>
      </c>
      <c r="B566" s="1393" t="n"/>
      <c r="C566" s="1329">
        <f>SUM(C525:C565)</f>
        <v/>
      </c>
      <c r="D566" s="1329">
        <f>SUM(D525:D565)</f>
        <v/>
      </c>
      <c r="E566" s="1329">
        <f>SUM(E525:E565)</f>
        <v/>
      </c>
      <c r="F566" s="1329">
        <f>SUM(F525:F565)</f>
        <v/>
      </c>
      <c r="G566" s="1329">
        <f>SUM(G525:G565)</f>
        <v/>
      </c>
      <c r="H566" s="1328">
        <f>SUM(H525:H565)</f>
        <v/>
      </c>
      <c r="I566" s="1328">
        <f>SUM(I525:I565)</f>
        <v/>
      </c>
      <c r="J566" s="1328">
        <f>SUM(J525:J565)</f>
        <v/>
      </c>
      <c r="K566" s="1328">
        <f>SUM(K525:K565)</f>
        <v/>
      </c>
      <c r="L566" s="1329">
        <f>SUM(L525:L565)</f>
        <v/>
      </c>
      <c r="M566" s="1328">
        <f>SUM(M525:M565)</f>
        <v/>
      </c>
      <c r="N566" s="1328">
        <f>SUM(N525:N565)</f>
        <v/>
      </c>
      <c r="O566" s="1328">
        <f>SUM(O525:O565)</f>
        <v/>
      </c>
      <c r="P566" s="1328">
        <f>SUM(P525:P565)</f>
        <v/>
      </c>
      <c r="Q566" s="1329">
        <f>SUM(Q525:Q565)</f>
        <v/>
      </c>
      <c r="R566" s="1328">
        <f>SUM(R525:R565)</f>
        <v/>
      </c>
      <c r="S566" s="1328">
        <f>SUM(S525:S565)</f>
        <v/>
      </c>
      <c r="T566" s="1328">
        <f>SUM(T525:T565)</f>
        <v/>
      </c>
      <c r="U566" s="1328">
        <f>SUM(U525:U565)</f>
        <v/>
      </c>
      <c r="V566" s="1329">
        <f>SUM(V525:V565)</f>
        <v/>
      </c>
      <c r="W566" s="1328">
        <f>SUM(W525:W565)</f>
        <v/>
      </c>
      <c r="X566" s="1328">
        <f>SUM(X525:X565)</f>
        <v/>
      </c>
      <c r="Y566" s="1328">
        <f>SUM(Y525:Y565)</f>
        <v/>
      </c>
      <c r="Z566" s="1328">
        <f>SUM(Z525:Z565)</f>
        <v/>
      </c>
      <c r="AA566" s="1329">
        <f>SUM(AA525:AA565)</f>
        <v/>
      </c>
      <c r="AB566" s="1328">
        <f>SUM(AB525:AB565)</f>
        <v/>
      </c>
      <c r="AC566" s="1328">
        <f>SUM(AC525:AC565)</f>
        <v/>
      </c>
      <c r="AD566" s="1328">
        <f>SUM(AD525:AD565)</f>
        <v/>
      </c>
      <c r="AE566" s="1328">
        <f>SUM(AE525:AE565)</f>
        <v/>
      </c>
      <c r="AF566" s="1329">
        <f>SUM(AF525:AF565)</f>
        <v/>
      </c>
      <c r="AG566" s="1328">
        <f>SUM(AG525:AG565)</f>
        <v/>
      </c>
      <c r="AH566" s="1328">
        <f>SUM(AH525:AH565)</f>
        <v/>
      </c>
      <c r="AI566" s="1328">
        <f>SUM(AI525:AI565)</f>
        <v/>
      </c>
      <c r="AJ566" s="1328">
        <f>SUM(AJ525:AJ565)</f>
        <v/>
      </c>
      <c r="AK566" s="1329">
        <f>SUM(AK525:AK565)</f>
        <v/>
      </c>
      <c r="AL566" s="1328">
        <f>SUM(AL525:AL565)</f>
        <v/>
      </c>
      <c r="AM566" s="1328">
        <f>SUM(AM525:AM565)</f>
        <v/>
      </c>
      <c r="AN566" s="1328">
        <f>SUM(AN525:AN565)</f>
        <v/>
      </c>
      <c r="AO566" s="1328">
        <f>SUM(AO525:AO565)</f>
        <v/>
      </c>
      <c r="AP566" s="1329">
        <f>SUM(AP525:AP565)</f>
        <v/>
      </c>
      <c r="AQ566" s="1328">
        <f>SUM(AQ525:AQ565)</f>
        <v/>
      </c>
      <c r="AR566" s="1328">
        <f>SUM(AR525:AR565)</f>
        <v/>
      </c>
      <c r="AS566" s="1328">
        <f>SUM(AS525:AS565)</f>
        <v/>
      </c>
      <c r="AT566" s="1328">
        <f>SUM(AT525:AT565)</f>
        <v/>
      </c>
      <c r="AU566" s="1329">
        <f>SUM(AU525:AU565)</f>
        <v/>
      </c>
      <c r="AV566" s="1328">
        <f>SUM(AV525:AV565)</f>
        <v/>
      </c>
      <c r="AW566" s="1328">
        <f>SUM(AW525:AW565)</f>
        <v/>
      </c>
      <c r="AX566" s="1328">
        <f>SUM(AX525:AX565)</f>
        <v/>
      </c>
      <c r="AY566" s="1328">
        <f>SUM(AY525:AY565)</f>
        <v/>
      </c>
      <c r="AZ566" s="1329">
        <f>SUM(AZ525:AZ565)</f>
        <v/>
      </c>
      <c r="BA566" s="1328">
        <f>SUM(BA525:BA565)</f>
        <v/>
      </c>
      <c r="BB566" s="1328">
        <f>SUM(BB525:BB565)</f>
        <v/>
      </c>
      <c r="BC566" s="1327">
        <f>SUM(BC525:BC565)</f>
        <v/>
      </c>
      <c r="BD566" s="1328">
        <f>SUM(BD525:BD565)</f>
        <v/>
      </c>
      <c r="BE566" s="1329">
        <f>SUM(BE525:BE565)</f>
        <v/>
      </c>
      <c r="BF566" s="1328">
        <f>SUM(BF525:BF565)</f>
        <v/>
      </c>
      <c r="BG566" s="1328">
        <f>SUM(BG525:BG565)</f>
        <v/>
      </c>
      <c r="BH566" s="1327">
        <f>SUM(BH525:BH565)</f>
        <v/>
      </c>
      <c r="BI566" s="1328">
        <f>SUM(BI525:BI565)</f>
        <v/>
      </c>
      <c r="BJ566" s="1329">
        <f>SUM(BJ525:BJ565)</f>
        <v/>
      </c>
      <c r="BK566" s="1328">
        <f>SUM(BK525:BK565)</f>
        <v/>
      </c>
      <c r="BL566" s="1328">
        <f>SUM(BL525:BL565)</f>
        <v/>
      </c>
      <c r="BM566" s="1327">
        <f>SUM(BM525:BM565)</f>
        <v/>
      </c>
      <c r="BN566" s="1328">
        <f>SUM(BN525:BN565)</f>
        <v/>
      </c>
      <c r="BO566" s="1330">
        <f>SUM(BO525:BO565)</f>
        <v/>
      </c>
      <c r="BP566" s="1327" t="n"/>
      <c r="BQ566" s="1327" t="n"/>
      <c r="BR566" s="1327" t="n"/>
      <c r="BS566" s="1327" t="n"/>
      <c r="BT566" s="1326" t="n"/>
      <c r="BU566" s="1327" t="n"/>
      <c r="BV566" s="1327" t="n"/>
      <c r="BW566" s="1327" t="n"/>
      <c r="BX566" s="1327" t="n"/>
      <c r="BY566" s="1326" t="n"/>
      <c r="BZ566" s="1326" t="n"/>
      <c r="CA566" s="1326" t="n"/>
      <c r="CB566" s="1326" t="n"/>
      <c r="CC566" s="1331" t="n"/>
    </row>
    <row r="567" hidden="1" outlineLevel="1" ht="14.4" customFormat="1" customHeight="1" s="1275">
      <c r="A567" s="1295" t="inlineStr">
        <is>
          <t>Financial instruments at fair value through profit or loss</t>
        </is>
      </c>
      <c r="B567" s="1387" t="n"/>
      <c r="C567" s="1299" t="n">
        <v>-215.513</v>
      </c>
      <c r="D567" s="1299" t="n">
        <v>198.172</v>
      </c>
      <c r="E567" s="1299" t="n">
        <v>-13.734</v>
      </c>
      <c r="F567" s="1299" t="n">
        <v>-22.311</v>
      </c>
      <c r="G567" s="1299" t="n">
        <v>-32.189</v>
      </c>
      <c r="H567" s="1298" t="n">
        <v>233.713</v>
      </c>
      <c r="I567" s="1298" t="n">
        <v>-82.244</v>
      </c>
      <c r="J567" s="1298" t="n">
        <v>678.501</v>
      </c>
      <c r="K567" s="1280">
        <f>L567</f>
        <v/>
      </c>
      <c r="L567" s="1299" t="n">
        <v>342.853</v>
      </c>
      <c r="M567" s="1298" t="n">
        <v>-526.938</v>
      </c>
      <c r="N567" s="1298" t="n">
        <v>428.017</v>
      </c>
      <c r="O567" s="1298" t="n">
        <v>-213.641</v>
      </c>
      <c r="P567" s="1280">
        <f>Q567</f>
        <v/>
      </c>
      <c r="Q567" s="1299" t="n">
        <v>-228.56</v>
      </c>
      <c r="R567" s="1298" t="n">
        <v>-685.378</v>
      </c>
      <c r="S567" s="1298" t="n">
        <v>-1708.787</v>
      </c>
      <c r="T567" s="1298" t="n">
        <v>-1690.376</v>
      </c>
      <c r="U567" s="1280">
        <f>V567</f>
        <v/>
      </c>
      <c r="V567" s="1299" t="n">
        <v>-6326.561</v>
      </c>
      <c r="W567" s="1298" t="n">
        <v>1010.909</v>
      </c>
      <c r="X567" s="1298" t="n">
        <v>1159.461</v>
      </c>
      <c r="Y567" s="1298" t="n">
        <v>5260.911</v>
      </c>
      <c r="Z567" s="1280">
        <f>AA567</f>
        <v/>
      </c>
      <c r="AA567" s="1299" t="n">
        <v>5645.093</v>
      </c>
      <c r="AB567" s="1298" t="n">
        <v>602.734</v>
      </c>
      <c r="AC567" s="1298" t="n">
        <v>1241.998</v>
      </c>
      <c r="AD567" s="1298" t="n">
        <v>639.804</v>
      </c>
      <c r="AE567" s="1280">
        <f>AF567</f>
        <v/>
      </c>
      <c r="AF567" s="1299" t="n">
        <v>480.109</v>
      </c>
      <c r="AG567" s="1298" t="n">
        <v>72.73399999999999</v>
      </c>
      <c r="AH567" s="1298" t="n">
        <v>-80.241</v>
      </c>
      <c r="AI567" s="1298" t="n">
        <v>386.157</v>
      </c>
      <c r="AJ567" s="1280">
        <f>AK567</f>
        <v/>
      </c>
      <c r="AK567" s="1299" t="n">
        <v>848.75</v>
      </c>
      <c r="AL567" s="1298" t="n">
        <v>-1080.34</v>
      </c>
      <c r="AM567" s="1298" t="n">
        <v>-53.699</v>
      </c>
      <c r="AN567" s="1298" t="n">
        <v>-1852.218</v>
      </c>
      <c r="AO567" s="1280">
        <f>AP567</f>
        <v/>
      </c>
      <c r="AP567" s="1299" t="n">
        <v>-2965.27</v>
      </c>
      <c r="AQ567" s="1298" t="n">
        <v>3929.781</v>
      </c>
      <c r="AR567" s="1298" t="n">
        <v>3895.618</v>
      </c>
      <c r="AS567" s="1298" t="n">
        <v>3497.62</v>
      </c>
      <c r="AT567" s="1280">
        <f>AU567</f>
        <v/>
      </c>
      <c r="AU567" s="1299" t="n">
        <v>2649.244</v>
      </c>
      <c r="AV567" s="1298" t="n">
        <v>918.808</v>
      </c>
      <c r="AW567" s="1298" t="n">
        <v>-22.297</v>
      </c>
      <c r="AX567" s="1298" t="n">
        <v>-4622.312</v>
      </c>
      <c r="AY567" s="1280">
        <f>AZ567</f>
        <v/>
      </c>
      <c r="AZ567" s="1299" t="n">
        <v>-1354.359</v>
      </c>
      <c r="BA567" s="1298" t="n">
        <v>633.098</v>
      </c>
      <c r="BB567" s="1298" t="n">
        <v>315.337</v>
      </c>
      <c r="BC567" s="1298" t="n">
        <v>857.225</v>
      </c>
      <c r="BD567" s="1280">
        <f>BE567</f>
        <v/>
      </c>
      <c r="BE567" s="1299" t="n">
        <v>289.57</v>
      </c>
      <c r="BF567" s="1298" t="n">
        <v>1506.824</v>
      </c>
      <c r="BG567" s="1298" t="n">
        <v>1081.788</v>
      </c>
      <c r="BH567" s="1298" t="n">
        <v>-349.84</v>
      </c>
      <c r="BI567" s="1280">
        <f>BJ567</f>
        <v/>
      </c>
      <c r="BJ567" s="1299" t="n">
        <v>842.623</v>
      </c>
      <c r="BK567" s="1298" t="n">
        <v>1763.12</v>
      </c>
      <c r="BL567" s="1298" t="n">
        <v>-1796.243</v>
      </c>
      <c r="BM567" s="1298" t="n">
        <v>912.51</v>
      </c>
      <c r="BN567" s="1280">
        <f>BO567</f>
        <v/>
      </c>
      <c r="BO567" s="1382" t="n"/>
      <c r="BP567" s="1277" t="n"/>
      <c r="BQ567" s="1277" t="n"/>
      <c r="BR567" s="1277" t="n"/>
      <c r="BS567" s="1277" t="n"/>
      <c r="BT567" s="1297" t="n"/>
      <c r="BU567" s="1277" t="n"/>
      <c r="BV567" s="1277" t="n"/>
      <c r="BW567" s="1277" t="n"/>
      <c r="BX567" s="1277" t="n"/>
      <c r="BY567" s="1297" t="n"/>
      <c r="BZ567" s="1297" t="n"/>
      <c r="CA567" s="1297" t="n"/>
      <c r="CB567" s="1297" t="n"/>
      <c r="CC567" s="1280" t="n"/>
    </row>
    <row r="568" hidden="1" outlineLevel="1" ht="14.4" customFormat="1" customHeight="1" s="1275">
      <c r="A568" s="1295" t="inlineStr">
        <is>
          <t>Notes and accounts receivable, net</t>
        </is>
      </c>
      <c r="B568" s="1387" t="n"/>
      <c r="C568" s="1299" t="n">
        <v>-19614.321</v>
      </c>
      <c r="D568" s="1299" t="n">
        <v>-6392.243</v>
      </c>
      <c r="E568" s="1299" t="n">
        <v>3627.11</v>
      </c>
      <c r="F568" s="1299" t="n">
        <v>-11947.191</v>
      </c>
      <c r="G568" s="1299" t="n">
        <v>-14131.066</v>
      </c>
      <c r="H568" s="1298" t="n">
        <v>-2124.198</v>
      </c>
      <c r="I568" s="1298" t="n">
        <v>-14774.504</v>
      </c>
      <c r="J568" s="1298" t="n">
        <v>-42349.537</v>
      </c>
      <c r="K568" s="1280">
        <f>L568</f>
        <v/>
      </c>
      <c r="L568" s="1299" t="n">
        <v>-43090.068</v>
      </c>
      <c r="M568" s="1298" t="n">
        <v>16205.075</v>
      </c>
      <c r="N568" s="1298" t="n">
        <v>14569.49</v>
      </c>
      <c r="O568" s="1298" t="n">
        <v>15780.788</v>
      </c>
      <c r="P568" s="1280">
        <f>Q568</f>
        <v/>
      </c>
      <c r="Q568" s="1299" t="n">
        <v>26630.123</v>
      </c>
      <c r="R568" s="1298" t="n">
        <v>-12473.495</v>
      </c>
      <c r="S568" s="1298" t="n">
        <v>-29118.721</v>
      </c>
      <c r="T568" s="1298" t="n">
        <v>-48540.162</v>
      </c>
      <c r="U568" s="1280">
        <f>V568</f>
        <v/>
      </c>
      <c r="V568" s="1299" t="n">
        <v>-49342.698</v>
      </c>
      <c r="W568" s="1298" t="n">
        <v>18227.303</v>
      </c>
      <c r="X568" s="1298" t="n">
        <v>15263.197</v>
      </c>
      <c r="Y568" s="1298" t="n">
        <v>5990.086</v>
      </c>
      <c r="Z568" s="1280">
        <f>AA568</f>
        <v/>
      </c>
      <c r="AA568" s="1299" t="n">
        <v>1061.805</v>
      </c>
      <c r="AB568" s="1298" t="n">
        <v>13296.988</v>
      </c>
      <c r="AC568" s="1298" t="n">
        <v>31318.729</v>
      </c>
      <c r="AD568" s="1298" t="n">
        <v>-10902.779</v>
      </c>
      <c r="AE568" s="1280">
        <f>AF568</f>
        <v/>
      </c>
      <c r="AF568" s="1299" t="n">
        <v>-13271.268</v>
      </c>
      <c r="AG568" s="1298" t="n">
        <v>20639.442</v>
      </c>
      <c r="AH568" s="1298" t="n">
        <v>9178.788</v>
      </c>
      <c r="AI568" s="1298" t="n">
        <v>-21531.168</v>
      </c>
      <c r="AJ568" s="1280">
        <f>AK568</f>
        <v/>
      </c>
      <c r="AK568" s="1299" t="n">
        <v>-18119.552</v>
      </c>
      <c r="AL568" s="1298" t="n">
        <v>-8595.331</v>
      </c>
      <c r="AM568" s="1298" t="n">
        <v>-11310.413</v>
      </c>
      <c r="AN568" s="1298" t="n">
        <v>-24302.814</v>
      </c>
      <c r="AO568" s="1280">
        <f>AP568</f>
        <v/>
      </c>
      <c r="AP568" s="1299" t="n">
        <v>-8082.708</v>
      </c>
      <c r="AQ568" s="1298" t="n">
        <v>-21663.073</v>
      </c>
      <c r="AR568" s="1298" t="n">
        <v>-31995.213</v>
      </c>
      <c r="AS568" s="1298" t="n">
        <v>-40828.8</v>
      </c>
      <c r="AT568" s="1280">
        <f>AU568</f>
        <v/>
      </c>
      <c r="AU568" s="1299" t="n">
        <v>-52105.823</v>
      </c>
      <c r="AV568" s="1298" t="n">
        <v>-15260.809</v>
      </c>
      <c r="AW568" s="1298" t="n">
        <v>-23410.483</v>
      </c>
      <c r="AX568" s="1298" t="n">
        <v>-62861.124</v>
      </c>
      <c r="AY568" s="1280">
        <f>AZ568</f>
        <v/>
      </c>
      <c r="AZ568" s="1299" t="n">
        <v>-32169.853</v>
      </c>
      <c r="BA568" s="1298" t="n">
        <v>82040.768</v>
      </c>
      <c r="BB568" s="1298" t="n">
        <v>39591.637</v>
      </c>
      <c r="BC568" s="1298" t="n">
        <v>7288.198</v>
      </c>
      <c r="BD568" s="1280">
        <f>BE568</f>
        <v/>
      </c>
      <c r="BE568" s="1299" t="n">
        <v>28441.987</v>
      </c>
      <c r="BF568" s="1298" t="n">
        <v>-186.469</v>
      </c>
      <c r="BG568" s="1298" t="n">
        <v>-7806.91</v>
      </c>
      <c r="BH568" s="1298" t="n">
        <v>-48256.709</v>
      </c>
      <c r="BI568" s="1280">
        <f>BJ568</f>
        <v/>
      </c>
      <c r="BJ568" s="1299" t="n">
        <v>-69369.394</v>
      </c>
      <c r="BK568" s="1298" t="n">
        <v>29000.965</v>
      </c>
      <c r="BL568" s="1298" t="n">
        <v>37276.056</v>
      </c>
      <c r="BM568" s="1298" t="n">
        <v>-34794.261</v>
      </c>
      <c r="BN568" s="1280">
        <f>BO568</f>
        <v/>
      </c>
      <c r="BO568" s="1382" t="n"/>
      <c r="BP568" s="1277" t="n"/>
      <c r="BQ568" s="1277" t="n"/>
      <c r="BR568" s="1277" t="n"/>
      <c r="BS568" s="1277" t="n"/>
      <c r="BT568" s="1297" t="n"/>
      <c r="BU568" s="1277" t="n"/>
      <c r="BV568" s="1277" t="n"/>
      <c r="BW568" s="1277" t="n"/>
      <c r="BX568" s="1277" t="n"/>
      <c r="BY568" s="1297" t="n"/>
      <c r="BZ568" s="1297" t="n"/>
      <c r="CA568" s="1297" t="n"/>
      <c r="CB568" s="1297" t="n"/>
      <c r="CC568" s="1280" t="n"/>
    </row>
    <row r="569" hidden="1" outlineLevel="1" ht="14.4" customFormat="1" customHeight="1" s="1275">
      <c r="A569" s="1295" t="inlineStr">
        <is>
          <t>Receivables from related parties</t>
        </is>
      </c>
      <c r="B569" s="1387" t="n"/>
      <c r="C569" s="1299" t="n">
        <v>-12.117</v>
      </c>
      <c r="D569" s="1299" t="n">
        <v>9.802</v>
      </c>
      <c r="E569" s="1299" t="n">
        <v>123.265</v>
      </c>
      <c r="F569" s="1299" t="n">
        <v>-168.047</v>
      </c>
      <c r="G569" s="1299" t="n">
        <v>-204.278</v>
      </c>
      <c r="H569" s="1298" t="n">
        <v>-267.262</v>
      </c>
      <c r="I569" s="1298" t="n">
        <v>-171.024</v>
      </c>
      <c r="J569" s="1298" t="n">
        <v>-241.059</v>
      </c>
      <c r="K569" s="1280">
        <f>L569</f>
        <v/>
      </c>
      <c r="L569" s="1299" t="n">
        <v>-26.405</v>
      </c>
      <c r="M569" s="1298" t="n">
        <v>-279.066</v>
      </c>
      <c r="N569" s="1298" t="n">
        <v>-431.752</v>
      </c>
      <c r="O569" s="1298" t="n">
        <v>-198.053</v>
      </c>
      <c r="P569" s="1280">
        <f>Q569</f>
        <v/>
      </c>
      <c r="Q569" s="1299" t="n">
        <v>-192.767</v>
      </c>
      <c r="R569" s="1298" t="n">
        <v>-178.096</v>
      </c>
      <c r="S569" s="1298" t="n">
        <v>81.512</v>
      </c>
      <c r="T569" s="1298" t="n">
        <v>335.018</v>
      </c>
      <c r="U569" s="1280">
        <f>V569</f>
        <v/>
      </c>
      <c r="V569" s="1299" t="n">
        <v>-463.837</v>
      </c>
      <c r="W569" s="1298" t="n">
        <v>474.72</v>
      </c>
      <c r="X569" s="1298" t="n">
        <v>533.558</v>
      </c>
      <c r="Y569" s="1298" t="n">
        <v>-106.879</v>
      </c>
      <c r="Z569" s="1280">
        <f>AA569</f>
        <v/>
      </c>
      <c r="AA569" s="1299" t="n">
        <v>-214.565</v>
      </c>
      <c r="AB569" s="1298" t="n">
        <v>4.812</v>
      </c>
      <c r="AC569" s="1298" t="n">
        <v>84.652</v>
      </c>
      <c r="AD569" s="1298" t="n">
        <v>-572.949</v>
      </c>
      <c r="AE569" s="1280">
        <f>AF569</f>
        <v/>
      </c>
      <c r="AF569" s="1299" t="n">
        <v>599.712</v>
      </c>
      <c r="AG569" s="1298" t="n">
        <v>274.591</v>
      </c>
      <c r="AH569" s="1298" t="n">
        <v>179.506</v>
      </c>
      <c r="AI569" s="1298" t="n">
        <v>-596.3680000000001</v>
      </c>
      <c r="AJ569" s="1280">
        <f>AK569</f>
        <v/>
      </c>
      <c r="AK569" s="1299" t="n">
        <v>-277.658</v>
      </c>
      <c r="AL569" s="1298" t="n">
        <v>434.182</v>
      </c>
      <c r="AM569" s="1298" t="n">
        <v>-29.621</v>
      </c>
      <c r="AN569" s="1298" t="n">
        <v>-15.695</v>
      </c>
      <c r="AO569" s="1280">
        <f>AP569</f>
        <v/>
      </c>
      <c r="AP569" s="1299" t="n">
        <v>303.939</v>
      </c>
      <c r="AQ569" s="1298" t="n">
        <v>222.559</v>
      </c>
      <c r="AR569" s="1298" t="n">
        <v>-226.266</v>
      </c>
      <c r="AS569" s="1298" t="n">
        <v>-301.013</v>
      </c>
      <c r="AT569" s="1280">
        <f>AU569</f>
        <v/>
      </c>
      <c r="AU569" s="1299" t="n">
        <v>-157.193</v>
      </c>
      <c r="AV569" s="1298" t="n">
        <v>134.314</v>
      </c>
      <c r="AW569" s="1298" t="n">
        <v>-357.375</v>
      </c>
      <c r="AX569" s="1298" t="n">
        <v>-375.85</v>
      </c>
      <c r="AY569" s="1280">
        <f>AZ569</f>
        <v/>
      </c>
      <c r="AZ569" s="1299" t="n">
        <v>-868.634</v>
      </c>
      <c r="BA569" s="1298" t="n">
        <v>1251.404</v>
      </c>
      <c r="BB569" s="1298" t="n">
        <v>721.386</v>
      </c>
      <c r="BC569" s="1298" t="n">
        <v>1227.701</v>
      </c>
      <c r="BD569" s="1280">
        <f>BE569</f>
        <v/>
      </c>
      <c r="BE569" s="1299" t="n">
        <v>959.5069999999999</v>
      </c>
      <c r="BF569" s="1298" t="n">
        <v>145.088</v>
      </c>
      <c r="BG569" s="1298" t="n">
        <v>-465.211</v>
      </c>
      <c r="BH569" s="1298" t="n">
        <v>221.072</v>
      </c>
      <c r="BI569" s="1280">
        <f>BJ569</f>
        <v/>
      </c>
      <c r="BJ569" s="1299" t="n">
        <v>-780.022</v>
      </c>
      <c r="BK569" s="1298" t="n">
        <v>-862.579</v>
      </c>
      <c r="BL569" s="1298" t="n">
        <v>-873.319</v>
      </c>
      <c r="BM569" s="1298" t="n">
        <v>-931.87</v>
      </c>
      <c r="BN569" s="1280">
        <f>BO569</f>
        <v/>
      </c>
      <c r="BO569" s="1382" t="n"/>
      <c r="BP569" s="1277" t="n"/>
      <c r="BQ569" s="1277" t="n"/>
      <c r="BR569" s="1277" t="n"/>
      <c r="BS569" s="1277" t="n"/>
      <c r="BT569" s="1297" t="n"/>
      <c r="BU569" s="1277" t="n"/>
      <c r="BV569" s="1277" t="n"/>
      <c r="BW569" s="1277" t="n"/>
      <c r="BX569" s="1277" t="n"/>
      <c r="BY569" s="1297" t="n"/>
      <c r="BZ569" s="1297" t="n"/>
      <c r="CA569" s="1297" t="n"/>
      <c r="CB569" s="1297" t="n"/>
      <c r="CC569" s="1280" t="n"/>
    </row>
    <row r="570" hidden="1" outlineLevel="1" ht="14.4" customFormat="1" customHeight="1" s="1275">
      <c r="A570" s="1295" t="inlineStr">
        <is>
          <t>Other receivables from related parties</t>
        </is>
      </c>
      <c r="B570" s="1387" t="n"/>
      <c r="C570" s="1299" t="n">
        <v>-21.374</v>
      </c>
      <c r="D570" s="1299" t="n">
        <v>-3.294</v>
      </c>
      <c r="E570" s="1299" t="n">
        <v>2.294</v>
      </c>
      <c r="F570" s="1299" t="n">
        <v>-63.258</v>
      </c>
      <c r="G570" s="1299" t="n">
        <v>50.589</v>
      </c>
      <c r="H570" s="1298" t="n">
        <v>4.415</v>
      </c>
      <c r="I570" s="1298" t="n">
        <v>13.258</v>
      </c>
      <c r="J570" s="1298" t="n">
        <v>4.897</v>
      </c>
      <c r="K570" s="1280">
        <f>L570</f>
        <v/>
      </c>
      <c r="L570" s="1299" t="n">
        <v>-11.766</v>
      </c>
      <c r="M570" s="1298" t="n">
        <v>15.717</v>
      </c>
      <c r="N570" s="1298" t="n">
        <v>17.984</v>
      </c>
      <c r="O570" s="1298" t="n">
        <v>51.115</v>
      </c>
      <c r="P570" s="1280">
        <f>Q570</f>
        <v/>
      </c>
      <c r="Q570" s="1299" t="n">
        <v>53.607</v>
      </c>
      <c r="R570" s="1298" t="n">
        <v>-15.991</v>
      </c>
      <c r="S570" s="1298" t="n">
        <v>-19.2</v>
      </c>
      <c r="T570" s="1298" t="n">
        <v>-24.666</v>
      </c>
      <c r="U570" s="1280">
        <f>V570</f>
        <v/>
      </c>
      <c r="V570" s="1299" t="n">
        <v>-21.77</v>
      </c>
      <c r="W570" s="1298" t="n">
        <v>11.737</v>
      </c>
      <c r="X570" s="1298" t="n">
        <v>8.492000000000001</v>
      </c>
      <c r="Y570" s="1298" t="n">
        <v>-19.141</v>
      </c>
      <c r="Z570" s="1280">
        <f>AA570</f>
        <v/>
      </c>
      <c r="AA570" s="1299" t="n">
        <v>-13.873</v>
      </c>
      <c r="AB570" s="1298" t="n">
        <v>40.988</v>
      </c>
      <c r="AC570" s="1298" t="n">
        <v>14.353</v>
      </c>
      <c r="AD570" s="1298" t="n">
        <v>106.673</v>
      </c>
      <c r="AE570" s="1280">
        <f>AF570</f>
        <v/>
      </c>
      <c r="AF570" s="1299" t="n">
        <v>106.03</v>
      </c>
      <c r="AG570" s="1298" t="n">
        <v>16.354</v>
      </c>
      <c r="AH570" s="1298" t="n">
        <v>8.789</v>
      </c>
      <c r="AI570" s="1298" t="n">
        <v>8.446999999999999</v>
      </c>
      <c r="AJ570" s="1280">
        <f>AK570</f>
        <v/>
      </c>
      <c r="AK570" s="1299" t="n">
        <v>13.375</v>
      </c>
      <c r="AL570" s="1298" t="n">
        <v>-8.516999999999999</v>
      </c>
      <c r="AM570" s="1298" t="n">
        <v>-10.813</v>
      </c>
      <c r="AN570" s="1298" t="n">
        <v>16.779</v>
      </c>
      <c r="AO570" s="1280">
        <f>AP570</f>
        <v/>
      </c>
      <c r="AP570" s="1299" t="n">
        <v>7.588</v>
      </c>
      <c r="AQ570" s="1298" t="n">
        <v>-1.946</v>
      </c>
      <c r="AR570" s="1298" t="n">
        <v>-36.224</v>
      </c>
      <c r="AS570" s="1298" t="n">
        <v>-22.445</v>
      </c>
      <c r="AT570" s="1280">
        <f>AU570</f>
        <v/>
      </c>
      <c r="AU570" s="1299" t="n">
        <v>-10.886</v>
      </c>
      <c r="AV570" s="1298" t="n">
        <v>3.366</v>
      </c>
      <c r="AW570" s="1298" t="n">
        <v>-33.677</v>
      </c>
      <c r="AX570" s="1298" t="n">
        <v>-14.612</v>
      </c>
      <c r="AY570" s="1280">
        <f>AZ570</f>
        <v/>
      </c>
      <c r="AZ570" s="1299" t="n">
        <v>-7.444</v>
      </c>
      <c r="BA570" s="1298" t="n">
        <v>-7.633</v>
      </c>
      <c r="BB570" s="1298" t="n">
        <v>-29.497</v>
      </c>
      <c r="BC570" s="1298" t="n">
        <v>-13.388</v>
      </c>
      <c r="BD570" s="1280">
        <f>BE570</f>
        <v/>
      </c>
      <c r="BE570" s="1299" t="n">
        <v>-2.896</v>
      </c>
      <c r="BF570" s="1298" t="n">
        <v>-7.436</v>
      </c>
      <c r="BG570" s="1298" t="n">
        <v>-19.586</v>
      </c>
      <c r="BH570" s="1298" t="n">
        <v>-2.606</v>
      </c>
      <c r="BI570" s="1280">
        <f>BJ570</f>
        <v/>
      </c>
      <c r="BJ570" s="1299" t="n">
        <v>71.62</v>
      </c>
      <c r="BK570" s="1298" t="n">
        <v>-0.001</v>
      </c>
      <c r="BL570" s="1298" t="n">
        <v>-10.235</v>
      </c>
      <c r="BM570" s="1298" t="n">
        <v>-57.344</v>
      </c>
      <c r="BN570" s="1280">
        <f>BO570</f>
        <v/>
      </c>
      <c r="BO570" s="1382" t="n"/>
      <c r="BP570" s="1277" t="n"/>
      <c r="BQ570" s="1277" t="n"/>
      <c r="BR570" s="1277" t="n"/>
      <c r="BS570" s="1277" t="n"/>
      <c r="BT570" s="1297" t="n"/>
      <c r="BU570" s="1277" t="n"/>
      <c r="BV570" s="1277" t="n"/>
      <c r="BW570" s="1277" t="n"/>
      <c r="BX570" s="1277" t="n"/>
      <c r="BY570" s="1297" t="n"/>
      <c r="BZ570" s="1297" t="n"/>
      <c r="CA570" s="1297" t="n"/>
      <c r="CB570" s="1297" t="n"/>
      <c r="CC570" s="1280" t="n"/>
    </row>
    <row r="571" hidden="1" outlineLevel="1" ht="14.4" customFormat="1" customHeight="1" s="1275">
      <c r="A571" s="1295" t="inlineStr">
        <is>
          <t>Inventories</t>
        </is>
      </c>
      <c r="B571" s="1387" t="n"/>
      <c r="C571" s="1299" t="n">
        <v>-6037.106</v>
      </c>
      <c r="D571" s="1299" t="n">
        <v>-7492.233</v>
      </c>
      <c r="E571" s="1299" t="n">
        <v>2611.297</v>
      </c>
      <c r="F571" s="1299" t="n">
        <v>-12989.916</v>
      </c>
      <c r="G571" s="1299" t="n">
        <v>122.472</v>
      </c>
      <c r="H571" s="1298" t="n">
        <v>-5986.376</v>
      </c>
      <c r="I571" s="1298" t="n">
        <v>-13459.372</v>
      </c>
      <c r="J571" s="1298" t="n">
        <v>-27842.096</v>
      </c>
      <c r="K571" s="1280">
        <f>L571</f>
        <v/>
      </c>
      <c r="L571" s="1299" t="n">
        <v>-28871.597</v>
      </c>
      <c r="M571" s="1298" t="n">
        <v>1738.305</v>
      </c>
      <c r="N571" s="1298" t="n">
        <v>59.374</v>
      </c>
      <c r="O571" s="1298" t="n">
        <v>1271.757</v>
      </c>
      <c r="P571" s="1280">
        <f>Q571</f>
        <v/>
      </c>
      <c r="Q571" s="1299" t="n">
        <v>-655.249</v>
      </c>
      <c r="R571" s="1298" t="n">
        <v>9809.950000000001</v>
      </c>
      <c r="S571" s="1298" t="n">
        <v>6346.456</v>
      </c>
      <c r="T571" s="1298" t="n">
        <v>13170.126</v>
      </c>
      <c r="U571" s="1280">
        <f>V571</f>
        <v/>
      </c>
      <c r="V571" s="1299" t="n">
        <v>18370.037</v>
      </c>
      <c r="W571" s="1298" t="n">
        <v>-1706.789</v>
      </c>
      <c r="X571" s="1298" t="n">
        <v>-12328.292</v>
      </c>
      <c r="Y571" s="1298" t="n">
        <v>-25211.646</v>
      </c>
      <c r="Z571" s="1280">
        <f>AA571</f>
        <v/>
      </c>
      <c r="AA571" s="1299" t="n">
        <v>-25229.101</v>
      </c>
      <c r="AB571" s="1298" t="n">
        <v>-11335.152</v>
      </c>
      <c r="AC571" s="1298" t="n">
        <v>-25171.076</v>
      </c>
      <c r="AD571" s="1298" t="n">
        <v>-31475.575</v>
      </c>
      <c r="AE571" s="1280">
        <f>AF571</f>
        <v/>
      </c>
      <c r="AF571" s="1299" t="n">
        <v>-29369.975</v>
      </c>
      <c r="AG571" s="1298" t="n">
        <v>-5451.406</v>
      </c>
      <c r="AH571" s="1298" t="n">
        <v>-5000.903</v>
      </c>
      <c r="AI571" s="1298" t="n">
        <v>6545.246</v>
      </c>
      <c r="AJ571" s="1280">
        <f>AK571</f>
        <v/>
      </c>
      <c r="AK571" s="1299" t="n">
        <v>20249.78</v>
      </c>
      <c r="AL571" s="1298" t="n">
        <v>4703.362</v>
      </c>
      <c r="AM571" s="1298" t="n">
        <v>-2806.898</v>
      </c>
      <c r="AN571" s="1298" t="n">
        <v>-26528.29</v>
      </c>
      <c r="AO571" s="1280">
        <f>AP571</f>
        <v/>
      </c>
      <c r="AP571" s="1299" t="n">
        <v>-54372.211</v>
      </c>
      <c r="AQ571" s="1298" t="n">
        <v>-17214.161</v>
      </c>
      <c r="AR571" s="1298" t="n">
        <v>-33085.279</v>
      </c>
      <c r="AS571" s="1298" t="n">
        <v>-44880.345</v>
      </c>
      <c r="AT571" s="1280">
        <f>AU571</f>
        <v/>
      </c>
      <c r="AU571" s="1299" t="n">
        <v>-55748.914</v>
      </c>
      <c r="AV571" s="1298" t="n">
        <v>-7016.361</v>
      </c>
      <c r="AW571" s="1298" t="n">
        <v>-24335.77</v>
      </c>
      <c r="AX571" s="1298" t="n">
        <v>-25233.553</v>
      </c>
      <c r="AY571" s="1280">
        <f>AZ571</f>
        <v/>
      </c>
      <c r="AZ571" s="1299" t="n">
        <v>-28046.827</v>
      </c>
      <c r="BA571" s="1298" t="n">
        <v>5081.167</v>
      </c>
      <c r="BB571" s="1298" t="n">
        <v>-13183.801</v>
      </c>
      <c r="BC571" s="1298" t="n">
        <v>-40940.924</v>
      </c>
      <c r="BD571" s="1280">
        <f>BE571</f>
        <v/>
      </c>
      <c r="BE571" s="1299" t="n">
        <v>-29847.94</v>
      </c>
      <c r="BF571" s="1298" t="n">
        <v>-16126.251</v>
      </c>
      <c r="BG571" s="1298" t="n">
        <v>-21493.499</v>
      </c>
      <c r="BH571" s="1298" t="n">
        <v>-41886.842</v>
      </c>
      <c r="BI571" s="1280">
        <f>BJ571</f>
        <v/>
      </c>
      <c r="BJ571" s="1299" t="n">
        <v>-36871.722</v>
      </c>
      <c r="BK571" s="1298" t="n">
        <v>-5518.805</v>
      </c>
      <c r="BL571" s="1298" t="n">
        <v>-16324.906</v>
      </c>
      <c r="BM571" s="1298" t="n">
        <v>-820.253</v>
      </c>
      <c r="BN571" s="1280">
        <f>BO571</f>
        <v/>
      </c>
      <c r="BO571" s="1382" t="n"/>
      <c r="BP571" s="1277" t="n"/>
      <c r="BQ571" s="1277" t="n"/>
      <c r="BR571" s="1277" t="n"/>
      <c r="BS571" s="1277" t="n"/>
      <c r="BT571" s="1297" t="n"/>
      <c r="BU571" s="1277" t="n"/>
      <c r="BV571" s="1277" t="n"/>
      <c r="BW571" s="1277" t="n"/>
      <c r="BX571" s="1277" t="n"/>
      <c r="BY571" s="1297" t="n"/>
      <c r="BZ571" s="1297" t="n"/>
      <c r="CA571" s="1297" t="n"/>
      <c r="CB571" s="1297" t="n"/>
      <c r="CC571" s="1280" t="n"/>
    </row>
    <row r="572" hidden="1" outlineLevel="1" ht="14.4" customFormat="1" customHeight="1" s="1275">
      <c r="A572" s="1295" t="inlineStr">
        <is>
          <t>Prepaid expenses and other current assets</t>
        </is>
      </c>
      <c r="B572" s="1387" t="n"/>
      <c r="C572" s="1299" t="n">
        <v>585.4299999999999</v>
      </c>
      <c r="D572" s="1299" t="n">
        <v>-752.408</v>
      </c>
      <c r="E572" s="1299" t="n">
        <v>-403.762</v>
      </c>
      <c r="F572" s="1297" t="n"/>
      <c r="G572" s="1297" t="n"/>
      <c r="H572" s="1277" t="n"/>
      <c r="I572" s="1277" t="n"/>
      <c r="J572" s="1277" t="n"/>
      <c r="K572" s="1280">
        <f>L572</f>
        <v/>
      </c>
      <c r="L572" s="1297" t="n"/>
      <c r="M572" s="1277" t="n"/>
      <c r="N572" s="1277" t="n"/>
      <c r="O572" s="1277" t="n"/>
      <c r="P572" s="1280">
        <f>Q572</f>
        <v/>
      </c>
      <c r="Q572" s="1297" t="n"/>
      <c r="R572" s="1277" t="n"/>
      <c r="S572" s="1277" t="n"/>
      <c r="T572" s="1277" t="n"/>
      <c r="U572" s="1280">
        <f>V572</f>
        <v/>
      </c>
      <c r="V572" s="1297" t="n"/>
      <c r="W572" s="1277" t="n"/>
      <c r="X572" s="1277" t="n"/>
      <c r="Y572" s="1277" t="n"/>
      <c r="Z572" s="1280">
        <f>AA572</f>
        <v/>
      </c>
      <c r="AA572" s="1297" t="n"/>
      <c r="AB572" s="1277" t="n"/>
      <c r="AC572" s="1277" t="n"/>
      <c r="AD572" s="1277" t="n"/>
      <c r="AE572" s="1280">
        <f>AF572</f>
        <v/>
      </c>
      <c r="AF572" s="1297" t="n"/>
      <c r="AG572" s="1277" t="n"/>
      <c r="AH572" s="1277" t="n"/>
      <c r="AI572" s="1277" t="n"/>
      <c r="AJ572" s="1277" t="n"/>
      <c r="AK572" s="1297" t="n"/>
      <c r="AL572" s="1277" t="n"/>
      <c r="AM572" s="1277" t="n"/>
      <c r="AN572" s="1277" t="n"/>
      <c r="AO572" s="1280">
        <f>AP572</f>
        <v/>
      </c>
      <c r="AP572" s="1297" t="n"/>
      <c r="AQ572" s="1277" t="n"/>
      <c r="AR572" s="1277" t="n"/>
      <c r="AS572" s="1277" t="n"/>
      <c r="AT572" s="1280">
        <f>AU572</f>
        <v/>
      </c>
      <c r="AU572" s="1297" t="n"/>
      <c r="AV572" s="1277" t="n"/>
      <c r="AW572" s="1277" t="n"/>
      <c r="AX572" s="1277" t="n"/>
      <c r="AY572" s="1280">
        <f>AZ572</f>
        <v/>
      </c>
      <c r="AZ572" s="1297" t="n"/>
      <c r="BA572" s="1277" t="n"/>
      <c r="BB572" s="1277" t="n"/>
      <c r="BC572" s="1277" t="n"/>
      <c r="BD572" s="1280">
        <f>BE572</f>
        <v/>
      </c>
      <c r="BE572" s="1297" t="n"/>
      <c r="BF572" s="1277" t="n"/>
      <c r="BG572" s="1277" t="n"/>
      <c r="BH572" s="1277" t="n"/>
      <c r="BI572" s="1280">
        <f>BJ572</f>
        <v/>
      </c>
      <c r="BJ572" s="1297" t="n"/>
      <c r="BK572" s="1277" t="n"/>
      <c r="BL572" s="1277" t="n"/>
      <c r="BM572" s="1277" t="n"/>
      <c r="BN572" s="1280">
        <f>BO572</f>
        <v/>
      </c>
      <c r="BO572" s="1382" t="n"/>
      <c r="BP572" s="1277" t="n"/>
      <c r="BQ572" s="1277" t="n"/>
      <c r="BR572" s="1277" t="n"/>
      <c r="BS572" s="1277" t="n"/>
      <c r="BT572" s="1297" t="n"/>
      <c r="BU572" s="1277" t="n"/>
      <c r="BV572" s="1277" t="n"/>
      <c r="BW572" s="1277" t="n"/>
      <c r="BX572" s="1277" t="n"/>
      <c r="BY572" s="1297" t="n"/>
      <c r="BZ572" s="1297" t="n"/>
      <c r="CA572" s="1297" t="n"/>
      <c r="CB572" s="1297" t="n"/>
      <c r="CC572" s="1280" t="n"/>
    </row>
    <row r="573" hidden="1" outlineLevel="1" ht="14.4" customFormat="1" customHeight="1" s="1275">
      <c r="A573" s="1295" t="inlineStr">
        <is>
          <t>Other financial assets</t>
        </is>
      </c>
      <c r="B573" s="1387" t="n"/>
      <c r="C573" s="1299" t="n">
        <v>7.834</v>
      </c>
      <c r="D573" s="1299" t="n">
        <v>740.9589999999999</v>
      </c>
      <c r="E573" s="1299" t="n">
        <v>376.342</v>
      </c>
      <c r="F573" s="1299" t="n">
        <v>53.182</v>
      </c>
      <c r="G573" s="1299" t="n">
        <v>18.578</v>
      </c>
      <c r="H573" s="1298" t="n">
        <v>-28.952</v>
      </c>
      <c r="I573" s="1298" t="n">
        <v>-389.931</v>
      </c>
      <c r="J573" s="1298" t="n">
        <v>-2244.906</v>
      </c>
      <c r="K573" s="1280">
        <f>L573</f>
        <v/>
      </c>
      <c r="L573" s="1299" t="n">
        <v>-2612.158</v>
      </c>
      <c r="M573" s="1298" t="n">
        <v>-425.72</v>
      </c>
      <c r="N573" s="1298" t="n">
        <v>499.15</v>
      </c>
      <c r="O573" s="1298" t="n">
        <v>1049.004</v>
      </c>
      <c r="P573" s="1280">
        <f>Q573</f>
        <v/>
      </c>
      <c r="Q573" s="1299" t="n">
        <v>720.301</v>
      </c>
      <c r="R573" s="1298" t="n">
        <v>-3129.147</v>
      </c>
      <c r="S573" s="1298" t="n">
        <v>-3053.635</v>
      </c>
      <c r="T573" s="1298" t="n">
        <v>-1285.255</v>
      </c>
      <c r="U573" s="1280">
        <f>V573</f>
        <v/>
      </c>
      <c r="V573" s="1299" t="n">
        <v>-41.554</v>
      </c>
      <c r="W573" s="1298" t="n">
        <v>1599.844</v>
      </c>
      <c r="X573" s="1298" t="n">
        <v>1844.118</v>
      </c>
      <c r="Y573" s="1298" t="n">
        <v>604.831</v>
      </c>
      <c r="Z573" s="1280">
        <f>AA573</f>
        <v/>
      </c>
      <c r="AA573" s="1299" t="n">
        <v>-502.306</v>
      </c>
      <c r="AB573" s="1298" t="n">
        <v>-3143.144</v>
      </c>
      <c r="AC573" s="1298" t="n">
        <v>-4930.978</v>
      </c>
      <c r="AD573" s="1298" t="n">
        <v>-5641.723</v>
      </c>
      <c r="AE573" s="1280">
        <f>AF573</f>
        <v/>
      </c>
      <c r="AF573" s="1299" t="n">
        <v>-4601.295</v>
      </c>
      <c r="AG573" s="1298" t="n">
        <v>2545.236</v>
      </c>
      <c r="AH573" s="1298" t="n">
        <v>4363.408</v>
      </c>
      <c r="AI573" s="1298" t="n">
        <v>627.837</v>
      </c>
      <c r="AJ573" s="1280">
        <f>AK573</f>
        <v/>
      </c>
      <c r="AK573" s="1299" t="n">
        <v>3383.5</v>
      </c>
      <c r="AL573" s="1298" t="n">
        <v>2109.547</v>
      </c>
      <c r="AM573" s="1298" t="n">
        <v>1618.067</v>
      </c>
      <c r="AN573" s="1298" t="n">
        <v>2432.568</v>
      </c>
      <c r="AO573" s="1280">
        <f>AP573</f>
        <v/>
      </c>
      <c r="AP573" s="1299" t="n">
        <v>1389.493</v>
      </c>
      <c r="AQ573" s="1298" t="n">
        <v>-2917.033</v>
      </c>
      <c r="AR573" s="1298" t="n">
        <v>-4302.494</v>
      </c>
      <c r="AS573" s="1298" t="n">
        <v>-4503.858</v>
      </c>
      <c r="AT573" s="1280">
        <f>AU573</f>
        <v/>
      </c>
      <c r="AU573" s="1299" t="n">
        <v>-8236.897000000001</v>
      </c>
      <c r="AV573" s="1298" t="n">
        <v>1229.128</v>
      </c>
      <c r="AW573" s="1298" t="n">
        <v>-2794.688</v>
      </c>
      <c r="AX573" s="1298" t="n">
        <v>-4371.124</v>
      </c>
      <c r="AY573" s="1280">
        <f>AZ573</f>
        <v/>
      </c>
      <c r="AZ573" s="1299" t="n">
        <v>-1680.611</v>
      </c>
      <c r="BA573" s="1298" t="n">
        <v>813.274</v>
      </c>
      <c r="BB573" s="1298" t="n">
        <v>1288.753</v>
      </c>
      <c r="BC573" s="1298" t="n">
        <v>263.031</v>
      </c>
      <c r="BD573" s="1280">
        <f>BE573</f>
        <v/>
      </c>
      <c r="BE573" s="1299" t="n">
        <v>1878.712</v>
      </c>
      <c r="BF573" s="1298" t="n">
        <v>-796.912</v>
      </c>
      <c r="BG573" s="1298" t="n">
        <v>-5606.448</v>
      </c>
      <c r="BH573" s="1298" t="n">
        <v>-2927.759</v>
      </c>
      <c r="BI573" s="1280">
        <f>BJ573</f>
        <v/>
      </c>
      <c r="BJ573" s="1299" t="n">
        <v>-2377.515</v>
      </c>
      <c r="BK573" s="1298" t="n">
        <v>-14480.808</v>
      </c>
      <c r="BL573" s="1298" t="n">
        <v>-9975.825999999999</v>
      </c>
      <c r="BM573" s="1298" t="n">
        <v>-12624.018</v>
      </c>
      <c r="BN573" s="1280">
        <f>BO573</f>
        <v/>
      </c>
      <c r="BO573" s="1382" t="n"/>
      <c r="BP573" s="1277" t="n"/>
      <c r="BQ573" s="1277" t="n"/>
      <c r="BR573" s="1277" t="n"/>
      <c r="BS573" s="1277" t="n"/>
      <c r="BT573" s="1297" t="n"/>
      <c r="BU573" s="1277" t="n"/>
      <c r="BV573" s="1277" t="n"/>
      <c r="BW573" s="1277" t="n"/>
      <c r="BX573" s="1277" t="n"/>
      <c r="BY573" s="1297" t="n"/>
      <c r="BZ573" s="1297" t="n"/>
      <c r="CA573" s="1297" t="n"/>
      <c r="CB573" s="1297" t="n"/>
      <c r="CC573" s="1280" t="n"/>
    </row>
    <row r="574" hidden="1" outlineLevel="1" ht="14.4" customFormat="1" customHeight="1" s="1275">
      <c r="A574" s="1295" t="inlineStr">
        <is>
          <t>Other current assets</t>
        </is>
      </c>
      <c r="B574" s="1387" t="n"/>
      <c r="C574" s="1297" t="n"/>
      <c r="D574" s="1297" t="n"/>
      <c r="E574" s="1297" t="n"/>
      <c r="F574" s="1299" t="n">
        <v>648.051</v>
      </c>
      <c r="G574" s="1299" t="n">
        <v>-312.251</v>
      </c>
      <c r="H574" s="1298" t="n">
        <v>615.697</v>
      </c>
      <c r="I574" s="1298" t="n">
        <v>70.32299999999999</v>
      </c>
      <c r="J574" s="1298" t="n">
        <v>137.831</v>
      </c>
      <c r="K574" s="1280">
        <f>L574</f>
        <v/>
      </c>
      <c r="L574" s="1299" t="n">
        <v>-744.8680000000001</v>
      </c>
      <c r="M574" s="1298" t="n">
        <v>-32.06</v>
      </c>
      <c r="N574" s="1298" t="n">
        <v>731.724</v>
      </c>
      <c r="O574" s="1298" t="n">
        <v>925.665</v>
      </c>
      <c r="P574" s="1280">
        <f>Q574</f>
        <v/>
      </c>
      <c r="Q574" s="1299" t="n">
        <v>263.384</v>
      </c>
      <c r="R574" s="1298" t="n">
        <v>837.838</v>
      </c>
      <c r="S574" s="1298" t="n">
        <v>269.691</v>
      </c>
      <c r="T574" s="1298" t="n">
        <v>84.453</v>
      </c>
      <c r="U574" s="1280">
        <f>V574</f>
        <v/>
      </c>
      <c r="V574" s="1299" t="n">
        <v>94.512</v>
      </c>
      <c r="W574" s="1298" t="n">
        <v>369.473</v>
      </c>
      <c r="X574" s="1298" t="n">
        <v>-143.032</v>
      </c>
      <c r="Y574" s="1298" t="n">
        <v>-1639.813</v>
      </c>
      <c r="Z574" s="1280">
        <f>AA574</f>
        <v/>
      </c>
      <c r="AA574" s="1299" t="n">
        <v>12.085</v>
      </c>
      <c r="AB574" s="1298" t="n">
        <v>-1402.93</v>
      </c>
      <c r="AC574" s="1298" t="n">
        <v>-1388.497</v>
      </c>
      <c r="AD574" s="1298" t="n">
        <v>-247.466</v>
      </c>
      <c r="AE574" s="1280">
        <f>AF574</f>
        <v/>
      </c>
      <c r="AF574" s="1299" t="n">
        <v>-513.051</v>
      </c>
      <c r="AG574" s="1298" t="n">
        <v>193.059</v>
      </c>
      <c r="AH574" s="1298" t="n">
        <v>511.681</v>
      </c>
      <c r="AI574" s="1298" t="n">
        <v>570.899</v>
      </c>
      <c r="AJ574" s="1280">
        <f>AK574</f>
        <v/>
      </c>
      <c r="AK574" s="1299" t="n">
        <v>-76.26300000000001</v>
      </c>
      <c r="AL574" s="1298" t="n">
        <v>-111.469</v>
      </c>
      <c r="AM574" s="1298" t="n">
        <v>-1363.358</v>
      </c>
      <c r="AN574" s="1298" t="n">
        <v>-287.297</v>
      </c>
      <c r="AO574" s="1280">
        <f>AP574</f>
        <v/>
      </c>
      <c r="AP574" s="1299" t="n">
        <v>-1358.129</v>
      </c>
      <c r="AQ574" s="1298" t="n">
        <v>771.765</v>
      </c>
      <c r="AR574" s="1298" t="n">
        <v>-835.489</v>
      </c>
      <c r="AS574" s="1298" t="n">
        <v>-4760.353</v>
      </c>
      <c r="AT574" s="1280">
        <f>AU574</f>
        <v/>
      </c>
      <c r="AU574" s="1299" t="n">
        <v>-3899.043</v>
      </c>
      <c r="AV574" s="1298" t="n">
        <v>-1132.181</v>
      </c>
      <c r="AW574" s="1298" t="n">
        <v>-3834.683</v>
      </c>
      <c r="AX574" s="1298" t="n">
        <v>-1072.295</v>
      </c>
      <c r="AY574" s="1280">
        <f>AZ574</f>
        <v/>
      </c>
      <c r="AZ574" s="1299" t="n">
        <v>-4450.883</v>
      </c>
      <c r="BA574" s="1298" t="n">
        <v>-3559.651</v>
      </c>
      <c r="BB574" s="1298" t="n">
        <v>-3545.808</v>
      </c>
      <c r="BC574" s="1298" t="n">
        <v>-5852.289</v>
      </c>
      <c r="BD574" s="1280">
        <f>BE574</f>
        <v/>
      </c>
      <c r="BE574" s="1299" t="n">
        <v>-12530.88</v>
      </c>
      <c r="BF574" s="1298" t="n">
        <v>-1432.213</v>
      </c>
      <c r="BG574" s="1298" t="n">
        <v>3561.403</v>
      </c>
      <c r="BH574" s="1298" t="n">
        <v>-1139.833</v>
      </c>
      <c r="BI574" s="1280">
        <f>BJ574</f>
        <v/>
      </c>
      <c r="BJ574" s="1299" t="n">
        <v>-15537.261</v>
      </c>
      <c r="BK574" s="1298" t="n">
        <v>-1692.072</v>
      </c>
      <c r="BL574" s="1298" t="n">
        <v>3428.197</v>
      </c>
      <c r="BM574" s="1298" t="n">
        <v>9036.02</v>
      </c>
      <c r="BN574" s="1280">
        <f>BO574</f>
        <v/>
      </c>
      <c r="BO574" s="1382" t="n"/>
      <c r="BP574" s="1277" t="n"/>
      <c r="BQ574" s="1277" t="n"/>
      <c r="BR574" s="1277" t="n"/>
      <c r="BS574" s="1277" t="n"/>
      <c r="BT574" s="1297" t="n"/>
      <c r="BU574" s="1277" t="n"/>
      <c r="BV574" s="1277" t="n"/>
      <c r="BW574" s="1277" t="n"/>
      <c r="BX574" s="1277" t="n"/>
      <c r="BY574" s="1297" t="n"/>
      <c r="BZ574" s="1297" t="n"/>
      <c r="CA574" s="1297" t="n"/>
      <c r="CB574" s="1297" t="n"/>
      <c r="CC574" s="1280" t="n"/>
    </row>
    <row r="575" hidden="1" outlineLevel="1" ht="14.4" customFormat="1" customHeight="1" s="1275">
      <c r="A575" s="1295" t="inlineStr">
        <is>
          <t>Other noncurrent assets</t>
        </is>
      </c>
      <c r="B575" s="1387" t="n"/>
      <c r="C575" s="1297" t="n"/>
      <c r="D575" s="1297" t="n"/>
      <c r="E575" s="1297" t="n"/>
      <c r="F575" s="1299" t="n">
        <v>0</v>
      </c>
      <c r="G575" s="1299" t="n">
        <v>0</v>
      </c>
      <c r="H575" s="1298" t="n">
        <v>0</v>
      </c>
      <c r="I575" s="1298" t="n">
        <v>0</v>
      </c>
      <c r="J575" s="1298" t="n">
        <v>0</v>
      </c>
      <c r="K575" s="1280">
        <f>L575</f>
        <v/>
      </c>
      <c r="L575" s="1299" t="n">
        <v>0</v>
      </c>
      <c r="M575" s="1298" t="n">
        <v>0</v>
      </c>
      <c r="N575" s="1298" t="n">
        <v>0</v>
      </c>
      <c r="O575" s="1298" t="n">
        <v>0</v>
      </c>
      <c r="P575" s="1280">
        <f>Q575</f>
        <v/>
      </c>
      <c r="Q575" s="1299" t="n">
        <v>0</v>
      </c>
      <c r="R575" s="1298" t="n">
        <v>0</v>
      </c>
      <c r="S575" s="1298" t="n">
        <v>0</v>
      </c>
      <c r="T575" s="1298" t="n">
        <v>0</v>
      </c>
      <c r="U575" s="1280">
        <f>V575</f>
        <v/>
      </c>
      <c r="V575" s="1299" t="n">
        <v>-349.771</v>
      </c>
      <c r="W575" s="1298" t="n">
        <v>-152.473</v>
      </c>
      <c r="X575" s="1298" t="n">
        <v>-433.328</v>
      </c>
      <c r="Y575" s="1298" t="n">
        <v>-890.881</v>
      </c>
      <c r="Z575" s="1280">
        <f>AA575</f>
        <v/>
      </c>
      <c r="AA575" s="1299" t="n">
        <v>-1276.13</v>
      </c>
      <c r="AB575" s="1298" t="n">
        <v>25.301</v>
      </c>
      <c r="AC575" s="1298" t="n">
        <v>56.329</v>
      </c>
      <c r="AD575" s="1298" t="n">
        <v>139.107</v>
      </c>
      <c r="AE575" s="1280">
        <f>AF575</f>
        <v/>
      </c>
      <c r="AF575" s="1299" t="n">
        <v>152.555</v>
      </c>
      <c r="AG575" s="1277" t="n"/>
      <c r="AH575" s="1277" t="n"/>
      <c r="AI575" s="1277" t="n"/>
      <c r="AJ575" s="1277" t="n"/>
      <c r="AK575" s="1297" t="n"/>
      <c r="AL575" s="1277" t="n"/>
      <c r="AM575" s="1277" t="n"/>
      <c r="AN575" s="1277" t="n"/>
      <c r="AO575" s="1280">
        <f>AP575</f>
        <v/>
      </c>
      <c r="AP575" s="1297" t="n"/>
      <c r="AQ575" s="1277" t="n"/>
      <c r="AR575" s="1277" t="n"/>
      <c r="AS575" s="1277" t="n"/>
      <c r="AT575" s="1280">
        <f>AU575</f>
        <v/>
      </c>
      <c r="AU575" s="1297" t="n"/>
      <c r="AV575" s="1277" t="n"/>
      <c r="AW575" s="1277" t="n"/>
      <c r="AX575" s="1277" t="n"/>
      <c r="AY575" s="1280">
        <f>AZ575</f>
        <v/>
      </c>
      <c r="AZ575" s="1297" t="n"/>
      <c r="BA575" s="1277" t="n"/>
      <c r="BB575" s="1277" t="n"/>
      <c r="BC575" s="1298" t="n">
        <v>-378.73</v>
      </c>
      <c r="BD575" s="1280">
        <f>BE575</f>
        <v/>
      </c>
      <c r="BE575" s="1299" t="n">
        <v>-720.278</v>
      </c>
      <c r="BF575" s="1298" t="n">
        <v>-2387.734</v>
      </c>
      <c r="BG575" s="1298" t="n">
        <v>-2525.072</v>
      </c>
      <c r="BH575" s="1298" t="n">
        <v>-2513.775</v>
      </c>
      <c r="BI575" s="1280">
        <f>BJ575</f>
        <v/>
      </c>
      <c r="BJ575" s="1299" t="n">
        <v>-3862.018</v>
      </c>
      <c r="BK575" s="1298" t="n">
        <v>-2483.523</v>
      </c>
      <c r="BL575" s="1298" t="n">
        <v>-2609.468</v>
      </c>
      <c r="BM575" s="1298" t="n">
        <v>-3243.804</v>
      </c>
      <c r="BN575" s="1280">
        <f>BO575</f>
        <v/>
      </c>
      <c r="BO575" s="1382" t="n"/>
      <c r="BP575" s="1277" t="n"/>
      <c r="BQ575" s="1277" t="n"/>
      <c r="BR575" s="1277" t="n"/>
      <c r="BS575" s="1277" t="n"/>
      <c r="BT575" s="1297" t="n"/>
      <c r="BU575" s="1277" t="n"/>
      <c r="BV575" s="1277" t="n"/>
      <c r="BW575" s="1277" t="n"/>
      <c r="BX575" s="1277" t="n"/>
      <c r="BY575" s="1297" t="n"/>
      <c r="BZ575" s="1297" t="n"/>
      <c r="CA575" s="1297" t="n"/>
      <c r="CB575" s="1297" t="n"/>
      <c r="CC575" s="1280" t="n"/>
    </row>
    <row r="576" hidden="1" outlineLevel="1" ht="14.4" customFormat="1" customHeight="1" s="1275">
      <c r="A576" s="1295" t="inlineStr">
        <is>
          <t>Accounts payable</t>
        </is>
      </c>
      <c r="B576" s="1387" t="n"/>
      <c r="C576" s="1299" t="n">
        <v>4916.885</v>
      </c>
      <c r="D576" s="1299" t="n">
        <v>933.894</v>
      </c>
      <c r="E576" s="1299" t="n">
        <v>-1968.82</v>
      </c>
      <c r="F576" s="1299" t="n">
        <v>3656.358</v>
      </c>
      <c r="G576" s="1299" t="n">
        <v>346.401</v>
      </c>
      <c r="H576" s="1298" t="n">
        <v>722.298</v>
      </c>
      <c r="I576" s="1298" t="n">
        <v>5331.172</v>
      </c>
      <c r="J576" s="1298" t="n">
        <v>5726.261</v>
      </c>
      <c r="K576" s="1280">
        <f>L576</f>
        <v/>
      </c>
      <c r="L576" s="1299" t="n">
        <v>6634.198</v>
      </c>
      <c r="M576" s="1298" t="n">
        <v>-2573.738</v>
      </c>
      <c r="N576" s="1298" t="n">
        <v>-1587.537</v>
      </c>
      <c r="O576" s="1298" t="n">
        <v>-3106.992</v>
      </c>
      <c r="P576" s="1280">
        <f>Q576</f>
        <v/>
      </c>
      <c r="Q576" s="1299" t="n">
        <v>-2693.358</v>
      </c>
      <c r="R576" s="1298" t="n">
        <v>3.728</v>
      </c>
      <c r="S576" s="1298" t="n">
        <v>3446.305</v>
      </c>
      <c r="T576" s="1298" t="n">
        <v>5807.444</v>
      </c>
      <c r="U576" s="1280">
        <f>V576</f>
        <v/>
      </c>
      <c r="V576" s="1299" t="n">
        <v>7295.491</v>
      </c>
      <c r="W576" s="1298" t="n">
        <v>-3020.849</v>
      </c>
      <c r="X576" s="1298" t="n">
        <v>-1398.358</v>
      </c>
      <c r="Y576" s="1298" t="n">
        <v>1452.987</v>
      </c>
      <c r="Z576" s="1280">
        <f>AA576</f>
        <v/>
      </c>
      <c r="AA576" s="1299" t="n">
        <v>2572.072</v>
      </c>
      <c r="AB576" s="1298" t="n">
        <v>-984.571</v>
      </c>
      <c r="AC576" s="1298" t="n">
        <v>1093.21</v>
      </c>
      <c r="AD576" s="1298" t="n">
        <v>341.34</v>
      </c>
      <c r="AE576" s="1280">
        <f>AF576</f>
        <v/>
      </c>
      <c r="AF576" s="1299" t="n">
        <v>4540.583</v>
      </c>
      <c r="AG576" s="1298" t="n">
        <v>-6105.106</v>
      </c>
      <c r="AH576" s="1298" t="n">
        <v>-1669.615</v>
      </c>
      <c r="AI576" s="1298" t="n">
        <v>1603.615</v>
      </c>
      <c r="AJ576" s="1280">
        <f>AK576</f>
        <v/>
      </c>
      <c r="AK576" s="1299" t="n">
        <v>5860.068</v>
      </c>
      <c r="AL576" s="1298" t="n">
        <v>-296.602</v>
      </c>
      <c r="AM576" s="1298" t="n">
        <v>-478.898</v>
      </c>
      <c r="AN576" s="1298" t="n">
        <v>329.534</v>
      </c>
      <c r="AO576" s="1280">
        <f>AP576</f>
        <v/>
      </c>
      <c r="AP576" s="1299" t="n">
        <v>404.607</v>
      </c>
      <c r="AQ576" s="1298" t="n">
        <v>-2334.169</v>
      </c>
      <c r="AR576" s="1298" t="n">
        <v>738.473</v>
      </c>
      <c r="AS576" s="1298" t="n">
        <v>2745.949</v>
      </c>
      <c r="AT576" s="1280">
        <f>AU576</f>
        <v/>
      </c>
      <c r="AU576" s="1299" t="n">
        <v>8298.319</v>
      </c>
      <c r="AV576" s="1298" t="n">
        <v>1367.58</v>
      </c>
      <c r="AW576" s="1298" t="n">
        <v>10739.349</v>
      </c>
      <c r="AX576" s="1298" t="n">
        <v>12861.802</v>
      </c>
      <c r="AY576" s="1280">
        <f>AZ576</f>
        <v/>
      </c>
      <c r="AZ576" s="1299" t="n">
        <v>7594.105</v>
      </c>
      <c r="BA576" s="1298" t="n">
        <v>-8577.522999999999</v>
      </c>
      <c r="BB576" s="1298" t="n">
        <v>-7085.593</v>
      </c>
      <c r="BC576" s="1298" t="n">
        <v>-2728.825</v>
      </c>
      <c r="BD576" s="1280">
        <f>BE576</f>
        <v/>
      </c>
      <c r="BE576" s="1299" t="n">
        <v>847.049</v>
      </c>
      <c r="BF576" s="1298" t="n">
        <v>698.0549999999999</v>
      </c>
      <c r="BG576" s="1298" t="n">
        <v>7036.302</v>
      </c>
      <c r="BH576" s="1298" t="n">
        <v>13407.44</v>
      </c>
      <c r="BI576" s="1280">
        <f>BJ576</f>
        <v/>
      </c>
      <c r="BJ576" s="1299" t="n">
        <v>17073.801</v>
      </c>
      <c r="BK576" s="1298" t="n">
        <v>2836.726</v>
      </c>
      <c r="BL576" s="1298" t="n">
        <v>10694.614</v>
      </c>
      <c r="BM576" s="1298" t="n">
        <v>11624.59</v>
      </c>
      <c r="BN576" s="1280">
        <f>BO576</f>
        <v/>
      </c>
      <c r="BO576" s="1382" t="n"/>
      <c r="BP576" s="1277" t="n"/>
      <c r="BQ576" s="1277" t="n"/>
      <c r="BR576" s="1277" t="n"/>
      <c r="BS576" s="1277" t="n"/>
      <c r="BT576" s="1297" t="n"/>
      <c r="BU576" s="1277" t="n"/>
      <c r="BV576" s="1277" t="n"/>
      <c r="BW576" s="1277" t="n"/>
      <c r="BX576" s="1277" t="n"/>
      <c r="BY576" s="1297" t="n"/>
      <c r="BZ576" s="1297" t="n"/>
      <c r="CA576" s="1297" t="n"/>
      <c r="CB576" s="1297" t="n"/>
      <c r="CC576" s="1280" t="n"/>
    </row>
    <row r="577" hidden="1" outlineLevel="1" ht="14.4" customFormat="1" customHeight="1" s="1275">
      <c r="A577" s="1295" t="inlineStr">
        <is>
          <t>Payables to related parties</t>
        </is>
      </c>
      <c r="B577" s="1387" t="n"/>
      <c r="C577" s="1299" t="n">
        <v>293.15</v>
      </c>
      <c r="D577" s="1299" t="n">
        <v>84.078</v>
      </c>
      <c r="E577" s="1299" t="n">
        <v>462.578</v>
      </c>
      <c r="F577" s="1299" t="n">
        <v>-605.182</v>
      </c>
      <c r="G577" s="1299" t="n">
        <v>850.0940000000001</v>
      </c>
      <c r="H577" s="1298" t="n">
        <v>-358.406</v>
      </c>
      <c r="I577" s="1298" t="n">
        <v>-6.675</v>
      </c>
      <c r="J577" s="1298" t="n">
        <v>-397.779</v>
      </c>
      <c r="K577" s="1280">
        <f>L577</f>
        <v/>
      </c>
      <c r="L577" s="1299" t="n">
        <v>-194.866</v>
      </c>
      <c r="M577" s="1298" t="n">
        <v>118.123</v>
      </c>
      <c r="N577" s="1298" t="n">
        <v>-164.145</v>
      </c>
      <c r="O577" s="1298" t="n">
        <v>-363.369</v>
      </c>
      <c r="P577" s="1280">
        <f>Q577</f>
        <v/>
      </c>
      <c r="Q577" s="1299" t="n">
        <v>-369.134</v>
      </c>
      <c r="R577" s="1298" t="n">
        <v>-7.283</v>
      </c>
      <c r="S577" s="1298" t="n">
        <v>-85.23999999999999</v>
      </c>
      <c r="T577" s="1298" t="n">
        <v>-82.578</v>
      </c>
      <c r="U577" s="1280">
        <f>V577</f>
        <v/>
      </c>
      <c r="V577" s="1299" t="n">
        <v>139.818</v>
      </c>
      <c r="W577" s="1298" t="n">
        <v>-90.979</v>
      </c>
      <c r="X577" s="1298" t="n">
        <v>-160.398</v>
      </c>
      <c r="Y577" s="1298" t="n">
        <v>179.855</v>
      </c>
      <c r="Z577" s="1280">
        <f>AA577</f>
        <v/>
      </c>
      <c r="AA577" s="1299" t="n">
        <v>394.182</v>
      </c>
      <c r="AB577" s="1298" t="n">
        <v>-432.049</v>
      </c>
      <c r="AC577" s="1298" t="n">
        <v>-705.024</v>
      </c>
      <c r="AD577" s="1298" t="n">
        <v>-85.053</v>
      </c>
      <c r="AE577" s="1280">
        <f>AF577</f>
        <v/>
      </c>
      <c r="AF577" s="1299" t="n">
        <v>-279.857</v>
      </c>
      <c r="AG577" s="1298" t="n">
        <v>-815.558</v>
      </c>
      <c r="AH577" s="1298" t="n">
        <v>-609.048</v>
      </c>
      <c r="AI577" s="1298" t="n">
        <v>261.51</v>
      </c>
      <c r="AJ577" s="1280">
        <f>AK577</f>
        <v/>
      </c>
      <c r="AK577" s="1299" t="n">
        <v>58.401</v>
      </c>
      <c r="AL577" s="1298" t="n">
        <v>56.279</v>
      </c>
      <c r="AM577" s="1298" t="n">
        <v>-1.895</v>
      </c>
      <c r="AN577" s="1298" t="n">
        <v>548.275</v>
      </c>
      <c r="AO577" s="1280">
        <f>AP577</f>
        <v/>
      </c>
      <c r="AP577" s="1299" t="n">
        <v>672.818</v>
      </c>
      <c r="AQ577" s="1298" t="n">
        <v>-162.728</v>
      </c>
      <c r="AR577" s="1298" t="n">
        <v>-603.562</v>
      </c>
      <c r="AS577" s="1298" t="n">
        <v>47.91</v>
      </c>
      <c r="AT577" s="1280">
        <f>AU577</f>
        <v/>
      </c>
      <c r="AU577" s="1299" t="n">
        <v>-670.532</v>
      </c>
      <c r="AV577" s="1298" t="n">
        <v>13.71</v>
      </c>
      <c r="AW577" s="1298" t="n">
        <v>355.928</v>
      </c>
      <c r="AX577" s="1298" t="n">
        <v>433.633</v>
      </c>
      <c r="AY577" s="1280">
        <f>AZ577</f>
        <v/>
      </c>
      <c r="AZ577" s="1299" t="n">
        <v>205.451</v>
      </c>
      <c r="BA577" s="1298" t="n">
        <v>-562.873</v>
      </c>
      <c r="BB577" s="1298" t="n">
        <v>-463.973</v>
      </c>
      <c r="BC577" s="1298" t="n">
        <v>-21.214</v>
      </c>
      <c r="BD577" s="1280">
        <f>BE577</f>
        <v/>
      </c>
      <c r="BE577" s="1299" t="n">
        <v>-76.337</v>
      </c>
      <c r="BF577" s="1298" t="n">
        <v>-381.104</v>
      </c>
      <c r="BG577" s="1298" t="n">
        <v>-382.287</v>
      </c>
      <c r="BH577" s="1298" t="n">
        <v>119.55</v>
      </c>
      <c r="BI577" s="1280">
        <f>BJ577</f>
        <v/>
      </c>
      <c r="BJ577" s="1299" t="n">
        <v>-140.299</v>
      </c>
      <c r="BK577" s="1298" t="n">
        <v>-209.657</v>
      </c>
      <c r="BL577" s="1298" t="n">
        <v>-149.463</v>
      </c>
      <c r="BM577" s="1298" t="n">
        <v>535.2619999999999</v>
      </c>
      <c r="BN577" s="1280">
        <f>BO577</f>
        <v/>
      </c>
      <c r="BO577" s="1382" t="n"/>
      <c r="BP577" s="1277" t="n"/>
      <c r="BQ577" s="1277" t="n"/>
      <c r="BR577" s="1277" t="n"/>
      <c r="BS577" s="1277" t="n"/>
      <c r="BT577" s="1297" t="n"/>
      <c r="BU577" s="1277" t="n"/>
      <c r="BV577" s="1277" t="n"/>
      <c r="BW577" s="1277" t="n"/>
      <c r="BX577" s="1277" t="n"/>
      <c r="BY577" s="1297" t="n"/>
      <c r="BZ577" s="1297" t="n"/>
      <c r="CA577" s="1297" t="n"/>
      <c r="CB577" s="1297" t="n"/>
      <c r="CC577" s="1280" t="n"/>
    </row>
    <row r="578" hidden="1" outlineLevel="1" ht="14.4" customFormat="1" customHeight="1" s="1275">
      <c r="A578" s="1295" t="inlineStr">
        <is>
          <t>Income tax payable</t>
        </is>
      </c>
      <c r="B578" s="1387" t="n"/>
      <c r="C578" s="1299" t="n">
        <v>-531.576</v>
      </c>
      <c r="D578" s="1299" t="n">
        <v>-1615.552</v>
      </c>
      <c r="E578" s="1299" t="n">
        <v>3490.268</v>
      </c>
      <c r="F578" s="1297" t="n"/>
      <c r="G578" s="1297" t="n"/>
      <c r="H578" s="1277" t="n"/>
      <c r="I578" s="1277" t="n"/>
      <c r="J578" s="1277" t="n"/>
      <c r="K578" s="1280">
        <f>L578</f>
        <v/>
      </c>
      <c r="L578" s="1297" t="n"/>
      <c r="M578" s="1277" t="n"/>
      <c r="N578" s="1277" t="n"/>
      <c r="O578" s="1277" t="n"/>
      <c r="P578" s="1280">
        <f>Q578</f>
        <v/>
      </c>
      <c r="Q578" s="1297" t="n"/>
      <c r="R578" s="1277" t="n"/>
      <c r="S578" s="1277" t="n"/>
      <c r="T578" s="1277" t="n"/>
      <c r="U578" s="1280">
        <f>V578</f>
        <v/>
      </c>
      <c r="V578" s="1297" t="n"/>
      <c r="W578" s="1277" t="n"/>
      <c r="X578" s="1277" t="n"/>
      <c r="Y578" s="1277" t="n"/>
      <c r="Z578" s="1280">
        <f>AA578</f>
        <v/>
      </c>
      <c r="AA578" s="1297" t="n"/>
      <c r="AB578" s="1277" t="n"/>
      <c r="AC578" s="1277" t="n"/>
      <c r="AD578" s="1277" t="n"/>
      <c r="AE578" s="1280">
        <f>AF578</f>
        <v/>
      </c>
      <c r="AF578" s="1297" t="n"/>
      <c r="AG578" s="1277" t="n"/>
      <c r="AH578" s="1277" t="n"/>
      <c r="AI578" s="1277" t="n"/>
      <c r="AJ578" s="1277" t="n"/>
      <c r="AK578" s="1297" t="n"/>
      <c r="AL578" s="1277" t="n"/>
      <c r="AM578" s="1277" t="n"/>
      <c r="AN578" s="1277" t="n"/>
      <c r="AO578" s="1280">
        <f>AP578</f>
        <v/>
      </c>
      <c r="AP578" s="1297" t="n"/>
      <c r="AQ578" s="1277" t="n"/>
      <c r="AR578" s="1277" t="n"/>
      <c r="AS578" s="1277" t="n"/>
      <c r="AT578" s="1280">
        <f>AU578</f>
        <v/>
      </c>
      <c r="AU578" s="1297" t="n"/>
      <c r="AV578" s="1277" t="n"/>
      <c r="AW578" s="1277" t="n"/>
      <c r="AX578" s="1277" t="n"/>
      <c r="AY578" s="1280">
        <f>AZ578</f>
        <v/>
      </c>
      <c r="AZ578" s="1297" t="n"/>
      <c r="BA578" s="1277" t="n"/>
      <c r="BB578" s="1277" t="n"/>
      <c r="BC578" s="1277" t="n"/>
      <c r="BD578" s="1280">
        <f>BE578</f>
        <v/>
      </c>
      <c r="BE578" s="1297" t="n"/>
      <c r="BF578" s="1277" t="n"/>
      <c r="BG578" s="1277" t="n"/>
      <c r="BH578" s="1277" t="n"/>
      <c r="BI578" s="1280">
        <f>BJ578</f>
        <v/>
      </c>
      <c r="BJ578" s="1297" t="n"/>
      <c r="BK578" s="1277" t="n"/>
      <c r="BL578" s="1277" t="n"/>
      <c r="BM578" s="1277" t="n"/>
      <c r="BN578" s="1280">
        <f>BO578</f>
        <v/>
      </c>
      <c r="BO578" s="1382" t="n"/>
      <c r="BP578" s="1277" t="n"/>
      <c r="BQ578" s="1277" t="n"/>
      <c r="BR578" s="1277" t="n"/>
      <c r="BS578" s="1277" t="n"/>
      <c r="BT578" s="1297" t="n"/>
      <c r="BU578" s="1277" t="n"/>
      <c r="BV578" s="1277" t="n"/>
      <c r="BW578" s="1277" t="n"/>
      <c r="BX578" s="1277" t="n"/>
      <c r="BY578" s="1297" t="n"/>
      <c r="BZ578" s="1297" t="n"/>
      <c r="CA578" s="1297" t="n"/>
      <c r="CB578" s="1297" t="n"/>
      <c r="CC578" s="1280" t="n"/>
    </row>
    <row r="579" hidden="1" outlineLevel="1" ht="14.4" customFormat="1" customHeight="1" s="1275">
      <c r="A579" s="1295" t="inlineStr">
        <is>
          <t>Salary and bonus payable</t>
        </is>
      </c>
      <c r="B579" s="1387" t="n"/>
      <c r="C579" s="1299" t="n">
        <v>7101.255</v>
      </c>
      <c r="D579" s="1299" t="n">
        <v>-2892.971</v>
      </c>
      <c r="E579" s="1299" t="n">
        <v>-275.565</v>
      </c>
      <c r="F579" s="1299" t="n">
        <v>1386.797</v>
      </c>
      <c r="G579" s="1299" t="n">
        <v>883.925</v>
      </c>
      <c r="H579" s="1298" t="n">
        <v>-2223.942</v>
      </c>
      <c r="I579" s="1298" t="n">
        <v>-524.021</v>
      </c>
      <c r="J579" s="1298" t="n">
        <v>1174.733</v>
      </c>
      <c r="K579" s="1280">
        <f>L579</f>
        <v/>
      </c>
      <c r="L579" s="1299" t="n">
        <v>2281.117</v>
      </c>
      <c r="M579" s="1298" t="n">
        <v>-2541.255</v>
      </c>
      <c r="N579" s="1298" t="n">
        <v>-1457.273</v>
      </c>
      <c r="O579" s="1298" t="n">
        <v>-145.796</v>
      </c>
      <c r="P579" s="1280">
        <f>Q579</f>
        <v/>
      </c>
      <c r="Q579" s="1299" t="n">
        <v>945.03</v>
      </c>
      <c r="R579" s="1298" t="n">
        <v>-3121.742</v>
      </c>
      <c r="S579" s="1298" t="n">
        <v>-1858.488</v>
      </c>
      <c r="T579" s="1298" t="n">
        <v>481.176</v>
      </c>
      <c r="U579" s="1280">
        <f>V579</f>
        <v/>
      </c>
      <c r="V579" s="1299" t="n">
        <v>1979.775</v>
      </c>
      <c r="W579" s="1298" t="n">
        <v>-2978.161</v>
      </c>
      <c r="X579" s="1298" t="n">
        <v>-3638.899</v>
      </c>
      <c r="Y579" s="1298" t="n">
        <v>-1377.765</v>
      </c>
      <c r="Z579" s="1280">
        <f>AA579</f>
        <v/>
      </c>
      <c r="AA579" s="1299" t="n">
        <v>582.054</v>
      </c>
      <c r="AB579" s="1298" t="n">
        <v>-4053.546</v>
      </c>
      <c r="AC579" s="1298" t="n">
        <v>-4207.846</v>
      </c>
      <c r="AD579" s="1298" t="n">
        <v>-2317.288</v>
      </c>
      <c r="AE579" s="1280">
        <f>AF579</f>
        <v/>
      </c>
      <c r="AF579" s="1299" t="n">
        <v>216.501</v>
      </c>
      <c r="AG579" s="1298" t="n">
        <v>-5574.543</v>
      </c>
      <c r="AH579" s="1298" t="n">
        <v>-4341.073</v>
      </c>
      <c r="AI579" s="1298" t="n">
        <v>-897.752</v>
      </c>
      <c r="AJ579" s="1280">
        <f>AK579</f>
        <v/>
      </c>
      <c r="AK579" s="1299" t="n">
        <v>1800.981</v>
      </c>
      <c r="AL579" s="1298" t="n">
        <v>-2989.909</v>
      </c>
      <c r="AM579" s="1298" t="n">
        <v>-1524.637</v>
      </c>
      <c r="AN579" s="1298" t="n">
        <v>1239.259</v>
      </c>
      <c r="AO579" s="1280">
        <f>AP579</f>
        <v/>
      </c>
      <c r="AP579" s="1299" t="n">
        <v>3798.888</v>
      </c>
      <c r="AQ579" s="1298" t="n">
        <v>-4375.063</v>
      </c>
      <c r="AR579" s="1298" t="n">
        <v>-2922.328</v>
      </c>
      <c r="AS579" s="1298" t="n">
        <v>351.168</v>
      </c>
      <c r="AT579" s="1280">
        <f>AU579</f>
        <v/>
      </c>
      <c r="AU579" s="1299" t="n">
        <v>3730.859</v>
      </c>
      <c r="AV579" s="1298" t="n">
        <v>-2724.989</v>
      </c>
      <c r="AW579" s="1298" t="n">
        <v>1914.267</v>
      </c>
      <c r="AX579" s="1298" t="n">
        <v>7577.929</v>
      </c>
      <c r="AY579" s="1280">
        <f>AZ579</f>
        <v/>
      </c>
      <c r="AZ579" s="1299" t="n">
        <v>12633.409</v>
      </c>
      <c r="BA579" s="1298" t="n">
        <v>-11916.528</v>
      </c>
      <c r="BB579" s="1298" t="n">
        <v>-11730.994</v>
      </c>
      <c r="BC579" s="1298" t="n">
        <v>-7778.221</v>
      </c>
      <c r="BD579" s="1280">
        <f>BE579</f>
        <v/>
      </c>
      <c r="BE579" s="1299" t="n">
        <v>-3234.946</v>
      </c>
      <c r="BF579" s="1298" t="n">
        <v>-7918.794</v>
      </c>
      <c r="BG579" s="1298" t="n">
        <v>-3788.265</v>
      </c>
      <c r="BH579" s="1298" t="n">
        <v>4513.862</v>
      </c>
      <c r="BI579" s="1280">
        <f>BJ579</f>
        <v/>
      </c>
      <c r="BJ579" s="1299" t="n">
        <v>14250.946</v>
      </c>
      <c r="BK579" s="1298" t="n">
        <v>-6500.061</v>
      </c>
      <c r="BL579" s="1298" t="n">
        <v>-1436.516</v>
      </c>
      <c r="BM579" s="1298" t="n">
        <v>6678.111</v>
      </c>
      <c r="BN579" s="1280">
        <f>BO579</f>
        <v/>
      </c>
      <c r="BO579" s="1382" t="n"/>
      <c r="BP579" s="1277" t="n"/>
      <c r="BQ579" s="1277" t="n"/>
      <c r="BR579" s="1277" t="n"/>
      <c r="BS579" s="1277" t="n"/>
      <c r="BT579" s="1297" t="n"/>
      <c r="BU579" s="1277" t="n"/>
      <c r="BV579" s="1277" t="n"/>
      <c r="BW579" s="1277" t="n"/>
      <c r="BX579" s="1277" t="n"/>
      <c r="BY579" s="1297" t="n"/>
      <c r="BZ579" s="1297" t="n"/>
      <c r="CA579" s="1297" t="n"/>
      <c r="CB579" s="1297" t="n"/>
      <c r="CC579" s="1280" t="n"/>
    </row>
    <row r="580" hidden="1" outlineLevel="1" ht="14.4" customFormat="1" customHeight="1" s="1275">
      <c r="A580" s="1295" t="inlineStr">
        <is>
          <t>Accrued profit sharing bonus to employees and compensation to directors and supervisors</t>
        </is>
      </c>
      <c r="B580" s="1387" t="n"/>
      <c r="C580" s="1299" t="n">
        <v>-1056.399</v>
      </c>
      <c r="D580" s="1299" t="n">
        <v>4277.804</v>
      </c>
      <c r="E580" s="1299" t="n">
        <v>-1925.594</v>
      </c>
      <c r="F580" s="1299" t="n">
        <v>2105.298</v>
      </c>
      <c r="G580" s="1299" t="n">
        <v>1552.21</v>
      </c>
      <c r="H580" s="1298" t="n">
        <v>3279.96</v>
      </c>
      <c r="I580" s="1298" t="n">
        <v>7362.054</v>
      </c>
      <c r="J580" s="1298" t="n">
        <v>220.924</v>
      </c>
      <c r="K580" s="1280">
        <f>L580</f>
        <v/>
      </c>
      <c r="L580" s="1299" t="n">
        <v>5314.019</v>
      </c>
      <c r="M580" s="1298" t="n">
        <v>5383.645</v>
      </c>
      <c r="N580" s="1298" t="n">
        <v>10782.136</v>
      </c>
      <c r="O580" s="1298" t="n">
        <v>-1947.397</v>
      </c>
      <c r="P580" s="1280">
        <f>Q580</f>
        <v/>
      </c>
      <c r="Q580" s="1299" t="n">
        <v>2860.25</v>
      </c>
      <c r="R580" s="1298" t="n">
        <v>4436.18</v>
      </c>
      <c r="S580" s="1298" t="n">
        <v>9406.924999999999</v>
      </c>
      <c r="T580" s="1298" t="n">
        <v>-4706.212</v>
      </c>
      <c r="U580" s="1280">
        <f>V580</f>
        <v/>
      </c>
      <c r="V580" s="1299" t="n">
        <v>1935.113</v>
      </c>
      <c r="W580" s="1298" t="n">
        <v>5963.619</v>
      </c>
      <c r="X580" s="1298" t="n">
        <v>10482.136</v>
      </c>
      <c r="Y580" s="1298" t="n">
        <v>-5826.873</v>
      </c>
      <c r="Z580" s="1280">
        <f>AA580</f>
        <v/>
      </c>
      <c r="AA580" s="1299" t="n">
        <v>525.129</v>
      </c>
      <c r="AB580" s="1298" t="n">
        <v>6109.874</v>
      </c>
      <c r="AC580" s="1298" t="n">
        <v>11043.388</v>
      </c>
      <c r="AD580" s="1298" t="n">
        <v>-5629.367</v>
      </c>
      <c r="AE580" s="1280">
        <f>AF580</f>
        <v/>
      </c>
      <c r="AF580" s="1299" t="n">
        <v>562.019</v>
      </c>
      <c r="AG580" s="1298" t="n">
        <v>4107.178</v>
      </c>
      <c r="AH580" s="1298" t="n">
        <v>8656.896000000001</v>
      </c>
      <c r="AI580" s="1298" t="n">
        <v>-7710.063</v>
      </c>
      <c r="AJ580" s="1280">
        <f>AK580</f>
        <v/>
      </c>
      <c r="AK580" s="1299" t="n">
        <v>-332.251</v>
      </c>
      <c r="AL580" s="1298" t="n">
        <v>8071.239</v>
      </c>
      <c r="AM580" s="1298" t="n">
        <v>16379.603</v>
      </c>
      <c r="AN580" s="1298" t="n">
        <v>2935.914</v>
      </c>
      <c r="AO580" s="1280">
        <f>AP580</f>
        <v/>
      </c>
      <c r="AP580" s="1299" t="n">
        <v>12032.143</v>
      </c>
      <c r="AQ580" s="1298" t="n">
        <v>8468.539000000001</v>
      </c>
      <c r="AR580" s="1298" t="n">
        <v>16647.894</v>
      </c>
      <c r="AS580" s="1298" t="n">
        <v>-8461.262000000001</v>
      </c>
      <c r="AT580" s="1280">
        <f>AU580</f>
        <v/>
      </c>
      <c r="AU580" s="1299" t="n">
        <v>843.6950000000001</v>
      </c>
      <c r="AV580" s="1298" t="n">
        <v>12241.793</v>
      </c>
      <c r="AW580" s="1298" t="n">
        <v>26646.996</v>
      </c>
      <c r="AX580" s="1298" t="n">
        <v>8517.224</v>
      </c>
      <c r="AY580" s="1280">
        <f>AZ580</f>
        <v/>
      </c>
      <c r="AZ580" s="1299" t="n">
        <v>25223.833</v>
      </c>
      <c r="BA580" s="1298" t="n">
        <v>12409.938</v>
      </c>
      <c r="BB580" s="1298" t="n">
        <v>23394.021</v>
      </c>
      <c r="BC580" s="1298" t="n">
        <v>-24040.371</v>
      </c>
      <c r="BD580" s="1280">
        <f>BE580</f>
        <v/>
      </c>
      <c r="BE580" s="1299" t="n">
        <v>-11031.63</v>
      </c>
      <c r="BF580" s="1298" t="n">
        <v>13529.295</v>
      </c>
      <c r="BG580" s="1298" t="n">
        <v>28482.204</v>
      </c>
      <c r="BH580" s="1298" t="n">
        <v>-1317.621</v>
      </c>
      <c r="BI580" s="1280">
        <f>BJ580</f>
        <v/>
      </c>
      <c r="BJ580" s="1299" t="n">
        <v>20154.206</v>
      </c>
      <c r="BK580" s="1298" t="n">
        <v>21736.1</v>
      </c>
      <c r="BL580" s="1298" t="n">
        <v>45663.663</v>
      </c>
      <c r="BM580" s="1298" t="n">
        <v>3666.186</v>
      </c>
      <c r="BN580" s="1280">
        <f>BO580</f>
        <v/>
      </c>
      <c r="BO580" s="1382" t="n"/>
      <c r="BP580" s="1277" t="n"/>
      <c r="BQ580" s="1277" t="n"/>
      <c r="BR580" s="1277" t="n"/>
      <c r="BS580" s="1277" t="n"/>
      <c r="BT580" s="1297" t="n"/>
      <c r="BU580" s="1277" t="n"/>
      <c r="BV580" s="1277" t="n"/>
      <c r="BW580" s="1277" t="n"/>
      <c r="BX580" s="1277" t="n"/>
      <c r="BY580" s="1297" t="n"/>
      <c r="BZ580" s="1297" t="n"/>
      <c r="CA580" s="1297" t="n"/>
      <c r="CB580" s="1297" t="n"/>
      <c r="CC580" s="1280" t="n"/>
    </row>
    <row r="581" hidden="1" outlineLevel="1" ht="14.4" customFormat="1" customHeight="1" s="1275">
      <c r="A581" s="1295" t="inlineStr">
        <is>
          <t>Accrued expenses and other current liabilities</t>
        </is>
      </c>
      <c r="B581" s="1387" t="n"/>
      <c r="C581" s="1299" t="n">
        <v>1356.269</v>
      </c>
      <c r="D581" s="1299" t="n">
        <v>248.192</v>
      </c>
      <c r="E581" s="1299" t="n">
        <v>212.128</v>
      </c>
      <c r="F581" s="1299" t="n">
        <v>2051.785</v>
      </c>
      <c r="G581" s="1299" t="n">
        <v>3531.017</v>
      </c>
      <c r="H581" s="1298" t="n">
        <v>2073.184</v>
      </c>
      <c r="I581" s="1298" t="n">
        <v>2915.319</v>
      </c>
      <c r="J581" s="1298" t="n">
        <v>9654.733</v>
      </c>
      <c r="K581" s="1280">
        <f>L581</f>
        <v/>
      </c>
      <c r="L581" s="1299" t="n">
        <v>8432.511</v>
      </c>
      <c r="M581" s="1298" t="n">
        <v>-82.857</v>
      </c>
      <c r="N581" s="1298" t="n">
        <v>-232.268</v>
      </c>
      <c r="O581" s="1298" t="n">
        <v>198.533</v>
      </c>
      <c r="P581" s="1280">
        <f>Q581</f>
        <v/>
      </c>
      <c r="Q581" s="1299" t="n">
        <v>-3778.322</v>
      </c>
      <c r="R581" s="1298" t="n">
        <v>760.672</v>
      </c>
      <c r="S581" s="1298" t="n">
        <v>1420.239</v>
      </c>
      <c r="T581" s="1298" t="n">
        <v>1337.333</v>
      </c>
      <c r="U581" s="1280">
        <f>V581</f>
        <v/>
      </c>
      <c r="V581" s="1299" t="n">
        <v>3693.638</v>
      </c>
      <c r="W581" s="1298" t="n">
        <v>-824.558</v>
      </c>
      <c r="X581" s="1298" t="n">
        <v>4823.091</v>
      </c>
      <c r="Y581" s="1298" t="n">
        <v>9167.145</v>
      </c>
      <c r="Z581" s="1280">
        <f>AA581</f>
        <v/>
      </c>
      <c r="AA581" s="1299" t="n">
        <v>30435.424</v>
      </c>
      <c r="AB581" s="1298" t="n">
        <v>-5776.314</v>
      </c>
      <c r="AC581" s="1298" t="n">
        <v>-14314.806</v>
      </c>
      <c r="AD581" s="1298" t="n">
        <v>-24443.396</v>
      </c>
      <c r="AE581" s="1280">
        <f>AF581</f>
        <v/>
      </c>
      <c r="AF581" s="1299" t="n">
        <v>-20226.384</v>
      </c>
      <c r="AG581" s="1298" t="n">
        <v>965.357</v>
      </c>
      <c r="AH581" s="1298" t="n">
        <v>1721.475</v>
      </c>
      <c r="AI581" s="1298" t="n">
        <v>1476.118</v>
      </c>
      <c r="AJ581" s="1280">
        <f>AK581</f>
        <v/>
      </c>
      <c r="AK581" s="1299" t="n">
        <v>-2372.032</v>
      </c>
      <c r="AL581" s="1298" t="n">
        <v>4910.661</v>
      </c>
      <c r="AM581" s="1298" t="n">
        <v>8356.816999999999</v>
      </c>
      <c r="AN581" s="1298" t="n">
        <v>13765.279</v>
      </c>
      <c r="AO581" s="1280">
        <f>AP581</f>
        <v/>
      </c>
      <c r="AP581" s="1299" t="n">
        <v>20617.359</v>
      </c>
      <c r="AQ581" s="1298" t="n">
        <v>14976.395</v>
      </c>
      <c r="AR581" s="1298" t="n">
        <v>25071</v>
      </c>
      <c r="AS581" s="1298" t="n">
        <v>51695.061</v>
      </c>
      <c r="AT581" s="1280">
        <f>AU581</f>
        <v/>
      </c>
      <c r="AU581" s="1299" t="n">
        <v>84322.72100000001</v>
      </c>
      <c r="AV581" s="1298" t="n">
        <v>5607.202</v>
      </c>
      <c r="AW581" s="1298" t="n">
        <v>1512.486</v>
      </c>
      <c r="AX581" s="1298" t="n">
        <v>38582.192</v>
      </c>
      <c r="AY581" s="1280">
        <f>AZ581</f>
        <v/>
      </c>
      <c r="AZ581" s="1299" t="n">
        <v>46578.784</v>
      </c>
      <c r="BA581" s="1298" t="n">
        <v>-42056.749</v>
      </c>
      <c r="BB581" s="1298" t="n">
        <v>-42705.588</v>
      </c>
      <c r="BC581" s="1298" t="n">
        <v>-34382.658</v>
      </c>
      <c r="BD581" s="1280">
        <f>BE581</f>
        <v/>
      </c>
      <c r="BE581" s="1299" t="n">
        <v>-44466.734</v>
      </c>
      <c r="BF581" s="1298" t="n">
        <v>33179.302</v>
      </c>
      <c r="BG581" s="1298" t="n">
        <v>26805.039</v>
      </c>
      <c r="BH581" s="1298" t="n">
        <v>61336.839</v>
      </c>
      <c r="BI581" s="1280">
        <f>BJ581</f>
        <v/>
      </c>
      <c r="BJ581" s="1299" t="n">
        <v>74659.38800000001</v>
      </c>
      <c r="BK581" s="1298" t="n">
        <v>14097.144</v>
      </c>
      <c r="BL581" s="1298" t="n">
        <v>-29100.99</v>
      </c>
      <c r="BM581" s="1298" t="n">
        <v>-57909.169</v>
      </c>
      <c r="BN581" s="1280">
        <f>BO581</f>
        <v/>
      </c>
      <c r="BO581" s="1382" t="n"/>
      <c r="BP581" s="1277" t="n"/>
      <c r="BQ581" s="1277" t="n"/>
      <c r="BR581" s="1277" t="n"/>
      <c r="BS581" s="1277" t="n"/>
      <c r="BT581" s="1297" t="n"/>
      <c r="BU581" s="1277" t="n"/>
      <c r="BV581" s="1277" t="n"/>
      <c r="BW581" s="1277" t="n"/>
      <c r="BX581" s="1277" t="n"/>
      <c r="BY581" s="1297" t="n"/>
      <c r="BZ581" s="1297" t="n"/>
      <c r="CA581" s="1297" t="n"/>
      <c r="CB581" s="1297" t="n"/>
      <c r="CC581" s="1280" t="n"/>
    </row>
    <row r="582" hidden="1" outlineLevel="1" ht="14.4" customFormat="1" customHeight="1" s="1275">
      <c r="A582" s="1295" t="inlineStr">
        <is>
          <t>Provisions</t>
        </is>
      </c>
      <c r="B582" s="1387" t="n"/>
      <c r="C582" s="1299">
        <f>2653.455+87.574</f>
        <v/>
      </c>
      <c r="D582" s="1299">
        <f>-1178.217-39.296</f>
        <v/>
      </c>
      <c r="E582" s="1299">
        <f>-2478.001-12.844</f>
        <v/>
      </c>
      <c r="F582" s="1299" t="n">
        <v>977.901</v>
      </c>
      <c r="G582" s="1299" t="n">
        <v>1595.81</v>
      </c>
      <c r="H582" s="1298" t="n">
        <v>2359.196</v>
      </c>
      <c r="I582" s="1298" t="n">
        <v>113.564</v>
      </c>
      <c r="J582" s="1298" t="n">
        <v>73.286</v>
      </c>
      <c r="K582" s="1280">
        <f>L582</f>
        <v/>
      </c>
      <c r="L582" s="1299" t="n">
        <v>2836.91</v>
      </c>
      <c r="M582" s="1298" t="n">
        <v>-2314.512</v>
      </c>
      <c r="N582" s="1298" t="n">
        <v>-1844.746</v>
      </c>
      <c r="O582" s="1298" t="n">
        <v>-540.919</v>
      </c>
      <c r="P582" s="1280">
        <f>Q582</f>
        <v/>
      </c>
      <c r="Q582" s="1299" t="n">
        <v>-382.774</v>
      </c>
      <c r="R582" s="1298" t="n">
        <v>-64.14700000000001</v>
      </c>
      <c r="S582" s="1298" t="n">
        <v>-642.8869999999999</v>
      </c>
      <c r="T582" s="1298" t="n">
        <v>1398.158</v>
      </c>
      <c r="U582" s="1280">
        <f>V582</f>
        <v/>
      </c>
      <c r="V582" s="1299" t="n">
        <v>7931.877</v>
      </c>
      <c r="W582" s="1298" t="n">
        <v>-6696.992</v>
      </c>
      <c r="X582" s="1298" t="n">
        <v>-4192.045</v>
      </c>
      <c r="Y582" s="1298" t="n">
        <v>-3899.652</v>
      </c>
      <c r="Z582" s="1280">
        <f>AA582</f>
        <v/>
      </c>
      <c r="AA582" s="1299" t="n">
        <v>-4057.9</v>
      </c>
      <c r="AB582" s="1277" t="n"/>
      <c r="AC582" s="1277" t="n"/>
      <c r="AD582" s="1277" t="n"/>
      <c r="AE582" s="1280">
        <f>AF582</f>
        <v/>
      </c>
      <c r="AF582" s="1297" t="n"/>
      <c r="AG582" s="1277" t="n"/>
      <c r="AH582" s="1277" t="n"/>
      <c r="AI582" s="1277" t="n"/>
      <c r="AJ582" s="1277" t="n"/>
      <c r="AK582" s="1297" t="n"/>
      <c r="AL582" s="1277" t="n"/>
      <c r="AM582" s="1277" t="n"/>
      <c r="AN582" s="1277" t="n"/>
      <c r="AO582" s="1280">
        <f>AP582</f>
        <v/>
      </c>
      <c r="AP582" s="1297" t="n"/>
      <c r="AQ582" s="1277" t="n"/>
      <c r="AR582" s="1277" t="n"/>
      <c r="AS582" s="1277" t="n"/>
      <c r="AT582" s="1280">
        <f>AU582</f>
        <v/>
      </c>
      <c r="AU582" s="1297" t="n"/>
      <c r="AV582" s="1277" t="n"/>
      <c r="AW582" s="1277" t="n"/>
      <c r="AX582" s="1277" t="n"/>
      <c r="AY582" s="1280">
        <f>AZ582</f>
        <v/>
      </c>
      <c r="AZ582" s="1297" t="n"/>
      <c r="BA582" s="1277" t="n"/>
      <c r="BB582" s="1277" t="n"/>
      <c r="BC582" s="1277" t="n"/>
      <c r="BD582" s="1280">
        <f>BE582</f>
        <v/>
      </c>
      <c r="BE582" s="1297" t="n"/>
      <c r="BF582" s="1277" t="n"/>
      <c r="BG582" s="1277" t="n"/>
      <c r="BH582" s="1277" t="n"/>
      <c r="BI582" s="1280">
        <f>BJ582</f>
        <v/>
      </c>
      <c r="BJ582" s="1297" t="n"/>
      <c r="BK582" s="1277" t="n"/>
      <c r="BL582" s="1277" t="n"/>
      <c r="BM582" s="1277" t="n"/>
      <c r="BN582" s="1280">
        <f>BO582</f>
        <v/>
      </c>
      <c r="BO582" s="1382" t="n"/>
      <c r="BP582" s="1277" t="n"/>
      <c r="BQ582" s="1277" t="n"/>
      <c r="BR582" s="1277" t="n"/>
      <c r="BS582" s="1277" t="n"/>
      <c r="BT582" s="1297" t="n"/>
      <c r="BU582" s="1277" t="n"/>
      <c r="BV582" s="1277" t="n"/>
      <c r="BW582" s="1277" t="n"/>
      <c r="BX582" s="1277" t="n"/>
      <c r="BY582" s="1297" t="n"/>
      <c r="BZ582" s="1297" t="n"/>
      <c r="CA582" s="1297" t="n"/>
      <c r="CB582" s="1297" t="n"/>
      <c r="CC582" s="1280" t="n"/>
    </row>
    <row r="583" hidden="1" outlineLevel="1" ht="14.4" customFormat="1" customHeight="1" s="1275">
      <c r="A583" s="1295" t="inlineStr">
        <is>
          <t>Net defined benefit liability</t>
        </is>
      </c>
      <c r="B583" s="1387" t="n"/>
      <c r="C583" s="1299" t="n">
        <v>95.44799999999999</v>
      </c>
      <c r="D583" s="1299" t="n">
        <v>15.319</v>
      </c>
      <c r="E583" s="1299" t="n">
        <v>98.91500000000001</v>
      </c>
      <c r="F583" s="1299" t="n">
        <v>-5.769</v>
      </c>
      <c r="G583" s="1299" t="n">
        <v>9.554</v>
      </c>
      <c r="H583" s="1298" t="n">
        <v>-7.978</v>
      </c>
      <c r="I583" s="1298" t="n">
        <v>9.109999999999999</v>
      </c>
      <c r="J583" s="1298" t="n">
        <v>37.175</v>
      </c>
      <c r="K583" s="1280">
        <f>L583</f>
        <v/>
      </c>
      <c r="L583" s="1299" t="n">
        <v>60.446</v>
      </c>
      <c r="M583" s="1298" t="n">
        <v>-14.13</v>
      </c>
      <c r="N583" s="1298" t="n">
        <v>17.965</v>
      </c>
      <c r="O583" s="1298" t="n">
        <v>43.749</v>
      </c>
      <c r="P583" s="1280">
        <f>Q583</f>
        <v/>
      </c>
      <c r="Q583" s="1299" t="n">
        <v>52.54</v>
      </c>
      <c r="R583" s="1298" t="n">
        <v>-10.571</v>
      </c>
      <c r="S583" s="1298" t="n">
        <v>8.640000000000001</v>
      </c>
      <c r="T583" s="1298" t="n">
        <v>27.355</v>
      </c>
      <c r="U583" s="1280">
        <f>V583</f>
        <v/>
      </c>
      <c r="V583" s="1299" t="n">
        <v>46.163</v>
      </c>
      <c r="W583" s="1298" t="n">
        <v>-14.039</v>
      </c>
      <c r="X583" s="1298" t="n">
        <v>5.232</v>
      </c>
      <c r="Y583" s="1298" t="n">
        <v>23.218</v>
      </c>
      <c r="Z583" s="1280">
        <f>AA583</f>
        <v/>
      </c>
      <c r="AA583" s="1299" t="n">
        <v>44.615</v>
      </c>
      <c r="AB583" s="1298" t="n">
        <v>-31.999</v>
      </c>
      <c r="AC583" s="1298" t="n">
        <v>-84.999</v>
      </c>
      <c r="AD583" s="1298" t="n">
        <v>-62.562</v>
      </c>
      <c r="AE583" s="1280">
        <f>AF583</f>
        <v/>
      </c>
      <c r="AF583" s="1299" t="n">
        <v>-60.461</v>
      </c>
      <c r="AG583" s="1298" t="n">
        <v>-262.175</v>
      </c>
      <c r="AH583" s="1298" t="n">
        <v>-250.825</v>
      </c>
      <c r="AI583" s="1298" t="n">
        <v>-233.93</v>
      </c>
      <c r="AJ583" s="1280">
        <f>AK583</f>
        <v/>
      </c>
      <c r="AK583" s="1299" t="n">
        <v>-215.014</v>
      </c>
      <c r="AL583" s="1298" t="n">
        <v>-804.943</v>
      </c>
      <c r="AM583" s="1298" t="n">
        <v>-801.304</v>
      </c>
      <c r="AN583" s="1298" t="n">
        <v>-797.522</v>
      </c>
      <c r="AO583" s="1280">
        <f>AP583</f>
        <v/>
      </c>
      <c r="AP583" s="1299" t="n">
        <v>-785.171</v>
      </c>
      <c r="AQ583" s="1298" t="n">
        <v>-619.561</v>
      </c>
      <c r="AR583" s="1298" t="n">
        <v>-628.554</v>
      </c>
      <c r="AS583" s="1298" t="n">
        <v>-637.897</v>
      </c>
      <c r="AT583" s="1280">
        <f>AU583</f>
        <v/>
      </c>
      <c r="AU583" s="1299" t="n">
        <v>-635.116</v>
      </c>
      <c r="AV583" s="1298" t="n">
        <v>-2503.589</v>
      </c>
      <c r="AW583" s="1298" t="n">
        <v>-2523.619</v>
      </c>
      <c r="AX583" s="1298" t="n">
        <v>-2533.617</v>
      </c>
      <c r="AY583" s="1280">
        <f>AZ583</f>
        <v/>
      </c>
      <c r="AZ583" s="1299" t="n">
        <v>-2538.848</v>
      </c>
      <c r="BA583" s="1298" t="n">
        <v>-718.789</v>
      </c>
      <c r="BB583" s="1298" t="n">
        <v>-716.449</v>
      </c>
      <c r="BC583" s="1298" t="n">
        <v>-705.413</v>
      </c>
      <c r="BD583" s="1280">
        <f>BE583</f>
        <v/>
      </c>
      <c r="BE583" s="1299" t="n">
        <v>-687.223</v>
      </c>
      <c r="BF583" s="1298" t="n">
        <v>-1556.332</v>
      </c>
      <c r="BG583" s="1298" t="n">
        <v>-1554.909</v>
      </c>
      <c r="BH583" s="1298" t="n">
        <v>-1552.851</v>
      </c>
      <c r="BI583" s="1280">
        <f>BJ583</f>
        <v/>
      </c>
      <c r="BJ583" s="1299" t="n">
        <v>-1532.202</v>
      </c>
      <c r="BK583" s="1298" t="n">
        <v>-2202.071</v>
      </c>
      <c r="BL583" s="1298" t="n">
        <v>-2225.254</v>
      </c>
      <c r="BM583" s="1298" t="n">
        <v>-2273.88</v>
      </c>
      <c r="BN583" s="1280">
        <f>BO583</f>
        <v/>
      </c>
      <c r="BO583" s="1382" t="n"/>
      <c r="BP583" s="1277" t="n"/>
      <c r="BQ583" s="1277" t="n"/>
      <c r="BR583" s="1277" t="n"/>
      <c r="BS583" s="1277" t="n"/>
      <c r="BT583" s="1297" t="n"/>
      <c r="BU583" s="1277" t="n"/>
      <c r="BV583" s="1277" t="n"/>
      <c r="BW583" s="1277" t="n"/>
      <c r="BX583" s="1277" t="n"/>
      <c r="BY583" s="1297" t="n"/>
      <c r="BZ583" s="1297" t="n"/>
      <c r="CA583" s="1297" t="n"/>
      <c r="CB583" s="1297" t="n"/>
      <c r="CC583" s="1280" t="n"/>
    </row>
    <row r="584" hidden="1" outlineLevel="1" ht="14.4" customFormat="1" customHeight="1" s="1275">
      <c r="A584" s="1295" t="inlineStr">
        <is>
          <t>Other noncurrent liabilities</t>
        </is>
      </c>
      <c r="B584" s="1387" t="n"/>
      <c r="C584" s="1297" t="n"/>
      <c r="D584" s="1297" t="n"/>
      <c r="E584" s="1297" t="n"/>
      <c r="F584" s="1297" t="n"/>
      <c r="G584" s="1297" t="n"/>
      <c r="H584" s="1277" t="n"/>
      <c r="I584" s="1277" t="n"/>
      <c r="J584" s="1277" t="n"/>
      <c r="K584" s="1277" t="n"/>
      <c r="L584" s="1297" t="n"/>
      <c r="M584" s="1277" t="n"/>
      <c r="N584" s="1277" t="n"/>
      <c r="O584" s="1277" t="n"/>
      <c r="P584" s="1277" t="n"/>
      <c r="Q584" s="1297" t="n"/>
      <c r="R584" s="1277" t="n"/>
      <c r="S584" s="1277" t="n"/>
      <c r="T584" s="1277" t="n"/>
      <c r="U584" s="1277" t="n"/>
      <c r="V584" s="1297" t="n"/>
      <c r="W584" s="1277" t="n"/>
      <c r="X584" s="1277" t="n"/>
      <c r="Y584" s="1277" t="n"/>
      <c r="Z584" s="1277" t="n"/>
      <c r="AA584" s="1297" t="n"/>
      <c r="AB584" s="1277" t="n"/>
      <c r="AC584" s="1277" t="n"/>
      <c r="AD584" s="1277" t="n"/>
      <c r="AE584" s="1277" t="n"/>
      <c r="AF584" s="1297" t="n"/>
      <c r="AG584" s="1277" t="n"/>
      <c r="AH584" s="1277" t="n"/>
      <c r="AI584" s="1277" t="n"/>
      <c r="AJ584" s="1277" t="n"/>
      <c r="AK584" s="1297" t="n"/>
      <c r="AL584" s="1277" t="n"/>
      <c r="AM584" s="1277" t="n"/>
      <c r="AN584" s="1277" t="n"/>
      <c r="AO584" s="1277" t="n"/>
      <c r="AP584" s="1297" t="n"/>
      <c r="AQ584" s="1277" t="n"/>
      <c r="AR584" s="1277" t="n"/>
      <c r="AS584" s="1277" t="n"/>
      <c r="AT584" s="1277" t="n"/>
      <c r="AU584" s="1297" t="n"/>
      <c r="AV584" s="1298" t="n">
        <v>40423.182</v>
      </c>
      <c r="AW584" s="1298" t="n">
        <v>71747.86199999999</v>
      </c>
      <c r="AX584" s="1298" t="n">
        <v>100127.809</v>
      </c>
      <c r="AY584" s="1277">
        <f>AZ584</f>
        <v/>
      </c>
      <c r="AZ584" s="1299" t="n">
        <v>101390.476</v>
      </c>
      <c r="BA584" s="1298" t="n">
        <v>9168.965</v>
      </c>
      <c r="BB584" s="1298" t="n">
        <v>16746.143</v>
      </c>
      <c r="BC584" s="1298" t="n">
        <v>26776.501</v>
      </c>
      <c r="BD584" s="1277">
        <f>BE584</f>
        <v/>
      </c>
      <c r="BE584" s="1299" t="n">
        <v>13329.895</v>
      </c>
      <c r="BF584" s="1298" t="n">
        <v>7353.616</v>
      </c>
      <c r="BG584" s="1298" t="n">
        <v>12851.565</v>
      </c>
      <c r="BH584" s="1298" t="n">
        <v>11927.551</v>
      </c>
      <c r="BI584" s="1277">
        <f>BJ584</f>
        <v/>
      </c>
      <c r="BJ584" s="1299" t="n">
        <v>16768.683</v>
      </c>
      <c r="BK584" s="1298" t="n">
        <v>2340.161</v>
      </c>
      <c r="BL584" s="1298" t="n">
        <v>-7848.202</v>
      </c>
      <c r="BM584" s="1298" t="n">
        <v>-3695.024</v>
      </c>
      <c r="BN584" s="1277">
        <f>BO584</f>
        <v/>
      </c>
      <c r="BO584" s="1382" t="n"/>
      <c r="BP584" s="1277" t="n"/>
      <c r="BQ584" s="1277" t="n"/>
      <c r="BR584" s="1277" t="n"/>
      <c r="BS584" s="1277" t="n"/>
      <c r="BT584" s="1297" t="n"/>
      <c r="BU584" s="1277" t="n"/>
      <c r="BV584" s="1277" t="n"/>
      <c r="BW584" s="1277" t="n"/>
      <c r="BX584" s="1277" t="n"/>
      <c r="BY584" s="1297" t="n"/>
      <c r="BZ584" s="1297" t="n"/>
      <c r="CA584" s="1297" t="n"/>
      <c r="CB584" s="1297" t="n"/>
      <c r="CC584" s="1280" t="n"/>
    </row>
    <row r="585" hidden="1" outlineLevel="1" ht="14.4" customFormat="1" customHeight="1" s="1275">
      <c r="A585" s="1295" t="inlineStr">
        <is>
          <t>Deferred credits</t>
        </is>
      </c>
      <c r="B585" s="1387" t="n"/>
      <c r="C585" s="1299" t="n">
        <v>-237.726</v>
      </c>
      <c r="D585" s="1299" t="n">
        <v>-59.15</v>
      </c>
      <c r="E585" s="1297" t="n"/>
      <c r="F585" s="1297" t="n"/>
      <c r="G585" s="1297" t="n"/>
      <c r="H585" s="1277" t="n"/>
      <c r="I585" s="1277" t="n"/>
      <c r="J585" s="1277" t="n"/>
      <c r="K585" s="1280">
        <f>L585</f>
        <v/>
      </c>
      <c r="L585" s="1297" t="n"/>
      <c r="M585" s="1277" t="n"/>
      <c r="N585" s="1277" t="n"/>
      <c r="O585" s="1277" t="n"/>
      <c r="P585" s="1280">
        <f>Q585</f>
        <v/>
      </c>
      <c r="Q585" s="1297" t="n"/>
      <c r="R585" s="1277" t="n"/>
      <c r="S585" s="1277" t="n"/>
      <c r="T585" s="1277" t="n"/>
      <c r="U585" s="1280">
        <f>V585</f>
        <v/>
      </c>
      <c r="V585" s="1297" t="n"/>
      <c r="W585" s="1277" t="n"/>
      <c r="X585" s="1277" t="n"/>
      <c r="Y585" s="1277" t="n"/>
      <c r="Z585" s="1280">
        <f>AA585</f>
        <v/>
      </c>
      <c r="AA585" s="1297" t="n"/>
      <c r="AB585" s="1277" t="n"/>
      <c r="AC585" s="1277" t="n"/>
      <c r="AD585" s="1277" t="n"/>
      <c r="AE585" s="1280">
        <f>AF585</f>
        <v/>
      </c>
      <c r="AF585" s="1297" t="n"/>
      <c r="AG585" s="1277" t="n"/>
      <c r="AH585" s="1277" t="n"/>
      <c r="AI585" s="1277" t="n"/>
      <c r="AJ585" s="1277" t="n"/>
      <c r="AK585" s="1297" t="n"/>
      <c r="AL585" s="1277" t="n"/>
      <c r="AM585" s="1277" t="n"/>
      <c r="AN585" s="1277" t="n"/>
      <c r="AO585" s="1280">
        <f>AP585</f>
        <v/>
      </c>
      <c r="AP585" s="1297" t="n"/>
      <c r="AQ585" s="1277" t="n"/>
      <c r="AR585" s="1277" t="n"/>
      <c r="AS585" s="1277" t="n"/>
      <c r="AT585" s="1280">
        <f>AU585</f>
        <v/>
      </c>
      <c r="AU585" s="1297" t="n"/>
      <c r="AV585" s="1277" t="n"/>
      <c r="AW585" s="1277" t="n"/>
      <c r="AX585" s="1277" t="n"/>
      <c r="AY585" s="1280">
        <f>AZ585</f>
        <v/>
      </c>
      <c r="AZ585" s="1297" t="n"/>
      <c r="BA585" s="1277" t="n"/>
      <c r="BB585" s="1277" t="n"/>
      <c r="BC585" s="1277" t="n"/>
      <c r="BD585" s="1280">
        <f>BE585</f>
        <v/>
      </c>
      <c r="BE585" s="1297" t="n"/>
      <c r="BF585" s="1277" t="n"/>
      <c r="BG585" s="1277" t="n"/>
      <c r="BH585" s="1277" t="n"/>
      <c r="BI585" s="1280">
        <f>BJ585</f>
        <v/>
      </c>
      <c r="BJ585" s="1297" t="n"/>
      <c r="BK585" s="1277" t="n"/>
      <c r="BL585" s="1277" t="n"/>
      <c r="BM585" s="1277" t="n"/>
      <c r="BN585" s="1280">
        <f>BO585</f>
        <v/>
      </c>
      <c r="BO585" s="1382" t="n"/>
      <c r="BP585" s="1277" t="n"/>
      <c r="BQ585" s="1277" t="n"/>
      <c r="BR585" s="1277" t="n"/>
      <c r="BS585" s="1277" t="n"/>
      <c r="BT585" s="1297" t="n"/>
      <c r="BU585" s="1277" t="n"/>
      <c r="BV585" s="1277" t="n"/>
      <c r="BW585" s="1277" t="n"/>
      <c r="BX585" s="1277" t="n"/>
      <c r="BY585" s="1297" t="n"/>
      <c r="BZ585" s="1297" t="n"/>
      <c r="CA585" s="1297" t="n"/>
      <c r="CB585" s="1297" t="n"/>
      <c r="CC585" s="1280" t="n"/>
    </row>
    <row r="586" hidden="1" outlineLevel="1" ht="14.4" customFormat="1" customHeight="1" s="1275">
      <c r="A586" s="1295" t="inlineStr">
        <is>
          <t>Change in WC and others</t>
        </is>
      </c>
      <c r="B586" s="1387" t="n"/>
      <c r="C586" s="1297" t="n"/>
      <c r="D586" s="1297" t="n"/>
      <c r="E586" s="1297" t="n"/>
      <c r="F586" s="1297" t="n"/>
      <c r="G586" s="1297" t="n"/>
      <c r="H586" s="1277" t="n"/>
      <c r="I586" s="1277" t="n"/>
      <c r="J586" s="1277" t="n"/>
      <c r="K586" s="1277" t="n"/>
      <c r="L586" s="1297" t="n"/>
      <c r="M586" s="1277" t="n"/>
      <c r="N586" s="1277" t="n"/>
      <c r="O586" s="1277" t="n"/>
      <c r="P586" s="1277" t="n"/>
      <c r="Q586" s="1297" t="n"/>
      <c r="R586" s="1277" t="n"/>
      <c r="S586" s="1277" t="n"/>
      <c r="T586" s="1277" t="n"/>
      <c r="U586" s="1277" t="n"/>
      <c r="V586" s="1297" t="n"/>
      <c r="W586" s="1277" t="n"/>
      <c r="X586" s="1277" t="n"/>
      <c r="Y586" s="1277" t="n"/>
      <c r="Z586" s="1277" t="n"/>
      <c r="AA586" s="1297" t="n"/>
      <c r="AB586" s="1277" t="n"/>
      <c r="AC586" s="1277" t="n"/>
      <c r="AD586" s="1277" t="n"/>
      <c r="AE586" s="1280">
        <f>AF586</f>
        <v/>
      </c>
      <c r="AF586" s="1297" t="n"/>
      <c r="AG586" s="1277" t="n"/>
      <c r="AH586" s="1277" t="n"/>
      <c r="AI586" s="1277" t="n"/>
      <c r="AJ586" s="1277" t="n"/>
      <c r="AK586" s="1297" t="n"/>
      <c r="AL586" s="1277" t="n"/>
      <c r="AM586" s="1277" t="n"/>
      <c r="AN586" s="1277" t="n"/>
      <c r="AO586" s="1280">
        <f>AP586</f>
        <v/>
      </c>
      <c r="AP586" s="1297" t="n"/>
      <c r="AQ586" s="1277" t="n"/>
      <c r="AR586" s="1277" t="n"/>
      <c r="AS586" s="1298" t="n">
        <v>89862.181</v>
      </c>
      <c r="AT586" s="1280">
        <f>AU586</f>
        <v/>
      </c>
      <c r="AU586" s="1299" t="n">
        <v>154085.985</v>
      </c>
      <c r="AV586" s="1277" t="n"/>
      <c r="AW586" s="1277" t="n"/>
      <c r="AX586" s="1277" t="n"/>
      <c r="AY586" s="1280">
        <f>AZ586</f>
        <v/>
      </c>
      <c r="AZ586" s="1297" t="n"/>
      <c r="BA586" s="1277" t="n"/>
      <c r="BB586" s="1277" t="n"/>
      <c r="BC586" s="1277" t="n"/>
      <c r="BD586" s="1280">
        <f>BE586</f>
        <v/>
      </c>
      <c r="BE586" s="1297" t="n"/>
      <c r="BF586" s="1277" t="n"/>
      <c r="BG586" s="1277" t="n"/>
      <c r="BH586" s="1277" t="n"/>
      <c r="BI586" s="1280">
        <f>BJ586</f>
        <v/>
      </c>
      <c r="BJ586" s="1297" t="n"/>
      <c r="BK586" s="1277" t="n"/>
      <c r="BL586" s="1277" t="n"/>
      <c r="BM586" s="1277" t="n"/>
      <c r="BN586" s="1280">
        <f>BO586</f>
        <v/>
      </c>
      <c r="BO586" s="1645" t="n">
        <v>-181729</v>
      </c>
      <c r="BP586" s="1277" t="n"/>
      <c r="BQ586" s="1277" t="n"/>
      <c r="BR586" s="1277" t="n"/>
      <c r="BS586" s="1277" t="n"/>
      <c r="BT586" s="1297" t="n"/>
      <c r="BU586" s="1277" t="n"/>
      <c r="BV586" s="1277" t="n"/>
      <c r="BW586" s="1277" t="n"/>
      <c r="BX586" s="1277" t="n"/>
      <c r="BY586" s="1297" t="n"/>
      <c r="BZ586" s="1297" t="n"/>
      <c r="CA586" s="1297" t="n"/>
      <c r="CB586" s="1297" t="n"/>
      <c r="CC586" s="1280" t="n"/>
    </row>
    <row r="587" hidden="1" outlineLevel="1" ht="14.4" customFormat="1" customHeight="1" s="1275">
      <c r="A587" s="1460" t="inlineStr">
        <is>
          <t>Income taxes paid</t>
        </is>
      </c>
      <c r="B587" s="1389" t="n"/>
      <c r="C587" s="1364" t="n"/>
      <c r="D587" s="1364" t="n"/>
      <c r="E587" s="1364" t="n"/>
      <c r="F587" s="1390" t="n">
        <v>-11312.039</v>
      </c>
      <c r="G587" s="1390" t="n">
        <v>-14463.069</v>
      </c>
      <c r="H587" s="1391" t="n">
        <v>-179.23</v>
      </c>
      <c r="I587" s="1391" t="n">
        <v>-22602.632</v>
      </c>
      <c r="J587" s="1391" t="n">
        <v>-29848.815</v>
      </c>
      <c r="K587" s="1464">
        <f>L587</f>
        <v/>
      </c>
      <c r="L587" s="1390" t="n">
        <v>-29918.099</v>
      </c>
      <c r="M587" s="1391" t="n">
        <v>-118.496</v>
      </c>
      <c r="N587" s="1391" t="n">
        <v>-26518.415</v>
      </c>
      <c r="O587" s="1391" t="n">
        <v>-40821.123</v>
      </c>
      <c r="P587" s="1464">
        <f>Q587</f>
        <v/>
      </c>
      <c r="Q587" s="1390" t="n">
        <v>-40943.357</v>
      </c>
      <c r="R587" s="1391" t="n">
        <v>-142.092</v>
      </c>
      <c r="S587" s="1391" t="n">
        <v>-30444.686</v>
      </c>
      <c r="T587" s="1391" t="n">
        <v>-45887.694</v>
      </c>
      <c r="U587" s="1464">
        <f>V587</f>
        <v/>
      </c>
      <c r="V587" s="1390" t="n">
        <v>-45943.301</v>
      </c>
      <c r="W587" s="1391" t="n">
        <v>-112.064</v>
      </c>
      <c r="X587" s="1391" t="n">
        <v>-38899.186</v>
      </c>
      <c r="Y587" s="1391" t="n">
        <v>-63351.167</v>
      </c>
      <c r="Z587" s="1464">
        <f>AA587</f>
        <v/>
      </c>
      <c r="AA587" s="1390" t="n">
        <v>-63620.382</v>
      </c>
      <c r="AB587" s="1391" t="n">
        <v>-380.297</v>
      </c>
      <c r="AC587" s="1391" t="n">
        <v>-31709.079</v>
      </c>
      <c r="AD587" s="1391" t="n">
        <v>-32088.012</v>
      </c>
      <c r="AE587" s="1464">
        <f>AF587</f>
        <v/>
      </c>
      <c r="AF587" s="1390" t="n">
        <v>-45382.523</v>
      </c>
      <c r="AG587" s="1391" t="n">
        <v>-237.56</v>
      </c>
      <c r="AH587" s="1391" t="n">
        <v>-37827.811</v>
      </c>
      <c r="AI587" s="1391" t="n">
        <v>-37969.958</v>
      </c>
      <c r="AJ587" s="1464">
        <f>AK587</f>
        <v/>
      </c>
      <c r="AK587" s="1299" t="n">
        <v>-52044.071</v>
      </c>
      <c r="AL587" s="1391" t="n">
        <v>-1378.579</v>
      </c>
      <c r="AM587" s="1391" t="n">
        <v>-32543.083</v>
      </c>
      <c r="AN587" s="1391" t="n">
        <v>-50897.763</v>
      </c>
      <c r="AO587" s="1280">
        <f>AP587</f>
        <v/>
      </c>
      <c r="AP587" s="1299" t="n">
        <v>-51362.365</v>
      </c>
      <c r="AQ587" s="1391" t="n">
        <v>-402.085</v>
      </c>
      <c r="AR587" s="1391" t="n">
        <v>-53975.304</v>
      </c>
      <c r="AS587" s="1391" t="n">
        <v>-83340.473</v>
      </c>
      <c r="AT587" s="1280">
        <f>AU587</f>
        <v/>
      </c>
      <c r="AU587" s="1299" t="n">
        <v>-83497.851</v>
      </c>
      <c r="AV587" s="1391" t="n">
        <v>-642.004</v>
      </c>
      <c r="AW587" s="1391" t="n">
        <v>-60102.845</v>
      </c>
      <c r="AX587" s="1391" t="n">
        <v>-86473.728</v>
      </c>
      <c r="AY587" s="1280">
        <f>AZ587</f>
        <v/>
      </c>
      <c r="AZ587" s="1299" t="n">
        <v>-86561.247</v>
      </c>
      <c r="BA587" s="1391" t="n">
        <v>-686.489</v>
      </c>
      <c r="BB587" s="1391" t="n">
        <v>-120833.306</v>
      </c>
      <c r="BC587" s="1391" t="n">
        <v>-122307.435</v>
      </c>
      <c r="BD587" s="1280">
        <f>BE587</f>
        <v/>
      </c>
      <c r="BE587" s="1299" t="n">
        <v>-159875.065</v>
      </c>
      <c r="BF587" s="1391" t="n">
        <v>-1051.225</v>
      </c>
      <c r="BG587" s="1391" t="n">
        <v>-89154.446</v>
      </c>
      <c r="BH587" s="1298" t="n">
        <v>-182449.523</v>
      </c>
      <c r="BI587" s="1280">
        <f>BJ587</f>
        <v/>
      </c>
      <c r="BJ587" s="1299" t="n">
        <v>-183640.119</v>
      </c>
      <c r="BK587" s="1391" t="n">
        <v>-1537.277</v>
      </c>
      <c r="BL587" s="1391" t="n">
        <v>-128883.523</v>
      </c>
      <c r="BM587" s="1298" t="n">
        <v>-266149.82</v>
      </c>
      <c r="BN587" s="1280">
        <f>BO587</f>
        <v/>
      </c>
      <c r="BO587" s="1645" t="n">
        <v>-267557</v>
      </c>
      <c r="BP587" s="1365" t="n"/>
      <c r="BQ587" s="1365" t="n"/>
      <c r="BR587" s="1365" t="n"/>
      <c r="BS587" s="1365" t="n"/>
      <c r="BT587" s="1364" t="n"/>
      <c r="BU587" s="1365" t="n"/>
      <c r="BV587" s="1365" t="n"/>
      <c r="BW587" s="1365" t="n"/>
      <c r="BX587" s="1365" t="n"/>
      <c r="BY587" s="1364" t="n"/>
      <c r="BZ587" s="1364" t="n"/>
      <c r="CA587" s="1364" t="n"/>
      <c r="CB587" s="1364" t="n"/>
      <c r="CC587" s="1280" t="n"/>
    </row>
    <row r="588" hidden="1" outlineLevel="1" ht="14.4" customFormat="1" customHeight="1" s="1323">
      <c r="A588" s="1324" t="inlineStr">
        <is>
          <t>Net CFO</t>
        </is>
      </c>
      <c r="B588" s="1393" t="n"/>
      <c r="C588" s="1329">
        <f>SUM(C566:C587)</f>
        <v/>
      </c>
      <c r="D588" s="1329">
        <f>SUM(D566:D587)</f>
        <v/>
      </c>
      <c r="E588" s="1329">
        <f>SUM(E566:E587)</f>
        <v/>
      </c>
      <c r="F588" s="1329">
        <f>SUM(F566:F587)</f>
        <v/>
      </c>
      <c r="G588" s="1329">
        <f>SUM(G566:G587)</f>
        <v/>
      </c>
      <c r="H588" s="1328">
        <f>SUM(H566:H587)</f>
        <v/>
      </c>
      <c r="I588" s="1328">
        <f>SUM(I566:I587)</f>
        <v/>
      </c>
      <c r="J588" s="1328">
        <f>SUM(J566:J587)</f>
        <v/>
      </c>
      <c r="K588" s="1328">
        <f>SUM(K566:K587)</f>
        <v/>
      </c>
      <c r="L588" s="1329">
        <f>SUM(L566:L587)</f>
        <v/>
      </c>
      <c r="M588" s="1328">
        <f>SUM(M566:M587)</f>
        <v/>
      </c>
      <c r="N588" s="1328">
        <f>SUM(N566:N587)</f>
        <v/>
      </c>
      <c r="O588" s="1328">
        <f>SUM(O566:O587)</f>
        <v/>
      </c>
      <c r="P588" s="1328">
        <f>SUM(P566:P587)</f>
        <v/>
      </c>
      <c r="Q588" s="1329">
        <f>SUM(Q566:Q587)</f>
        <v/>
      </c>
      <c r="R588" s="1328">
        <f>SUM(R566:R587)</f>
        <v/>
      </c>
      <c r="S588" s="1328">
        <f>SUM(S566:S587)</f>
        <v/>
      </c>
      <c r="T588" s="1328">
        <f>SUM(T566:T587)</f>
        <v/>
      </c>
      <c r="U588" s="1328">
        <f>SUM(U566:U587)</f>
        <v/>
      </c>
      <c r="V588" s="1329">
        <f>SUM(V566:V587)</f>
        <v/>
      </c>
      <c r="W588" s="1328">
        <f>SUM(W566:W587)</f>
        <v/>
      </c>
      <c r="X588" s="1328">
        <f>SUM(X566:X587)</f>
        <v/>
      </c>
      <c r="Y588" s="1328">
        <f>SUM(Y566:Y587)</f>
        <v/>
      </c>
      <c r="Z588" s="1328">
        <f>SUM(Z566:Z587)</f>
        <v/>
      </c>
      <c r="AA588" s="1329">
        <f>SUM(AA566:AA587)</f>
        <v/>
      </c>
      <c r="AB588" s="1328">
        <f>SUM(AB566:AB587)</f>
        <v/>
      </c>
      <c r="AC588" s="1328">
        <f>SUM(AC566:AC587)</f>
        <v/>
      </c>
      <c r="AD588" s="1328">
        <f>SUM(AD566:AD587)</f>
        <v/>
      </c>
      <c r="AE588" s="1328">
        <f>SUM(AE566:AE587)</f>
        <v/>
      </c>
      <c r="AF588" s="1329">
        <f>SUM(AF566:AF587)</f>
        <v/>
      </c>
      <c r="AG588" s="1328">
        <f>SUM(AG566:AG587)</f>
        <v/>
      </c>
      <c r="AH588" s="1328">
        <f>SUM(AH566:AH587)</f>
        <v/>
      </c>
      <c r="AI588" s="1328">
        <f>SUM(AI566:AI587)</f>
        <v/>
      </c>
      <c r="AJ588" s="1328">
        <f>SUM(AJ566:AJ587)</f>
        <v/>
      </c>
      <c r="AK588" s="1329">
        <f>SUM(AK566:AK587)</f>
        <v/>
      </c>
      <c r="AL588" s="1328">
        <f>SUM(AL566:AL587)</f>
        <v/>
      </c>
      <c r="AM588" s="1328">
        <f>SUM(AM566:AM587)</f>
        <v/>
      </c>
      <c r="AN588" s="1328">
        <f>SUM(AN566:AN587)</f>
        <v/>
      </c>
      <c r="AO588" s="1328">
        <f>SUM(AO566:AO587)</f>
        <v/>
      </c>
      <c r="AP588" s="1329">
        <f>SUM(AP566:AP587)</f>
        <v/>
      </c>
      <c r="AQ588" s="1328">
        <f>SUM(AQ566:AQ587)</f>
        <v/>
      </c>
      <c r="AR588" s="1328">
        <f>SUM(AR566:AR587)</f>
        <v/>
      </c>
      <c r="AS588" s="1328">
        <f>SUM(AS566:AS587)</f>
        <v/>
      </c>
      <c r="AT588" s="1328">
        <f>SUM(AT566:AT587)</f>
        <v/>
      </c>
      <c r="AU588" s="1329">
        <f>SUM(AU566:AU587)</f>
        <v/>
      </c>
      <c r="AV588" s="1328">
        <f>SUM(AV566:AV587)</f>
        <v/>
      </c>
      <c r="AW588" s="1328">
        <f>SUM(AW566:AW587)</f>
        <v/>
      </c>
      <c r="AX588" s="1328">
        <f>SUM(AX566:AX587)</f>
        <v/>
      </c>
      <c r="AY588" s="1328">
        <f>SUM(AY566:AY587)</f>
        <v/>
      </c>
      <c r="AZ588" s="1329">
        <f>SUM(AZ566:AZ587)</f>
        <v/>
      </c>
      <c r="BA588" s="1328">
        <f>SUM(BA566:BA587)</f>
        <v/>
      </c>
      <c r="BB588" s="1328">
        <f>SUM(BB566:BB587)</f>
        <v/>
      </c>
      <c r="BC588" s="1327">
        <f>SUM(BC566:BC587)</f>
        <v/>
      </c>
      <c r="BD588" s="1328">
        <f>SUM(BD566:BD587)</f>
        <v/>
      </c>
      <c r="BE588" s="1329">
        <f>SUM(BE566:BE587)</f>
        <v/>
      </c>
      <c r="BF588" s="1328">
        <f>SUM(BF566:BF587)</f>
        <v/>
      </c>
      <c r="BG588" s="1328">
        <f>SUM(BG566:BG587)</f>
        <v/>
      </c>
      <c r="BH588" s="1327">
        <f>SUM(BH566:BH587)</f>
        <v/>
      </c>
      <c r="BI588" s="1328">
        <f>SUM(BI566:BI587)</f>
        <v/>
      </c>
      <c r="BJ588" s="1329">
        <f>SUM(BJ566:BJ587)</f>
        <v/>
      </c>
      <c r="BK588" s="1328">
        <f>SUM(BK566:BK587)</f>
        <v/>
      </c>
      <c r="BL588" s="1328">
        <f>SUM(BL566:BL587)</f>
        <v/>
      </c>
      <c r="BM588" s="1327">
        <f>SUM(BM566:BM587)</f>
        <v/>
      </c>
      <c r="BN588" s="1328">
        <f>SUM(BN566:BN587)</f>
        <v/>
      </c>
      <c r="BO588" s="1330">
        <f>SUM(BO566:BO587)</f>
        <v/>
      </c>
      <c r="BP588" s="1327" t="n"/>
      <c r="BQ588" s="1327" t="n"/>
      <c r="BR588" s="1327" t="n"/>
      <c r="BS588" s="1327" t="n"/>
      <c r="BT588" s="1326" t="n"/>
      <c r="BU588" s="1327" t="n"/>
      <c r="BV588" s="1327" t="n"/>
      <c r="BW588" s="1327" t="n"/>
      <c r="BX588" s="1327" t="n"/>
      <c r="BY588" s="1326" t="n"/>
      <c r="BZ588" s="1326" t="n"/>
      <c r="CA588" s="1326" t="n"/>
      <c r="CB588" s="1326" t="n"/>
      <c r="CC588" s="1331" t="n"/>
    </row>
    <row r="589" hidden="1" outlineLevel="1" ht="14.4" customFormat="1" customHeight="1" s="1323">
      <c r="A589" s="1344" t="n"/>
      <c r="B589" s="1394" t="n"/>
      <c r="C589" s="1345" t="n"/>
      <c r="D589" s="1345" t="n"/>
      <c r="E589" s="1345" t="n"/>
      <c r="F589" s="1345" t="n"/>
      <c r="G589" s="1345" t="n"/>
      <c r="H589" s="1346" t="n"/>
      <c r="I589" s="1346" t="n"/>
      <c r="J589" s="1346" t="n"/>
      <c r="K589" s="1346" t="n"/>
      <c r="L589" s="1345" t="n"/>
      <c r="M589" s="1346" t="n"/>
      <c r="N589" s="1346" t="n"/>
      <c r="O589" s="1346" t="n"/>
      <c r="P589" s="1346" t="n"/>
      <c r="Q589" s="1345" t="n"/>
      <c r="R589" s="1346" t="n"/>
      <c r="S589" s="1346" t="n"/>
      <c r="T589" s="1346" t="n"/>
      <c r="U589" s="1346" t="n"/>
      <c r="V589" s="1345" t="n"/>
      <c r="W589" s="1346" t="n"/>
      <c r="X589" s="1346" t="n"/>
      <c r="Y589" s="1346" t="n"/>
      <c r="Z589" s="1346" t="n"/>
      <c r="AA589" s="1345" t="n"/>
      <c r="AB589" s="1346" t="n"/>
      <c r="AC589" s="1346" t="n"/>
      <c r="AD589" s="1346" t="n"/>
      <c r="AE589" s="1346" t="n"/>
      <c r="AF589" s="1345" t="n"/>
      <c r="AG589" s="1346" t="n"/>
      <c r="AH589" s="1346" t="n"/>
      <c r="AI589" s="1346" t="n"/>
      <c r="AJ589" s="1346" t="n"/>
      <c r="AK589" s="1345" t="n"/>
      <c r="AL589" s="1346" t="n"/>
      <c r="AM589" s="1346" t="n"/>
      <c r="AN589" s="1346" t="n"/>
      <c r="AO589" s="1346" t="n"/>
      <c r="AP589" s="1345" t="n"/>
      <c r="AQ589" s="1346" t="n"/>
      <c r="AR589" s="1346" t="n"/>
      <c r="AS589" s="1346" t="n"/>
      <c r="AT589" s="1346" t="n"/>
      <c r="AU589" s="1345" t="n"/>
      <c r="AV589" s="1346" t="n"/>
      <c r="AW589" s="1346" t="n"/>
      <c r="AX589" s="1346" t="n"/>
      <c r="AY589" s="1346" t="n"/>
      <c r="AZ589" s="1345" t="n"/>
      <c r="BA589" s="1346" t="n"/>
      <c r="BB589" s="1346" t="n"/>
      <c r="BC589" s="1346" t="n"/>
      <c r="BD589" s="1346" t="n"/>
      <c r="BE589" s="1345" t="n"/>
      <c r="BF589" s="1346" t="n"/>
      <c r="BG589" s="1346" t="n"/>
      <c r="BH589" s="1346" t="n"/>
      <c r="BI589" s="1346" t="n"/>
      <c r="BJ589" s="1345" t="n"/>
      <c r="BK589" s="1346" t="n"/>
      <c r="BL589" s="1346" t="n"/>
      <c r="BM589" s="1346" t="n"/>
      <c r="BN589" s="1346" t="n"/>
      <c r="BO589" s="1347" t="n"/>
      <c r="BP589" s="1346" t="n"/>
      <c r="BQ589" s="1346" t="n"/>
      <c r="BR589" s="1346" t="n"/>
      <c r="BS589" s="1346" t="n"/>
      <c r="BT589" s="1297" t="n"/>
      <c r="BU589" s="1346" t="n"/>
      <c r="BV589" s="1346" t="n"/>
      <c r="BW589" s="1346" t="n"/>
      <c r="BX589" s="1346" t="n"/>
      <c r="BY589" s="1297" t="n"/>
      <c r="BZ589" s="1297" t="n"/>
      <c r="CA589" s="1297" t="n"/>
      <c r="CB589" s="1297" t="n"/>
      <c r="CC589" s="1331" t="n"/>
    </row>
    <row r="590" hidden="1" outlineLevel="1" ht="14.4" customFormat="1" customHeight="1" s="1323">
      <c r="A590" s="1577" t="inlineStr">
        <is>
          <t>CFI</t>
        </is>
      </c>
      <c r="B590" s="1394" t="n"/>
      <c r="C590" s="1345" t="n"/>
      <c r="D590" s="1345" t="n"/>
      <c r="E590" s="1345" t="n"/>
      <c r="F590" s="1345" t="n"/>
      <c r="G590" s="1345" t="n"/>
      <c r="H590" s="1346" t="n"/>
      <c r="I590" s="1346" t="n"/>
      <c r="J590" s="1346" t="n"/>
      <c r="K590" s="1346" t="n"/>
      <c r="L590" s="1345" t="n"/>
      <c r="M590" s="1346" t="n"/>
      <c r="N590" s="1346" t="n"/>
      <c r="O590" s="1346" t="n"/>
      <c r="P590" s="1346" t="n"/>
      <c r="Q590" s="1345" t="n"/>
      <c r="R590" s="1346" t="n"/>
      <c r="S590" s="1346" t="n"/>
      <c r="T590" s="1346" t="n"/>
      <c r="U590" s="1346" t="n"/>
      <c r="V590" s="1345" t="n"/>
      <c r="W590" s="1346" t="n"/>
      <c r="X590" s="1346" t="n"/>
      <c r="Y590" s="1346" t="n"/>
      <c r="Z590" s="1346" t="n"/>
      <c r="AA590" s="1345" t="n"/>
      <c r="AB590" s="1346" t="n"/>
      <c r="AC590" s="1346" t="n"/>
      <c r="AD590" s="1346" t="n"/>
      <c r="AE590" s="1346" t="n"/>
      <c r="AF590" s="1345" t="n"/>
      <c r="AG590" s="1346" t="n"/>
      <c r="AH590" s="1346" t="n"/>
      <c r="AI590" s="1346" t="n"/>
      <c r="AJ590" s="1346" t="n"/>
      <c r="AK590" s="1345" t="n"/>
      <c r="AL590" s="1346" t="n"/>
      <c r="AM590" s="1346" t="n"/>
      <c r="AN590" s="1346" t="n"/>
      <c r="AO590" s="1346" t="n"/>
      <c r="AP590" s="1345" t="n"/>
      <c r="AQ590" s="1346" t="n"/>
      <c r="AR590" s="1346" t="n"/>
      <c r="AS590" s="1346" t="n"/>
      <c r="AT590" s="1346" t="n"/>
      <c r="AU590" s="1345" t="n"/>
      <c r="AV590" s="1346" t="n"/>
      <c r="AW590" s="1346" t="n"/>
      <c r="AX590" s="1346" t="n"/>
      <c r="AY590" s="1346" t="n"/>
      <c r="AZ590" s="1345" t="n"/>
      <c r="BA590" s="1346" t="n"/>
      <c r="BB590" s="1346" t="n"/>
      <c r="BC590" s="1346" t="n"/>
      <c r="BD590" s="1346" t="n"/>
      <c r="BE590" s="1345" t="n"/>
      <c r="BF590" s="1346" t="n"/>
      <c r="BG590" s="1346" t="n"/>
      <c r="BH590" s="1346" t="n"/>
      <c r="BI590" s="1346" t="n"/>
      <c r="BJ590" s="1345" t="n"/>
      <c r="BK590" s="1346" t="n"/>
      <c r="BL590" s="1346" t="n"/>
      <c r="BM590" s="1346" t="n"/>
      <c r="BN590" s="1346" t="n"/>
      <c r="BO590" s="1347" t="n"/>
      <c r="BP590" s="1346" t="n"/>
      <c r="BQ590" s="1346" t="n"/>
      <c r="BR590" s="1346" t="n"/>
      <c r="BS590" s="1346" t="n"/>
      <c r="BT590" s="1297" t="n"/>
      <c r="BU590" s="1346" t="n"/>
      <c r="BV590" s="1346" t="n"/>
      <c r="BW590" s="1346" t="n"/>
      <c r="BX590" s="1346" t="n"/>
      <c r="BY590" s="1297" t="n"/>
      <c r="BZ590" s="1297" t="n"/>
      <c r="CA590" s="1297" t="n"/>
      <c r="CB590" s="1297" t="n"/>
      <c r="CC590" s="1331" t="n"/>
    </row>
    <row r="591" hidden="1" outlineLevel="1" ht="14.4" customFormat="1" customHeight="1" s="1275">
      <c r="A591" s="1295" t="inlineStr">
        <is>
          <t>Acquisition of Available-for-sale financial assets</t>
        </is>
      </c>
      <c r="B591" s="1387" t="n"/>
      <c r="C591" s="1299" t="n">
        <v>-38800.577</v>
      </c>
      <c r="D591" s="1299" t="n">
        <v>-48340.334</v>
      </c>
      <c r="E591" s="1299" t="n">
        <v>-35088.394</v>
      </c>
      <c r="F591" s="1299" t="n">
        <v>-31525.876</v>
      </c>
      <c r="G591" s="1299" t="n">
        <v>-21.303</v>
      </c>
      <c r="H591" s="1298" t="n">
        <v>-5.181</v>
      </c>
      <c r="I591" s="1298" t="n">
        <v>-91.592</v>
      </c>
      <c r="J591" s="1298" t="n">
        <v>-91.405</v>
      </c>
      <c r="K591" s="1280">
        <f>L591</f>
        <v/>
      </c>
      <c r="L591" s="1299" t="n">
        <v>-91.90900000000001</v>
      </c>
      <c r="M591" s="1298" t="n">
        <v>0</v>
      </c>
      <c r="N591" s="1298" t="n">
        <v>-3.628</v>
      </c>
      <c r="O591" s="1298" t="n">
        <v>-3.628</v>
      </c>
      <c r="P591" s="1280">
        <f>Q591</f>
        <v/>
      </c>
      <c r="Q591" s="1299" t="n">
        <v>-13392.33</v>
      </c>
      <c r="R591" s="1298" t="n">
        <v>-11171.713</v>
      </c>
      <c r="S591" s="1298" t="n">
        <v>-28802.391</v>
      </c>
      <c r="T591" s="1298" t="n">
        <v>-51587.356</v>
      </c>
      <c r="U591" s="1280">
        <f>V591</f>
        <v/>
      </c>
      <c r="V591" s="1299" t="n">
        <v>-83275.573</v>
      </c>
      <c r="W591" s="1298" t="n">
        <v>-24675.339</v>
      </c>
      <c r="X591" s="1298" t="n">
        <v>-48350.281</v>
      </c>
      <c r="Y591" s="1298" t="n">
        <v>-66661.656</v>
      </c>
      <c r="Z591" s="1280">
        <f>AA591</f>
        <v/>
      </c>
      <c r="AA591" s="1299" t="n">
        <v>-100510.905</v>
      </c>
      <c r="AB591" s="1277" t="n"/>
      <c r="AC591" s="1277" t="n"/>
      <c r="AD591" s="1277" t="n"/>
      <c r="AE591" s="1280">
        <f>AF591</f>
        <v/>
      </c>
      <c r="AF591" s="1297" t="n"/>
      <c r="AG591" s="1277" t="n"/>
      <c r="AH591" s="1277" t="n"/>
      <c r="AI591" s="1277" t="n"/>
      <c r="AJ591" s="1277" t="n"/>
      <c r="AK591" s="1297" t="n"/>
      <c r="AL591" s="1277" t="n"/>
      <c r="AM591" s="1277" t="n"/>
      <c r="AN591" s="1277" t="n"/>
      <c r="AO591" s="1277" t="n"/>
      <c r="AP591" s="1297" t="n"/>
      <c r="AQ591" s="1277" t="n"/>
      <c r="AR591" s="1277" t="n"/>
      <c r="AS591" s="1277" t="n"/>
      <c r="AT591" s="1277" t="n"/>
      <c r="AU591" s="1297" t="n"/>
      <c r="AV591" s="1277" t="n"/>
      <c r="AW591" s="1277" t="n"/>
      <c r="AX591" s="1277" t="n"/>
      <c r="AY591" s="1277" t="n"/>
      <c r="AZ591" s="1297" t="n"/>
      <c r="BA591" s="1277" t="n"/>
      <c r="BB591" s="1277" t="n"/>
      <c r="BC591" s="1277" t="n"/>
      <c r="BD591" s="1277" t="n"/>
      <c r="BE591" s="1297" t="n"/>
      <c r="BF591" s="1277" t="n"/>
      <c r="BG591" s="1277" t="n"/>
      <c r="BH591" s="1277" t="n"/>
      <c r="BI591" s="1277" t="n"/>
      <c r="BJ591" s="1297" t="n"/>
      <c r="BK591" s="1277" t="n"/>
      <c r="BL591" s="1277" t="n"/>
      <c r="BM591" s="1277" t="n"/>
      <c r="BN591" s="1277" t="n"/>
      <c r="BO591" s="1382" t="n"/>
      <c r="BP591" s="1277" t="n"/>
      <c r="BQ591" s="1277" t="n"/>
      <c r="BR591" s="1277" t="n"/>
      <c r="BS591" s="1277" t="n"/>
      <c r="BT591" s="1297" t="n"/>
      <c r="BU591" s="1277" t="n"/>
      <c r="BV591" s="1277" t="n"/>
      <c r="BW591" s="1277" t="n"/>
      <c r="BX591" s="1277" t="n"/>
      <c r="BY591" s="1297" t="n"/>
      <c r="BZ591" s="1297" t="n"/>
      <c r="CA591" s="1297" t="n"/>
      <c r="CB591" s="1297" t="n"/>
      <c r="CC591" s="1280" t="n"/>
    </row>
    <row r="592" hidden="1" outlineLevel="1" ht="14.4" customFormat="1" customHeight="1" s="1275">
      <c r="A592" s="1295" t="inlineStr">
        <is>
          <t>Acquisition of Held-to-maturity financial assets</t>
        </is>
      </c>
      <c r="B592" s="1387" t="n"/>
      <c r="C592" s="1299" t="n">
        <v>-12224.353</v>
      </c>
      <c r="D592" s="1299" t="n">
        <v>-4101.501</v>
      </c>
      <c r="E592" s="1299" t="n">
        <v>-584.28</v>
      </c>
      <c r="F592" s="1299" t="n">
        <v>0</v>
      </c>
      <c r="G592" s="1299" t="n">
        <v>-1795.949</v>
      </c>
      <c r="H592" s="1298" t="n">
        <v>-1396.723</v>
      </c>
      <c r="I592" s="1298" t="n">
        <v>-1396.723</v>
      </c>
      <c r="J592" s="1298" t="n">
        <v>-1396.723</v>
      </c>
      <c r="K592" s="1280">
        <f>L592</f>
        <v/>
      </c>
      <c r="L592" s="1299" t="n">
        <v>-5882.316</v>
      </c>
      <c r="M592" s="1298" t="n">
        <v>-9372.767</v>
      </c>
      <c r="N592" s="1298" t="n">
        <v>-11766.723</v>
      </c>
      <c r="O592" s="1298" t="n">
        <v>-19301.111</v>
      </c>
      <c r="P592" s="1280">
        <f>Q592</f>
        <v/>
      </c>
      <c r="Q592" s="1299" t="n">
        <v>-28181.915</v>
      </c>
      <c r="R592" s="1298" t="n">
        <v>-12439.373</v>
      </c>
      <c r="S592" s="1298" t="n">
        <v>-23706.522</v>
      </c>
      <c r="T592" s="1298" t="n">
        <v>-25112.3</v>
      </c>
      <c r="U592" s="1280">
        <f>V592</f>
        <v/>
      </c>
      <c r="V592" s="1299" t="n">
        <v>-33625.353</v>
      </c>
      <c r="W592" s="1298" t="n">
        <v>-1695.771</v>
      </c>
      <c r="X592" s="1298" t="n">
        <v>-1695.771</v>
      </c>
      <c r="Y592" s="1298" t="n">
        <v>-1695.771</v>
      </c>
      <c r="Z592" s="1280">
        <f>AA592</f>
        <v/>
      </c>
      <c r="AA592" s="1299" t="n">
        <v>-1997.076</v>
      </c>
      <c r="AB592" s="1277" t="n"/>
      <c r="AC592" s="1277" t="n"/>
      <c r="AD592" s="1277" t="n"/>
      <c r="AE592" s="1280">
        <f>AF592</f>
        <v/>
      </c>
      <c r="AF592" s="1297" t="n"/>
      <c r="AG592" s="1277" t="n"/>
      <c r="AH592" s="1277" t="n"/>
      <c r="AI592" s="1277" t="n"/>
      <c r="AJ592" s="1277" t="n"/>
      <c r="AK592" s="1297" t="n"/>
      <c r="AL592" s="1277" t="n"/>
      <c r="AM592" s="1277" t="n"/>
      <c r="AN592" s="1277" t="n"/>
      <c r="AO592" s="1277" t="n"/>
      <c r="AP592" s="1297" t="n"/>
      <c r="AQ592" s="1277" t="n"/>
      <c r="AR592" s="1277" t="n"/>
      <c r="AS592" s="1277" t="n"/>
      <c r="AT592" s="1277" t="n"/>
      <c r="AU592" s="1297" t="n"/>
      <c r="AV592" s="1277" t="n"/>
      <c r="AW592" s="1277" t="n"/>
      <c r="AX592" s="1277" t="n"/>
      <c r="AY592" s="1277" t="n"/>
      <c r="AZ592" s="1297" t="n"/>
      <c r="BA592" s="1277" t="n"/>
      <c r="BB592" s="1277" t="n"/>
      <c r="BC592" s="1277" t="n"/>
      <c r="BD592" s="1277" t="n"/>
      <c r="BE592" s="1297" t="n"/>
      <c r="BF592" s="1277" t="n"/>
      <c r="BG592" s="1277" t="n"/>
      <c r="BH592" s="1277" t="n"/>
      <c r="BI592" s="1277" t="n"/>
      <c r="BJ592" s="1297" t="n"/>
      <c r="BK592" s="1277" t="n"/>
      <c r="BL592" s="1277" t="n"/>
      <c r="BM592" s="1277" t="n"/>
      <c r="BN592" s="1277" t="n"/>
      <c r="BO592" s="1382" t="n"/>
      <c r="BP592" s="1277" t="n"/>
      <c r="BQ592" s="1277" t="n"/>
      <c r="BR592" s="1277" t="n"/>
      <c r="BS592" s="1277" t="n"/>
      <c r="BT592" s="1297" t="n"/>
      <c r="BU592" s="1277" t="n"/>
      <c r="BV592" s="1277" t="n"/>
      <c r="BW592" s="1277" t="n"/>
      <c r="BX592" s="1277" t="n"/>
      <c r="BY592" s="1297" t="n"/>
      <c r="BZ592" s="1297" t="n"/>
      <c r="CA592" s="1297" t="n"/>
      <c r="CB592" s="1297" t="n"/>
      <c r="CC592" s="1280" t="n"/>
    </row>
    <row r="593" hidden="1" outlineLevel="1" ht="14.4" customFormat="1" customHeight="1" s="1275">
      <c r="A593" s="1295" t="inlineStr">
        <is>
          <t>Acquisition of Investments accounted for using equity method</t>
        </is>
      </c>
      <c r="B593" s="1387" t="n"/>
      <c r="C593" s="1299" t="n">
        <v>-42.947</v>
      </c>
      <c r="D593" s="1299" t="n">
        <v>-6242.35</v>
      </c>
      <c r="E593" s="1297" t="n"/>
      <c r="F593" s="1297" t="n"/>
      <c r="G593" s="1297" t="n"/>
      <c r="H593" s="1277" t="n"/>
      <c r="I593" s="1277" t="n"/>
      <c r="J593" s="1277" t="n"/>
      <c r="K593" s="1280">
        <f>L593</f>
        <v/>
      </c>
      <c r="L593" s="1297" t="n"/>
      <c r="M593" s="1277" t="n"/>
      <c r="N593" s="1277" t="n"/>
      <c r="O593" s="1277" t="n"/>
      <c r="P593" s="1280">
        <f>Q593</f>
        <v/>
      </c>
      <c r="Q593" s="1297" t="n"/>
      <c r="R593" s="1277" t="n"/>
      <c r="S593" s="1277" t="n"/>
      <c r="T593" s="1277" t="n"/>
      <c r="U593" s="1280">
        <f>V593</f>
        <v/>
      </c>
      <c r="V593" s="1297" t="n"/>
      <c r="W593" s="1277" t="n"/>
      <c r="X593" s="1277" t="n"/>
      <c r="Y593" s="1277" t="n"/>
      <c r="Z593" s="1280">
        <f>AA593</f>
        <v/>
      </c>
      <c r="AA593" s="1297" t="n"/>
      <c r="AB593" s="1277" t="n"/>
      <c r="AC593" s="1277" t="n"/>
      <c r="AD593" s="1277" t="n"/>
      <c r="AE593" s="1280">
        <f>AF593</f>
        <v/>
      </c>
      <c r="AF593" s="1297" t="n"/>
      <c r="AG593" s="1277" t="n"/>
      <c r="AH593" s="1277" t="n"/>
      <c r="AI593" s="1277" t="n"/>
      <c r="AJ593" s="1277" t="n"/>
      <c r="AK593" s="1297" t="n"/>
      <c r="AL593" s="1277" t="n"/>
      <c r="AM593" s="1277" t="n"/>
      <c r="AN593" s="1277" t="n"/>
      <c r="AO593" s="1277" t="n"/>
      <c r="AP593" s="1297" t="n"/>
      <c r="AQ593" s="1277" t="n"/>
      <c r="AR593" s="1277" t="n"/>
      <c r="AS593" s="1277" t="n"/>
      <c r="AT593" s="1277" t="n"/>
      <c r="AU593" s="1297" t="n"/>
      <c r="AV593" s="1277" t="n"/>
      <c r="AW593" s="1277" t="n"/>
      <c r="AX593" s="1277" t="n"/>
      <c r="AY593" s="1277" t="n"/>
      <c r="AZ593" s="1297" t="n"/>
      <c r="BA593" s="1277" t="n"/>
      <c r="BB593" s="1277" t="n"/>
      <c r="BC593" s="1277" t="n"/>
      <c r="BD593" s="1277" t="n"/>
      <c r="BE593" s="1297" t="n"/>
      <c r="BF593" s="1277" t="n"/>
      <c r="BG593" s="1277" t="n"/>
      <c r="BH593" s="1277" t="n"/>
      <c r="BI593" s="1277" t="n"/>
      <c r="BJ593" s="1297" t="n"/>
      <c r="BK593" s="1277" t="n"/>
      <c r="BL593" s="1277" t="n"/>
      <c r="BM593" s="1277" t="n"/>
      <c r="BN593" s="1277" t="n"/>
      <c r="BO593" s="1382" t="n"/>
      <c r="BP593" s="1277" t="n"/>
      <c r="BQ593" s="1277" t="n"/>
      <c r="BR593" s="1277" t="n"/>
      <c r="BS593" s="1277" t="n"/>
      <c r="BT593" s="1297" t="n"/>
      <c r="BU593" s="1277" t="n"/>
      <c r="BV593" s="1277" t="n"/>
      <c r="BW593" s="1277" t="n"/>
      <c r="BX593" s="1277" t="n"/>
      <c r="BY593" s="1297" t="n"/>
      <c r="BZ593" s="1297" t="n"/>
      <c r="CA593" s="1297" t="n"/>
      <c r="CB593" s="1297" t="n"/>
      <c r="CC593" s="1280" t="n"/>
    </row>
    <row r="594" hidden="1" outlineLevel="1" ht="14.4" customFormat="1" customHeight="1" s="1275">
      <c r="A594" s="1295" t="inlineStr">
        <is>
          <t>Acquisition of Financial assets carried at cost</t>
        </is>
      </c>
      <c r="B594" s="1387" t="n"/>
      <c r="C594" s="1299" t="n">
        <v>-321.195</v>
      </c>
      <c r="D594" s="1299" t="n">
        <v>-1812.928</v>
      </c>
      <c r="E594" s="1299" t="n">
        <v>-403.908</v>
      </c>
      <c r="F594" s="1299" t="n">
        <v>-56.512</v>
      </c>
      <c r="G594" s="1299" t="n">
        <v>-27.165</v>
      </c>
      <c r="H594" s="1298" t="n">
        <v>-3.782</v>
      </c>
      <c r="I594" s="1298" t="n">
        <v>-3.773</v>
      </c>
      <c r="J594" s="1298" t="n">
        <v>-3.765</v>
      </c>
      <c r="K594" s="1280">
        <f>L594</f>
        <v/>
      </c>
      <c r="L594" s="1299" t="n">
        <v>-23.151</v>
      </c>
      <c r="M594" s="1298" t="n">
        <v>-31.533</v>
      </c>
      <c r="N594" s="1298" t="n">
        <v>-87.321</v>
      </c>
      <c r="O594" s="1298" t="n">
        <v>-87.97</v>
      </c>
      <c r="P594" s="1280">
        <f>Q594</f>
        <v/>
      </c>
      <c r="Q594" s="1299" t="n">
        <v>-2586.169</v>
      </c>
      <c r="R594" s="1298" t="n">
        <v>-187.378</v>
      </c>
      <c r="S594" s="1298" t="n">
        <v>-218.762</v>
      </c>
      <c r="T594" s="1298" t="n">
        <v>-240.743</v>
      </c>
      <c r="U594" s="1280">
        <f>V594</f>
        <v/>
      </c>
      <c r="V594" s="1299" t="n">
        <v>-533.745</v>
      </c>
      <c r="W594" s="1298" t="n">
        <v>-202.032</v>
      </c>
      <c r="X594" s="1298" t="n">
        <v>-475.184</v>
      </c>
      <c r="Y594" s="1298" t="n">
        <v>-1190.157</v>
      </c>
      <c r="Z594" s="1280">
        <f>AA594</f>
        <v/>
      </c>
      <c r="AA594" s="1299" t="n">
        <v>-1313.124</v>
      </c>
      <c r="AB594" s="1277" t="n"/>
      <c r="AC594" s="1277" t="n"/>
      <c r="AD594" s="1277" t="n"/>
      <c r="AE594" s="1280">
        <f>AF594</f>
        <v/>
      </c>
      <c r="AF594" s="1299" t="n">
        <v>-2294.098</v>
      </c>
      <c r="AG594" s="1277" t="n"/>
      <c r="AH594" s="1277" t="n"/>
      <c r="AI594" s="1277" t="n"/>
      <c r="AJ594" s="1277" t="n"/>
      <c r="AK594" s="1297" t="n"/>
      <c r="AL594" s="1277" t="n"/>
      <c r="AM594" s="1277" t="n"/>
      <c r="AN594" s="1277" t="n"/>
      <c r="AO594" s="1277" t="n"/>
      <c r="AP594" s="1297" t="n"/>
      <c r="AQ594" s="1277" t="n"/>
      <c r="AR594" s="1277" t="n"/>
      <c r="AS594" s="1277" t="n"/>
      <c r="AT594" s="1277" t="n"/>
      <c r="AU594" s="1297" t="n"/>
      <c r="AV594" s="1277" t="n"/>
      <c r="AW594" s="1277" t="n"/>
      <c r="AX594" s="1277" t="n"/>
      <c r="AY594" s="1277" t="n"/>
      <c r="AZ594" s="1297" t="n"/>
      <c r="BA594" s="1277" t="n"/>
      <c r="BB594" s="1277" t="n"/>
      <c r="BC594" s="1277" t="n"/>
      <c r="BD594" s="1277" t="n"/>
      <c r="BE594" s="1297" t="n"/>
      <c r="BF594" s="1277" t="n"/>
      <c r="BG594" s="1277" t="n"/>
      <c r="BH594" s="1277" t="n"/>
      <c r="BI594" s="1277" t="n"/>
      <c r="BJ594" s="1297" t="n"/>
      <c r="BK594" s="1277" t="n"/>
      <c r="BL594" s="1277" t="n"/>
      <c r="BM594" s="1277" t="n"/>
      <c r="BN594" s="1277" t="n"/>
      <c r="BO594" s="1382" t="n"/>
      <c r="BP594" s="1277" t="n"/>
      <c r="BQ594" s="1277" t="n"/>
      <c r="BR594" s="1277" t="n"/>
      <c r="BS594" s="1277" t="n"/>
      <c r="BT594" s="1297" t="n"/>
      <c r="BU594" s="1277" t="n"/>
      <c r="BV594" s="1277" t="n"/>
      <c r="BW594" s="1277" t="n"/>
      <c r="BX594" s="1277" t="n"/>
      <c r="BY594" s="1297" t="n"/>
      <c r="BZ594" s="1297" t="n"/>
      <c r="CA594" s="1297" t="n"/>
      <c r="CB594" s="1297" t="n"/>
      <c r="CC594" s="1280" t="n"/>
    </row>
    <row r="595" hidden="1" outlineLevel="1" ht="14.4" customFormat="1" customHeight="1" s="1275">
      <c r="A595" s="1295" t="inlineStr">
        <is>
          <t>Acquisition of Property, plant and equipment</t>
        </is>
      </c>
      <c r="B595" s="1387" t="n"/>
      <c r="C595" s="1299" t="n">
        <v>-87784.906</v>
      </c>
      <c r="D595" s="1299" t="n">
        <v>-186944.203</v>
      </c>
      <c r="E595" s="1299" t="n">
        <v>-213962.521</v>
      </c>
      <c r="F595" s="1299" t="n">
        <v>-246137.361</v>
      </c>
      <c r="G595" s="1299" t="n">
        <v>-287594.773</v>
      </c>
      <c r="H595" s="1298" t="n">
        <v>-114905.317</v>
      </c>
      <c r="I595" s="1298" t="n">
        <v>-188233.322</v>
      </c>
      <c r="J595" s="1298" t="n">
        <v>-236115.03</v>
      </c>
      <c r="K595" s="1280">
        <f>L595</f>
        <v/>
      </c>
      <c r="L595" s="1299" t="n">
        <v>-288540.028</v>
      </c>
      <c r="M595" s="1298" t="n">
        <v>-48875.682</v>
      </c>
      <c r="N595" s="1298" t="n">
        <v>-102689.656</v>
      </c>
      <c r="O595" s="1298" t="n">
        <v>-172993.344</v>
      </c>
      <c r="P595" s="1280">
        <f>Q595</f>
        <v/>
      </c>
      <c r="Q595" s="1299" t="n">
        <v>-257516.835</v>
      </c>
      <c r="R595" s="1298" t="n">
        <v>-38141.373</v>
      </c>
      <c r="S595" s="1298" t="n">
        <v>-111727.052</v>
      </c>
      <c r="T595" s="1298" t="n">
        <v>-215502.503</v>
      </c>
      <c r="U595" s="1280">
        <f>V595</f>
        <v/>
      </c>
      <c r="V595" s="1299" t="n">
        <v>-328045.27</v>
      </c>
      <c r="W595" s="1298" t="n">
        <v>-102505.595</v>
      </c>
      <c r="X595" s="1298" t="n">
        <v>-207694.057</v>
      </c>
      <c r="Y595" s="1298" t="n">
        <v>-269408.108</v>
      </c>
      <c r="Z595" s="1280">
        <f>AA595</f>
        <v/>
      </c>
      <c r="AA595" s="1299" t="n">
        <v>-330588.188</v>
      </c>
      <c r="AB595" s="1298" t="n">
        <v>-71847.185</v>
      </c>
      <c r="AC595" s="1298" t="n">
        <v>-131528.345</v>
      </c>
      <c r="AD595" s="1298" t="n">
        <v>-201476.971</v>
      </c>
      <c r="AE595" s="1280">
        <f>AF595</f>
        <v/>
      </c>
      <c r="AF595" s="1299" t="n">
        <v>-315581.881</v>
      </c>
      <c r="AG595" s="1298" t="n">
        <v>-75942.118</v>
      </c>
      <c r="AH595" s="1298" t="n">
        <v>-192294.786</v>
      </c>
      <c r="AI595" s="1298" t="n">
        <v>-290412.611</v>
      </c>
      <c r="AJ595" s="1280">
        <f>AK595</f>
        <v/>
      </c>
      <c r="AK595" s="1299" t="n">
        <v>-460422.15</v>
      </c>
      <c r="AL595" s="1298" t="n">
        <v>-192559.626</v>
      </c>
      <c r="AM595" s="1298" t="n">
        <v>-319258.103</v>
      </c>
      <c r="AN595" s="1298" t="n">
        <v>-418563.711</v>
      </c>
      <c r="AO595" s="1280">
        <f>AP595</f>
        <v/>
      </c>
      <c r="AP595" s="1299" t="n">
        <v>-507238.722</v>
      </c>
      <c r="AQ595" s="1298" t="n">
        <v>-248028.725</v>
      </c>
      <c r="AR595" s="1298" t="n">
        <v>-414999.829</v>
      </c>
      <c r="AS595" s="1298" t="n">
        <v>-603639.699</v>
      </c>
      <c r="AT595" s="1280">
        <f>AU595</f>
        <v/>
      </c>
      <c r="AU595" s="1299" t="n">
        <v>-839195.708</v>
      </c>
      <c r="AV595" s="1298" t="n">
        <v>-262134.719</v>
      </c>
      <c r="AW595" s="1298" t="n">
        <v>-479857.668</v>
      </c>
      <c r="AX595" s="1298" t="n">
        <v>-745827.757</v>
      </c>
      <c r="AY595" s="1280">
        <f>AZ595</f>
        <v/>
      </c>
      <c r="AZ595" s="1299" t="n">
        <v>-1082672.13</v>
      </c>
      <c r="BA595" s="1298" t="n">
        <v>-302498.628</v>
      </c>
      <c r="BB595" s="1298" t="n">
        <v>-553032.845</v>
      </c>
      <c r="BC595" s="1298" t="n">
        <v>-779656.605</v>
      </c>
      <c r="BD595" s="1280">
        <f>BE595</f>
        <v/>
      </c>
      <c r="BE595" s="1299" t="n">
        <v>-949816.825</v>
      </c>
      <c r="BF595" s="1298" t="n">
        <v>-181304.802</v>
      </c>
      <c r="BG595" s="1298" t="n">
        <v>-386979.486</v>
      </c>
      <c r="BH595" s="1298" t="n">
        <v>-594058.374</v>
      </c>
      <c r="BI595" s="1280">
        <f>BJ595</f>
        <v/>
      </c>
      <c r="BJ595" s="1299" t="n">
        <v>-956006.536</v>
      </c>
      <c r="BK595" s="1298" t="n">
        <v>-330826.73</v>
      </c>
      <c r="BL595" s="1298" t="n">
        <v>-628052.531</v>
      </c>
      <c r="BM595" s="1298" t="n">
        <v>-915504.525</v>
      </c>
      <c r="BN595" s="1280">
        <f>BO595</f>
        <v/>
      </c>
      <c r="BO595" s="1645" t="n">
        <v>-1272411</v>
      </c>
      <c r="BP595" s="1277" t="n"/>
      <c r="BQ595" s="1277" t="n"/>
      <c r="BR595" s="1277" t="n"/>
      <c r="BS595" s="1277" t="n"/>
      <c r="BT595" s="1297" t="n"/>
      <c r="BU595" s="1277" t="n"/>
      <c r="BV595" s="1277" t="n"/>
      <c r="BW595" s="1277" t="n"/>
      <c r="BX595" s="1277" t="n"/>
      <c r="BY595" s="1297" t="n"/>
      <c r="BZ595" s="1297" t="n"/>
      <c r="CA595" s="1297" t="n"/>
      <c r="CB595" s="1297" t="n"/>
      <c r="CC595" s="1280" t="n"/>
    </row>
    <row r="596" hidden="1" outlineLevel="1" ht="14.4" customFormat="1" customHeight="1" s="1275">
      <c r="A596" s="1384" t="inlineStr">
        <is>
          <t>Acquisition of Intangible assets</t>
        </is>
      </c>
      <c r="B596" s="1387" t="n"/>
      <c r="C596" s="1297" t="n"/>
      <c r="D596" s="1297" t="n"/>
      <c r="E596" s="1297" t="n"/>
      <c r="F596" s="1299" t="n">
        <v>-1782.299</v>
      </c>
      <c r="G596" s="1299" t="n">
        <v>-2750.361</v>
      </c>
      <c r="H596" s="1298" t="n">
        <v>-1178.194</v>
      </c>
      <c r="I596" s="1298" t="n">
        <v>-1204.154</v>
      </c>
      <c r="J596" s="1298" t="n">
        <v>-2268.872</v>
      </c>
      <c r="K596" s="1277">
        <f>L596</f>
        <v/>
      </c>
      <c r="L596" s="1299" t="n">
        <v>-3859.486</v>
      </c>
      <c r="M596" s="1298" t="n">
        <v>-1151.372</v>
      </c>
      <c r="N596" s="1298" t="n">
        <v>-1589.831</v>
      </c>
      <c r="O596" s="1298" t="n">
        <v>-2657.499</v>
      </c>
      <c r="P596" s="1277">
        <f>Q596</f>
        <v/>
      </c>
      <c r="Q596" s="1299" t="n">
        <v>-4283.87</v>
      </c>
      <c r="R596" s="1298" t="n">
        <v>-1003.705</v>
      </c>
      <c r="S596" s="1298" t="n">
        <v>-1783.656</v>
      </c>
      <c r="T596" s="1298" t="n">
        <v>-2989.442</v>
      </c>
      <c r="U596" s="1277">
        <f>V596</f>
        <v/>
      </c>
      <c r="V596" s="1299" t="n">
        <v>-4243.087</v>
      </c>
      <c r="W596" s="1298" t="n">
        <v>-917.636</v>
      </c>
      <c r="X596" s="1298" t="n">
        <v>-1970.729</v>
      </c>
      <c r="Y596" s="1298" t="n">
        <v>-3677.303</v>
      </c>
      <c r="Z596" s="1277">
        <f>AA596</f>
        <v/>
      </c>
      <c r="AA596" s="1299" t="n">
        <v>-4480.588</v>
      </c>
      <c r="AB596" s="1298" t="n">
        <v>-222.548</v>
      </c>
      <c r="AC596" s="1298" t="n">
        <v>-1391.186</v>
      </c>
      <c r="AD596" s="1298" t="n">
        <v>-2940.549</v>
      </c>
      <c r="AE596" s="1277">
        <f>AF596</f>
        <v/>
      </c>
      <c r="AF596" s="1299" t="n">
        <v>-7100.306</v>
      </c>
      <c r="AG596" s="1298" t="n">
        <v>-2101.026</v>
      </c>
      <c r="AH596" s="1298" t="n">
        <v>-2682.181</v>
      </c>
      <c r="AI596" s="1298" t="n">
        <v>-4424.453</v>
      </c>
      <c r="AJ596" s="1277">
        <f>AK596</f>
        <v/>
      </c>
      <c r="AK596" s="1299" t="n">
        <v>-9329.869000000001</v>
      </c>
      <c r="AL596" s="1298" t="n">
        <v>-846.0839999999999</v>
      </c>
      <c r="AM596" s="1298" t="n">
        <v>-8487.562</v>
      </c>
      <c r="AN596" s="1298" t="n">
        <v>-8704.239</v>
      </c>
      <c r="AO596" s="1277">
        <f>AP596</f>
        <v/>
      </c>
      <c r="AP596" s="1299" t="n">
        <v>-9542.387000000001</v>
      </c>
      <c r="AQ596" s="1298" t="n">
        <v>-580.694</v>
      </c>
      <c r="AR596" s="1298" t="n">
        <v>-4123.566</v>
      </c>
      <c r="AS596" s="1298" t="n">
        <v>-5677.525</v>
      </c>
      <c r="AT596" s="1277">
        <f>AU596</f>
        <v/>
      </c>
      <c r="AU596" s="1299" t="n">
        <v>-9040.751</v>
      </c>
      <c r="AV596" s="1298" t="n">
        <v>-583.003</v>
      </c>
      <c r="AW596" s="1298" t="n">
        <v>-3805.347</v>
      </c>
      <c r="AX596" s="1298" t="n">
        <v>-5471.086</v>
      </c>
      <c r="AY596" s="1277">
        <f>AZ596</f>
        <v/>
      </c>
      <c r="AZ596" s="1299" t="n">
        <v>-6954.326</v>
      </c>
      <c r="BA596" s="1298" t="n">
        <v>-285.784</v>
      </c>
      <c r="BB596" s="1298" t="n">
        <v>-2220.933</v>
      </c>
      <c r="BC596" s="1298" t="n">
        <v>-3387.581</v>
      </c>
      <c r="BD596" s="1277">
        <f>BE596</f>
        <v/>
      </c>
      <c r="BE596" s="1299" t="n">
        <v>-5518.414</v>
      </c>
      <c r="BF596" s="1298" t="n">
        <v>-2042.12</v>
      </c>
      <c r="BG596" s="1298" t="n">
        <v>-5061.779</v>
      </c>
      <c r="BH596" s="1298" t="n">
        <v>-5827.476</v>
      </c>
      <c r="BI596" s="1277">
        <f>BJ596</f>
        <v/>
      </c>
      <c r="BJ596" s="1299" t="n">
        <v>-8875.66</v>
      </c>
      <c r="BK596" s="1298" t="n">
        <v>-2285.615</v>
      </c>
      <c r="BL596" s="1298" t="n">
        <v>-4616.458</v>
      </c>
      <c r="BM596" s="1298" t="n">
        <v>-5594.917</v>
      </c>
      <c r="BN596" s="1277">
        <f>BO596</f>
        <v/>
      </c>
      <c r="BO596" s="1382" t="n"/>
      <c r="BP596" s="1277" t="n"/>
      <c r="BQ596" s="1277" t="n"/>
      <c r="BR596" s="1277" t="n"/>
      <c r="BS596" s="1277" t="n"/>
      <c r="BT596" s="1297" t="n"/>
      <c r="BU596" s="1277" t="n"/>
      <c r="BV596" s="1277" t="n"/>
      <c r="BW596" s="1277" t="n"/>
      <c r="BX596" s="1277" t="n"/>
      <c r="BY596" s="1297" t="n"/>
      <c r="BZ596" s="1297" t="n"/>
      <c r="CA596" s="1297" t="n"/>
      <c r="CB596" s="1297" t="n"/>
      <c r="CC596" s="1280" t="n"/>
    </row>
    <row r="597" hidden="1" outlineLevel="1" ht="14.4" customFormat="1" customHeight="1" s="1275">
      <c r="A597" s="1295" t="inlineStr">
        <is>
          <t>Acquisition of Land use right</t>
        </is>
      </c>
      <c r="B597" s="1387" t="n"/>
      <c r="C597" s="1297" t="n"/>
      <c r="D597" s="1297" t="n"/>
      <c r="E597" s="1297" t="n"/>
      <c r="F597" s="1299" t="n">
        <v>0</v>
      </c>
      <c r="G597" s="1299" t="n">
        <v>0</v>
      </c>
      <c r="H597" s="1298" t="n">
        <v>0</v>
      </c>
      <c r="I597" s="1298" t="n">
        <v>0</v>
      </c>
      <c r="J597" s="1298" t="n">
        <v>0</v>
      </c>
      <c r="K597" s="1280">
        <f>L597</f>
        <v/>
      </c>
      <c r="L597" s="1299" t="n">
        <v>0</v>
      </c>
      <c r="M597" s="1298" t="n">
        <v>0</v>
      </c>
      <c r="N597" s="1298" t="n">
        <v>0</v>
      </c>
      <c r="O597" s="1298" t="n">
        <v>0</v>
      </c>
      <c r="P597" s="1280">
        <f>Q597</f>
        <v/>
      </c>
      <c r="Q597" s="1299" t="n">
        <v>0</v>
      </c>
      <c r="R597" s="1298" t="n">
        <v>0</v>
      </c>
      <c r="S597" s="1298" t="n">
        <v>-805.318</v>
      </c>
      <c r="T597" s="1298" t="n">
        <v>-805.318</v>
      </c>
      <c r="U597" s="1280">
        <f>V597</f>
        <v/>
      </c>
      <c r="V597" s="1299" t="n">
        <v>-805.318</v>
      </c>
      <c r="W597" s="1298" t="n">
        <v>0</v>
      </c>
      <c r="X597" s="1298" t="n">
        <v>0</v>
      </c>
      <c r="Y597" s="1298" t="n">
        <v>0</v>
      </c>
      <c r="Z597" s="1280">
        <f>AA597</f>
        <v/>
      </c>
      <c r="AA597" s="1299" t="n">
        <v>-819.694</v>
      </c>
      <c r="AB597" s="1277" t="n"/>
      <c r="AC597" s="1277" t="n"/>
      <c r="AD597" s="1277" t="n"/>
      <c r="AE597" s="1280">
        <f>AF597</f>
        <v/>
      </c>
      <c r="AF597" s="1297" t="n"/>
      <c r="AG597" s="1277" t="n"/>
      <c r="AH597" s="1277" t="n"/>
      <c r="AI597" s="1277" t="n"/>
      <c r="AJ597" s="1277" t="n"/>
      <c r="AK597" s="1297" t="n"/>
      <c r="AL597" s="1277" t="n"/>
      <c r="AM597" s="1277" t="n"/>
      <c r="AN597" s="1277" t="n"/>
      <c r="AO597" s="1280">
        <f>AP597</f>
        <v/>
      </c>
      <c r="AP597" s="1297" t="n"/>
      <c r="AQ597" s="1277" t="n"/>
      <c r="AR597" s="1277" t="n"/>
      <c r="AS597" s="1277" t="n"/>
      <c r="AT597" s="1280">
        <f>AU597</f>
        <v/>
      </c>
      <c r="AU597" s="1297" t="n"/>
      <c r="AV597" s="1277" t="n"/>
      <c r="AW597" s="1277" t="n"/>
      <c r="AX597" s="1277" t="n"/>
      <c r="AY597" s="1280">
        <f>AZ597</f>
        <v/>
      </c>
      <c r="AZ597" s="1297" t="n"/>
      <c r="BA597" s="1277" t="n"/>
      <c r="BB597" s="1277" t="n"/>
      <c r="BC597" s="1277" t="n"/>
      <c r="BD597" s="1280">
        <f>BE597</f>
        <v/>
      </c>
      <c r="BE597" s="1297" t="n"/>
      <c r="BF597" s="1277" t="n"/>
      <c r="BG597" s="1277" t="n"/>
      <c r="BH597" s="1277" t="n"/>
      <c r="BI597" s="1280">
        <f>BJ597</f>
        <v/>
      </c>
      <c r="BJ597" s="1297" t="n"/>
      <c r="BK597" s="1277" t="n"/>
      <c r="BL597" s="1277" t="n"/>
      <c r="BM597" s="1277" t="n"/>
      <c r="BN597" s="1280">
        <f>BO597</f>
        <v/>
      </c>
      <c r="BO597" s="1382" t="n"/>
      <c r="BP597" s="1277" t="n"/>
      <c r="BQ597" s="1277" t="n"/>
      <c r="BR597" s="1277" t="n"/>
      <c r="BS597" s="1277" t="n"/>
      <c r="BT597" s="1297" t="n"/>
      <c r="BU597" s="1277" t="n"/>
      <c r="BV597" s="1277" t="n"/>
      <c r="BW597" s="1277" t="n"/>
      <c r="BX597" s="1277" t="n"/>
      <c r="BY597" s="1297" t="n"/>
      <c r="BZ597" s="1297" t="n"/>
      <c r="CA597" s="1297" t="n"/>
      <c r="CB597" s="1297" t="n"/>
      <c r="CC597" s="1280" t="n"/>
    </row>
    <row r="598" hidden="1" outlineLevel="1" ht="14.4" customFormat="1" customHeight="1" s="1275">
      <c r="A598" s="1295" t="inlineStr">
        <is>
          <t>Acquisition of Financial instruments at fair value through profit or loss - debt instruments</t>
        </is>
      </c>
      <c r="B598" s="1387" t="n"/>
      <c r="C598" s="1297" t="n"/>
      <c r="D598" s="1297" t="n"/>
      <c r="E598" s="1297" t="n"/>
      <c r="F598" s="1297" t="n"/>
      <c r="G598" s="1297" t="n"/>
      <c r="H598" s="1277" t="n"/>
      <c r="I598" s="1277" t="n"/>
      <c r="J598" s="1277" t="n"/>
      <c r="K598" s="1277" t="n"/>
      <c r="L598" s="1297" t="n"/>
      <c r="M598" s="1277" t="n"/>
      <c r="N598" s="1277" t="n"/>
      <c r="O598" s="1277" t="n"/>
      <c r="P598" s="1277" t="n"/>
      <c r="Q598" s="1297" t="n"/>
      <c r="R598" s="1277" t="n"/>
      <c r="S598" s="1277" t="n"/>
      <c r="T598" s="1277" t="n"/>
      <c r="U598" s="1277" t="n"/>
      <c r="V598" s="1297" t="n"/>
      <c r="W598" s="1277" t="n"/>
      <c r="X598" s="1277" t="n"/>
      <c r="Y598" s="1277" t="n"/>
      <c r="Z598" s="1277" t="n"/>
      <c r="AA598" s="1297" t="n"/>
      <c r="AB598" s="1298" t="n">
        <v>-183.026</v>
      </c>
      <c r="AC598" s="1298" t="n">
        <v>-212.254</v>
      </c>
      <c r="AD598" s="1298" t="n">
        <v>-306.309</v>
      </c>
      <c r="AE598" s="1280">
        <f>AF598</f>
        <v/>
      </c>
      <c r="AF598" s="1299" t="n">
        <v>-310.478</v>
      </c>
      <c r="AG598" s="1277" t="n"/>
      <c r="AH598" s="1277" t="n"/>
      <c r="AI598" s="1298" t="n">
        <v>-124.748</v>
      </c>
      <c r="AJ598" s="1280">
        <f>AK598</f>
        <v/>
      </c>
      <c r="AK598" s="1299" t="n">
        <v>-124.748</v>
      </c>
      <c r="AL598" s="1277" t="n"/>
      <c r="AM598" s="1277" t="n"/>
      <c r="AN598" s="1277" t="n"/>
      <c r="AO598" s="1280">
        <f>AP598</f>
        <v/>
      </c>
      <c r="AP598" s="1297" t="n"/>
      <c r="AQ598" s="1277" t="n"/>
      <c r="AR598" s="1277" t="n"/>
      <c r="AS598" s="1277" t="n"/>
      <c r="AT598" s="1280">
        <f>AU598</f>
        <v/>
      </c>
      <c r="AU598" s="1297" t="n"/>
      <c r="AV598" s="1277" t="n"/>
      <c r="AW598" s="1277" t="n"/>
      <c r="AX598" s="1277" t="n"/>
      <c r="AY598" s="1280">
        <f>AZ598</f>
        <v/>
      </c>
      <c r="AZ598" s="1299" t="n">
        <v>-125.54</v>
      </c>
      <c r="BA598" s="1298" t="n">
        <v>-121.692</v>
      </c>
      <c r="BB598" s="1298" t="n">
        <v>-229.044</v>
      </c>
      <c r="BC598" s="1298" t="n">
        <v>-323.973</v>
      </c>
      <c r="BD598" s="1280">
        <f>BE598</f>
        <v/>
      </c>
      <c r="BE598" s="1299" t="n">
        <v>-14142.072</v>
      </c>
      <c r="BF598" s="1277" t="n"/>
      <c r="BG598" s="1298" t="n">
        <v>-458.776</v>
      </c>
      <c r="BH598" s="1298" t="n">
        <v>-1097.618</v>
      </c>
      <c r="BI598" s="1280">
        <f>BJ598</f>
        <v/>
      </c>
      <c r="BJ598" s="1299" t="n">
        <v>-1178.766</v>
      </c>
      <c r="BK598" s="1298" t="n">
        <v>-60.235</v>
      </c>
      <c r="BL598" s="1298" t="n">
        <v>-128.359</v>
      </c>
      <c r="BM598" s="1298" t="n">
        <v>-162.015</v>
      </c>
      <c r="BN598" s="1280">
        <f>BO598</f>
        <v/>
      </c>
      <c r="BO598" s="1382" t="n"/>
      <c r="BP598" s="1277" t="n"/>
      <c r="BQ598" s="1277" t="n"/>
      <c r="BR598" s="1277" t="n"/>
      <c r="BS598" s="1277" t="n"/>
      <c r="BT598" s="1297" t="n"/>
      <c r="BU598" s="1277" t="n"/>
      <c r="BV598" s="1277" t="n"/>
      <c r="BW598" s="1277" t="n"/>
      <c r="BX598" s="1277" t="n"/>
      <c r="BY598" s="1297" t="n"/>
      <c r="BZ598" s="1297" t="n"/>
      <c r="CA598" s="1297" t="n"/>
      <c r="CB598" s="1297" t="n"/>
      <c r="CC598" s="1280" t="n"/>
    </row>
    <row r="599" hidden="1" outlineLevel="1" ht="14.4" customFormat="1" customHeight="1" s="1275">
      <c r="A599" s="1295" t="inlineStr">
        <is>
          <t>Acquisition of Financial assets at fair value through other comprehensive income</t>
        </is>
      </c>
      <c r="B599" s="1387" t="n"/>
      <c r="C599" s="1297" t="n"/>
      <c r="D599" s="1297" t="n"/>
      <c r="E599" s="1297" t="n"/>
      <c r="F599" s="1297" t="n"/>
      <c r="G599" s="1297" t="n"/>
      <c r="H599" s="1277" t="n"/>
      <c r="I599" s="1277" t="n"/>
      <c r="J599" s="1277" t="n"/>
      <c r="K599" s="1277" t="n"/>
      <c r="L599" s="1297" t="n"/>
      <c r="M599" s="1277" t="n"/>
      <c r="N599" s="1277" t="n"/>
      <c r="O599" s="1277" t="n"/>
      <c r="P599" s="1277" t="n"/>
      <c r="Q599" s="1297" t="n"/>
      <c r="R599" s="1277" t="n"/>
      <c r="S599" s="1277" t="n"/>
      <c r="T599" s="1277" t="n"/>
      <c r="U599" s="1277" t="n"/>
      <c r="V599" s="1297" t="n"/>
      <c r="W599" s="1277" t="n"/>
      <c r="X599" s="1277" t="n"/>
      <c r="Y599" s="1277" t="n"/>
      <c r="Z599" s="1277" t="n"/>
      <c r="AA599" s="1297" t="n"/>
      <c r="AB599" s="1298" t="n">
        <v>-24382.829</v>
      </c>
      <c r="AC599" s="1298" t="n">
        <v>-47523.622</v>
      </c>
      <c r="AD599" s="1298" t="n">
        <v>-72383.276</v>
      </c>
      <c r="AE599" s="1280">
        <f>AF599</f>
        <v/>
      </c>
      <c r="AF599" s="1299" t="n">
        <v>-96412.78599999999</v>
      </c>
      <c r="AG599" s="1298" t="n">
        <v>-34445.259</v>
      </c>
      <c r="AH599" s="1298" t="n">
        <v>-98468.264</v>
      </c>
      <c r="AI599" s="1298" t="n">
        <v>-200490.462</v>
      </c>
      <c r="AJ599" s="1280">
        <f>AK599</f>
        <v/>
      </c>
      <c r="AK599" s="1299" t="n">
        <v>-257558.24</v>
      </c>
      <c r="AL599" s="1298" t="n">
        <v>-56528.394</v>
      </c>
      <c r="AM599" s="1298" t="n">
        <v>-123362.626</v>
      </c>
      <c r="AN599" s="1298" t="n">
        <v>-185627.184</v>
      </c>
      <c r="AO599" s="1280">
        <f>AP599</f>
        <v/>
      </c>
      <c r="AP599" s="1299" t="n">
        <v>-262637.496</v>
      </c>
      <c r="AQ599" s="1298" t="n">
        <v>-77662.402</v>
      </c>
      <c r="AR599" s="1298" t="n">
        <v>-151585.404</v>
      </c>
      <c r="AS599" s="1298" t="n">
        <v>-195441.758</v>
      </c>
      <c r="AT599" s="1280">
        <f>AU599</f>
        <v/>
      </c>
      <c r="AU599" s="1299" t="n">
        <v>-255888.679</v>
      </c>
      <c r="AV599" s="1298" t="n">
        <v>-37834.407</v>
      </c>
      <c r="AW599" s="1298" t="n">
        <v>-40949.13</v>
      </c>
      <c r="AX599" s="1298" t="n">
        <v>-49269.573</v>
      </c>
      <c r="AY599" s="1280">
        <f>AZ599</f>
        <v/>
      </c>
      <c r="AZ599" s="1299" t="n">
        <v>-54566.725</v>
      </c>
      <c r="BA599" s="1298" t="n">
        <v>-13849.515</v>
      </c>
      <c r="BB599" s="1298" t="n">
        <v>-33464.026</v>
      </c>
      <c r="BC599" s="1298" t="n">
        <v>-54832.622</v>
      </c>
      <c r="BD599" s="1280">
        <f>BE599</f>
        <v/>
      </c>
      <c r="BE599" s="1299" t="n">
        <v>-62752.002</v>
      </c>
      <c r="BF599" s="1298" t="n">
        <v>-25389.232</v>
      </c>
      <c r="BG599" s="1298" t="n">
        <v>-43780.18</v>
      </c>
      <c r="BH599" s="1298" t="n">
        <v>-64117.242</v>
      </c>
      <c r="BI599" s="1280">
        <f>BJ599</f>
        <v/>
      </c>
      <c r="BJ599" s="1299" t="n">
        <v>-87787.52099999999</v>
      </c>
      <c r="BK599" s="1298" t="n">
        <v>-23341.809</v>
      </c>
      <c r="BL599" s="1298" t="n">
        <v>-37351.763</v>
      </c>
      <c r="BM599" s="1298" t="n">
        <v>-53615.896</v>
      </c>
      <c r="BN599" s="1280">
        <f>BO599</f>
        <v/>
      </c>
      <c r="BO599" s="1382" t="n"/>
      <c r="BP599" s="1277" t="n"/>
      <c r="BQ599" s="1277" t="n"/>
      <c r="BR599" s="1277" t="n"/>
      <c r="BS599" s="1277" t="n"/>
      <c r="BT599" s="1297" t="n"/>
      <c r="BU599" s="1277" t="n"/>
      <c r="BV599" s="1277" t="n"/>
      <c r="BW599" s="1277" t="n"/>
      <c r="BX599" s="1277" t="n"/>
      <c r="BY599" s="1297" t="n"/>
      <c r="BZ599" s="1297" t="n"/>
      <c r="CA599" s="1297" t="n"/>
      <c r="CB599" s="1297" t="n"/>
      <c r="CC599" s="1280" t="n"/>
    </row>
    <row r="600" hidden="1" outlineLevel="1" ht="14.4" customFormat="1" customHeight="1" s="1275">
      <c r="A600" s="1295" t="inlineStr">
        <is>
          <t>Acquisition of financial assets at amortized cost</t>
        </is>
      </c>
      <c r="B600" s="1387" t="n"/>
      <c r="C600" s="1297" t="n"/>
      <c r="D600" s="1297" t="n"/>
      <c r="E600" s="1297" t="n"/>
      <c r="F600" s="1297" t="n"/>
      <c r="G600" s="1297" t="n"/>
      <c r="H600" s="1277" t="n"/>
      <c r="I600" s="1277" t="n"/>
      <c r="J600" s="1277" t="n"/>
      <c r="K600" s="1277" t="n"/>
      <c r="L600" s="1297" t="n"/>
      <c r="M600" s="1277" t="n"/>
      <c r="N600" s="1277" t="n"/>
      <c r="O600" s="1277" t="n"/>
      <c r="P600" s="1277" t="n"/>
      <c r="Q600" s="1297" t="n"/>
      <c r="R600" s="1277" t="n"/>
      <c r="S600" s="1277" t="n"/>
      <c r="T600" s="1277" t="n"/>
      <c r="U600" s="1277" t="n"/>
      <c r="V600" s="1297" t="n"/>
      <c r="W600" s="1277" t="n"/>
      <c r="X600" s="1277" t="n"/>
      <c r="Y600" s="1277" t="n"/>
      <c r="Z600" s="1277" t="n"/>
      <c r="AA600" s="1297" t="n"/>
      <c r="AB600" s="1277" t="n"/>
      <c r="AC600" s="1277" t="n"/>
      <c r="AD600" s="1277" t="n"/>
      <c r="AE600" s="1277" t="n"/>
      <c r="AF600" s="1297" t="n"/>
      <c r="AG600" s="1298" t="n">
        <v>-313.958</v>
      </c>
      <c r="AH600" s="1298" t="n">
        <v>-313.958</v>
      </c>
      <c r="AI600" s="1298" t="n">
        <v>-313.958</v>
      </c>
      <c r="AJ600" s="1280">
        <f>AK600</f>
        <v/>
      </c>
      <c r="AK600" s="1299" t="n">
        <v>-313.958</v>
      </c>
      <c r="AL600" s="1277" t="n"/>
      <c r="AM600" s="1298" t="n">
        <v>-1366.37</v>
      </c>
      <c r="AN600" s="1298" t="n">
        <v>-4302.77</v>
      </c>
      <c r="AO600" s="1280">
        <f>AP600</f>
        <v/>
      </c>
      <c r="AP600" s="1299" t="n">
        <v>-4302.77</v>
      </c>
      <c r="AQ600" s="1277" t="n"/>
      <c r="AR600" s="1277" t="n"/>
      <c r="AS600" s="1277" t="n"/>
      <c r="AT600" s="1280">
        <f>AU600</f>
        <v/>
      </c>
      <c r="AU600" s="1299" t="n">
        <v>-3799.737</v>
      </c>
      <c r="AV600" s="1298" t="n">
        <v>-18155.34</v>
      </c>
      <c r="AW600" s="1298" t="n">
        <v>-80240.09</v>
      </c>
      <c r="AX600" s="1298" t="n">
        <v>-123508.899</v>
      </c>
      <c r="AY600" s="1280">
        <f>AZ600</f>
        <v/>
      </c>
      <c r="AZ600" s="1299" t="n">
        <v>-183125.92</v>
      </c>
      <c r="BA600" s="1298" t="n">
        <v>-20921.355</v>
      </c>
      <c r="BB600" s="1298" t="n">
        <v>-74998.61900000001</v>
      </c>
      <c r="BC600" s="1298" t="n">
        <v>-115641.029</v>
      </c>
      <c r="BD600" s="1280">
        <f>BE600</f>
        <v/>
      </c>
      <c r="BE600" s="1299" t="n">
        <v>-149387.898</v>
      </c>
      <c r="BF600" s="1298" t="n">
        <v>-20411.24</v>
      </c>
      <c r="BG600" s="1298" t="n">
        <v>-64823.727</v>
      </c>
      <c r="BH600" s="1298" t="n">
        <v>-98056.8</v>
      </c>
      <c r="BI600" s="1280">
        <f>BJ600</f>
        <v/>
      </c>
      <c r="BJ600" s="1299" t="n">
        <v>-151656.371</v>
      </c>
      <c r="BK600" s="1298" t="n">
        <v>-47339.382</v>
      </c>
      <c r="BL600" s="1298" t="n">
        <v>-95249.939</v>
      </c>
      <c r="BM600" s="1298" t="n">
        <v>-129397.259</v>
      </c>
      <c r="BN600" s="1280">
        <f>BO600</f>
        <v/>
      </c>
      <c r="BO600" s="1645" t="n">
        <v>-255372</v>
      </c>
      <c r="BP600" s="1277" t="n"/>
      <c r="BQ600" s="1277" t="n"/>
      <c r="BR600" s="1277" t="n"/>
      <c r="BS600" s="1277" t="n"/>
      <c r="BT600" s="1297" t="n"/>
      <c r="BU600" s="1277" t="n"/>
      <c r="BV600" s="1277" t="n"/>
      <c r="BW600" s="1277" t="n"/>
      <c r="BX600" s="1277" t="n"/>
      <c r="BY600" s="1297" t="n"/>
      <c r="BZ600" s="1297" t="n"/>
      <c r="CA600" s="1297" t="n"/>
      <c r="CB600" s="1297" t="n"/>
      <c r="CC600" s="1280" t="n"/>
    </row>
    <row r="601" hidden="1" outlineLevel="1" ht="14.4" customFormat="1" customHeight="1" s="1275">
      <c r="A601" s="1295" t="inlineStr">
        <is>
          <t>Acquisition of hedging financial instruments</t>
        </is>
      </c>
      <c r="B601" s="1387" t="n"/>
      <c r="C601" s="1297" t="n"/>
      <c r="D601" s="1297" t="n"/>
      <c r="E601" s="1297" t="n"/>
      <c r="F601" s="1297" t="n"/>
      <c r="G601" s="1297" t="n"/>
      <c r="H601" s="1277" t="n"/>
      <c r="I601" s="1277" t="n"/>
      <c r="J601" s="1277" t="n"/>
      <c r="K601" s="1277">
        <f>L601</f>
        <v/>
      </c>
      <c r="L601" s="1297" t="n"/>
      <c r="M601" s="1277" t="n"/>
      <c r="N601" s="1277" t="n"/>
      <c r="O601" s="1277" t="n"/>
      <c r="P601" s="1277">
        <f>Q601</f>
        <v/>
      </c>
      <c r="Q601" s="1297" t="n"/>
      <c r="R601" s="1277" t="n"/>
      <c r="S601" s="1277" t="n"/>
      <c r="T601" s="1277" t="n"/>
      <c r="U601" s="1277">
        <f>V601</f>
        <v/>
      </c>
      <c r="V601" s="1297" t="n"/>
      <c r="W601" s="1277" t="n"/>
      <c r="X601" s="1277" t="n"/>
      <c r="Y601" s="1277" t="n"/>
      <c r="Z601" s="1277">
        <f>AA601</f>
        <v/>
      </c>
      <c r="AA601" s="1297" t="n"/>
      <c r="AB601" s="1277" t="n"/>
      <c r="AC601" s="1277" t="n"/>
      <c r="AD601" s="1277" t="n"/>
      <c r="AE601" s="1277">
        <f>AF601</f>
        <v/>
      </c>
      <c r="AF601" s="1297" t="n"/>
      <c r="AG601" s="1277" t="n"/>
      <c r="AH601" s="1277" t="n"/>
      <c r="AI601" s="1277" t="n"/>
      <c r="AJ601" s="1280">
        <f>AK601</f>
        <v/>
      </c>
      <c r="AK601" s="1297" t="n"/>
      <c r="AL601" s="1277" t="n"/>
      <c r="AM601" s="1277" t="n"/>
      <c r="AN601" s="1277" t="n"/>
      <c r="AO601" s="1280">
        <f>AP601</f>
        <v/>
      </c>
      <c r="AP601" s="1297" t="n"/>
      <c r="AQ601" s="1277" t="n"/>
      <c r="AR601" s="1277" t="n"/>
      <c r="AS601" s="1277" t="n"/>
      <c r="AT601" s="1280">
        <f>AU601</f>
        <v/>
      </c>
      <c r="AU601" s="1297" t="n"/>
      <c r="AV601" s="1277" t="n"/>
      <c r="AW601" s="1277" t="n"/>
      <c r="AX601" s="1277" t="n"/>
      <c r="AY601" s="1280">
        <f>AZ601</f>
        <v/>
      </c>
      <c r="AZ601" s="1297" t="n"/>
      <c r="BA601" s="1277" t="n"/>
      <c r="BB601" s="1277" t="n"/>
      <c r="BC601" s="1277" t="n"/>
      <c r="BD601" s="1280">
        <f>BE601</f>
        <v/>
      </c>
      <c r="BE601" s="1297" t="n"/>
      <c r="BF601" s="1277" t="n"/>
      <c r="BG601" s="1277" t="n"/>
      <c r="BH601" s="1277" t="n"/>
      <c r="BI601" s="1280">
        <f>BJ601</f>
        <v/>
      </c>
      <c r="BJ601" s="1297" t="n"/>
      <c r="BK601" s="1277" t="n"/>
      <c r="BL601" s="1298" t="n">
        <v>-631.62</v>
      </c>
      <c r="BM601" s="1298" t="n">
        <v>-631.62</v>
      </c>
      <c r="BN601" s="1280">
        <f>BO601</f>
        <v/>
      </c>
      <c r="BO601" s="1382" t="n"/>
      <c r="BP601" s="1277" t="n"/>
      <c r="BQ601" s="1277" t="n"/>
      <c r="BR601" s="1277" t="n"/>
      <c r="BS601" s="1277" t="n"/>
      <c r="BT601" s="1297" t="n"/>
      <c r="BU601" s="1277" t="n"/>
      <c r="BV601" s="1277" t="n"/>
      <c r="BW601" s="1277" t="n"/>
      <c r="BX601" s="1277" t="n"/>
      <c r="BY601" s="1297" t="n"/>
      <c r="BZ601" s="1297" t="n"/>
      <c r="CA601" s="1297" t="n"/>
      <c r="CB601" s="1297" t="n"/>
      <c r="CC601" s="1280" t="n"/>
    </row>
    <row r="602" hidden="1" outlineLevel="1" ht="14.4" customFormat="1" customHeight="1" s="1275">
      <c r="A602" s="1295" t="inlineStr">
        <is>
          <t>Acquisition of Investments accounted for using equity method</t>
        </is>
      </c>
      <c r="B602" s="1387" t="n"/>
      <c r="C602" s="1297" t="n"/>
      <c r="D602" s="1297" t="n"/>
      <c r="E602" s="1297" t="n"/>
      <c r="F602" s="1297" t="n"/>
      <c r="G602" s="1297" t="n"/>
      <c r="H602" s="1277" t="n"/>
      <c r="I602" s="1277" t="n"/>
      <c r="J602" s="1277" t="n"/>
      <c r="K602" s="1277">
        <f>L602</f>
        <v/>
      </c>
      <c r="L602" s="1297" t="n"/>
      <c r="M602" s="1277" t="n"/>
      <c r="N602" s="1277" t="n"/>
      <c r="O602" s="1277" t="n"/>
      <c r="P602" s="1277">
        <f>Q602</f>
        <v/>
      </c>
      <c r="Q602" s="1297" t="n"/>
      <c r="R602" s="1277" t="n"/>
      <c r="S602" s="1277" t="n"/>
      <c r="T602" s="1277" t="n"/>
      <c r="U602" s="1277">
        <f>V602</f>
        <v/>
      </c>
      <c r="V602" s="1297" t="n"/>
      <c r="W602" s="1277" t="n"/>
      <c r="X602" s="1277" t="n"/>
      <c r="Y602" s="1277" t="n"/>
      <c r="Z602" s="1277">
        <f>AA602</f>
        <v/>
      </c>
      <c r="AA602" s="1297" t="n"/>
      <c r="AB602" s="1277" t="n"/>
      <c r="AC602" s="1277" t="n"/>
      <c r="AD602" s="1277" t="n"/>
      <c r="AE602" s="1277">
        <f>AF602</f>
        <v/>
      </c>
      <c r="AF602" s="1297" t="n"/>
      <c r="AG602" s="1277" t="n"/>
      <c r="AH602" s="1277" t="n"/>
      <c r="AI602" s="1277" t="n"/>
      <c r="AJ602" s="1280">
        <f>AK602</f>
        <v/>
      </c>
      <c r="AK602" s="1297" t="n"/>
      <c r="AL602" s="1277" t="n"/>
      <c r="AM602" s="1277" t="n"/>
      <c r="AN602" s="1277" t="n"/>
      <c r="AO602" s="1280">
        <f>AP602</f>
        <v/>
      </c>
      <c r="AP602" s="1297" t="n"/>
      <c r="AQ602" s="1277" t="n"/>
      <c r="AR602" s="1277" t="n"/>
      <c r="AS602" s="1277" t="n"/>
      <c r="AT602" s="1280">
        <f>AU602</f>
        <v/>
      </c>
      <c r="AU602" s="1297" t="n"/>
      <c r="AV602" s="1277" t="n"/>
      <c r="AW602" s="1277" t="n"/>
      <c r="AX602" s="1277" t="n"/>
      <c r="AY602" s="1280">
        <f>AZ602</f>
        <v/>
      </c>
      <c r="AZ602" s="1297" t="n"/>
      <c r="BA602" s="1277" t="n"/>
      <c r="BB602" s="1277" t="n"/>
      <c r="BC602" s="1277" t="n"/>
      <c r="BD602" s="1280">
        <f>BE602</f>
        <v/>
      </c>
      <c r="BE602" s="1297" t="n"/>
      <c r="BF602" s="1277" t="n"/>
      <c r="BG602" s="1277" t="n"/>
      <c r="BH602" s="1277" t="n"/>
      <c r="BI602" s="1280">
        <f>BJ602</f>
        <v/>
      </c>
      <c r="BJ602" s="1299" t="n">
        <v>-3738.753</v>
      </c>
      <c r="BK602" s="1277" t="n"/>
      <c r="BL602" s="1277" t="n"/>
      <c r="BM602" s="1277" t="n"/>
      <c r="BN602" s="1280">
        <f>BO602</f>
        <v/>
      </c>
      <c r="BO602" s="1382" t="n"/>
      <c r="BP602" s="1277" t="n"/>
      <c r="BQ602" s="1277" t="n"/>
      <c r="BR602" s="1277" t="n"/>
      <c r="BS602" s="1277" t="n"/>
      <c r="BT602" s="1297" t="n"/>
      <c r="BU602" s="1277" t="n"/>
      <c r="BV602" s="1277" t="n"/>
      <c r="BW602" s="1277" t="n"/>
      <c r="BX602" s="1277" t="n"/>
      <c r="BY602" s="1297" t="n"/>
      <c r="BZ602" s="1297" t="n"/>
      <c r="CA602" s="1297" t="n"/>
      <c r="CB602" s="1297" t="n"/>
      <c r="CC602" s="1280" t="n"/>
    </row>
    <row r="603" hidden="1" outlineLevel="1" ht="14.4" customFormat="1" customHeight="1" s="1275">
      <c r="A603" s="1295" t="inlineStr">
        <is>
          <t>Proceeds from disposal or redemption of Available-for-sale financial assets</t>
        </is>
      </c>
      <c r="B603" s="1387" t="n"/>
      <c r="C603" s="1299" t="n">
        <v>36039.978</v>
      </c>
      <c r="D603" s="1299" t="n">
        <v>37816.288</v>
      </c>
      <c r="E603" s="1299" t="n">
        <v>59305.023</v>
      </c>
      <c r="F603" s="1299" t="n">
        <v>964.367</v>
      </c>
      <c r="G603" s="1299" t="n">
        <v>2418.578</v>
      </c>
      <c r="H603" s="1298" t="n">
        <v>62.843</v>
      </c>
      <c r="I603" s="1298" t="n">
        <v>473.52</v>
      </c>
      <c r="J603" s="1298" t="n">
        <v>663.433</v>
      </c>
      <c r="K603" s="1280">
        <f>L603</f>
        <v/>
      </c>
      <c r="L603" s="1299" t="n">
        <v>689.42</v>
      </c>
      <c r="M603" s="1298" t="n">
        <v>36.021</v>
      </c>
      <c r="N603" s="1298" t="n">
        <v>39269.616</v>
      </c>
      <c r="O603" s="1298" t="n">
        <v>53990.941</v>
      </c>
      <c r="P603" s="1280">
        <f>Q603</f>
        <v/>
      </c>
      <c r="Q603" s="1299" t="n">
        <v>57493.051</v>
      </c>
      <c r="R603" s="1298" t="n">
        <v>2943.42</v>
      </c>
      <c r="S603" s="1298" t="n">
        <v>8070.785</v>
      </c>
      <c r="T603" s="1298" t="n">
        <v>20654.629</v>
      </c>
      <c r="U603" s="1280">
        <f>V603</f>
        <v/>
      </c>
      <c r="V603" s="1299" t="n">
        <v>29967.979</v>
      </c>
      <c r="W603" s="1298" t="n">
        <v>18436.274</v>
      </c>
      <c r="X603" s="1298" t="n">
        <v>36338.151</v>
      </c>
      <c r="Y603" s="1298" t="n">
        <v>45952.054</v>
      </c>
      <c r="Z603" s="1280">
        <f>AA603</f>
        <v/>
      </c>
      <c r="AA603" s="1299" t="n">
        <v>69480.675</v>
      </c>
      <c r="AB603" s="1277" t="n"/>
      <c r="AC603" s="1277" t="n"/>
      <c r="AD603" s="1277" t="n"/>
      <c r="AE603" s="1280">
        <f>AF603</f>
        <v/>
      </c>
      <c r="AF603" s="1297" t="n"/>
      <c r="AG603" s="1277" t="n"/>
      <c r="AH603" s="1277" t="n"/>
      <c r="AI603" s="1277" t="n"/>
      <c r="AJ603" s="1277" t="n"/>
      <c r="AK603" s="1297" t="n"/>
      <c r="AL603" s="1277" t="n"/>
      <c r="AM603" s="1277" t="n"/>
      <c r="AN603" s="1277" t="n"/>
      <c r="AO603" s="1280">
        <f>AP603</f>
        <v/>
      </c>
      <c r="AP603" s="1297" t="n"/>
      <c r="AQ603" s="1277" t="n"/>
      <c r="AR603" s="1277" t="n"/>
      <c r="AS603" s="1277" t="n"/>
      <c r="AT603" s="1280">
        <f>AU603</f>
        <v/>
      </c>
      <c r="AU603" s="1297" t="n"/>
      <c r="AV603" s="1277" t="n"/>
      <c r="AW603" s="1277" t="n"/>
      <c r="AX603" s="1277" t="n"/>
      <c r="AY603" s="1280">
        <f>AZ603</f>
        <v/>
      </c>
      <c r="AZ603" s="1297" t="n"/>
      <c r="BA603" s="1277" t="n"/>
      <c r="BB603" s="1277" t="n"/>
      <c r="BC603" s="1277" t="n"/>
      <c r="BD603" s="1280">
        <f>BE603</f>
        <v/>
      </c>
      <c r="BE603" s="1297" t="n"/>
      <c r="BF603" s="1277" t="n"/>
      <c r="BG603" s="1277" t="n"/>
      <c r="BH603" s="1277" t="n"/>
      <c r="BI603" s="1280">
        <f>BJ603</f>
        <v/>
      </c>
      <c r="BJ603" s="1297" t="n"/>
      <c r="BK603" s="1277" t="n"/>
      <c r="BL603" s="1277" t="n"/>
      <c r="BM603" s="1277" t="n"/>
      <c r="BN603" s="1280">
        <f>BO603</f>
        <v/>
      </c>
      <c r="BO603" s="1382" t="n"/>
      <c r="BP603" s="1277" t="n"/>
      <c r="BQ603" s="1277" t="n"/>
      <c r="BR603" s="1277" t="n"/>
      <c r="BS603" s="1277" t="n"/>
      <c r="BT603" s="1297" t="n"/>
      <c r="BU603" s="1277" t="n"/>
      <c r="BV603" s="1277" t="n"/>
      <c r="BW603" s="1277" t="n"/>
      <c r="BX603" s="1277" t="n"/>
      <c r="BY603" s="1297" t="n"/>
      <c r="BZ603" s="1297" t="n"/>
      <c r="CA603" s="1297" t="n"/>
      <c r="CB603" s="1297" t="n"/>
      <c r="CC603" s="1280" t="n"/>
    </row>
    <row r="604" hidden="1" outlineLevel="1" ht="14.4" customFormat="1" customHeight="1" s="1275">
      <c r="A604" s="1295" t="inlineStr">
        <is>
          <t>Proceeds from disposal or redemption of Held-to-maturity financial assets</t>
        </is>
      </c>
      <c r="B604" s="1387" t="n"/>
      <c r="C604" s="1299" t="n">
        <v>7944.8</v>
      </c>
      <c r="D604" s="1299" t="n">
        <v>15943</v>
      </c>
      <c r="E604" s="1299" t="n">
        <v>4789</v>
      </c>
      <c r="F604" s="1299" t="n">
        <v>2711.44</v>
      </c>
      <c r="G604" s="1299" t="n">
        <v>5145.85</v>
      </c>
      <c r="H604" s="1298" t="n">
        <v>800</v>
      </c>
      <c r="I604" s="1298" t="n">
        <v>2900</v>
      </c>
      <c r="J604" s="1298" t="n">
        <v>3200</v>
      </c>
      <c r="K604" s="1280">
        <f>L604</f>
        <v/>
      </c>
      <c r="L604" s="1299" t="n">
        <v>3200</v>
      </c>
      <c r="M604" s="1298" t="n">
        <v>800</v>
      </c>
      <c r="N604" s="1298" t="n">
        <v>9100</v>
      </c>
      <c r="O604" s="1298" t="n">
        <v>13900</v>
      </c>
      <c r="P604" s="1280">
        <f>Q604</f>
        <v/>
      </c>
      <c r="Q604" s="1299" t="n">
        <v>16800</v>
      </c>
      <c r="R604" s="1298" t="n">
        <v>3000</v>
      </c>
      <c r="S604" s="1298" t="n">
        <v>4700</v>
      </c>
      <c r="T604" s="1298" t="n">
        <v>7400</v>
      </c>
      <c r="U604" s="1280">
        <f>V604</f>
        <v/>
      </c>
      <c r="V604" s="1299" t="n">
        <v>10550</v>
      </c>
      <c r="W604" s="1298" t="n">
        <v>400</v>
      </c>
      <c r="X604" s="1298" t="n">
        <v>11350</v>
      </c>
      <c r="Y604" s="1298" t="n">
        <v>12510</v>
      </c>
      <c r="Z604" s="1280">
        <f>AA604</f>
        <v/>
      </c>
      <c r="AA604" s="1299" t="n">
        <v>17980.64</v>
      </c>
      <c r="AB604" s="1277" t="n"/>
      <c r="AC604" s="1277" t="n"/>
      <c r="AD604" s="1277" t="n"/>
      <c r="AE604" s="1280">
        <f>AF604</f>
        <v/>
      </c>
      <c r="AF604" s="1297" t="n"/>
      <c r="AG604" s="1277" t="n"/>
      <c r="AH604" s="1277" t="n"/>
      <c r="AI604" s="1277" t="n"/>
      <c r="AJ604" s="1277" t="n"/>
      <c r="AK604" s="1297" t="n"/>
      <c r="AL604" s="1277" t="n"/>
      <c r="AM604" s="1277" t="n"/>
      <c r="AN604" s="1277" t="n"/>
      <c r="AO604" s="1280">
        <f>AP604</f>
        <v/>
      </c>
      <c r="AP604" s="1297" t="n"/>
      <c r="AQ604" s="1277" t="n"/>
      <c r="AR604" s="1277" t="n"/>
      <c r="AS604" s="1277" t="n"/>
      <c r="AT604" s="1280">
        <f>AU604</f>
        <v/>
      </c>
      <c r="AU604" s="1297" t="n"/>
      <c r="AV604" s="1277" t="n"/>
      <c r="AW604" s="1277" t="n"/>
      <c r="AX604" s="1277" t="n"/>
      <c r="AY604" s="1280">
        <f>AZ604</f>
        <v/>
      </c>
      <c r="AZ604" s="1297" t="n"/>
      <c r="BA604" s="1277" t="n"/>
      <c r="BB604" s="1277" t="n"/>
      <c r="BC604" s="1277" t="n"/>
      <c r="BD604" s="1280">
        <f>BE604</f>
        <v/>
      </c>
      <c r="BE604" s="1297" t="n"/>
      <c r="BF604" s="1277" t="n"/>
      <c r="BG604" s="1277" t="n"/>
      <c r="BH604" s="1277" t="n"/>
      <c r="BI604" s="1280">
        <f>BJ604</f>
        <v/>
      </c>
      <c r="BJ604" s="1297" t="n"/>
      <c r="BK604" s="1277" t="n"/>
      <c r="BL604" s="1277" t="n"/>
      <c r="BM604" s="1277" t="n"/>
      <c r="BN604" s="1280">
        <f>BO604</f>
        <v/>
      </c>
      <c r="BO604" s="1382" t="n"/>
      <c r="BP604" s="1277" t="n"/>
      <c r="BQ604" s="1277" t="n"/>
      <c r="BR604" s="1277" t="n"/>
      <c r="BS604" s="1277" t="n"/>
      <c r="BT604" s="1297" t="n"/>
      <c r="BU604" s="1277" t="n"/>
      <c r="BV604" s="1277" t="n"/>
      <c r="BW604" s="1277" t="n"/>
      <c r="BX604" s="1277" t="n"/>
      <c r="BY604" s="1297" t="n"/>
      <c r="BZ604" s="1297" t="n"/>
      <c r="CA604" s="1297" t="n"/>
      <c r="CB604" s="1297" t="n"/>
      <c r="CC604" s="1280" t="n"/>
    </row>
    <row r="605" hidden="1" outlineLevel="1" ht="14.4" customFormat="1" customHeight="1" s="1275">
      <c r="A605" s="1295" t="inlineStr">
        <is>
          <t>Proceeds from disposal or redemption of Financial assets carried at cost</t>
        </is>
      </c>
      <c r="B605" s="1387" t="n"/>
      <c r="C605" s="1299" t="n">
        <v>131.075</v>
      </c>
      <c r="D605" s="1299" t="n">
        <v>242.335</v>
      </c>
      <c r="E605" s="1299" t="n">
        <v>226.226</v>
      </c>
      <c r="F605" s="1299" t="n">
        <v>353.656</v>
      </c>
      <c r="G605" s="1299" t="n">
        <v>67.986</v>
      </c>
      <c r="H605" s="1298" t="n">
        <v>28.533</v>
      </c>
      <c r="I605" s="1298" t="n">
        <v>62.445</v>
      </c>
      <c r="J605" s="1298" t="n">
        <v>68.919</v>
      </c>
      <c r="K605" s="1280">
        <f>L605</f>
        <v/>
      </c>
      <c r="L605" s="1299" t="n">
        <v>87.501</v>
      </c>
      <c r="M605" s="1298" t="n">
        <v>9.125</v>
      </c>
      <c r="N605" s="1298" t="n">
        <v>86.756</v>
      </c>
      <c r="O605" s="1298" t="n">
        <v>357.993</v>
      </c>
      <c r="P605" s="1280">
        <f>Q605</f>
        <v/>
      </c>
      <c r="Q605" s="1299" t="n">
        <v>368.778</v>
      </c>
      <c r="R605" s="1298" t="n">
        <v>14.381</v>
      </c>
      <c r="S605" s="1298" t="n">
        <v>20.009</v>
      </c>
      <c r="T605" s="1298" t="n">
        <v>160.498</v>
      </c>
      <c r="U605" s="1280">
        <f>V605</f>
        <v/>
      </c>
      <c r="V605" s="1299" t="n">
        <v>160.498</v>
      </c>
      <c r="W605" s="1298" t="n">
        <v>0</v>
      </c>
      <c r="X605" s="1298" t="n">
        <v>50.18</v>
      </c>
      <c r="Y605" s="1298" t="n">
        <v>58.237</v>
      </c>
      <c r="Z605" s="1280">
        <f>AA605</f>
        <v/>
      </c>
      <c r="AA605" s="1299" t="n">
        <v>58.237</v>
      </c>
      <c r="AB605" s="1277" t="n"/>
      <c r="AC605" s="1277" t="n"/>
      <c r="AD605" s="1277" t="n"/>
      <c r="AE605" s="1280">
        <f>AF605</f>
        <v/>
      </c>
      <c r="AF605" s="1297" t="n"/>
      <c r="AG605" s="1277" t="n"/>
      <c r="AH605" s="1277" t="n"/>
      <c r="AI605" s="1277" t="n"/>
      <c r="AJ605" s="1277" t="n"/>
      <c r="AK605" s="1297" t="n"/>
      <c r="AL605" s="1277" t="n"/>
      <c r="AM605" s="1277" t="n"/>
      <c r="AN605" s="1277" t="n"/>
      <c r="AO605" s="1280">
        <f>AP605</f>
        <v/>
      </c>
      <c r="AP605" s="1297" t="n"/>
      <c r="AQ605" s="1277" t="n"/>
      <c r="AR605" s="1277" t="n"/>
      <c r="AS605" s="1277" t="n"/>
      <c r="AT605" s="1280">
        <f>AU605</f>
        <v/>
      </c>
      <c r="AU605" s="1297" t="n"/>
      <c r="AV605" s="1277" t="n"/>
      <c r="AW605" s="1277" t="n"/>
      <c r="AX605" s="1277" t="n"/>
      <c r="AY605" s="1280">
        <f>AZ605</f>
        <v/>
      </c>
      <c r="AZ605" s="1297" t="n"/>
      <c r="BA605" s="1277" t="n"/>
      <c r="BB605" s="1277" t="n"/>
      <c r="BC605" s="1277" t="n"/>
      <c r="BD605" s="1280">
        <f>BE605</f>
        <v/>
      </c>
      <c r="BE605" s="1297" t="n"/>
      <c r="BF605" s="1277" t="n"/>
      <c r="BG605" s="1277" t="n"/>
      <c r="BH605" s="1277" t="n"/>
      <c r="BI605" s="1280">
        <f>BJ605</f>
        <v/>
      </c>
      <c r="BJ605" s="1297" t="n"/>
      <c r="BK605" s="1277" t="n"/>
      <c r="BL605" s="1277" t="n"/>
      <c r="BM605" s="1277" t="n"/>
      <c r="BN605" s="1280">
        <f>BO605</f>
        <v/>
      </c>
      <c r="BO605" s="1382" t="n"/>
      <c r="BP605" s="1277" t="n"/>
      <c r="BQ605" s="1277" t="n"/>
      <c r="BR605" s="1277" t="n"/>
      <c r="BS605" s="1277" t="n"/>
      <c r="BT605" s="1297" t="n"/>
      <c r="BU605" s="1277" t="n"/>
      <c r="BV605" s="1277" t="n"/>
      <c r="BW605" s="1277" t="n"/>
      <c r="BX605" s="1277" t="n"/>
      <c r="BY605" s="1297" t="n"/>
      <c r="BZ605" s="1297" t="n"/>
      <c r="CA605" s="1297" t="n"/>
      <c r="CB605" s="1297" t="n"/>
      <c r="CC605" s="1280" t="n"/>
    </row>
    <row r="606" hidden="1" outlineLevel="1" ht="14.4" customFormat="1" customHeight="1" s="1275">
      <c r="A606" s="1295" t="inlineStr">
        <is>
          <t>Proceeds from disposal or redemption of Investments accounted for using equity method</t>
        </is>
      </c>
      <c r="B606" s="1387" t="n"/>
      <c r="C606" s="1297" t="n"/>
      <c r="D606" s="1297" t="n"/>
      <c r="E606" s="1297" t="n"/>
      <c r="F606" s="1299" t="n">
        <v>0</v>
      </c>
      <c r="G606" s="1299" t="n">
        <v>0</v>
      </c>
      <c r="H606" s="1277" t="n"/>
      <c r="I606" s="1298" t="n">
        <v>3471.883</v>
      </c>
      <c r="J606" s="1298" t="n">
        <v>3471.883</v>
      </c>
      <c r="K606" s="1280">
        <f>L606</f>
        <v/>
      </c>
      <c r="L606" s="1299" t="n">
        <v>3471.883</v>
      </c>
      <c r="M606" s="1298" t="n">
        <v>0</v>
      </c>
      <c r="N606" s="1298" t="n">
        <v>3962.848</v>
      </c>
      <c r="O606" s="1298" t="n">
        <v>3962.848</v>
      </c>
      <c r="P606" s="1280">
        <f>Q606</f>
        <v/>
      </c>
      <c r="Q606" s="1299" t="n">
        <v>5171.962</v>
      </c>
      <c r="R606" s="1298" t="n">
        <v>0</v>
      </c>
      <c r="S606" s="1298" t="n">
        <v>0</v>
      </c>
      <c r="T606" s="1298" t="n">
        <v>0</v>
      </c>
      <c r="U606" s="1280">
        <f>V606</f>
        <v/>
      </c>
      <c r="V606" s="1299" t="n">
        <v>0</v>
      </c>
      <c r="W606" s="1277" t="n"/>
      <c r="X606" s="1277" t="n"/>
      <c r="Y606" s="1277" t="n"/>
      <c r="Z606" s="1280">
        <f>AA606</f>
        <v/>
      </c>
      <c r="AA606" s="1297" t="n"/>
      <c r="AB606" s="1277" t="n"/>
      <c r="AC606" s="1277" t="n"/>
      <c r="AD606" s="1277" t="n"/>
      <c r="AE606" s="1280">
        <f>AF606</f>
        <v/>
      </c>
      <c r="AF606" s="1297" t="n"/>
      <c r="AG606" s="1277" t="n"/>
      <c r="AH606" s="1277" t="n"/>
      <c r="AI606" s="1277" t="n"/>
      <c r="AJ606" s="1277" t="n"/>
      <c r="AK606" s="1297" t="n"/>
      <c r="AL606" s="1277" t="n"/>
      <c r="AM606" s="1277" t="n"/>
      <c r="AN606" s="1277" t="n"/>
      <c r="AO606" s="1280">
        <f>AP606</f>
        <v/>
      </c>
      <c r="AP606" s="1297" t="n"/>
      <c r="AQ606" s="1277" t="n"/>
      <c r="AR606" s="1277" t="n"/>
      <c r="AS606" s="1277" t="n"/>
      <c r="AT606" s="1280">
        <f>AU606</f>
        <v/>
      </c>
      <c r="AU606" s="1297" t="n"/>
      <c r="AV606" s="1277" t="n"/>
      <c r="AW606" s="1277" t="n"/>
      <c r="AX606" s="1277" t="n"/>
      <c r="AY606" s="1280">
        <f>AZ606</f>
        <v/>
      </c>
      <c r="AZ606" s="1297" t="n"/>
      <c r="BA606" s="1277" t="n"/>
      <c r="BB606" s="1277" t="n"/>
      <c r="BC606" s="1277" t="n"/>
      <c r="BD606" s="1280">
        <f>BE606</f>
        <v/>
      </c>
      <c r="BE606" s="1297" t="n"/>
      <c r="BF606" s="1277" t="n"/>
      <c r="BG606" s="1277" t="n"/>
      <c r="BH606" s="1277" t="n"/>
      <c r="BI606" s="1280">
        <f>BJ606</f>
        <v/>
      </c>
      <c r="BJ606" s="1297" t="n"/>
      <c r="BK606" s="1277" t="n"/>
      <c r="BL606" s="1277" t="n"/>
      <c r="BM606" s="1277" t="n"/>
      <c r="BN606" s="1280">
        <f>BO606</f>
        <v/>
      </c>
      <c r="BO606" s="1382" t="n"/>
      <c r="BP606" s="1277" t="n"/>
      <c r="BQ606" s="1277" t="n"/>
      <c r="BR606" s="1277" t="n"/>
      <c r="BS606" s="1277" t="n"/>
      <c r="BT606" s="1297" t="n"/>
      <c r="BU606" s="1277" t="n"/>
      <c r="BV606" s="1277" t="n"/>
      <c r="BW606" s="1277" t="n"/>
      <c r="BX606" s="1277" t="n"/>
      <c r="BY606" s="1297" t="n"/>
      <c r="BZ606" s="1297" t="n"/>
      <c r="CA606" s="1297" t="n"/>
      <c r="CB606" s="1297" t="n"/>
      <c r="CC606" s="1280" t="n"/>
    </row>
    <row r="607" hidden="1" outlineLevel="1" ht="14.4" customFormat="1" customHeight="1" s="1275">
      <c r="A607" s="1295" t="inlineStr">
        <is>
          <t>Proceeds from disposal or redemption of Property, plant and equipment</t>
        </is>
      </c>
      <c r="B607" s="1387" t="n"/>
      <c r="C607" s="1299" t="n">
        <v>24.241</v>
      </c>
      <c r="D607" s="1299" t="n">
        <v>115.524</v>
      </c>
      <c r="E607" s="1299" t="n">
        <v>698.0549999999999</v>
      </c>
      <c r="F607" s="1299" t="n">
        <v>157.484</v>
      </c>
      <c r="G607" s="1299" t="n">
        <v>173.554</v>
      </c>
      <c r="H607" s="1298" t="n">
        <v>55.255</v>
      </c>
      <c r="I607" s="1298" t="n">
        <v>114.987</v>
      </c>
      <c r="J607" s="1298" t="n">
        <v>163.25</v>
      </c>
      <c r="K607" s="1280">
        <f>L607</f>
        <v/>
      </c>
      <c r="L607" s="1299" t="n">
        <v>200.263</v>
      </c>
      <c r="M607" s="1298" t="n">
        <v>30.161</v>
      </c>
      <c r="N607" s="1298" t="n">
        <v>30.462</v>
      </c>
      <c r="O607" s="1298" t="n">
        <v>70.43300000000001</v>
      </c>
      <c r="P607" s="1280">
        <f>Q607</f>
        <v/>
      </c>
      <c r="Q607" s="1299" t="n">
        <v>816.852</v>
      </c>
      <c r="R607" s="1298" t="n">
        <v>12.47</v>
      </c>
      <c r="S607" s="1298" t="n">
        <v>26.517</v>
      </c>
      <c r="T607" s="1298" t="n">
        <v>93.72</v>
      </c>
      <c r="U607" s="1280">
        <f>V607</f>
        <v/>
      </c>
      <c r="V607" s="1299" t="n">
        <v>98.069</v>
      </c>
      <c r="W607" s="1298" t="n">
        <v>151.904</v>
      </c>
      <c r="X607" s="1298" t="n">
        <v>170.029</v>
      </c>
      <c r="Y607" s="1298" t="n">
        <v>253.267</v>
      </c>
      <c r="Z607" s="1280">
        <f>AA607</f>
        <v/>
      </c>
      <c r="AA607" s="1299" t="n">
        <v>326.232</v>
      </c>
      <c r="AB607" s="1298" t="n">
        <v>47.376</v>
      </c>
      <c r="AC607" s="1298" t="n">
        <v>116.927</v>
      </c>
      <c r="AD607" s="1298" t="n">
        <v>135.507</v>
      </c>
      <c r="AE607" s="1280">
        <f>AF607</f>
        <v/>
      </c>
      <c r="AF607" s="1299" t="n">
        <v>181.45</v>
      </c>
      <c r="AG607" s="1298" t="n">
        <v>75.142</v>
      </c>
      <c r="AH607" s="1298" t="n">
        <v>155.32</v>
      </c>
      <c r="AI607" s="1298" t="n">
        <v>218.362</v>
      </c>
      <c r="AJ607" s="1280">
        <f>AK607</f>
        <v/>
      </c>
      <c r="AK607" s="1299" t="n">
        <v>287.318</v>
      </c>
      <c r="AL607" s="1298" t="n">
        <v>65.867</v>
      </c>
      <c r="AM607" s="1298" t="n">
        <v>182.002</v>
      </c>
      <c r="AN607" s="1298" t="n">
        <v>405.716</v>
      </c>
      <c r="AO607" s="1280">
        <f>AP607</f>
        <v/>
      </c>
      <c r="AP607" s="1299" t="n">
        <v>606.732</v>
      </c>
      <c r="AQ607" s="1298" t="n">
        <v>57.901</v>
      </c>
      <c r="AR607" s="1298" t="n">
        <v>116.857</v>
      </c>
      <c r="AS607" s="1298" t="n">
        <v>213.686</v>
      </c>
      <c r="AT607" s="1280">
        <f>AU607</f>
        <v/>
      </c>
      <c r="AU607" s="1299" t="n">
        <v>390.364</v>
      </c>
      <c r="AV607" s="1298" t="n">
        <v>609.153</v>
      </c>
      <c r="AW607" s="1298" t="n">
        <v>672.885</v>
      </c>
      <c r="AX607" s="1298" t="n">
        <v>801.029</v>
      </c>
      <c r="AY607" s="1280">
        <f>AZ607</f>
        <v/>
      </c>
      <c r="AZ607" s="1299" t="n">
        <v>983.3579999999999</v>
      </c>
      <c r="BA607" s="1298" t="n">
        <v>73.607</v>
      </c>
      <c r="BB607" s="1298" t="n">
        <v>243.445</v>
      </c>
      <c r="BC607" s="1298" t="n">
        <v>391.764</v>
      </c>
      <c r="BD607" s="1280">
        <f>BE607</f>
        <v/>
      </c>
      <c r="BE607" s="1299" t="n">
        <v>703.904</v>
      </c>
      <c r="BF607" s="1298" t="n">
        <v>336.637</v>
      </c>
      <c r="BG607" s="1298" t="n">
        <v>492.765</v>
      </c>
      <c r="BH607" s="1298" t="n">
        <v>639.042</v>
      </c>
      <c r="BI607" s="1280">
        <f>BJ607</f>
        <v/>
      </c>
      <c r="BJ607" s="1299" t="n">
        <v>894.573</v>
      </c>
      <c r="BK607" s="1298" t="n">
        <v>127.764</v>
      </c>
      <c r="BL607" s="1298" t="n">
        <v>245.283</v>
      </c>
      <c r="BM607" s="1298" t="n">
        <v>314.781</v>
      </c>
      <c r="BN607" s="1280">
        <f>BO607</f>
        <v/>
      </c>
      <c r="BO607" s="1645" t="n">
        <v>797</v>
      </c>
      <c r="BP607" s="1277" t="n"/>
      <c r="BQ607" s="1277" t="n"/>
      <c r="BR607" s="1277" t="n"/>
      <c r="BS607" s="1277" t="n"/>
      <c r="BT607" s="1297" t="n"/>
      <c r="BU607" s="1277" t="n"/>
      <c r="BV607" s="1277" t="n"/>
      <c r="BW607" s="1277" t="n"/>
      <c r="BX607" s="1277" t="n"/>
      <c r="BY607" s="1297" t="n"/>
      <c r="BZ607" s="1297" t="n"/>
      <c r="CA607" s="1297" t="n"/>
      <c r="CB607" s="1297" t="n"/>
      <c r="CC607" s="1280" t="n"/>
    </row>
    <row r="608" hidden="1" outlineLevel="1" ht="14.4" customFormat="1" customHeight="1" s="1275">
      <c r="A608" s="1295" t="inlineStr">
        <is>
          <t>Proceeds from return of capital of financial assets carried at cost</t>
        </is>
      </c>
      <c r="B608" s="1387" t="n"/>
      <c r="C608" s="1299" t="n">
        <v>1.176</v>
      </c>
      <c r="D608" s="1299" t="n">
        <v>-1015.458</v>
      </c>
      <c r="E608" s="1299" t="n">
        <v>63.723</v>
      </c>
      <c r="F608" s="1299" t="n">
        <v>26.688</v>
      </c>
      <c r="G608" s="1299" t="n">
        <v>0</v>
      </c>
      <c r="H608" s="1277" t="n"/>
      <c r="I608" s="1298" t="n">
        <v>0</v>
      </c>
      <c r="J608" s="1298" t="n">
        <v>0</v>
      </c>
      <c r="K608" s="1280">
        <f>L608</f>
        <v/>
      </c>
      <c r="L608" s="1299" t="n">
        <v>0</v>
      </c>
      <c r="M608" s="1298" t="n">
        <v>0</v>
      </c>
      <c r="N608" s="1298" t="n">
        <v>0</v>
      </c>
      <c r="O608" s="1298" t="n">
        <v>0</v>
      </c>
      <c r="P608" s="1280">
        <f>Q608</f>
        <v/>
      </c>
      <c r="Q608" s="1299" t="n">
        <v>0</v>
      </c>
      <c r="R608" s="1298" t="n">
        <v>0</v>
      </c>
      <c r="S608" s="1298" t="n">
        <v>42.064</v>
      </c>
      <c r="T608" s="1298" t="n">
        <v>65.383</v>
      </c>
      <c r="U608" s="1280">
        <f>V608</f>
        <v/>
      </c>
      <c r="V608" s="1299" t="n">
        <v>65.087</v>
      </c>
      <c r="W608" s="1277" t="n"/>
      <c r="X608" s="1298" t="n">
        <v>0</v>
      </c>
      <c r="Y608" s="1298" t="n">
        <v>14.828</v>
      </c>
      <c r="Z608" s="1280">
        <f>AA608</f>
        <v/>
      </c>
      <c r="AA608" s="1299" t="n">
        <v>14.828</v>
      </c>
      <c r="AB608" s="1277" t="n"/>
      <c r="AC608" s="1277" t="n"/>
      <c r="AD608" s="1277" t="n"/>
      <c r="AE608" s="1280">
        <f>AF608</f>
        <v/>
      </c>
      <c r="AF608" s="1297" t="n"/>
      <c r="AG608" s="1277" t="n"/>
      <c r="AH608" s="1277" t="n"/>
      <c r="AI608" s="1277" t="n"/>
      <c r="AJ608" s="1277" t="n"/>
      <c r="AK608" s="1297" t="n"/>
      <c r="AL608" s="1277" t="n"/>
      <c r="AM608" s="1277" t="n"/>
      <c r="AN608" s="1277" t="n"/>
      <c r="AO608" s="1280">
        <f>AP608</f>
        <v/>
      </c>
      <c r="AP608" s="1297" t="n"/>
      <c r="AQ608" s="1277" t="n"/>
      <c r="AR608" s="1277" t="n"/>
      <c r="AS608" s="1277" t="n"/>
      <c r="AT608" s="1280">
        <f>AU608</f>
        <v/>
      </c>
      <c r="AU608" s="1297" t="n"/>
      <c r="AV608" s="1277" t="n"/>
      <c r="AW608" s="1277" t="n"/>
      <c r="AX608" s="1277" t="n"/>
      <c r="AY608" s="1280">
        <f>AZ608</f>
        <v/>
      </c>
      <c r="AZ608" s="1297" t="n"/>
      <c r="BA608" s="1277" t="n"/>
      <c r="BB608" s="1277" t="n"/>
      <c r="BC608" s="1277" t="n"/>
      <c r="BD608" s="1280">
        <f>BE608</f>
        <v/>
      </c>
      <c r="BE608" s="1297" t="n"/>
      <c r="BF608" s="1277" t="n"/>
      <c r="BG608" s="1277" t="n"/>
      <c r="BH608" s="1277" t="n"/>
      <c r="BI608" s="1280">
        <f>BJ608</f>
        <v/>
      </c>
      <c r="BJ608" s="1297" t="n"/>
      <c r="BK608" s="1277" t="n"/>
      <c r="BL608" s="1277" t="n"/>
      <c r="BM608" s="1277" t="n"/>
      <c r="BN608" s="1280">
        <f>BO608</f>
        <v/>
      </c>
      <c r="BO608" s="1382" t="n"/>
      <c r="BP608" s="1277" t="n"/>
      <c r="BQ608" s="1277" t="n"/>
      <c r="BR608" s="1277" t="n"/>
      <c r="BS608" s="1277" t="n"/>
      <c r="BT608" s="1297" t="n"/>
      <c r="BU608" s="1277" t="n"/>
      <c r="BV608" s="1277" t="n"/>
      <c r="BW608" s="1277" t="n"/>
      <c r="BX608" s="1277" t="n"/>
      <c r="BY608" s="1297" t="n"/>
      <c r="BZ608" s="1297" t="n"/>
      <c r="CA608" s="1297" t="n"/>
      <c r="CB608" s="1297" t="n"/>
      <c r="CC608" s="1280" t="n"/>
    </row>
    <row r="609" hidden="1" outlineLevel="1" ht="14.4" customFormat="1" customHeight="1" s="1275">
      <c r="A609" s="1295" t="inlineStr">
        <is>
          <t>Proceeds from return of capital of investments in equity instruments at fair value through other comprehensive income</t>
        </is>
      </c>
      <c r="B609" s="1387" t="n"/>
      <c r="C609" s="1297" t="n"/>
      <c r="D609" s="1297" t="n"/>
      <c r="E609" s="1297" t="n"/>
      <c r="F609" s="1297" t="n"/>
      <c r="G609" s="1297" t="n"/>
      <c r="H609" s="1277" t="n"/>
      <c r="I609" s="1277" t="n"/>
      <c r="J609" s="1277" t="n"/>
      <c r="K609" s="1277" t="n"/>
      <c r="L609" s="1297" t="n"/>
      <c r="M609" s="1277" t="n"/>
      <c r="N609" s="1277" t="n"/>
      <c r="O609" s="1277" t="n"/>
      <c r="P609" s="1277" t="n"/>
      <c r="Q609" s="1297" t="n"/>
      <c r="R609" s="1277" t="n"/>
      <c r="S609" s="1277" t="n"/>
      <c r="T609" s="1277" t="n"/>
      <c r="U609" s="1277" t="n"/>
      <c r="V609" s="1297" t="n"/>
      <c r="W609" s="1277" t="n"/>
      <c r="X609" s="1277" t="n"/>
      <c r="Y609" s="1277" t="n"/>
      <c r="Z609" s="1277" t="n"/>
      <c r="AA609" s="1297" t="n"/>
      <c r="AB609" s="1277" t="n"/>
      <c r="AC609" s="1298" t="n">
        <v>127.878</v>
      </c>
      <c r="AD609" s="1298" t="n">
        <v>127.878</v>
      </c>
      <c r="AE609" s="1280">
        <f>AF609</f>
        <v/>
      </c>
      <c r="AF609" s="1299" t="n">
        <v>127.878</v>
      </c>
      <c r="AG609" s="1277" t="n"/>
      <c r="AH609" s="1277" t="n"/>
      <c r="AI609" s="1277" t="n"/>
      <c r="AJ609" s="1280">
        <f>AK609</f>
        <v/>
      </c>
      <c r="AK609" s="1299" t="n">
        <v>1.107</v>
      </c>
      <c r="AL609" s="1277" t="n"/>
      <c r="AM609" s="1277" t="n"/>
      <c r="AN609" s="1298" t="n">
        <v>51.045</v>
      </c>
      <c r="AO609" s="1280">
        <f>AP609</f>
        <v/>
      </c>
      <c r="AP609" s="1299" t="n">
        <v>51.052</v>
      </c>
      <c r="AQ609" s="1298" t="n">
        <v>62.837</v>
      </c>
      <c r="AR609" s="1298" t="n">
        <v>62.837</v>
      </c>
      <c r="AS609" s="1298" t="n">
        <v>115.627</v>
      </c>
      <c r="AT609" s="1280">
        <f>AU609</f>
        <v/>
      </c>
      <c r="AU609" s="1299" t="n">
        <v>115.627</v>
      </c>
      <c r="AV609" s="1277" t="n"/>
      <c r="AW609" s="1298" t="n">
        <v>0.3</v>
      </c>
      <c r="AX609" s="1298" t="n">
        <v>0.3</v>
      </c>
      <c r="AY609" s="1280">
        <f>AZ609</f>
        <v/>
      </c>
      <c r="AZ609" s="1299" t="n">
        <v>2.938</v>
      </c>
      <c r="BA609" s="1298" t="n">
        <v>0.122</v>
      </c>
      <c r="BB609" s="1298" t="n">
        <v>105.981</v>
      </c>
      <c r="BC609" s="1298" t="n">
        <v>117.897</v>
      </c>
      <c r="BD609" s="1280">
        <f>BE609</f>
        <v/>
      </c>
      <c r="BE609" s="1299" t="n">
        <v>127.963</v>
      </c>
      <c r="BF609" s="1298" t="n">
        <v>2.26</v>
      </c>
      <c r="BG609" s="1298" t="n">
        <v>117.483</v>
      </c>
      <c r="BH609" s="1298" t="n">
        <v>319.518</v>
      </c>
      <c r="BI609" s="1280">
        <f>BJ609</f>
        <v/>
      </c>
      <c r="BJ609" s="1299" t="n">
        <v>325.952</v>
      </c>
      <c r="BK609" s="1298" t="n">
        <v>1.112</v>
      </c>
      <c r="BL609" s="1298" t="n">
        <v>4.976</v>
      </c>
      <c r="BM609" s="1298" t="n">
        <v>96.363</v>
      </c>
      <c r="BN609" s="1280">
        <f>BO609</f>
        <v/>
      </c>
      <c r="BO609" s="1382" t="n"/>
      <c r="BP609" s="1277" t="n"/>
      <c r="BQ609" s="1277" t="n"/>
      <c r="BR609" s="1277" t="n"/>
      <c r="BS609" s="1277" t="n"/>
      <c r="BT609" s="1297" t="n"/>
      <c r="BU609" s="1277" t="n"/>
      <c r="BV609" s="1277" t="n"/>
      <c r="BW609" s="1277" t="n"/>
      <c r="BX609" s="1277" t="n"/>
      <c r="BY609" s="1297" t="n"/>
      <c r="BZ609" s="1297" t="n"/>
      <c r="CA609" s="1297" t="n"/>
      <c r="CB609" s="1297" t="n"/>
      <c r="CC609" s="1280" t="n"/>
    </row>
    <row r="610" hidden="1" outlineLevel="1" ht="14.4" customFormat="1" customHeight="1" s="1275">
      <c r="A610" s="1295" t="inlineStr">
        <is>
          <t>Proceeds from disposal or redemption of Financial instruments at fair value through profit or loss - debt instruments</t>
        </is>
      </c>
      <c r="B610" s="1387" t="n"/>
      <c r="C610" s="1297" t="n"/>
      <c r="D610" s="1297" t="n"/>
      <c r="E610" s="1297" t="n"/>
      <c r="F610" s="1297" t="n"/>
      <c r="G610" s="1297" t="n"/>
      <c r="H610" s="1277" t="n"/>
      <c r="I610" s="1277" t="n"/>
      <c r="J610" s="1277" t="n"/>
      <c r="K610" s="1277" t="n"/>
      <c r="L610" s="1297" t="n"/>
      <c r="M610" s="1277" t="n"/>
      <c r="N610" s="1277" t="n"/>
      <c r="O610" s="1277" t="n"/>
      <c r="P610" s="1277" t="n"/>
      <c r="Q610" s="1297" t="n"/>
      <c r="R610" s="1277" t="n"/>
      <c r="S610" s="1277" t="n"/>
      <c r="T610" s="1277" t="n"/>
      <c r="U610" s="1277" t="n"/>
      <c r="V610" s="1297" t="n"/>
      <c r="W610" s="1277" t="n"/>
      <c r="X610" s="1277" t="n"/>
      <c r="Y610" s="1277" t="n"/>
      <c r="Z610" s="1277" t="n"/>
      <c r="AA610" s="1297" t="n"/>
      <c r="AB610" s="1298" t="n">
        <v>49.438</v>
      </c>
      <c r="AC610" s="1298" t="n">
        <v>63.15</v>
      </c>
      <c r="AD610" s="1298" t="n">
        <v>286.248</v>
      </c>
      <c r="AE610" s="1280">
        <f>AF610</f>
        <v/>
      </c>
      <c r="AF610" s="1299" t="n">
        <v>487.216</v>
      </c>
      <c r="AG610" s="1298" t="n">
        <v>93.328</v>
      </c>
      <c r="AH610" s="1298" t="n">
        <v>1387.817</v>
      </c>
      <c r="AI610" s="1298" t="n">
        <v>2418.153</v>
      </c>
      <c r="AJ610" s="1280">
        <f>AK610</f>
        <v/>
      </c>
      <c r="AK610" s="1299" t="n">
        <v>2418.153</v>
      </c>
      <c r="AL610" s="1277" t="n"/>
      <c r="AM610" s="1277" t="n"/>
      <c r="AN610" s="1277" t="n"/>
      <c r="AO610" s="1280">
        <f>AP610</f>
        <v/>
      </c>
      <c r="AP610" s="1299" t="n">
        <v>30.049</v>
      </c>
      <c r="AQ610" s="1277" t="n"/>
      <c r="AR610" s="1277" t="n"/>
      <c r="AS610" s="1277" t="n"/>
      <c r="AT610" s="1280">
        <f>AU610</f>
        <v/>
      </c>
      <c r="AU610" s="1297" t="n"/>
      <c r="AV610" s="1277" t="n"/>
      <c r="AW610" s="1277" t="n"/>
      <c r="AX610" s="1277" t="n"/>
      <c r="AY610" s="1280">
        <f>AZ610</f>
        <v/>
      </c>
      <c r="AZ610" s="1297" t="n"/>
      <c r="BA610" s="1277" t="n"/>
      <c r="BB610" s="1277" t="n"/>
      <c r="BC610" s="1277" t="n"/>
      <c r="BD610" s="1280">
        <f>BE610</f>
        <v/>
      </c>
      <c r="BE610" s="1297" t="n"/>
      <c r="BF610" s="1277" t="n"/>
      <c r="BG610" s="1277" t="n"/>
      <c r="BH610" s="1277" t="n"/>
      <c r="BI610" s="1280">
        <f>BJ610</f>
        <v/>
      </c>
      <c r="BJ610" s="1297" t="n"/>
      <c r="BK610" s="1277" t="n"/>
      <c r="BL610" s="1277" t="n"/>
      <c r="BM610" s="1277" t="n"/>
      <c r="BN610" s="1280">
        <f>BO610</f>
        <v/>
      </c>
      <c r="BO610" s="1382" t="n"/>
      <c r="BP610" s="1277" t="n"/>
      <c r="BQ610" s="1277" t="n"/>
      <c r="BR610" s="1277" t="n"/>
      <c r="BS610" s="1277" t="n"/>
      <c r="BT610" s="1297" t="n"/>
      <c r="BU610" s="1277" t="n"/>
      <c r="BV610" s="1277" t="n"/>
      <c r="BW610" s="1277" t="n"/>
      <c r="BX610" s="1277" t="n"/>
      <c r="BY610" s="1297" t="n"/>
      <c r="BZ610" s="1297" t="n"/>
      <c r="CA610" s="1297" t="n"/>
      <c r="CB610" s="1297" t="n"/>
      <c r="CC610" s="1280" t="n"/>
    </row>
    <row r="611" hidden="1" outlineLevel="1" ht="14.4" customFormat="1" customHeight="1" s="1275">
      <c r="A611" s="1295" t="inlineStr">
        <is>
          <t>Proceeds from disposal or redemption of Financial assets at fair value through other comprehensive income</t>
        </is>
      </c>
      <c r="B611" s="1387" t="n"/>
      <c r="C611" s="1297" t="n"/>
      <c r="D611" s="1297" t="n"/>
      <c r="E611" s="1297" t="n"/>
      <c r="F611" s="1297" t="n"/>
      <c r="G611" s="1297" t="n"/>
      <c r="H611" s="1277" t="n"/>
      <c r="I611" s="1277" t="n"/>
      <c r="J611" s="1277" t="n"/>
      <c r="K611" s="1277" t="n"/>
      <c r="L611" s="1297" t="n"/>
      <c r="M611" s="1277" t="n"/>
      <c r="N611" s="1277" t="n"/>
      <c r="O611" s="1277" t="n"/>
      <c r="P611" s="1277" t="n"/>
      <c r="Q611" s="1297" t="n"/>
      <c r="R611" s="1277" t="n"/>
      <c r="S611" s="1277" t="n"/>
      <c r="T611" s="1277" t="n"/>
      <c r="U611" s="1277" t="n"/>
      <c r="V611" s="1297" t="n"/>
      <c r="W611" s="1277" t="n"/>
      <c r="X611" s="1277" t="n"/>
      <c r="Y611" s="1277" t="n"/>
      <c r="Z611" s="1277" t="n"/>
      <c r="AA611" s="1297" t="n"/>
      <c r="AB611" s="1298" t="n">
        <v>20123.921</v>
      </c>
      <c r="AC611" s="1298" t="n">
        <v>39921.113</v>
      </c>
      <c r="AD611" s="1298" t="n">
        <v>63929.332</v>
      </c>
      <c r="AE611" s="1280">
        <f>AF611</f>
        <v/>
      </c>
      <c r="AF611" s="1299" t="n">
        <v>86639.322</v>
      </c>
      <c r="AG611" s="1298" t="n">
        <v>31684.346</v>
      </c>
      <c r="AH611" s="1298" t="n">
        <v>86851.33500000001</v>
      </c>
      <c r="AI611" s="1298" t="n">
        <v>173955.646</v>
      </c>
      <c r="AJ611" s="1280">
        <f>AK611</f>
        <v/>
      </c>
      <c r="AK611" s="1299" t="n">
        <v>230444.486</v>
      </c>
      <c r="AL611" s="1298" t="n">
        <v>57185.928</v>
      </c>
      <c r="AM611" s="1298" t="n">
        <v>126227.986</v>
      </c>
      <c r="AN611" s="1298" t="n">
        <v>191760.59</v>
      </c>
      <c r="AO611" s="1280">
        <f>AP611</f>
        <v/>
      </c>
      <c r="AP611" s="1299" t="n">
        <v>266931.916</v>
      </c>
      <c r="AQ611" s="1298" t="n">
        <v>81167.791</v>
      </c>
      <c r="AR611" s="1298" t="n">
        <v>148593.456</v>
      </c>
      <c r="AS611" s="1298" t="n">
        <v>198739.617</v>
      </c>
      <c r="AT611" s="1280">
        <f>AU611</f>
        <v/>
      </c>
      <c r="AU611" s="1299" t="n">
        <v>254604.537</v>
      </c>
      <c r="AV611" s="1298" t="n">
        <v>29254.025</v>
      </c>
      <c r="AW611" s="1298" t="n">
        <v>32886.262</v>
      </c>
      <c r="AX611" s="1298" t="n">
        <v>41221.41</v>
      </c>
      <c r="AY611" s="1280">
        <f>AZ611</f>
        <v/>
      </c>
      <c r="AZ611" s="1299" t="n">
        <v>44963.367</v>
      </c>
      <c r="BA611" s="1298" t="n">
        <v>8752.678</v>
      </c>
      <c r="BB611" s="1298" t="n">
        <v>20019.915</v>
      </c>
      <c r="BC611" s="1298" t="n">
        <v>28804.766</v>
      </c>
      <c r="BD611" s="1280">
        <f>BE611</f>
        <v/>
      </c>
      <c r="BE611" s="1299" t="n">
        <v>35698.575</v>
      </c>
      <c r="BF611" s="1298" t="n">
        <v>12604.731</v>
      </c>
      <c r="BG611" s="1298" t="n">
        <v>28414.789</v>
      </c>
      <c r="BH611" s="1298" t="n">
        <v>43454</v>
      </c>
      <c r="BI611" s="1280">
        <f>BJ611</f>
        <v/>
      </c>
      <c r="BJ611" s="1299" t="n">
        <v>67684.556</v>
      </c>
      <c r="BK611" s="1298" t="n">
        <v>29048.286</v>
      </c>
      <c r="BL611" s="1298" t="n">
        <v>49745.299</v>
      </c>
      <c r="BM611" s="1298" t="n">
        <v>65603.469</v>
      </c>
      <c r="BN611" s="1280">
        <f>BO611</f>
        <v/>
      </c>
      <c r="BO611" s="1382" t="n"/>
      <c r="BP611" s="1277" t="n"/>
      <c r="BQ611" s="1277" t="n"/>
      <c r="BR611" s="1277" t="n"/>
      <c r="BS611" s="1277" t="n"/>
      <c r="BT611" s="1297" t="n"/>
      <c r="BU611" s="1277" t="n"/>
      <c r="BV611" s="1277" t="n"/>
      <c r="BW611" s="1277" t="n"/>
      <c r="BX611" s="1277" t="n"/>
      <c r="BY611" s="1297" t="n"/>
      <c r="BZ611" s="1297" t="n"/>
      <c r="CA611" s="1297" t="n"/>
      <c r="CB611" s="1297" t="n"/>
      <c r="CC611" s="1280" t="n"/>
    </row>
    <row r="612" hidden="1" outlineLevel="1" ht="14.4" customFormat="1" customHeight="1" s="1275">
      <c r="A612" s="1295" t="inlineStr">
        <is>
          <t>Proceeds from disposal or redemption of Financial assets at amortized cost</t>
        </is>
      </c>
      <c r="B612" s="1387" t="n"/>
      <c r="C612" s="1297" t="n"/>
      <c r="D612" s="1297" t="n"/>
      <c r="E612" s="1297" t="n"/>
      <c r="F612" s="1297" t="n"/>
      <c r="G612" s="1297" t="n"/>
      <c r="H612" s="1277" t="n"/>
      <c r="I612" s="1277" t="n"/>
      <c r="J612" s="1277" t="n"/>
      <c r="K612" s="1277" t="n"/>
      <c r="L612" s="1297" t="n"/>
      <c r="M612" s="1277" t="n"/>
      <c r="N612" s="1277" t="n"/>
      <c r="O612" s="1277" t="n"/>
      <c r="P612" s="1277" t="n"/>
      <c r="Q612" s="1297" t="n"/>
      <c r="R612" s="1277" t="n"/>
      <c r="S612" s="1277" t="n"/>
      <c r="T612" s="1277" t="n"/>
      <c r="U612" s="1277" t="n"/>
      <c r="V612" s="1297" t="n"/>
      <c r="W612" s="1277" t="n"/>
      <c r="X612" s="1277" t="n"/>
      <c r="Y612" s="1277" t="n"/>
      <c r="Z612" s="1277" t="n"/>
      <c r="AA612" s="1297" t="n"/>
      <c r="AB612" s="1298" t="n">
        <v>498.542</v>
      </c>
      <c r="AC612" s="1298" t="n">
        <v>498.542</v>
      </c>
      <c r="AD612" s="1298" t="n">
        <v>2032.442</v>
      </c>
      <c r="AE612" s="1280">
        <f>AF612</f>
        <v/>
      </c>
      <c r="AF612" s="1299" t="n">
        <v>2032.442</v>
      </c>
      <c r="AG612" s="1298" t="n">
        <v>10138.09</v>
      </c>
      <c r="AH612" s="1298" t="n">
        <v>14349.19</v>
      </c>
      <c r="AI612" s="1298" t="n">
        <v>14349.19</v>
      </c>
      <c r="AJ612" s="1280">
        <f>AK612</f>
        <v/>
      </c>
      <c r="AK612" s="1299" t="n">
        <v>14349.19</v>
      </c>
      <c r="AL612" s="1277" t="n"/>
      <c r="AM612" s="1277" t="n"/>
      <c r="AN612" s="1277" t="n"/>
      <c r="AO612" s="1280">
        <f>AP612</f>
        <v/>
      </c>
      <c r="AP612" s="1299" t="n">
        <v>285.21</v>
      </c>
      <c r="AQ612" s="1277" t="n"/>
      <c r="AR612" s="1298" t="n">
        <v>6581.175</v>
      </c>
      <c r="AS612" s="1298" t="n">
        <v>9368.275</v>
      </c>
      <c r="AT612" s="1280">
        <f>AU612</f>
        <v/>
      </c>
      <c r="AU612" s="1299" t="n">
        <v>9368.275</v>
      </c>
      <c r="AV612" s="1277" t="n"/>
      <c r="AW612" s="1298" t="n">
        <v>1970.939</v>
      </c>
      <c r="AX612" s="1298" t="n">
        <v>20620.129</v>
      </c>
      <c r="AY612" s="1280">
        <f>AZ612</f>
        <v/>
      </c>
      <c r="AZ612" s="1299" t="n">
        <v>62329.674</v>
      </c>
      <c r="BA612" s="1298" t="n">
        <v>42297.509</v>
      </c>
      <c r="BB612" s="1298" t="n">
        <v>75503.314</v>
      </c>
      <c r="BC612" s="1298" t="n">
        <v>89166.171</v>
      </c>
      <c r="BD612" s="1280">
        <f>BE612</f>
        <v/>
      </c>
      <c r="BE612" s="1299" t="n">
        <v>134605.822</v>
      </c>
      <c r="BF612" s="1298" t="n">
        <v>37619.382</v>
      </c>
      <c r="BG612" s="1298" t="n">
        <v>66310.102</v>
      </c>
      <c r="BH612" s="1298" t="n">
        <v>85696.38</v>
      </c>
      <c r="BI612" s="1280">
        <f>BJ612</f>
        <v/>
      </c>
      <c r="BJ612" s="1299" t="n">
        <v>118350.898</v>
      </c>
      <c r="BK612" s="1298" t="n">
        <v>24877.973</v>
      </c>
      <c r="BL612" s="1298" t="n">
        <v>77925.126</v>
      </c>
      <c r="BM612" s="1298" t="n">
        <v>111261.85</v>
      </c>
      <c r="BN612" s="1280">
        <f>BO612</f>
        <v/>
      </c>
      <c r="BO612" s="1645" t="n">
        <v>218256</v>
      </c>
      <c r="BP612" s="1277" t="n"/>
      <c r="BQ612" s="1277" t="n"/>
      <c r="BR612" s="1277" t="n"/>
      <c r="BS612" s="1277" t="n"/>
      <c r="BT612" s="1297" t="n"/>
      <c r="BU612" s="1277" t="n"/>
      <c r="BV612" s="1277" t="n"/>
      <c r="BW612" s="1277" t="n"/>
      <c r="BX612" s="1277" t="n"/>
      <c r="BY612" s="1297" t="n"/>
      <c r="BZ612" s="1297" t="n"/>
      <c r="CA612" s="1297" t="n"/>
      <c r="CB612" s="1297" t="n"/>
      <c r="CC612" s="1280" t="n"/>
    </row>
    <row r="613" hidden="1" outlineLevel="1" ht="14.4" customFormat="1" customHeight="1" s="1275">
      <c r="A613" s="1295" t="inlineStr">
        <is>
          <t>Proceeds from disposal or redemption of Intangible assets</t>
        </is>
      </c>
      <c r="B613" s="1387" t="n"/>
      <c r="C613" s="1297" t="n"/>
      <c r="D613" s="1297" t="n"/>
      <c r="E613" s="1297" t="n"/>
      <c r="F613" s="1297" t="n"/>
      <c r="G613" s="1297" t="n"/>
      <c r="H613" s="1277" t="n"/>
      <c r="I613" s="1277" t="n"/>
      <c r="J613" s="1277" t="n"/>
      <c r="K613" s="1277" t="n"/>
      <c r="L613" s="1297" t="n"/>
      <c r="M613" s="1277" t="n"/>
      <c r="N613" s="1277" t="n"/>
      <c r="O613" s="1277" t="n"/>
      <c r="P613" s="1277" t="n"/>
      <c r="Q613" s="1297" t="n"/>
      <c r="R613" s="1277" t="n"/>
      <c r="S613" s="1277" t="n"/>
      <c r="T613" s="1277" t="n"/>
      <c r="U613" s="1277" t="n"/>
      <c r="V613" s="1297" t="n"/>
      <c r="W613" s="1277" t="n"/>
      <c r="X613" s="1277" t="n"/>
      <c r="Y613" s="1277" t="n"/>
      <c r="Z613" s="1277" t="n"/>
      <c r="AA613" s="1297" t="n"/>
      <c r="AB613" s="1298" t="n">
        <v>0.492</v>
      </c>
      <c r="AC613" s="1298" t="n">
        <v>0.492</v>
      </c>
      <c r="AD613" s="1298" t="n">
        <v>0.492</v>
      </c>
      <c r="AE613" s="1280">
        <f>AF613</f>
        <v/>
      </c>
      <c r="AF613" s="1299" t="n">
        <v>0.492</v>
      </c>
      <c r="AG613" s="1277" t="n"/>
      <c r="AH613" s="1277" t="n"/>
      <c r="AI613" s="1298" t="n">
        <v>0</v>
      </c>
      <c r="AJ613" s="1277" t="n"/>
      <c r="AK613" s="1297" t="n"/>
      <c r="AL613" s="1277" t="n"/>
      <c r="AM613" s="1277" t="n"/>
      <c r="AN613" s="1277" t="n"/>
      <c r="AO613" s="1280">
        <f>AP613</f>
        <v/>
      </c>
      <c r="AP613" s="1297" t="n"/>
      <c r="AQ613" s="1277" t="n"/>
      <c r="AR613" s="1277" t="n"/>
      <c r="AS613" s="1277" t="n"/>
      <c r="AT613" s="1280">
        <f>AU613</f>
        <v/>
      </c>
      <c r="AU613" s="1297" t="n"/>
      <c r="AV613" s="1277" t="n"/>
      <c r="AW613" s="1277" t="n"/>
      <c r="AX613" s="1277" t="n"/>
      <c r="AY613" s="1280">
        <f>AZ613</f>
        <v/>
      </c>
      <c r="AZ613" s="1299" t="n">
        <v>12.636</v>
      </c>
      <c r="BA613" s="1298" t="n">
        <v>0.769</v>
      </c>
      <c r="BB613" s="1298" t="n">
        <v>1.539</v>
      </c>
      <c r="BC613" s="1298" t="n">
        <v>2.308</v>
      </c>
      <c r="BD613" s="1280">
        <f>BE613</f>
        <v/>
      </c>
      <c r="BE613" s="1299" t="n">
        <v>3.078</v>
      </c>
      <c r="BF613" s="1277" t="n"/>
      <c r="BG613" s="1298" t="n">
        <v>49.293</v>
      </c>
      <c r="BH613" s="1298" t="n">
        <v>49.293</v>
      </c>
      <c r="BI613" s="1280">
        <f>BJ613</f>
        <v/>
      </c>
      <c r="BJ613" s="1299" t="n">
        <v>57.182</v>
      </c>
      <c r="BK613" s="1277" t="n"/>
      <c r="BL613" s="1277" t="n"/>
      <c r="BM613" s="1277" t="n"/>
      <c r="BN613" s="1280">
        <f>BO613</f>
        <v/>
      </c>
      <c r="BO613" s="1382" t="n"/>
      <c r="BP613" s="1277" t="n"/>
      <c r="BQ613" s="1277" t="n"/>
      <c r="BR613" s="1277" t="n"/>
      <c r="BS613" s="1277" t="n"/>
      <c r="BT613" s="1297" t="n"/>
      <c r="BU613" s="1277" t="n"/>
      <c r="BV613" s="1277" t="n"/>
      <c r="BW613" s="1277" t="n"/>
      <c r="BX613" s="1277" t="n"/>
      <c r="BY613" s="1297" t="n"/>
      <c r="BZ613" s="1297" t="n"/>
      <c r="CA613" s="1297" t="n"/>
      <c r="CB613" s="1297" t="n"/>
      <c r="CC613" s="1280" t="n"/>
    </row>
    <row r="614" hidden="1" outlineLevel="1" ht="14.4" customFormat="1" customHeight="1" s="1275">
      <c r="A614" s="1295" t="inlineStr">
        <is>
          <t>Increase in deferred charges</t>
        </is>
      </c>
      <c r="B614" s="1387" t="n"/>
      <c r="C614" s="1299" t="n">
        <v>-1469.831</v>
      </c>
      <c r="D614" s="1299" t="n">
        <v>-1801.728</v>
      </c>
      <c r="E614" s="1299" t="n">
        <v>-1715.892</v>
      </c>
      <c r="F614" s="1297" t="n"/>
      <c r="G614" s="1297" t="n"/>
      <c r="H614" s="1277" t="n"/>
      <c r="I614" s="1277" t="n"/>
      <c r="J614" s="1277" t="n"/>
      <c r="K614" s="1280">
        <f>L614</f>
        <v/>
      </c>
      <c r="L614" s="1297" t="n"/>
      <c r="M614" s="1277" t="n"/>
      <c r="N614" s="1277" t="n"/>
      <c r="O614" s="1277" t="n"/>
      <c r="P614" s="1280">
        <f>Q614</f>
        <v/>
      </c>
      <c r="Q614" s="1297" t="n"/>
      <c r="R614" s="1277" t="n"/>
      <c r="S614" s="1277" t="n"/>
      <c r="T614" s="1277" t="n"/>
      <c r="U614" s="1280">
        <f>V614</f>
        <v/>
      </c>
      <c r="V614" s="1297" t="n"/>
      <c r="W614" s="1277" t="n"/>
      <c r="X614" s="1277" t="n"/>
      <c r="Y614" s="1277" t="n"/>
      <c r="Z614" s="1280">
        <f>AA614</f>
        <v/>
      </c>
      <c r="AA614" s="1297" t="n"/>
      <c r="AB614" s="1277" t="n"/>
      <c r="AC614" s="1277" t="n"/>
      <c r="AD614" s="1277" t="n"/>
      <c r="AE614" s="1280">
        <f>AF614</f>
        <v/>
      </c>
      <c r="AF614" s="1297" t="n"/>
      <c r="AG614" s="1277" t="n"/>
      <c r="AH614" s="1277" t="n"/>
      <c r="AI614" s="1277" t="n"/>
      <c r="AJ614" s="1277" t="n"/>
      <c r="AK614" s="1297" t="n"/>
      <c r="AL614" s="1277" t="n"/>
      <c r="AM614" s="1277" t="n"/>
      <c r="AN614" s="1277" t="n"/>
      <c r="AO614" s="1280">
        <f>AP614</f>
        <v/>
      </c>
      <c r="AP614" s="1297" t="n"/>
      <c r="AQ614" s="1277" t="n"/>
      <c r="AR614" s="1277" t="n"/>
      <c r="AS614" s="1277" t="n"/>
      <c r="AT614" s="1280">
        <f>AU614</f>
        <v/>
      </c>
      <c r="AU614" s="1297" t="n"/>
      <c r="AV614" s="1277" t="n"/>
      <c r="AW614" s="1277" t="n"/>
      <c r="AX614" s="1277" t="n"/>
      <c r="AY614" s="1280">
        <f>AZ614</f>
        <v/>
      </c>
      <c r="AZ614" s="1297" t="n"/>
      <c r="BA614" s="1277" t="n"/>
      <c r="BB614" s="1277" t="n"/>
      <c r="BC614" s="1277" t="n"/>
      <c r="BD614" s="1280">
        <f>BE614</f>
        <v/>
      </c>
      <c r="BE614" s="1297" t="n"/>
      <c r="BF614" s="1277" t="n"/>
      <c r="BG614" s="1277" t="n"/>
      <c r="BH614" s="1277" t="n"/>
      <c r="BI614" s="1280">
        <f>BJ614</f>
        <v/>
      </c>
      <c r="BJ614" s="1297" t="n"/>
      <c r="BK614" s="1277" t="n"/>
      <c r="BL614" s="1277" t="n"/>
      <c r="BM614" s="1277" t="n"/>
      <c r="BN614" s="1280">
        <f>BO614</f>
        <v/>
      </c>
      <c r="BO614" s="1382" t="n"/>
      <c r="BP614" s="1277" t="n"/>
      <c r="BQ614" s="1277" t="n"/>
      <c r="BR614" s="1277" t="n"/>
      <c r="BS614" s="1277" t="n"/>
      <c r="BT614" s="1297" t="n"/>
      <c r="BU614" s="1277" t="n"/>
      <c r="BV614" s="1277" t="n"/>
      <c r="BW614" s="1277" t="n"/>
      <c r="BX614" s="1277" t="n"/>
      <c r="BY614" s="1297" t="n"/>
      <c r="BZ614" s="1297" t="n"/>
      <c r="CA614" s="1297" t="n"/>
      <c r="CB614" s="1297" t="n"/>
      <c r="CC614" s="1280" t="n"/>
    </row>
    <row r="615" hidden="1" outlineLevel="1" ht="14.4" customFormat="1" customHeight="1" s="1275">
      <c r="A615" s="1295" t="inlineStr">
        <is>
          <t>Derecognition of hedging derivative financial instruments</t>
        </is>
      </c>
      <c r="B615" s="1387" t="n"/>
      <c r="C615" s="1297" t="n"/>
      <c r="D615" s="1297" t="n"/>
      <c r="E615" s="1297" t="n"/>
      <c r="F615" s="1299" t="n">
        <v>0</v>
      </c>
      <c r="G615" s="1299" t="n">
        <v>0</v>
      </c>
      <c r="H615" s="1277" t="n"/>
      <c r="I615" s="1298" t="n">
        <v>0</v>
      </c>
      <c r="J615" s="1298" t="n">
        <v>0</v>
      </c>
      <c r="K615" s="1280">
        <f>L615</f>
        <v/>
      </c>
      <c r="L615" s="1299" t="n">
        <v>0</v>
      </c>
      <c r="M615" s="1298" t="n">
        <v>0</v>
      </c>
      <c r="N615" s="1298" t="n">
        <v>0</v>
      </c>
      <c r="O615" s="1298" t="n">
        <v>0</v>
      </c>
      <c r="P615" s="1280">
        <f>Q615</f>
        <v/>
      </c>
      <c r="Q615" s="1299" t="n">
        <v>2.659</v>
      </c>
      <c r="R615" s="1298" t="n">
        <v>-9.647</v>
      </c>
      <c r="S615" s="1298" t="n">
        <v>-9.534000000000001</v>
      </c>
      <c r="T615" s="1298" t="n">
        <v>-11.974</v>
      </c>
      <c r="U615" s="1280">
        <f>V615</f>
        <v/>
      </c>
      <c r="V615" s="1299" t="n">
        <v>8.868</v>
      </c>
      <c r="W615" s="1298" t="n">
        <v>-6.399</v>
      </c>
      <c r="X615" s="1298" t="n">
        <v>6.496</v>
      </c>
      <c r="Y615" s="1298" t="n">
        <v>-35.79</v>
      </c>
      <c r="Z615" s="1280">
        <f>AA615</f>
        <v/>
      </c>
      <c r="AA615" s="1299" t="n">
        <v>33.008</v>
      </c>
      <c r="AB615" s="1277" t="n"/>
      <c r="AC615" s="1277" t="n"/>
      <c r="AD615" s="1277" t="n"/>
      <c r="AE615" s="1280">
        <f>AF615</f>
        <v/>
      </c>
      <c r="AF615" s="1297" t="n"/>
      <c r="AG615" s="1277" t="n"/>
      <c r="AH615" s="1277" t="n"/>
      <c r="AI615" s="1277" t="n"/>
      <c r="AJ615" s="1277" t="n"/>
      <c r="AK615" s="1297" t="n"/>
      <c r="AL615" s="1277" t="n"/>
      <c r="AM615" s="1277" t="n"/>
      <c r="AN615" s="1277" t="n"/>
      <c r="AO615" s="1280">
        <f>AP615</f>
        <v/>
      </c>
      <c r="AP615" s="1297" t="n"/>
      <c r="AQ615" s="1277" t="n"/>
      <c r="AR615" s="1277" t="n"/>
      <c r="AS615" s="1277" t="n"/>
      <c r="AT615" s="1280">
        <f>AU615</f>
        <v/>
      </c>
      <c r="AU615" s="1297" t="n"/>
      <c r="AV615" s="1277" t="n"/>
      <c r="AW615" s="1277" t="n"/>
      <c r="AX615" s="1277" t="n"/>
      <c r="AY615" s="1280">
        <f>AZ615</f>
        <v/>
      </c>
      <c r="AZ615" s="1297" t="n"/>
      <c r="BA615" s="1277" t="n"/>
      <c r="BB615" s="1277" t="n"/>
      <c r="BC615" s="1277" t="n"/>
      <c r="BD615" s="1280">
        <f>BE615</f>
        <v/>
      </c>
      <c r="BE615" s="1297" t="n"/>
      <c r="BF615" s="1277" t="n"/>
      <c r="BG615" s="1277" t="n"/>
      <c r="BH615" s="1277" t="n"/>
      <c r="BI615" s="1280">
        <f>BJ615</f>
        <v/>
      </c>
      <c r="BJ615" s="1297" t="n"/>
      <c r="BK615" s="1277" t="n"/>
      <c r="BL615" s="1277" t="n"/>
      <c r="BM615" s="1277" t="n"/>
      <c r="BN615" s="1280">
        <f>BO615</f>
        <v/>
      </c>
      <c r="BO615" s="1382" t="n"/>
      <c r="BP615" s="1277" t="n"/>
      <c r="BQ615" s="1277" t="n"/>
      <c r="BR615" s="1277" t="n"/>
      <c r="BS615" s="1277" t="n"/>
      <c r="BT615" s="1297" t="n"/>
      <c r="BU615" s="1277" t="n"/>
      <c r="BV615" s="1277" t="n"/>
      <c r="BW615" s="1277" t="n"/>
      <c r="BX615" s="1277" t="n"/>
      <c r="BY615" s="1297" t="n"/>
      <c r="BZ615" s="1297" t="n"/>
      <c r="CA615" s="1297" t="n"/>
      <c r="CB615" s="1297" t="n"/>
      <c r="CC615" s="1280" t="n"/>
    </row>
    <row r="616" hidden="1" outlineLevel="1" ht="14.4" customFormat="1" customHeight="1" s="1275">
      <c r="A616" s="1295" t="inlineStr">
        <is>
          <t>Derecognition of hedging financial instruments</t>
        </is>
      </c>
      <c r="B616" s="1387" t="n"/>
      <c r="C616" s="1297" t="n"/>
      <c r="D616" s="1297" t="n"/>
      <c r="E616" s="1297" t="n"/>
      <c r="F616" s="1297" t="n"/>
      <c r="G616" s="1297" t="n"/>
      <c r="H616" s="1277" t="n"/>
      <c r="I616" s="1277" t="n"/>
      <c r="J616" s="1277" t="n"/>
      <c r="K616" s="1277" t="n"/>
      <c r="L616" s="1297" t="n"/>
      <c r="M616" s="1277" t="n"/>
      <c r="N616" s="1277" t="n"/>
      <c r="O616" s="1277" t="n"/>
      <c r="P616" s="1277" t="n"/>
      <c r="Q616" s="1297" t="n"/>
      <c r="R616" s="1277" t="n"/>
      <c r="S616" s="1277" t="n"/>
      <c r="T616" s="1277" t="n"/>
      <c r="U616" s="1277" t="n"/>
      <c r="V616" s="1297" t="n"/>
      <c r="W616" s="1277" t="n"/>
      <c r="X616" s="1277" t="n"/>
      <c r="Y616" s="1277" t="n"/>
      <c r="Z616" s="1277" t="n"/>
      <c r="AA616" s="1297" t="n"/>
      <c r="AB616" s="1298" t="n">
        <v>177.209</v>
      </c>
      <c r="AC616" s="1298" t="n">
        <v>162.699</v>
      </c>
      <c r="AD616" s="1298" t="n">
        <v>199.73</v>
      </c>
      <c r="AE616" s="1280">
        <f>AF616</f>
        <v/>
      </c>
      <c r="AF616" s="1299" t="n">
        <v>250.538</v>
      </c>
      <c r="AG616" s="1298" t="n">
        <v>-227.383</v>
      </c>
      <c r="AH616" s="1298" t="n">
        <v>-294.29</v>
      </c>
      <c r="AI616" s="1298" t="n">
        <v>-452.455</v>
      </c>
      <c r="AJ616" s="1280">
        <f>AK616</f>
        <v/>
      </c>
      <c r="AK616" s="1299" t="n">
        <v>-436.606</v>
      </c>
      <c r="AL616" s="1298" t="n">
        <v>-225.847</v>
      </c>
      <c r="AM616" s="1298" t="n">
        <v>-339.255</v>
      </c>
      <c r="AN616" s="1298" t="n">
        <v>-322.035</v>
      </c>
      <c r="AO616" s="1280">
        <f>AP616</f>
        <v/>
      </c>
      <c r="AP616" s="1299" t="n">
        <v>-308.776</v>
      </c>
      <c r="AQ616" s="1298" t="n">
        <v>112.133</v>
      </c>
      <c r="AR616" s="1298" t="n">
        <v>143.672</v>
      </c>
      <c r="AS616" s="1298" t="n">
        <v>101.616</v>
      </c>
      <c r="AT616" s="1280">
        <f>AU616</f>
        <v/>
      </c>
      <c r="AU616" s="1299" t="n">
        <v>276.261</v>
      </c>
      <c r="AV616" s="1298" t="n">
        <v>536.873</v>
      </c>
      <c r="AW616" s="1298" t="n">
        <v>1519.511</v>
      </c>
      <c r="AX616" s="1298" t="n">
        <v>1591.074</v>
      </c>
      <c r="AY616" s="1280">
        <f>AZ616</f>
        <v/>
      </c>
      <c r="AZ616" s="1299" t="n">
        <v>1684.43</v>
      </c>
      <c r="BA616" s="1298" t="n">
        <v>20.623</v>
      </c>
      <c r="BB616" s="1298" t="n">
        <v>-1.367</v>
      </c>
      <c r="BC616" s="1298" t="n">
        <v>66.776</v>
      </c>
      <c r="BD616" s="1280">
        <f>BE616</f>
        <v/>
      </c>
      <c r="BE616" s="1299" t="n">
        <v>68.23699999999999</v>
      </c>
      <c r="BF616" s="1298" t="n">
        <v>8.585000000000001</v>
      </c>
      <c r="BG616" s="1298" t="n">
        <v>52.303</v>
      </c>
      <c r="BH616" s="1298" t="n">
        <v>28.704</v>
      </c>
      <c r="BI616" s="1280">
        <f>BJ616</f>
        <v/>
      </c>
      <c r="BJ616" s="1299" t="n">
        <v>118.32</v>
      </c>
      <c r="BK616" s="1298" t="n">
        <v>-29.621</v>
      </c>
      <c r="BL616" s="1298" t="n">
        <v>574.7</v>
      </c>
      <c r="BM616" s="1298" t="n">
        <v>570.3579999999999</v>
      </c>
      <c r="BN616" s="1280">
        <f>BO616</f>
        <v/>
      </c>
      <c r="BO616" s="1382" t="n"/>
      <c r="BP616" s="1277" t="n"/>
      <c r="BQ616" s="1277" t="n"/>
      <c r="BR616" s="1277" t="n"/>
      <c r="BS616" s="1277" t="n"/>
      <c r="BT616" s="1297" t="n"/>
      <c r="BU616" s="1277" t="n"/>
      <c r="BV616" s="1277" t="n"/>
      <c r="BW616" s="1277" t="n"/>
      <c r="BX616" s="1277" t="n"/>
      <c r="BY616" s="1297" t="n"/>
      <c r="BZ616" s="1297" t="n"/>
      <c r="CA616" s="1297" t="n"/>
      <c r="CB616" s="1297" t="n"/>
      <c r="CC616" s="1280" t="n"/>
    </row>
    <row r="617" hidden="1" outlineLevel="1" ht="14.4" customFormat="1" customHeight="1" s="1275">
      <c r="A617" s="1295" t="inlineStr">
        <is>
          <t>Costs from entering into hedging transactions</t>
        </is>
      </c>
      <c r="B617" s="1387" t="n"/>
      <c r="C617" s="1297" t="n"/>
      <c r="D617" s="1297" t="n"/>
      <c r="E617" s="1297" t="n"/>
      <c r="F617" s="1299" t="n">
        <v>0</v>
      </c>
      <c r="G617" s="1299" t="n">
        <v>-143.982</v>
      </c>
      <c r="H617" s="1277" t="n"/>
      <c r="I617" s="1298" t="n">
        <v>-520.856</v>
      </c>
      <c r="J617" s="1298" t="n">
        <v>-520.856</v>
      </c>
      <c r="K617" s="1280">
        <f>L617</f>
        <v/>
      </c>
      <c r="L617" s="1299" t="n">
        <v>-520.856</v>
      </c>
      <c r="M617" s="1298" t="n">
        <v>0</v>
      </c>
      <c r="N617" s="1298" t="n">
        <v>-495.348</v>
      </c>
      <c r="O617" s="1298" t="n">
        <v>-495.348</v>
      </c>
      <c r="P617" s="1280">
        <f>Q617</f>
        <v/>
      </c>
      <c r="Q617" s="1299" t="n">
        <v>-495.348</v>
      </c>
      <c r="R617" s="1298" t="n">
        <v>0</v>
      </c>
      <c r="S617" s="1298" t="n">
        <v>0</v>
      </c>
      <c r="T617" s="1298" t="n">
        <v>0</v>
      </c>
      <c r="U617" s="1280">
        <f>V617</f>
        <v/>
      </c>
      <c r="V617" s="1299" t="n">
        <v>0</v>
      </c>
      <c r="W617" s="1277" t="n"/>
      <c r="X617" s="1277" t="n"/>
      <c r="Y617" s="1277" t="n"/>
      <c r="Z617" s="1280">
        <f>AA617</f>
        <v/>
      </c>
      <c r="AA617" s="1297" t="n"/>
      <c r="AB617" s="1277" t="n"/>
      <c r="AC617" s="1277" t="n"/>
      <c r="AD617" s="1277" t="n"/>
      <c r="AE617" s="1280">
        <f>AF617</f>
        <v/>
      </c>
      <c r="AF617" s="1297" t="n"/>
      <c r="AG617" s="1277" t="n"/>
      <c r="AH617" s="1277" t="n"/>
      <c r="AI617" s="1277" t="n"/>
      <c r="AJ617" s="1277" t="n"/>
      <c r="AK617" s="1297" t="n"/>
      <c r="AL617" s="1277" t="n"/>
      <c r="AM617" s="1277" t="n"/>
      <c r="AN617" s="1277" t="n"/>
      <c r="AO617" s="1280">
        <f>AP617</f>
        <v/>
      </c>
      <c r="AP617" s="1297" t="n"/>
      <c r="AQ617" s="1277" t="n"/>
      <c r="AR617" s="1277" t="n"/>
      <c r="AS617" s="1277" t="n"/>
      <c r="AT617" s="1280">
        <f>AU617</f>
        <v/>
      </c>
      <c r="AU617" s="1297" t="n"/>
      <c r="AV617" s="1277" t="n"/>
      <c r="AW617" s="1277" t="n"/>
      <c r="AX617" s="1277" t="n"/>
      <c r="AY617" s="1280">
        <f>AZ617</f>
        <v/>
      </c>
      <c r="AZ617" s="1297" t="n"/>
      <c r="BA617" s="1277" t="n"/>
      <c r="BB617" s="1277" t="n"/>
      <c r="BC617" s="1277" t="n"/>
      <c r="BD617" s="1280">
        <f>BE617</f>
        <v/>
      </c>
      <c r="BE617" s="1297" t="n"/>
      <c r="BF617" s="1277" t="n"/>
      <c r="BG617" s="1277" t="n"/>
      <c r="BH617" s="1277" t="n"/>
      <c r="BI617" s="1280">
        <f>BJ617</f>
        <v/>
      </c>
      <c r="BJ617" s="1297" t="n"/>
      <c r="BK617" s="1277" t="n"/>
      <c r="BL617" s="1277" t="n"/>
      <c r="BM617" s="1277" t="n"/>
      <c r="BN617" s="1280">
        <f>BO617</f>
        <v/>
      </c>
      <c r="BO617" s="1382" t="n"/>
      <c r="BP617" s="1277" t="n"/>
      <c r="BQ617" s="1277" t="n"/>
      <c r="BR617" s="1277" t="n"/>
      <c r="BS617" s="1277" t="n"/>
      <c r="BT617" s="1297" t="n"/>
      <c r="BU617" s="1277" t="n"/>
      <c r="BV617" s="1277" t="n"/>
      <c r="BW617" s="1277" t="n"/>
      <c r="BX617" s="1277" t="n"/>
      <c r="BY617" s="1297" t="n"/>
      <c r="BZ617" s="1297" t="n"/>
      <c r="CA617" s="1297" t="n"/>
      <c r="CB617" s="1297" t="n"/>
      <c r="CC617" s="1280" t="n"/>
    </row>
    <row r="618" hidden="1" outlineLevel="1" ht="14.4" customFormat="1" customHeight="1" s="1275">
      <c r="A618" s="1295" t="inlineStr">
        <is>
          <t>Interest received</t>
        </is>
      </c>
      <c r="B618" s="1387" t="n"/>
      <c r="C618" s="1297" t="n"/>
      <c r="D618" s="1297" t="n"/>
      <c r="E618" s="1297" t="n"/>
      <c r="F618" s="1299" t="n">
        <v>1719.026</v>
      </c>
      <c r="G618" s="1299" t="n">
        <v>1790.725</v>
      </c>
      <c r="H618" s="1298" t="n">
        <v>596.277</v>
      </c>
      <c r="I618" s="1298" t="n">
        <v>1248.11</v>
      </c>
      <c r="J618" s="1298" t="n">
        <v>1874.722</v>
      </c>
      <c r="K618" s="1280">
        <f>L618</f>
        <v/>
      </c>
      <c r="L618" s="1299" t="n">
        <v>2578.663</v>
      </c>
      <c r="M618" s="1298" t="n">
        <v>874.723</v>
      </c>
      <c r="N618" s="1298" t="n">
        <v>1764.337</v>
      </c>
      <c r="O618" s="1298" t="n">
        <v>2606.926</v>
      </c>
      <c r="P618" s="1280">
        <f>Q618</f>
        <v/>
      </c>
      <c r="Q618" s="1299" t="n">
        <v>3641.92</v>
      </c>
      <c r="R618" s="1298" t="n">
        <v>1541.119</v>
      </c>
      <c r="S618" s="1298" t="n">
        <v>3310.985</v>
      </c>
      <c r="T618" s="1298" t="n">
        <v>4679.716</v>
      </c>
      <c r="U618" s="1280">
        <f>V618</f>
        <v/>
      </c>
      <c r="V618" s="1299" t="n">
        <v>6353.195</v>
      </c>
      <c r="W618" s="1298" t="n">
        <v>1950.176</v>
      </c>
      <c r="X618" s="1298" t="n">
        <v>4432.649</v>
      </c>
      <c r="Y618" s="1298" t="n">
        <v>6776.756</v>
      </c>
      <c r="Z618" s="1280">
        <f>AA618</f>
        <v/>
      </c>
      <c r="AA618" s="1299" t="n">
        <v>9526.253000000001</v>
      </c>
      <c r="AB618" s="1298" t="n">
        <v>3139.61</v>
      </c>
      <c r="AC618" s="1298" t="n">
        <v>6635.893</v>
      </c>
      <c r="AD618" s="1298" t="n">
        <v>10612.192</v>
      </c>
      <c r="AE618" s="1280">
        <f>AF618</f>
        <v/>
      </c>
      <c r="AF618" s="1299" t="n">
        <v>14660.388</v>
      </c>
      <c r="AG618" s="1298" t="n">
        <v>4575.286</v>
      </c>
      <c r="AH618" s="1298" t="n">
        <v>9396.745999999999</v>
      </c>
      <c r="AI618" s="1298" t="n">
        <v>13254.77</v>
      </c>
      <c r="AJ618" s="1280">
        <f>AK618</f>
        <v/>
      </c>
      <c r="AK618" s="1299" t="n">
        <v>16874.985</v>
      </c>
      <c r="AL618" s="1298" t="n">
        <v>3038.375</v>
      </c>
      <c r="AM618" s="1298" t="n">
        <v>5959.214</v>
      </c>
      <c r="AN618" s="1298" t="n">
        <v>7966.157</v>
      </c>
      <c r="AO618" s="1280">
        <f>AP618</f>
        <v/>
      </c>
      <c r="AP618" s="1299" t="n">
        <v>9775.120000000001</v>
      </c>
      <c r="AQ618" s="1298" t="n">
        <v>1494.002</v>
      </c>
      <c r="AR618" s="1298" t="n">
        <v>3040.052</v>
      </c>
      <c r="AS618" s="1298" t="n">
        <v>4469.674</v>
      </c>
      <c r="AT618" s="1280">
        <f>AU618</f>
        <v/>
      </c>
      <c r="AU618" s="1299" t="n">
        <v>5990.948</v>
      </c>
      <c r="AV618" s="1298" t="n">
        <v>1526.825</v>
      </c>
      <c r="AW618" s="1298" t="n">
        <v>4322.973</v>
      </c>
      <c r="AX618" s="1298" t="n">
        <v>9440.362999999999</v>
      </c>
      <c r="AY618" s="1280">
        <f>AZ618</f>
        <v/>
      </c>
      <c r="AZ618" s="1299" t="n">
        <v>18083.755</v>
      </c>
      <c r="BA618" s="1298" t="n">
        <v>12281.197</v>
      </c>
      <c r="BB618" s="1298" t="n">
        <v>26625.674</v>
      </c>
      <c r="BC618" s="1298" t="n">
        <v>41015.135</v>
      </c>
      <c r="BD618" s="1280">
        <f>BE618</f>
        <v/>
      </c>
      <c r="BE618" s="1299" t="n">
        <v>55887.164</v>
      </c>
      <c r="BF618" s="1298" t="n">
        <v>17409.793</v>
      </c>
      <c r="BG618" s="1298" t="n">
        <v>36605.013</v>
      </c>
      <c r="BH618" s="1298" t="n">
        <v>57961.207</v>
      </c>
      <c r="BI618" s="1280">
        <f>BJ618</f>
        <v/>
      </c>
      <c r="BJ618" s="1299" t="n">
        <v>76434.07000000001</v>
      </c>
      <c r="BK618" s="1298" t="n">
        <v>24418.735</v>
      </c>
      <c r="BL618" s="1298" t="n">
        <v>50443.657</v>
      </c>
      <c r="BM618" s="1298" t="n">
        <v>72794.719</v>
      </c>
      <c r="BN618" s="1280">
        <f>BO618</f>
        <v/>
      </c>
      <c r="BO618" s="1645" t="n">
        <v>98955</v>
      </c>
      <c r="BP618" s="1277" t="n"/>
      <c r="BQ618" s="1277" t="n"/>
      <c r="BR618" s="1277" t="n"/>
      <c r="BS618" s="1277" t="n"/>
      <c r="BT618" s="1297" t="n"/>
      <c r="BU618" s="1277" t="n"/>
      <c r="BV618" s="1277" t="n"/>
      <c r="BW618" s="1277" t="n"/>
      <c r="BX618" s="1277" t="n"/>
      <c r="BY618" s="1297" t="n"/>
      <c r="BZ618" s="1297" t="n"/>
      <c r="CA618" s="1297" t="n"/>
      <c r="CB618" s="1297" t="n"/>
      <c r="CC618" s="1280" t="n"/>
    </row>
    <row r="619" hidden="1" outlineLevel="1" ht="14.4" customFormat="1" customHeight="1" s="1275">
      <c r="A619" s="1295" t="inlineStr">
        <is>
          <t>Proceeds from government grants - land use right and others</t>
        </is>
      </c>
      <c r="B619" s="1387" t="n"/>
      <c r="C619" s="1297" t="n"/>
      <c r="D619" s="1297" t="n"/>
      <c r="E619" s="1297" t="n"/>
      <c r="F619" s="1299" t="n">
        <v>0</v>
      </c>
      <c r="G619" s="1299" t="n">
        <v>0</v>
      </c>
      <c r="H619" s="1298" t="n">
        <v>0</v>
      </c>
      <c r="I619" s="1298" t="n">
        <v>0</v>
      </c>
      <c r="J619" s="1298" t="n">
        <v>0</v>
      </c>
      <c r="K619" s="1280">
        <f>L619</f>
        <v/>
      </c>
      <c r="L619" s="1299" t="n">
        <v>0</v>
      </c>
      <c r="M619" s="1298" t="n">
        <v>0</v>
      </c>
      <c r="N619" s="1298" t="n">
        <v>0</v>
      </c>
      <c r="O619" s="1298" t="n">
        <v>0</v>
      </c>
      <c r="P619" s="1280">
        <f>Q619</f>
        <v/>
      </c>
      <c r="Q619" s="1299" t="n">
        <v>0</v>
      </c>
      <c r="R619" s="1298" t="n">
        <v>0</v>
      </c>
      <c r="S619" s="1298" t="n">
        <v>0</v>
      </c>
      <c r="T619" s="1298" t="n">
        <v>0</v>
      </c>
      <c r="U619" s="1280">
        <f>V619</f>
        <v/>
      </c>
      <c r="V619" s="1299" t="n">
        <v>798.4690000000001</v>
      </c>
      <c r="W619" s="1277" t="n"/>
      <c r="X619" s="1277" t="n"/>
      <c r="Y619" s="1277" t="n"/>
      <c r="Z619" s="1280">
        <f>AA619</f>
        <v/>
      </c>
      <c r="AA619" s="1299" t="n">
        <v>1.811</v>
      </c>
      <c r="AB619" s="1277" t="n"/>
      <c r="AC619" s="1277" t="n"/>
      <c r="AD619" s="1277" t="n"/>
      <c r="AE619" s="1280">
        <f>AF619</f>
        <v/>
      </c>
      <c r="AF619" s="1297" t="n"/>
      <c r="AG619" s="1298" t="n">
        <v>850.623</v>
      </c>
      <c r="AH619" s="1298" t="n">
        <v>850.623</v>
      </c>
      <c r="AI619" s="1298" t="n">
        <v>850.623</v>
      </c>
      <c r="AJ619" s="1280">
        <f>AK619</f>
        <v/>
      </c>
      <c r="AK619" s="1299" t="n">
        <v>850.623</v>
      </c>
      <c r="AL619" s="1298" t="n">
        <v>20.077</v>
      </c>
      <c r="AM619" s="1298" t="n">
        <v>20.077</v>
      </c>
      <c r="AN619" s="1298" t="n">
        <v>22.005</v>
      </c>
      <c r="AO619" s="1280">
        <f>AP619</f>
        <v/>
      </c>
      <c r="AP619" s="1299" t="n">
        <v>25.369</v>
      </c>
      <c r="AQ619" s="1277" t="n"/>
      <c r="AR619" s="1277" t="n"/>
      <c r="AS619" s="1298" t="n">
        <v>6.605</v>
      </c>
      <c r="AT619" s="1280">
        <f>AU619</f>
        <v/>
      </c>
      <c r="AU619" s="1299" t="n">
        <v>6.605</v>
      </c>
      <c r="AV619" s="1298" t="n">
        <v>3.085</v>
      </c>
      <c r="AW619" s="1298" t="n">
        <v>0.874</v>
      </c>
      <c r="AX619" s="1298" t="n">
        <v>0.874</v>
      </c>
      <c r="AY619" s="1280">
        <f>AZ619</f>
        <v/>
      </c>
      <c r="AZ619" s="1299" t="n">
        <v>5.296</v>
      </c>
      <c r="BA619" s="1298" t="n">
        <v>1.13</v>
      </c>
      <c r="BB619" s="1298" t="n">
        <v>1.152</v>
      </c>
      <c r="BC619" s="1298" t="n">
        <v>1.152</v>
      </c>
      <c r="BD619" s="1280">
        <f>BE619</f>
        <v/>
      </c>
      <c r="BE619" s="1299" t="n">
        <v>1.152</v>
      </c>
      <c r="BF619" s="1277" t="n"/>
      <c r="BG619" s="1298" t="n">
        <v>0.267</v>
      </c>
      <c r="BH619" s="1298" t="n">
        <v>0.267</v>
      </c>
      <c r="BI619" s="1280">
        <f>BJ619</f>
        <v/>
      </c>
      <c r="BJ619" s="1299" t="n">
        <v>0.267</v>
      </c>
      <c r="BK619" s="1277" t="n"/>
      <c r="BL619" s="1277" t="n"/>
      <c r="BM619" s="1277" t="n"/>
      <c r="BN619" s="1280">
        <f>BO619</f>
        <v/>
      </c>
      <c r="BO619" s="1382" t="n"/>
      <c r="BP619" s="1277" t="n"/>
      <c r="BQ619" s="1277" t="n"/>
      <c r="BR619" s="1277" t="n"/>
      <c r="BS619" s="1277" t="n"/>
      <c r="BT619" s="1297" t="n"/>
      <c r="BU619" s="1277" t="n"/>
      <c r="BV619" s="1277" t="n"/>
      <c r="BW619" s="1277" t="n"/>
      <c r="BX619" s="1277" t="n"/>
      <c r="BY619" s="1297" t="n"/>
      <c r="BZ619" s="1297" t="n"/>
      <c r="CA619" s="1297" t="n"/>
      <c r="CB619" s="1297" t="n"/>
      <c r="CC619" s="1280" t="n"/>
    </row>
    <row r="620" hidden="1" outlineLevel="1" ht="14.4" customFormat="1" customHeight="1" s="1275">
      <c r="A620" s="1295" t="inlineStr">
        <is>
          <t>Proceeds from government grants - property, plant and equipment</t>
        </is>
      </c>
      <c r="B620" s="1387" t="n"/>
      <c r="C620" s="1297" t="n"/>
      <c r="D620" s="1297" t="n"/>
      <c r="E620" s="1297" t="n"/>
      <c r="F620" s="1299" t="n">
        <v>0</v>
      </c>
      <c r="G620" s="1299" t="n">
        <v>0</v>
      </c>
      <c r="H620" s="1298" t="n">
        <v>0</v>
      </c>
      <c r="I620" s="1298" t="n">
        <v>0</v>
      </c>
      <c r="J620" s="1298" t="n">
        <v>0</v>
      </c>
      <c r="K620" s="1280">
        <f>L620</f>
        <v/>
      </c>
      <c r="L620" s="1299" t="n">
        <v>0</v>
      </c>
      <c r="M620" s="1298" t="n">
        <v>0</v>
      </c>
      <c r="N620" s="1298" t="n">
        <v>0</v>
      </c>
      <c r="O620" s="1298" t="n">
        <v>0</v>
      </c>
      <c r="P620" s="1280">
        <f>Q620</f>
        <v/>
      </c>
      <c r="Q620" s="1299" t="n">
        <v>0</v>
      </c>
      <c r="R620" s="1298" t="n">
        <v>0</v>
      </c>
      <c r="S620" s="1298" t="n">
        <v>0</v>
      </c>
      <c r="T620" s="1298" t="n">
        <v>0</v>
      </c>
      <c r="U620" s="1280">
        <f>V620</f>
        <v/>
      </c>
      <c r="V620" s="1299" t="n">
        <v>738.643</v>
      </c>
      <c r="W620" s="1277" t="n"/>
      <c r="X620" s="1298" t="n">
        <v>436.587</v>
      </c>
      <c r="Y620" s="1298" t="n">
        <v>436.587</v>
      </c>
      <c r="Z620" s="1280">
        <f>AA620</f>
        <v/>
      </c>
      <c r="AA620" s="1299" t="n">
        <v>2629.747</v>
      </c>
      <c r="AB620" s="1277" t="n"/>
      <c r="AC620" s="1277" t="n"/>
      <c r="AD620" s="1277" t="n"/>
      <c r="AE620" s="1280">
        <f>AF620</f>
        <v/>
      </c>
      <c r="AF620" s="1297" t="n"/>
      <c r="AG620" s="1298" t="n">
        <v>2565.338</v>
      </c>
      <c r="AH620" s="1298" t="n">
        <v>2565.338</v>
      </c>
      <c r="AI620" s="1298" t="n">
        <v>2565.338</v>
      </c>
      <c r="AJ620" s="1280">
        <f>AK620</f>
        <v/>
      </c>
      <c r="AK620" s="1299" t="n">
        <v>2565.338</v>
      </c>
      <c r="AL620" s="1298" t="n">
        <v>475.703</v>
      </c>
      <c r="AM620" s="1298" t="n">
        <v>475.703</v>
      </c>
      <c r="AN620" s="1298" t="n">
        <v>606.038</v>
      </c>
      <c r="AO620" s="1280">
        <f>AP620</f>
        <v/>
      </c>
      <c r="AP620" s="1299" t="n">
        <v>1044.327</v>
      </c>
      <c r="AQ620" s="1277" t="n"/>
      <c r="AR620" s="1277" t="n"/>
      <c r="AS620" s="1298" t="n">
        <v>522.779</v>
      </c>
      <c r="AT620" s="1280">
        <f>AU620</f>
        <v/>
      </c>
      <c r="AU620" s="1299" t="n">
        <v>821.312</v>
      </c>
      <c r="AV620" s="1298" t="n">
        <v>64.544</v>
      </c>
      <c r="AW620" s="1298" t="n">
        <v>336.599</v>
      </c>
      <c r="AX620" s="1298" t="n">
        <v>462.822</v>
      </c>
      <c r="AY620" s="1280">
        <f>AZ620</f>
        <v/>
      </c>
      <c r="AZ620" s="1299" t="n">
        <v>7046.136</v>
      </c>
      <c r="BA620" s="1298" t="n">
        <v>1766.902</v>
      </c>
      <c r="BB620" s="1298" t="n">
        <v>10310.668</v>
      </c>
      <c r="BC620" s="1298" t="n">
        <v>20756.65</v>
      </c>
      <c r="BD620" s="1280">
        <f>BE620</f>
        <v/>
      </c>
      <c r="BE620" s="1299" t="n">
        <v>47544.746</v>
      </c>
      <c r="BF620" s="1298" t="n">
        <v>183.484</v>
      </c>
      <c r="BG620" s="1298" t="n">
        <v>7956.413</v>
      </c>
      <c r="BH620" s="1298" t="n">
        <v>16043.072</v>
      </c>
      <c r="BI620" s="1280">
        <f>BJ620</f>
        <v/>
      </c>
      <c r="BJ620" s="1299" t="n">
        <v>75163.982</v>
      </c>
      <c r="BK620" s="1298" t="n">
        <v>35149.257</v>
      </c>
      <c r="BL620" s="1298" t="n">
        <v>67128.197</v>
      </c>
      <c r="BM620" s="1298" t="n">
        <v>71897.986</v>
      </c>
      <c r="BN620" s="1280">
        <f>BO620</f>
        <v/>
      </c>
      <c r="BO620" s="1382" t="n"/>
      <c r="BP620" s="1277" t="n"/>
      <c r="BQ620" s="1277" t="n"/>
      <c r="BR620" s="1277" t="n"/>
      <c r="BS620" s="1277" t="n"/>
      <c r="BT620" s="1297" t="n"/>
      <c r="BU620" s="1277" t="n"/>
      <c r="BV620" s="1277" t="n"/>
      <c r="BW620" s="1277" t="n"/>
      <c r="BX620" s="1277" t="n"/>
      <c r="BY620" s="1297" t="n"/>
      <c r="BZ620" s="1297" t="n"/>
      <c r="CA620" s="1297" t="n"/>
      <c r="CB620" s="1297" t="n"/>
      <c r="CC620" s="1280" t="n"/>
    </row>
    <row r="621" hidden="1" outlineLevel="1" ht="14.4" customFormat="1" customHeight="1" s="1275">
      <c r="A621" s="1295" t="inlineStr">
        <is>
          <t>Cash received from other long-term receivables</t>
        </is>
      </c>
      <c r="B621" s="1387" t="n"/>
      <c r="C621" s="1297" t="n"/>
      <c r="D621" s="1297" t="n"/>
      <c r="E621" s="1297" t="n"/>
      <c r="F621" s="1299" t="n">
        <v>0</v>
      </c>
      <c r="G621" s="1299" t="n">
        <v>0</v>
      </c>
      <c r="H621" s="1298" t="n">
        <v>78.06</v>
      </c>
      <c r="I621" s="1298" t="n">
        <v>161.9</v>
      </c>
      <c r="J621" s="1298" t="n">
        <v>83.84</v>
      </c>
      <c r="K621" s="1280">
        <f>L621</f>
        <v/>
      </c>
      <c r="L621" s="1299" t="n">
        <v>161.9</v>
      </c>
      <c r="M621" s="1277" t="n"/>
      <c r="N621" s="1298" t="n">
        <v>0</v>
      </c>
      <c r="O621" s="1298" t="n">
        <v>0</v>
      </c>
      <c r="P621" s="1280">
        <f>Q621</f>
        <v/>
      </c>
      <c r="Q621" s="1297" t="n"/>
      <c r="R621" s="1277" t="n"/>
      <c r="S621" s="1277" t="n"/>
      <c r="T621" s="1277" t="n"/>
      <c r="U621" s="1280">
        <f>V621</f>
        <v/>
      </c>
      <c r="V621" s="1297" t="n"/>
      <c r="W621" s="1277" t="n"/>
      <c r="X621" s="1277" t="n"/>
      <c r="Y621" s="1277" t="n"/>
      <c r="Z621" s="1280">
        <f>AA621</f>
        <v/>
      </c>
      <c r="AA621" s="1297" t="n"/>
      <c r="AB621" s="1277" t="n"/>
      <c r="AC621" s="1277" t="n"/>
      <c r="AD621" s="1277" t="n"/>
      <c r="AE621" s="1280">
        <f>AF621</f>
        <v/>
      </c>
      <c r="AF621" s="1297" t="n"/>
      <c r="AG621" s="1277" t="n"/>
      <c r="AH621" s="1277" t="n"/>
      <c r="AI621" s="1277" t="n"/>
      <c r="AJ621" s="1277" t="n"/>
      <c r="AK621" s="1297" t="n"/>
      <c r="AL621" s="1277" t="n"/>
      <c r="AM621" s="1277" t="n"/>
      <c r="AN621" s="1277" t="n"/>
      <c r="AO621" s="1280">
        <f>AP621</f>
        <v/>
      </c>
      <c r="AP621" s="1297" t="n"/>
      <c r="AQ621" s="1277" t="n"/>
      <c r="AR621" s="1277" t="n"/>
      <c r="AS621" s="1277" t="n"/>
      <c r="AT621" s="1280">
        <f>AU621</f>
        <v/>
      </c>
      <c r="AU621" s="1297" t="n"/>
      <c r="AV621" s="1277" t="n"/>
      <c r="AW621" s="1277" t="n"/>
      <c r="AX621" s="1277" t="n"/>
      <c r="AY621" s="1280">
        <f>AZ621</f>
        <v/>
      </c>
      <c r="AZ621" s="1297" t="n"/>
      <c r="BA621" s="1277" t="n"/>
      <c r="BB621" s="1277" t="n"/>
      <c r="BC621" s="1277" t="n"/>
      <c r="BD621" s="1280">
        <f>BE621</f>
        <v/>
      </c>
      <c r="BE621" s="1297" t="n"/>
      <c r="BF621" s="1277" t="n"/>
      <c r="BG621" s="1277" t="n"/>
      <c r="BH621" s="1277" t="n"/>
      <c r="BI621" s="1280">
        <f>BJ621</f>
        <v/>
      </c>
      <c r="BJ621" s="1297" t="n"/>
      <c r="BK621" s="1277" t="n"/>
      <c r="BL621" s="1277" t="n"/>
      <c r="BM621" s="1277" t="n"/>
      <c r="BN621" s="1280">
        <f>BO621</f>
        <v/>
      </c>
      <c r="BO621" s="1382" t="n"/>
      <c r="BP621" s="1277" t="n"/>
      <c r="BQ621" s="1277" t="n"/>
      <c r="BR621" s="1277" t="n"/>
      <c r="BS621" s="1277" t="n"/>
      <c r="BT621" s="1297" t="n"/>
      <c r="BU621" s="1277" t="n"/>
      <c r="BV621" s="1277" t="n"/>
      <c r="BW621" s="1277" t="n"/>
      <c r="BX621" s="1277" t="n"/>
      <c r="BY621" s="1297" t="n"/>
      <c r="BZ621" s="1297" t="n"/>
      <c r="CA621" s="1297" t="n"/>
      <c r="CB621" s="1297" t="n"/>
      <c r="CC621" s="1280" t="n"/>
    </row>
    <row r="622" hidden="1" outlineLevel="1" ht="14.4" customFormat="1" customHeight="1" s="1275">
      <c r="A622" s="1295" t="inlineStr">
        <is>
          <t>Net cash outflow from acquisition of subsidiary</t>
        </is>
      </c>
      <c r="B622" s="1387" t="n"/>
      <c r="C622" s="1297" t="n"/>
      <c r="D622" s="1297" t="n"/>
      <c r="E622" s="1297" t="n"/>
      <c r="F622" s="1299" t="n">
        <v>0</v>
      </c>
      <c r="G622" s="1299" t="n">
        <v>0</v>
      </c>
      <c r="H622" s="1298" t="n">
        <v>0</v>
      </c>
      <c r="I622" s="1298" t="n">
        <v>0</v>
      </c>
      <c r="J622" s="1298" t="n">
        <v>0</v>
      </c>
      <c r="K622" s="1280">
        <f>L622</f>
        <v/>
      </c>
      <c r="L622" s="1299" t="n">
        <v>0</v>
      </c>
      <c r="M622" s="1298" t="n">
        <v>0</v>
      </c>
      <c r="N622" s="1298" t="n">
        <v>0</v>
      </c>
      <c r="O622" s="1298" t="n">
        <v>0</v>
      </c>
      <c r="P622" s="1280">
        <f>Q622</f>
        <v/>
      </c>
      <c r="Q622" s="1299" t="n">
        <v>-51.601</v>
      </c>
      <c r="R622" s="1298" t="n">
        <v>0</v>
      </c>
      <c r="S622" s="1298" t="n">
        <v>0</v>
      </c>
      <c r="T622" s="1298" t="n">
        <v>0</v>
      </c>
      <c r="U622" s="1280">
        <f>V622</f>
        <v/>
      </c>
      <c r="V622" s="1299" t="n">
        <v>0</v>
      </c>
      <c r="W622" s="1277" t="n"/>
      <c r="X622" s="1277" t="n"/>
      <c r="Y622" s="1277" t="n"/>
      <c r="Z622" s="1280">
        <f>AA622</f>
        <v/>
      </c>
      <c r="AA622" s="1299" t="n">
        <v>-4.08</v>
      </c>
      <c r="AB622" s="1277" t="n"/>
      <c r="AC622" s="1277" t="n"/>
      <c r="AD622" s="1277" t="n"/>
      <c r="AE622" s="1280">
        <f>AF622</f>
        <v/>
      </c>
      <c r="AF622" s="1297" t="n"/>
      <c r="AG622" s="1277" t="n"/>
      <c r="AH622" s="1277" t="n"/>
      <c r="AI622" s="1277" t="n"/>
      <c r="AJ622" s="1277" t="n"/>
      <c r="AK622" s="1297" t="n"/>
      <c r="AL622" s="1277" t="n"/>
      <c r="AM622" s="1277" t="n"/>
      <c r="AN622" s="1277" t="n"/>
      <c r="AO622" s="1280">
        <f>AP622</f>
        <v/>
      </c>
      <c r="AP622" s="1297" t="n"/>
      <c r="AQ622" s="1277" t="n"/>
      <c r="AR622" s="1277" t="n"/>
      <c r="AS622" s="1277" t="n"/>
      <c r="AT622" s="1280">
        <f>AU622</f>
        <v/>
      </c>
      <c r="AU622" s="1297" t="n"/>
      <c r="AV622" s="1277" t="n"/>
      <c r="AW622" s="1277" t="n"/>
      <c r="AX622" s="1277" t="n"/>
      <c r="AY622" s="1280">
        <f>AZ622</f>
        <v/>
      </c>
      <c r="AZ622" s="1297" t="n"/>
      <c r="BA622" s="1277" t="n"/>
      <c r="BB622" s="1277" t="n"/>
      <c r="BC622" s="1277" t="n"/>
      <c r="BD622" s="1280">
        <f>BE622</f>
        <v/>
      </c>
      <c r="BE622" s="1297" t="n"/>
      <c r="BF622" s="1277" t="n"/>
      <c r="BG622" s="1277" t="n"/>
      <c r="BH622" s="1277" t="n"/>
      <c r="BI622" s="1280">
        <f>BJ622</f>
        <v/>
      </c>
      <c r="BJ622" s="1297" t="n"/>
      <c r="BK622" s="1277" t="n"/>
      <c r="BL622" s="1277" t="n"/>
      <c r="BM622" s="1277" t="n"/>
      <c r="BN622" s="1280">
        <f>BO622</f>
        <v/>
      </c>
      <c r="BO622" s="1382" t="n"/>
      <c r="BP622" s="1277" t="n"/>
      <c r="BQ622" s="1277" t="n"/>
      <c r="BR622" s="1277" t="n"/>
      <c r="BS622" s="1277" t="n"/>
      <c r="BT622" s="1297" t="n"/>
      <c r="BU622" s="1277" t="n"/>
      <c r="BV622" s="1277" t="n"/>
      <c r="BW622" s="1277" t="n"/>
      <c r="BX622" s="1277" t="n"/>
      <c r="BY622" s="1297" t="n"/>
      <c r="BZ622" s="1297" t="n"/>
      <c r="CA622" s="1297" t="n"/>
      <c r="CB622" s="1297" t="n"/>
      <c r="CC622" s="1280" t="n"/>
    </row>
    <row r="623" hidden="1" outlineLevel="1" ht="14.4" customFormat="1" customHeight="1" s="1275">
      <c r="A623" s="1295" t="inlineStr">
        <is>
          <t>Net cash inflow from disposal of subsidiary</t>
        </is>
      </c>
      <c r="B623" s="1387" t="n"/>
      <c r="C623" s="1297" t="n"/>
      <c r="D623" s="1297" t="n"/>
      <c r="E623" s="1297" t="n"/>
      <c r="F623" s="1299" t="n">
        <v>0</v>
      </c>
      <c r="G623" s="1299" t="n">
        <v>-979.91</v>
      </c>
      <c r="H623" s="1298" t="n">
        <v>0</v>
      </c>
      <c r="I623" s="1298" t="n">
        <v>0</v>
      </c>
      <c r="J623" s="1277" t="n"/>
      <c r="K623" s="1280">
        <f>L623</f>
        <v/>
      </c>
      <c r="L623" s="1299" t="n">
        <v>0</v>
      </c>
      <c r="M623" s="1298" t="n">
        <v>601.047</v>
      </c>
      <c r="N623" s="1298" t="n">
        <v>601.047</v>
      </c>
      <c r="O623" s="1298" t="n">
        <v>601.047</v>
      </c>
      <c r="P623" s="1280">
        <f>Q623</f>
        <v/>
      </c>
      <c r="Q623" s="1299" t="n">
        <v>601.047</v>
      </c>
      <c r="R623" s="1298" t="n">
        <v>0</v>
      </c>
      <c r="S623" s="1298" t="n">
        <v>0</v>
      </c>
      <c r="T623" s="1298" t="n">
        <v>0</v>
      </c>
      <c r="U623" s="1280">
        <f>V623</f>
        <v/>
      </c>
      <c r="V623" s="1299" t="n">
        <v>0</v>
      </c>
      <c r="W623" s="1277" t="n"/>
      <c r="X623" s="1277" t="n"/>
      <c r="Y623" s="1277" t="n"/>
      <c r="Z623" s="1280">
        <f>AA623</f>
        <v/>
      </c>
      <c r="AA623" s="1297" t="n"/>
      <c r="AB623" s="1277" t="n"/>
      <c r="AC623" s="1277" t="n"/>
      <c r="AD623" s="1277" t="n"/>
      <c r="AE623" s="1280">
        <f>AF623</f>
        <v/>
      </c>
      <c r="AF623" s="1297" t="n"/>
      <c r="AG623" s="1277" t="n"/>
      <c r="AH623" s="1277" t="n"/>
      <c r="AI623" s="1277" t="n"/>
      <c r="AJ623" s="1277" t="n"/>
      <c r="AK623" s="1297" t="n"/>
      <c r="AL623" s="1277" t="n"/>
      <c r="AM623" s="1277" t="n"/>
      <c r="AN623" s="1277" t="n"/>
      <c r="AO623" s="1280">
        <f>AP623</f>
        <v/>
      </c>
      <c r="AP623" s="1297" t="n"/>
      <c r="AQ623" s="1277" t="n"/>
      <c r="AR623" s="1277" t="n"/>
      <c r="AS623" s="1277" t="n"/>
      <c r="AT623" s="1280">
        <f>AU623</f>
        <v/>
      </c>
      <c r="AU623" s="1297" t="n"/>
      <c r="AV623" s="1277" t="n"/>
      <c r="AW623" s="1277" t="n"/>
      <c r="AX623" s="1277" t="n"/>
      <c r="AY623" s="1280">
        <f>AZ623</f>
        <v/>
      </c>
      <c r="AZ623" s="1297" t="n"/>
      <c r="BA623" s="1277" t="n"/>
      <c r="BB623" s="1277" t="n"/>
      <c r="BC623" s="1277" t="n"/>
      <c r="BD623" s="1280">
        <f>BE623</f>
        <v/>
      </c>
      <c r="BE623" s="1297" t="n"/>
      <c r="BF623" s="1277" t="n"/>
      <c r="BG623" s="1277" t="n"/>
      <c r="BH623" s="1277" t="n"/>
      <c r="BI623" s="1280">
        <f>BJ623</f>
        <v/>
      </c>
      <c r="BJ623" s="1297" t="n"/>
      <c r="BK623" s="1277" t="n"/>
      <c r="BL623" s="1277" t="n"/>
      <c r="BM623" s="1277" t="n"/>
      <c r="BN623" s="1280">
        <f>BO623</f>
        <v/>
      </c>
      <c r="BO623" s="1382" t="n"/>
      <c r="BP623" s="1277" t="n"/>
      <c r="BQ623" s="1277" t="n"/>
      <c r="BR623" s="1277" t="n"/>
      <c r="BS623" s="1277" t="n"/>
      <c r="BT623" s="1297" t="n"/>
      <c r="BU623" s="1277" t="n"/>
      <c r="BV623" s="1277" t="n"/>
      <c r="BW623" s="1277" t="n"/>
      <c r="BX623" s="1277" t="n"/>
      <c r="BY623" s="1297" t="n"/>
      <c r="BZ623" s="1297" t="n"/>
      <c r="CA623" s="1297" t="n"/>
      <c r="CB623" s="1297" t="n"/>
      <c r="CC623" s="1280" t="n"/>
    </row>
    <row r="624" hidden="1" outlineLevel="1" ht="14.4" customFormat="1" customHeight="1" s="1275">
      <c r="A624" s="1295" t="inlineStr">
        <is>
          <t>Other dividends received</t>
        </is>
      </c>
      <c r="B624" s="1387" t="n"/>
      <c r="C624" s="1297" t="n"/>
      <c r="D624" s="1297" t="n"/>
      <c r="E624" s="1297" t="n"/>
      <c r="F624" s="1299" t="n">
        <v>71.057</v>
      </c>
      <c r="G624" s="1299" t="n">
        <v>506.143</v>
      </c>
      <c r="H624" s="1298" t="n">
        <v>0</v>
      </c>
      <c r="I624" s="1298" t="n">
        <v>629.843</v>
      </c>
      <c r="J624" s="1298" t="n">
        <v>644.241</v>
      </c>
      <c r="K624" s="1280">
        <f>L624</f>
        <v/>
      </c>
      <c r="L624" s="1299" t="n">
        <v>645.585</v>
      </c>
      <c r="M624" s="1298" t="n">
        <v>0</v>
      </c>
      <c r="N624" s="1298" t="n">
        <v>595.98</v>
      </c>
      <c r="O624" s="1298" t="n">
        <v>616.675</v>
      </c>
      <c r="P624" s="1280">
        <f>Q624</f>
        <v/>
      </c>
      <c r="Q624" s="1299" t="n">
        <v>616.675</v>
      </c>
      <c r="R624" s="1298" t="n">
        <v>0</v>
      </c>
      <c r="S624" s="1298" t="n">
        <v>118.89</v>
      </c>
      <c r="T624" s="1298" t="n">
        <v>137.42</v>
      </c>
      <c r="U624" s="1280">
        <f>V624</f>
        <v/>
      </c>
      <c r="V624" s="1299" t="n">
        <v>137.42</v>
      </c>
      <c r="W624" s="1277" t="n"/>
      <c r="X624" s="1298" t="n">
        <v>124.835</v>
      </c>
      <c r="Y624" s="1298" t="n">
        <v>145.588</v>
      </c>
      <c r="Z624" s="1280">
        <f>AA624</f>
        <v/>
      </c>
      <c r="AA624" s="1299" t="n">
        <v>145.588</v>
      </c>
      <c r="AB624" s="1298" t="n">
        <v>0.453</v>
      </c>
      <c r="AC624" s="1298" t="n">
        <v>139.342</v>
      </c>
      <c r="AD624" s="1298" t="n">
        <v>158.358</v>
      </c>
      <c r="AE624" s="1280">
        <f>AF624</f>
        <v/>
      </c>
      <c r="AF624" s="1299" t="n">
        <v>158.358</v>
      </c>
      <c r="AG624" s="1277" t="n"/>
      <c r="AH624" s="1298" t="n">
        <v>218.705</v>
      </c>
      <c r="AI624" s="1298" t="n">
        <v>246.455</v>
      </c>
      <c r="AJ624" s="1280">
        <f>AK624</f>
        <v/>
      </c>
      <c r="AK624" s="1299" t="n">
        <v>320.242</v>
      </c>
      <c r="AL624" s="1298" t="n">
        <v>110.509</v>
      </c>
      <c r="AM624" s="1298" t="n">
        <v>406.277</v>
      </c>
      <c r="AN624" s="1298" t="n">
        <v>550.076</v>
      </c>
      <c r="AO624" s="1280">
        <f>AP624</f>
        <v/>
      </c>
      <c r="AP624" s="1299" t="n">
        <v>735.081</v>
      </c>
      <c r="AQ624" s="1298" t="n">
        <v>169.167</v>
      </c>
      <c r="AR624" s="1298" t="n">
        <v>318.746</v>
      </c>
      <c r="AS624" s="1298" t="n">
        <v>357.214</v>
      </c>
      <c r="AT624" s="1280">
        <f>AU624</f>
        <v/>
      </c>
      <c r="AU624" s="1299" t="n">
        <v>362.31</v>
      </c>
      <c r="AV624" s="1298" t="n">
        <v>0.075</v>
      </c>
      <c r="AW624" s="1298" t="n">
        <v>204.09</v>
      </c>
      <c r="AX624" s="1298" t="n">
        <v>260.534</v>
      </c>
      <c r="AY624" s="1280">
        <f>AZ624</f>
        <v/>
      </c>
      <c r="AZ624" s="1299" t="n">
        <v>266.767</v>
      </c>
      <c r="BA624" s="1298" t="n">
        <v>62.648</v>
      </c>
      <c r="BB624" s="1298" t="n">
        <v>241.947</v>
      </c>
      <c r="BC624" s="1298" t="n">
        <v>387.837</v>
      </c>
      <c r="BD624" s="1280">
        <f>BE624</f>
        <v/>
      </c>
      <c r="BE624" s="1299" t="n">
        <v>445.129</v>
      </c>
      <c r="BF624" s="1298" t="n">
        <v>90.172</v>
      </c>
      <c r="BG624" s="1298" t="n">
        <v>241.872</v>
      </c>
      <c r="BH624" s="1298" t="n">
        <v>334.348</v>
      </c>
      <c r="BI624" s="1280">
        <f>BJ624</f>
        <v/>
      </c>
      <c r="BJ624" s="1299" t="n">
        <v>541.803</v>
      </c>
      <c r="BK624" s="1298" t="n">
        <v>94.878</v>
      </c>
      <c r="BL624" s="1298" t="n">
        <v>438.461</v>
      </c>
      <c r="BM624" s="1298" t="n">
        <v>587.139</v>
      </c>
      <c r="BN624" s="1280">
        <f>BO624</f>
        <v/>
      </c>
      <c r="BO624" s="1382" t="n"/>
      <c r="BP624" s="1277" t="n"/>
      <c r="BQ624" s="1277" t="n"/>
      <c r="BR624" s="1277" t="n"/>
      <c r="BS624" s="1277" t="n"/>
      <c r="BT624" s="1297" t="n"/>
      <c r="BU624" s="1277" t="n"/>
      <c r="BV624" s="1277" t="n"/>
      <c r="BW624" s="1277" t="n"/>
      <c r="BX624" s="1277" t="n"/>
      <c r="BY624" s="1297" t="n"/>
      <c r="BZ624" s="1297" t="n"/>
      <c r="CA624" s="1297" t="n"/>
      <c r="CB624" s="1297" t="n"/>
      <c r="CC624" s="1280" t="n"/>
    </row>
    <row r="625" hidden="1" outlineLevel="1" ht="14.4" customFormat="1" customHeight="1" s="1275">
      <c r="A625" s="1295" t="inlineStr">
        <is>
          <t>Dividends received from investments accounted for using equity method</t>
        </is>
      </c>
      <c r="B625" s="1387" t="n"/>
      <c r="C625" s="1297" t="n"/>
      <c r="D625" s="1297" t="n"/>
      <c r="E625" s="1297" t="n"/>
      <c r="F625" s="1299" t="n">
        <v>2088.472</v>
      </c>
      <c r="G625" s="1299" t="n">
        <v>2141.881</v>
      </c>
      <c r="H625" s="1298" t="n">
        <v>0</v>
      </c>
      <c r="I625" s="1298" t="n">
        <v>0</v>
      </c>
      <c r="J625" s="1298" t="n">
        <v>3223.09</v>
      </c>
      <c r="K625" s="1280">
        <f>L625</f>
        <v/>
      </c>
      <c r="L625" s="1299" t="n">
        <v>3223.09</v>
      </c>
      <c r="M625" s="1298" t="n">
        <v>0</v>
      </c>
      <c r="N625" s="1298" t="n">
        <v>0</v>
      </c>
      <c r="O625" s="1298" t="n">
        <v>3407.126</v>
      </c>
      <c r="P625" s="1280">
        <f>Q625</f>
        <v/>
      </c>
      <c r="Q625" s="1299" t="n">
        <v>3407.126</v>
      </c>
      <c r="R625" s="1298" t="n">
        <v>0</v>
      </c>
      <c r="S625" s="1298" t="n">
        <v>0</v>
      </c>
      <c r="T625" s="1298" t="n">
        <v>5478.79</v>
      </c>
      <c r="U625" s="1280">
        <f>V625</f>
        <v/>
      </c>
      <c r="V625" s="1299" t="n">
        <v>5478.79</v>
      </c>
      <c r="W625" s="1277" t="n"/>
      <c r="X625" s="1298" t="n">
        <v>163.408</v>
      </c>
      <c r="Y625" s="1298" t="n">
        <v>4245.772</v>
      </c>
      <c r="Z625" s="1280">
        <f>AA625</f>
        <v/>
      </c>
      <c r="AA625" s="1299" t="n">
        <v>4245.772</v>
      </c>
      <c r="AB625" s="1277" t="n"/>
      <c r="AC625" s="1298" t="n">
        <v>233.439</v>
      </c>
      <c r="AD625" s="1298" t="n">
        <v>3262.91</v>
      </c>
      <c r="AE625" s="1280">
        <f>AF625</f>
        <v/>
      </c>
      <c r="AF625" s="1299" t="n">
        <v>3262.91</v>
      </c>
      <c r="AG625" s="1277" t="n"/>
      <c r="AH625" s="1298" t="n">
        <v>233.439</v>
      </c>
      <c r="AI625" s="1298" t="n">
        <v>1718.954</v>
      </c>
      <c r="AJ625" s="1280">
        <f>AK625</f>
        <v/>
      </c>
      <c r="AK625" s="1299" t="n">
        <v>1718.954</v>
      </c>
      <c r="AL625" s="1277" t="n"/>
      <c r="AM625" s="1298" t="n">
        <v>233.439</v>
      </c>
      <c r="AN625" s="1298" t="n">
        <v>2746.144</v>
      </c>
      <c r="AO625" s="1280">
        <f>AP625</f>
        <v/>
      </c>
      <c r="AP625" s="1299" t="n">
        <v>2752.043</v>
      </c>
      <c r="AQ625" s="1277" t="n"/>
      <c r="AR625" s="1298" t="n">
        <v>233.439</v>
      </c>
      <c r="AS625" s="1298" t="n">
        <v>2136.426</v>
      </c>
      <c r="AT625" s="1280">
        <f>AU625</f>
        <v/>
      </c>
      <c r="AU625" s="1299" t="n">
        <v>2136.426</v>
      </c>
      <c r="AV625" s="1277" t="n"/>
      <c r="AW625" s="1298" t="n">
        <v>326.816</v>
      </c>
      <c r="AX625" s="1298" t="n">
        <v>2749.667</v>
      </c>
      <c r="AY625" s="1280">
        <f>AZ625</f>
        <v/>
      </c>
      <c r="AZ625" s="1299" t="n">
        <v>2749.667</v>
      </c>
      <c r="BA625" s="1277" t="n"/>
      <c r="BB625" s="1298" t="n">
        <v>653.631</v>
      </c>
      <c r="BC625" s="1298" t="n">
        <v>3076.482</v>
      </c>
      <c r="BD625" s="1280">
        <f>BE625</f>
        <v/>
      </c>
      <c r="BE625" s="1299" t="n">
        <v>3076.482</v>
      </c>
      <c r="BF625" s="1277" t="n"/>
      <c r="BG625" s="1298" t="n">
        <v>653.631</v>
      </c>
      <c r="BH625" s="1298" t="n">
        <v>2965.201</v>
      </c>
      <c r="BI625" s="1280">
        <f>BJ625</f>
        <v/>
      </c>
      <c r="BJ625" s="1299" t="n">
        <v>2965.201</v>
      </c>
      <c r="BK625" s="1277" t="n"/>
      <c r="BL625" s="1298" t="n">
        <v>747.006</v>
      </c>
      <c r="BM625" s="1298" t="n">
        <v>3304.492</v>
      </c>
      <c r="BN625" s="1280">
        <f>BO625</f>
        <v/>
      </c>
      <c r="BO625" s="1645" t="n">
        <v>3940</v>
      </c>
      <c r="BP625" s="1277" t="n"/>
      <c r="BQ625" s="1277" t="n"/>
      <c r="BR625" s="1277" t="n"/>
      <c r="BS625" s="1277" t="n"/>
      <c r="BT625" s="1297" t="n"/>
      <c r="BU625" s="1277" t="n"/>
      <c r="BV625" s="1277" t="n"/>
      <c r="BW625" s="1277" t="n"/>
      <c r="BX625" s="1277" t="n"/>
      <c r="BY625" s="1297" t="n"/>
      <c r="BZ625" s="1297" t="n"/>
      <c r="CA625" s="1297" t="n"/>
      <c r="CB625" s="1297" t="n"/>
      <c r="CC625" s="1280" t="n"/>
    </row>
    <row r="626" hidden="1" outlineLevel="1" ht="14.4" customFormat="1" customHeight="1" s="1275">
      <c r="A626" s="1295" t="inlineStr">
        <is>
          <t>Increase in prepayments for leases</t>
        </is>
      </c>
      <c r="B626" s="1387" t="n"/>
      <c r="C626" s="1297" t="n"/>
      <c r="D626" s="1297" t="n"/>
      <c r="E626" s="1297" t="n"/>
      <c r="F626" s="1297" t="n"/>
      <c r="G626" s="1297" t="n"/>
      <c r="H626" s="1277" t="n"/>
      <c r="I626" s="1277" t="n"/>
      <c r="J626" s="1277" t="n"/>
      <c r="K626" s="1277" t="n"/>
      <c r="L626" s="1297" t="n"/>
      <c r="M626" s="1277" t="n"/>
      <c r="N626" s="1277" t="n"/>
      <c r="O626" s="1277" t="n"/>
      <c r="P626" s="1277" t="n"/>
      <c r="Q626" s="1297" t="n"/>
      <c r="R626" s="1277" t="n"/>
      <c r="S626" s="1277" t="n"/>
      <c r="T626" s="1277" t="n"/>
      <c r="U626" s="1277" t="n"/>
      <c r="V626" s="1297" t="n"/>
      <c r="W626" s="1277" t="n"/>
      <c r="X626" s="1277" t="n"/>
      <c r="Y626" s="1277" t="n"/>
      <c r="Z626" s="1277" t="n"/>
      <c r="AA626" s="1297" t="n"/>
      <c r="AB626" s="1277" t="n"/>
      <c r="AC626" s="1277" t="n"/>
      <c r="AD626" s="1277" t="n"/>
      <c r="AE626" s="1277" t="n"/>
      <c r="AF626" s="1297" t="n"/>
      <c r="AG626" s="1277" t="n"/>
      <c r="AH626" s="1277" t="n"/>
      <c r="AI626" s="1277" t="n"/>
      <c r="AJ626" s="1277" t="n"/>
      <c r="AK626" s="1297" t="n"/>
      <c r="AL626" s="1277" t="n"/>
      <c r="AM626" s="1277" t="n"/>
      <c r="AN626" s="1298" t="n">
        <v>-2198</v>
      </c>
      <c r="AO626" s="1280">
        <f>AP626</f>
        <v/>
      </c>
      <c r="AP626" s="1299" t="n">
        <v>-4693.416</v>
      </c>
      <c r="AQ626" s="1298" t="n">
        <v>-1200</v>
      </c>
      <c r="AR626" s="1298" t="n">
        <v>-1200</v>
      </c>
      <c r="AS626" s="1298" t="n">
        <v>-1200</v>
      </c>
      <c r="AT626" s="1280">
        <f>AU626</f>
        <v/>
      </c>
      <c r="AU626" s="1299" t="n">
        <v>-1200</v>
      </c>
      <c r="AV626" s="1277" t="n"/>
      <c r="AW626" s="1277" t="n"/>
      <c r="AX626" s="1277" t="n"/>
      <c r="AY626" s="1280">
        <f>AZ626</f>
        <v/>
      </c>
      <c r="AZ626" s="1297" t="n"/>
      <c r="BA626" s="1298" t="n">
        <v>-20.565</v>
      </c>
      <c r="BB626" s="1298" t="n">
        <v>-33.489</v>
      </c>
      <c r="BC626" s="1298" t="n">
        <v>-50.173</v>
      </c>
      <c r="BD626" s="1280">
        <f>BE626</f>
        <v/>
      </c>
      <c r="BE626" s="1299" t="n">
        <v>-63.153</v>
      </c>
      <c r="BF626" s="1298" t="n">
        <v>-12.873</v>
      </c>
      <c r="BG626" s="1298" t="n">
        <v>-28.193</v>
      </c>
      <c r="BH626" s="1298" t="n">
        <v>-87.426</v>
      </c>
      <c r="BI626" s="1280">
        <f>BJ626</f>
        <v/>
      </c>
      <c r="BJ626" s="1299" t="n">
        <v>-99.42700000000001</v>
      </c>
      <c r="BK626" s="1298" t="n">
        <v>-11.212</v>
      </c>
      <c r="BL626" s="1298" t="n">
        <v>-17.174</v>
      </c>
      <c r="BM626" s="1298" t="n">
        <v>-30.06</v>
      </c>
      <c r="BN626" s="1280">
        <f>BO626</f>
        <v/>
      </c>
      <c r="BO626" s="1382" t="n"/>
      <c r="BP626" s="1277" t="n"/>
      <c r="BQ626" s="1277" t="n"/>
      <c r="BR626" s="1277" t="n"/>
      <c r="BS626" s="1277" t="n"/>
      <c r="BT626" s="1297" t="n"/>
      <c r="BU626" s="1277" t="n"/>
      <c r="BV626" s="1277" t="n"/>
      <c r="BW626" s="1277" t="n"/>
      <c r="BX626" s="1277" t="n"/>
      <c r="BY626" s="1297" t="n"/>
      <c r="BZ626" s="1297" t="n"/>
      <c r="CA626" s="1297" t="n"/>
      <c r="CB626" s="1297" t="n"/>
      <c r="CC626" s="1280" t="n"/>
    </row>
    <row r="627" hidden="1" outlineLevel="1" ht="14.4" customFormat="1" customHeight="1" s="1275">
      <c r="A627" s="1295" t="inlineStr">
        <is>
          <t>Refundable deposits paid</t>
        </is>
      </c>
      <c r="B627" s="1387" t="n"/>
      <c r="C627" s="1297" t="n"/>
      <c r="D627" s="1297" t="n"/>
      <c r="E627" s="1297" t="n"/>
      <c r="F627" s="1299" t="n">
        <v>-517.162</v>
      </c>
      <c r="G627" s="1299" t="n">
        <v>-98.88800000000001</v>
      </c>
      <c r="H627" s="1298" t="n">
        <v>-7.869</v>
      </c>
      <c r="I627" s="1298" t="n">
        <v>-25.46</v>
      </c>
      <c r="J627" s="1298" t="n">
        <v>-49.868</v>
      </c>
      <c r="K627" s="1280">
        <f>L627</f>
        <v/>
      </c>
      <c r="L627" s="1299" t="n">
        <v>-57.988</v>
      </c>
      <c r="M627" s="1298" t="n">
        <v>-189.442</v>
      </c>
      <c r="N627" s="1298" t="n">
        <v>-218.253</v>
      </c>
      <c r="O627" s="1298" t="n">
        <v>-267.994</v>
      </c>
      <c r="P627" s="1280">
        <f>Q627</f>
        <v/>
      </c>
      <c r="Q627" s="1299" t="n">
        <v>-404.458</v>
      </c>
      <c r="R627" s="1298" t="n">
        <v>-55.609</v>
      </c>
      <c r="S627" s="1298" t="n">
        <v>-59.844</v>
      </c>
      <c r="T627" s="1298" t="n">
        <v>-140.056</v>
      </c>
      <c r="U627" s="1280">
        <f>V627</f>
        <v/>
      </c>
      <c r="V627" s="1299" t="n">
        <v>-144.982</v>
      </c>
      <c r="W627" s="1298" t="n">
        <v>-191.217</v>
      </c>
      <c r="X627" s="1298" t="n">
        <v>-378.335</v>
      </c>
      <c r="Y627" s="1298" t="n">
        <v>-1084.028</v>
      </c>
      <c r="Z627" s="1280">
        <f>AA627</f>
        <v/>
      </c>
      <c r="AA627" s="1299" t="n">
        <v>-1326.983</v>
      </c>
      <c r="AB627" s="1298" t="n">
        <v>-1048.245</v>
      </c>
      <c r="AC627" s="1298" t="n">
        <v>-2110.165</v>
      </c>
      <c r="AD627" s="1298" t="n">
        <v>-2227.335</v>
      </c>
      <c r="AE627" s="1280">
        <f>AF627</f>
        <v/>
      </c>
      <c r="AF627" s="1299" t="n">
        <v>-2227.541</v>
      </c>
      <c r="AG627" s="1298" t="n">
        <v>-1320.312</v>
      </c>
      <c r="AH627" s="1298" t="n">
        <v>-1336.839</v>
      </c>
      <c r="AI627" s="1298" t="n">
        <v>-1337.227</v>
      </c>
      <c r="AJ627" s="1280">
        <f>AK627</f>
        <v/>
      </c>
      <c r="AK627" s="1299" t="n">
        <v>-1465.766</v>
      </c>
      <c r="AL627" s="1298" t="n">
        <v>-69.46899999999999</v>
      </c>
      <c r="AM627" s="1298" t="n">
        <v>-120.582</v>
      </c>
      <c r="AN627" s="1298" t="n">
        <v>-313.291</v>
      </c>
      <c r="AO627" s="1280">
        <f>AP627</f>
        <v/>
      </c>
      <c r="AP627" s="1299" t="n">
        <v>-726.883</v>
      </c>
      <c r="AQ627" s="1298" t="n">
        <v>-47.212</v>
      </c>
      <c r="AR627" s="1298" t="n">
        <v>-1553.689</v>
      </c>
      <c r="AS627" s="1298" t="n">
        <v>-1563.585</v>
      </c>
      <c r="AT627" s="1280">
        <f>AU627</f>
        <v/>
      </c>
      <c r="AU627" s="1299" t="n">
        <v>-1997.337</v>
      </c>
      <c r="AV627" s="1298" t="n">
        <v>-1670.39</v>
      </c>
      <c r="AW627" s="1298" t="n">
        <v>-1768.173</v>
      </c>
      <c r="AX627" s="1298" t="n">
        <v>-1904.318</v>
      </c>
      <c r="AY627" s="1280">
        <f>AZ627</f>
        <v/>
      </c>
      <c r="AZ627" s="1299" t="n">
        <v>-2117.041</v>
      </c>
      <c r="BA627" s="1298" t="n">
        <v>-12.726</v>
      </c>
      <c r="BB627" s="1298" t="n">
        <v>-1557.269</v>
      </c>
      <c r="BC627" s="1298" t="n">
        <v>-4053.259</v>
      </c>
      <c r="BD627" s="1280">
        <f>BE627</f>
        <v/>
      </c>
      <c r="BE627" s="1299" t="n">
        <v>-4056.496</v>
      </c>
      <c r="BF627" s="1298" t="n">
        <v>-111.77</v>
      </c>
      <c r="BG627" s="1298" t="n">
        <v>-122.271</v>
      </c>
      <c r="BH627" s="1298" t="n">
        <v>-253.793</v>
      </c>
      <c r="BI627" s="1280">
        <f>BJ627</f>
        <v/>
      </c>
      <c r="BJ627" s="1299" t="n">
        <v>-1304.815</v>
      </c>
      <c r="BK627" s="1298" t="n">
        <v>-47.164</v>
      </c>
      <c r="BL627" s="1298" t="n">
        <v>-282.366</v>
      </c>
      <c r="BM627" s="1298" t="n">
        <v>-347.234</v>
      </c>
      <c r="BN627" s="1280">
        <f>BO627</f>
        <v/>
      </c>
      <c r="BO627" s="1382" t="n"/>
      <c r="BP627" s="1277" t="n"/>
      <c r="BQ627" s="1277" t="n"/>
      <c r="BR627" s="1277" t="n"/>
      <c r="BS627" s="1277" t="n"/>
      <c r="BT627" s="1297" t="n"/>
      <c r="BU627" s="1277" t="n"/>
      <c r="BV627" s="1277" t="n"/>
      <c r="BW627" s="1277" t="n"/>
      <c r="BX627" s="1277" t="n"/>
      <c r="BY627" s="1297" t="n"/>
      <c r="BZ627" s="1297" t="n"/>
      <c r="CA627" s="1297" t="n"/>
      <c r="CB627" s="1297" t="n"/>
      <c r="CC627" s="1280" t="n"/>
    </row>
    <row r="628" hidden="1" outlineLevel="1" ht="14.4" customFormat="1" customHeight="1" s="1275">
      <c r="A628" s="1295" t="inlineStr">
        <is>
          <t>Refundable deposits refunded</t>
        </is>
      </c>
      <c r="B628" s="1387" t="n"/>
      <c r="C628" s="1299" t="n">
        <v>34.056</v>
      </c>
      <c r="D628" s="1299" t="n">
        <v>-5944.827</v>
      </c>
      <c r="E628" s="1299" t="n">
        <v>4149.543</v>
      </c>
      <c r="F628" s="1299" t="n">
        <v>2609.313</v>
      </c>
      <c r="G628" s="1299" t="n">
        <v>113.399</v>
      </c>
      <c r="H628" s="1298" t="n">
        <v>16.506</v>
      </c>
      <c r="I628" s="1298" t="n">
        <v>59.041</v>
      </c>
      <c r="J628" s="1298" t="n">
        <v>73.851</v>
      </c>
      <c r="K628" s="1280">
        <f>L628</f>
        <v/>
      </c>
      <c r="L628" s="1299" t="n">
        <v>2296.872</v>
      </c>
      <c r="M628" s="1298" t="n">
        <v>101.714</v>
      </c>
      <c r="N628" s="1298" t="n">
        <v>161.583</v>
      </c>
      <c r="O628" s="1298" t="n">
        <v>227.253</v>
      </c>
      <c r="P628" s="1280">
        <f>Q628</f>
        <v/>
      </c>
      <c r="Q628" s="1299" t="n">
        <v>348.434</v>
      </c>
      <c r="R628" s="1298" t="n">
        <v>47.608</v>
      </c>
      <c r="S628" s="1298" t="n">
        <v>63.47</v>
      </c>
      <c r="T628" s="1298" t="n">
        <v>74.455</v>
      </c>
      <c r="U628" s="1280">
        <f>V628</f>
        <v/>
      </c>
      <c r="V628" s="1299" t="n">
        <v>169.912</v>
      </c>
      <c r="W628" s="1298" t="n">
        <v>25.376</v>
      </c>
      <c r="X628" s="1298" t="n">
        <v>42.008</v>
      </c>
      <c r="Y628" s="1298" t="n">
        <v>247.027</v>
      </c>
      <c r="Z628" s="1280">
        <f>AA628</f>
        <v/>
      </c>
      <c r="AA628" s="1299" t="n">
        <v>432.944</v>
      </c>
      <c r="AB628" s="1298" t="n">
        <v>187.602</v>
      </c>
      <c r="AC628" s="1298" t="n">
        <v>1331.308</v>
      </c>
      <c r="AD628" s="1298" t="n">
        <v>1581.399</v>
      </c>
      <c r="AE628" s="1280">
        <f>AF628</f>
        <v/>
      </c>
      <c r="AF628" s="1299" t="n">
        <v>1857.188</v>
      </c>
      <c r="AG628" s="1298" t="n">
        <v>179.43</v>
      </c>
      <c r="AH628" s="1298" t="n">
        <v>475.381</v>
      </c>
      <c r="AI628" s="1298" t="n">
        <v>781.8819999999999</v>
      </c>
      <c r="AJ628" s="1280">
        <f>AK628</f>
        <v/>
      </c>
      <c r="AK628" s="1299" t="n">
        <v>1019.294</v>
      </c>
      <c r="AL628" s="1298" t="n">
        <v>339.693</v>
      </c>
      <c r="AM628" s="1298" t="n">
        <v>686.3680000000001</v>
      </c>
      <c r="AN628" s="1298" t="n">
        <v>1100.358</v>
      </c>
      <c r="AO628" s="1280">
        <f>AP628</f>
        <v/>
      </c>
      <c r="AP628" s="1299" t="n">
        <v>1431.837</v>
      </c>
      <c r="AQ628" s="1298" t="n">
        <v>203.788</v>
      </c>
      <c r="AR628" s="1298" t="n">
        <v>369.842</v>
      </c>
      <c r="AS628" s="1298" t="n">
        <v>468.477</v>
      </c>
      <c r="AT628" s="1280">
        <f>AU628</f>
        <v/>
      </c>
      <c r="AU628" s="1299" t="n">
        <v>683.684</v>
      </c>
      <c r="AV628" s="1298" t="n">
        <v>309.488</v>
      </c>
      <c r="AW628" s="1298" t="n">
        <v>373.262</v>
      </c>
      <c r="AX628" s="1298" t="n">
        <v>437.209</v>
      </c>
      <c r="AY628" s="1280">
        <f>AZ628</f>
        <v/>
      </c>
      <c r="AZ628" s="1299" t="n">
        <v>505.423</v>
      </c>
      <c r="BA628" s="1298" t="n">
        <v>221.285</v>
      </c>
      <c r="BB628" s="1298" t="n">
        <v>272.455</v>
      </c>
      <c r="BC628" s="1298" t="n">
        <v>357.21</v>
      </c>
      <c r="BD628" s="1280">
        <f>BE628</f>
        <v/>
      </c>
      <c r="BE628" s="1299" t="n">
        <v>1454.012</v>
      </c>
      <c r="BF628" s="1298" t="n">
        <v>1210.002</v>
      </c>
      <c r="BG628" s="1298" t="n">
        <v>2946.16</v>
      </c>
      <c r="BH628" s="1298" t="n">
        <v>3083.455</v>
      </c>
      <c r="BI628" s="1280">
        <f>BJ628</f>
        <v/>
      </c>
      <c r="BJ628" s="1299" t="n">
        <v>3268.276</v>
      </c>
      <c r="BK628" s="1298" t="n">
        <v>31.337</v>
      </c>
      <c r="BL628" s="1298" t="n">
        <v>396.772</v>
      </c>
      <c r="BM628" s="1298" t="n">
        <v>419.019</v>
      </c>
      <c r="BN628" s="1280">
        <f>BO628</f>
        <v/>
      </c>
      <c r="BO628" s="1382" t="n"/>
      <c r="BP628" s="1277" t="n"/>
      <c r="BQ628" s="1277" t="n"/>
      <c r="BR628" s="1277" t="n"/>
      <c r="BS628" s="1277" t="n"/>
      <c r="BT628" s="1297" t="n"/>
      <c r="BU628" s="1277" t="n"/>
      <c r="BV628" s="1277" t="n"/>
      <c r="BW628" s="1277" t="n"/>
      <c r="BX628" s="1277" t="n"/>
      <c r="BY628" s="1297" t="n"/>
      <c r="BZ628" s="1297" t="n"/>
      <c r="CA628" s="1297" t="n"/>
      <c r="CB628" s="1297" t="n"/>
      <c r="CC628" s="1280" t="n"/>
    </row>
    <row r="629" hidden="1" outlineLevel="1" ht="14.4" customFormat="1" customHeight="1" s="1275">
      <c r="A629" s="1295" t="inlineStr">
        <is>
          <t>Acquisition of businesses</t>
        </is>
      </c>
      <c r="B629" s="1387" t="n"/>
      <c r="C629" s="1297" t="n"/>
      <c r="D629" s="1297" t="n"/>
      <c r="E629" s="1297" t="n"/>
      <c r="F629" s="1297" t="n"/>
      <c r="G629" s="1297" t="n"/>
      <c r="H629" s="1277" t="n"/>
      <c r="I629" s="1277" t="n"/>
      <c r="J629" s="1277" t="n"/>
      <c r="K629" s="1280">
        <f>L629</f>
        <v/>
      </c>
      <c r="L629" s="1297" t="n"/>
      <c r="M629" s="1277" t="n"/>
      <c r="N629" s="1277" t="n"/>
      <c r="O629" s="1277" t="n"/>
      <c r="P629" s="1280">
        <f>Q629</f>
        <v/>
      </c>
      <c r="Q629" s="1297" t="n"/>
      <c r="R629" s="1277" t="n"/>
      <c r="S629" s="1277" t="n"/>
      <c r="T629" s="1277" t="n"/>
      <c r="U629" s="1280">
        <f>V629</f>
        <v/>
      </c>
      <c r="V629" s="1297" t="n"/>
      <c r="W629" s="1277" t="n"/>
      <c r="X629" s="1277" t="n"/>
      <c r="Y629" s="1277" t="n"/>
      <c r="Z629" s="1280">
        <f>AA629</f>
        <v/>
      </c>
      <c r="AA629" s="1297" t="n"/>
      <c r="AB629" s="1277" t="n"/>
      <c r="AC629" s="1277" t="n"/>
      <c r="AD629" s="1277" t="n"/>
      <c r="AE629" s="1280">
        <f>AF629</f>
        <v/>
      </c>
      <c r="AF629" s="1297" t="n"/>
      <c r="AG629" s="1277" t="n"/>
      <c r="AH629" s="1277" t="n"/>
      <c r="AI629" s="1277" t="n"/>
      <c r="AJ629" s="1277" t="n"/>
      <c r="AK629" s="1297" t="n"/>
      <c r="AL629" s="1277" t="n"/>
      <c r="AM629" s="1277" t="n"/>
      <c r="AN629" s="1277" t="n"/>
      <c r="AO629" s="1280">
        <f>AP629</f>
        <v/>
      </c>
      <c r="AP629" s="1297" t="n"/>
      <c r="AQ629" s="1277" t="n"/>
      <c r="AR629" s="1277" t="n"/>
      <c r="AS629" s="1277" t="n"/>
      <c r="AT629" s="1280">
        <f>AU629</f>
        <v/>
      </c>
      <c r="AU629" s="1297" t="n"/>
      <c r="AV629" s="1277" t="n"/>
      <c r="AW629" s="1277" t="n"/>
      <c r="AX629" s="1277" t="n"/>
      <c r="AY629" s="1280">
        <f>AZ629</f>
        <v/>
      </c>
      <c r="AZ629" s="1297" t="n"/>
      <c r="BA629" s="1277" t="n"/>
      <c r="BB629" s="1277" t="n"/>
      <c r="BC629" s="1277" t="n"/>
      <c r="BD629" s="1280">
        <f>BE629</f>
        <v/>
      </c>
      <c r="BE629" s="1297" t="n"/>
      <c r="BF629" s="1277" t="n"/>
      <c r="BG629" s="1277" t="n"/>
      <c r="BH629" s="1277" t="n"/>
      <c r="BI629" s="1280">
        <f>BJ629</f>
        <v/>
      </c>
      <c r="BJ629" s="1297" t="n"/>
      <c r="BK629" s="1277" t="n"/>
      <c r="BL629" s="1277" t="n"/>
      <c r="BM629" s="1277" t="n"/>
      <c r="BN629" s="1280">
        <f>BO629</f>
        <v/>
      </c>
      <c r="BO629" s="1382" t="n"/>
      <c r="BP629" s="1277" t="n"/>
      <c r="BQ629" s="1277" t="n"/>
      <c r="BR629" s="1277" t="n"/>
      <c r="BS629" s="1277" t="n"/>
      <c r="BT629" s="1297" t="n"/>
      <c r="BU629" s="1277" t="n"/>
      <c r="BV629" s="1277" t="n"/>
      <c r="BW629" s="1277" t="n"/>
      <c r="BX629" s="1277" t="n"/>
      <c r="BY629" s="1297" t="n"/>
      <c r="BZ629" s="1297" t="n"/>
      <c r="CA629" s="1297" t="n"/>
      <c r="CB629" s="1297" t="n"/>
      <c r="CC629" s="1280" t="n"/>
    </row>
    <row r="630" hidden="1" outlineLevel="1" ht="14.4" customFormat="1" customHeight="1" s="1275">
      <c r="A630" s="1295" t="inlineStr">
        <is>
          <t>Decrease in receivables for temporary payments</t>
        </is>
      </c>
      <c r="B630" s="1387" t="n"/>
      <c r="C630" s="1297" t="n"/>
      <c r="D630" s="1297" t="n"/>
      <c r="E630" s="1297" t="n"/>
      <c r="F630" s="1299" t="n">
        <v>0</v>
      </c>
      <c r="G630" s="1299" t="n">
        <v>0</v>
      </c>
      <c r="H630" s="1298" t="n">
        <v>0</v>
      </c>
      <c r="I630" s="1298" t="n">
        <v>0</v>
      </c>
      <c r="J630" s="1298" t="n">
        <v>0</v>
      </c>
      <c r="K630" s="1280">
        <f>L630</f>
        <v/>
      </c>
      <c r="L630" s="1299" t="n">
        <v>0</v>
      </c>
      <c r="M630" s="1298" t="n">
        <v>0</v>
      </c>
      <c r="N630" s="1298" t="n">
        <v>0</v>
      </c>
      <c r="O630" s="1298" t="n">
        <v>0</v>
      </c>
      <c r="P630" s="1280">
        <f>Q630</f>
        <v/>
      </c>
      <c r="Q630" s="1299" t="n">
        <v>398.185</v>
      </c>
      <c r="R630" s="1298" t="n">
        <v>102.433</v>
      </c>
      <c r="S630" s="1298" t="n">
        <v>706.718</v>
      </c>
      <c r="T630" s="1298" t="n">
        <v>706.718</v>
      </c>
      <c r="U630" s="1280">
        <f>V630</f>
        <v/>
      </c>
      <c r="V630" s="1299" t="n">
        <v>706.718</v>
      </c>
      <c r="W630" s="1298" t="n">
        <v>0</v>
      </c>
      <c r="X630" s="1298" t="n">
        <v>0</v>
      </c>
      <c r="Y630" s="1298" t="n">
        <v>0</v>
      </c>
      <c r="Z630" s="1280">
        <f>AA630</f>
        <v/>
      </c>
      <c r="AA630" s="1297" t="n"/>
      <c r="AB630" s="1277" t="n"/>
      <c r="AC630" s="1277" t="n"/>
      <c r="AD630" s="1277" t="n"/>
      <c r="AE630" s="1280">
        <f>AF630</f>
        <v/>
      </c>
      <c r="AF630" s="1297" t="n"/>
      <c r="AG630" s="1277" t="n"/>
      <c r="AH630" s="1277" t="n"/>
      <c r="AI630" s="1277" t="n"/>
      <c r="AJ630" s="1277" t="n"/>
      <c r="AK630" s="1297" t="n"/>
      <c r="AL630" s="1277" t="n"/>
      <c r="AM630" s="1277" t="n"/>
      <c r="AN630" s="1277" t="n"/>
      <c r="AO630" s="1280">
        <f>AP630</f>
        <v/>
      </c>
      <c r="AP630" s="1297" t="n"/>
      <c r="AQ630" s="1277" t="n"/>
      <c r="AR630" s="1277" t="n"/>
      <c r="AS630" s="1277" t="n"/>
      <c r="AT630" s="1280">
        <f>AU630</f>
        <v/>
      </c>
      <c r="AU630" s="1297" t="n"/>
      <c r="AV630" s="1277" t="n"/>
      <c r="AW630" s="1277" t="n"/>
      <c r="AX630" s="1277" t="n"/>
      <c r="AY630" s="1280">
        <f>AZ630</f>
        <v/>
      </c>
      <c r="AZ630" s="1297" t="n"/>
      <c r="BA630" s="1277" t="n"/>
      <c r="BB630" s="1277" t="n"/>
      <c r="BC630" s="1277" t="n"/>
      <c r="BD630" s="1280">
        <f>BE630</f>
        <v/>
      </c>
      <c r="BE630" s="1297" t="n"/>
      <c r="BF630" s="1277" t="n"/>
      <c r="BG630" s="1277" t="n"/>
      <c r="BH630" s="1277" t="n"/>
      <c r="BI630" s="1280">
        <f>BJ630</f>
        <v/>
      </c>
      <c r="BJ630" s="1297" t="n"/>
      <c r="BK630" s="1277" t="n"/>
      <c r="BL630" s="1277" t="n"/>
      <c r="BM630" s="1277" t="n"/>
      <c r="BN630" s="1280">
        <f>BO630</f>
        <v/>
      </c>
      <c r="BO630" s="1382" t="n"/>
      <c r="BP630" s="1277" t="n"/>
      <c r="BQ630" s="1277" t="n"/>
      <c r="BR630" s="1277" t="n"/>
      <c r="BS630" s="1277" t="n"/>
      <c r="BT630" s="1297" t="n"/>
      <c r="BU630" s="1277" t="n"/>
      <c r="BV630" s="1277" t="n"/>
      <c r="BW630" s="1277" t="n"/>
      <c r="BX630" s="1277" t="n"/>
      <c r="BY630" s="1297" t="n"/>
      <c r="BZ630" s="1297" t="n"/>
      <c r="CA630" s="1297" t="n"/>
      <c r="CB630" s="1297" t="n"/>
      <c r="CC630" s="1280" t="n"/>
    </row>
    <row r="631" hidden="1" outlineLevel="1" ht="14.4" customFormat="1" customHeight="1" s="1275">
      <c r="A631" s="1460" t="inlineStr">
        <is>
          <t>Others</t>
        </is>
      </c>
      <c r="B631" s="1389" t="n"/>
      <c r="C631" s="1364" t="n"/>
      <c r="D631" s="1364" t="n"/>
      <c r="E631" s="1364" t="n"/>
      <c r="F631" s="1364" t="n"/>
      <c r="G631" s="1364" t="n"/>
      <c r="H631" s="1365" t="n"/>
      <c r="I631" s="1365" t="n"/>
      <c r="J631" s="1365" t="n"/>
      <c r="K631" s="1365" t="n"/>
      <c r="L631" s="1364" t="n"/>
      <c r="M631" s="1365" t="n"/>
      <c r="N631" s="1365" t="n"/>
      <c r="O631" s="1365" t="n"/>
      <c r="P631" s="1365" t="n"/>
      <c r="Q631" s="1364" t="n"/>
      <c r="R631" s="1365" t="n"/>
      <c r="S631" s="1365" t="n"/>
      <c r="T631" s="1365" t="n"/>
      <c r="U631" s="1365" t="n"/>
      <c r="V631" s="1364" t="n"/>
      <c r="W631" s="1365" t="n"/>
      <c r="X631" s="1365" t="n"/>
      <c r="Y631" s="1365" t="n"/>
      <c r="Z631" s="1365" t="n"/>
      <c r="AA631" s="1364" t="n"/>
      <c r="AB631" s="1365" t="n"/>
      <c r="AC631" s="1365" t="n"/>
      <c r="AD631" s="1365" t="n"/>
      <c r="AE631" s="1464">
        <f>AF631</f>
        <v/>
      </c>
      <c r="AF631" s="1364" t="n"/>
      <c r="AG631" s="1365" t="n"/>
      <c r="AH631" s="1365" t="n"/>
      <c r="AI631" s="1365" t="n"/>
      <c r="AJ631" s="1365" t="n"/>
      <c r="AK631" s="1364" t="n"/>
      <c r="AL631" s="1365" t="n"/>
      <c r="AM631" s="1365" t="n"/>
      <c r="AN631" s="1365" t="n"/>
      <c r="AO631" s="1280">
        <f>AP631</f>
        <v/>
      </c>
      <c r="AP631" s="1364" t="n"/>
      <c r="AQ631" s="1365" t="n"/>
      <c r="AR631" s="1365" t="n"/>
      <c r="AS631" s="1365" t="n"/>
      <c r="AT631" s="1280">
        <f>AU631</f>
        <v/>
      </c>
      <c r="AU631" s="1364" t="n"/>
      <c r="AV631" s="1365" t="n"/>
      <c r="AW631" s="1365" t="n"/>
      <c r="AX631" s="1365" t="n"/>
      <c r="AY631" s="1280">
        <f>AZ631</f>
        <v/>
      </c>
      <c r="AZ631" s="1364" t="n"/>
      <c r="BA631" s="1365" t="n"/>
      <c r="BB631" s="1365" t="n"/>
      <c r="BC631" s="1365" t="n"/>
      <c r="BD631" s="1280">
        <f>BE631</f>
        <v/>
      </c>
      <c r="BE631" s="1364" t="n"/>
      <c r="BF631" s="1365" t="n"/>
      <c r="BG631" s="1277" t="n"/>
      <c r="BH631" s="1277" t="n"/>
      <c r="BI631" s="1280">
        <f>BJ631</f>
        <v/>
      </c>
      <c r="BJ631" s="1364" t="n"/>
      <c r="BK631" s="1365" t="n"/>
      <c r="BL631" s="1277" t="n"/>
      <c r="BM631" s="1277" t="n"/>
      <c r="BN631" s="1280">
        <f>BO631</f>
        <v/>
      </c>
      <c r="BO631" s="1579" t="n">
        <v>61441</v>
      </c>
      <c r="BP631" s="1365" t="n"/>
      <c r="BQ631" s="1365" t="n"/>
      <c r="BR631" s="1365" t="n"/>
      <c r="BS631" s="1365" t="n"/>
      <c r="BT631" s="1364" t="n"/>
      <c r="BU631" s="1365" t="n"/>
      <c r="BV631" s="1365" t="n"/>
      <c r="BW631" s="1365" t="n"/>
      <c r="BX631" s="1365" t="n"/>
      <c r="BY631" s="1364" t="n"/>
      <c r="BZ631" s="1364" t="n"/>
      <c r="CA631" s="1364" t="n"/>
      <c r="CB631" s="1364" t="n"/>
      <c r="CC631" s="1280" t="n"/>
    </row>
    <row r="632" hidden="1" outlineLevel="1" ht="14.4" customFormat="1" customHeight="1" s="1323">
      <c r="A632" s="1324" t="inlineStr">
        <is>
          <t>Net CFI</t>
        </is>
      </c>
      <c r="B632" s="1393" t="n"/>
      <c r="C632" s="1329">
        <f>SUM(C591:C631)</f>
        <v/>
      </c>
      <c r="D632" s="1329">
        <f>SUM(D591:D631)</f>
        <v/>
      </c>
      <c r="E632" s="1329">
        <f>SUM(E591:E631)</f>
        <v/>
      </c>
      <c r="F632" s="1329">
        <f>SUM(F591:F631)</f>
        <v/>
      </c>
      <c r="G632" s="1329">
        <f>SUM(G591:G631)</f>
        <v/>
      </c>
      <c r="H632" s="1328">
        <f>SUM(H591:H631)</f>
        <v/>
      </c>
      <c r="I632" s="1328">
        <f>SUM(I591:I631)</f>
        <v/>
      </c>
      <c r="J632" s="1328">
        <f>SUM(J591:J631)</f>
        <v/>
      </c>
      <c r="K632" s="1328">
        <f>SUM(K591:K631)</f>
        <v/>
      </c>
      <c r="L632" s="1329">
        <f>SUM(L591:L631)</f>
        <v/>
      </c>
      <c r="M632" s="1328">
        <f>SUM(M591:M631)</f>
        <v/>
      </c>
      <c r="N632" s="1328">
        <f>SUM(N591:N631)</f>
        <v/>
      </c>
      <c r="O632" s="1328">
        <f>SUM(O591:O631)</f>
        <v/>
      </c>
      <c r="P632" s="1328">
        <f>SUM(P591:P631)</f>
        <v/>
      </c>
      <c r="Q632" s="1329">
        <f>SUM(Q591:Q631)</f>
        <v/>
      </c>
      <c r="R632" s="1328">
        <f>SUM(R591:R631)</f>
        <v/>
      </c>
      <c r="S632" s="1328">
        <f>SUM(S591:S631)</f>
        <v/>
      </c>
      <c r="T632" s="1328">
        <f>SUM(T591:T631)</f>
        <v/>
      </c>
      <c r="U632" s="1328">
        <f>SUM(U591:U631)</f>
        <v/>
      </c>
      <c r="V632" s="1329">
        <f>SUM(V591:V631)</f>
        <v/>
      </c>
      <c r="W632" s="1328">
        <f>SUM(W591:W631)</f>
        <v/>
      </c>
      <c r="X632" s="1328">
        <f>SUM(X591:X631)</f>
        <v/>
      </c>
      <c r="Y632" s="1328">
        <f>SUM(Y591:Y631)</f>
        <v/>
      </c>
      <c r="Z632" s="1328">
        <f>SUM(Z591:Z631)</f>
        <v/>
      </c>
      <c r="AA632" s="1329">
        <f>SUM(AA591:AA631)</f>
        <v/>
      </c>
      <c r="AB632" s="1328">
        <f>SUM(AB591:AB631)</f>
        <v/>
      </c>
      <c r="AC632" s="1328">
        <f>SUM(AC591:AC631)</f>
        <v/>
      </c>
      <c r="AD632" s="1328">
        <f>SUM(AD591:AD631)</f>
        <v/>
      </c>
      <c r="AE632" s="1328">
        <f>SUM(AE591:AE631)</f>
        <v/>
      </c>
      <c r="AF632" s="1329">
        <f>SUM(AF591:AF631)</f>
        <v/>
      </c>
      <c r="AG632" s="1328">
        <f>SUM(AG591:AG631)</f>
        <v/>
      </c>
      <c r="AH632" s="1328">
        <f>SUM(AH591:AH631)</f>
        <v/>
      </c>
      <c r="AI632" s="1328">
        <f>SUM(AI591:AI631)</f>
        <v/>
      </c>
      <c r="AJ632" s="1328">
        <f>SUM(AJ591:AJ631)</f>
        <v/>
      </c>
      <c r="AK632" s="1329">
        <f>SUM(AK591:AK631)</f>
        <v/>
      </c>
      <c r="AL632" s="1328">
        <f>SUM(AL591:AL631)</f>
        <v/>
      </c>
      <c r="AM632" s="1328">
        <f>SUM(AM591:AM631)</f>
        <v/>
      </c>
      <c r="AN632" s="1328">
        <f>SUM(AN591:AN631)</f>
        <v/>
      </c>
      <c r="AO632" s="1328">
        <f>SUM(AO591:AO631)</f>
        <v/>
      </c>
      <c r="AP632" s="1329">
        <f>SUM(AP591:AP631)</f>
        <v/>
      </c>
      <c r="AQ632" s="1328">
        <f>SUM(AQ591:AQ631)</f>
        <v/>
      </c>
      <c r="AR632" s="1328">
        <f>SUM(AR591:AR631)</f>
        <v/>
      </c>
      <c r="AS632" s="1328">
        <f>SUM(AS591:AS631)</f>
        <v/>
      </c>
      <c r="AT632" s="1328">
        <f>SUM(AT591:AT631)</f>
        <v/>
      </c>
      <c r="AU632" s="1329">
        <f>SUM(AU591:AU631)</f>
        <v/>
      </c>
      <c r="AV632" s="1328">
        <f>SUM(AV591:AV631)</f>
        <v/>
      </c>
      <c r="AW632" s="1328">
        <f>SUM(AW591:AW631)</f>
        <v/>
      </c>
      <c r="AX632" s="1328">
        <f>SUM(AX591:AX631)</f>
        <v/>
      </c>
      <c r="AY632" s="1328">
        <f>SUM(AY591:AY631)</f>
        <v/>
      </c>
      <c r="AZ632" s="1329">
        <f>SUM(AZ591:AZ631)</f>
        <v/>
      </c>
      <c r="BA632" s="1328">
        <f>SUM(BA591:BA631)</f>
        <v/>
      </c>
      <c r="BB632" s="1328">
        <f>SUM(BB591:BB631)</f>
        <v/>
      </c>
      <c r="BC632" s="1327">
        <f>SUM(BC591:BC631)</f>
        <v/>
      </c>
      <c r="BD632" s="1328">
        <f>SUM(BD591:BD631)</f>
        <v/>
      </c>
      <c r="BE632" s="1329">
        <f>SUM(BE591:BE631)</f>
        <v/>
      </c>
      <c r="BF632" s="1328">
        <f>SUM(BF591:BF631)</f>
        <v/>
      </c>
      <c r="BG632" s="1328">
        <f>SUM(BG591:BG631)</f>
        <v/>
      </c>
      <c r="BH632" s="1327">
        <f>SUM(BH591:BH631)</f>
        <v/>
      </c>
      <c r="BI632" s="1328">
        <f>SUM(BI591:BI631)</f>
        <v/>
      </c>
      <c r="BJ632" s="1329">
        <f>SUM(BJ591:BJ631)</f>
        <v/>
      </c>
      <c r="BK632" s="1328">
        <f>SUM(BK591:BK631)</f>
        <v/>
      </c>
      <c r="BL632" s="1328">
        <f>SUM(BL591:BL631)</f>
        <v/>
      </c>
      <c r="BM632" s="1327">
        <f>SUM(BM591:BM631)</f>
        <v/>
      </c>
      <c r="BN632" s="1328">
        <f>SUM(BN591:BN631)</f>
        <v/>
      </c>
      <c r="BO632" s="1330">
        <f>SUM(BO591:BO631)</f>
        <v/>
      </c>
      <c r="BP632" s="1327" t="n"/>
      <c r="BQ632" s="1327" t="n"/>
      <c r="BR632" s="1327" t="n"/>
      <c r="BS632" s="1327" t="n"/>
      <c r="BT632" s="1326" t="n"/>
      <c r="BU632" s="1327" t="n"/>
      <c r="BV632" s="1327" t="n"/>
      <c r="BW632" s="1327" t="n"/>
      <c r="BX632" s="1327" t="n"/>
      <c r="BY632" s="1326" t="n"/>
      <c r="BZ632" s="1326" t="n"/>
      <c r="CA632" s="1326" t="n"/>
      <c r="CB632" s="1326" t="n"/>
      <c r="CC632" s="1331" t="n"/>
    </row>
    <row r="633" hidden="1" outlineLevel="1" ht="14.4" customFormat="1" customHeight="1" s="1323">
      <c r="A633" s="1344" t="n"/>
      <c r="B633" s="1394" t="n"/>
      <c r="C633" s="1345" t="n"/>
      <c r="D633" s="1345" t="n"/>
      <c r="E633" s="1345" t="n"/>
      <c r="F633" s="1345" t="n"/>
      <c r="G633" s="1345" t="n"/>
      <c r="H633" s="1346" t="n"/>
      <c r="I633" s="1346" t="n"/>
      <c r="J633" s="1346" t="n"/>
      <c r="K633" s="1346" t="n"/>
      <c r="L633" s="1345" t="n"/>
      <c r="M633" s="1346" t="n"/>
      <c r="N633" s="1346" t="n"/>
      <c r="O633" s="1346" t="n"/>
      <c r="P633" s="1346" t="n"/>
      <c r="Q633" s="1345" t="n"/>
      <c r="R633" s="1346" t="n"/>
      <c r="S633" s="1346" t="n"/>
      <c r="T633" s="1346" t="n"/>
      <c r="U633" s="1346" t="n"/>
      <c r="V633" s="1345" t="n"/>
      <c r="W633" s="1346" t="n"/>
      <c r="X633" s="1346" t="n"/>
      <c r="Y633" s="1346" t="n"/>
      <c r="Z633" s="1346" t="n"/>
      <c r="AA633" s="1345" t="n"/>
      <c r="AB633" s="1346" t="n"/>
      <c r="AC633" s="1346" t="n"/>
      <c r="AD633" s="1346" t="n"/>
      <c r="AE633" s="1346" t="n"/>
      <c r="AF633" s="1345" t="n"/>
      <c r="AG633" s="1346" t="n"/>
      <c r="AH633" s="1346" t="n"/>
      <c r="AI633" s="1346" t="n"/>
      <c r="AJ633" s="1346" t="n"/>
      <c r="AK633" s="1345" t="n"/>
      <c r="AL633" s="1346" t="n"/>
      <c r="AM633" s="1346" t="n"/>
      <c r="AN633" s="1346" t="n"/>
      <c r="AO633" s="1346" t="n"/>
      <c r="AP633" s="1345" t="n"/>
      <c r="AQ633" s="1346" t="n"/>
      <c r="AR633" s="1346" t="n"/>
      <c r="AS633" s="1346" t="n"/>
      <c r="AT633" s="1346" t="n"/>
      <c r="AU633" s="1345" t="n"/>
      <c r="AV633" s="1346" t="n"/>
      <c r="AW633" s="1346" t="n"/>
      <c r="AX633" s="1346" t="n"/>
      <c r="AY633" s="1346" t="n"/>
      <c r="AZ633" s="1345" t="n"/>
      <c r="BA633" s="1346" t="n"/>
      <c r="BB633" s="1346" t="n"/>
      <c r="BC633" s="1346" t="n"/>
      <c r="BD633" s="1346" t="n"/>
      <c r="BE633" s="1345" t="n"/>
      <c r="BF633" s="1346" t="n"/>
      <c r="BG633" s="1346" t="n"/>
      <c r="BH633" s="1346" t="n"/>
      <c r="BI633" s="1346" t="n"/>
      <c r="BJ633" s="1345" t="n"/>
      <c r="BK633" s="1346" t="n"/>
      <c r="BL633" s="1346" t="n"/>
      <c r="BM633" s="1346" t="n"/>
      <c r="BN633" s="1346" t="n"/>
      <c r="BO633" s="1347" t="n"/>
      <c r="BP633" s="1346" t="n"/>
      <c r="BQ633" s="1346" t="n"/>
      <c r="BR633" s="1346" t="n"/>
      <c r="BS633" s="1346" t="n"/>
      <c r="BT633" s="1297" t="n"/>
      <c r="BU633" s="1346" t="n"/>
      <c r="BV633" s="1346" t="n"/>
      <c r="BW633" s="1346" t="n"/>
      <c r="BX633" s="1346" t="n"/>
      <c r="BY633" s="1297" t="n"/>
      <c r="BZ633" s="1297" t="n"/>
      <c r="CA633" s="1297" t="n"/>
      <c r="CB633" s="1297" t="n"/>
      <c r="CC633" s="1331" t="n"/>
    </row>
    <row r="634" hidden="1" outlineLevel="1" ht="14.4" customFormat="1" customHeight="1" s="1323">
      <c r="A634" s="1577" t="inlineStr">
        <is>
          <t>CFF</t>
        </is>
      </c>
      <c r="B634" s="1394" t="n"/>
      <c r="C634" s="1345" t="n"/>
      <c r="D634" s="1345" t="n"/>
      <c r="E634" s="1345" t="n"/>
      <c r="F634" s="1345" t="n"/>
      <c r="G634" s="1345" t="n"/>
      <c r="H634" s="1346" t="n"/>
      <c r="I634" s="1346" t="n"/>
      <c r="J634" s="1346" t="n"/>
      <c r="K634" s="1346" t="n"/>
      <c r="L634" s="1345" t="n"/>
      <c r="M634" s="1346" t="n"/>
      <c r="N634" s="1346" t="n"/>
      <c r="O634" s="1346" t="n"/>
      <c r="P634" s="1346" t="n"/>
      <c r="Q634" s="1345" t="n"/>
      <c r="R634" s="1346" t="n"/>
      <c r="S634" s="1346" t="n"/>
      <c r="T634" s="1346" t="n"/>
      <c r="U634" s="1346" t="n"/>
      <c r="V634" s="1345" t="n"/>
      <c r="W634" s="1346" t="n"/>
      <c r="X634" s="1346" t="n"/>
      <c r="Y634" s="1346" t="n"/>
      <c r="Z634" s="1346" t="n"/>
      <c r="AA634" s="1345" t="n"/>
      <c r="AB634" s="1346" t="n"/>
      <c r="AC634" s="1346" t="n"/>
      <c r="AD634" s="1346" t="n"/>
      <c r="AE634" s="1346" t="n"/>
      <c r="AF634" s="1345" t="n"/>
      <c r="AG634" s="1346" t="n"/>
      <c r="AH634" s="1346" t="n"/>
      <c r="AI634" s="1346" t="n"/>
      <c r="AJ634" s="1346" t="n"/>
      <c r="AK634" s="1345" t="n"/>
      <c r="AL634" s="1346" t="n"/>
      <c r="AM634" s="1346" t="n"/>
      <c r="AN634" s="1346" t="n"/>
      <c r="AO634" s="1346" t="n"/>
      <c r="AP634" s="1345" t="n"/>
      <c r="AQ634" s="1346" t="n"/>
      <c r="AR634" s="1346" t="n"/>
      <c r="AS634" s="1346" t="n"/>
      <c r="AT634" s="1346" t="n"/>
      <c r="AU634" s="1345" t="n"/>
      <c r="AV634" s="1346" t="n"/>
      <c r="AW634" s="1346" t="n"/>
      <c r="AX634" s="1346" t="n"/>
      <c r="AY634" s="1346" t="n"/>
      <c r="AZ634" s="1345" t="n"/>
      <c r="BA634" s="1346" t="n"/>
      <c r="BB634" s="1346" t="n"/>
      <c r="BC634" s="1346" t="n"/>
      <c r="BD634" s="1346" t="n"/>
      <c r="BE634" s="1345" t="n"/>
      <c r="BF634" s="1346" t="n"/>
      <c r="BG634" s="1346" t="n"/>
      <c r="BH634" s="1346" t="n"/>
      <c r="BI634" s="1346" t="n"/>
      <c r="BJ634" s="1345" t="n"/>
      <c r="BK634" s="1346" t="n"/>
      <c r="BL634" s="1346" t="n"/>
      <c r="BM634" s="1346" t="n"/>
      <c r="BN634" s="1346" t="n"/>
      <c r="BO634" s="1347" t="n"/>
      <c r="BP634" s="1346" t="n"/>
      <c r="BQ634" s="1346" t="n"/>
      <c r="BR634" s="1346" t="n"/>
      <c r="BS634" s="1346" t="n"/>
      <c r="BT634" s="1297" t="n"/>
      <c r="BU634" s="1346" t="n"/>
      <c r="BV634" s="1346" t="n"/>
      <c r="BW634" s="1346" t="n"/>
      <c r="BX634" s="1346" t="n"/>
      <c r="BY634" s="1297" t="n"/>
      <c r="BZ634" s="1297" t="n"/>
      <c r="CA634" s="1297" t="n"/>
      <c r="CB634" s="1297" t="n"/>
      <c r="CC634" s="1331" t="n"/>
    </row>
    <row r="635" hidden="1" outlineLevel="1" ht="14.4" customFormat="1" customHeight="1" s="1275">
      <c r="A635" s="1295" t="inlineStr">
        <is>
          <t>Decrease in short-term loans</t>
        </is>
      </c>
      <c r="B635" s="1387" t="n"/>
      <c r="C635" s="1299" t="n">
        <v>0</v>
      </c>
      <c r="D635" s="1299" t="n">
        <v>31213.944</v>
      </c>
      <c r="E635" s="1299" t="n">
        <v>-5287.416</v>
      </c>
      <c r="F635" s="1299" t="n">
        <v>9747.093999999999</v>
      </c>
      <c r="G635" s="1299" t="n">
        <v>-19636.24</v>
      </c>
      <c r="H635" s="1298" t="n">
        <v>8819.028</v>
      </c>
      <c r="I635" s="1298" t="n">
        <v>19220.278</v>
      </c>
      <c r="J635" s="1298" t="n">
        <v>20610.319</v>
      </c>
      <c r="K635" s="1280">
        <f>L635</f>
        <v/>
      </c>
      <c r="L635" s="1299" t="n">
        <v>18563.525</v>
      </c>
      <c r="M635" s="1298" t="n">
        <v>-17341.135</v>
      </c>
      <c r="N635" s="1298" t="n">
        <v>-30334.11</v>
      </c>
      <c r="O635" s="1298" t="n">
        <v>-2628.33</v>
      </c>
      <c r="P635" s="1280">
        <f>Q635</f>
        <v/>
      </c>
      <c r="Q635" s="1299" t="n">
        <v>3138.68</v>
      </c>
      <c r="R635" s="1298" t="n">
        <v>-4114.866</v>
      </c>
      <c r="S635" s="1298" t="n">
        <v>-157.064</v>
      </c>
      <c r="T635" s="1298" t="n">
        <v>-157.064</v>
      </c>
      <c r="U635" s="1280">
        <f>V635</f>
        <v/>
      </c>
      <c r="V635" s="1299" t="n">
        <v>18968.936</v>
      </c>
      <c r="W635" s="1298" t="n">
        <v>-250.365</v>
      </c>
      <c r="X635" s="1298" t="n">
        <v>-290.11</v>
      </c>
      <c r="Y635" s="1298" t="n">
        <v>-290.11</v>
      </c>
      <c r="Z635" s="1280">
        <f>AA635</f>
        <v/>
      </c>
      <c r="AA635" s="1299" t="n">
        <v>10394.29</v>
      </c>
      <c r="AB635" s="1298" t="n">
        <v>-5774.83</v>
      </c>
      <c r="AC635" s="1298" t="n">
        <v>-33743.725</v>
      </c>
      <c r="AD635" s="1298" t="n">
        <v>9626.705</v>
      </c>
      <c r="AE635" s="1280">
        <f>AF635</f>
        <v/>
      </c>
      <c r="AF635" s="1299" t="n">
        <v>23922.975</v>
      </c>
      <c r="AG635" s="1298" t="n">
        <v>-12262.255</v>
      </c>
      <c r="AH635" s="1298" t="n">
        <v>-11198.385</v>
      </c>
      <c r="AI635" s="1298" t="n">
        <v>-3872.065</v>
      </c>
      <c r="AJ635" s="1280">
        <f>AK635</f>
        <v/>
      </c>
      <c r="AK635" s="1299" t="n">
        <v>31804.302</v>
      </c>
      <c r="AL635" s="1298" t="n">
        <v>20348.002</v>
      </c>
      <c r="AM635" s="1298" t="n">
        <v>52578.588</v>
      </c>
      <c r="AN635" s="1298" t="n">
        <v>35775.039</v>
      </c>
      <c r="AO635" s="1280">
        <f>AP635</f>
        <v/>
      </c>
      <c r="AP635" s="1299" t="n">
        <v>-31571.567</v>
      </c>
      <c r="AQ635" s="1298" t="n">
        <v>52072.068</v>
      </c>
      <c r="AR635" s="1298" t="n">
        <v>55624.096</v>
      </c>
      <c r="AS635" s="1298" t="n">
        <v>37530.131</v>
      </c>
      <c r="AT635" s="1280">
        <f>AU635</f>
        <v/>
      </c>
      <c r="AU635" s="1299" t="n">
        <v>35668.397</v>
      </c>
      <c r="AV635" s="1298" t="n">
        <v>30529.474</v>
      </c>
      <c r="AW635" s="1298" t="n">
        <v>4048.589</v>
      </c>
      <c r="AX635" s="1298" t="n">
        <v>-111959.992</v>
      </c>
      <c r="AY635" s="1280">
        <f>AZ635</f>
        <v/>
      </c>
      <c r="AZ635" s="1299" t="n">
        <v>-111959.992</v>
      </c>
      <c r="BA635" s="1298" t="n">
        <v>0</v>
      </c>
      <c r="BB635" s="1277" t="n"/>
      <c r="BC635" s="1277" t="n"/>
      <c r="BD635" s="1280">
        <f>BE635</f>
        <v/>
      </c>
      <c r="BE635" s="1297" t="n"/>
      <c r="BF635" s="1277" t="n"/>
      <c r="BG635" s="1277" t="n"/>
      <c r="BH635" s="1277" t="n"/>
      <c r="BI635" s="1280">
        <f>BJ635</f>
        <v/>
      </c>
      <c r="BJ635" s="1297" t="n"/>
      <c r="BK635" s="1277" t="n"/>
      <c r="BL635" s="1277" t="n"/>
      <c r="BM635" s="1277" t="n"/>
      <c r="BN635" s="1280">
        <f>BO635</f>
        <v/>
      </c>
      <c r="BO635" s="1382" t="n"/>
      <c r="BP635" s="1277" t="n"/>
      <c r="BQ635" s="1277" t="n"/>
      <c r="BR635" s="1277" t="n"/>
      <c r="BS635" s="1277" t="n"/>
      <c r="BT635" s="1297" t="n"/>
      <c r="BU635" s="1277" t="n"/>
      <c r="BV635" s="1277" t="n"/>
      <c r="BW635" s="1277" t="n"/>
      <c r="BX635" s="1277" t="n"/>
      <c r="BY635" s="1297" t="n"/>
      <c r="BZ635" s="1297" t="n"/>
      <c r="CA635" s="1297" t="n"/>
      <c r="CB635" s="1297" t="n"/>
      <c r="CC635" s="1280" t="n"/>
    </row>
    <row r="636" hidden="1" outlineLevel="1" ht="14.4" customFormat="1" customHeight="1" s="1275">
      <c r="A636" s="1295" t="inlineStr">
        <is>
          <t>Increase in Hedging Financial Liabilities - Bank Loans</t>
        </is>
      </c>
      <c r="B636" s="1387" t="n"/>
      <c r="C636" s="1297" t="n"/>
      <c r="D636" s="1297" t="n"/>
      <c r="E636" s="1297" t="n"/>
      <c r="F636" s="1297" t="n"/>
      <c r="G636" s="1297" t="n"/>
      <c r="H636" s="1277" t="n"/>
      <c r="I636" s="1277" t="n"/>
      <c r="J636" s="1277" t="n"/>
      <c r="K636" s="1277" t="n"/>
      <c r="L636" s="1297" t="n"/>
      <c r="M636" s="1277" t="n"/>
      <c r="N636" s="1277" t="n"/>
      <c r="O636" s="1277" t="n"/>
      <c r="P636" s="1277" t="n"/>
      <c r="Q636" s="1297" t="n"/>
      <c r="R636" s="1277" t="n"/>
      <c r="S636" s="1277" t="n"/>
      <c r="T636" s="1277" t="n"/>
      <c r="U636" s="1277" t="n"/>
      <c r="V636" s="1297" t="n"/>
      <c r="W636" s="1277" t="n"/>
      <c r="X636" s="1277" t="n"/>
      <c r="Y636" s="1277" t="n"/>
      <c r="Z636" s="1277" t="n"/>
      <c r="AA636" s="1297" t="n"/>
      <c r="AB636" s="1277" t="n"/>
      <c r="AC636" s="1277" t="n"/>
      <c r="AD636" s="1277" t="n"/>
      <c r="AE636" s="1277" t="n"/>
      <c r="AF636" s="1297" t="n"/>
      <c r="AG636" s="1277" t="n"/>
      <c r="AH636" s="1277" t="n"/>
      <c r="AI636" s="1277" t="n"/>
      <c r="AJ636" s="1277" t="n"/>
      <c r="AK636" s="1297" t="n"/>
      <c r="AL636" s="1277" t="n"/>
      <c r="AM636" s="1277" t="n"/>
      <c r="AN636" s="1277" t="n"/>
      <c r="AO636" s="1277" t="n"/>
      <c r="AP636" s="1297" t="n"/>
      <c r="AQ636" s="1277" t="n"/>
      <c r="AR636" s="1277" t="n"/>
      <c r="AS636" s="1277" t="n"/>
      <c r="AT636" s="1277" t="n"/>
      <c r="AU636" s="1297" t="n"/>
      <c r="AV636" s="1277" t="n"/>
      <c r="AW636" s="1277" t="n"/>
      <c r="AX636" s="1277" t="n"/>
      <c r="AY636" s="1277" t="n"/>
      <c r="AZ636" s="1297" t="n"/>
      <c r="BA636" s="1277" t="n"/>
      <c r="BB636" s="1298" t="n">
        <v>7674.24</v>
      </c>
      <c r="BC636" s="1298" t="n">
        <v>27908.58</v>
      </c>
      <c r="BD636" s="1280">
        <f>BE636</f>
        <v/>
      </c>
      <c r="BE636" s="1299" t="n">
        <v>27908.58</v>
      </c>
      <c r="BF636" s="1298" t="n">
        <v>-26496.57</v>
      </c>
      <c r="BG636" s="1298" t="n">
        <v>-26496.57</v>
      </c>
      <c r="BH636" s="1298" t="n">
        <v>-26496.57</v>
      </c>
      <c r="BI636" s="1280">
        <f>BJ636</f>
        <v/>
      </c>
      <c r="BJ636" s="1299" t="n">
        <v>-26496.57</v>
      </c>
      <c r="BK636" s="1277" t="n"/>
      <c r="BL636" s="1298" t="n">
        <v>430.085</v>
      </c>
      <c r="BM636" s="1298" t="n">
        <v>430.085</v>
      </c>
      <c r="BN636" s="1280">
        <f>BO636</f>
        <v/>
      </c>
      <c r="BO636" s="1645" t="n">
        <v>335</v>
      </c>
      <c r="BP636" s="1277" t="n"/>
      <c r="BQ636" s="1277" t="n"/>
      <c r="BR636" s="1277" t="n"/>
      <c r="BS636" s="1277" t="n"/>
      <c r="BT636" s="1297" t="n"/>
      <c r="BU636" s="1277" t="n"/>
      <c r="BV636" s="1277" t="n"/>
      <c r="BW636" s="1277" t="n"/>
      <c r="BX636" s="1277" t="n"/>
      <c r="BY636" s="1297" t="n"/>
      <c r="BZ636" s="1297" t="n"/>
      <c r="CA636" s="1297" t="n"/>
      <c r="CB636" s="1297" t="n"/>
      <c r="CC636" s="1280" t="n"/>
    </row>
    <row r="637" hidden="1" outlineLevel="1" ht="14.4" customFormat="1" customHeight="1" s="1275">
      <c r="A637" s="1295" t="inlineStr">
        <is>
          <t>Proceeds from issuance of bonds</t>
        </is>
      </c>
      <c r="B637" s="1387" t="n"/>
      <c r="C637" s="1299" t="n">
        <v>286.574</v>
      </c>
      <c r="D637" s="1299" t="n">
        <v>0</v>
      </c>
      <c r="E637" s="1299" t="n">
        <v>18000</v>
      </c>
      <c r="F637" s="1299" t="n">
        <v>62000</v>
      </c>
      <c r="G637" s="1299" t="n">
        <v>130844.821</v>
      </c>
      <c r="H637" s="1277" t="n"/>
      <c r="I637" s="1277" t="n"/>
      <c r="J637" s="1277" t="n"/>
      <c r="K637" s="1280">
        <f>L637</f>
        <v/>
      </c>
      <c r="L637" s="1297" t="n"/>
      <c r="M637" s="1277" t="n"/>
      <c r="N637" s="1277" t="n"/>
      <c r="O637" s="1277" t="n"/>
      <c r="P637" s="1280">
        <f>Q637</f>
        <v/>
      </c>
      <c r="Q637" s="1297" t="n"/>
      <c r="R637" s="1277" t="n"/>
      <c r="S637" s="1277" t="n"/>
      <c r="T637" s="1277" t="n"/>
      <c r="U637" s="1280">
        <f>V637</f>
        <v/>
      </c>
      <c r="V637" s="1297" t="n"/>
      <c r="W637" s="1277" t="n"/>
      <c r="X637" s="1277" t="n"/>
      <c r="Y637" s="1277" t="n"/>
      <c r="Z637" s="1280">
        <f>AA637</f>
        <v/>
      </c>
      <c r="AA637" s="1297" t="n"/>
      <c r="AB637" s="1277" t="n"/>
      <c r="AC637" s="1277" t="n"/>
      <c r="AD637" s="1277" t="n"/>
      <c r="AE637" s="1280">
        <f>AF637</f>
        <v/>
      </c>
      <c r="AF637" s="1297" t="n"/>
      <c r="AG637" s="1277" t="n"/>
      <c r="AH637" s="1277" t="n"/>
      <c r="AI637" s="1277" t="n"/>
      <c r="AJ637" s="1277" t="n"/>
      <c r="AK637" s="1297" t="n"/>
      <c r="AL637" s="1298" t="n">
        <v>24000</v>
      </c>
      <c r="AM637" s="1298" t="n">
        <v>60000</v>
      </c>
      <c r="AN637" s="1298" t="n">
        <v>206225.675</v>
      </c>
      <c r="AO637" s="1280">
        <f>AP637</f>
        <v/>
      </c>
      <c r="AP637" s="1299" t="n">
        <v>236725.675</v>
      </c>
      <c r="AQ637" s="1298" t="n">
        <v>21100</v>
      </c>
      <c r="AR637" s="1298" t="n">
        <v>157809.507</v>
      </c>
      <c r="AS637" s="1298" t="n">
        <v>207127.507</v>
      </c>
      <c r="AT637" s="1280">
        <f>AU637</f>
        <v/>
      </c>
      <c r="AU637" s="1299" t="n">
        <v>364592.792</v>
      </c>
      <c r="AV637" s="1298" t="n">
        <v>19600</v>
      </c>
      <c r="AW637" s="1298" t="n">
        <v>128442.844</v>
      </c>
      <c r="AX637" s="1298" t="n">
        <v>188093.561</v>
      </c>
      <c r="AY637" s="1280">
        <f>AZ637</f>
        <v/>
      </c>
      <c r="AZ637" s="1299" t="n">
        <v>198293.561</v>
      </c>
      <c r="BA637" s="1298" t="n">
        <v>19300</v>
      </c>
      <c r="BB637" s="1298" t="n">
        <v>60000</v>
      </c>
      <c r="BC637" s="1298" t="n">
        <v>75900</v>
      </c>
      <c r="BD637" s="1280">
        <f>BE637</f>
        <v/>
      </c>
      <c r="BE637" s="1299" t="n">
        <v>85700</v>
      </c>
      <c r="BF637" s="1298" t="n">
        <v>22800</v>
      </c>
      <c r="BG637" s="1298" t="n">
        <v>34300</v>
      </c>
      <c r="BH637" s="1298" t="n">
        <v>34300</v>
      </c>
      <c r="BI637" s="1280">
        <f>BJ637</f>
        <v/>
      </c>
      <c r="BJ637" s="1299" t="n">
        <v>34300</v>
      </c>
      <c r="BK637" s="1298" t="n">
        <v>19200</v>
      </c>
      <c r="BL637" s="1298" t="n">
        <v>33300</v>
      </c>
      <c r="BM637" s="1298" t="n">
        <v>63400</v>
      </c>
      <c r="BN637" s="1280">
        <f>BO637</f>
        <v/>
      </c>
      <c r="BO637" s="1645" t="n">
        <v>86900</v>
      </c>
      <c r="BP637" s="1277" t="n"/>
      <c r="BQ637" s="1277" t="n"/>
      <c r="BR637" s="1277" t="n"/>
      <c r="BS637" s="1277" t="n"/>
      <c r="BT637" s="1297" t="n"/>
      <c r="BU637" s="1277" t="n"/>
      <c r="BV637" s="1277" t="n"/>
      <c r="BW637" s="1277" t="n"/>
      <c r="BX637" s="1277" t="n"/>
      <c r="BY637" s="1297" t="n"/>
      <c r="BZ637" s="1297" t="n"/>
      <c r="CA637" s="1297" t="n"/>
      <c r="CB637" s="1297" t="n"/>
      <c r="CC637" s="1280" t="n"/>
    </row>
    <row r="638" hidden="1" outlineLevel="1" ht="14.4" customFormat="1" customHeight="1" s="1275">
      <c r="A638" s="1295" t="inlineStr">
        <is>
          <t>Increase in long-term bank loans</t>
        </is>
      </c>
      <c r="B638" s="1387" t="n"/>
      <c r="C638" s="1297" t="n"/>
      <c r="D638" s="1299" t="n">
        <v>0</v>
      </c>
      <c r="E638" s="1299" t="n">
        <v>2250</v>
      </c>
      <c r="F638" s="1299" t="n">
        <v>50</v>
      </c>
      <c r="G638" s="1299" t="n">
        <v>690</v>
      </c>
      <c r="H638" s="1277" t="n"/>
      <c r="I638" s="1277" t="n"/>
      <c r="J638" s="1277" t="n"/>
      <c r="K638" s="1280">
        <f>L638</f>
        <v/>
      </c>
      <c r="L638" s="1297" t="n"/>
      <c r="M638" s="1277" t="n"/>
      <c r="N638" s="1277" t="n"/>
      <c r="O638" s="1277" t="n"/>
      <c r="P638" s="1280">
        <f>Q638</f>
        <v/>
      </c>
      <c r="Q638" s="1297" t="n"/>
      <c r="R638" s="1277" t="n"/>
      <c r="S638" s="1277" t="n"/>
      <c r="T638" s="1277" t="n"/>
      <c r="U638" s="1280">
        <f>V638</f>
        <v/>
      </c>
      <c r="V638" s="1297" t="n"/>
      <c r="W638" s="1277" t="n"/>
      <c r="X638" s="1277" t="n"/>
      <c r="Y638" s="1277" t="n"/>
      <c r="Z638" s="1280">
        <f>AA638</f>
        <v/>
      </c>
      <c r="AA638" s="1297" t="n"/>
      <c r="AB638" s="1277" t="n"/>
      <c r="AC638" s="1277" t="n"/>
      <c r="AD638" s="1277" t="n"/>
      <c r="AE638" s="1280">
        <f>AF638</f>
        <v/>
      </c>
      <c r="AF638" s="1297" t="n"/>
      <c r="AG638" s="1277" t="n"/>
      <c r="AH638" s="1277" t="n"/>
      <c r="AI638" s="1277" t="n"/>
      <c r="AJ638" s="1277" t="n"/>
      <c r="AK638" s="1297" t="n"/>
      <c r="AL638" s="1277" t="n"/>
      <c r="AM638" s="1277" t="n"/>
      <c r="AN638" s="1298" t="n">
        <v>1000</v>
      </c>
      <c r="AO638" s="1280">
        <f>AP638</f>
        <v/>
      </c>
      <c r="AP638" s="1299" t="n">
        <v>2000</v>
      </c>
      <c r="AQ638" s="1298" t="n">
        <v>660</v>
      </c>
      <c r="AR638" s="1298" t="n">
        <v>1210</v>
      </c>
      <c r="AS638" s="1298" t="n">
        <v>1510</v>
      </c>
      <c r="AT638" s="1280">
        <f>AU638</f>
        <v/>
      </c>
      <c r="AU638" s="1299" t="n">
        <v>1510</v>
      </c>
      <c r="AV638" s="1277" t="n"/>
      <c r="AW638" s="1298" t="n">
        <v>500</v>
      </c>
      <c r="AX638" s="1298" t="n">
        <v>500</v>
      </c>
      <c r="AY638" s="1280">
        <f>AZ638</f>
        <v/>
      </c>
      <c r="AZ638" s="1299" t="n">
        <v>2670</v>
      </c>
      <c r="BA638" s="1298" t="n">
        <v>2450</v>
      </c>
      <c r="BB638" s="1298" t="n">
        <v>2450</v>
      </c>
      <c r="BC638" s="1298" t="n">
        <v>2450</v>
      </c>
      <c r="BD638" s="1280">
        <f>BE638</f>
        <v/>
      </c>
      <c r="BE638" s="1299" t="n">
        <v>2450</v>
      </c>
      <c r="BF638" s="1298" t="n">
        <v>6378</v>
      </c>
      <c r="BG638" s="1298" t="n">
        <v>6378</v>
      </c>
      <c r="BH638" s="1298" t="n">
        <v>23442</v>
      </c>
      <c r="BI638" s="1280">
        <f>BJ638</f>
        <v/>
      </c>
      <c r="BJ638" s="1299" t="n">
        <v>30897</v>
      </c>
      <c r="BK638" s="1298" t="n">
        <v>5395</v>
      </c>
      <c r="BL638" s="1298" t="n">
        <v>5395</v>
      </c>
      <c r="BM638" s="1298" t="n">
        <v>7626.9</v>
      </c>
      <c r="BN638" s="1280">
        <f>BO638</f>
        <v/>
      </c>
      <c r="BO638" s="1645" t="n">
        <v>10658</v>
      </c>
      <c r="BP638" s="1277" t="n"/>
      <c r="BQ638" s="1277" t="n"/>
      <c r="BR638" s="1277" t="n"/>
      <c r="BS638" s="1277" t="n"/>
      <c r="BT638" s="1297" t="n"/>
      <c r="BU638" s="1277" t="n"/>
      <c r="BV638" s="1277" t="n"/>
      <c r="BW638" s="1277" t="n"/>
      <c r="BX638" s="1277" t="n"/>
      <c r="BY638" s="1297" t="n"/>
      <c r="BZ638" s="1297" t="n"/>
      <c r="CA638" s="1297" t="n"/>
      <c r="CB638" s="1297" t="n"/>
      <c r="CC638" s="1280" t="n"/>
    </row>
    <row r="639" hidden="1" outlineLevel="1" ht="14.4" customFormat="1" customHeight="1" s="1275">
      <c r="A639" s="1295" t="inlineStr">
        <is>
          <t>Repayment of long-term bank loans</t>
        </is>
      </c>
      <c r="B639" s="1387" t="n"/>
      <c r="C639" s="1299" t="n">
        <v>-378.673</v>
      </c>
      <c r="D639" s="1299" t="n">
        <v>-967.034</v>
      </c>
      <c r="E639" s="1299" t="n">
        <v>-1142.968</v>
      </c>
      <c r="F639" s="1299" t="n">
        <v>-212.5</v>
      </c>
      <c r="G639" s="1299" t="n">
        <v>-62.5</v>
      </c>
      <c r="H639" s="1277" t="n"/>
      <c r="I639" s="1277" t="n"/>
      <c r="J639" s="1277" t="n"/>
      <c r="K639" s="1280">
        <f>L639</f>
        <v/>
      </c>
      <c r="L639" s="1297" t="n"/>
      <c r="M639" s="1277" t="n"/>
      <c r="N639" s="1277" t="n"/>
      <c r="O639" s="1277" t="n"/>
      <c r="P639" s="1280">
        <f>Q639</f>
        <v/>
      </c>
      <c r="Q639" s="1297" t="n"/>
      <c r="R639" s="1277" t="n"/>
      <c r="S639" s="1277" t="n"/>
      <c r="T639" s="1277" t="n"/>
      <c r="U639" s="1280">
        <f>V639</f>
        <v/>
      </c>
      <c r="V639" s="1297" t="n"/>
      <c r="W639" s="1277" t="n"/>
      <c r="X639" s="1277" t="n"/>
      <c r="Y639" s="1277" t="n"/>
      <c r="Z639" s="1280">
        <f>AA639</f>
        <v/>
      </c>
      <c r="AA639" s="1297" t="n"/>
      <c r="AB639" s="1277" t="n"/>
      <c r="AC639" s="1277" t="n"/>
      <c r="AD639" s="1277" t="n"/>
      <c r="AE639" s="1280">
        <f>AF639</f>
        <v/>
      </c>
      <c r="AF639" s="1297" t="n"/>
      <c r="AG639" s="1277" t="n"/>
      <c r="AH639" s="1277" t="n"/>
      <c r="AI639" s="1277" t="n"/>
      <c r="AJ639" s="1277" t="n"/>
      <c r="AK639" s="1297" t="n"/>
      <c r="AL639" s="1277" t="n"/>
      <c r="AM639" s="1277" t="n"/>
      <c r="AN639" s="1277" t="n"/>
      <c r="AO639" s="1280">
        <f>AP639</f>
        <v/>
      </c>
      <c r="AP639" s="1297" t="n"/>
      <c r="AQ639" s="1277" t="n"/>
      <c r="AR639" s="1277" t="n"/>
      <c r="AS639" s="1277" t="n"/>
      <c r="AT639" s="1280">
        <f>AU639</f>
        <v/>
      </c>
      <c r="AU639" s="1297" t="n"/>
      <c r="AV639" s="1277" t="n"/>
      <c r="AW639" s="1277" t="n"/>
      <c r="AX639" s="1277" t="n"/>
      <c r="AY639" s="1280">
        <f>AZ639</f>
        <v/>
      </c>
      <c r="AZ639" s="1297" t="n"/>
      <c r="BA639" s="1277" t="n"/>
      <c r="BB639" s="1277" t="n"/>
      <c r="BC639" s="1277" t="n"/>
      <c r="BD639" s="1280">
        <f>BE639</f>
        <v/>
      </c>
      <c r="BE639" s="1297" t="n"/>
      <c r="BF639" s="1277" t="n"/>
      <c r="BG639" s="1277" t="n"/>
      <c r="BH639" s="1277" t="n"/>
      <c r="BI639" s="1280">
        <f>BJ639</f>
        <v/>
      </c>
      <c r="BJ639" s="1297" t="n"/>
      <c r="BK639" s="1277" t="n"/>
      <c r="BL639" s="1277" t="n"/>
      <c r="BM639" s="1277" t="n"/>
      <c r="BN639" s="1280">
        <f>BO639</f>
        <v/>
      </c>
      <c r="BO639" s="1645" t="n">
        <v>-2710</v>
      </c>
      <c r="BP639" s="1277" t="n"/>
      <c r="BQ639" s="1277" t="n"/>
      <c r="BR639" s="1277" t="n"/>
      <c r="BS639" s="1277" t="n"/>
      <c r="BT639" s="1297" t="n"/>
      <c r="BU639" s="1277" t="n"/>
      <c r="BV639" s="1277" t="n"/>
      <c r="BW639" s="1277" t="n"/>
      <c r="BX639" s="1277" t="n"/>
      <c r="BY639" s="1297" t="n"/>
      <c r="BZ639" s="1297" t="n"/>
      <c r="CA639" s="1297" t="n"/>
      <c r="CB639" s="1297" t="n"/>
      <c r="CC639" s="1280" t="n"/>
    </row>
    <row r="640" hidden="1" outlineLevel="1" ht="14.4" customFormat="1" customHeight="1" s="1275">
      <c r="A640" s="1295" t="inlineStr">
        <is>
          <t>Repayment of other long-term payables</t>
        </is>
      </c>
      <c r="B640" s="1387" t="n"/>
      <c r="C640" s="1299" t="n">
        <v>0</v>
      </c>
      <c r="D640" s="1299" t="n">
        <v>-1107.333</v>
      </c>
      <c r="E640" s="1299" t="n">
        <v>-3633.052</v>
      </c>
      <c r="F640" s="1299" t="n">
        <v>-2367.866</v>
      </c>
      <c r="G640" s="1299" t="n">
        <v>-853.788</v>
      </c>
      <c r="H640" s="1277" t="n"/>
      <c r="I640" s="1277" t="n"/>
      <c r="J640" s="1277" t="n"/>
      <c r="K640" s="1280">
        <f>L640</f>
        <v/>
      </c>
      <c r="L640" s="1297" t="n"/>
      <c r="M640" s="1277" t="n"/>
      <c r="N640" s="1277" t="n"/>
      <c r="O640" s="1277" t="n"/>
      <c r="P640" s="1280">
        <f>Q640</f>
        <v/>
      </c>
      <c r="Q640" s="1297" t="n"/>
      <c r="R640" s="1277" t="n"/>
      <c r="S640" s="1277" t="n"/>
      <c r="T640" s="1277" t="n"/>
      <c r="U640" s="1280">
        <f>V640</f>
        <v/>
      </c>
      <c r="V640" s="1297" t="n"/>
      <c r="W640" s="1277" t="n"/>
      <c r="X640" s="1277" t="n"/>
      <c r="Y640" s="1277" t="n"/>
      <c r="Z640" s="1280">
        <f>AA640</f>
        <v/>
      </c>
      <c r="AA640" s="1297" t="n"/>
      <c r="AB640" s="1277" t="n"/>
      <c r="AC640" s="1277" t="n"/>
      <c r="AD640" s="1277" t="n"/>
      <c r="AE640" s="1280">
        <f>AF640</f>
        <v/>
      </c>
      <c r="AF640" s="1297" t="n"/>
      <c r="AG640" s="1277" t="n"/>
      <c r="AH640" s="1277" t="n"/>
      <c r="AI640" s="1277" t="n"/>
      <c r="AJ640" s="1277" t="n"/>
      <c r="AK640" s="1297" t="n"/>
      <c r="AL640" s="1277" t="n"/>
      <c r="AM640" s="1277" t="n"/>
      <c r="AN640" s="1277" t="n"/>
      <c r="AO640" s="1280">
        <f>AP640</f>
        <v/>
      </c>
      <c r="AP640" s="1297" t="n"/>
      <c r="AQ640" s="1277" t="n"/>
      <c r="AR640" s="1277" t="n"/>
      <c r="AS640" s="1277" t="n"/>
      <c r="AT640" s="1280">
        <f>AU640</f>
        <v/>
      </c>
      <c r="AU640" s="1297" t="n"/>
      <c r="AV640" s="1277" t="n"/>
      <c r="AW640" s="1277" t="n"/>
      <c r="AX640" s="1277" t="n"/>
      <c r="AY640" s="1280">
        <f>AZ640</f>
        <v/>
      </c>
      <c r="AZ640" s="1297" t="n"/>
      <c r="BA640" s="1277" t="n"/>
      <c r="BB640" s="1277" t="n"/>
      <c r="BC640" s="1277" t="n"/>
      <c r="BD640" s="1280">
        <f>BE640</f>
        <v/>
      </c>
      <c r="BE640" s="1297" t="n"/>
      <c r="BF640" s="1277" t="n"/>
      <c r="BG640" s="1277" t="n"/>
      <c r="BH640" s="1277" t="n"/>
      <c r="BI640" s="1280">
        <f>BJ640</f>
        <v/>
      </c>
      <c r="BJ640" s="1297" t="n"/>
      <c r="BK640" s="1277" t="n"/>
      <c r="BL640" s="1277" t="n"/>
      <c r="BM640" s="1277" t="n"/>
      <c r="BN640" s="1280">
        <f>BO640</f>
        <v/>
      </c>
      <c r="BO640" s="1382" t="n"/>
      <c r="BP640" s="1277" t="n"/>
      <c r="BQ640" s="1277" t="n"/>
      <c r="BR640" s="1277" t="n"/>
      <c r="BS640" s="1277" t="n"/>
      <c r="BT640" s="1297" t="n"/>
      <c r="BU640" s="1277" t="n"/>
      <c r="BV640" s="1277" t="n"/>
      <c r="BW640" s="1277" t="n"/>
      <c r="BX640" s="1277" t="n"/>
      <c r="BY640" s="1297" t="n"/>
      <c r="BZ640" s="1297" t="n"/>
      <c r="CA640" s="1297" t="n"/>
      <c r="CB640" s="1297" t="n"/>
      <c r="CC640" s="1280" t="n"/>
    </row>
    <row r="641" hidden="1" outlineLevel="1" ht="14.4" customFormat="1" customHeight="1" s="1275">
      <c r="A641" s="1295" t="inlineStr">
        <is>
          <t>Repayment of bonds</t>
        </is>
      </c>
      <c r="B641" s="1387" t="n"/>
      <c r="C641" s="1299" t="n">
        <v>-8000</v>
      </c>
      <c r="D641" s="1297" t="n"/>
      <c r="E641" s="1299" t="n">
        <v>0</v>
      </c>
      <c r="F641" s="1299" t="n">
        <v>-4500</v>
      </c>
      <c r="G641" s="1299" t="n">
        <v>0</v>
      </c>
      <c r="H641" s="1298" t="n">
        <v>0</v>
      </c>
      <c r="I641" s="1298" t="n">
        <v>0</v>
      </c>
      <c r="J641" s="1298" t="n">
        <v>0</v>
      </c>
      <c r="K641" s="1280">
        <f>L641</f>
        <v/>
      </c>
      <c r="L641" s="1299" t="n">
        <v>0</v>
      </c>
      <c r="M641" s="1298" t="n">
        <v>0</v>
      </c>
      <c r="N641" s="1298" t="n">
        <v>0</v>
      </c>
      <c r="O641" s="1298" t="n">
        <v>0</v>
      </c>
      <c r="P641" s="1280">
        <f>Q641</f>
        <v/>
      </c>
      <c r="Q641" s="1299" t="n">
        <v>0</v>
      </c>
      <c r="R641" s="1298" t="n">
        <v>0</v>
      </c>
      <c r="S641" s="1298" t="n">
        <v>-11471.6</v>
      </c>
      <c r="T641" s="1298" t="n">
        <v>-23471.6</v>
      </c>
      <c r="U641" s="1280">
        <f>V641</f>
        <v/>
      </c>
      <c r="V641" s="1299" t="n">
        <v>-23471.6</v>
      </c>
      <c r="W641" s="1298" t="n">
        <v>-10000</v>
      </c>
      <c r="X641" s="1298" t="n">
        <v>-10000</v>
      </c>
      <c r="Y641" s="1298" t="n">
        <v>-38100</v>
      </c>
      <c r="Z641" s="1280">
        <f>AA641</f>
        <v/>
      </c>
      <c r="AA641" s="1299" t="n">
        <v>-38100</v>
      </c>
      <c r="AB641" s="1298" t="n">
        <v>-50798.915</v>
      </c>
      <c r="AC641" s="1298" t="n">
        <v>-50524.9</v>
      </c>
      <c r="AD641" s="1298" t="n">
        <v>-58024.9</v>
      </c>
      <c r="AE641" s="1280">
        <f>AF641</f>
        <v/>
      </c>
      <c r="AF641" s="1299" t="n">
        <v>-58024.9</v>
      </c>
      <c r="AG641" s="1298" t="n">
        <v>-8400</v>
      </c>
      <c r="AH641" s="1298" t="n">
        <v>-8400</v>
      </c>
      <c r="AI641" s="1298" t="n">
        <v>-34900</v>
      </c>
      <c r="AJ641" s="1280">
        <f>AK641</f>
        <v/>
      </c>
      <c r="AK641" s="1299" t="n">
        <v>-34900</v>
      </c>
      <c r="AL641" s="1298" t="n">
        <v>-21600</v>
      </c>
      <c r="AM641" s="1298" t="n">
        <v>-21600</v>
      </c>
      <c r="AN641" s="1298" t="n">
        <v>-31800</v>
      </c>
      <c r="AO641" s="1280">
        <f>AP641</f>
        <v/>
      </c>
      <c r="AP641" s="1299" t="n">
        <v>-31800</v>
      </c>
      <c r="AQ641" s="1298" t="n">
        <v>-2600</v>
      </c>
      <c r="AR641" s="1298" t="n">
        <v>-2600</v>
      </c>
      <c r="AS641" s="1298" t="n">
        <v>-2600</v>
      </c>
      <c r="AT641" s="1280">
        <f>AU641</f>
        <v/>
      </c>
      <c r="AU641" s="1299" t="n">
        <v>-2600</v>
      </c>
      <c r="AV641" s="1277" t="n"/>
      <c r="AW641" s="1277" t="n"/>
      <c r="AX641" s="1277" t="n"/>
      <c r="AY641" s="1280">
        <f>AZ641</f>
        <v/>
      </c>
      <c r="AZ641" s="1299" t="n">
        <v>-4400</v>
      </c>
      <c r="BA641" s="1298" t="n">
        <v>-12000</v>
      </c>
      <c r="BB641" s="1298" t="n">
        <v>-12000</v>
      </c>
      <c r="BC641" s="1298" t="n">
        <v>-18100</v>
      </c>
      <c r="BD641" s="1280">
        <f>BE641</f>
        <v/>
      </c>
      <c r="BE641" s="1299" t="n">
        <v>-18100</v>
      </c>
      <c r="BF641" s="1277" t="n"/>
      <c r="BG641" s="1277" t="n"/>
      <c r="BH641" s="1298" t="n">
        <v>-5250</v>
      </c>
      <c r="BI641" s="1280">
        <f>BJ641</f>
        <v/>
      </c>
      <c r="BJ641" s="1299" t="n">
        <v>-7000</v>
      </c>
      <c r="BK641" s="1298" t="n">
        <v>-3000</v>
      </c>
      <c r="BL641" s="1298" t="n">
        <v>-13400</v>
      </c>
      <c r="BM641" s="1298" t="n">
        <v>-52560</v>
      </c>
      <c r="BN641" s="1280">
        <f>BO641</f>
        <v/>
      </c>
      <c r="BO641" s="1645" t="n">
        <v>-54310</v>
      </c>
      <c r="BP641" s="1277" t="n"/>
      <c r="BQ641" s="1277" t="n"/>
      <c r="BR641" s="1277" t="n"/>
      <c r="BS641" s="1277" t="n"/>
      <c r="BT641" s="1297" t="n"/>
      <c r="BU641" s="1277" t="n"/>
      <c r="BV641" s="1277" t="n"/>
      <c r="BW641" s="1277" t="n"/>
      <c r="BX641" s="1277" t="n"/>
      <c r="BY641" s="1297" t="n"/>
      <c r="BZ641" s="1297" t="n"/>
      <c r="CA641" s="1297" t="n"/>
      <c r="CB641" s="1297" t="n"/>
      <c r="CC641" s="1280" t="n"/>
    </row>
    <row r="642" hidden="1" outlineLevel="1" ht="14.4" customFormat="1" customHeight="1" s="1275">
      <c r="A642" s="1295" t="inlineStr">
        <is>
          <t>Repayment of long-term bank loans</t>
        </is>
      </c>
      <c r="B642" s="1387" t="n"/>
      <c r="C642" s="1297" t="n"/>
      <c r="D642" s="1297" t="n"/>
      <c r="E642" s="1297" t="n"/>
      <c r="F642" s="1299" t="n">
        <v>0</v>
      </c>
      <c r="G642" s="1299" t="n">
        <v>0</v>
      </c>
      <c r="H642" s="1298" t="n">
        <v>0</v>
      </c>
      <c r="I642" s="1298" t="n">
        <v>0</v>
      </c>
      <c r="J642" s="1298" t="n">
        <v>0</v>
      </c>
      <c r="K642" s="1280">
        <f>L642</f>
        <v/>
      </c>
      <c r="L642" s="1299" t="n">
        <v>0</v>
      </c>
      <c r="M642" s="1298" t="n">
        <v>0</v>
      </c>
      <c r="N642" s="1298" t="n">
        <v>0</v>
      </c>
      <c r="O642" s="1298" t="n">
        <v>0</v>
      </c>
      <c r="P642" s="1280">
        <f>Q642</f>
        <v/>
      </c>
      <c r="Q642" s="1299" t="n">
        <v>0</v>
      </c>
      <c r="R642" s="1298" t="n">
        <v>0</v>
      </c>
      <c r="S642" s="1298" t="n">
        <v>-3.7</v>
      </c>
      <c r="T642" s="1298" t="n">
        <v>-6.12</v>
      </c>
      <c r="U642" s="1280">
        <f>V642</f>
        <v/>
      </c>
      <c r="V642" s="1299" t="n">
        <v>-8.539999999999999</v>
      </c>
      <c r="W642" s="1298" t="n">
        <v>-2.42</v>
      </c>
      <c r="X642" s="1298" t="n">
        <v>-4.84</v>
      </c>
      <c r="Y642" s="1298" t="n">
        <v>-7.26</v>
      </c>
      <c r="Z642" s="1280">
        <f>AA642</f>
        <v/>
      </c>
      <c r="AA642" s="1299" t="n">
        <v>-31.46</v>
      </c>
      <c r="AB642" s="1277" t="n"/>
      <c r="AC642" s="1277" t="n"/>
      <c r="AD642" s="1277" t="n"/>
      <c r="AE642" s="1280">
        <f>AF642</f>
        <v/>
      </c>
      <c r="AF642" s="1297" t="n"/>
      <c r="AG642" s="1277" t="n"/>
      <c r="AH642" s="1277" t="n"/>
      <c r="AI642" s="1277" t="n"/>
      <c r="AJ642" s="1277" t="n"/>
      <c r="AK642" s="1297" t="n"/>
      <c r="AL642" s="1277" t="n"/>
      <c r="AM642" s="1277" t="n"/>
      <c r="AN642" s="1277" t="n"/>
      <c r="AO642" s="1280">
        <f>AP642</f>
        <v/>
      </c>
      <c r="AP642" s="1297" t="n"/>
      <c r="AQ642" s="1277" t="n"/>
      <c r="AR642" s="1277" t="n"/>
      <c r="AS642" s="1277" t="n"/>
      <c r="AT642" s="1280">
        <f>AU642</f>
        <v/>
      </c>
      <c r="AU642" s="1297" t="n"/>
      <c r="AV642" s="1277" t="n"/>
      <c r="AW642" s="1277" t="n"/>
      <c r="AX642" s="1277" t="n"/>
      <c r="AY642" s="1280">
        <f>AZ642</f>
        <v/>
      </c>
      <c r="AZ642" s="1299" t="n">
        <v>-166.667</v>
      </c>
      <c r="BA642" s="1298" t="n">
        <v>-329.444</v>
      </c>
      <c r="BB642" s="1298" t="n">
        <v>-786.944</v>
      </c>
      <c r="BC642" s="1298" t="n">
        <v>-1244.444</v>
      </c>
      <c r="BD642" s="1280">
        <f>BE642</f>
        <v/>
      </c>
      <c r="BE642" s="1299" t="n">
        <v>-1756.944</v>
      </c>
      <c r="BF642" s="1298" t="n">
        <v>-512.5</v>
      </c>
      <c r="BG642" s="1298" t="n">
        <v>-1055.556</v>
      </c>
      <c r="BH642" s="1298" t="n">
        <v>-1659.722</v>
      </c>
      <c r="BI642" s="1280">
        <f>BJ642</f>
        <v/>
      </c>
      <c r="BJ642" s="1299" t="n">
        <v>-2295.556</v>
      </c>
      <c r="BK642" s="1298" t="n">
        <v>-719.167</v>
      </c>
      <c r="BL642" s="1298" t="n">
        <v>-1438.333</v>
      </c>
      <c r="BM642" s="1298" t="n">
        <v>-2157.5</v>
      </c>
      <c r="BN642" s="1280">
        <f>BO642</f>
        <v/>
      </c>
      <c r="BO642" s="1382" t="n"/>
      <c r="BP642" s="1277" t="n"/>
      <c r="BQ642" s="1277" t="n"/>
      <c r="BR642" s="1277" t="n"/>
      <c r="BS642" s="1277" t="n"/>
      <c r="BT642" s="1297" t="n"/>
      <c r="BU642" s="1277" t="n"/>
      <c r="BV642" s="1277" t="n"/>
      <c r="BW642" s="1277" t="n"/>
      <c r="BX642" s="1277" t="n"/>
      <c r="BY642" s="1297" t="n"/>
      <c r="BZ642" s="1297" t="n"/>
      <c r="CA642" s="1297" t="n"/>
      <c r="CB642" s="1297" t="n"/>
      <c r="CC642" s="1280" t="n"/>
    </row>
    <row r="643" hidden="1" outlineLevel="1" ht="14.4" customFormat="1" customHeight="1" s="1275">
      <c r="A643" s="1295" t="inlineStr">
        <is>
          <t>Repayment of principal portion of lease liabilities</t>
        </is>
      </c>
      <c r="B643" s="1387" t="n"/>
      <c r="C643" s="1297" t="n"/>
      <c r="D643" s="1297" t="n"/>
      <c r="E643" s="1297" t="n"/>
      <c r="F643" s="1297" t="n"/>
      <c r="G643" s="1297" t="n"/>
      <c r="H643" s="1277" t="n"/>
      <c r="I643" s="1277" t="n"/>
      <c r="J643" s="1277" t="n"/>
      <c r="K643" s="1277" t="n"/>
      <c r="L643" s="1297" t="n"/>
      <c r="M643" s="1277" t="n"/>
      <c r="N643" s="1277" t="n"/>
      <c r="O643" s="1277" t="n"/>
      <c r="P643" s="1277" t="n"/>
      <c r="Q643" s="1297" t="n"/>
      <c r="R643" s="1277" t="n"/>
      <c r="S643" s="1277" t="n"/>
      <c r="T643" s="1277" t="n"/>
      <c r="U643" s="1277" t="n"/>
      <c r="V643" s="1297" t="n"/>
      <c r="W643" s="1277" t="n"/>
      <c r="X643" s="1277" t="n"/>
      <c r="Y643" s="1277" t="n"/>
      <c r="Z643" s="1277" t="n"/>
      <c r="AA643" s="1297" t="n"/>
      <c r="AB643" s="1277" t="n"/>
      <c r="AC643" s="1277" t="n"/>
      <c r="AD643" s="1277" t="n"/>
      <c r="AE643" s="1277" t="n"/>
      <c r="AF643" s="1297" t="n"/>
      <c r="AG643" s="1277" t="n"/>
      <c r="AH643" s="1298" t="n">
        <v>-1814.471</v>
      </c>
      <c r="AI643" s="1298" t="n">
        <v>-2457.97</v>
      </c>
      <c r="AJ643" s="1280">
        <f>AK643</f>
        <v/>
      </c>
      <c r="AK643" s="1299" t="n">
        <v>-2930.589</v>
      </c>
      <c r="AL643" s="1277" t="n"/>
      <c r="AM643" s="1298" t="n">
        <v>-1412.758</v>
      </c>
      <c r="AN643" s="1298" t="n">
        <v>-2155.626</v>
      </c>
      <c r="AO643" s="1280">
        <f>AP643</f>
        <v/>
      </c>
      <c r="AP643" s="1299" t="n">
        <v>-2615.708</v>
      </c>
      <c r="AQ643" s="1298" t="n">
        <v>-532.552</v>
      </c>
      <c r="AR643" s="1298" t="n">
        <v>-985.283</v>
      </c>
      <c r="AS643" s="1298" t="n">
        <v>-1450.722</v>
      </c>
      <c r="AT643" s="1280">
        <f>AU643</f>
        <v/>
      </c>
      <c r="AU643" s="1299" t="n">
        <v>-1985.338</v>
      </c>
      <c r="AV643" s="1298" t="n">
        <v>-523.177</v>
      </c>
      <c r="AW643" s="1298" t="n">
        <v>-1122.427</v>
      </c>
      <c r="AX643" s="1298" t="n">
        <v>-1767.753</v>
      </c>
      <c r="AY643" s="1280">
        <f>AZ643</f>
        <v/>
      </c>
      <c r="AZ643" s="1299" t="n">
        <v>-2428.277</v>
      </c>
      <c r="BA643" s="1298" t="n">
        <v>-709.158</v>
      </c>
      <c r="BB643" s="1298" t="n">
        <v>-1400.882</v>
      </c>
      <c r="BC643" s="1298" t="n">
        <v>-2132.449</v>
      </c>
      <c r="BD643" s="1280">
        <f>BE643</f>
        <v/>
      </c>
      <c r="BE643" s="1299" t="n">
        <v>-2854.344</v>
      </c>
      <c r="BF643" s="1298" t="n">
        <v>-775.428</v>
      </c>
      <c r="BG643" s="1298" t="n">
        <v>-1473.137</v>
      </c>
      <c r="BH643" s="1298" t="n">
        <v>-2212.89</v>
      </c>
      <c r="BI643" s="1280">
        <f>BJ643</f>
        <v/>
      </c>
      <c r="BJ643" s="1299" t="n">
        <v>-2873.64</v>
      </c>
      <c r="BK643" s="1298" t="n">
        <v>-891.1849999999999</v>
      </c>
      <c r="BL643" s="1298" t="n">
        <v>-1645.424</v>
      </c>
      <c r="BM643" s="1298" t="n">
        <v>-2612.337</v>
      </c>
      <c r="BN643" s="1280">
        <f>BO643</f>
        <v/>
      </c>
      <c r="BO643" s="1382" t="n"/>
      <c r="BP643" s="1277" t="n"/>
      <c r="BQ643" s="1277" t="n"/>
      <c r="BR643" s="1277" t="n"/>
      <c r="BS643" s="1277" t="n"/>
      <c r="BT643" s="1297" t="n"/>
      <c r="BU643" s="1277" t="n"/>
      <c r="BV643" s="1277" t="n"/>
      <c r="BW643" s="1277" t="n"/>
      <c r="BX643" s="1277" t="n"/>
      <c r="BY643" s="1297" t="n"/>
      <c r="BZ643" s="1297" t="n"/>
      <c r="CA643" s="1297" t="n"/>
      <c r="CB643" s="1297" t="n"/>
      <c r="CC643" s="1280" t="n"/>
    </row>
    <row r="644" hidden="1" outlineLevel="1" ht="14.4" customFormat="1" customHeight="1" s="1275">
      <c r="A644" s="1295" t="inlineStr">
        <is>
          <t>Interest paid</t>
        </is>
      </c>
      <c r="B644" s="1387" t="n"/>
      <c r="C644" s="1297" t="n"/>
      <c r="D644" s="1297" t="n"/>
      <c r="E644" s="1297" t="n"/>
      <c r="F644" s="1299" t="n">
        <v>-736.607</v>
      </c>
      <c r="G644" s="1299" t="n">
        <v>-1330.886</v>
      </c>
      <c r="H644" s="1298" t="n">
        <v>-863.8339999999999</v>
      </c>
      <c r="I644" s="1298" t="n">
        <v>-889.467</v>
      </c>
      <c r="J644" s="1298" t="n">
        <v>-2743.513</v>
      </c>
      <c r="K644" s="1280">
        <f>L644</f>
        <v/>
      </c>
      <c r="L644" s="1299" t="n">
        <v>-3192.971</v>
      </c>
      <c r="M644" s="1298" t="n">
        <v>-861.616</v>
      </c>
      <c r="N644" s="1298" t="n">
        <v>-1212.515</v>
      </c>
      <c r="O644" s="1298" t="n">
        <v>-2704.853</v>
      </c>
      <c r="P644" s="1280">
        <f>Q644</f>
        <v/>
      </c>
      <c r="Q644" s="1299" t="n">
        <v>-3156.218</v>
      </c>
      <c r="R644" s="1298" t="n">
        <v>-689.803</v>
      </c>
      <c r="S644" s="1298" t="n">
        <v>-1289.308</v>
      </c>
      <c r="T644" s="1298" t="n">
        <v>-3148.821</v>
      </c>
      <c r="U644" s="1280">
        <f>V644</f>
        <v/>
      </c>
      <c r="V644" s="1299" t="n">
        <v>-3302.42</v>
      </c>
      <c r="W644" s="1298" t="n">
        <v>-1257.295</v>
      </c>
      <c r="X644" s="1298" t="n">
        <v>-1383.051</v>
      </c>
      <c r="Y644" s="1298" t="n">
        <v>-2907.017</v>
      </c>
      <c r="Z644" s="1280">
        <f>AA644</f>
        <v/>
      </c>
      <c r="AA644" s="1299" t="n">
        <v>-3482.703</v>
      </c>
      <c r="AB644" s="1298" t="n">
        <v>-998.2569999999999</v>
      </c>
      <c r="AC644" s="1298" t="n">
        <v>-1542.784</v>
      </c>
      <c r="AD644" s="1298" t="n">
        <v>-2796.082</v>
      </c>
      <c r="AE644" s="1280">
        <f>AF644</f>
        <v/>
      </c>
      <c r="AF644" s="1299" t="n">
        <v>-3233.331</v>
      </c>
      <c r="AG644" s="1298" t="n">
        <v>-1188.528</v>
      </c>
      <c r="AH644" s="1298" t="n">
        <v>-1625.029</v>
      </c>
      <c r="AI644" s="1298" t="n">
        <v>-3058.107</v>
      </c>
      <c r="AJ644" s="1280">
        <f>AK644</f>
        <v/>
      </c>
      <c r="AK644" s="1299" t="n">
        <v>-3597.145</v>
      </c>
      <c r="AL644" s="1298" t="n">
        <v>-977.231</v>
      </c>
      <c r="AM644" s="1298" t="n">
        <v>-1196.001</v>
      </c>
      <c r="AN644" s="1298" t="n">
        <v>-1625.276</v>
      </c>
      <c r="AO644" s="1280">
        <f>AP644</f>
        <v/>
      </c>
      <c r="AP644" s="1299" t="n">
        <v>-1781.097</v>
      </c>
      <c r="AQ644" s="1298" t="n">
        <v>-772.71</v>
      </c>
      <c r="AR644" s="1298" t="n">
        <v>-1046.295</v>
      </c>
      <c r="AS644" s="1298" t="n">
        <v>-2694.972</v>
      </c>
      <c r="AT644" s="1280">
        <f>AU644</f>
        <v/>
      </c>
      <c r="AU644" s="1299" t="n">
        <v>-3833.633</v>
      </c>
      <c r="AV644" s="1298" t="n">
        <v>-1103.792</v>
      </c>
      <c r="AW644" s="1298" t="n">
        <v>-4657.3</v>
      </c>
      <c r="AX644" s="1298" t="n">
        <v>-6498.17</v>
      </c>
      <c r="AY644" s="1280">
        <f>AZ644</f>
        <v/>
      </c>
      <c r="AZ644" s="1299" t="n">
        <v>-12218.659</v>
      </c>
      <c r="BA644" s="1298" t="n">
        <v>-1871.2</v>
      </c>
      <c r="BB644" s="1298" t="n">
        <v>-7421.274</v>
      </c>
      <c r="BC644" s="1298" t="n">
        <v>-11363.895</v>
      </c>
      <c r="BD644" s="1280">
        <f>BE644</f>
        <v/>
      </c>
      <c r="BE644" s="1299" t="n">
        <v>-17358.981</v>
      </c>
      <c r="BF644" s="1298" t="n">
        <v>-1778.846</v>
      </c>
      <c r="BG644" s="1298" t="n">
        <v>-8419.668</v>
      </c>
      <c r="BH644" s="1298" t="n">
        <v>-12804.37</v>
      </c>
      <c r="BI644" s="1280">
        <f>BJ644</f>
        <v/>
      </c>
      <c r="BJ644" s="1299" t="n">
        <v>-18751.233</v>
      </c>
      <c r="BK644" s="1298" t="n">
        <v>-2516.219</v>
      </c>
      <c r="BL644" s="1298" t="n">
        <v>-9738.700000000001</v>
      </c>
      <c r="BM644" s="1298" t="n">
        <v>-13778.562</v>
      </c>
      <c r="BN644" s="1280">
        <f>BO644</f>
        <v/>
      </c>
      <c r="BO644" s="1645" t="n">
        <v>-19129</v>
      </c>
      <c r="BP644" s="1277" t="n"/>
      <c r="BQ644" s="1277" t="n"/>
      <c r="BR644" s="1277" t="n"/>
      <c r="BS644" s="1277" t="n"/>
      <c r="BT644" s="1297" t="n"/>
      <c r="BU644" s="1277" t="n"/>
      <c r="BV644" s="1277" t="n"/>
      <c r="BW644" s="1277" t="n"/>
      <c r="BX644" s="1277" t="n"/>
      <c r="BY644" s="1297" t="n"/>
      <c r="BZ644" s="1297" t="n"/>
      <c r="CA644" s="1297" t="n"/>
      <c r="CB644" s="1297" t="n"/>
      <c r="CC644" s="1280" t="n"/>
    </row>
    <row r="645" hidden="1" outlineLevel="1" ht="14.4" customFormat="1" customHeight="1" s="1275">
      <c r="A645" s="1295" t="inlineStr">
        <is>
          <t>Proceeds from short-term bills payable</t>
        </is>
      </c>
      <c r="B645" s="1387" t="n"/>
      <c r="C645" s="1297" t="n"/>
      <c r="D645" s="1297" t="n"/>
      <c r="E645" s="1297" t="n"/>
      <c r="F645" s="1297" t="n"/>
      <c r="G645" s="1297" t="n"/>
      <c r="H645" s="1277" t="n"/>
      <c r="I645" s="1277" t="n"/>
      <c r="J645" s="1277" t="n"/>
      <c r="K645" s="1277" t="n"/>
      <c r="L645" s="1297" t="n"/>
      <c r="M645" s="1277" t="n"/>
      <c r="N645" s="1277" t="n"/>
      <c r="O645" s="1277" t="n"/>
      <c r="P645" s="1277" t="n"/>
      <c r="Q645" s="1297" t="n"/>
      <c r="R645" s="1277" t="n"/>
      <c r="S645" s="1277" t="n"/>
      <c r="T645" s="1277" t="n"/>
      <c r="U645" s="1277" t="n"/>
      <c r="V645" s="1297" t="n"/>
      <c r="W645" s="1277" t="n"/>
      <c r="X645" s="1277" t="n"/>
      <c r="Y645" s="1277" t="n"/>
      <c r="Z645" s="1277" t="n"/>
      <c r="AA645" s="1297" t="n"/>
      <c r="AB645" s="1277" t="n"/>
      <c r="AC645" s="1277" t="n"/>
      <c r="AD645" s="1277" t="n"/>
      <c r="AE645" s="1277" t="n"/>
      <c r="AF645" s="1297" t="n"/>
      <c r="AG645" s="1277" t="n"/>
      <c r="AH645" s="1277" t="n"/>
      <c r="AI645" s="1277" t="n"/>
      <c r="AJ645" s="1277" t="n"/>
      <c r="AK645" s="1297" t="n"/>
      <c r="AL645" s="1298" t="n">
        <v>3992.197</v>
      </c>
      <c r="AM645" s="1298" t="n">
        <v>7485.303</v>
      </c>
      <c r="AN645" s="1298" t="n">
        <v>7485.303</v>
      </c>
      <c r="AO645" s="1280">
        <f>AP645</f>
        <v/>
      </c>
      <c r="AP645" s="1299" t="n">
        <v>7485.303</v>
      </c>
      <c r="AQ645" s="1298" t="n">
        <v>0</v>
      </c>
      <c r="AR645" s="1277" t="n"/>
      <c r="AS645" s="1277" t="n"/>
      <c r="AT645" s="1280">
        <f>AU645</f>
        <v/>
      </c>
      <c r="AU645" s="1297" t="n"/>
      <c r="AV645" s="1277" t="n"/>
      <c r="AW645" s="1277" t="n"/>
      <c r="AX645" s="1277" t="n"/>
      <c r="AY645" s="1280">
        <f>AZ645</f>
        <v/>
      </c>
      <c r="AZ645" s="1297" t="n"/>
      <c r="BA645" s="1277" t="n"/>
      <c r="BB645" s="1277" t="n"/>
      <c r="BC645" s="1277" t="n"/>
      <c r="BD645" s="1280">
        <f>BE645</f>
        <v/>
      </c>
      <c r="BE645" s="1297" t="n"/>
      <c r="BF645" s="1277" t="n"/>
      <c r="BG645" s="1277" t="n"/>
      <c r="BH645" s="1277" t="n"/>
      <c r="BI645" s="1280">
        <f>BJ645</f>
        <v/>
      </c>
      <c r="BJ645" s="1297" t="n"/>
      <c r="BK645" s="1277" t="n"/>
      <c r="BL645" s="1277" t="n"/>
      <c r="BM645" s="1277" t="n"/>
      <c r="BN645" s="1280">
        <f>BO645</f>
        <v/>
      </c>
      <c r="BO645" s="1382" t="n"/>
      <c r="BP645" s="1277" t="n"/>
      <c r="BQ645" s="1277" t="n"/>
      <c r="BR645" s="1277" t="n"/>
      <c r="BS645" s="1277" t="n"/>
      <c r="BT645" s="1297" t="n"/>
      <c r="BU645" s="1277" t="n"/>
      <c r="BV645" s="1277" t="n"/>
      <c r="BW645" s="1277" t="n"/>
      <c r="BX645" s="1277" t="n"/>
      <c r="BY645" s="1297" t="n"/>
      <c r="BZ645" s="1297" t="n"/>
      <c r="CA645" s="1297" t="n"/>
      <c r="CB645" s="1297" t="n"/>
      <c r="CC645" s="1280" t="n"/>
    </row>
    <row r="646" hidden="1" outlineLevel="1" ht="14.4" customFormat="1" customHeight="1" s="1275">
      <c r="A646" s="1295" t="inlineStr">
        <is>
          <t>Repayments of short-term bills payable</t>
        </is>
      </c>
      <c r="B646" s="1387" t="n"/>
      <c r="C646" s="1297" t="n"/>
      <c r="D646" s="1297" t="n"/>
      <c r="E646" s="1297" t="n"/>
      <c r="F646" s="1297" t="n"/>
      <c r="G646" s="1297" t="n"/>
      <c r="H646" s="1277" t="n"/>
      <c r="I646" s="1277" t="n"/>
      <c r="J646" s="1277" t="n"/>
      <c r="K646" s="1277" t="n"/>
      <c r="L646" s="1297" t="n"/>
      <c r="M646" s="1277" t="n"/>
      <c r="N646" s="1277" t="n"/>
      <c r="O646" s="1277" t="n"/>
      <c r="P646" s="1277" t="n"/>
      <c r="Q646" s="1297" t="n"/>
      <c r="R646" s="1277" t="n"/>
      <c r="S646" s="1277" t="n"/>
      <c r="T646" s="1277" t="n"/>
      <c r="U646" s="1277" t="n"/>
      <c r="V646" s="1297" t="n"/>
      <c r="W646" s="1277" t="n"/>
      <c r="X646" s="1277" t="n"/>
      <c r="Y646" s="1277" t="n"/>
      <c r="Z646" s="1277" t="n"/>
      <c r="AA646" s="1297" t="n"/>
      <c r="AB646" s="1277" t="n"/>
      <c r="AC646" s="1277" t="n"/>
      <c r="AD646" s="1277" t="n"/>
      <c r="AE646" s="1277" t="n"/>
      <c r="AF646" s="1297" t="n"/>
      <c r="AG646" s="1277" t="n"/>
      <c r="AH646" s="1277" t="n"/>
      <c r="AI646" s="1277" t="n"/>
      <c r="AJ646" s="1277" t="n"/>
      <c r="AK646" s="1297" t="n"/>
      <c r="AL646" s="1298" t="n">
        <v>-1000</v>
      </c>
      <c r="AM646" s="1298" t="n">
        <v>-1000</v>
      </c>
      <c r="AN646" s="1298" t="n">
        <v>-7500</v>
      </c>
      <c r="AO646" s="1280">
        <f>AP646</f>
        <v/>
      </c>
      <c r="AP646" s="1299" t="n">
        <v>-7500</v>
      </c>
      <c r="AQ646" s="1298" t="n">
        <v>0</v>
      </c>
      <c r="AR646" s="1277" t="n"/>
      <c r="AS646" s="1277" t="n"/>
      <c r="AT646" s="1280">
        <f>AU646</f>
        <v/>
      </c>
      <c r="AU646" s="1297" t="n"/>
      <c r="AV646" s="1277" t="n"/>
      <c r="AW646" s="1277" t="n"/>
      <c r="AX646" s="1277" t="n"/>
      <c r="AY646" s="1280">
        <f>AZ646</f>
        <v/>
      </c>
      <c r="AZ646" s="1297" t="n"/>
      <c r="BA646" s="1277" t="n"/>
      <c r="BB646" s="1277" t="n"/>
      <c r="BC646" s="1277" t="n"/>
      <c r="BD646" s="1280">
        <f>BE646</f>
        <v/>
      </c>
      <c r="BE646" s="1297" t="n"/>
      <c r="BF646" s="1277" t="n"/>
      <c r="BG646" s="1277" t="n"/>
      <c r="BH646" s="1277" t="n"/>
      <c r="BI646" s="1280">
        <f>BJ646</f>
        <v/>
      </c>
      <c r="BJ646" s="1297" t="n"/>
      <c r="BK646" s="1277" t="n"/>
      <c r="BL646" s="1277" t="n"/>
      <c r="BM646" s="1277" t="n"/>
      <c r="BN646" s="1280">
        <f>BO646</f>
        <v/>
      </c>
      <c r="BO646" s="1382" t="n"/>
      <c r="BP646" s="1277" t="n"/>
      <c r="BQ646" s="1277" t="n"/>
      <c r="BR646" s="1277" t="n"/>
      <c r="BS646" s="1277" t="n"/>
      <c r="BT646" s="1297" t="n"/>
      <c r="BU646" s="1277" t="n"/>
      <c r="BV646" s="1277" t="n"/>
      <c r="BW646" s="1277" t="n"/>
      <c r="BX646" s="1277" t="n"/>
      <c r="BY646" s="1297" t="n"/>
      <c r="BZ646" s="1297" t="n"/>
      <c r="CA646" s="1297" t="n"/>
      <c r="CB646" s="1297" t="n"/>
      <c r="CC646" s="1280" t="n"/>
    </row>
    <row r="647" hidden="1" outlineLevel="1" ht="14.4" customFormat="1" customHeight="1" s="1275">
      <c r="A647" s="1295" t="inlineStr">
        <is>
          <t>Payments for transaction costs attributable to the issuance of bonds</t>
        </is>
      </c>
      <c r="B647" s="1387" t="n"/>
      <c r="C647" s="1297" t="n"/>
      <c r="D647" s="1297" t="n"/>
      <c r="E647" s="1297" t="n"/>
      <c r="F647" s="1297" t="n"/>
      <c r="G647" s="1297" t="n"/>
      <c r="H647" s="1277" t="n"/>
      <c r="I647" s="1277" t="n"/>
      <c r="J647" s="1277" t="n"/>
      <c r="K647" s="1277" t="n"/>
      <c r="L647" s="1297" t="n"/>
      <c r="M647" s="1277" t="n"/>
      <c r="N647" s="1277" t="n"/>
      <c r="O647" s="1277" t="n"/>
      <c r="P647" s="1277" t="n"/>
      <c r="Q647" s="1297" t="n"/>
      <c r="R647" s="1277" t="n"/>
      <c r="S647" s="1277" t="n"/>
      <c r="T647" s="1277" t="n"/>
      <c r="U647" s="1277" t="n"/>
      <c r="V647" s="1297" t="n"/>
      <c r="W647" s="1277" t="n"/>
      <c r="X647" s="1277" t="n"/>
      <c r="Y647" s="1277" t="n"/>
      <c r="Z647" s="1277" t="n"/>
      <c r="AA647" s="1297" t="n"/>
      <c r="AB647" s="1277" t="n"/>
      <c r="AC647" s="1277" t="n"/>
      <c r="AD647" s="1277" t="n"/>
      <c r="AE647" s="1277" t="n"/>
      <c r="AF647" s="1297" t="n"/>
      <c r="AG647" s="1277" t="n"/>
      <c r="AH647" s="1277" t="n"/>
      <c r="AI647" s="1277" t="n"/>
      <c r="AJ647" s="1277" t="n"/>
      <c r="AK647" s="1297" t="n"/>
      <c r="AL647" s="1298" t="n">
        <v>-24.921</v>
      </c>
      <c r="AM647" s="1298" t="n">
        <v>-62.063</v>
      </c>
      <c r="AN647" s="1298" t="n">
        <v>-358.053</v>
      </c>
      <c r="AO647" s="1280">
        <f>AP647</f>
        <v/>
      </c>
      <c r="AP647" s="1299" t="n">
        <v>-390.73</v>
      </c>
      <c r="AQ647" s="1298" t="n">
        <v>-21.702</v>
      </c>
      <c r="AR647" s="1298" t="n">
        <v>-278.805</v>
      </c>
      <c r="AS647" s="1298" t="n">
        <v>-329.346</v>
      </c>
      <c r="AT647" s="1280">
        <f>AU647</f>
        <v/>
      </c>
      <c r="AU647" s="1299" t="n">
        <v>-737.724</v>
      </c>
      <c r="AV647" s="1298" t="n">
        <v>-21.2</v>
      </c>
      <c r="AW647" s="1298" t="n">
        <v>-285.272</v>
      </c>
      <c r="AX647" s="1298" t="n">
        <v>-403.162</v>
      </c>
      <c r="AY647" s="1280">
        <f>AZ647</f>
        <v/>
      </c>
      <c r="AZ647" s="1299" t="n">
        <v>-414.307</v>
      </c>
      <c r="BA647" s="1298" t="n">
        <v>-20.274</v>
      </c>
      <c r="BB647" s="1298" t="n">
        <v>-62.07</v>
      </c>
      <c r="BC647" s="1298" t="n">
        <v>-78.44799999999999</v>
      </c>
      <c r="BD647" s="1280">
        <f>BE647</f>
        <v/>
      </c>
      <c r="BE647" s="1299" t="n">
        <v>-88.681</v>
      </c>
      <c r="BF647" s="1298" t="n">
        <v>-23.708</v>
      </c>
      <c r="BG647" s="1298" t="n">
        <v>-35.581</v>
      </c>
      <c r="BH647" s="1298" t="n">
        <v>-35.681</v>
      </c>
      <c r="BI647" s="1280">
        <f>BJ647</f>
        <v/>
      </c>
      <c r="BJ647" s="1299" t="n">
        <v>-35.681</v>
      </c>
      <c r="BK647" s="1298" t="n">
        <v>-20.246</v>
      </c>
      <c r="BL647" s="1298" t="n">
        <v>-34.82</v>
      </c>
      <c r="BM647" s="1298" t="n">
        <v>-83.646</v>
      </c>
      <c r="BN647" s="1280">
        <f>BO647</f>
        <v/>
      </c>
      <c r="BO647" s="1382" t="n"/>
      <c r="BP647" s="1277" t="n"/>
      <c r="BQ647" s="1277" t="n"/>
      <c r="BR647" s="1277" t="n"/>
      <c r="BS647" s="1277" t="n"/>
      <c r="BT647" s="1297" t="n"/>
      <c r="BU647" s="1277" t="n"/>
      <c r="BV647" s="1277" t="n"/>
      <c r="BW647" s="1277" t="n"/>
      <c r="BX647" s="1277" t="n"/>
      <c r="BY647" s="1297" t="n"/>
      <c r="BZ647" s="1297" t="n"/>
      <c r="CA647" s="1297" t="n"/>
      <c r="CB647" s="1297" t="n"/>
      <c r="CC647" s="1280" t="n"/>
    </row>
    <row r="648" hidden="1" outlineLevel="1" ht="14.4" customFormat="1" customHeight="1" s="1275">
      <c r="A648" s="1295" t="inlineStr">
        <is>
          <t>Decrease in obligations under finance leases</t>
        </is>
      </c>
      <c r="B648" s="1387" t="n"/>
      <c r="C648" s="1297" t="n"/>
      <c r="D648" s="1297" t="n"/>
      <c r="E648" s="1299" t="n">
        <v>0</v>
      </c>
      <c r="F648" s="1299" t="n">
        <v>-108.863</v>
      </c>
      <c r="G648" s="1299" t="n">
        <v>-27.796</v>
      </c>
      <c r="H648" s="1298" t="n">
        <v>0</v>
      </c>
      <c r="I648" s="1298" t="n">
        <v>-28.426</v>
      </c>
      <c r="J648" s="1298" t="n">
        <v>-28.426</v>
      </c>
      <c r="K648" s="1280">
        <f>L648</f>
        <v/>
      </c>
      <c r="L648" s="1299" t="n">
        <v>-28.426</v>
      </c>
      <c r="M648" s="1298" t="n">
        <v>0</v>
      </c>
      <c r="N648" s="1298" t="n">
        <v>-29.098</v>
      </c>
      <c r="O648" s="1298" t="n">
        <v>-29.098</v>
      </c>
      <c r="P648" s="1280">
        <f>Q648</f>
        <v/>
      </c>
      <c r="Q648" s="1299" t="n">
        <v>-29.098</v>
      </c>
      <c r="R648" s="1298" t="n">
        <v>0</v>
      </c>
      <c r="S648" s="1298" t="n">
        <v>0</v>
      </c>
      <c r="T648" s="1298" t="n">
        <v>0</v>
      </c>
      <c r="U648" s="1280">
        <f>V648</f>
        <v/>
      </c>
      <c r="V648" s="1299" t="n">
        <v>0</v>
      </c>
      <c r="W648" s="1277" t="n"/>
      <c r="X648" s="1277" t="n"/>
      <c r="Y648" s="1277" t="n"/>
      <c r="Z648" s="1280">
        <f>AA648</f>
        <v/>
      </c>
      <c r="AA648" s="1297" t="n"/>
      <c r="AB648" s="1277" t="n"/>
      <c r="AC648" s="1277" t="n"/>
      <c r="AD648" s="1277" t="n"/>
      <c r="AE648" s="1280">
        <f>AF648</f>
        <v/>
      </c>
      <c r="AF648" s="1297" t="n"/>
      <c r="AG648" s="1298" t="n">
        <v>-588.088</v>
      </c>
      <c r="AH648" s="1277" t="n"/>
      <c r="AI648" s="1277" t="n"/>
      <c r="AJ648" s="1277" t="n"/>
      <c r="AK648" s="1297" t="n"/>
      <c r="AL648" s="1298" t="n">
        <v>-683.072</v>
      </c>
      <c r="AM648" s="1277" t="n"/>
      <c r="AN648" s="1277" t="n"/>
      <c r="AO648" s="1280">
        <f>AP648</f>
        <v/>
      </c>
      <c r="AP648" s="1297" t="n"/>
      <c r="AQ648" s="1277" t="n"/>
      <c r="AR648" s="1277" t="n"/>
      <c r="AS648" s="1277" t="n"/>
      <c r="AT648" s="1280">
        <f>AU648</f>
        <v/>
      </c>
      <c r="AU648" s="1297" t="n"/>
      <c r="AV648" s="1277" t="n"/>
      <c r="AW648" s="1277" t="n"/>
      <c r="AX648" s="1277" t="n"/>
      <c r="AY648" s="1280">
        <f>AZ648</f>
        <v/>
      </c>
      <c r="AZ648" s="1297" t="n"/>
      <c r="BA648" s="1277" t="n"/>
      <c r="BB648" s="1277" t="n"/>
      <c r="BC648" s="1277" t="n"/>
      <c r="BD648" s="1280">
        <f>BE648</f>
        <v/>
      </c>
      <c r="BE648" s="1297" t="n"/>
      <c r="BF648" s="1277" t="n"/>
      <c r="BG648" s="1277" t="n"/>
      <c r="BH648" s="1277" t="n"/>
      <c r="BI648" s="1280">
        <f>BJ648</f>
        <v/>
      </c>
      <c r="BJ648" s="1297" t="n"/>
      <c r="BK648" s="1277" t="n"/>
      <c r="BL648" s="1277" t="n"/>
      <c r="BM648" s="1277" t="n"/>
      <c r="BN648" s="1280">
        <f>BO648</f>
        <v/>
      </c>
      <c r="BO648" s="1382" t="n"/>
      <c r="BP648" s="1277" t="n"/>
      <c r="BQ648" s="1277" t="n"/>
      <c r="BR648" s="1277" t="n"/>
      <c r="BS648" s="1277" t="n"/>
      <c r="BT648" s="1297" t="n"/>
      <c r="BU648" s="1277" t="n"/>
      <c r="BV648" s="1277" t="n"/>
      <c r="BW648" s="1277" t="n"/>
      <c r="BX648" s="1277" t="n"/>
      <c r="BY648" s="1297" t="n"/>
      <c r="BZ648" s="1297" t="n"/>
      <c r="CA648" s="1297" t="n"/>
      <c r="CB648" s="1297" t="n"/>
      <c r="CC648" s="1280" t="n"/>
    </row>
    <row r="649" hidden="1" outlineLevel="1" ht="14.4" customFormat="1" customHeight="1" s="1275">
      <c r="A649" s="1295" t="inlineStr">
        <is>
          <t>Guarantee deposits received</t>
        </is>
      </c>
      <c r="B649" s="1387" t="n"/>
      <c r="C649" s="1297" t="n"/>
      <c r="D649" s="1297" t="n"/>
      <c r="E649" s="1297" t="n"/>
      <c r="F649" s="1299" t="n">
        <v>15.671</v>
      </c>
      <c r="G649" s="1299" t="n">
        <v>41.519</v>
      </c>
      <c r="H649" s="1298" t="n">
        <v>3.744</v>
      </c>
      <c r="I649" s="1298" t="n">
        <v>10.374</v>
      </c>
      <c r="J649" s="1298" t="n">
        <v>13.213</v>
      </c>
      <c r="K649" s="1280">
        <f>L649</f>
        <v/>
      </c>
      <c r="L649" s="1299" t="n">
        <v>30142.823</v>
      </c>
      <c r="M649" s="1298" t="n">
        <v>176.072</v>
      </c>
      <c r="N649" s="1298" t="n">
        <v>454.19</v>
      </c>
      <c r="O649" s="1298" t="n">
        <v>557.639</v>
      </c>
      <c r="P649" s="1280">
        <f>Q649</f>
        <v/>
      </c>
      <c r="Q649" s="1299" t="n">
        <v>754.873</v>
      </c>
      <c r="R649" s="1298" t="n">
        <v>200.08</v>
      </c>
      <c r="S649" s="1298" t="n">
        <v>498.025</v>
      </c>
      <c r="T649" s="1298" t="n">
        <v>996.803</v>
      </c>
      <c r="U649" s="1280">
        <f>V649</f>
        <v/>
      </c>
      <c r="V649" s="1299" t="n">
        <v>6354.677</v>
      </c>
      <c r="W649" s="1298" t="n">
        <v>723.3390000000001</v>
      </c>
      <c r="X649" s="1298" t="n">
        <v>848.259</v>
      </c>
      <c r="Y649" s="1298" t="n">
        <v>4400.24</v>
      </c>
      <c r="Z649" s="1280">
        <f>AA649</f>
        <v/>
      </c>
      <c r="AA649" s="1299" t="n">
        <v>950.928</v>
      </c>
      <c r="AB649" s="1298" t="n">
        <v>3.095</v>
      </c>
      <c r="AC649" s="1298" t="n">
        <v>639.802</v>
      </c>
      <c r="AD649" s="1298" t="n">
        <v>1253.537</v>
      </c>
      <c r="AE649" s="1280">
        <f>AF649</f>
        <v/>
      </c>
      <c r="AF649" s="1299" t="n">
        <v>1668.887</v>
      </c>
      <c r="AG649" s="1298" t="n">
        <v>28.652</v>
      </c>
      <c r="AH649" s="1298" t="n">
        <v>42.659</v>
      </c>
      <c r="AI649" s="1298" t="n">
        <v>52.151</v>
      </c>
      <c r="AJ649" s="1280">
        <f>AK649</f>
        <v/>
      </c>
      <c r="AK649" s="1299" t="n">
        <v>62.203</v>
      </c>
      <c r="AL649" s="1298" t="n">
        <v>17.203</v>
      </c>
      <c r="AM649" s="1298" t="n">
        <v>21.177</v>
      </c>
      <c r="AN649" s="1298" t="n">
        <v>29.973</v>
      </c>
      <c r="AO649" s="1280">
        <f>AP649</f>
        <v/>
      </c>
      <c r="AP649" s="1299" t="n">
        <v>145.633</v>
      </c>
      <c r="AQ649" s="1298" t="n">
        <v>91.458</v>
      </c>
      <c r="AR649" s="1298" t="n">
        <v>151.226</v>
      </c>
      <c r="AS649" s="1298" t="n">
        <v>410.439</v>
      </c>
      <c r="AT649" s="1280">
        <f>AU649</f>
        <v/>
      </c>
      <c r="AU649" s="1299" t="n">
        <v>469.041</v>
      </c>
      <c r="AV649" s="1298" t="n">
        <v>8.502000000000001</v>
      </c>
      <c r="AW649" s="1298" t="n">
        <v>123.24</v>
      </c>
      <c r="AX649" s="1298" t="n">
        <v>199.19</v>
      </c>
      <c r="AY649" s="1280">
        <f>AZ649</f>
        <v/>
      </c>
      <c r="AZ649" s="1299" t="n">
        <v>271.387</v>
      </c>
      <c r="BA649" s="1298" t="n">
        <v>128.666</v>
      </c>
      <c r="BB649" s="1298" t="n">
        <v>184.899</v>
      </c>
      <c r="BC649" s="1298" t="n">
        <v>230.116</v>
      </c>
      <c r="BD649" s="1280">
        <f>BE649</f>
        <v/>
      </c>
      <c r="BE649" s="1299" t="n">
        <v>230.116</v>
      </c>
      <c r="BF649" s="1298" t="n">
        <v>0.08699999999999999</v>
      </c>
      <c r="BG649" s="1298" t="n">
        <v>2.573</v>
      </c>
      <c r="BH649" s="1298" t="n">
        <v>2.573</v>
      </c>
      <c r="BI649" s="1280">
        <f>BJ649</f>
        <v/>
      </c>
      <c r="BJ649" s="1299" t="n">
        <v>4.99</v>
      </c>
      <c r="BK649" s="1298" t="n">
        <v>1</v>
      </c>
      <c r="BL649" s="1298" t="n">
        <v>1</v>
      </c>
      <c r="BM649" s="1298" t="n">
        <v>3</v>
      </c>
      <c r="BN649" s="1280">
        <f>BO649</f>
        <v/>
      </c>
      <c r="BO649" s="1382" t="n"/>
      <c r="BP649" s="1277" t="n"/>
      <c r="BQ649" s="1277" t="n"/>
      <c r="BR649" s="1277" t="n"/>
      <c r="BS649" s="1277" t="n"/>
      <c r="BT649" s="1297" t="n"/>
      <c r="BU649" s="1277" t="n"/>
      <c r="BV649" s="1277" t="n"/>
      <c r="BW649" s="1277" t="n"/>
      <c r="BX649" s="1277" t="n"/>
      <c r="BY649" s="1297" t="n"/>
      <c r="BZ649" s="1297" t="n"/>
      <c r="CA649" s="1297" t="n"/>
      <c r="CB649" s="1297" t="n"/>
      <c r="CC649" s="1280" t="n"/>
    </row>
    <row r="650" hidden="1" outlineLevel="1" ht="14.4" customFormat="1" customHeight="1" s="1275">
      <c r="A650" s="1295" t="inlineStr">
        <is>
          <t>Guarantee deposits refunded</t>
        </is>
      </c>
      <c r="B650" s="1387" t="n"/>
      <c r="C650" s="1299" t="n">
        <v>-478.472</v>
      </c>
      <c r="D650" s="1299" t="n">
        <v>-232.925</v>
      </c>
      <c r="E650" s="1299" t="n">
        <v>-342.242</v>
      </c>
      <c r="F650" s="1299" t="n">
        <v>-255.764</v>
      </c>
      <c r="G650" s="1299" t="n">
        <v>-113.087</v>
      </c>
      <c r="H650" s="1298" t="n">
        <v>-1.443</v>
      </c>
      <c r="I650" s="1298" t="n">
        <v>-3.742</v>
      </c>
      <c r="J650" s="1298" t="n">
        <v>-4.981</v>
      </c>
      <c r="K650" s="1280">
        <f>L650</f>
        <v/>
      </c>
      <c r="L650" s="1299" t="n">
        <v>-7.704</v>
      </c>
      <c r="M650" s="1298" t="n">
        <v>-174.92</v>
      </c>
      <c r="N650" s="1298" t="n">
        <v>-443.769</v>
      </c>
      <c r="O650" s="1298" t="n">
        <v>-552.9930000000001</v>
      </c>
      <c r="P650" s="1280">
        <f>Q650</f>
        <v/>
      </c>
      <c r="Q650" s="1299" t="n">
        <v>-742.458</v>
      </c>
      <c r="R650" s="1298" t="n">
        <v>-202.243</v>
      </c>
      <c r="S650" s="1298" t="n">
        <v>-485.721</v>
      </c>
      <c r="T650" s="1298" t="n">
        <v>-500.835</v>
      </c>
      <c r="U650" s="1280">
        <f>V650</f>
        <v/>
      </c>
      <c r="V650" s="1299" t="n">
        <v>-523.234</v>
      </c>
      <c r="W650" s="1298" t="n">
        <v>-1123.178</v>
      </c>
      <c r="X650" s="1298" t="n">
        <v>-1718.541</v>
      </c>
      <c r="Y650" s="1298" t="n">
        <v>-6810.329</v>
      </c>
      <c r="Z650" s="1280">
        <f>AA650</f>
        <v/>
      </c>
      <c r="AA650" s="1299" t="n">
        <v>-3823.183</v>
      </c>
      <c r="AB650" s="1298" t="n">
        <v>-57.23</v>
      </c>
      <c r="AC650" s="1298" t="n">
        <v>-1800.83</v>
      </c>
      <c r="AD650" s="1298" t="n">
        <v>-1947.272</v>
      </c>
      <c r="AE650" s="1280">
        <f>AF650</f>
        <v/>
      </c>
      <c r="AF650" s="1299" t="n">
        <v>-1948.106</v>
      </c>
      <c r="AG650" s="1298" t="n">
        <v>-2.456</v>
      </c>
      <c r="AH650" s="1298" t="n">
        <v>-347.951</v>
      </c>
      <c r="AI650" s="1298" t="n">
        <v>-700.302</v>
      </c>
      <c r="AJ650" s="1280">
        <f>AK650</f>
        <v/>
      </c>
      <c r="AK650" s="1299" t="n">
        <v>-701.269</v>
      </c>
      <c r="AL650" s="1298" t="n">
        <v>-3.638</v>
      </c>
      <c r="AM650" s="1298" t="n">
        <v>-7.702</v>
      </c>
      <c r="AN650" s="1298" t="n">
        <v>-10.474</v>
      </c>
      <c r="AO650" s="1280">
        <f>AP650</f>
        <v/>
      </c>
      <c r="AP650" s="1299" t="n">
        <v>-16.06</v>
      </c>
      <c r="AQ650" s="1298" t="n">
        <v>-4.107</v>
      </c>
      <c r="AR650" s="1298" t="n">
        <v>-35.358</v>
      </c>
      <c r="AS650" s="1298" t="n">
        <v>-36.611</v>
      </c>
      <c r="AT650" s="1280">
        <f>AU650</f>
        <v/>
      </c>
      <c r="AU650" s="1299" t="n">
        <v>-36.763</v>
      </c>
      <c r="AV650" s="1298" t="n">
        <v>-1.648</v>
      </c>
      <c r="AW650" s="1298" t="n">
        <v>-5.683</v>
      </c>
      <c r="AX650" s="1298" t="n">
        <v>-43.314</v>
      </c>
      <c r="AY650" s="1280">
        <f>AZ650</f>
        <v/>
      </c>
      <c r="AZ650" s="1299" t="n">
        <v>-62.1</v>
      </c>
      <c r="BA650" s="1298" t="n">
        <v>-131.062</v>
      </c>
      <c r="BB650" s="1298" t="n">
        <v>-169.956</v>
      </c>
      <c r="BC650" s="1298" t="n">
        <v>-217.446</v>
      </c>
      <c r="BD650" s="1280">
        <f>BE650</f>
        <v/>
      </c>
      <c r="BE650" s="1299" t="n">
        <v>-367.375</v>
      </c>
      <c r="BF650" s="1298" t="n">
        <v>-17.102</v>
      </c>
      <c r="BG650" s="1298" t="n">
        <v>-20.528</v>
      </c>
      <c r="BH650" s="1298" t="n">
        <v>-36.155</v>
      </c>
      <c r="BI650" s="1280">
        <f>BJ650</f>
        <v/>
      </c>
      <c r="BJ650" s="1299" t="n">
        <v>-93.33199999999999</v>
      </c>
      <c r="BK650" s="1298" t="n">
        <v>-3.099</v>
      </c>
      <c r="BL650" s="1298" t="n">
        <v>-41.853</v>
      </c>
      <c r="BM650" s="1298" t="n">
        <v>-44.383</v>
      </c>
      <c r="BN650" s="1280">
        <f>BO650</f>
        <v/>
      </c>
      <c r="BO650" s="1382" t="n"/>
      <c r="BP650" s="1277" t="n"/>
      <c r="BQ650" s="1277" t="n"/>
      <c r="BR650" s="1277" t="n"/>
      <c r="BS650" s="1277" t="n"/>
      <c r="BT650" s="1297" t="n"/>
      <c r="BU650" s="1277" t="n"/>
      <c r="BV650" s="1277" t="n"/>
      <c r="BW650" s="1277" t="n"/>
      <c r="BX650" s="1277" t="n"/>
      <c r="BY650" s="1297" t="n"/>
      <c r="BZ650" s="1297" t="n"/>
      <c r="CA650" s="1297" t="n"/>
      <c r="CB650" s="1297" t="n"/>
      <c r="CC650" s="1280" t="n"/>
    </row>
    <row r="651" hidden="1" outlineLevel="1" ht="14.4" customFormat="1" customHeight="1" s="1275">
      <c r="A651" s="1295" t="inlineStr">
        <is>
          <t>Proceeds from donation</t>
        </is>
      </c>
      <c r="B651" s="1387" t="n"/>
      <c r="C651" s="1299" t="n">
        <v>0</v>
      </c>
      <c r="D651" s="1299" t="n">
        <v>49.021</v>
      </c>
      <c r="E651" s="1297" t="n"/>
      <c r="F651" s="1297" t="n"/>
      <c r="G651" s="1297" t="n"/>
      <c r="H651" s="1277" t="n"/>
      <c r="I651" s="1277" t="n"/>
      <c r="J651" s="1277" t="n"/>
      <c r="K651" s="1280">
        <f>L651</f>
        <v/>
      </c>
      <c r="L651" s="1297" t="n"/>
      <c r="M651" s="1277" t="n"/>
      <c r="N651" s="1277" t="n"/>
      <c r="O651" s="1277" t="n"/>
      <c r="P651" s="1280">
        <f>Q651</f>
        <v/>
      </c>
      <c r="Q651" s="1297" t="n"/>
      <c r="R651" s="1277" t="n"/>
      <c r="S651" s="1277" t="n"/>
      <c r="T651" s="1277" t="n"/>
      <c r="U651" s="1280">
        <f>V651</f>
        <v/>
      </c>
      <c r="V651" s="1297" t="n"/>
      <c r="W651" s="1277" t="n"/>
      <c r="X651" s="1277" t="n"/>
      <c r="Y651" s="1277" t="n"/>
      <c r="Z651" s="1280">
        <f>AA651</f>
        <v/>
      </c>
      <c r="AA651" s="1299" t="n">
        <v>20.837</v>
      </c>
      <c r="AB651" s="1298" t="n">
        <v>0.046</v>
      </c>
      <c r="AC651" s="1298" t="n">
        <v>0.046</v>
      </c>
      <c r="AD651" s="1298" t="n">
        <v>0.046</v>
      </c>
      <c r="AE651" s="1280">
        <f>AF651</f>
        <v/>
      </c>
      <c r="AF651" s="1299" t="n">
        <v>10.141</v>
      </c>
      <c r="AG651" s="1277" t="n"/>
      <c r="AH651" s="1277" t="n"/>
      <c r="AI651" s="1277" t="n"/>
      <c r="AJ651" s="1280">
        <f>AK651</f>
        <v/>
      </c>
      <c r="AK651" s="1299" t="n">
        <v>4.006</v>
      </c>
      <c r="AL651" s="1277" t="n"/>
      <c r="AM651" s="1277" t="n"/>
      <c r="AN651" s="1277" t="n"/>
      <c r="AO651" s="1280">
        <f>AP651</f>
        <v/>
      </c>
      <c r="AP651" s="1299" t="n">
        <v>7.269</v>
      </c>
      <c r="AQ651" s="1277" t="n"/>
      <c r="AR651" s="1277" t="n"/>
      <c r="AS651" s="1277" t="n"/>
      <c r="AT651" s="1280">
        <f>AU651</f>
        <v/>
      </c>
      <c r="AU651" s="1299" t="n">
        <v>11.282</v>
      </c>
      <c r="AV651" s="1277" t="n"/>
      <c r="AW651" s="1277" t="n"/>
      <c r="AX651" s="1277" t="n"/>
      <c r="AY651" s="1280">
        <f>AZ651</f>
        <v/>
      </c>
      <c r="AZ651" s="1299" t="n">
        <v>13.225</v>
      </c>
      <c r="BA651" s="1277" t="n"/>
      <c r="BB651" s="1277" t="n"/>
      <c r="BC651" s="1277" t="n"/>
      <c r="BD651" s="1280">
        <f>BE651</f>
        <v/>
      </c>
      <c r="BE651" s="1299" t="n">
        <v>16.448</v>
      </c>
      <c r="BF651" s="1277" t="n"/>
      <c r="BG651" s="1277" t="n"/>
      <c r="BH651" s="1277" t="n"/>
      <c r="BI651" s="1280">
        <f>BJ651</f>
        <v/>
      </c>
      <c r="BJ651" s="1299" t="n">
        <v>8.946999999999999</v>
      </c>
      <c r="BK651" s="1277" t="n"/>
      <c r="BL651" s="1277" t="n"/>
      <c r="BM651" s="1277" t="n"/>
      <c r="BN651" s="1280">
        <f>BO651</f>
        <v/>
      </c>
      <c r="BO651" s="1382" t="n"/>
      <c r="BP651" s="1277" t="n"/>
      <c r="BQ651" s="1277" t="n"/>
      <c r="BR651" s="1277" t="n"/>
      <c r="BS651" s="1277" t="n"/>
      <c r="BT651" s="1297" t="n"/>
      <c r="BU651" s="1277" t="n"/>
      <c r="BV651" s="1277" t="n"/>
      <c r="BW651" s="1277" t="n"/>
      <c r="BX651" s="1277" t="n"/>
      <c r="BY651" s="1297" t="n"/>
      <c r="BZ651" s="1297" t="n"/>
      <c r="CA651" s="1297" t="n"/>
      <c r="CB651" s="1297" t="n"/>
      <c r="CC651" s="1280" t="n"/>
    </row>
    <row r="652" hidden="1" outlineLevel="1" ht="14.4" customFormat="1" customHeight="1" s="1275">
      <c r="A652" s="1295" t="inlineStr">
        <is>
          <t>Cash dividends</t>
        </is>
      </c>
      <c r="B652" s="1387" t="n"/>
      <c r="C652" s="1299" t="n">
        <v>-76876.31200000001</v>
      </c>
      <c r="D652" s="1299" t="n">
        <v>-77708.12</v>
      </c>
      <c r="E652" s="1299" t="n">
        <v>-77730.236</v>
      </c>
      <c r="F652" s="1299" t="n">
        <v>-77748.66800000001</v>
      </c>
      <c r="G652" s="1299" t="n">
        <v>-77773.307</v>
      </c>
      <c r="H652" s="1298" t="n">
        <v>0</v>
      </c>
      <c r="I652" s="1298" t="n">
        <v>0</v>
      </c>
      <c r="J652" s="1298" t="n">
        <v>-77785.851</v>
      </c>
      <c r="K652" s="1280">
        <f>L652</f>
        <v/>
      </c>
      <c r="L652" s="1299" t="n">
        <v>-77785.851</v>
      </c>
      <c r="M652" s="1298" t="n">
        <v>0</v>
      </c>
      <c r="N652" s="1298" t="n">
        <v>0</v>
      </c>
      <c r="O652" s="1298" t="n">
        <v>-116683.481</v>
      </c>
      <c r="P652" s="1280">
        <f>Q652</f>
        <v/>
      </c>
      <c r="Q652" s="1299" t="n">
        <v>-116683.481</v>
      </c>
      <c r="R652" s="1298" t="n">
        <v>0</v>
      </c>
      <c r="S652" s="1298" t="n">
        <v>0</v>
      </c>
      <c r="T652" s="1298" t="n">
        <v>-155582.283</v>
      </c>
      <c r="U652" s="1280">
        <f>V652</f>
        <v/>
      </c>
      <c r="V652" s="1299" t="n">
        <v>-155582.283</v>
      </c>
      <c r="W652" s="1298" t="n">
        <v>0</v>
      </c>
      <c r="X652" s="1298" t="n">
        <v>0</v>
      </c>
      <c r="Y652" s="1298" t="n">
        <v>-181512.663</v>
      </c>
      <c r="Z652" s="1280">
        <f>AA652</f>
        <v/>
      </c>
      <c r="AA652" s="1299" t="n">
        <v>-181512.663</v>
      </c>
      <c r="AB652" s="1277" t="n"/>
      <c r="AC652" s="1277" t="n"/>
      <c r="AD652" s="1298" t="n">
        <v>-207443.044</v>
      </c>
      <c r="AE652" s="1280">
        <f>AF652</f>
        <v/>
      </c>
      <c r="AF652" s="1299" t="n">
        <v>-207443.044</v>
      </c>
      <c r="AG652" s="1277" t="n"/>
      <c r="AH652" s="1277" t="n"/>
      <c r="AI652" s="1298" t="n">
        <v>-207443.044</v>
      </c>
      <c r="AJ652" s="1280">
        <f>AK652</f>
        <v/>
      </c>
      <c r="AK652" s="1299" t="n">
        <v>-259303.805</v>
      </c>
      <c r="AL652" s="1298" t="n">
        <v>-64825.951</v>
      </c>
      <c r="AM652" s="1298" t="n">
        <v>-129651.902</v>
      </c>
      <c r="AN652" s="1298" t="n">
        <v>-194477.853</v>
      </c>
      <c r="AO652" s="1280">
        <f>AP652</f>
        <v/>
      </c>
      <c r="AP652" s="1299" t="n">
        <v>-259303.805</v>
      </c>
      <c r="AQ652" s="1298" t="n">
        <v>-64825.951</v>
      </c>
      <c r="AR652" s="1298" t="n">
        <v>-129651.902</v>
      </c>
      <c r="AS652" s="1298" t="n">
        <v>-194477.853</v>
      </c>
      <c r="AT652" s="1280">
        <f>AU652</f>
        <v/>
      </c>
      <c r="AU652" s="1299" t="n">
        <v>-265786.399</v>
      </c>
      <c r="AV652" s="1298" t="n">
        <v>-71308.546</v>
      </c>
      <c r="AW652" s="1298" t="n">
        <v>-142617.093</v>
      </c>
      <c r="AX652" s="1298" t="n">
        <v>-213925.639</v>
      </c>
      <c r="AY652" s="1280">
        <f>AZ652</f>
        <v/>
      </c>
      <c r="AZ652" s="1299" t="n">
        <v>-285234.185</v>
      </c>
      <c r="BA652" s="1298" t="n">
        <v>-71308.546</v>
      </c>
      <c r="BB652" s="1298" t="n">
        <v>-142617.093</v>
      </c>
      <c r="BC652" s="1298" t="n">
        <v>-213925.639</v>
      </c>
      <c r="BD652" s="1280">
        <f>BE652</f>
        <v/>
      </c>
      <c r="BE652" s="1299" t="n">
        <v>-291721.852</v>
      </c>
      <c r="BF652" s="1298" t="n">
        <v>-77796.213</v>
      </c>
      <c r="BG652" s="1298" t="n">
        <v>-168558.461</v>
      </c>
      <c r="BH652" s="1298" t="n">
        <v>-259320.708</v>
      </c>
      <c r="BI652" s="1280">
        <f>BJ652</f>
        <v/>
      </c>
      <c r="BJ652" s="1299" t="n">
        <v>-363055.226</v>
      </c>
      <c r="BK652" s="1298" t="n">
        <v>-103721.521</v>
      </c>
      <c r="BL652" s="1298" t="n">
        <v>-220418.821</v>
      </c>
      <c r="BM652" s="1298" t="n">
        <v>-337116.122</v>
      </c>
      <c r="BN652" s="1280">
        <f>BO652</f>
        <v/>
      </c>
      <c r="BO652" s="1645" t="n">
        <v>-466779</v>
      </c>
      <c r="BP652" s="1277" t="n"/>
      <c r="BQ652" s="1277" t="n"/>
      <c r="BR652" s="1277" t="n"/>
      <c r="BS652" s="1277" t="n"/>
      <c r="BT652" s="1297" t="n"/>
      <c r="BU652" s="1277" t="n"/>
      <c r="BV652" s="1277" t="n"/>
      <c r="BW652" s="1277" t="n"/>
      <c r="BX652" s="1277" t="n"/>
      <c r="BY652" s="1297" t="n"/>
      <c r="BZ652" s="1297" t="n"/>
      <c r="CA652" s="1297" t="n"/>
      <c r="CB652" s="1297" t="n"/>
      <c r="CC652" s="1280" t="n"/>
    </row>
    <row r="653" hidden="1" outlineLevel="1" ht="14.4" customFormat="1" customHeight="1" s="1275">
      <c r="A653" s="1295" t="inlineStr">
        <is>
          <t>Proceeds from exercise of employee stock options</t>
        </is>
      </c>
      <c r="B653" s="1387" t="n"/>
      <c r="C653" s="1299" t="n">
        <v>260.533</v>
      </c>
      <c r="D653" s="1299" t="n">
        <v>244.824</v>
      </c>
      <c r="E653" s="1299" t="n">
        <v>217.697</v>
      </c>
      <c r="F653" s="1299" t="n">
        <v>242.488</v>
      </c>
      <c r="G653" s="1299" t="n">
        <v>124.57</v>
      </c>
      <c r="H653" s="1298" t="n">
        <v>22.303</v>
      </c>
      <c r="I653" s="1298" t="n">
        <v>33.487</v>
      </c>
      <c r="J653" s="1298" t="n">
        <v>33.487</v>
      </c>
      <c r="K653" s="1280">
        <f>L653</f>
        <v/>
      </c>
      <c r="L653" s="1299" t="n">
        <v>47.055</v>
      </c>
      <c r="M653" s="1298" t="n">
        <v>30.189</v>
      </c>
      <c r="N653" s="1298" t="n">
        <v>33.891</v>
      </c>
      <c r="O653" s="1298" t="n">
        <v>33.891</v>
      </c>
      <c r="P653" s="1280">
        <f>Q653</f>
        <v/>
      </c>
      <c r="Q653" s="1299" t="n">
        <v>33.891</v>
      </c>
      <c r="R653" s="1298" t="n">
        <v>0</v>
      </c>
      <c r="S653" s="1298" t="n">
        <v>0</v>
      </c>
      <c r="T653" s="1298" t="n">
        <v>0</v>
      </c>
      <c r="U653" s="1280">
        <f>V653</f>
        <v/>
      </c>
      <c r="V653" s="1299" t="n">
        <v>0</v>
      </c>
      <c r="W653" s="1277" t="n"/>
      <c r="X653" s="1277" t="n"/>
      <c r="Y653" s="1277" t="n"/>
      <c r="Z653" s="1280">
        <f>AA653</f>
        <v/>
      </c>
      <c r="AA653" s="1297" t="n"/>
      <c r="AB653" s="1277" t="n"/>
      <c r="AC653" s="1277" t="n"/>
      <c r="AD653" s="1277" t="n"/>
      <c r="AE653" s="1280">
        <f>AF653</f>
        <v/>
      </c>
      <c r="AF653" s="1297" t="n"/>
      <c r="AG653" s="1277" t="n"/>
      <c r="AH653" s="1277" t="n"/>
      <c r="AI653" s="1277" t="n"/>
      <c r="AJ653" s="1277" t="n"/>
      <c r="AK653" s="1297" t="n"/>
      <c r="AL653" s="1277" t="n"/>
      <c r="AM653" s="1277" t="n"/>
      <c r="AN653" s="1277" t="n"/>
      <c r="AO653" s="1280">
        <f>AP653</f>
        <v/>
      </c>
      <c r="AP653" s="1297" t="n"/>
      <c r="AQ653" s="1277" t="n"/>
      <c r="AR653" s="1277" t="n"/>
      <c r="AS653" s="1277" t="n"/>
      <c r="AT653" s="1280">
        <f>AU653</f>
        <v/>
      </c>
      <c r="AU653" s="1297" t="n"/>
      <c r="AV653" s="1277" t="n"/>
      <c r="AW653" s="1277" t="n"/>
      <c r="AX653" s="1277" t="n"/>
      <c r="AY653" s="1280">
        <f>AZ653</f>
        <v/>
      </c>
      <c r="AZ653" s="1297" t="n"/>
      <c r="BA653" s="1277" t="n"/>
      <c r="BB653" s="1277" t="n"/>
      <c r="BC653" s="1277" t="n"/>
      <c r="BD653" s="1280">
        <f>BE653</f>
        <v/>
      </c>
      <c r="BE653" s="1297" t="n"/>
      <c r="BF653" s="1277" t="n"/>
      <c r="BG653" s="1277" t="n"/>
      <c r="BH653" s="1277" t="n"/>
      <c r="BI653" s="1280">
        <f>BJ653</f>
        <v/>
      </c>
      <c r="BJ653" s="1297" t="n"/>
      <c r="BK653" s="1277" t="n"/>
      <c r="BL653" s="1277" t="n"/>
      <c r="BM653" s="1277" t="n"/>
      <c r="BN653" s="1280">
        <f>BO653</f>
        <v/>
      </c>
      <c r="BO653" s="1382" t="n"/>
      <c r="BP653" s="1277" t="n"/>
      <c r="BQ653" s="1277" t="n"/>
      <c r="BR653" s="1277" t="n"/>
      <c r="BS653" s="1277" t="n"/>
      <c r="BT653" s="1297" t="n"/>
      <c r="BU653" s="1277" t="n"/>
      <c r="BV653" s="1277" t="n"/>
      <c r="BW653" s="1277" t="n"/>
      <c r="BX653" s="1277" t="n"/>
      <c r="BY653" s="1297" t="n"/>
      <c r="BZ653" s="1297" t="n"/>
      <c r="CA653" s="1297" t="n"/>
      <c r="CB653" s="1297" t="n"/>
      <c r="CC653" s="1280" t="n"/>
    </row>
    <row r="654" hidden="1" outlineLevel="1" ht="14.4" customFormat="1" customHeight="1" s="1275">
      <c r="A654" s="1295" t="inlineStr">
        <is>
          <t>Acquisition of treasury stock</t>
        </is>
      </c>
      <c r="B654" s="1387" t="n"/>
      <c r="C654" s="1299" t="n">
        <v>0</v>
      </c>
      <c r="D654" s="1299" t="n">
        <v>0</v>
      </c>
      <c r="E654" s="1299" t="n">
        <v>-71.598</v>
      </c>
      <c r="F654" s="1297" t="n"/>
      <c r="G654" s="1297" t="n"/>
      <c r="H654" s="1277" t="n"/>
      <c r="I654" s="1277" t="n"/>
      <c r="J654" s="1277" t="n"/>
      <c r="K654" s="1280">
        <f>L654</f>
        <v/>
      </c>
      <c r="L654" s="1297" t="n"/>
      <c r="M654" s="1277" t="n"/>
      <c r="N654" s="1277" t="n"/>
      <c r="O654" s="1277" t="n"/>
      <c r="P654" s="1280">
        <f>Q654</f>
        <v/>
      </c>
      <c r="Q654" s="1297" t="n"/>
      <c r="R654" s="1277" t="n"/>
      <c r="S654" s="1277" t="n"/>
      <c r="T654" s="1277" t="n"/>
      <c r="U654" s="1280">
        <f>V654</f>
        <v/>
      </c>
      <c r="V654" s="1297" t="n"/>
      <c r="W654" s="1277" t="n"/>
      <c r="X654" s="1277" t="n"/>
      <c r="Y654" s="1277" t="n"/>
      <c r="Z654" s="1280">
        <f>AA654</f>
        <v/>
      </c>
      <c r="AA654" s="1297" t="n"/>
      <c r="AB654" s="1277" t="n"/>
      <c r="AC654" s="1277" t="n"/>
      <c r="AD654" s="1277" t="n"/>
      <c r="AE654" s="1280">
        <f>AF654</f>
        <v/>
      </c>
      <c r="AF654" s="1297" t="n"/>
      <c r="AG654" s="1277" t="n"/>
      <c r="AH654" s="1277" t="n"/>
      <c r="AI654" s="1277" t="n"/>
      <c r="AJ654" s="1277" t="n"/>
      <c r="AK654" s="1297" t="n"/>
      <c r="AL654" s="1277" t="n"/>
      <c r="AM654" s="1277" t="n"/>
      <c r="AN654" s="1277" t="n"/>
      <c r="AO654" s="1280">
        <f>AP654</f>
        <v/>
      </c>
      <c r="AP654" s="1297" t="n"/>
      <c r="AQ654" s="1277" t="n"/>
      <c r="AR654" s="1277" t="n"/>
      <c r="AS654" s="1277" t="n"/>
      <c r="AT654" s="1280">
        <f>AU654</f>
        <v/>
      </c>
      <c r="AU654" s="1297" t="n"/>
      <c r="AV654" s="1298" t="n">
        <v>-871.566</v>
      </c>
      <c r="AW654" s="1298" t="n">
        <v>-871.566</v>
      </c>
      <c r="AX654" s="1298" t="n">
        <v>-871.566</v>
      </c>
      <c r="AY654" s="1280">
        <f>AZ654</f>
        <v/>
      </c>
      <c r="AZ654" s="1299" t="n">
        <v>-871.566</v>
      </c>
      <c r="BA654" s="1277" t="n"/>
      <c r="BB654" s="1277" t="n"/>
      <c r="BC654" s="1277" t="n"/>
      <c r="BD654" s="1280">
        <f>BE654</f>
        <v/>
      </c>
      <c r="BE654" s="1297" t="n"/>
      <c r="BF654" s="1277" t="n"/>
      <c r="BG654" s="1298" t="n">
        <v>-3089.177</v>
      </c>
      <c r="BH654" s="1298" t="n">
        <v>-3089.177</v>
      </c>
      <c r="BI654" s="1280">
        <f>BJ654</f>
        <v/>
      </c>
      <c r="BJ654" s="1299" t="n">
        <v>-3089.177</v>
      </c>
      <c r="BK654" s="1277" t="n"/>
      <c r="BL654" s="1277" t="n"/>
      <c r="BM654" s="1277" t="n"/>
      <c r="BN654" s="1280">
        <f>BO654</f>
        <v/>
      </c>
      <c r="BO654" s="1382" t="n"/>
      <c r="BP654" s="1277" t="n"/>
      <c r="BQ654" s="1277" t="n"/>
      <c r="BR654" s="1277" t="n"/>
      <c r="BS654" s="1277" t="n"/>
      <c r="BT654" s="1297" t="n"/>
      <c r="BU654" s="1277" t="n"/>
      <c r="BV654" s="1277" t="n"/>
      <c r="BW654" s="1277" t="n"/>
      <c r="BX654" s="1277" t="n"/>
      <c r="BY654" s="1297" t="n"/>
      <c r="BZ654" s="1297" t="n"/>
      <c r="CA654" s="1297" t="n"/>
      <c r="CB654" s="1297" t="n"/>
      <c r="CC654" s="1280" t="n"/>
    </row>
    <row r="655" hidden="1" outlineLevel="1" ht="14.4" customFormat="1" customHeight="1" s="1275">
      <c r="A655" s="1295" t="inlineStr">
        <is>
          <t>Disposal of ownership interests in subsidiaries</t>
        </is>
      </c>
      <c r="B655" s="1387" t="n"/>
      <c r="C655" s="1297" t="n"/>
      <c r="D655" s="1297" t="n"/>
      <c r="E655" s="1297" t="n"/>
      <c r="F655" s="1297" t="n"/>
      <c r="G655" s="1297" t="n"/>
      <c r="H655" s="1277" t="n"/>
      <c r="I655" s="1277" t="n"/>
      <c r="J655" s="1277" t="n"/>
      <c r="K655" s="1277" t="n"/>
      <c r="L655" s="1297" t="n"/>
      <c r="M655" s="1277" t="n"/>
      <c r="N655" s="1277" t="n"/>
      <c r="O655" s="1277" t="n"/>
      <c r="P655" s="1277" t="n"/>
      <c r="Q655" s="1297" t="n"/>
      <c r="R655" s="1277" t="n"/>
      <c r="S655" s="1277" t="n"/>
      <c r="T655" s="1277" t="n"/>
      <c r="U655" s="1277" t="n"/>
      <c r="V655" s="1297" t="n"/>
      <c r="W655" s="1277" t="n"/>
      <c r="X655" s="1277" t="n"/>
      <c r="Y655" s="1277" t="n"/>
      <c r="Z655" s="1277" t="n"/>
      <c r="AA655" s="1297" t="n"/>
      <c r="AB655" s="1277" t="n"/>
      <c r="AC655" s="1277" t="n"/>
      <c r="AD655" s="1277" t="n"/>
      <c r="AE655" s="1277" t="n"/>
      <c r="AF655" s="1297" t="n"/>
      <c r="AG655" s="1277" t="n"/>
      <c r="AH655" s="1277" t="n"/>
      <c r="AI655" s="1277" t="n"/>
      <c r="AJ655" s="1277" t="n"/>
      <c r="AK655" s="1297" t="n"/>
      <c r="AL655" s="1277" t="n"/>
      <c r="AM655" s="1277" t="n"/>
      <c r="AN655" s="1277" t="n"/>
      <c r="AO655" s="1277" t="n"/>
      <c r="AP655" s="1297" t="n"/>
      <c r="AQ655" s="1298" t="n">
        <v>9451.798000000001</v>
      </c>
      <c r="AR655" s="1298" t="n">
        <v>9451.798000000001</v>
      </c>
      <c r="AS655" s="1298" t="n">
        <v>9451.798000000001</v>
      </c>
      <c r="AT655" s="1280">
        <f>AU655</f>
        <v/>
      </c>
      <c r="AU655" s="1299" t="n">
        <v>9451.798000000001</v>
      </c>
      <c r="AV655" s="1277" t="n"/>
      <c r="AW655" s="1277" t="n"/>
      <c r="AX655" s="1277" t="n"/>
      <c r="AY655" s="1280">
        <f>AZ655</f>
        <v/>
      </c>
      <c r="AZ655" s="1297" t="n"/>
      <c r="BA655" s="1277" t="n"/>
      <c r="BB655" s="1277" t="n"/>
      <c r="BC655" s="1277" t="n"/>
      <c r="BD655" s="1280">
        <f>BE655</f>
        <v/>
      </c>
      <c r="BE655" s="1297" t="n"/>
      <c r="BF655" s="1298" t="n">
        <v>1.021</v>
      </c>
      <c r="BG655" s="1298" t="n">
        <v>1.021</v>
      </c>
      <c r="BH655" s="1298" t="n">
        <v>1.021</v>
      </c>
      <c r="BI655" s="1280">
        <f>BJ655</f>
        <v/>
      </c>
      <c r="BJ655" s="1299" t="n">
        <v>1.021</v>
      </c>
      <c r="BK655" s="1277" t="n"/>
      <c r="BL655" s="1277" t="n"/>
      <c r="BM655" s="1277" t="n"/>
      <c r="BN655" s="1280">
        <f>BO655</f>
        <v/>
      </c>
      <c r="BO655" s="1382" t="n"/>
      <c r="BP655" s="1277" t="n"/>
      <c r="BQ655" s="1277" t="n"/>
      <c r="BR655" s="1277" t="n"/>
      <c r="BS655" s="1277" t="n"/>
      <c r="BT655" s="1297" t="n"/>
      <c r="BU655" s="1277" t="n"/>
      <c r="BV655" s="1277" t="n"/>
      <c r="BW655" s="1277" t="n"/>
      <c r="BX655" s="1277" t="n"/>
      <c r="BY655" s="1297" t="n"/>
      <c r="BZ655" s="1297" t="n"/>
      <c r="CA655" s="1297" t="n"/>
      <c r="CB655" s="1297" t="n"/>
      <c r="CC655" s="1280" t="n"/>
    </row>
    <row r="656" hidden="1" outlineLevel="1" ht="14.4" customFormat="1" customHeight="1" s="1275">
      <c r="A656" s="1295" t="inlineStr">
        <is>
          <t>Decrease in noncontrolling interests</t>
        </is>
      </c>
      <c r="B656" s="1387" t="n"/>
      <c r="C656" s="1299" t="n">
        <v>-284.774</v>
      </c>
      <c r="D656" s="1299" t="n">
        <v>-130.083</v>
      </c>
      <c r="E656" s="1299" t="n">
        <v>-118.226</v>
      </c>
      <c r="F656" s="1299" t="n">
        <v>286.2</v>
      </c>
      <c r="G656" s="1299" t="n">
        <v>202.619</v>
      </c>
      <c r="H656" s="1298" t="n">
        <v>-29.574</v>
      </c>
      <c r="I656" s="1298" t="n">
        <v>-45.527</v>
      </c>
      <c r="J656" s="1298" t="n">
        <v>-58.571</v>
      </c>
      <c r="K656" s="1280">
        <f>L656</f>
        <v/>
      </c>
      <c r="L656" s="1299" t="n">
        <v>-66.735</v>
      </c>
      <c r="M656" s="1298" t="n">
        <v>-0.179</v>
      </c>
      <c r="N656" s="1298" t="n">
        <v>-42.719</v>
      </c>
      <c r="O656" s="1298" t="n">
        <v>-42.719</v>
      </c>
      <c r="P656" s="1280">
        <f>Q656</f>
        <v/>
      </c>
      <c r="Q656" s="1299" t="n">
        <v>-50.218</v>
      </c>
      <c r="R656" s="1298" t="n">
        <v>0</v>
      </c>
      <c r="S656" s="1298" t="n">
        <v>-0.509</v>
      </c>
      <c r="T656" s="1298" t="n">
        <v>-231.666</v>
      </c>
      <c r="U656" s="1280">
        <f>V656</f>
        <v/>
      </c>
      <c r="V656" s="1299" t="n">
        <v>-235.733</v>
      </c>
      <c r="W656" s="1298" t="n">
        <v>0</v>
      </c>
      <c r="X656" s="1298" t="n">
        <v>-0.524</v>
      </c>
      <c r="Y656" s="1298" t="n">
        <v>-114.624</v>
      </c>
      <c r="Z656" s="1280">
        <f>AA656</f>
        <v/>
      </c>
      <c r="AA656" s="1299" t="n">
        <v>-113.675</v>
      </c>
      <c r="AB656" s="1298" t="n">
        <v>-1.135</v>
      </c>
      <c r="AC656" s="1298" t="n">
        <v>-1.135</v>
      </c>
      <c r="AD656" s="1298" t="n">
        <v>-77.202</v>
      </c>
      <c r="AE656" s="1280">
        <f>AF656</f>
        <v/>
      </c>
      <c r="AF656" s="1299" t="n">
        <v>-77.413</v>
      </c>
      <c r="AG656" s="1298" t="n">
        <v>0.03</v>
      </c>
      <c r="AH656" s="1298" t="n">
        <v>0.03</v>
      </c>
      <c r="AI656" s="1298" t="n">
        <v>-76.053</v>
      </c>
      <c r="AJ656" s="1280">
        <f>AK656</f>
        <v/>
      </c>
      <c r="AK656" s="1299" t="n">
        <v>-75.869</v>
      </c>
      <c r="AL656" s="1298" t="n">
        <v>0</v>
      </c>
      <c r="AM656" s="1277" t="n"/>
      <c r="AN656" s="1277" t="n"/>
      <c r="AO656" s="1280">
        <f>AP656</f>
        <v/>
      </c>
      <c r="AP656" s="1297" t="n"/>
      <c r="AQ656" s="1298" t="n">
        <v>0.155</v>
      </c>
      <c r="AR656" s="1298" t="n">
        <v>0.155</v>
      </c>
      <c r="AS656" s="1298" t="n">
        <v>-115.951</v>
      </c>
      <c r="AT656" s="1280">
        <f>AU656</f>
        <v/>
      </c>
      <c r="AU656" s="1299" t="n">
        <v>-115.015</v>
      </c>
      <c r="AV656" s="1298" t="n">
        <v>4605.765</v>
      </c>
      <c r="AW656" s="1298" t="n">
        <v>16438.934</v>
      </c>
      <c r="AX656" s="1298" t="n">
        <v>16264.358</v>
      </c>
      <c r="AY656" s="1280">
        <f>AZ656</f>
        <v/>
      </c>
      <c r="AZ656" s="1299" t="n">
        <v>16263.548</v>
      </c>
      <c r="BA656" s="1298" t="n">
        <v>3.988</v>
      </c>
      <c r="BB656" s="1298" t="n">
        <v>3073.165</v>
      </c>
      <c r="BC656" s="1298" t="n">
        <v>11046.506</v>
      </c>
      <c r="BD656" s="1280">
        <f>BE656</f>
        <v/>
      </c>
      <c r="BE656" s="1299" t="n">
        <v>11048.781</v>
      </c>
      <c r="BF656" s="1298" t="n">
        <v>6535.642</v>
      </c>
      <c r="BG656" s="1298" t="n">
        <v>6536.884</v>
      </c>
      <c r="BH656" s="1298" t="n">
        <v>7591.192</v>
      </c>
      <c r="BI656" s="1280">
        <f>BJ656</f>
        <v/>
      </c>
      <c r="BJ656" s="1299" t="n">
        <v>12177.547</v>
      </c>
      <c r="BK656" s="1298" t="n">
        <v>1609.845</v>
      </c>
      <c r="BL656" s="1298" t="n">
        <v>3225.673</v>
      </c>
      <c r="BM656" s="1298" t="n">
        <v>4233.246</v>
      </c>
      <c r="BN656" s="1280">
        <f>BO656</f>
        <v/>
      </c>
      <c r="BO656" s="1382" t="n"/>
      <c r="BP656" s="1277" t="n"/>
      <c r="BQ656" s="1277" t="n"/>
      <c r="BR656" s="1277" t="n"/>
      <c r="BS656" s="1277" t="n"/>
      <c r="BT656" s="1297" t="n"/>
      <c r="BU656" s="1277" t="n"/>
      <c r="BV656" s="1277" t="n"/>
      <c r="BW656" s="1277" t="n"/>
      <c r="BX656" s="1277" t="n"/>
      <c r="BY656" s="1297" t="n"/>
      <c r="BZ656" s="1297" t="n"/>
      <c r="CA656" s="1297" t="n"/>
      <c r="CB656" s="1297" t="n"/>
      <c r="CC656" s="1280" t="n"/>
    </row>
    <row r="657" hidden="1" outlineLevel="1" ht="14.4" customFormat="1" customHeight="1" s="1275">
      <c r="A657" s="1460" t="inlineStr">
        <is>
          <t>Other</t>
        </is>
      </c>
      <c r="B657" s="1389" t="n"/>
      <c r="C657" s="1364" t="n"/>
      <c r="D657" s="1364" t="n"/>
      <c r="E657" s="1364" t="n"/>
      <c r="F657" s="1364" t="n"/>
      <c r="G657" s="1364" t="n"/>
      <c r="H657" s="1365" t="n"/>
      <c r="I657" s="1365" t="n"/>
      <c r="J657" s="1365" t="n"/>
      <c r="K657" s="1365" t="n"/>
      <c r="L657" s="1364" t="n"/>
      <c r="M657" s="1365" t="n"/>
      <c r="N657" s="1365" t="n"/>
      <c r="O657" s="1365" t="n"/>
      <c r="P657" s="1365" t="n"/>
      <c r="Q657" s="1364" t="n"/>
      <c r="R657" s="1365" t="n"/>
      <c r="S657" s="1365" t="n"/>
      <c r="T657" s="1365" t="n"/>
      <c r="U657" s="1365" t="n"/>
      <c r="V657" s="1364" t="n"/>
      <c r="W657" s="1365" t="n"/>
      <c r="X657" s="1365" t="n"/>
      <c r="Y657" s="1365" t="n"/>
      <c r="Z657" s="1365" t="n"/>
      <c r="AA657" s="1364" t="n"/>
      <c r="AB657" s="1365" t="n"/>
      <c r="AC657" s="1365" t="n"/>
      <c r="AD657" s="1365" t="n"/>
      <c r="AE657" s="1464">
        <f>AF657</f>
        <v/>
      </c>
      <c r="AF657" s="1364" t="n"/>
      <c r="AG657" s="1365" t="n"/>
      <c r="AH657" s="1365" t="n"/>
      <c r="AI657" s="1365" t="n"/>
      <c r="AJ657" s="1365" t="n"/>
      <c r="AK657" s="1364" t="n"/>
      <c r="AL657" s="1365" t="n"/>
      <c r="AM657" s="1365" t="n"/>
      <c r="AN657" s="1365" t="n"/>
      <c r="AO657" s="1280">
        <f>AP657</f>
        <v/>
      </c>
      <c r="AP657" s="1364" t="n"/>
      <c r="AQ657" s="1365" t="n"/>
      <c r="AR657" s="1365" t="n"/>
      <c r="AS657" s="1365" t="n"/>
      <c r="AT657" s="1280">
        <f>AU657</f>
        <v/>
      </c>
      <c r="AU657" s="1364" t="n"/>
      <c r="AV657" s="1365" t="n"/>
      <c r="AW657" s="1365" t="n"/>
      <c r="AX657" s="1365" t="n"/>
      <c r="AY657" s="1280">
        <f>AZ657</f>
        <v/>
      </c>
      <c r="AZ657" s="1364" t="n"/>
      <c r="BA657" s="1365" t="n"/>
      <c r="BB657" s="1365" t="n"/>
      <c r="BC657" s="1365" t="n"/>
      <c r="BD657" s="1280">
        <f>BE657</f>
        <v/>
      </c>
      <c r="BE657" s="1364" t="n"/>
      <c r="BF657" s="1365" t="n"/>
      <c r="BG657" s="1365" t="n"/>
      <c r="BH657" s="1365" t="n"/>
      <c r="BI657" s="1280">
        <f>BJ657</f>
        <v/>
      </c>
      <c r="BJ657" s="1364" t="n"/>
      <c r="BK657" s="1365" t="n"/>
      <c r="BL657" s="1365" t="n"/>
      <c r="BM657" s="1365" t="n"/>
      <c r="BN657" s="1280">
        <f>BO657</f>
        <v/>
      </c>
      <c r="BO657" s="1579" t="n">
        <v>4690</v>
      </c>
      <c r="BP657" s="1365" t="n"/>
      <c r="BQ657" s="1365" t="n"/>
      <c r="BR657" s="1365" t="n"/>
      <c r="BS657" s="1365" t="n"/>
      <c r="BT657" s="1364" t="n"/>
      <c r="BU657" s="1365" t="n"/>
      <c r="BV657" s="1365" t="n"/>
      <c r="BW657" s="1365" t="n"/>
      <c r="BX657" s="1365" t="n"/>
      <c r="BY657" s="1364" t="n"/>
      <c r="BZ657" s="1364" t="n"/>
      <c r="CA657" s="1364" t="n"/>
      <c r="CB657" s="1364" t="n"/>
      <c r="CC657" s="1280" t="n"/>
    </row>
    <row r="658" hidden="1" outlineLevel="1" ht="14.4" customFormat="1" customHeight="1" s="1323">
      <c r="A658" s="1324" t="inlineStr">
        <is>
          <t>Net CFF</t>
        </is>
      </c>
      <c r="B658" s="1393" t="n"/>
      <c r="C658" s="1329">
        <f>SUM(C635:C657)</f>
        <v/>
      </c>
      <c r="D658" s="1329">
        <f>SUM(D635:D657)</f>
        <v/>
      </c>
      <c r="E658" s="1329">
        <f>SUM(E635:E657)</f>
        <v/>
      </c>
      <c r="F658" s="1329">
        <f>SUM(F635:F657)</f>
        <v/>
      </c>
      <c r="G658" s="1329">
        <f>SUM(G635:G657)</f>
        <v/>
      </c>
      <c r="H658" s="1328">
        <f>SUM(H635:H657)</f>
        <v/>
      </c>
      <c r="I658" s="1328">
        <f>SUM(I635:I657)</f>
        <v/>
      </c>
      <c r="J658" s="1328">
        <f>SUM(J635:J657)</f>
        <v/>
      </c>
      <c r="K658" s="1328">
        <f>SUM(K635:K657)</f>
        <v/>
      </c>
      <c r="L658" s="1329">
        <f>SUM(L635:L657)</f>
        <v/>
      </c>
      <c r="M658" s="1328">
        <f>SUM(M635:M657)</f>
        <v/>
      </c>
      <c r="N658" s="1328">
        <f>SUM(N635:N657)</f>
        <v/>
      </c>
      <c r="O658" s="1328">
        <f>SUM(O635:O657)</f>
        <v/>
      </c>
      <c r="P658" s="1328">
        <f>SUM(P635:P657)</f>
        <v/>
      </c>
      <c r="Q658" s="1329">
        <f>SUM(Q635:Q657)</f>
        <v/>
      </c>
      <c r="R658" s="1328">
        <f>SUM(R635:R657)</f>
        <v/>
      </c>
      <c r="S658" s="1328">
        <f>SUM(S635:S657)</f>
        <v/>
      </c>
      <c r="T658" s="1328">
        <f>SUM(T635:T657)</f>
        <v/>
      </c>
      <c r="U658" s="1328">
        <f>SUM(U635:U657)</f>
        <v/>
      </c>
      <c r="V658" s="1329">
        <f>SUM(V635:V657)</f>
        <v/>
      </c>
      <c r="W658" s="1328">
        <f>SUM(W635:W657)</f>
        <v/>
      </c>
      <c r="X658" s="1328">
        <f>SUM(X635:X657)</f>
        <v/>
      </c>
      <c r="Y658" s="1328">
        <f>SUM(Y635:Y657)</f>
        <v/>
      </c>
      <c r="Z658" s="1328">
        <f>SUM(Z635:Z657)</f>
        <v/>
      </c>
      <c r="AA658" s="1329">
        <f>SUM(AA635:AA657)</f>
        <v/>
      </c>
      <c r="AB658" s="1328">
        <f>SUM(AB635:AB657)</f>
        <v/>
      </c>
      <c r="AC658" s="1328">
        <f>SUM(AC635:AC657)</f>
        <v/>
      </c>
      <c r="AD658" s="1328">
        <f>SUM(AD635:AD657)</f>
        <v/>
      </c>
      <c r="AE658" s="1328">
        <f>SUM(AE635:AE657)</f>
        <v/>
      </c>
      <c r="AF658" s="1329">
        <f>SUM(AF635:AF657)</f>
        <v/>
      </c>
      <c r="AG658" s="1328">
        <f>SUM(AG635:AG657)</f>
        <v/>
      </c>
      <c r="AH658" s="1328">
        <f>SUM(AH635:AH657)</f>
        <v/>
      </c>
      <c r="AI658" s="1328">
        <f>SUM(AI635:AI657)</f>
        <v/>
      </c>
      <c r="AJ658" s="1328">
        <f>SUM(AJ635:AJ657)</f>
        <v/>
      </c>
      <c r="AK658" s="1329">
        <f>SUM(AK635:AK657)</f>
        <v/>
      </c>
      <c r="AL658" s="1328">
        <f>SUM(AL635:AL657)</f>
        <v/>
      </c>
      <c r="AM658" s="1328">
        <f>SUM(AM635:AM657)</f>
        <v/>
      </c>
      <c r="AN658" s="1328">
        <f>SUM(AN635:AN657)</f>
        <v/>
      </c>
      <c r="AO658" s="1328">
        <f>SUM(AO635:AO657)</f>
        <v/>
      </c>
      <c r="AP658" s="1329">
        <f>SUM(AP635:AP657)</f>
        <v/>
      </c>
      <c r="AQ658" s="1328">
        <f>SUM(AQ635:AQ657)</f>
        <v/>
      </c>
      <c r="AR658" s="1328">
        <f>SUM(AR635:AR657)</f>
        <v/>
      </c>
      <c r="AS658" s="1328">
        <f>SUM(AS635:AS657)</f>
        <v/>
      </c>
      <c r="AT658" s="1328">
        <f>SUM(AT635:AT657)</f>
        <v/>
      </c>
      <c r="AU658" s="1329">
        <f>SUM(AU635:AU657)</f>
        <v/>
      </c>
      <c r="AV658" s="1328">
        <f>SUM(AV635:AV657)</f>
        <v/>
      </c>
      <c r="AW658" s="1328">
        <f>SUM(AW635:AW657)</f>
        <v/>
      </c>
      <c r="AX658" s="1328">
        <f>SUM(AX635:AX657)</f>
        <v/>
      </c>
      <c r="AY658" s="1328">
        <f>SUM(AY635:AY657)</f>
        <v/>
      </c>
      <c r="AZ658" s="1329">
        <f>SUM(AZ635:AZ657)</f>
        <v/>
      </c>
      <c r="BA658" s="1328">
        <f>SUM(BA635:BA657)</f>
        <v/>
      </c>
      <c r="BB658" s="1328">
        <f>SUM(BB635:BB657)</f>
        <v/>
      </c>
      <c r="BC658" s="1327">
        <f>SUM(BC635:BC657)</f>
        <v/>
      </c>
      <c r="BD658" s="1328">
        <f>SUM(BD635:BD657)</f>
        <v/>
      </c>
      <c r="BE658" s="1329">
        <f>SUM(BE635:BE657)</f>
        <v/>
      </c>
      <c r="BF658" s="1328">
        <f>SUM(BF635:BF657)</f>
        <v/>
      </c>
      <c r="BG658" s="1328">
        <f>SUM(BG635:BG657)</f>
        <v/>
      </c>
      <c r="BH658" s="1327">
        <f>SUM(BH635:BH657)</f>
        <v/>
      </c>
      <c r="BI658" s="1328">
        <f>SUM(BI635:BI657)</f>
        <v/>
      </c>
      <c r="BJ658" s="1329">
        <f>SUM(BJ635:BJ657)</f>
        <v/>
      </c>
      <c r="BK658" s="1328">
        <f>SUM(BK635:BK657)</f>
        <v/>
      </c>
      <c r="BL658" s="1328">
        <f>SUM(BL635:BL657)</f>
        <v/>
      </c>
      <c r="BM658" s="1327">
        <f>SUM(BM635:BM657)</f>
        <v/>
      </c>
      <c r="BN658" s="1328">
        <f>SUM(BN635:BN657)</f>
        <v/>
      </c>
      <c r="BO658" s="1330">
        <f>SUM(BO635:BO657)</f>
        <v/>
      </c>
      <c r="BP658" s="1327" t="n"/>
      <c r="BQ658" s="1327" t="n"/>
      <c r="BR658" s="1327" t="n"/>
      <c r="BS658" s="1327" t="n"/>
      <c r="BT658" s="1326" t="n"/>
      <c r="BU658" s="1327" t="n"/>
      <c r="BV658" s="1327" t="n"/>
      <c r="BW658" s="1327" t="n"/>
      <c r="BX658" s="1327" t="n"/>
      <c r="BY658" s="1326" t="n"/>
      <c r="BZ658" s="1326" t="n"/>
      <c r="CA658" s="1326" t="n"/>
      <c r="CB658" s="1326" t="n"/>
      <c r="CC658" s="1331" t="n"/>
    </row>
    <row r="659" hidden="1" outlineLevel="1" ht="14.4" customFormat="1" customHeight="1" s="1323">
      <c r="A659" s="1344" t="n"/>
      <c r="B659" s="1394" t="n"/>
      <c r="C659" s="1345" t="n"/>
      <c r="D659" s="1345" t="n"/>
      <c r="E659" s="1345" t="n"/>
      <c r="F659" s="1345" t="n"/>
      <c r="G659" s="1345" t="n"/>
      <c r="H659" s="1346" t="n"/>
      <c r="I659" s="1346" t="n"/>
      <c r="J659" s="1346" t="n"/>
      <c r="K659" s="1346" t="n"/>
      <c r="L659" s="1345" t="n"/>
      <c r="M659" s="1346" t="n"/>
      <c r="N659" s="1346" t="n"/>
      <c r="O659" s="1346" t="n"/>
      <c r="P659" s="1346" t="n"/>
      <c r="Q659" s="1345" t="n"/>
      <c r="R659" s="1346" t="n"/>
      <c r="S659" s="1346" t="n"/>
      <c r="T659" s="1346" t="n"/>
      <c r="U659" s="1346" t="n"/>
      <c r="V659" s="1345" t="n"/>
      <c r="W659" s="1346" t="n"/>
      <c r="X659" s="1346" t="n"/>
      <c r="Y659" s="1346" t="n"/>
      <c r="Z659" s="1346" t="n"/>
      <c r="AA659" s="1345" t="n"/>
      <c r="AB659" s="1346" t="n"/>
      <c r="AC659" s="1346" t="n"/>
      <c r="AD659" s="1346" t="n"/>
      <c r="AE659" s="1346" t="n"/>
      <c r="AF659" s="1345" t="n"/>
      <c r="AG659" s="1346" t="n"/>
      <c r="AH659" s="1346" t="n"/>
      <c r="AI659" s="1346" t="n"/>
      <c r="AJ659" s="1346" t="n"/>
      <c r="AK659" s="1345" t="n"/>
      <c r="AL659" s="1346" t="n"/>
      <c r="AM659" s="1346" t="n"/>
      <c r="AN659" s="1346" t="n"/>
      <c r="AO659" s="1346" t="n"/>
      <c r="AP659" s="1345" t="n"/>
      <c r="AQ659" s="1346" t="n"/>
      <c r="AR659" s="1346" t="n"/>
      <c r="AS659" s="1346" t="n"/>
      <c r="AT659" s="1346" t="n"/>
      <c r="AU659" s="1345" t="n"/>
      <c r="AV659" s="1346" t="n"/>
      <c r="AW659" s="1346" t="n"/>
      <c r="AX659" s="1346" t="n"/>
      <c r="AY659" s="1346" t="n"/>
      <c r="AZ659" s="1345" t="n"/>
      <c r="BA659" s="1346" t="n"/>
      <c r="BB659" s="1346" t="n"/>
      <c r="BC659" s="1346" t="n"/>
      <c r="BD659" s="1346" t="n"/>
      <c r="BE659" s="1345" t="n"/>
      <c r="BF659" s="1346" t="n"/>
      <c r="BG659" s="1346" t="n"/>
      <c r="BH659" s="1346" t="n"/>
      <c r="BI659" s="1346" t="n"/>
      <c r="BJ659" s="1345" t="n"/>
      <c r="BK659" s="1346" t="n"/>
      <c r="BL659" s="1346" t="n"/>
      <c r="BM659" s="1346" t="n"/>
      <c r="BN659" s="1346" t="n"/>
      <c r="BO659" s="1347" t="n"/>
      <c r="BP659" s="1346" t="n"/>
      <c r="BQ659" s="1346" t="n"/>
      <c r="BR659" s="1346" t="n"/>
      <c r="BS659" s="1346" t="n"/>
      <c r="BT659" s="1297" t="n"/>
      <c r="BU659" s="1346" t="n"/>
      <c r="BV659" s="1346" t="n"/>
      <c r="BW659" s="1346" t="n"/>
      <c r="BX659" s="1346" t="n"/>
      <c r="BY659" s="1297" t="n"/>
      <c r="BZ659" s="1297" t="n"/>
      <c r="CA659" s="1297" t="n"/>
      <c r="CB659" s="1297" t="n"/>
      <c r="CC659" s="1331" t="n"/>
    </row>
    <row r="660" hidden="1" outlineLevel="1" ht="14.4" customFormat="1" customHeight="1" s="1275">
      <c r="A660" s="1776" t="inlineStr">
        <is>
          <t>Effect of Changes in Consolidated Entities</t>
        </is>
      </c>
      <c r="B660" s="1387" t="n"/>
      <c r="C660" s="1297" t="n"/>
      <c r="D660" s="1297" t="n"/>
      <c r="E660" s="1299" t="n">
        <v>-1472.581</v>
      </c>
      <c r="F660" s="1297" t="n"/>
      <c r="G660" s="1297" t="n"/>
      <c r="H660" s="1277" t="n"/>
      <c r="I660" s="1277" t="n"/>
      <c r="J660" s="1277" t="n"/>
      <c r="K660" s="1280">
        <f>L660</f>
        <v/>
      </c>
      <c r="L660" s="1299" t="n">
        <v>0</v>
      </c>
      <c r="M660" s="1277" t="n"/>
      <c r="N660" s="1277" t="n"/>
      <c r="O660" s="1277" t="n"/>
      <c r="P660" s="1280">
        <f>Q660</f>
        <v/>
      </c>
      <c r="Q660" s="1297" t="n"/>
      <c r="R660" s="1277" t="n"/>
      <c r="S660" s="1277" t="n"/>
      <c r="T660" s="1277" t="n"/>
      <c r="U660" s="1280">
        <f>V660</f>
        <v/>
      </c>
      <c r="V660" s="1297" t="n"/>
      <c r="W660" s="1277" t="n"/>
      <c r="X660" s="1277" t="n"/>
      <c r="Y660" s="1277" t="n"/>
      <c r="Z660" s="1280">
        <f>AA660</f>
        <v/>
      </c>
      <c r="AA660" s="1297" t="n"/>
      <c r="AB660" s="1277" t="n"/>
      <c r="AC660" s="1277" t="n"/>
      <c r="AD660" s="1277" t="n"/>
      <c r="AE660" s="1280">
        <f>AF660</f>
        <v/>
      </c>
      <c r="AF660" s="1297" t="n"/>
      <c r="AG660" s="1277" t="n"/>
      <c r="AH660" s="1277" t="n"/>
      <c r="AI660" s="1277" t="n"/>
      <c r="AJ660" s="1277" t="n"/>
      <c r="AK660" s="1297" t="n"/>
      <c r="AL660" s="1277" t="n"/>
      <c r="AM660" s="1277" t="n"/>
      <c r="AN660" s="1277" t="n"/>
      <c r="AO660" s="1277" t="n"/>
      <c r="AP660" s="1297" t="n"/>
      <c r="AQ660" s="1277" t="n"/>
      <c r="AR660" s="1277" t="n"/>
      <c r="AS660" s="1277" t="n"/>
      <c r="AT660" s="1277" t="n"/>
      <c r="AU660" s="1297" t="n"/>
      <c r="AV660" s="1277" t="n"/>
      <c r="AW660" s="1277" t="n"/>
      <c r="AX660" s="1277" t="n"/>
      <c r="AY660" s="1277" t="n"/>
      <c r="AZ660" s="1297" t="n"/>
      <c r="BA660" s="1277" t="n"/>
      <c r="BB660" s="1277" t="n"/>
      <c r="BC660" s="1277" t="n"/>
      <c r="BD660" s="1277" t="n"/>
      <c r="BE660" s="1297" t="n"/>
      <c r="BF660" s="1277" t="n"/>
      <c r="BG660" s="1277" t="n"/>
      <c r="BH660" s="1277" t="n"/>
      <c r="BI660" s="1277" t="n"/>
      <c r="BJ660" s="1297" t="n"/>
      <c r="BK660" s="1277" t="n"/>
      <c r="BL660" s="1277" t="n"/>
      <c r="BM660" s="1277" t="n"/>
      <c r="BN660" s="1277" t="n"/>
      <c r="BO660" s="1382" t="n"/>
      <c r="BP660" s="1277" t="n"/>
      <c r="BQ660" s="1277" t="n"/>
      <c r="BR660" s="1277" t="n"/>
      <c r="BS660" s="1277" t="n"/>
      <c r="BT660" s="1297" t="n"/>
      <c r="BU660" s="1277" t="n"/>
      <c r="BV660" s="1277" t="n"/>
      <c r="BW660" s="1277" t="n"/>
      <c r="BX660" s="1277" t="n"/>
      <c r="BY660" s="1297" t="n"/>
      <c r="BZ660" s="1297" t="n"/>
      <c r="CA660" s="1297" t="n"/>
      <c r="CB660" s="1297" t="n"/>
      <c r="CC660" s="1280" t="n"/>
    </row>
    <row r="661" hidden="1" outlineLevel="1" ht="14.4" customFormat="1" customHeight="1" s="1275">
      <c r="A661" s="1776" t="inlineStr">
        <is>
          <t>FX</t>
        </is>
      </c>
      <c r="B661" s="1387" t="n"/>
      <c r="C661" s="1299" t="n">
        <v>-1364.269</v>
      </c>
      <c r="D661" s="1299" t="n">
        <v>-2141.264</v>
      </c>
      <c r="E661" s="1299" t="n">
        <v>-147.682</v>
      </c>
      <c r="F661" s="1299" t="n">
        <v>-2118.327</v>
      </c>
      <c r="G661" s="1299" t="n">
        <v>849.612</v>
      </c>
      <c r="H661" s="1298" t="n">
        <v>2050.275</v>
      </c>
      <c r="I661" s="1298" t="n">
        <v>-194.504</v>
      </c>
      <c r="J661" s="1298" t="n">
        <v>2277.6</v>
      </c>
      <c r="K661" s="1280">
        <f>L661</f>
        <v/>
      </c>
      <c r="L661" s="1299" t="n">
        <v>9060.17</v>
      </c>
      <c r="M661" s="1298" t="n">
        <v>-1779.163</v>
      </c>
      <c r="N661" s="1298" t="n">
        <v>-3850.952</v>
      </c>
      <c r="O661" s="1298" t="n">
        <v>10109.235</v>
      </c>
      <c r="P661" s="1280">
        <f>Q661</f>
        <v/>
      </c>
      <c r="Q661" s="1299" t="n">
        <v>8258.851000000001</v>
      </c>
      <c r="R661" s="1298" t="n">
        <v>-6079.266</v>
      </c>
      <c r="S661" s="1298" t="n">
        <v>-5571.354</v>
      </c>
      <c r="T661" s="1298" t="n">
        <v>-14292.127</v>
      </c>
      <c r="U661" s="1280">
        <f>V661</f>
        <v/>
      </c>
      <c r="V661" s="1299" t="n">
        <v>-8029.812</v>
      </c>
      <c r="W661" s="1298" t="n">
        <v>-16396.433</v>
      </c>
      <c r="X661" s="1298" t="n">
        <v>-15196.478</v>
      </c>
      <c r="Y661" s="1298" t="n">
        <v>-15913.536</v>
      </c>
      <c r="Z661" s="1280">
        <f>AA661</f>
        <v/>
      </c>
      <c r="AA661" s="1299" t="n">
        <v>-21317.772</v>
      </c>
      <c r="AB661" s="1298" t="n">
        <v>-5248.235</v>
      </c>
      <c r="AC661" s="1298" t="n">
        <v>8847.221</v>
      </c>
      <c r="AD661" s="1298" t="n">
        <v>7174.829</v>
      </c>
      <c r="AE661" s="1280">
        <f>AF661</f>
        <v/>
      </c>
      <c r="AF661" s="1299" t="n">
        <v>9862.296</v>
      </c>
      <c r="AG661" s="1298" t="n">
        <v>1786.766</v>
      </c>
      <c r="AH661" s="1298" t="n">
        <v>3700.926</v>
      </c>
      <c r="AI661" s="1298" t="n">
        <v>2083.303</v>
      </c>
      <c r="AJ661" s="1280">
        <f>AK661</f>
        <v/>
      </c>
      <c r="AK661" s="1299" t="n">
        <v>-9114.196</v>
      </c>
      <c r="AL661" s="1298" t="n">
        <v>2099.13</v>
      </c>
      <c r="AM661" s="1298" t="n">
        <v>-7561.504</v>
      </c>
      <c r="AN661" s="1298" t="n">
        <v>-12505.458</v>
      </c>
      <c r="AO661" s="1280">
        <f>AP661</f>
        <v/>
      </c>
      <c r="AP661" s="1299" t="n">
        <v>-23498.1</v>
      </c>
      <c r="AQ661" s="1298" t="n">
        <v>6374.461</v>
      </c>
      <c r="AR661" s="1298" t="n">
        <v>-3090.49</v>
      </c>
      <c r="AS661" s="1298" t="n">
        <v>-3621.935</v>
      </c>
      <c r="AT661" s="1280">
        <f>AU661</f>
        <v/>
      </c>
      <c r="AU661" s="1299" t="n">
        <v>-7583.752</v>
      </c>
      <c r="AV661" s="1298" t="n">
        <v>21589.745</v>
      </c>
      <c r="AW661" s="1298" t="n">
        <v>41191.519</v>
      </c>
      <c r="AX661" s="1298" t="n">
        <v>86114.01700000001</v>
      </c>
      <c r="AY661" s="1280">
        <f>AZ661</f>
        <v/>
      </c>
      <c r="AZ661" s="1299" t="n">
        <v>58396.97</v>
      </c>
      <c r="BA661" s="1298" t="n">
        <v>-6107.193</v>
      </c>
      <c r="BB661" s="1298" t="n">
        <v>4050.963</v>
      </c>
      <c r="BC661" s="1298" t="n">
        <v>25182.665</v>
      </c>
      <c r="BD661" s="1280">
        <f>BE661</f>
        <v/>
      </c>
      <c r="BE661" s="1299" t="n">
        <v>-8338.829</v>
      </c>
      <c r="BF661" s="1298" t="n">
        <v>27949.451</v>
      </c>
      <c r="BG661" s="1298" t="n">
        <v>39064.801</v>
      </c>
      <c r="BH661" s="1298" t="n">
        <v>13873.746</v>
      </c>
      <c r="BI661" s="1280">
        <f>BJ661</f>
        <v/>
      </c>
      <c r="BJ661" s="1299" t="n">
        <v>47165.901</v>
      </c>
      <c r="BK661" s="1298" t="n">
        <v>16461.553</v>
      </c>
      <c r="BL661" s="1298" t="n">
        <v>-162693.534</v>
      </c>
      <c r="BM661" s="1298" t="n">
        <v>-95241.82799999999</v>
      </c>
      <c r="BN661" s="1280">
        <f>BO661</f>
        <v/>
      </c>
      <c r="BO661" s="1645" t="n">
        <v>-50008</v>
      </c>
      <c r="BP661" s="1277" t="n"/>
      <c r="BQ661" s="1277" t="n"/>
      <c r="BR661" s="1277" t="n"/>
      <c r="BS661" s="1277" t="n"/>
      <c r="BT661" s="1297" t="n"/>
      <c r="BU661" s="1277" t="n"/>
      <c r="BV661" s="1277" t="n"/>
      <c r="BW661" s="1277" t="n"/>
      <c r="BX661" s="1277" t="n"/>
      <c r="BY661" s="1297" t="n"/>
      <c r="BZ661" s="1297" t="n"/>
      <c r="CA661" s="1297" t="n"/>
      <c r="CB661" s="1297" t="n"/>
      <c r="CC661" s="1280" t="n"/>
    </row>
    <row r="662" hidden="1" outlineLevel="1" ht="14.4" customFormat="1" customHeight="1" s="1323">
      <c r="A662" s="1577" t="inlineStr">
        <is>
          <t>Net Change in Cash Balance</t>
        </is>
      </c>
      <c r="B662" s="1394" t="n"/>
      <c r="C662" s="1593">
        <f>C658+C632+C588+C661+C660</f>
        <v/>
      </c>
      <c r="D662" s="1593">
        <f>D658+D632+D588+D661+D660</f>
        <v/>
      </c>
      <c r="E662" s="1593">
        <f>E658+E632+E588+E661+E660</f>
        <v/>
      </c>
      <c r="F662" s="1593">
        <f>F658+F632+F588+F661+F660</f>
        <v/>
      </c>
      <c r="G662" s="1593">
        <f>G658+G632+G588+G661+G660</f>
        <v/>
      </c>
      <c r="H662" s="1331">
        <f>H658+H632+H588+H661+H660</f>
        <v/>
      </c>
      <c r="I662" s="1331">
        <f>I658+I632+I588+I661+I660</f>
        <v/>
      </c>
      <c r="J662" s="1331">
        <f>J658+J632+J588+J661+J660</f>
        <v/>
      </c>
      <c r="K662" s="1331">
        <f>K658+K632+K588+K661+K660</f>
        <v/>
      </c>
      <c r="L662" s="1593">
        <f>L658+L632+L588+L661+L660</f>
        <v/>
      </c>
      <c r="M662" s="1331">
        <f>M658+M632+M588+M661+M660</f>
        <v/>
      </c>
      <c r="N662" s="1331">
        <f>N658+N632+N588+N661+N660</f>
        <v/>
      </c>
      <c r="O662" s="1331">
        <f>O658+O632+O588+O661+O660</f>
        <v/>
      </c>
      <c r="P662" s="1331">
        <f>P658+P632+P588+P661+P660</f>
        <v/>
      </c>
      <c r="Q662" s="1593">
        <f>Q658+Q632+Q588+Q661+Q660</f>
        <v/>
      </c>
      <c r="R662" s="1331">
        <f>R658+R632+R588+R661+R660</f>
        <v/>
      </c>
      <c r="S662" s="1331">
        <f>S658+S632+S588+S661+S660</f>
        <v/>
      </c>
      <c r="T662" s="1331">
        <f>T658+T632+T588+T661+T660</f>
        <v/>
      </c>
      <c r="U662" s="1331">
        <f>U658+U632+U588+U661+U660</f>
        <v/>
      </c>
      <c r="V662" s="1593">
        <f>V658+V632+V588+V661+V660</f>
        <v/>
      </c>
      <c r="W662" s="1331">
        <f>W658+W632+W588+W661+W660</f>
        <v/>
      </c>
      <c r="X662" s="1331">
        <f>X658+X632+X588+X661+X660</f>
        <v/>
      </c>
      <c r="Y662" s="1331">
        <f>Y658+Y632+Y588+Y661+Y660</f>
        <v/>
      </c>
      <c r="Z662" s="1331">
        <f>Z658+Z632+Z588+Z661+Z660</f>
        <v/>
      </c>
      <c r="AA662" s="1593">
        <f>AA658+AA632+AA588+AA661+AA660</f>
        <v/>
      </c>
      <c r="AB662" s="1331">
        <f>AB658+AB632+AB588+AB661+AB660</f>
        <v/>
      </c>
      <c r="AC662" s="1331">
        <f>AC658+AC632+AC588+AC661+AC660</f>
        <v/>
      </c>
      <c r="AD662" s="1331">
        <f>AD658+AD632+AD588+AD661+AD660</f>
        <v/>
      </c>
      <c r="AE662" s="1331">
        <f>AE658+AE632+AE588+AE661+AE660</f>
        <v/>
      </c>
      <c r="AF662" s="1593">
        <f>AF658+AF632+AF588+AF661+AF660</f>
        <v/>
      </c>
      <c r="AG662" s="1331">
        <f>AG658+AG632+AG588+AG661+AG660</f>
        <v/>
      </c>
      <c r="AH662" s="1331">
        <f>AH658+AH632+AH588+AH661+AH660</f>
        <v/>
      </c>
      <c r="AI662" s="1331">
        <f>AI658+AI632+AI588+AI661+AI660</f>
        <v/>
      </c>
      <c r="AJ662" s="1331">
        <f>AJ658+AJ632+AJ588+AJ661+AJ660</f>
        <v/>
      </c>
      <c r="AK662" s="1593">
        <f>AK658+AK632+AK588+AK661+AK660</f>
        <v/>
      </c>
      <c r="AL662" s="1331">
        <f>AL658+AL632+AL588+AL661+AL660</f>
        <v/>
      </c>
      <c r="AM662" s="1331">
        <f>AM658+AM632+AM588+AM661+AM660</f>
        <v/>
      </c>
      <c r="AN662" s="1331">
        <f>AN658+AN632+AN588+AN661+AN660</f>
        <v/>
      </c>
      <c r="AO662" s="1331">
        <f>AO658+AO632+AO588+AO661+AO660</f>
        <v/>
      </c>
      <c r="AP662" s="1593">
        <f>AP658+AP632+AP588+AP661+AP660</f>
        <v/>
      </c>
      <c r="AQ662" s="1331">
        <f>AQ658+AQ632+AQ588+AQ661+AQ660</f>
        <v/>
      </c>
      <c r="AR662" s="1331">
        <f>AR658+AR632+AR588+AR661+AR660</f>
        <v/>
      </c>
      <c r="AS662" s="1331">
        <f>AS658+AS632+AS588+AS661+AS660</f>
        <v/>
      </c>
      <c r="AT662" s="1331">
        <f>AT658+AT632+AT588+AT661+AT660</f>
        <v/>
      </c>
      <c r="AU662" s="1593">
        <f>AU658+AU632+AU588+AU661+AU660</f>
        <v/>
      </c>
      <c r="AV662" s="1331">
        <f>AV658+AV632+AV588+AV661+AV660</f>
        <v/>
      </c>
      <c r="AW662" s="1331">
        <f>AW658+AW632+AW588+AW661+AW660</f>
        <v/>
      </c>
      <c r="AX662" s="1331">
        <f>AX658+AX632+AX588+AX661+AX660</f>
        <v/>
      </c>
      <c r="AY662" s="1331">
        <f>AY658+AY632+AY588+AY661+AY660</f>
        <v/>
      </c>
      <c r="AZ662" s="1593">
        <f>AZ658+AZ632+AZ588+AZ661+AZ660</f>
        <v/>
      </c>
      <c r="BA662" s="1331">
        <f>BA658+BA632+BA588+BA661+BA660</f>
        <v/>
      </c>
      <c r="BB662" s="1331">
        <f>BB658+BB632+BB588+BB661+BB660</f>
        <v/>
      </c>
      <c r="BC662" s="1346">
        <f>BC658+BC632+BC588+BC661+BC660</f>
        <v/>
      </c>
      <c r="BD662" s="1331">
        <f>BD658+BD632+BD588+BD661+BD660</f>
        <v/>
      </c>
      <c r="BE662" s="1593">
        <f>BE658+BE632+BE588+BE661+BE660</f>
        <v/>
      </c>
      <c r="BF662" s="1331">
        <f>BF658+BF632+BF588+BF661+BF660</f>
        <v/>
      </c>
      <c r="BG662" s="1331">
        <f>BG658+BG632+BG588+BG661+BG660</f>
        <v/>
      </c>
      <c r="BH662" s="1346">
        <f>BH658+BH632+BH588+BH661+BH660</f>
        <v/>
      </c>
      <c r="BI662" s="1331">
        <f>BI658+BI632+BI588+BI661+BI660</f>
        <v/>
      </c>
      <c r="BJ662" s="1593">
        <f>BJ658+BJ632+BJ588+BJ661+BJ660</f>
        <v/>
      </c>
      <c r="BK662" s="1331">
        <f>BK658+BK632+BK588+BK661+BK660</f>
        <v/>
      </c>
      <c r="BL662" s="1331">
        <f>BL658+BL632+BL588+BL661+BL660</f>
        <v/>
      </c>
      <c r="BM662" s="1346">
        <f>BM658+BM632+BM588+BM661+BM660</f>
        <v/>
      </c>
      <c r="BN662" s="1331">
        <f>BN658+BN632+BN588+BN661+BN660</f>
        <v/>
      </c>
      <c r="BO662" s="1578">
        <f>BO658+BO632+BO588+BO661+BO660</f>
        <v/>
      </c>
      <c r="BP662" s="1346" t="n"/>
      <c r="BQ662" s="1346" t="n"/>
      <c r="BR662" s="1346" t="n"/>
      <c r="BS662" s="1346" t="n"/>
      <c r="BT662" s="1345" t="n"/>
      <c r="BU662" s="1346" t="n"/>
      <c r="BV662" s="1346" t="n"/>
      <c r="BW662" s="1346" t="n"/>
      <c r="BX662" s="1346" t="n"/>
      <c r="BY662" s="1345" t="n"/>
      <c r="BZ662" s="1345" t="n"/>
      <c r="CA662" s="1345" t="n"/>
      <c r="CB662" s="1345" t="n"/>
      <c r="CC662" s="1331" t="n"/>
    </row>
    <row r="663" hidden="1" outlineLevel="1" ht="14.4" customFormat="1" customHeight="1" s="1323">
      <c r="A663" s="1344" t="n"/>
      <c r="B663" s="1394" t="n"/>
      <c r="C663" s="1345" t="n"/>
      <c r="D663" s="1345" t="n"/>
      <c r="E663" s="1345" t="n"/>
      <c r="F663" s="1345" t="n"/>
      <c r="G663" s="1345" t="n"/>
      <c r="H663" s="1346" t="n"/>
      <c r="I663" s="1346" t="n"/>
      <c r="J663" s="1346" t="n"/>
      <c r="K663" s="1346" t="n"/>
      <c r="L663" s="1345" t="n"/>
      <c r="M663" s="1346" t="n"/>
      <c r="N663" s="1346" t="n"/>
      <c r="O663" s="1346" t="n"/>
      <c r="P663" s="1346" t="n"/>
      <c r="Q663" s="1345" t="n"/>
      <c r="R663" s="1346" t="n"/>
      <c r="S663" s="1346" t="n"/>
      <c r="T663" s="1346" t="n"/>
      <c r="U663" s="1346" t="n"/>
      <c r="V663" s="1345" t="n"/>
      <c r="W663" s="1346" t="n"/>
      <c r="X663" s="1346" t="n"/>
      <c r="Y663" s="1346" t="n"/>
      <c r="Z663" s="1346" t="n"/>
      <c r="AA663" s="1345" t="n"/>
      <c r="AB663" s="1346" t="n"/>
      <c r="AC663" s="1346" t="n"/>
      <c r="AD663" s="1346" t="n"/>
      <c r="AE663" s="1346" t="n"/>
      <c r="AF663" s="1345" t="n"/>
      <c r="AG663" s="1346" t="n"/>
      <c r="AH663" s="1346" t="n"/>
      <c r="AI663" s="1346" t="n"/>
      <c r="AJ663" s="1346" t="n"/>
      <c r="AK663" s="1345" t="n"/>
      <c r="AL663" s="1346" t="n"/>
      <c r="AM663" s="1346" t="n"/>
      <c r="AN663" s="1346" t="n"/>
      <c r="AO663" s="1346" t="n"/>
      <c r="AP663" s="1345" t="n"/>
      <c r="AQ663" s="1346" t="n"/>
      <c r="AR663" s="1346" t="n"/>
      <c r="AS663" s="1346" t="n"/>
      <c r="AT663" s="1346" t="n"/>
      <c r="AU663" s="1345" t="n"/>
      <c r="AV663" s="1346" t="n"/>
      <c r="AW663" s="1346" t="n"/>
      <c r="AX663" s="1346" t="n"/>
      <c r="AY663" s="1346" t="n"/>
      <c r="AZ663" s="1345" t="n"/>
      <c r="BA663" s="1346" t="n"/>
      <c r="BB663" s="1346" t="n"/>
      <c r="BC663" s="1346" t="n"/>
      <c r="BD663" s="1346" t="n"/>
      <c r="BE663" s="1345" t="n"/>
      <c r="BF663" s="1346" t="n"/>
      <c r="BG663" s="1346" t="n"/>
      <c r="BH663" s="1346" t="n"/>
      <c r="BI663" s="1346" t="n"/>
      <c r="BJ663" s="1345" t="n"/>
      <c r="BK663" s="1346" t="n"/>
      <c r="BL663" s="1346" t="n"/>
      <c r="BM663" s="1346" t="n"/>
      <c r="BN663" s="1346" t="n"/>
      <c r="BO663" s="1347" t="n"/>
      <c r="BP663" s="1346" t="n"/>
      <c r="BQ663" s="1346" t="n"/>
      <c r="BR663" s="1346" t="n"/>
      <c r="BS663" s="1346" t="n"/>
      <c r="BT663" s="1297" t="n"/>
      <c r="BU663" s="1346" t="n"/>
      <c r="BV663" s="1346" t="n"/>
      <c r="BW663" s="1346" t="n"/>
      <c r="BX663" s="1346" t="n"/>
      <c r="BY663" s="1297" t="n"/>
      <c r="BZ663" s="1297" t="n"/>
      <c r="CA663" s="1297" t="n"/>
      <c r="CB663" s="1297" t="n"/>
      <c r="CC663" s="1331" t="n"/>
    </row>
    <row r="664" hidden="1" outlineLevel="1" ht="14.4" customFormat="1" customHeight="1" s="1323">
      <c r="A664" s="1577" t="inlineStr">
        <is>
          <t>Beginning Cash Balance</t>
        </is>
      </c>
      <c r="B664" s="1394" t="n"/>
      <c r="C664" s="1348" t="n">
        <v>194613.752</v>
      </c>
      <c r="D664" s="1593">
        <f>C665</f>
        <v/>
      </c>
      <c r="E664" s="1593">
        <f>D665</f>
        <v/>
      </c>
      <c r="F664" s="1593">
        <f>E665</f>
        <v/>
      </c>
      <c r="G664" s="1593">
        <f>F665</f>
        <v/>
      </c>
      <c r="H664" s="1331">
        <f>G665</f>
        <v/>
      </c>
      <c r="I664" s="1331">
        <f>H664</f>
        <v/>
      </c>
      <c r="J664" s="1331">
        <f>I664</f>
        <v/>
      </c>
      <c r="K664" s="1331">
        <f>J664</f>
        <v/>
      </c>
      <c r="L664" s="1593">
        <f>K664</f>
        <v/>
      </c>
      <c r="M664" s="1331">
        <f>L665</f>
        <v/>
      </c>
      <c r="N664" s="1331">
        <f>M664</f>
        <v/>
      </c>
      <c r="O664" s="1331">
        <f>N664</f>
        <v/>
      </c>
      <c r="P664" s="1331">
        <f>O664</f>
        <v/>
      </c>
      <c r="Q664" s="1593">
        <f>P664</f>
        <v/>
      </c>
      <c r="R664" s="1331">
        <f>Q665</f>
        <v/>
      </c>
      <c r="S664" s="1331">
        <f>R664</f>
        <v/>
      </c>
      <c r="T664" s="1331">
        <f>S664</f>
        <v/>
      </c>
      <c r="U664" s="1331">
        <f>T664</f>
        <v/>
      </c>
      <c r="V664" s="1593">
        <f>U664</f>
        <v/>
      </c>
      <c r="W664" s="1331">
        <f>V665</f>
        <v/>
      </c>
      <c r="X664" s="1331">
        <f>W664</f>
        <v/>
      </c>
      <c r="Y664" s="1331">
        <f>X664</f>
        <v/>
      </c>
      <c r="Z664" s="1331">
        <f>Y664</f>
        <v/>
      </c>
      <c r="AA664" s="1593">
        <f>Z664</f>
        <v/>
      </c>
      <c r="AB664" s="1331">
        <f>AA665</f>
        <v/>
      </c>
      <c r="AC664" s="1331">
        <f>AB664</f>
        <v/>
      </c>
      <c r="AD664" s="1331">
        <f>AC664</f>
        <v/>
      </c>
      <c r="AE664" s="1331">
        <f>AD664</f>
        <v/>
      </c>
      <c r="AF664" s="1593">
        <f>AE664</f>
        <v/>
      </c>
      <c r="AG664" s="1331">
        <f>AF665</f>
        <v/>
      </c>
      <c r="AH664" s="1331">
        <f>AG664</f>
        <v/>
      </c>
      <c r="AI664" s="1331">
        <f>AH664</f>
        <v/>
      </c>
      <c r="AJ664" s="1331">
        <f>AI664</f>
        <v/>
      </c>
      <c r="AK664" s="1593">
        <f>AJ664</f>
        <v/>
      </c>
      <c r="AL664" s="1331">
        <f>AK665</f>
        <v/>
      </c>
      <c r="AM664" s="1331">
        <f>AL664</f>
        <v/>
      </c>
      <c r="AN664" s="1331">
        <f>AM664</f>
        <v/>
      </c>
      <c r="AO664" s="1331">
        <f>AN664</f>
        <v/>
      </c>
      <c r="AP664" s="1593">
        <f>+AL664</f>
        <v/>
      </c>
      <c r="AQ664" s="1331">
        <f>AP665</f>
        <v/>
      </c>
      <c r="AR664" s="1331">
        <f>+AP665</f>
        <v/>
      </c>
      <c r="AS664" s="1331">
        <f>AR664</f>
        <v/>
      </c>
      <c r="AT664" s="1331">
        <f>AS664</f>
        <v/>
      </c>
      <c r="AU664" s="1593">
        <f>+AQ664</f>
        <v/>
      </c>
      <c r="AV664" s="1331">
        <f>AU665</f>
        <v/>
      </c>
      <c r="AW664" s="1331">
        <f>+AU665</f>
        <v/>
      </c>
      <c r="AX664" s="1331">
        <f>AW664</f>
        <v/>
      </c>
      <c r="AY664" s="1331">
        <f>AX664</f>
        <v/>
      </c>
      <c r="AZ664" s="1593">
        <f>+AV664</f>
        <v/>
      </c>
      <c r="BA664" s="1331">
        <f>AZ665</f>
        <v/>
      </c>
      <c r="BB664" s="1331">
        <f>+AZ665</f>
        <v/>
      </c>
      <c r="BC664" s="1346">
        <f>BB664</f>
        <v/>
      </c>
      <c r="BD664" s="1331">
        <f>BC664</f>
        <v/>
      </c>
      <c r="BE664" s="1593">
        <f>+BA664</f>
        <v/>
      </c>
      <c r="BF664" s="1331">
        <f>BE665</f>
        <v/>
      </c>
      <c r="BG664" s="1331">
        <f>+BE665</f>
        <v/>
      </c>
      <c r="BH664" s="1346">
        <f>BG664</f>
        <v/>
      </c>
      <c r="BI664" s="1331">
        <f>BH664</f>
        <v/>
      </c>
      <c r="BJ664" s="1593">
        <f>+BF664</f>
        <v/>
      </c>
      <c r="BK664" s="1331">
        <f>BJ665</f>
        <v/>
      </c>
      <c r="BL664" s="1331">
        <f>+BJ665</f>
        <v/>
      </c>
      <c r="BM664" s="1346">
        <f>BL664</f>
        <v/>
      </c>
      <c r="BN664" s="1331">
        <f>BM664</f>
        <v/>
      </c>
      <c r="BO664" s="1578">
        <f>+BK664</f>
        <v/>
      </c>
      <c r="BP664" s="1346" t="n"/>
      <c r="BQ664" s="1346" t="n"/>
      <c r="BR664" s="1346" t="n"/>
      <c r="BS664" s="1346" t="n"/>
      <c r="BT664" s="1345" t="n"/>
      <c r="BU664" s="1346" t="n"/>
      <c r="BV664" s="1346" t="n"/>
      <c r="BW664" s="1346" t="n"/>
      <c r="BX664" s="1346" t="n"/>
      <c r="BY664" s="1345" t="n"/>
      <c r="BZ664" s="1345" t="n"/>
      <c r="CA664" s="1345" t="n"/>
      <c r="CB664" s="1345" t="n"/>
      <c r="CC664" s="1331" t="n"/>
    </row>
    <row r="665" hidden="1" outlineLevel="1" ht="14.4" customFormat="1" customHeight="1" s="1323">
      <c r="A665" s="1577" t="inlineStr">
        <is>
          <t>Ending Cash Balance</t>
        </is>
      </c>
      <c r="B665" s="1394" t="n"/>
      <c r="C665" s="1593">
        <f>C662+C664</f>
        <v/>
      </c>
      <c r="D665" s="1593">
        <f>D662+D664</f>
        <v/>
      </c>
      <c r="E665" s="1593">
        <f>E662+E664</f>
        <v/>
      </c>
      <c r="F665" s="1593">
        <f>F662+F664</f>
        <v/>
      </c>
      <c r="G665" s="1593">
        <f>G662+G664</f>
        <v/>
      </c>
      <c r="H665" s="1331">
        <f>H662+H664</f>
        <v/>
      </c>
      <c r="I665" s="1331">
        <f>I662+I664</f>
        <v/>
      </c>
      <c r="J665" s="1331">
        <f>J662+J664</f>
        <v/>
      </c>
      <c r="K665" s="1331">
        <f>K662+K664</f>
        <v/>
      </c>
      <c r="L665" s="1593">
        <f>L662+L664</f>
        <v/>
      </c>
      <c r="M665" s="1331">
        <f>M662+M664</f>
        <v/>
      </c>
      <c r="N665" s="1331">
        <f>N662+N664</f>
        <v/>
      </c>
      <c r="O665" s="1331">
        <f>O662+O664</f>
        <v/>
      </c>
      <c r="P665" s="1331">
        <f>P662+P664</f>
        <v/>
      </c>
      <c r="Q665" s="1593">
        <f>Q662+Q664</f>
        <v/>
      </c>
      <c r="R665" s="1331">
        <f>R662+R664</f>
        <v/>
      </c>
      <c r="S665" s="1331">
        <f>S662+S664</f>
        <v/>
      </c>
      <c r="T665" s="1331">
        <f>T662+T664</f>
        <v/>
      </c>
      <c r="U665" s="1331">
        <f>U662+U664</f>
        <v/>
      </c>
      <c r="V665" s="1593">
        <f>V662+V664</f>
        <v/>
      </c>
      <c r="W665" s="1331">
        <f>W662+W664</f>
        <v/>
      </c>
      <c r="X665" s="1331">
        <f>X662+X664</f>
        <v/>
      </c>
      <c r="Y665" s="1331">
        <f>Y662+Y664</f>
        <v/>
      </c>
      <c r="Z665" s="1331">
        <f>Z662+Z664</f>
        <v/>
      </c>
      <c r="AA665" s="1593">
        <f>AA662+AA664</f>
        <v/>
      </c>
      <c r="AB665" s="1331">
        <f>AB662+AB664</f>
        <v/>
      </c>
      <c r="AC665" s="1331">
        <f>AC662+AC664</f>
        <v/>
      </c>
      <c r="AD665" s="1331">
        <f>AD662+AD664</f>
        <v/>
      </c>
      <c r="AE665" s="1331">
        <f>AE662+AE664</f>
        <v/>
      </c>
      <c r="AF665" s="1593">
        <f>AF662+AF664</f>
        <v/>
      </c>
      <c r="AG665" s="1331">
        <f>AG662+AG664</f>
        <v/>
      </c>
      <c r="AH665" s="1331">
        <f>AH662+AH664</f>
        <v/>
      </c>
      <c r="AI665" s="1331">
        <f>AI662+AI664</f>
        <v/>
      </c>
      <c r="AJ665" s="1331">
        <f>AJ662+AJ664</f>
        <v/>
      </c>
      <c r="AK665" s="1593">
        <f>AK662+AK664</f>
        <v/>
      </c>
      <c r="AL665" s="1331">
        <f>AL662+AL664</f>
        <v/>
      </c>
      <c r="AM665" s="1331">
        <f>AM662+AM664</f>
        <v/>
      </c>
      <c r="AN665" s="1331">
        <f>AN662+AN664</f>
        <v/>
      </c>
      <c r="AO665" s="1331">
        <f>AO662+AO664</f>
        <v/>
      </c>
      <c r="AP665" s="1593">
        <f>AP662+AP664</f>
        <v/>
      </c>
      <c r="AQ665" s="1331">
        <f>AQ662+AQ664</f>
        <v/>
      </c>
      <c r="AR665" s="1331">
        <f>AR662+AR664</f>
        <v/>
      </c>
      <c r="AS665" s="1331">
        <f>AS662+AS664</f>
        <v/>
      </c>
      <c r="AT665" s="1331">
        <f>AT662+AT664</f>
        <v/>
      </c>
      <c r="AU665" s="1593">
        <f>AU662+AU664</f>
        <v/>
      </c>
      <c r="AV665" s="1331">
        <f>AV662+AV664</f>
        <v/>
      </c>
      <c r="AW665" s="1331">
        <f>AW662+AW664</f>
        <v/>
      </c>
      <c r="AX665" s="1331">
        <f>AX662+AX664</f>
        <v/>
      </c>
      <c r="AY665" s="1331">
        <f>AY662+AY664</f>
        <v/>
      </c>
      <c r="AZ665" s="1593">
        <f>AZ662+AZ664</f>
        <v/>
      </c>
      <c r="BA665" s="1331">
        <f>BA662+BA664</f>
        <v/>
      </c>
      <c r="BB665" s="1331">
        <f>BB662+BB664</f>
        <v/>
      </c>
      <c r="BC665" s="1346">
        <f>BC662+BC664</f>
        <v/>
      </c>
      <c r="BD665" s="1331">
        <f>BD662+BD664</f>
        <v/>
      </c>
      <c r="BE665" s="1593">
        <f>BE662+BE664</f>
        <v/>
      </c>
      <c r="BF665" s="1331">
        <f>BF662+BF664</f>
        <v/>
      </c>
      <c r="BG665" s="1331">
        <f>BG662+BG664</f>
        <v/>
      </c>
      <c r="BH665" s="1346">
        <f>BH662+BH664</f>
        <v/>
      </c>
      <c r="BI665" s="1331">
        <f>BI662+BI664</f>
        <v/>
      </c>
      <c r="BJ665" s="1593">
        <f>BJ662+BJ664</f>
        <v/>
      </c>
      <c r="BK665" s="1331">
        <f>BK662+BK664</f>
        <v/>
      </c>
      <c r="BL665" s="1331">
        <f>BL662+BL664</f>
        <v/>
      </c>
      <c r="BM665" s="1346">
        <f>BM662+BM664</f>
        <v/>
      </c>
      <c r="BN665" s="1331">
        <f>BN662+BN664</f>
        <v/>
      </c>
      <c r="BO665" s="1578">
        <f>BO662+BO664</f>
        <v/>
      </c>
      <c r="BP665" s="1346" t="n"/>
      <c r="BQ665" s="1346" t="n"/>
      <c r="BR665" s="1346" t="n"/>
      <c r="BS665" s="1346" t="n"/>
      <c r="BT665" s="1345" t="n"/>
      <c r="BU665" s="1346" t="n"/>
      <c r="BV665" s="1346" t="n"/>
      <c r="BW665" s="1346" t="n"/>
      <c r="BX665" s="1346" t="n"/>
      <c r="BY665" s="1345" t="n"/>
      <c r="BZ665" s="1345" t="n"/>
      <c r="CA665" s="1345" t="n"/>
      <c r="CB665" s="1345" t="n"/>
      <c r="CC665" s="1331" t="n"/>
    </row>
    <row r="666" hidden="1" outlineLevel="1" ht="14.4" customFormat="1" customHeight="1" s="1323">
      <c r="A666" s="1344" t="n"/>
      <c r="B666" s="1394" t="n"/>
      <c r="C666" s="1345" t="n"/>
      <c r="D666" s="1345" t="n"/>
      <c r="E666" s="1345" t="n"/>
      <c r="F666" s="1345" t="n"/>
      <c r="G666" s="1345" t="n"/>
      <c r="H666" s="1346" t="n"/>
      <c r="I666" s="1346" t="n"/>
      <c r="J666" s="1346" t="n"/>
      <c r="K666" s="1346" t="n"/>
      <c r="L666" s="1345" t="n"/>
      <c r="M666" s="1346" t="n"/>
      <c r="N666" s="1346" t="n"/>
      <c r="O666" s="1346" t="n"/>
      <c r="P666" s="1346" t="n"/>
      <c r="Q666" s="1345" t="n"/>
      <c r="R666" s="1346" t="n"/>
      <c r="S666" s="1346" t="n"/>
      <c r="T666" s="1346" t="n"/>
      <c r="U666" s="1346" t="n"/>
      <c r="V666" s="1345" t="n"/>
      <c r="W666" s="1346" t="n"/>
      <c r="X666" s="1346" t="n"/>
      <c r="Y666" s="1346" t="n"/>
      <c r="Z666" s="1346" t="n"/>
      <c r="AA666" s="1345" t="n"/>
      <c r="AB666" s="1346" t="n"/>
      <c r="AC666" s="1346" t="n"/>
      <c r="AD666" s="1346" t="n"/>
      <c r="AE666" s="1346" t="n"/>
      <c r="AF666" s="1345" t="n"/>
      <c r="AG666" s="1346" t="n"/>
      <c r="AH666" s="1346" t="n"/>
      <c r="AI666" s="1346" t="n"/>
      <c r="AJ666" s="1346" t="n"/>
      <c r="AK666" s="1345" t="n"/>
      <c r="AL666" s="1346" t="n"/>
      <c r="AM666" s="1346" t="n"/>
      <c r="AN666" s="1346" t="n"/>
      <c r="AO666" s="1346" t="n"/>
      <c r="AP666" s="1345" t="n"/>
      <c r="AQ666" s="1346" t="n"/>
      <c r="AR666" s="1346" t="n"/>
      <c r="AS666" s="1346" t="n"/>
      <c r="AT666" s="1346" t="n"/>
      <c r="AU666" s="1345" t="n"/>
      <c r="AV666" s="1346" t="n"/>
      <c r="AW666" s="1346" t="n"/>
      <c r="AX666" s="1346" t="n"/>
      <c r="AY666" s="1346" t="n"/>
      <c r="AZ666" s="1345" t="n"/>
      <c r="BA666" s="1346" t="n"/>
      <c r="BB666" s="1346" t="n"/>
      <c r="BC666" s="1346" t="n"/>
      <c r="BD666" s="1346" t="n"/>
      <c r="BE666" s="1345" t="n"/>
      <c r="BF666" s="1346" t="n"/>
      <c r="BG666" s="1346" t="n"/>
      <c r="BH666" s="1346" t="n"/>
      <c r="BI666" s="1346" t="n"/>
      <c r="BJ666" s="1345" t="n"/>
      <c r="BK666" s="1346" t="n"/>
      <c r="BL666" s="1346" t="n"/>
      <c r="BM666" s="1346" t="n"/>
      <c r="BN666" s="1346" t="n"/>
      <c r="BO666" s="1347" t="n"/>
      <c r="BP666" s="1346" t="n"/>
      <c r="BQ666" s="1346" t="n"/>
      <c r="BR666" s="1346" t="n"/>
      <c r="BS666" s="1346" t="n"/>
      <c r="BT666" s="1345" t="n"/>
      <c r="BU666" s="1346" t="n"/>
      <c r="BV666" s="1346" t="n"/>
      <c r="BW666" s="1346" t="n"/>
      <c r="BX666" s="1346" t="n"/>
      <c r="BY666" s="1345" t="n"/>
      <c r="BZ666" s="1345" t="n"/>
      <c r="CA666" s="1345" t="n"/>
      <c r="CB666" s="1345" t="n"/>
      <c r="CC666" s="1331" t="n"/>
    </row>
    <row r="667" hidden="1" outlineLevel="1" ht="14.4" customFormat="1" customHeight="1" s="1323">
      <c r="A667" s="1295" t="inlineStr">
        <is>
          <t>Cash paid for interest, gross of interest received</t>
        </is>
      </c>
      <c r="B667" s="1387" t="n"/>
      <c r="C667" s="1297" t="n"/>
      <c r="D667" s="1297" t="n"/>
      <c r="E667" s="1297" t="n"/>
      <c r="F667" s="1446">
        <f>-F644</f>
        <v/>
      </c>
      <c r="G667" s="1446">
        <f>-G644</f>
        <v/>
      </c>
      <c r="H667" s="1280">
        <f>-H644</f>
        <v/>
      </c>
      <c r="I667" s="1280">
        <f>-I644</f>
        <v/>
      </c>
      <c r="J667" s="1280">
        <f>-J644</f>
        <v/>
      </c>
      <c r="K667" s="1280">
        <f>L667</f>
        <v/>
      </c>
      <c r="L667" s="1446">
        <f>-L644</f>
        <v/>
      </c>
      <c r="M667" s="1280">
        <f>-M644</f>
        <v/>
      </c>
      <c r="N667" s="1280">
        <f>-N644</f>
        <v/>
      </c>
      <c r="O667" s="1280">
        <f>-O644</f>
        <v/>
      </c>
      <c r="P667" s="1280">
        <f>Q667</f>
        <v/>
      </c>
      <c r="Q667" s="1446">
        <f>-Q644</f>
        <v/>
      </c>
      <c r="R667" s="1280">
        <f>-R644</f>
        <v/>
      </c>
      <c r="S667" s="1280">
        <f>-S644</f>
        <v/>
      </c>
      <c r="T667" s="1280">
        <f>-T644</f>
        <v/>
      </c>
      <c r="U667" s="1280">
        <f>V667</f>
        <v/>
      </c>
      <c r="V667" s="1446">
        <f>-V644</f>
        <v/>
      </c>
      <c r="W667" s="1280">
        <f>-W644</f>
        <v/>
      </c>
      <c r="X667" s="1280">
        <f>-X644</f>
        <v/>
      </c>
      <c r="Y667" s="1280">
        <f>-Y644</f>
        <v/>
      </c>
      <c r="Z667" s="1280">
        <f>AA667</f>
        <v/>
      </c>
      <c r="AA667" s="1446">
        <f>-AA644</f>
        <v/>
      </c>
      <c r="AB667" s="1280">
        <f>-AB644</f>
        <v/>
      </c>
      <c r="AC667" s="1280">
        <f>-AC644</f>
        <v/>
      </c>
      <c r="AD667" s="1280">
        <f>-AD644</f>
        <v/>
      </c>
      <c r="AE667" s="1280">
        <f>AF667</f>
        <v/>
      </c>
      <c r="AF667" s="1446">
        <f>-AF644</f>
        <v/>
      </c>
      <c r="AG667" s="1280">
        <f>-AG644</f>
        <v/>
      </c>
      <c r="AH667" s="1280">
        <f>-AH644</f>
        <v/>
      </c>
      <c r="AI667" s="1280">
        <f>-AI644</f>
        <v/>
      </c>
      <c r="AJ667" s="1280">
        <f>AK667</f>
        <v/>
      </c>
      <c r="AK667" s="1446">
        <f>-AK644</f>
        <v/>
      </c>
      <c r="AL667" s="1280">
        <f>-AL644</f>
        <v/>
      </c>
      <c r="AM667" s="1280">
        <f>-AM644</f>
        <v/>
      </c>
      <c r="AN667" s="1280">
        <f>-AN644</f>
        <v/>
      </c>
      <c r="AO667" s="1280">
        <f>AP667</f>
        <v/>
      </c>
      <c r="AP667" s="1446">
        <f>-AP644</f>
        <v/>
      </c>
      <c r="AQ667" s="1280">
        <f>-AQ644</f>
        <v/>
      </c>
      <c r="AR667" s="1280">
        <f>-AR644</f>
        <v/>
      </c>
      <c r="AS667" s="1280">
        <f>-AS644</f>
        <v/>
      </c>
      <c r="AT667" s="1280">
        <f>AU667</f>
        <v/>
      </c>
      <c r="AU667" s="1446">
        <f>-AU644</f>
        <v/>
      </c>
      <c r="AV667" s="1280">
        <f>-AV644</f>
        <v/>
      </c>
      <c r="AW667" s="1280">
        <f>-AW644</f>
        <v/>
      </c>
      <c r="AX667" s="1280">
        <f>-AX644</f>
        <v/>
      </c>
      <c r="AY667" s="1280">
        <f>AZ667</f>
        <v/>
      </c>
      <c r="AZ667" s="1446">
        <f>-AZ644</f>
        <v/>
      </c>
      <c r="BA667" s="1280">
        <f>-BA644</f>
        <v/>
      </c>
      <c r="BB667" s="1280">
        <f>-BB644</f>
        <v/>
      </c>
      <c r="BC667" s="1277">
        <f>-BC644</f>
        <v/>
      </c>
      <c r="BD667" s="1280">
        <f>BE667</f>
        <v/>
      </c>
      <c r="BE667" s="1446">
        <f>-BE644</f>
        <v/>
      </c>
      <c r="BF667" s="1280">
        <f>-BF644</f>
        <v/>
      </c>
      <c r="BG667" s="1280">
        <f>-BG644</f>
        <v/>
      </c>
      <c r="BH667" s="1277">
        <f>-BH644</f>
        <v/>
      </c>
      <c r="BI667" s="1280">
        <f>BJ667</f>
        <v/>
      </c>
      <c r="BJ667" s="1446">
        <f>-BJ644</f>
        <v/>
      </c>
      <c r="BK667" s="1280">
        <f>-BK644</f>
        <v/>
      </c>
      <c r="BL667" s="1280">
        <f>-BL644</f>
        <v/>
      </c>
      <c r="BM667" s="1277">
        <f>-BM644</f>
        <v/>
      </c>
      <c r="BN667" s="1280">
        <f>BO667</f>
        <v/>
      </c>
      <c r="BO667" s="1300">
        <f>-BO644</f>
        <v/>
      </c>
      <c r="BP667" s="1346" t="n"/>
      <c r="BQ667" s="1346" t="n"/>
      <c r="BR667" s="1346" t="n"/>
      <c r="BS667" s="1346" t="n"/>
      <c r="BT667" s="1345" t="n"/>
      <c r="BU667" s="1346" t="n"/>
      <c r="BV667" s="1346" t="n"/>
      <c r="BW667" s="1346" t="n"/>
      <c r="BX667" s="1346" t="n"/>
      <c r="BY667" s="1345" t="n"/>
      <c r="BZ667" s="1345" t="n"/>
      <c r="CA667" s="1345" t="n"/>
      <c r="CB667" s="1345" t="n"/>
      <c r="CC667" s="1331" t="n"/>
    </row>
    <row r="668" hidden="1" outlineLevel="1" ht="14.4" customFormat="1" customHeight="1" s="1323">
      <c r="A668" s="1460" t="inlineStr">
        <is>
          <t>Cash received for interest</t>
        </is>
      </c>
      <c r="B668" s="1389" t="n"/>
      <c r="C668" s="1364" t="n"/>
      <c r="D668" s="1364" t="n"/>
      <c r="E668" s="1364" t="n"/>
      <c r="F668" s="1463">
        <f>-F618</f>
        <v/>
      </c>
      <c r="G668" s="1463">
        <f>-G618</f>
        <v/>
      </c>
      <c r="H668" s="1464">
        <f>-H618</f>
        <v/>
      </c>
      <c r="I668" s="1464">
        <f>-I618</f>
        <v/>
      </c>
      <c r="J668" s="1464">
        <f>-J618</f>
        <v/>
      </c>
      <c r="K668" s="1464">
        <f>L668</f>
        <v/>
      </c>
      <c r="L668" s="1463">
        <f>-L618</f>
        <v/>
      </c>
      <c r="M668" s="1464">
        <f>-M618</f>
        <v/>
      </c>
      <c r="N668" s="1464">
        <f>-N618</f>
        <v/>
      </c>
      <c r="O668" s="1464">
        <f>-O618</f>
        <v/>
      </c>
      <c r="P668" s="1464">
        <f>Q668</f>
        <v/>
      </c>
      <c r="Q668" s="1463">
        <f>-Q618</f>
        <v/>
      </c>
      <c r="R668" s="1464">
        <f>-R618</f>
        <v/>
      </c>
      <c r="S668" s="1464">
        <f>-S618</f>
        <v/>
      </c>
      <c r="T668" s="1464">
        <f>-T618</f>
        <v/>
      </c>
      <c r="U668" s="1464">
        <f>V668</f>
        <v/>
      </c>
      <c r="V668" s="1463">
        <f>-V618</f>
        <v/>
      </c>
      <c r="W668" s="1464">
        <f>-W618</f>
        <v/>
      </c>
      <c r="X668" s="1464">
        <f>-X618</f>
        <v/>
      </c>
      <c r="Y668" s="1464">
        <f>-Y618</f>
        <v/>
      </c>
      <c r="Z668" s="1464">
        <f>AA668</f>
        <v/>
      </c>
      <c r="AA668" s="1463">
        <f>-AA618</f>
        <v/>
      </c>
      <c r="AB668" s="1464">
        <f>-AB618</f>
        <v/>
      </c>
      <c r="AC668" s="1464">
        <f>-AC618</f>
        <v/>
      </c>
      <c r="AD668" s="1464">
        <f>-AD618</f>
        <v/>
      </c>
      <c r="AE668" s="1464">
        <f>AF668</f>
        <v/>
      </c>
      <c r="AF668" s="1463">
        <f>-AF618</f>
        <v/>
      </c>
      <c r="AG668" s="1464">
        <f>-AG618</f>
        <v/>
      </c>
      <c r="AH668" s="1464">
        <f>-AH618</f>
        <v/>
      </c>
      <c r="AI668" s="1464">
        <f>-AI618</f>
        <v/>
      </c>
      <c r="AJ668" s="1464">
        <f>AK668</f>
        <v/>
      </c>
      <c r="AK668" s="1463">
        <f>-AK618</f>
        <v/>
      </c>
      <c r="AL668" s="1464">
        <f>-AL618</f>
        <v/>
      </c>
      <c r="AM668" s="1464">
        <f>-AM618</f>
        <v/>
      </c>
      <c r="AN668" s="1464">
        <f>-AN618</f>
        <v/>
      </c>
      <c r="AO668" s="1464">
        <f>AP668</f>
        <v/>
      </c>
      <c r="AP668" s="1463">
        <f>-AP618</f>
        <v/>
      </c>
      <c r="AQ668" s="1464">
        <f>-AQ618</f>
        <v/>
      </c>
      <c r="AR668" s="1464">
        <f>-AR618</f>
        <v/>
      </c>
      <c r="AS668" s="1464">
        <f>-AS618</f>
        <v/>
      </c>
      <c r="AT668" s="1464">
        <f>AU668</f>
        <v/>
      </c>
      <c r="AU668" s="1463">
        <f>-AU618</f>
        <v/>
      </c>
      <c r="AV668" s="1464">
        <f>-AV618</f>
        <v/>
      </c>
      <c r="AW668" s="1464">
        <f>-AW618</f>
        <v/>
      </c>
      <c r="AX668" s="1464">
        <f>-AX618</f>
        <v/>
      </c>
      <c r="AY668" s="1464">
        <f>AZ668</f>
        <v/>
      </c>
      <c r="AZ668" s="1463">
        <f>-AZ618</f>
        <v/>
      </c>
      <c r="BA668" s="1464">
        <f>-BA618</f>
        <v/>
      </c>
      <c r="BB668" s="1464">
        <f>-BB618</f>
        <v/>
      </c>
      <c r="BC668" s="1365">
        <f>-BC618</f>
        <v/>
      </c>
      <c r="BD668" s="1464">
        <f>BE668</f>
        <v/>
      </c>
      <c r="BE668" s="1463">
        <f>-BE618</f>
        <v/>
      </c>
      <c r="BF668" s="1464">
        <f>-BF618</f>
        <v/>
      </c>
      <c r="BG668" s="1464">
        <f>-BG618</f>
        <v/>
      </c>
      <c r="BH668" s="1365">
        <f>-BH618</f>
        <v/>
      </c>
      <c r="BI668" s="1464">
        <f>BJ668</f>
        <v/>
      </c>
      <c r="BJ668" s="1463">
        <f>-BJ618</f>
        <v/>
      </c>
      <c r="BK668" s="1464">
        <f>-BK618</f>
        <v/>
      </c>
      <c r="BL668" s="1464">
        <f>-BL618</f>
        <v/>
      </c>
      <c r="BM668" s="1365">
        <f>-BM618</f>
        <v/>
      </c>
      <c r="BN668" s="1464">
        <f>BO668</f>
        <v/>
      </c>
      <c r="BO668" s="1465">
        <f>-BO618</f>
        <v/>
      </c>
      <c r="BP668" s="1777" t="n"/>
      <c r="BQ668" s="1777" t="n"/>
      <c r="BR668" s="1777" t="n"/>
      <c r="BS668" s="1777" t="n"/>
      <c r="BT668" s="1778" t="n"/>
      <c r="BU668" s="1777" t="n"/>
      <c r="BV668" s="1777" t="n"/>
      <c r="BW668" s="1777" t="n"/>
      <c r="BX668" s="1777" t="n"/>
      <c r="BY668" s="1778" t="n"/>
      <c r="BZ668" s="1778" t="n"/>
      <c r="CA668" s="1778" t="n"/>
      <c r="CB668" s="1778" t="n"/>
      <c r="CC668" s="1331" t="n"/>
    </row>
    <row r="669" hidden="1" outlineLevel="1" ht="14.4" customFormat="1" customHeight="1" s="1323">
      <c r="A669" s="1776" t="inlineStr">
        <is>
          <t>Cash paid for interest, net of interest received</t>
        </is>
      </c>
      <c r="B669" s="1387" t="n"/>
      <c r="C669" s="1297" t="n"/>
      <c r="D669" s="1297" t="n"/>
      <c r="E669" s="1297" t="n"/>
      <c r="F669" s="1446">
        <f>F667+F668</f>
        <v/>
      </c>
      <c r="G669" s="1446">
        <f>G667+G668</f>
        <v/>
      </c>
      <c r="H669" s="1280">
        <f>H667+H668</f>
        <v/>
      </c>
      <c r="I669" s="1280">
        <f>I667+I668</f>
        <v/>
      </c>
      <c r="J669" s="1280">
        <f>J667+J668</f>
        <v/>
      </c>
      <c r="K669" s="1280">
        <f>K667+K668</f>
        <v/>
      </c>
      <c r="L669" s="1446">
        <f>L667+L668</f>
        <v/>
      </c>
      <c r="M669" s="1280">
        <f>M667+M668</f>
        <v/>
      </c>
      <c r="N669" s="1280">
        <f>N667+N668</f>
        <v/>
      </c>
      <c r="O669" s="1280">
        <f>O667+O668</f>
        <v/>
      </c>
      <c r="P669" s="1280">
        <f>P667+P668</f>
        <v/>
      </c>
      <c r="Q669" s="1446">
        <f>Q667+Q668</f>
        <v/>
      </c>
      <c r="R669" s="1280">
        <f>R667+R668</f>
        <v/>
      </c>
      <c r="S669" s="1280">
        <f>S667+S668</f>
        <v/>
      </c>
      <c r="T669" s="1280">
        <f>T667+T668</f>
        <v/>
      </c>
      <c r="U669" s="1280">
        <f>U667+U668</f>
        <v/>
      </c>
      <c r="V669" s="1446">
        <f>V667+V668</f>
        <v/>
      </c>
      <c r="W669" s="1280">
        <f>W667+W668</f>
        <v/>
      </c>
      <c r="X669" s="1280">
        <f>X667+X668</f>
        <v/>
      </c>
      <c r="Y669" s="1280">
        <f>Y667+Y668</f>
        <v/>
      </c>
      <c r="Z669" s="1280">
        <f>Z667+Z668</f>
        <v/>
      </c>
      <c r="AA669" s="1446">
        <f>AA667+AA668</f>
        <v/>
      </c>
      <c r="AB669" s="1280">
        <f>AB667+AB668</f>
        <v/>
      </c>
      <c r="AC669" s="1280">
        <f>AC667+AC668</f>
        <v/>
      </c>
      <c r="AD669" s="1280">
        <f>AD667+AD668</f>
        <v/>
      </c>
      <c r="AE669" s="1280">
        <f>AE667+AE668</f>
        <v/>
      </c>
      <c r="AF669" s="1446">
        <f>AF667+AF668</f>
        <v/>
      </c>
      <c r="AG669" s="1280">
        <f>AG667+AG668</f>
        <v/>
      </c>
      <c r="AH669" s="1280">
        <f>AH667+AH668</f>
        <v/>
      </c>
      <c r="AI669" s="1280">
        <f>AI667+AI668</f>
        <v/>
      </c>
      <c r="AJ669" s="1280">
        <f>AJ667+AJ668</f>
        <v/>
      </c>
      <c r="AK669" s="1446">
        <f>AK667+AK668</f>
        <v/>
      </c>
      <c r="AL669" s="1280">
        <f>AL667+AL668</f>
        <v/>
      </c>
      <c r="AM669" s="1280">
        <f>AM667+AM668</f>
        <v/>
      </c>
      <c r="AN669" s="1280">
        <f>AN667+AN668</f>
        <v/>
      </c>
      <c r="AO669" s="1280">
        <f>AO667+AO668</f>
        <v/>
      </c>
      <c r="AP669" s="1446">
        <f>AP667+AP668</f>
        <v/>
      </c>
      <c r="AQ669" s="1280">
        <f>AQ667+AQ668</f>
        <v/>
      </c>
      <c r="AR669" s="1280">
        <f>AR667+AR668</f>
        <v/>
      </c>
      <c r="AS669" s="1280">
        <f>AS667+AS668</f>
        <v/>
      </c>
      <c r="AT669" s="1280">
        <f>AT667+AT668</f>
        <v/>
      </c>
      <c r="AU669" s="1446">
        <f>AU667+AU668</f>
        <v/>
      </c>
      <c r="AV669" s="1280">
        <f>AV667+AV668</f>
        <v/>
      </c>
      <c r="AW669" s="1280">
        <f>AW667+AW668</f>
        <v/>
      </c>
      <c r="AX669" s="1280">
        <f>AX667+AX668</f>
        <v/>
      </c>
      <c r="AY669" s="1280">
        <f>AY667+AY668</f>
        <v/>
      </c>
      <c r="AZ669" s="1446">
        <f>AZ667+AZ668</f>
        <v/>
      </c>
      <c r="BA669" s="1280">
        <f>BA667+BA668</f>
        <v/>
      </c>
      <c r="BB669" s="1280">
        <f>BB667+BB668</f>
        <v/>
      </c>
      <c r="BC669" s="1277">
        <f>BC667+BC668</f>
        <v/>
      </c>
      <c r="BD669" s="1280">
        <f>BD667+BD668</f>
        <v/>
      </c>
      <c r="BE669" s="1446">
        <f>BE667+BE668</f>
        <v/>
      </c>
      <c r="BF669" s="1280">
        <f>BF667+BF668</f>
        <v/>
      </c>
      <c r="BG669" s="1280">
        <f>BG667+BG668</f>
        <v/>
      </c>
      <c r="BH669" s="1277">
        <f>BH667+BH668</f>
        <v/>
      </c>
      <c r="BI669" s="1280">
        <f>BI667+BI668</f>
        <v/>
      </c>
      <c r="BJ669" s="1446">
        <f>BJ667+BJ668</f>
        <v/>
      </c>
      <c r="BK669" s="1280">
        <f>BK667+BK668</f>
        <v/>
      </c>
      <c r="BL669" s="1280">
        <f>BL667+BL668</f>
        <v/>
      </c>
      <c r="BM669" s="1277">
        <f>BM667+BM668</f>
        <v/>
      </c>
      <c r="BN669" s="1280">
        <f>BN667+BN668</f>
        <v/>
      </c>
      <c r="BO669" s="1300">
        <f>BO667+BO668</f>
        <v/>
      </c>
      <c r="BP669" s="1346" t="n"/>
      <c r="BQ669" s="1346" t="n"/>
      <c r="BR669" s="1346" t="n"/>
      <c r="BS669" s="1346" t="n"/>
      <c r="BT669" s="1345" t="n"/>
      <c r="BU669" s="1346" t="n"/>
      <c r="BV669" s="1346" t="n"/>
      <c r="BW669" s="1346" t="n"/>
      <c r="BX669" s="1346" t="n"/>
      <c r="BY669" s="1345" t="n"/>
      <c r="BZ669" s="1345" t="n"/>
      <c r="CA669" s="1345" t="n"/>
      <c r="CB669" s="1345" t="n"/>
      <c r="CC669" s="1331" t="n"/>
    </row>
    <row r="670" hidden="1" outlineLevel="1" ht="14.4" customFormat="1" customHeight="1" s="1323">
      <c r="A670" s="1776" t="inlineStr">
        <is>
          <t>Cash paid for income taxes</t>
        </is>
      </c>
      <c r="B670" s="1387" t="n"/>
      <c r="C670" s="1297" t="n"/>
      <c r="D670" s="1297" t="n"/>
      <c r="E670" s="1297" t="n"/>
      <c r="F670" s="1446">
        <f>F587</f>
        <v/>
      </c>
      <c r="G670" s="1446">
        <f>G587</f>
        <v/>
      </c>
      <c r="H670" s="1280">
        <f>H587</f>
        <v/>
      </c>
      <c r="I670" s="1280">
        <f>I587</f>
        <v/>
      </c>
      <c r="J670" s="1280">
        <f>J587</f>
        <v/>
      </c>
      <c r="K670" s="1280">
        <f>L670</f>
        <v/>
      </c>
      <c r="L670" s="1446">
        <f>L587</f>
        <v/>
      </c>
      <c r="M670" s="1280">
        <f>M587</f>
        <v/>
      </c>
      <c r="N670" s="1280">
        <f>N587</f>
        <v/>
      </c>
      <c r="O670" s="1280">
        <f>O587</f>
        <v/>
      </c>
      <c r="P670" s="1280">
        <f>Q670</f>
        <v/>
      </c>
      <c r="Q670" s="1446">
        <f>Q587</f>
        <v/>
      </c>
      <c r="R670" s="1280">
        <f>R587</f>
        <v/>
      </c>
      <c r="S670" s="1280">
        <f>S587</f>
        <v/>
      </c>
      <c r="T670" s="1280">
        <f>T587</f>
        <v/>
      </c>
      <c r="U670" s="1280">
        <f>V670</f>
        <v/>
      </c>
      <c r="V670" s="1446">
        <f>V587</f>
        <v/>
      </c>
      <c r="W670" s="1280">
        <f>W587</f>
        <v/>
      </c>
      <c r="X670" s="1280">
        <f>X587</f>
        <v/>
      </c>
      <c r="Y670" s="1280">
        <f>Y587</f>
        <v/>
      </c>
      <c r="Z670" s="1280">
        <f>AA670</f>
        <v/>
      </c>
      <c r="AA670" s="1446">
        <f>AA587</f>
        <v/>
      </c>
      <c r="AB670" s="1280">
        <f>AB587</f>
        <v/>
      </c>
      <c r="AC670" s="1280">
        <f>AC587</f>
        <v/>
      </c>
      <c r="AD670" s="1280">
        <f>AD587</f>
        <v/>
      </c>
      <c r="AE670" s="1280">
        <f>AF670</f>
        <v/>
      </c>
      <c r="AF670" s="1446">
        <f>AF587</f>
        <v/>
      </c>
      <c r="AG670" s="1280">
        <f>AG587</f>
        <v/>
      </c>
      <c r="AH670" s="1280">
        <f>AH587</f>
        <v/>
      </c>
      <c r="AI670" s="1280">
        <f>AI587</f>
        <v/>
      </c>
      <c r="AJ670" s="1280">
        <f>AK670</f>
        <v/>
      </c>
      <c r="AK670" s="1446">
        <f>AK587</f>
        <v/>
      </c>
      <c r="AL670" s="1280">
        <f>AL587</f>
        <v/>
      </c>
      <c r="AM670" s="1280">
        <f>AM587</f>
        <v/>
      </c>
      <c r="AN670" s="1280">
        <f>AN587</f>
        <v/>
      </c>
      <c r="AO670" s="1280">
        <f>AP670</f>
        <v/>
      </c>
      <c r="AP670" s="1446">
        <f>AP587</f>
        <v/>
      </c>
      <c r="AQ670" s="1280">
        <f>AQ587</f>
        <v/>
      </c>
      <c r="AR670" s="1280">
        <f>AR587</f>
        <v/>
      </c>
      <c r="AS670" s="1280">
        <f>AS587</f>
        <v/>
      </c>
      <c r="AT670" s="1280">
        <f>AU670</f>
        <v/>
      </c>
      <c r="AU670" s="1446">
        <f>AU587</f>
        <v/>
      </c>
      <c r="AV670" s="1280">
        <f>AV587</f>
        <v/>
      </c>
      <c r="AW670" s="1280">
        <f>AW587</f>
        <v/>
      </c>
      <c r="AX670" s="1280">
        <f>AX587</f>
        <v/>
      </c>
      <c r="AY670" s="1280">
        <f>AZ670</f>
        <v/>
      </c>
      <c r="AZ670" s="1446">
        <f>AZ587</f>
        <v/>
      </c>
      <c r="BA670" s="1280">
        <f>BA587</f>
        <v/>
      </c>
      <c r="BB670" s="1280">
        <f>BB587</f>
        <v/>
      </c>
      <c r="BC670" s="1277">
        <f>BC587</f>
        <v/>
      </c>
      <c r="BD670" s="1280">
        <f>BE670</f>
        <v/>
      </c>
      <c r="BE670" s="1446">
        <f>BE587</f>
        <v/>
      </c>
      <c r="BF670" s="1280">
        <f>BF587</f>
        <v/>
      </c>
      <c r="BG670" s="1280">
        <f>BG587</f>
        <v/>
      </c>
      <c r="BH670" s="1277">
        <f>BH587</f>
        <v/>
      </c>
      <c r="BI670" s="1280">
        <f>BJ670</f>
        <v/>
      </c>
      <c r="BJ670" s="1446">
        <f>BJ587</f>
        <v/>
      </c>
      <c r="BK670" s="1280">
        <f>BK587</f>
        <v/>
      </c>
      <c r="BL670" s="1280">
        <f>BL587</f>
        <v/>
      </c>
      <c r="BM670" s="1277">
        <f>BM587</f>
        <v/>
      </c>
      <c r="BN670" s="1280">
        <f>BO670</f>
        <v/>
      </c>
      <c r="BO670" s="1300">
        <f>BO587</f>
        <v/>
      </c>
      <c r="BP670" s="1346" t="n"/>
      <c r="BQ670" s="1346" t="n"/>
      <c r="BR670" s="1346" t="n"/>
      <c r="BS670" s="1346" t="n"/>
      <c r="BT670" s="1345" t="n"/>
      <c r="BU670" s="1346" t="n"/>
      <c r="BV670" s="1346" t="n"/>
      <c r="BW670" s="1346" t="n"/>
      <c r="BX670" s="1346" t="n"/>
      <c r="BY670" s="1345" t="n"/>
      <c r="BZ670" s="1345" t="n"/>
      <c r="CA670" s="1345" t="n"/>
      <c r="CB670" s="1345" t="n"/>
      <c r="CC670" s="1331" t="n"/>
    </row>
    <row r="671" collapsed="1" ht="14.4" customFormat="1" customHeight="1" s="1323">
      <c r="A671" s="1344" t="n"/>
      <c r="B671" s="1394" t="n"/>
      <c r="C671" s="1345" t="n"/>
      <c r="D671" s="1345" t="n"/>
      <c r="E671" s="1345" t="n"/>
      <c r="F671" s="1345" t="n"/>
      <c r="G671" s="1345" t="n"/>
      <c r="H671" s="1346" t="n"/>
      <c r="I671" s="1346" t="n"/>
      <c r="J671" s="1346" t="n"/>
      <c r="K671" s="1346" t="n"/>
      <c r="L671" s="1345" t="n"/>
      <c r="M671" s="1346" t="n"/>
      <c r="N671" s="1346" t="n"/>
      <c r="O671" s="1346" t="n"/>
      <c r="P671" s="1346" t="n"/>
      <c r="Q671" s="1345" t="n"/>
      <c r="R671" s="1346" t="n"/>
      <c r="S671" s="1346" t="n"/>
      <c r="T671" s="1346" t="n"/>
      <c r="U671" s="1346" t="n"/>
      <c r="V671" s="1345" t="n"/>
      <c r="W671" s="1346" t="n"/>
      <c r="X671" s="1346" t="n"/>
      <c r="Y671" s="1346" t="n"/>
      <c r="Z671" s="1346" t="n"/>
      <c r="AA671" s="1345" t="n"/>
      <c r="AB671" s="1346" t="n"/>
      <c r="AC671" s="1346" t="n"/>
      <c r="AD671" s="1346" t="n"/>
      <c r="AE671" s="1346" t="n"/>
      <c r="AF671" s="1345" t="n"/>
      <c r="AG671" s="1346" t="n"/>
      <c r="AH671" s="1346" t="n"/>
      <c r="AI671" s="1346" t="n"/>
      <c r="AJ671" s="1346" t="n"/>
      <c r="AK671" s="1345" t="n"/>
      <c r="AL671" s="1346" t="n"/>
      <c r="AM671" s="1346" t="n"/>
      <c r="AN671" s="1346" t="n"/>
      <c r="AO671" s="1346" t="n"/>
      <c r="AP671" s="1345" t="n"/>
      <c r="AQ671" s="1346" t="n"/>
      <c r="AR671" s="1346" t="n"/>
      <c r="AS671" s="1346" t="n"/>
      <c r="AT671" s="1346" t="n"/>
      <c r="AU671" s="1345" t="n"/>
      <c r="AV671" s="1346" t="n"/>
      <c r="AW671" s="1346" t="n"/>
      <c r="AX671" s="1346" t="n"/>
      <c r="AY671" s="1346" t="n"/>
      <c r="AZ671" s="1345" t="n"/>
      <c r="BA671" s="1346" t="n"/>
      <c r="BB671" s="1346" t="n"/>
      <c r="BC671" s="1346" t="n"/>
      <c r="BD671" s="1346" t="n"/>
      <c r="BE671" s="1345" t="n"/>
      <c r="BF671" s="1346" t="n"/>
      <c r="BG671" s="1346" t="n"/>
      <c r="BH671" s="1346" t="n"/>
      <c r="BI671" s="1346" t="n"/>
      <c r="BJ671" s="1345" t="n"/>
      <c r="BK671" s="1346" t="n"/>
      <c r="BL671" s="1346" t="n"/>
      <c r="BM671" s="1346" t="n"/>
      <c r="BN671" s="1346" t="n"/>
      <c r="BO671" s="1347" t="n"/>
      <c r="BP671" s="1346" t="n"/>
      <c r="BQ671" s="1346" t="n"/>
      <c r="BR671" s="1346" t="n"/>
      <c r="BS671" s="1346" t="n"/>
      <c r="BT671" s="1345" t="n"/>
      <c r="BU671" s="1346" t="n"/>
      <c r="BV671" s="1346" t="n"/>
      <c r="BW671" s="1346" t="n"/>
      <c r="BX671" s="1346" t="n"/>
      <c r="BY671" s="1345" t="n"/>
      <c r="BZ671" s="1345" t="n"/>
      <c r="CA671" s="1345" t="n"/>
      <c r="CB671" s="1345" t="n"/>
      <c r="CC671" s="1331" t="n"/>
    </row>
    <row r="672" ht="14.4" customFormat="1" customHeight="1" s="1275">
      <c r="A672" s="1357" t="inlineStr">
        <is>
          <t>Cash Flow Statement</t>
        </is>
      </c>
      <c r="B672" s="1358" t="n"/>
      <c r="C672" s="1358" t="n"/>
      <c r="D672" s="1358" t="n"/>
      <c r="E672" s="1358" t="n"/>
      <c r="F672" s="1358" t="n"/>
      <c r="G672" s="1358" t="n"/>
      <c r="H672" s="1358" t="n"/>
      <c r="I672" s="1358" t="n"/>
      <c r="J672" s="1358" t="n"/>
      <c r="K672" s="1358" t="n"/>
      <c r="L672" s="1358" t="n"/>
      <c r="M672" s="1358" t="n"/>
      <c r="N672" s="1358" t="n"/>
      <c r="O672" s="1358" t="n"/>
      <c r="P672" s="1358" t="n"/>
      <c r="Q672" s="1358" t="n"/>
      <c r="R672" s="1358" t="n"/>
      <c r="S672" s="1358" t="n"/>
      <c r="T672" s="1358" t="n"/>
      <c r="U672" s="1358" t="n"/>
      <c r="V672" s="1358" t="n"/>
      <c r="W672" s="1358" t="n"/>
      <c r="X672" s="1358" t="n"/>
      <c r="Y672" s="1358" t="n"/>
      <c r="Z672" s="1358" t="n"/>
      <c r="AA672" s="1358" t="n"/>
      <c r="AB672" s="1358" t="n"/>
      <c r="AC672" s="1358" t="n"/>
      <c r="AD672" s="1358" t="n"/>
      <c r="AE672" s="1358" t="n"/>
      <c r="AF672" s="1358" t="n"/>
      <c r="AG672" s="1358" t="n"/>
      <c r="AH672" s="1358" t="n"/>
      <c r="AI672" s="1358" t="n"/>
      <c r="AJ672" s="1358" t="n"/>
      <c r="AK672" s="1358" t="n"/>
      <c r="AL672" s="1358" t="n"/>
      <c r="AM672" s="1358" t="n"/>
      <c r="AN672" s="1358" t="n"/>
      <c r="AO672" s="1358" t="n"/>
      <c r="AP672" s="1358" t="n"/>
      <c r="AQ672" s="1358" t="n"/>
      <c r="AR672" s="1358" t="n"/>
      <c r="AS672" s="1358" t="n"/>
      <c r="AT672" s="1358" t="n"/>
      <c r="AU672" s="1358" t="n"/>
      <c r="AV672" s="1358" t="n"/>
      <c r="AW672" s="1358" t="n"/>
      <c r="AX672" s="1358" t="n"/>
      <c r="AY672" s="1358" t="n"/>
      <c r="AZ672" s="1358" t="n"/>
      <c r="BA672" s="1358" t="n"/>
      <c r="BB672" s="1358" t="n"/>
      <c r="BC672" s="1358" t="n"/>
      <c r="BD672" s="1358" t="n"/>
      <c r="BE672" s="1358" t="n"/>
      <c r="BF672" s="1358" t="n"/>
      <c r="BG672" s="1358" t="n"/>
      <c r="BH672" s="1358" t="n"/>
      <c r="BI672" s="1358" t="n"/>
      <c r="BJ672" s="1358" t="n"/>
      <c r="BK672" s="1358" t="n"/>
      <c r="BL672" s="1358" t="n"/>
      <c r="BM672" s="1358" t="n"/>
      <c r="BN672" s="1358" t="n"/>
      <c r="BO672" s="1359" t="n"/>
      <c r="BP672" s="1358" t="n"/>
      <c r="BQ672" s="1358" t="n"/>
      <c r="BR672" s="1358" t="n"/>
      <c r="BS672" s="1358" t="n"/>
      <c r="BT672" s="1358" t="n"/>
      <c r="BU672" s="1358" t="n"/>
      <c r="BV672" s="1358" t="n"/>
      <c r="BW672" s="1358" t="n"/>
      <c r="BX672" s="1358" t="n"/>
      <c r="BY672" s="1358" t="n"/>
      <c r="BZ672" s="1358" t="n"/>
      <c r="CA672" s="1358" t="n"/>
      <c r="CB672" s="1358" t="n"/>
      <c r="CC672" s="1280" t="n"/>
    </row>
    <row r="673" ht="14.4" customFormat="1" customHeight="1" s="1323">
      <c r="A673" s="1577">
        <f>A524</f>
        <v/>
      </c>
      <c r="B673" s="1394" t="n"/>
      <c r="C673" s="1345" t="n"/>
      <c r="D673" s="1345" t="n"/>
      <c r="E673" s="1345" t="n"/>
      <c r="F673" s="1345" t="n"/>
      <c r="G673" s="1345" t="n"/>
      <c r="H673" s="1346" t="n"/>
      <c r="I673" s="1346" t="n"/>
      <c r="J673" s="1346" t="n"/>
      <c r="K673" s="1346" t="n"/>
      <c r="L673" s="1345" t="n"/>
      <c r="M673" s="1346" t="n"/>
      <c r="N673" s="1346" t="n"/>
      <c r="O673" s="1346" t="n"/>
      <c r="P673" s="1346" t="n"/>
      <c r="Q673" s="1345" t="n"/>
      <c r="R673" s="1346" t="n"/>
      <c r="S673" s="1346" t="n"/>
      <c r="T673" s="1346" t="n"/>
      <c r="U673" s="1346" t="n"/>
      <c r="V673" s="1345" t="n"/>
      <c r="W673" s="1346" t="n"/>
      <c r="X673" s="1346" t="n"/>
      <c r="Y673" s="1346" t="n"/>
      <c r="Z673" s="1346" t="n"/>
      <c r="AA673" s="1345" t="n"/>
      <c r="AB673" s="1346" t="n"/>
      <c r="AC673" s="1346" t="n"/>
      <c r="AD673" s="1346" t="n"/>
      <c r="AE673" s="1346" t="n"/>
      <c r="AF673" s="1345" t="n"/>
      <c r="AG673" s="1346" t="n"/>
      <c r="AH673" s="1346" t="n"/>
      <c r="AI673" s="1346" t="n"/>
      <c r="AJ673" s="1346" t="n"/>
      <c r="AK673" s="1345" t="n"/>
      <c r="AL673" s="1346" t="n"/>
      <c r="AM673" s="1346" t="n"/>
      <c r="AN673" s="1346" t="n"/>
      <c r="AO673" s="1346" t="n"/>
      <c r="AP673" s="1345" t="n"/>
      <c r="AQ673" s="1346" t="n"/>
      <c r="AR673" s="1346" t="n"/>
      <c r="AS673" s="1346" t="n"/>
      <c r="AT673" s="1346" t="n"/>
      <c r="AU673" s="1345" t="n"/>
      <c r="AV673" s="1346" t="n"/>
      <c r="AW673" s="1346" t="n"/>
      <c r="AX673" s="1346" t="n"/>
      <c r="AY673" s="1346" t="n"/>
      <c r="AZ673" s="1345" t="n"/>
      <c r="BA673" s="1346" t="n"/>
      <c r="BB673" s="1346" t="n"/>
      <c r="BC673" s="1346" t="n"/>
      <c r="BD673" s="1346" t="n"/>
      <c r="BE673" s="1345" t="n"/>
      <c r="BF673" s="1346" t="n"/>
      <c r="BG673" s="1346" t="n"/>
      <c r="BH673" s="1346" t="n"/>
      <c r="BI673" s="1346" t="n"/>
      <c r="BJ673" s="1345" t="n"/>
      <c r="BK673" s="1346" t="n"/>
      <c r="BL673" s="1346" t="n"/>
      <c r="BM673" s="1346" t="n"/>
      <c r="BN673" s="1346" t="n"/>
      <c r="BO673" s="1347" t="n"/>
      <c r="BP673" s="1346" t="n"/>
      <c r="BQ673" s="1346" t="n"/>
      <c r="BR673" s="1346" t="n"/>
      <c r="BS673" s="1346" t="n"/>
      <c r="BT673" s="1297" t="n"/>
      <c r="BU673" s="1346" t="n"/>
      <c r="BV673" s="1346" t="n"/>
      <c r="BW673" s="1346" t="n"/>
      <c r="BX673" s="1346" t="n"/>
      <c r="BY673" s="1297" t="n"/>
      <c r="BZ673" s="1297" t="n"/>
      <c r="CA673" s="1297" t="n"/>
      <c r="CB673" s="1297" t="n"/>
      <c r="CC673" s="1331" t="n"/>
    </row>
    <row r="674" ht="14.4" customFormat="1" customHeight="1" s="1323">
      <c r="A674" s="1384">
        <f>A525</f>
        <v/>
      </c>
      <c r="B674" s="1394" t="n"/>
      <c r="C674" s="1297">
        <f>C525</f>
        <v/>
      </c>
      <c r="D674" s="1297">
        <f>D525</f>
        <v/>
      </c>
      <c r="E674" s="1297">
        <f>E525</f>
        <v/>
      </c>
      <c r="F674" s="1297">
        <f>F525</f>
        <v/>
      </c>
      <c r="G674" s="1297">
        <f>G525</f>
        <v/>
      </c>
      <c r="H674" s="1277">
        <f>H525</f>
        <v/>
      </c>
      <c r="I674" s="1277">
        <f>I525-H525</f>
        <v/>
      </c>
      <c r="J674" s="1277">
        <f>J525-I525</f>
        <v/>
      </c>
      <c r="K674" s="1277">
        <f>K525-J525</f>
        <v/>
      </c>
      <c r="L674" s="1297">
        <f>L525</f>
        <v/>
      </c>
      <c r="M674" s="1277">
        <f>M525</f>
        <v/>
      </c>
      <c r="N674" s="1277">
        <f>N525-M525</f>
        <v/>
      </c>
      <c r="O674" s="1277">
        <f>O525-N525</f>
        <v/>
      </c>
      <c r="P674" s="1277">
        <f>P525-O525</f>
        <v/>
      </c>
      <c r="Q674" s="1297">
        <f>Q525</f>
        <v/>
      </c>
      <c r="R674" s="1277">
        <f>R525</f>
        <v/>
      </c>
      <c r="S674" s="1277">
        <f>S525-R525</f>
        <v/>
      </c>
      <c r="T674" s="1277">
        <f>T525-S525</f>
        <v/>
      </c>
      <c r="U674" s="1277">
        <f>U525-T525</f>
        <v/>
      </c>
      <c r="V674" s="1297">
        <f>V525</f>
        <v/>
      </c>
      <c r="W674" s="1277">
        <f>W525</f>
        <v/>
      </c>
      <c r="X674" s="1277">
        <f>X525-W525</f>
        <v/>
      </c>
      <c r="Y674" s="1277">
        <f>Y525-X525</f>
        <v/>
      </c>
      <c r="Z674" s="1277">
        <f>Z525-Y525</f>
        <v/>
      </c>
      <c r="AA674" s="1297">
        <f>AA525</f>
        <v/>
      </c>
      <c r="AB674" s="1277">
        <f>AB525</f>
        <v/>
      </c>
      <c r="AC674" s="1277">
        <f>AC525-AB525</f>
        <v/>
      </c>
      <c r="AD674" s="1277">
        <f>AD525-AC525</f>
        <v/>
      </c>
      <c r="AE674" s="1277">
        <f>AE525-AD525</f>
        <v/>
      </c>
      <c r="AF674" s="1297">
        <f>AF525</f>
        <v/>
      </c>
      <c r="AG674" s="1277">
        <f>AG525</f>
        <v/>
      </c>
      <c r="AH674" s="1277">
        <f>AH525-AG525</f>
        <v/>
      </c>
      <c r="AI674" s="1277">
        <f>AI525-AH525</f>
        <v/>
      </c>
      <c r="AJ674" s="1277">
        <f>AJ525-AI525</f>
        <v/>
      </c>
      <c r="AK674" s="1297">
        <f>SUM(AG674,AH674,AI674,AJ674)</f>
        <v/>
      </c>
      <c r="AL674" s="1277">
        <f>AL525</f>
        <v/>
      </c>
      <c r="AM674" s="1277">
        <f>AM525-AL525</f>
        <v/>
      </c>
      <c r="AN674" s="1277">
        <f>AN525-AM525</f>
        <v/>
      </c>
      <c r="AO674" s="1277">
        <f>AO525-AN525</f>
        <v/>
      </c>
      <c r="AP674" s="1297">
        <f>SUM(AL674,AM674,AN674,AO674)</f>
        <v/>
      </c>
      <c r="AQ674" s="1277">
        <f>AQ525</f>
        <v/>
      </c>
      <c r="AR674" s="1277">
        <f>AR525-AQ525</f>
        <v/>
      </c>
      <c r="AS674" s="1277">
        <f>AS525-AR525</f>
        <v/>
      </c>
      <c r="AT674" s="1277">
        <f>AT525-AS525</f>
        <v/>
      </c>
      <c r="AU674" s="1297">
        <f>SUM(AQ674,AR674,AS674,AT674)</f>
        <v/>
      </c>
      <c r="AV674" s="1277">
        <f>AV525</f>
        <v/>
      </c>
      <c r="AW674" s="1277">
        <f>AW525-AV525</f>
        <v/>
      </c>
      <c r="AX674" s="1277">
        <f>AX525-AW525</f>
        <v/>
      </c>
      <c r="AY674" s="1277">
        <f>AY525-AX525</f>
        <v/>
      </c>
      <c r="AZ674" s="1297">
        <f>SUM(AV674,AW674,AX674,AY674)</f>
        <v/>
      </c>
      <c r="BA674" s="1277">
        <f>BA525</f>
        <v/>
      </c>
      <c r="BB674" s="1277">
        <f>BB525-BA525</f>
        <v/>
      </c>
      <c r="BC674" s="1277">
        <f>BC525-BB525</f>
        <v/>
      </c>
      <c r="BD674" s="1277">
        <f>BD525-BC525</f>
        <v/>
      </c>
      <c r="BE674" s="1297">
        <f>SUM(BA674,BB674,BC674,BD674)</f>
        <v/>
      </c>
      <c r="BF674" s="1277">
        <f>BF525</f>
        <v/>
      </c>
      <c r="BG674" s="1277">
        <f>BG525-BF525</f>
        <v/>
      </c>
      <c r="BH674" s="1277">
        <f>BH525-BG525</f>
        <v/>
      </c>
      <c r="BI674" s="1277">
        <f>BI525-BH525</f>
        <v/>
      </c>
      <c r="BJ674" s="1297">
        <f>SUM(BF674,BG674,BH674,BI674)</f>
        <v/>
      </c>
      <c r="BK674" s="1277">
        <f>BK525</f>
        <v/>
      </c>
      <c r="BL674" s="1277">
        <f>BL525-BK525</f>
        <v/>
      </c>
      <c r="BM674" s="1277">
        <f>BM525-BL525</f>
        <v/>
      </c>
      <c r="BN674" s="1277">
        <f>BN525-BM525</f>
        <v/>
      </c>
      <c r="BO674" s="1382">
        <f>SUM(BK674,BL674,BM674,BN674)</f>
        <v/>
      </c>
      <c r="BP674" s="1277">
        <f>BP398</f>
        <v/>
      </c>
      <c r="BQ674" s="1277">
        <f>BQ398</f>
        <v/>
      </c>
      <c r="BR674" s="1277">
        <f>BR398</f>
        <v/>
      </c>
      <c r="BS674" s="1277">
        <f>BS398</f>
        <v/>
      </c>
      <c r="BT674" s="1297">
        <f>SUM(BP674,BQ674,BR674,BS674)</f>
        <v/>
      </c>
      <c r="BU674" s="1277">
        <f>BU398</f>
        <v/>
      </c>
      <c r="BV674" s="1277">
        <f>BV398</f>
        <v/>
      </c>
      <c r="BW674" s="1277">
        <f>BW398</f>
        <v/>
      </c>
      <c r="BX674" s="1277">
        <f>BX398</f>
        <v/>
      </c>
      <c r="BY674" s="1297">
        <f>SUM(BU674,BV674,BW674,BX674)</f>
        <v/>
      </c>
      <c r="BZ674" s="1297">
        <f>BZ398</f>
        <v/>
      </c>
      <c r="CA674" s="1297">
        <f>CA398</f>
        <v/>
      </c>
      <c r="CB674" s="1297">
        <f>CB398</f>
        <v/>
      </c>
      <c r="CC674" s="1331" t="n"/>
    </row>
    <row r="675" ht="14.4" customFormat="1" customHeight="1" s="1323">
      <c r="A675" s="1384">
        <f>A526</f>
        <v/>
      </c>
      <c r="B675" s="1394" t="n"/>
      <c r="C675" s="1297">
        <f>C526</f>
        <v/>
      </c>
      <c r="D675" s="1297">
        <f>D526</f>
        <v/>
      </c>
      <c r="E675" s="1297">
        <f>E526</f>
        <v/>
      </c>
      <c r="F675" s="1297">
        <f>F526</f>
        <v/>
      </c>
      <c r="G675" s="1297">
        <f>G526</f>
        <v/>
      </c>
      <c r="H675" s="1277">
        <f>H526</f>
        <v/>
      </c>
      <c r="I675" s="1277">
        <f>I526-H526</f>
        <v/>
      </c>
      <c r="J675" s="1277">
        <f>J526-I526</f>
        <v/>
      </c>
      <c r="K675" s="1277">
        <f>K526-J526</f>
        <v/>
      </c>
      <c r="L675" s="1297">
        <f>L526</f>
        <v/>
      </c>
      <c r="M675" s="1277">
        <f>M526</f>
        <v/>
      </c>
      <c r="N675" s="1277">
        <f>N526-M526</f>
        <v/>
      </c>
      <c r="O675" s="1277">
        <f>O526-N526</f>
        <v/>
      </c>
      <c r="P675" s="1277">
        <f>P526-O526</f>
        <v/>
      </c>
      <c r="Q675" s="1297">
        <f>Q526</f>
        <v/>
      </c>
      <c r="R675" s="1277">
        <f>R526</f>
        <v/>
      </c>
      <c r="S675" s="1277">
        <f>S526-R526</f>
        <v/>
      </c>
      <c r="T675" s="1277">
        <f>T526-S526</f>
        <v/>
      </c>
      <c r="U675" s="1277">
        <f>U526-T526</f>
        <v/>
      </c>
      <c r="V675" s="1297">
        <f>V526</f>
        <v/>
      </c>
      <c r="W675" s="1277">
        <f>W526</f>
        <v/>
      </c>
      <c r="X675" s="1277">
        <f>X526-W526</f>
        <v/>
      </c>
      <c r="Y675" s="1277">
        <f>Y526-X526</f>
        <v/>
      </c>
      <c r="Z675" s="1277">
        <f>Z526-Y526</f>
        <v/>
      </c>
      <c r="AA675" s="1297">
        <f>AA526</f>
        <v/>
      </c>
      <c r="AB675" s="1277">
        <f>AB526</f>
        <v/>
      </c>
      <c r="AC675" s="1277">
        <f>AC526-AB526</f>
        <v/>
      </c>
      <c r="AD675" s="1277">
        <f>AD526-AC526</f>
        <v/>
      </c>
      <c r="AE675" s="1277">
        <f>AE526-AD526</f>
        <v/>
      </c>
      <c r="AF675" s="1297">
        <f>AF526</f>
        <v/>
      </c>
      <c r="AG675" s="1277">
        <f>AG526</f>
        <v/>
      </c>
      <c r="AH675" s="1277">
        <f>AH526-AG526</f>
        <v/>
      </c>
      <c r="AI675" s="1277">
        <f>AI526-AH526</f>
        <v/>
      </c>
      <c r="AJ675" s="1277">
        <f>AJ526-AI526</f>
        <v/>
      </c>
      <c r="AK675" s="1297">
        <f>SUM(AG675,AH675,AI675,AJ675)</f>
        <v/>
      </c>
      <c r="AL675" s="1277">
        <f>AL526</f>
        <v/>
      </c>
      <c r="AM675" s="1277">
        <f>AM526-AL526</f>
        <v/>
      </c>
      <c r="AN675" s="1277">
        <f>AN526-AM526</f>
        <v/>
      </c>
      <c r="AO675" s="1277">
        <f>AO526-AN526</f>
        <v/>
      </c>
      <c r="AP675" s="1297">
        <f>SUM(AL675,AM675,AN675,AO675)</f>
        <v/>
      </c>
      <c r="AQ675" s="1277">
        <f>AQ526</f>
        <v/>
      </c>
      <c r="AR675" s="1277">
        <f>AR526-AQ526</f>
        <v/>
      </c>
      <c r="AS675" s="1277">
        <f>AS526-AR526</f>
        <v/>
      </c>
      <c r="AT675" s="1277">
        <f>AT526-AS526</f>
        <v/>
      </c>
      <c r="AU675" s="1297">
        <f>SUM(AQ675,AR675,AS675,AT675)</f>
        <v/>
      </c>
      <c r="AV675" s="1277">
        <f>AV526</f>
        <v/>
      </c>
      <c r="AW675" s="1277">
        <f>AW526-AV526</f>
        <v/>
      </c>
      <c r="AX675" s="1277">
        <f>AX526-AW526</f>
        <v/>
      </c>
      <c r="AY675" s="1277">
        <f>AY526-AX526</f>
        <v/>
      </c>
      <c r="AZ675" s="1297">
        <f>SUM(AV675,AW675,AX675,AY675)</f>
        <v/>
      </c>
      <c r="BA675" s="1277">
        <f>BA526</f>
        <v/>
      </c>
      <c r="BB675" s="1277">
        <f>BB526-BA526</f>
        <v/>
      </c>
      <c r="BC675" s="1277">
        <f>BC526-BB526</f>
        <v/>
      </c>
      <c r="BD675" s="1277">
        <f>BD526-BC526</f>
        <v/>
      </c>
      <c r="BE675" s="1297">
        <f>SUM(BA675,BB675,BC675,BD675)</f>
        <v/>
      </c>
      <c r="BF675" s="1277">
        <f>BF526</f>
        <v/>
      </c>
      <c r="BG675" s="1277">
        <f>BG526-BF526</f>
        <v/>
      </c>
      <c r="BH675" s="1277">
        <f>BH526-BG526</f>
        <v/>
      </c>
      <c r="BI675" s="1277">
        <f>BI526-BH526</f>
        <v/>
      </c>
      <c r="BJ675" s="1297">
        <f>SUM(BF675,BG675,BH675,BI675)</f>
        <v/>
      </c>
      <c r="BK675" s="1277">
        <f>BK526</f>
        <v/>
      </c>
      <c r="BL675" s="1277">
        <f>BL526-BK526</f>
        <v/>
      </c>
      <c r="BM675" s="1277">
        <f>BM526-BL526</f>
        <v/>
      </c>
      <c r="BN675" s="1277">
        <f>BN526-BM526</f>
        <v/>
      </c>
      <c r="BO675" s="1382">
        <f>SUM(BK675,BL675,BM675,BN675)</f>
        <v/>
      </c>
      <c r="BP675" s="1277" t="n"/>
      <c r="BQ675" s="1277" t="n"/>
      <c r="BR675" s="1277" t="n"/>
      <c r="BS675" s="1277" t="n"/>
      <c r="BT675" s="1297">
        <f>SUM(BP675,BQ675,BR675,BS675)</f>
        <v/>
      </c>
      <c r="BU675" s="1277" t="n"/>
      <c r="BV675" s="1277" t="n"/>
      <c r="BW675" s="1277" t="n"/>
      <c r="BX675" s="1277" t="n"/>
      <c r="BY675" s="1297">
        <f>SUM(BU675,BV675,BW675,BX675)</f>
        <v/>
      </c>
      <c r="BZ675" s="1297" t="n"/>
      <c r="CA675" s="1297" t="n"/>
      <c r="CB675" s="1297" t="n"/>
      <c r="CC675" s="1331" t="n"/>
    </row>
    <row r="676" ht="14.4" customFormat="1" customHeight="1" s="1323">
      <c r="A676" s="1384">
        <f>A527</f>
        <v/>
      </c>
      <c r="B676" s="1394" t="n"/>
      <c r="C676" s="1297">
        <f>C527</f>
        <v/>
      </c>
      <c r="D676" s="1297">
        <f>D527</f>
        <v/>
      </c>
      <c r="E676" s="1297">
        <f>E527</f>
        <v/>
      </c>
      <c r="F676" s="1297">
        <f>F527</f>
        <v/>
      </c>
      <c r="G676" s="1297">
        <f>G527</f>
        <v/>
      </c>
      <c r="H676" s="1277">
        <f>H527</f>
        <v/>
      </c>
      <c r="I676" s="1277">
        <f>I527-H527</f>
        <v/>
      </c>
      <c r="J676" s="1277">
        <f>J527-I527</f>
        <v/>
      </c>
      <c r="K676" s="1277">
        <f>K527-J527</f>
        <v/>
      </c>
      <c r="L676" s="1297">
        <f>L527</f>
        <v/>
      </c>
      <c r="M676" s="1277">
        <f>M527</f>
        <v/>
      </c>
      <c r="N676" s="1277">
        <f>N527-M527</f>
        <v/>
      </c>
      <c r="O676" s="1277">
        <f>O527-N527</f>
        <v/>
      </c>
      <c r="P676" s="1277">
        <f>P527-O527</f>
        <v/>
      </c>
      <c r="Q676" s="1297">
        <f>Q527</f>
        <v/>
      </c>
      <c r="R676" s="1277">
        <f>R527</f>
        <v/>
      </c>
      <c r="S676" s="1277">
        <f>S527-R527</f>
        <v/>
      </c>
      <c r="T676" s="1277">
        <f>T527-S527</f>
        <v/>
      </c>
      <c r="U676" s="1277">
        <f>U527-T527</f>
        <v/>
      </c>
      <c r="V676" s="1297">
        <f>V527</f>
        <v/>
      </c>
      <c r="W676" s="1277">
        <f>W527</f>
        <v/>
      </c>
      <c r="X676" s="1277">
        <f>X527-W527</f>
        <v/>
      </c>
      <c r="Y676" s="1277">
        <f>Y527-X527</f>
        <v/>
      </c>
      <c r="Z676" s="1277">
        <f>Z527-Y527</f>
        <v/>
      </c>
      <c r="AA676" s="1297">
        <f>AA527</f>
        <v/>
      </c>
      <c r="AB676" s="1277">
        <f>AB527</f>
        <v/>
      </c>
      <c r="AC676" s="1277">
        <f>AC527-AB527</f>
        <v/>
      </c>
      <c r="AD676" s="1277">
        <f>AD527-AC527</f>
        <v/>
      </c>
      <c r="AE676" s="1277">
        <f>AE527-AD527</f>
        <v/>
      </c>
      <c r="AF676" s="1297">
        <f>AF527</f>
        <v/>
      </c>
      <c r="AG676" s="1277">
        <f>AG527</f>
        <v/>
      </c>
      <c r="AH676" s="1277">
        <f>AH527-AG527</f>
        <v/>
      </c>
      <c r="AI676" s="1277">
        <f>AI527-AH527</f>
        <v/>
      </c>
      <c r="AJ676" s="1277">
        <f>AJ527-AI527</f>
        <v/>
      </c>
      <c r="AK676" s="1297">
        <f>SUM(AG676,AH676,AI676,AJ676)</f>
        <v/>
      </c>
      <c r="AL676" s="1277">
        <f>AL527</f>
        <v/>
      </c>
      <c r="AM676" s="1277">
        <f>AM527-AL527</f>
        <v/>
      </c>
      <c r="AN676" s="1277">
        <f>AN527-AM527</f>
        <v/>
      </c>
      <c r="AO676" s="1277">
        <f>AO527-AN527</f>
        <v/>
      </c>
      <c r="AP676" s="1297">
        <f>SUM(AL676,AM676,AN676,AO676)</f>
        <v/>
      </c>
      <c r="AQ676" s="1277">
        <f>AQ527</f>
        <v/>
      </c>
      <c r="AR676" s="1277">
        <f>AR527-AQ527</f>
        <v/>
      </c>
      <c r="AS676" s="1277">
        <f>AS527-AR527</f>
        <v/>
      </c>
      <c r="AT676" s="1277">
        <f>AT527-AS527</f>
        <v/>
      </c>
      <c r="AU676" s="1297">
        <f>SUM(AQ676,AR676,AS676,AT676)</f>
        <v/>
      </c>
      <c r="AV676" s="1277">
        <f>AV527</f>
        <v/>
      </c>
      <c r="AW676" s="1277">
        <f>AW527-AV527</f>
        <v/>
      </c>
      <c r="AX676" s="1277">
        <f>AX527-AW527</f>
        <v/>
      </c>
      <c r="AY676" s="1277">
        <f>AY527-AX527</f>
        <v/>
      </c>
      <c r="AZ676" s="1297">
        <f>SUM(AV676,AW676,AX676,AY676)</f>
        <v/>
      </c>
      <c r="BA676" s="1277">
        <f>BA527</f>
        <v/>
      </c>
      <c r="BB676" s="1277">
        <f>BB527-BA527</f>
        <v/>
      </c>
      <c r="BC676" s="1277">
        <f>BC527-BB527</f>
        <v/>
      </c>
      <c r="BD676" s="1277">
        <f>BD527-BC527</f>
        <v/>
      </c>
      <c r="BE676" s="1297">
        <f>SUM(BA676,BB676,BC676,BD676)</f>
        <v/>
      </c>
      <c r="BF676" s="1277">
        <f>BF527</f>
        <v/>
      </c>
      <c r="BG676" s="1277">
        <f>BG527-BF527</f>
        <v/>
      </c>
      <c r="BH676" s="1277">
        <f>BH527-BG527</f>
        <v/>
      </c>
      <c r="BI676" s="1277">
        <f>BI527-BH527</f>
        <v/>
      </c>
      <c r="BJ676" s="1297">
        <f>SUM(BF676,BG676,BH676,BI676)</f>
        <v/>
      </c>
      <c r="BK676" s="1277">
        <f>BK527</f>
        <v/>
      </c>
      <c r="BL676" s="1277">
        <f>BL527-BK527</f>
        <v/>
      </c>
      <c r="BM676" s="1277">
        <f>BM527-BL527</f>
        <v/>
      </c>
      <c r="BN676" s="1277">
        <f>BN527-BM527</f>
        <v/>
      </c>
      <c r="BO676" s="1382">
        <f>SUM(BK676,BL676,BM676,BN676)</f>
        <v/>
      </c>
      <c r="BP676" s="1277" t="n"/>
      <c r="BQ676" s="1277" t="n"/>
      <c r="BR676" s="1277" t="n"/>
      <c r="BS676" s="1277" t="n"/>
      <c r="BT676" s="1297">
        <f>SUM(BP676,BQ676,BR676,BS676)</f>
        <v/>
      </c>
      <c r="BU676" s="1277" t="n"/>
      <c r="BV676" s="1277" t="n"/>
      <c r="BW676" s="1277" t="n"/>
      <c r="BX676" s="1277" t="n"/>
      <c r="BY676" s="1297">
        <f>SUM(BU676,BV676,BW676,BX676)</f>
        <v/>
      </c>
      <c r="BZ676" s="1297" t="n"/>
      <c r="CA676" s="1297" t="n"/>
      <c r="CB676" s="1297" t="n"/>
      <c r="CC676" s="1331" t="n"/>
    </row>
    <row r="677" ht="14.4" customFormat="1" customHeight="1" s="1323">
      <c r="A677" s="1384">
        <f>A528</f>
        <v/>
      </c>
      <c r="B677" s="1394" t="n"/>
      <c r="C677" s="1297">
        <f>C528</f>
        <v/>
      </c>
      <c r="D677" s="1297">
        <f>D528</f>
        <v/>
      </c>
      <c r="E677" s="1297">
        <f>E528</f>
        <v/>
      </c>
      <c r="F677" s="1297">
        <f>F528</f>
        <v/>
      </c>
      <c r="G677" s="1297">
        <f>G528</f>
        <v/>
      </c>
      <c r="H677" s="1277">
        <f>H528</f>
        <v/>
      </c>
      <c r="I677" s="1277">
        <f>I528-H528</f>
        <v/>
      </c>
      <c r="J677" s="1277">
        <f>J528-I528</f>
        <v/>
      </c>
      <c r="K677" s="1277">
        <f>K528-J528</f>
        <v/>
      </c>
      <c r="L677" s="1297">
        <f>L528</f>
        <v/>
      </c>
      <c r="M677" s="1277">
        <f>M528</f>
        <v/>
      </c>
      <c r="N677" s="1277">
        <f>N528-M528</f>
        <v/>
      </c>
      <c r="O677" s="1277">
        <f>O528-N528</f>
        <v/>
      </c>
      <c r="P677" s="1277">
        <f>P528-O528</f>
        <v/>
      </c>
      <c r="Q677" s="1297">
        <f>Q528</f>
        <v/>
      </c>
      <c r="R677" s="1277">
        <f>R528</f>
        <v/>
      </c>
      <c r="S677" s="1277">
        <f>S528-R528</f>
        <v/>
      </c>
      <c r="T677" s="1277">
        <f>T528-S528</f>
        <v/>
      </c>
      <c r="U677" s="1277">
        <f>U528-T528</f>
        <v/>
      </c>
      <c r="V677" s="1297">
        <f>V528</f>
        <v/>
      </c>
      <c r="W677" s="1277">
        <f>W528</f>
        <v/>
      </c>
      <c r="X677" s="1277">
        <f>X528-W528</f>
        <v/>
      </c>
      <c r="Y677" s="1277">
        <f>Y528-X528</f>
        <v/>
      </c>
      <c r="Z677" s="1277">
        <f>Z528-Y528</f>
        <v/>
      </c>
      <c r="AA677" s="1297">
        <f>AA528</f>
        <v/>
      </c>
      <c r="AB677" s="1277">
        <f>AB528</f>
        <v/>
      </c>
      <c r="AC677" s="1277">
        <f>AC528-AB528</f>
        <v/>
      </c>
      <c r="AD677" s="1277">
        <f>AD528-AC528</f>
        <v/>
      </c>
      <c r="AE677" s="1277">
        <f>AE528-AD528</f>
        <v/>
      </c>
      <c r="AF677" s="1297">
        <f>AF528</f>
        <v/>
      </c>
      <c r="AG677" s="1277">
        <f>AG528</f>
        <v/>
      </c>
      <c r="AH677" s="1277">
        <f>AH528-AG528</f>
        <v/>
      </c>
      <c r="AI677" s="1277">
        <f>AI528-AH528</f>
        <v/>
      </c>
      <c r="AJ677" s="1277">
        <f>AJ528-AI528</f>
        <v/>
      </c>
      <c r="AK677" s="1297">
        <f>SUM(AG677,AH677,AI677,AJ677)</f>
        <v/>
      </c>
      <c r="AL677" s="1277">
        <f>AL528</f>
        <v/>
      </c>
      <c r="AM677" s="1277">
        <f>AM528-AL528</f>
        <v/>
      </c>
      <c r="AN677" s="1277">
        <f>AN528-AM528</f>
        <v/>
      </c>
      <c r="AO677" s="1277">
        <f>AO528-AN528</f>
        <v/>
      </c>
      <c r="AP677" s="1297">
        <f>SUM(AL677,AM677,AN677,AO677)</f>
        <v/>
      </c>
      <c r="AQ677" s="1277">
        <f>AQ528</f>
        <v/>
      </c>
      <c r="AR677" s="1277">
        <f>AR528-AQ528</f>
        <v/>
      </c>
      <c r="AS677" s="1277">
        <f>AS528-AR528</f>
        <v/>
      </c>
      <c r="AT677" s="1277">
        <f>AT528-AS528</f>
        <v/>
      </c>
      <c r="AU677" s="1297">
        <f>SUM(AQ677,AR677,AS677,AT677)</f>
        <v/>
      </c>
      <c r="AV677" s="1277">
        <f>AV528</f>
        <v/>
      </c>
      <c r="AW677" s="1277">
        <f>AW528-AV528</f>
        <v/>
      </c>
      <c r="AX677" s="1277">
        <f>AX528-AW528</f>
        <v/>
      </c>
      <c r="AY677" s="1277">
        <f>AY528-AX528</f>
        <v/>
      </c>
      <c r="AZ677" s="1297">
        <f>SUM(AV677,AW677,AX677,AY677)</f>
        <v/>
      </c>
      <c r="BA677" s="1277">
        <f>BA528</f>
        <v/>
      </c>
      <c r="BB677" s="1277">
        <f>BB528-BA528</f>
        <v/>
      </c>
      <c r="BC677" s="1277">
        <f>BC528-BB528</f>
        <v/>
      </c>
      <c r="BD677" s="1277">
        <f>BD528-BC528</f>
        <v/>
      </c>
      <c r="BE677" s="1297">
        <f>SUM(BA677,BB677,BC677,BD677)</f>
        <v/>
      </c>
      <c r="BF677" s="1277">
        <f>BF528</f>
        <v/>
      </c>
      <c r="BG677" s="1277">
        <f>BG528-BF528</f>
        <v/>
      </c>
      <c r="BH677" s="1277">
        <f>BH528-BG528</f>
        <v/>
      </c>
      <c r="BI677" s="1277">
        <f>BI528-BH528</f>
        <v/>
      </c>
      <c r="BJ677" s="1297">
        <f>SUM(BF677,BG677,BH677,BI677)</f>
        <v/>
      </c>
      <c r="BK677" s="1277">
        <f>BK528</f>
        <v/>
      </c>
      <c r="BL677" s="1277">
        <f>BL528-BK528</f>
        <v/>
      </c>
      <c r="BM677" s="1277">
        <f>BM528-BL528</f>
        <v/>
      </c>
      <c r="BN677" s="1277">
        <f>BN528-BM528</f>
        <v/>
      </c>
      <c r="BO677" s="1382">
        <f>SUM(BK677,BL677,BM677,BN677)</f>
        <v/>
      </c>
      <c r="BP677" s="1277">
        <f>BP72</f>
        <v/>
      </c>
      <c r="BQ677" s="1277">
        <f>BQ72</f>
        <v/>
      </c>
      <c r="BR677" s="1277">
        <f>BR72</f>
        <v/>
      </c>
      <c r="BS677" s="1277">
        <f>BS72</f>
        <v/>
      </c>
      <c r="BT677" s="1297">
        <f>SUM(BP677,BQ677,BR677,BS677)</f>
        <v/>
      </c>
      <c r="BU677" s="1277">
        <f>BU72</f>
        <v/>
      </c>
      <c r="BV677" s="1277">
        <f>BV72</f>
        <v/>
      </c>
      <c r="BW677" s="1277">
        <f>BW72</f>
        <v/>
      </c>
      <c r="BX677" s="1277">
        <f>BX72</f>
        <v/>
      </c>
      <c r="BY677" s="1297">
        <f>SUM(BU677,BV677,BW677,BX677)</f>
        <v/>
      </c>
      <c r="BZ677" s="1297">
        <f>BZ72</f>
        <v/>
      </c>
      <c r="CA677" s="1297">
        <f>CA72</f>
        <v/>
      </c>
      <c r="CB677" s="1297">
        <f>CB72</f>
        <v/>
      </c>
      <c r="CC677" s="1331" t="n"/>
    </row>
    <row r="678" ht="14.4" customFormat="1" customHeight="1" s="1323">
      <c r="A678" s="1384">
        <f>A529</f>
        <v/>
      </c>
      <c r="B678" s="1394" t="n"/>
      <c r="C678" s="1297">
        <f>C529</f>
        <v/>
      </c>
      <c r="D678" s="1297">
        <f>D529</f>
        <v/>
      </c>
      <c r="E678" s="1297">
        <f>E529</f>
        <v/>
      </c>
      <c r="F678" s="1297">
        <f>F529</f>
        <v/>
      </c>
      <c r="G678" s="1297">
        <f>G529</f>
        <v/>
      </c>
      <c r="H678" s="1277">
        <f>H529</f>
        <v/>
      </c>
      <c r="I678" s="1277">
        <f>I529-H529</f>
        <v/>
      </c>
      <c r="J678" s="1277">
        <f>J529-I529</f>
        <v/>
      </c>
      <c r="K678" s="1277">
        <f>K529-J529</f>
        <v/>
      </c>
      <c r="L678" s="1297">
        <f>L529</f>
        <v/>
      </c>
      <c r="M678" s="1277">
        <f>M529</f>
        <v/>
      </c>
      <c r="N678" s="1277">
        <f>N529-M529</f>
        <v/>
      </c>
      <c r="O678" s="1277">
        <f>O529-N529</f>
        <v/>
      </c>
      <c r="P678" s="1277">
        <f>P529-O529</f>
        <v/>
      </c>
      <c r="Q678" s="1297">
        <f>Q529</f>
        <v/>
      </c>
      <c r="R678" s="1277">
        <f>R529</f>
        <v/>
      </c>
      <c r="S678" s="1277">
        <f>S529-R529</f>
        <v/>
      </c>
      <c r="T678" s="1277">
        <f>T529-S529</f>
        <v/>
      </c>
      <c r="U678" s="1277">
        <f>U529-T529</f>
        <v/>
      </c>
      <c r="V678" s="1297">
        <f>V529</f>
        <v/>
      </c>
      <c r="W678" s="1277">
        <f>W529</f>
        <v/>
      </c>
      <c r="X678" s="1277">
        <f>X529-W529</f>
        <v/>
      </c>
      <c r="Y678" s="1277">
        <f>Y529-X529</f>
        <v/>
      </c>
      <c r="Z678" s="1277">
        <f>Z529-Y529</f>
        <v/>
      </c>
      <c r="AA678" s="1297">
        <f>AA529</f>
        <v/>
      </c>
      <c r="AB678" s="1277">
        <f>AB529</f>
        <v/>
      </c>
      <c r="AC678" s="1277">
        <f>AC529-AB529</f>
        <v/>
      </c>
      <c r="AD678" s="1277">
        <f>AD529-AC529</f>
        <v/>
      </c>
      <c r="AE678" s="1277">
        <f>AE529-AD529</f>
        <v/>
      </c>
      <c r="AF678" s="1297">
        <f>AF529</f>
        <v/>
      </c>
      <c r="AG678" s="1277">
        <f>AG529</f>
        <v/>
      </c>
      <c r="AH678" s="1277">
        <f>AH529-AG529</f>
        <v/>
      </c>
      <c r="AI678" s="1277">
        <f>AI529-AH529</f>
        <v/>
      </c>
      <c r="AJ678" s="1277">
        <f>AJ529-AI529</f>
        <v/>
      </c>
      <c r="AK678" s="1297">
        <f>SUM(AG678,AH678,AI678,AJ678)</f>
        <v/>
      </c>
      <c r="AL678" s="1277">
        <f>AL529</f>
        <v/>
      </c>
      <c r="AM678" s="1277">
        <f>AM529-AL529</f>
        <v/>
      </c>
      <c r="AN678" s="1277">
        <f>AN529-AM529</f>
        <v/>
      </c>
      <c r="AO678" s="1277">
        <f>AO529-AN529</f>
        <v/>
      </c>
      <c r="AP678" s="1297">
        <f>SUM(AL678,AM678,AN678,AO678)</f>
        <v/>
      </c>
      <c r="AQ678" s="1277">
        <f>AQ529</f>
        <v/>
      </c>
      <c r="AR678" s="1277">
        <f>AR529-AQ529</f>
        <v/>
      </c>
      <c r="AS678" s="1277">
        <f>AS529-AR529</f>
        <v/>
      </c>
      <c r="AT678" s="1277">
        <f>AT529-AS529</f>
        <v/>
      </c>
      <c r="AU678" s="1297">
        <f>SUM(AQ678,AR678,AS678,AT678)</f>
        <v/>
      </c>
      <c r="AV678" s="1277">
        <f>AV529</f>
        <v/>
      </c>
      <c r="AW678" s="1277">
        <f>AW529-AV529</f>
        <v/>
      </c>
      <c r="AX678" s="1277">
        <f>AX529-AW529</f>
        <v/>
      </c>
      <c r="AY678" s="1277">
        <f>AY529-AX529</f>
        <v/>
      </c>
      <c r="AZ678" s="1297">
        <f>SUM(AV678,AW678,AX678,AY678)</f>
        <v/>
      </c>
      <c r="BA678" s="1277">
        <f>BA529</f>
        <v/>
      </c>
      <c r="BB678" s="1277">
        <f>BB529-BA529</f>
        <v/>
      </c>
      <c r="BC678" s="1277">
        <f>BC529-BB529</f>
        <v/>
      </c>
      <c r="BD678" s="1277">
        <f>BD529-BC529</f>
        <v/>
      </c>
      <c r="BE678" s="1297">
        <f>SUM(BA678,BB678,BC678,BD678)</f>
        <v/>
      </c>
      <c r="BF678" s="1277">
        <f>BF529</f>
        <v/>
      </c>
      <c r="BG678" s="1277">
        <f>BG529-BF529</f>
        <v/>
      </c>
      <c r="BH678" s="1277">
        <f>BH529-BG529</f>
        <v/>
      </c>
      <c r="BI678" s="1277">
        <f>BI529-BH529</f>
        <v/>
      </c>
      <c r="BJ678" s="1297">
        <f>SUM(BF678,BG678,BH678,BI678)</f>
        <v/>
      </c>
      <c r="BK678" s="1277">
        <f>BK529</f>
        <v/>
      </c>
      <c r="BL678" s="1277">
        <f>BL529-BK529</f>
        <v/>
      </c>
      <c r="BM678" s="1277">
        <f>BM529-BL529</f>
        <v/>
      </c>
      <c r="BN678" s="1277">
        <f>BN529-BM529</f>
        <v/>
      </c>
      <c r="BO678" s="1382">
        <f>SUM(BK678,BL678,BM678,BN678)</f>
        <v/>
      </c>
      <c r="BP678" s="1277">
        <f>-BP842</f>
        <v/>
      </c>
      <c r="BQ678" s="1277">
        <f>-BQ842</f>
        <v/>
      </c>
      <c r="BR678" s="1277">
        <f>-BR842</f>
        <v/>
      </c>
      <c r="BS678" s="1277">
        <f>-BS842</f>
        <v/>
      </c>
      <c r="BT678" s="1297">
        <f>SUM(BP678,BQ678,BR678,BS678)</f>
        <v/>
      </c>
      <c r="BU678" s="1277">
        <f>-BU842</f>
        <v/>
      </c>
      <c r="BV678" s="1277">
        <f>-BV842</f>
        <v/>
      </c>
      <c r="BW678" s="1277">
        <f>-BW842</f>
        <v/>
      </c>
      <c r="BX678" s="1277">
        <f>-BX842</f>
        <v/>
      </c>
      <c r="BY678" s="1297">
        <f>SUM(BU678,BV678,BW678,BX678)</f>
        <v/>
      </c>
      <c r="BZ678" s="1297">
        <f>-BZ842</f>
        <v/>
      </c>
      <c r="CA678" s="1297">
        <f>-CA842</f>
        <v/>
      </c>
      <c r="CB678" s="1297">
        <f>-CB842</f>
        <v/>
      </c>
      <c r="CC678" s="1331" t="n"/>
    </row>
    <row r="679" ht="14.4" customFormat="1" customHeight="1" s="1323">
      <c r="A679" s="1384">
        <f>A530</f>
        <v/>
      </c>
      <c r="B679" s="1394" t="n"/>
      <c r="C679" s="1297">
        <f>C530</f>
        <v/>
      </c>
      <c r="D679" s="1297">
        <f>D530</f>
        <v/>
      </c>
      <c r="E679" s="1297">
        <f>E530</f>
        <v/>
      </c>
      <c r="F679" s="1297">
        <f>F530</f>
        <v/>
      </c>
      <c r="G679" s="1297">
        <f>G530</f>
        <v/>
      </c>
      <c r="H679" s="1277">
        <f>H530</f>
        <v/>
      </c>
      <c r="I679" s="1277">
        <f>I530-H530</f>
        <v/>
      </c>
      <c r="J679" s="1277">
        <f>J530-I530</f>
        <v/>
      </c>
      <c r="K679" s="1277">
        <f>K530-J530</f>
        <v/>
      </c>
      <c r="L679" s="1297">
        <f>L530</f>
        <v/>
      </c>
      <c r="M679" s="1277">
        <f>M530</f>
        <v/>
      </c>
      <c r="N679" s="1277">
        <f>N530-M530</f>
        <v/>
      </c>
      <c r="O679" s="1277">
        <f>O530-N530</f>
        <v/>
      </c>
      <c r="P679" s="1277">
        <f>P530-O530</f>
        <v/>
      </c>
      <c r="Q679" s="1297">
        <f>Q530</f>
        <v/>
      </c>
      <c r="R679" s="1277">
        <f>R530</f>
        <v/>
      </c>
      <c r="S679" s="1277">
        <f>S530-R530</f>
        <v/>
      </c>
      <c r="T679" s="1277">
        <f>T530-S530</f>
        <v/>
      </c>
      <c r="U679" s="1277">
        <f>U530-T530</f>
        <v/>
      </c>
      <c r="V679" s="1297">
        <f>V530</f>
        <v/>
      </c>
      <c r="W679" s="1277">
        <f>W530</f>
        <v/>
      </c>
      <c r="X679" s="1277">
        <f>X530-W530</f>
        <v/>
      </c>
      <c r="Y679" s="1277">
        <f>Y530-X530</f>
        <v/>
      </c>
      <c r="Z679" s="1277">
        <f>Z530-Y530</f>
        <v/>
      </c>
      <c r="AA679" s="1297">
        <f>AA530</f>
        <v/>
      </c>
      <c r="AB679" s="1277">
        <f>AB530</f>
        <v/>
      </c>
      <c r="AC679" s="1277">
        <f>AC530-AB530</f>
        <v/>
      </c>
      <c r="AD679" s="1277">
        <f>AD530-AC530</f>
        <v/>
      </c>
      <c r="AE679" s="1277">
        <f>AE530-AD530</f>
        <v/>
      </c>
      <c r="AF679" s="1297">
        <f>AF530</f>
        <v/>
      </c>
      <c r="AG679" s="1277">
        <f>AG530</f>
        <v/>
      </c>
      <c r="AH679" s="1277">
        <f>AH530-AG530</f>
        <v/>
      </c>
      <c r="AI679" s="1277">
        <f>AI530-AH530</f>
        <v/>
      </c>
      <c r="AJ679" s="1277">
        <f>AJ530-AI530</f>
        <v/>
      </c>
      <c r="AK679" s="1297">
        <f>SUM(AG679,AH679,AI679,AJ679)</f>
        <v/>
      </c>
      <c r="AL679" s="1277">
        <f>AL530</f>
        <v/>
      </c>
      <c r="AM679" s="1277">
        <f>AM530-AL530</f>
        <v/>
      </c>
      <c r="AN679" s="1277">
        <f>AN530-AM530</f>
        <v/>
      </c>
      <c r="AO679" s="1277">
        <f>AO530-AN530</f>
        <v/>
      </c>
      <c r="AP679" s="1297">
        <f>SUM(AL679,AM679,AN679,AO679)</f>
        <v/>
      </c>
      <c r="AQ679" s="1277">
        <f>AQ530</f>
        <v/>
      </c>
      <c r="AR679" s="1277">
        <f>AR530-AQ530</f>
        <v/>
      </c>
      <c r="AS679" s="1277">
        <f>AS530-AR530</f>
        <v/>
      </c>
      <c r="AT679" s="1277">
        <f>AT530-AS530</f>
        <v/>
      </c>
      <c r="AU679" s="1297">
        <f>SUM(AQ679,AR679,AS679,AT679)</f>
        <v/>
      </c>
      <c r="AV679" s="1277">
        <f>AV530</f>
        <v/>
      </c>
      <c r="AW679" s="1277">
        <f>AW530-AV530</f>
        <v/>
      </c>
      <c r="AX679" s="1277">
        <f>AX530-AW530</f>
        <v/>
      </c>
      <c r="AY679" s="1277">
        <f>AY530-AX530</f>
        <v/>
      </c>
      <c r="AZ679" s="1297">
        <f>SUM(AV679,AW679,AX679,AY679)</f>
        <v/>
      </c>
      <c r="BA679" s="1277">
        <f>BA530</f>
        <v/>
      </c>
      <c r="BB679" s="1277">
        <f>BB530-BA530</f>
        <v/>
      </c>
      <c r="BC679" s="1277">
        <f>BC530-BB530</f>
        <v/>
      </c>
      <c r="BD679" s="1277">
        <f>BD530-BC530</f>
        <v/>
      </c>
      <c r="BE679" s="1297">
        <f>SUM(BA679,BB679,BC679,BD679)</f>
        <v/>
      </c>
      <c r="BF679" s="1277">
        <f>BF530</f>
        <v/>
      </c>
      <c r="BG679" s="1277">
        <f>BG530-BF530</f>
        <v/>
      </c>
      <c r="BH679" s="1277">
        <f>BH530-BG530</f>
        <v/>
      </c>
      <c r="BI679" s="1277">
        <f>BI530-BH530</f>
        <v/>
      </c>
      <c r="BJ679" s="1297">
        <f>SUM(BF679,BG679,BH679,BI679)</f>
        <v/>
      </c>
      <c r="BK679" s="1277">
        <f>BK530</f>
        <v/>
      </c>
      <c r="BL679" s="1277">
        <f>BL530-BK530</f>
        <v/>
      </c>
      <c r="BM679" s="1277">
        <f>BM530-BL530</f>
        <v/>
      </c>
      <c r="BN679" s="1277">
        <f>BN530-BM530</f>
        <v/>
      </c>
      <c r="BO679" s="1382">
        <f>SUM(BK679,BL679,BM679,BN679)</f>
        <v/>
      </c>
      <c r="BP679" s="1277" t="n"/>
      <c r="BQ679" s="1277" t="n"/>
      <c r="BR679" s="1277" t="n"/>
      <c r="BS679" s="1277" t="n"/>
      <c r="BT679" s="1297">
        <f>SUM(BP679,BQ679,BR679,BS679)</f>
        <v/>
      </c>
      <c r="BU679" s="1277" t="n"/>
      <c r="BV679" s="1277" t="n"/>
      <c r="BW679" s="1277" t="n"/>
      <c r="BX679" s="1277" t="n"/>
      <c r="BY679" s="1297">
        <f>SUM(BU679,BV679,BW679,BX679)</f>
        <v/>
      </c>
      <c r="BZ679" s="1297" t="n"/>
      <c r="CA679" s="1297" t="n"/>
      <c r="CB679" s="1297" t="n"/>
      <c r="CC679" s="1331" t="n"/>
    </row>
    <row r="680" ht="14.4" customFormat="1" customHeight="1" s="1323">
      <c r="A680" s="1384">
        <f>A531</f>
        <v/>
      </c>
      <c r="B680" s="1394" t="n"/>
      <c r="C680" s="1297">
        <f>C531</f>
        <v/>
      </c>
      <c r="D680" s="1297">
        <f>D531</f>
        <v/>
      </c>
      <c r="E680" s="1297">
        <f>E531</f>
        <v/>
      </c>
      <c r="F680" s="1297">
        <f>F531</f>
        <v/>
      </c>
      <c r="G680" s="1297">
        <f>G531</f>
        <v/>
      </c>
      <c r="H680" s="1277">
        <f>H531</f>
        <v/>
      </c>
      <c r="I680" s="1277">
        <f>I531-H531</f>
        <v/>
      </c>
      <c r="J680" s="1277">
        <f>J531-I531</f>
        <v/>
      </c>
      <c r="K680" s="1277">
        <f>K531-J531</f>
        <v/>
      </c>
      <c r="L680" s="1297">
        <f>L531</f>
        <v/>
      </c>
      <c r="M680" s="1277">
        <f>M531</f>
        <v/>
      </c>
      <c r="N680" s="1277">
        <f>N531-M531</f>
        <v/>
      </c>
      <c r="O680" s="1277">
        <f>O531-N531</f>
        <v/>
      </c>
      <c r="P680" s="1277">
        <f>P531-O531</f>
        <v/>
      </c>
      <c r="Q680" s="1297">
        <f>Q531</f>
        <v/>
      </c>
      <c r="R680" s="1277">
        <f>R531</f>
        <v/>
      </c>
      <c r="S680" s="1277">
        <f>S531-R531</f>
        <v/>
      </c>
      <c r="T680" s="1277">
        <f>T531-S531</f>
        <v/>
      </c>
      <c r="U680" s="1277">
        <f>U531-T531</f>
        <v/>
      </c>
      <c r="V680" s="1297">
        <f>V531</f>
        <v/>
      </c>
      <c r="W680" s="1277">
        <f>W531</f>
        <v/>
      </c>
      <c r="X680" s="1277">
        <f>X531-W531</f>
        <v/>
      </c>
      <c r="Y680" s="1277">
        <f>Y531-X531</f>
        <v/>
      </c>
      <c r="Z680" s="1277">
        <f>Z531-Y531</f>
        <v/>
      </c>
      <c r="AA680" s="1297">
        <f>AA531</f>
        <v/>
      </c>
      <c r="AB680" s="1277">
        <f>AB531</f>
        <v/>
      </c>
      <c r="AC680" s="1277">
        <f>AC531-AB531</f>
        <v/>
      </c>
      <c r="AD680" s="1277">
        <f>AD531-AC531</f>
        <v/>
      </c>
      <c r="AE680" s="1277">
        <f>AE531-AD531</f>
        <v/>
      </c>
      <c r="AF680" s="1297">
        <f>AF531</f>
        <v/>
      </c>
      <c r="AG680" s="1277">
        <f>AG531</f>
        <v/>
      </c>
      <c r="AH680" s="1277">
        <f>AH531-AG531</f>
        <v/>
      </c>
      <c r="AI680" s="1277">
        <f>AI531-AH531</f>
        <v/>
      </c>
      <c r="AJ680" s="1277">
        <f>AJ531-AI531</f>
        <v/>
      </c>
      <c r="AK680" s="1297">
        <f>SUM(AG680,AH680,AI680,AJ680)</f>
        <v/>
      </c>
      <c r="AL680" s="1277">
        <f>AL531</f>
        <v/>
      </c>
      <c r="AM680" s="1277">
        <f>AM531-AL531</f>
        <v/>
      </c>
      <c r="AN680" s="1277">
        <f>AN531-AM531</f>
        <v/>
      </c>
      <c r="AO680" s="1277">
        <f>AO531-AN531</f>
        <v/>
      </c>
      <c r="AP680" s="1297">
        <f>SUM(AL680,AM680,AN680,AO680)</f>
        <v/>
      </c>
      <c r="AQ680" s="1277">
        <f>AQ531</f>
        <v/>
      </c>
      <c r="AR680" s="1277">
        <f>AR531-AQ531</f>
        <v/>
      </c>
      <c r="AS680" s="1277">
        <f>AS531-AR531</f>
        <v/>
      </c>
      <c r="AT680" s="1277">
        <f>AT531-AS531</f>
        <v/>
      </c>
      <c r="AU680" s="1297">
        <f>SUM(AQ680,AR680,AS680,AT680)</f>
        <v/>
      </c>
      <c r="AV680" s="1277">
        <f>AV531</f>
        <v/>
      </c>
      <c r="AW680" s="1277">
        <f>AW531-AV531</f>
        <v/>
      </c>
      <c r="AX680" s="1277">
        <f>AX531-AW531</f>
        <v/>
      </c>
      <c r="AY680" s="1277">
        <f>AY531-AX531</f>
        <v/>
      </c>
      <c r="AZ680" s="1297">
        <f>SUM(AV680,AW680,AX680,AY680)</f>
        <v/>
      </c>
      <c r="BA680" s="1277">
        <f>BA531</f>
        <v/>
      </c>
      <c r="BB680" s="1277">
        <f>BB531-BA531</f>
        <v/>
      </c>
      <c r="BC680" s="1277">
        <f>BC531-BB531</f>
        <v/>
      </c>
      <c r="BD680" s="1277">
        <f>BD531-BC531</f>
        <v/>
      </c>
      <c r="BE680" s="1297">
        <f>SUM(BA680,BB680,BC680,BD680)</f>
        <v/>
      </c>
      <c r="BF680" s="1277">
        <f>BF531</f>
        <v/>
      </c>
      <c r="BG680" s="1277">
        <f>BG531-BF531</f>
        <v/>
      </c>
      <c r="BH680" s="1277">
        <f>BH531-BG531</f>
        <v/>
      </c>
      <c r="BI680" s="1277">
        <f>BI531-BH531</f>
        <v/>
      </c>
      <c r="BJ680" s="1297">
        <f>SUM(BF680,BG680,BH680,BI680)</f>
        <v/>
      </c>
      <c r="BK680" s="1277">
        <f>BK531</f>
        <v/>
      </c>
      <c r="BL680" s="1277">
        <f>BL531-BK531</f>
        <v/>
      </c>
      <c r="BM680" s="1277">
        <f>BM531-BL531</f>
        <v/>
      </c>
      <c r="BN680" s="1277">
        <f>BN531-BM531</f>
        <v/>
      </c>
      <c r="BO680" s="1382">
        <f>SUM(BK680,BL680,BM680,BN680)</f>
        <v/>
      </c>
      <c r="BP680" s="1277" t="n"/>
      <c r="BQ680" s="1277" t="n"/>
      <c r="BR680" s="1277" t="n"/>
      <c r="BS680" s="1277" t="n"/>
      <c r="BT680" s="1297">
        <f>SUM(BP680,BQ680,BR680,BS680)</f>
        <v/>
      </c>
      <c r="BU680" s="1277" t="n"/>
      <c r="BV680" s="1277" t="n"/>
      <c r="BW680" s="1277" t="n"/>
      <c r="BX680" s="1277" t="n"/>
      <c r="BY680" s="1297">
        <f>SUM(BU680,BV680,BW680,BX680)</f>
        <v/>
      </c>
      <c r="BZ680" s="1297" t="n"/>
      <c r="CA680" s="1297" t="n"/>
      <c r="CB680" s="1297" t="n"/>
      <c r="CC680" s="1331" t="n"/>
    </row>
    <row r="681" ht="14.4" customFormat="1" customHeight="1" s="1323">
      <c r="A681" s="1384">
        <f>A532</f>
        <v/>
      </c>
      <c r="B681" s="1394" t="n"/>
      <c r="C681" s="1297">
        <f>C532</f>
        <v/>
      </c>
      <c r="D681" s="1297">
        <f>D532</f>
        <v/>
      </c>
      <c r="E681" s="1297">
        <f>E532</f>
        <v/>
      </c>
      <c r="F681" s="1297">
        <f>F532</f>
        <v/>
      </c>
      <c r="G681" s="1297">
        <f>G532</f>
        <v/>
      </c>
      <c r="H681" s="1277">
        <f>H532</f>
        <v/>
      </c>
      <c r="I681" s="1277">
        <f>I532-H532</f>
        <v/>
      </c>
      <c r="J681" s="1277">
        <f>J532-I532</f>
        <v/>
      </c>
      <c r="K681" s="1277">
        <f>K532-J532</f>
        <v/>
      </c>
      <c r="L681" s="1297">
        <f>L532</f>
        <v/>
      </c>
      <c r="M681" s="1277">
        <f>M532</f>
        <v/>
      </c>
      <c r="N681" s="1277">
        <f>N532-M532</f>
        <v/>
      </c>
      <c r="O681" s="1277">
        <f>O532-N532</f>
        <v/>
      </c>
      <c r="P681" s="1277">
        <f>P532-O532</f>
        <v/>
      </c>
      <c r="Q681" s="1297">
        <f>Q532</f>
        <v/>
      </c>
      <c r="R681" s="1277">
        <f>R532</f>
        <v/>
      </c>
      <c r="S681" s="1277">
        <f>S532-R532</f>
        <v/>
      </c>
      <c r="T681" s="1277">
        <f>T532-S532</f>
        <v/>
      </c>
      <c r="U681" s="1277">
        <f>U532-T532</f>
        <v/>
      </c>
      <c r="V681" s="1297">
        <f>V532</f>
        <v/>
      </c>
      <c r="W681" s="1277">
        <f>W532</f>
        <v/>
      </c>
      <c r="X681" s="1277">
        <f>X532-W532</f>
        <v/>
      </c>
      <c r="Y681" s="1277">
        <f>Y532-X532</f>
        <v/>
      </c>
      <c r="Z681" s="1277">
        <f>Z532-Y532</f>
        <v/>
      </c>
      <c r="AA681" s="1297">
        <f>AA532</f>
        <v/>
      </c>
      <c r="AB681" s="1277">
        <f>AB532</f>
        <v/>
      </c>
      <c r="AC681" s="1277">
        <f>AC532-AB532</f>
        <v/>
      </c>
      <c r="AD681" s="1277">
        <f>AD532-AC532</f>
        <v/>
      </c>
      <c r="AE681" s="1277">
        <f>AE532-AD532</f>
        <v/>
      </c>
      <c r="AF681" s="1297">
        <f>AF532</f>
        <v/>
      </c>
      <c r="AG681" s="1277">
        <f>AG532</f>
        <v/>
      </c>
      <c r="AH681" s="1277">
        <f>AH532-AG532</f>
        <v/>
      </c>
      <c r="AI681" s="1277">
        <f>AI532-AH532</f>
        <v/>
      </c>
      <c r="AJ681" s="1277">
        <f>AJ532-AI532</f>
        <v/>
      </c>
      <c r="AK681" s="1297">
        <f>SUM(AG681,AH681,AI681,AJ681)</f>
        <v/>
      </c>
      <c r="AL681" s="1277">
        <f>AL532</f>
        <v/>
      </c>
      <c r="AM681" s="1277">
        <f>AM532-AL532</f>
        <v/>
      </c>
      <c r="AN681" s="1277">
        <f>AN532-AM532</f>
        <v/>
      </c>
      <c r="AO681" s="1277">
        <f>AO532-AN532</f>
        <v/>
      </c>
      <c r="AP681" s="1297">
        <f>SUM(AL681,AM681,AN681,AO681)</f>
        <v/>
      </c>
      <c r="AQ681" s="1277">
        <f>AQ532</f>
        <v/>
      </c>
      <c r="AR681" s="1277">
        <f>AR532-AQ532</f>
        <v/>
      </c>
      <c r="AS681" s="1277">
        <f>AS532-AR532</f>
        <v/>
      </c>
      <c r="AT681" s="1277">
        <f>AT532-AS532</f>
        <v/>
      </c>
      <c r="AU681" s="1297">
        <f>SUM(AQ681,AR681,AS681,AT681)</f>
        <v/>
      </c>
      <c r="AV681" s="1277">
        <f>AV532</f>
        <v/>
      </c>
      <c r="AW681" s="1277">
        <f>AW532-AV532</f>
        <v/>
      </c>
      <c r="AX681" s="1277">
        <f>AX532-AW532</f>
        <v/>
      </c>
      <c r="AY681" s="1277">
        <f>AY532-AX532</f>
        <v/>
      </c>
      <c r="AZ681" s="1297">
        <f>SUM(AV681,AW681,AX681,AY681)</f>
        <v/>
      </c>
      <c r="BA681" s="1277">
        <f>BA532</f>
        <v/>
      </c>
      <c r="BB681" s="1277">
        <f>BB532-BA532</f>
        <v/>
      </c>
      <c r="BC681" s="1277">
        <f>BC532-BB532</f>
        <v/>
      </c>
      <c r="BD681" s="1277">
        <f>BD532-BC532</f>
        <v/>
      </c>
      <c r="BE681" s="1297">
        <f>SUM(BA681,BB681,BC681,BD681)</f>
        <v/>
      </c>
      <c r="BF681" s="1277">
        <f>BF532</f>
        <v/>
      </c>
      <c r="BG681" s="1277">
        <f>BG532-BF532</f>
        <v/>
      </c>
      <c r="BH681" s="1277">
        <f>BH532-BG532</f>
        <v/>
      </c>
      <c r="BI681" s="1277">
        <f>BI532-BH532</f>
        <v/>
      </c>
      <c r="BJ681" s="1297">
        <f>SUM(BF681,BG681,BH681,BI681)</f>
        <v/>
      </c>
      <c r="BK681" s="1277">
        <f>BK532</f>
        <v/>
      </c>
      <c r="BL681" s="1277">
        <f>BL532-BK532</f>
        <v/>
      </c>
      <c r="BM681" s="1277">
        <f>BM532-BL532</f>
        <v/>
      </c>
      <c r="BN681" s="1277">
        <f>BN532-BM532</f>
        <v/>
      </c>
      <c r="BO681" s="1382">
        <f>SUM(BK681,BL681,BM681,BN681)</f>
        <v/>
      </c>
      <c r="BP681" s="1277" t="n"/>
      <c r="BQ681" s="1277" t="n"/>
      <c r="BR681" s="1277" t="n"/>
      <c r="BS681" s="1277" t="n"/>
      <c r="BT681" s="1297">
        <f>SUM(BP681,BQ681,BR681,BS681)</f>
        <v/>
      </c>
      <c r="BU681" s="1277" t="n"/>
      <c r="BV681" s="1277" t="n"/>
      <c r="BW681" s="1277" t="n"/>
      <c r="BX681" s="1277" t="n"/>
      <c r="BY681" s="1297">
        <f>SUM(BU681,BV681,BW681,BX681)</f>
        <v/>
      </c>
      <c r="BZ681" s="1297" t="n"/>
      <c r="CA681" s="1297" t="n"/>
      <c r="CB681" s="1297" t="n"/>
      <c r="CC681" s="1331" t="n"/>
    </row>
    <row r="682" ht="14.4" customFormat="1" customHeight="1" s="1323">
      <c r="A682" s="1384">
        <f>A533</f>
        <v/>
      </c>
      <c r="B682" s="1394" t="n"/>
      <c r="C682" s="1297">
        <f>C533</f>
        <v/>
      </c>
      <c r="D682" s="1297">
        <f>D533</f>
        <v/>
      </c>
      <c r="E682" s="1297">
        <f>E533</f>
        <v/>
      </c>
      <c r="F682" s="1297">
        <f>F533</f>
        <v/>
      </c>
      <c r="G682" s="1297">
        <f>G533</f>
        <v/>
      </c>
      <c r="H682" s="1277">
        <f>H533</f>
        <v/>
      </c>
      <c r="I682" s="1277">
        <f>I533-H533</f>
        <v/>
      </c>
      <c r="J682" s="1277">
        <f>J533-I533</f>
        <v/>
      </c>
      <c r="K682" s="1277">
        <f>K533-J533</f>
        <v/>
      </c>
      <c r="L682" s="1297">
        <f>L533</f>
        <v/>
      </c>
      <c r="M682" s="1277">
        <f>M533</f>
        <v/>
      </c>
      <c r="N682" s="1277">
        <f>N533-M533</f>
        <v/>
      </c>
      <c r="O682" s="1277">
        <f>O533-N533</f>
        <v/>
      </c>
      <c r="P682" s="1277">
        <f>P533-O533</f>
        <v/>
      </c>
      <c r="Q682" s="1297">
        <f>Q533</f>
        <v/>
      </c>
      <c r="R682" s="1277">
        <f>R533</f>
        <v/>
      </c>
      <c r="S682" s="1277">
        <f>S533-R533</f>
        <v/>
      </c>
      <c r="T682" s="1277">
        <f>T533-S533</f>
        <v/>
      </c>
      <c r="U682" s="1277">
        <f>U533-T533</f>
        <v/>
      </c>
      <c r="V682" s="1297">
        <f>V533</f>
        <v/>
      </c>
      <c r="W682" s="1277">
        <f>W533</f>
        <v/>
      </c>
      <c r="X682" s="1277">
        <f>X533-W533</f>
        <v/>
      </c>
      <c r="Y682" s="1277">
        <f>Y533-X533</f>
        <v/>
      </c>
      <c r="Z682" s="1277">
        <f>Z533-Y533</f>
        <v/>
      </c>
      <c r="AA682" s="1297">
        <f>AA533</f>
        <v/>
      </c>
      <c r="AB682" s="1277">
        <f>AB533</f>
        <v/>
      </c>
      <c r="AC682" s="1277">
        <f>AC533-AB533</f>
        <v/>
      </c>
      <c r="AD682" s="1277">
        <f>AD533-AC533</f>
        <v/>
      </c>
      <c r="AE682" s="1277">
        <f>AE533-AD533</f>
        <v/>
      </c>
      <c r="AF682" s="1297">
        <f>AF533</f>
        <v/>
      </c>
      <c r="AG682" s="1277">
        <f>AG533</f>
        <v/>
      </c>
      <c r="AH682" s="1277">
        <f>AH533-AG533</f>
        <v/>
      </c>
      <c r="AI682" s="1277">
        <f>AI533-AH533</f>
        <v/>
      </c>
      <c r="AJ682" s="1277">
        <f>AJ533-AI533</f>
        <v/>
      </c>
      <c r="AK682" s="1297">
        <f>SUM(AG682,AH682,AI682,AJ682)</f>
        <v/>
      </c>
      <c r="AL682" s="1277">
        <f>AL533</f>
        <v/>
      </c>
      <c r="AM682" s="1277">
        <f>AM533-AL533</f>
        <v/>
      </c>
      <c r="AN682" s="1277">
        <f>AN533-AM533</f>
        <v/>
      </c>
      <c r="AO682" s="1277">
        <f>AO533-AN533</f>
        <v/>
      </c>
      <c r="AP682" s="1297">
        <f>SUM(AL682,AM682,AN682,AO682)</f>
        <v/>
      </c>
      <c r="AQ682" s="1277">
        <f>AQ533</f>
        <v/>
      </c>
      <c r="AR682" s="1277">
        <f>AR533-AQ533</f>
        <v/>
      </c>
      <c r="AS682" s="1277">
        <f>AS533-AR533</f>
        <v/>
      </c>
      <c r="AT682" s="1277">
        <f>AT533-AS533</f>
        <v/>
      </c>
      <c r="AU682" s="1297">
        <f>SUM(AQ682,AR682,AS682,AT682)</f>
        <v/>
      </c>
      <c r="AV682" s="1277">
        <f>AV533</f>
        <v/>
      </c>
      <c r="AW682" s="1277">
        <f>AW533-AV533</f>
        <v/>
      </c>
      <c r="AX682" s="1277">
        <f>AX533-AW533</f>
        <v/>
      </c>
      <c r="AY682" s="1277">
        <f>AY533-AX533</f>
        <v/>
      </c>
      <c r="AZ682" s="1297">
        <f>SUM(AV682,AW682,AX682,AY682)</f>
        <v/>
      </c>
      <c r="BA682" s="1277">
        <f>BA533</f>
        <v/>
      </c>
      <c r="BB682" s="1277">
        <f>BB533-BA533</f>
        <v/>
      </c>
      <c r="BC682" s="1277">
        <f>BC533-BB533</f>
        <v/>
      </c>
      <c r="BD682" s="1277">
        <f>BD533-BC533</f>
        <v/>
      </c>
      <c r="BE682" s="1297">
        <f>SUM(BA682,BB682,BC682,BD682)</f>
        <v/>
      </c>
      <c r="BF682" s="1277">
        <f>BF533</f>
        <v/>
      </c>
      <c r="BG682" s="1277">
        <f>BG533-BF533</f>
        <v/>
      </c>
      <c r="BH682" s="1277">
        <f>BH533-BG533</f>
        <v/>
      </c>
      <c r="BI682" s="1277">
        <f>BI533-BH533</f>
        <v/>
      </c>
      <c r="BJ682" s="1297">
        <f>SUM(BF682,BG682,BH682,BI682)</f>
        <v/>
      </c>
      <c r="BK682" s="1277">
        <f>BK533</f>
        <v/>
      </c>
      <c r="BL682" s="1277">
        <f>BL533-BK533</f>
        <v/>
      </c>
      <c r="BM682" s="1277">
        <f>BM533-BL533</f>
        <v/>
      </c>
      <c r="BN682" s="1277">
        <f>BN533-BM533</f>
        <v/>
      </c>
      <c r="BO682" s="1382">
        <f>SUM(BK682,BL682,BM682,BN682)</f>
        <v/>
      </c>
      <c r="BP682" s="1277" t="n"/>
      <c r="BQ682" s="1277" t="n"/>
      <c r="BR682" s="1277" t="n"/>
      <c r="BS682" s="1277" t="n"/>
      <c r="BT682" s="1297">
        <f>SUM(BP682,BQ682,BR682,BS682)</f>
        <v/>
      </c>
      <c r="BU682" s="1277" t="n"/>
      <c r="BV682" s="1277" t="n"/>
      <c r="BW682" s="1277" t="n"/>
      <c r="BX682" s="1277" t="n"/>
      <c r="BY682" s="1297">
        <f>SUM(BU682,BV682,BW682,BX682)</f>
        <v/>
      </c>
      <c r="BZ682" s="1297" t="n"/>
      <c r="CA682" s="1297" t="n"/>
      <c r="CB682" s="1297" t="n"/>
      <c r="CC682" s="1331" t="n"/>
    </row>
    <row r="683" ht="14.4" customFormat="1" customHeight="1" s="1275">
      <c r="A683" s="1384">
        <f>A534</f>
        <v/>
      </c>
      <c r="B683" s="1387" t="n"/>
      <c r="C683" s="1297">
        <f>C534</f>
        <v/>
      </c>
      <c r="D683" s="1297">
        <f>D534</f>
        <v/>
      </c>
      <c r="E683" s="1297">
        <f>E534</f>
        <v/>
      </c>
      <c r="F683" s="1297">
        <f>F534</f>
        <v/>
      </c>
      <c r="G683" s="1297">
        <f>G534</f>
        <v/>
      </c>
      <c r="H683" s="1277">
        <f>H534</f>
        <v/>
      </c>
      <c r="I683" s="1277">
        <f>I534-H534</f>
        <v/>
      </c>
      <c r="J683" s="1277">
        <f>J534-I534</f>
        <v/>
      </c>
      <c r="K683" s="1277">
        <f>K534-J534</f>
        <v/>
      </c>
      <c r="L683" s="1297">
        <f>L534</f>
        <v/>
      </c>
      <c r="M683" s="1277">
        <f>M534</f>
        <v/>
      </c>
      <c r="N683" s="1277">
        <f>N534-M534</f>
        <v/>
      </c>
      <c r="O683" s="1277">
        <f>O534-N534</f>
        <v/>
      </c>
      <c r="P683" s="1277">
        <f>P534-O534</f>
        <v/>
      </c>
      <c r="Q683" s="1297">
        <f>Q534</f>
        <v/>
      </c>
      <c r="R683" s="1277">
        <f>R534</f>
        <v/>
      </c>
      <c r="S683" s="1277">
        <f>S534-R534</f>
        <v/>
      </c>
      <c r="T683" s="1277">
        <f>T534-S534</f>
        <v/>
      </c>
      <c r="U683" s="1277">
        <f>U534-T534</f>
        <v/>
      </c>
      <c r="V683" s="1297">
        <f>V534</f>
        <v/>
      </c>
      <c r="W683" s="1277">
        <f>W534</f>
        <v/>
      </c>
      <c r="X683" s="1277">
        <f>X534-W534</f>
        <v/>
      </c>
      <c r="Y683" s="1277">
        <f>Y534-X534</f>
        <v/>
      </c>
      <c r="Z683" s="1277">
        <f>Z534-Y534</f>
        <v/>
      </c>
      <c r="AA683" s="1297">
        <f>AA534</f>
        <v/>
      </c>
      <c r="AB683" s="1277">
        <f>AB534</f>
        <v/>
      </c>
      <c r="AC683" s="1277">
        <f>AC534-AB534</f>
        <v/>
      </c>
      <c r="AD683" s="1277">
        <f>AD534-AC534</f>
        <v/>
      </c>
      <c r="AE683" s="1277">
        <f>AE534-AD534</f>
        <v/>
      </c>
      <c r="AF683" s="1297">
        <f>AF534</f>
        <v/>
      </c>
      <c r="AG683" s="1277">
        <f>AG534</f>
        <v/>
      </c>
      <c r="AH683" s="1277">
        <f>AH534-AG534</f>
        <v/>
      </c>
      <c r="AI683" s="1277">
        <f>AI534-AH534</f>
        <v/>
      </c>
      <c r="AJ683" s="1277">
        <f>AJ534-AI534</f>
        <v/>
      </c>
      <c r="AK683" s="1297">
        <f>SUM(AG683,AH683,AI683,AJ683)</f>
        <v/>
      </c>
      <c r="AL683" s="1277">
        <f>AL534</f>
        <v/>
      </c>
      <c r="AM683" s="1277">
        <f>AM534-AL534</f>
        <v/>
      </c>
      <c r="AN683" s="1277">
        <f>AN534-AM534</f>
        <v/>
      </c>
      <c r="AO683" s="1277">
        <f>AO534-AN534</f>
        <v/>
      </c>
      <c r="AP683" s="1297">
        <f>SUM(AL683,AM683,AN683,AO683)</f>
        <v/>
      </c>
      <c r="AQ683" s="1277">
        <f>AQ534</f>
        <v/>
      </c>
      <c r="AR683" s="1277">
        <f>AR534-AQ534</f>
        <v/>
      </c>
      <c r="AS683" s="1277">
        <f>AS534-AR534</f>
        <v/>
      </c>
      <c r="AT683" s="1277">
        <f>AT534-AS534</f>
        <v/>
      </c>
      <c r="AU683" s="1297">
        <f>SUM(AQ683,AR683,AS683,AT683)</f>
        <v/>
      </c>
      <c r="AV683" s="1277">
        <f>AV534</f>
        <v/>
      </c>
      <c r="AW683" s="1277">
        <f>AW534-AV534</f>
        <v/>
      </c>
      <c r="AX683" s="1277">
        <f>AX534-AW534</f>
        <v/>
      </c>
      <c r="AY683" s="1277">
        <f>AY534-AX534</f>
        <v/>
      </c>
      <c r="AZ683" s="1297">
        <f>SUM(AV683,AW683,AX683,AY683)</f>
        <v/>
      </c>
      <c r="BA683" s="1277">
        <f>BA534</f>
        <v/>
      </c>
      <c r="BB683" s="1277">
        <f>BB534-BA534</f>
        <v/>
      </c>
      <c r="BC683" s="1277">
        <f>BC534-BB534</f>
        <v/>
      </c>
      <c r="BD683" s="1277">
        <f>BD534-BC534</f>
        <v/>
      </c>
      <c r="BE683" s="1297">
        <f>SUM(BA683,BB683,BC683,BD683)</f>
        <v/>
      </c>
      <c r="BF683" s="1277">
        <f>BF534</f>
        <v/>
      </c>
      <c r="BG683" s="1277">
        <f>BG534-BF534</f>
        <v/>
      </c>
      <c r="BH683" s="1277">
        <f>BH534-BG534</f>
        <v/>
      </c>
      <c r="BI683" s="1277">
        <f>BI534-BH534</f>
        <v/>
      </c>
      <c r="BJ683" s="1297">
        <f>SUM(BF683,BG683,BH683,BI683)</f>
        <v/>
      </c>
      <c r="BK683" s="1277">
        <f>BK534</f>
        <v/>
      </c>
      <c r="BL683" s="1277">
        <f>BL534-BK534</f>
        <v/>
      </c>
      <c r="BM683" s="1277">
        <f>BM534-BL534</f>
        <v/>
      </c>
      <c r="BN683" s="1277">
        <f>BN534-BM534</f>
        <v/>
      </c>
      <c r="BO683" s="1382">
        <f>SUM(BK683,BL683,BM683,BN683)</f>
        <v/>
      </c>
      <c r="BP683" s="1277" t="n"/>
      <c r="BQ683" s="1277" t="n"/>
      <c r="BR683" s="1277" t="n"/>
      <c r="BS683" s="1277" t="n"/>
      <c r="BT683" s="1297">
        <f>SUM(BP683,BQ683,BR683,BS683)</f>
        <v/>
      </c>
      <c r="BU683" s="1277" t="n"/>
      <c r="BV683" s="1277" t="n"/>
      <c r="BW683" s="1277" t="n"/>
      <c r="BX683" s="1277" t="n"/>
      <c r="BY683" s="1297">
        <f>SUM(BU683,BV683,BW683,BX683)</f>
        <v/>
      </c>
      <c r="BZ683" s="1297" t="n"/>
      <c r="CA683" s="1297" t="n"/>
      <c r="CB683" s="1297" t="n"/>
      <c r="CC683" s="1280" t="n"/>
    </row>
    <row r="684" ht="14.4" customFormat="1" customHeight="1" s="1275">
      <c r="A684" s="1384">
        <f>A535</f>
        <v/>
      </c>
      <c r="B684" s="1387" t="n"/>
      <c r="C684" s="1297">
        <f>C535</f>
        <v/>
      </c>
      <c r="D684" s="1297">
        <f>D535</f>
        <v/>
      </c>
      <c r="E684" s="1297">
        <f>E535</f>
        <v/>
      </c>
      <c r="F684" s="1297">
        <f>F535</f>
        <v/>
      </c>
      <c r="G684" s="1297">
        <f>G535</f>
        <v/>
      </c>
      <c r="H684" s="1277">
        <f>H535</f>
        <v/>
      </c>
      <c r="I684" s="1277">
        <f>I535-H535</f>
        <v/>
      </c>
      <c r="J684" s="1277">
        <f>J535-I535</f>
        <v/>
      </c>
      <c r="K684" s="1277">
        <f>K535-J535</f>
        <v/>
      </c>
      <c r="L684" s="1297">
        <f>L535</f>
        <v/>
      </c>
      <c r="M684" s="1277">
        <f>M535</f>
        <v/>
      </c>
      <c r="N684" s="1277">
        <f>N535-M535</f>
        <v/>
      </c>
      <c r="O684" s="1277">
        <f>O535-N535</f>
        <v/>
      </c>
      <c r="P684" s="1277">
        <f>P535-O535</f>
        <v/>
      </c>
      <c r="Q684" s="1297">
        <f>Q535</f>
        <v/>
      </c>
      <c r="R684" s="1277">
        <f>R535</f>
        <v/>
      </c>
      <c r="S684" s="1277">
        <f>S535-R535</f>
        <v/>
      </c>
      <c r="T684" s="1277">
        <f>T535-S535</f>
        <v/>
      </c>
      <c r="U684" s="1277">
        <f>U535-T535</f>
        <v/>
      </c>
      <c r="V684" s="1297">
        <f>V535</f>
        <v/>
      </c>
      <c r="W684" s="1277">
        <f>W535</f>
        <v/>
      </c>
      <c r="X684" s="1277">
        <f>X535-W535</f>
        <v/>
      </c>
      <c r="Y684" s="1277">
        <f>Y535-X535</f>
        <v/>
      </c>
      <c r="Z684" s="1277">
        <f>Z535-Y535</f>
        <v/>
      </c>
      <c r="AA684" s="1297">
        <f>AA535</f>
        <v/>
      </c>
      <c r="AB684" s="1277">
        <f>AB535</f>
        <v/>
      </c>
      <c r="AC684" s="1277">
        <f>AC535-AB535</f>
        <v/>
      </c>
      <c r="AD684" s="1277">
        <f>AD535-AC535</f>
        <v/>
      </c>
      <c r="AE684" s="1277">
        <f>AE535-AD535</f>
        <v/>
      </c>
      <c r="AF684" s="1297">
        <f>AF535</f>
        <v/>
      </c>
      <c r="AG684" s="1277">
        <f>AG535</f>
        <v/>
      </c>
      <c r="AH684" s="1277">
        <f>AH535-AG535</f>
        <v/>
      </c>
      <c r="AI684" s="1277">
        <f>AI535-AH535</f>
        <v/>
      </c>
      <c r="AJ684" s="1277">
        <f>AJ535-AI535</f>
        <v/>
      </c>
      <c r="AK684" s="1297">
        <f>SUM(AG684,AH684,AI684,AJ684)</f>
        <v/>
      </c>
      <c r="AL684" s="1277">
        <f>AL535</f>
        <v/>
      </c>
      <c r="AM684" s="1277">
        <f>AM535-AL535</f>
        <v/>
      </c>
      <c r="AN684" s="1277">
        <f>AN535-AM535</f>
        <v/>
      </c>
      <c r="AO684" s="1277">
        <f>AO535-AN535</f>
        <v/>
      </c>
      <c r="AP684" s="1297">
        <f>SUM(AL684,AM684,AN684,AO684)</f>
        <v/>
      </c>
      <c r="AQ684" s="1277">
        <f>AQ535</f>
        <v/>
      </c>
      <c r="AR684" s="1277">
        <f>AR535-AQ535</f>
        <v/>
      </c>
      <c r="AS684" s="1277">
        <f>AS535-AR535</f>
        <v/>
      </c>
      <c r="AT684" s="1277">
        <f>AT535-AS535</f>
        <v/>
      </c>
      <c r="AU684" s="1297">
        <f>SUM(AQ684,AR684,AS684,AT684)</f>
        <v/>
      </c>
      <c r="AV684" s="1277">
        <f>AV535</f>
        <v/>
      </c>
      <c r="AW684" s="1277">
        <f>AW535-AV535</f>
        <v/>
      </c>
      <c r="AX684" s="1277">
        <f>AX535-AW535</f>
        <v/>
      </c>
      <c r="AY684" s="1277">
        <f>AY535-AX535</f>
        <v/>
      </c>
      <c r="AZ684" s="1297">
        <f>SUM(AV684,AW684,AX684,AY684)</f>
        <v/>
      </c>
      <c r="BA684" s="1277">
        <f>BA535</f>
        <v/>
      </c>
      <c r="BB684" s="1277">
        <f>BB535-BA535</f>
        <v/>
      </c>
      <c r="BC684" s="1277">
        <f>BC535-BB535</f>
        <v/>
      </c>
      <c r="BD684" s="1277">
        <f>BD535-BC535</f>
        <v/>
      </c>
      <c r="BE684" s="1297">
        <f>SUM(BA684,BB684,BC684,BD684)</f>
        <v/>
      </c>
      <c r="BF684" s="1277">
        <f>BF535</f>
        <v/>
      </c>
      <c r="BG684" s="1277">
        <f>BG535-BF535</f>
        <v/>
      </c>
      <c r="BH684" s="1277">
        <f>BH535-BG535</f>
        <v/>
      </c>
      <c r="BI684" s="1277">
        <f>BI535-BH535</f>
        <v/>
      </c>
      <c r="BJ684" s="1297">
        <f>SUM(BF684,BG684,BH684,BI684)</f>
        <v/>
      </c>
      <c r="BK684" s="1277">
        <f>BK535</f>
        <v/>
      </c>
      <c r="BL684" s="1277">
        <f>BL535-BK535</f>
        <v/>
      </c>
      <c r="BM684" s="1277">
        <f>BM535-BL535</f>
        <v/>
      </c>
      <c r="BN684" s="1277">
        <f>BN535-BM535</f>
        <v/>
      </c>
      <c r="BO684" s="1382">
        <f>SUM(BK684,BL684,BM684,BN684)</f>
        <v/>
      </c>
      <c r="BP684" s="1277" t="n"/>
      <c r="BQ684" s="1277" t="n"/>
      <c r="BR684" s="1277" t="n"/>
      <c r="BS684" s="1277" t="n"/>
      <c r="BT684" s="1297">
        <f>SUM(BP684,BQ684,BR684,BS684)</f>
        <v/>
      </c>
      <c r="BU684" s="1277" t="n"/>
      <c r="BV684" s="1277" t="n"/>
      <c r="BW684" s="1277" t="n"/>
      <c r="BX684" s="1277" t="n"/>
      <c r="BY684" s="1297">
        <f>SUM(BU684,BV684,BW684,BX684)</f>
        <v/>
      </c>
      <c r="BZ684" s="1297" t="n"/>
      <c r="CA684" s="1297" t="n"/>
      <c r="CB684" s="1297" t="n"/>
      <c r="CC684" s="1280" t="n"/>
    </row>
    <row r="685" ht="14.4" customFormat="1" customHeight="1" s="1275">
      <c r="A685" s="1384">
        <f>A536</f>
        <v/>
      </c>
      <c r="B685" s="1387" t="n"/>
      <c r="C685" s="1297">
        <f>C536</f>
        <v/>
      </c>
      <c r="D685" s="1297">
        <f>D536</f>
        <v/>
      </c>
      <c r="E685" s="1297">
        <f>E536</f>
        <v/>
      </c>
      <c r="F685" s="1297">
        <f>F536</f>
        <v/>
      </c>
      <c r="G685" s="1297">
        <f>G536</f>
        <v/>
      </c>
      <c r="H685" s="1277">
        <f>H536</f>
        <v/>
      </c>
      <c r="I685" s="1277">
        <f>I536-H536</f>
        <v/>
      </c>
      <c r="J685" s="1277">
        <f>J536-I536</f>
        <v/>
      </c>
      <c r="K685" s="1277">
        <f>K536-J536</f>
        <v/>
      </c>
      <c r="L685" s="1297">
        <f>L536</f>
        <v/>
      </c>
      <c r="M685" s="1277">
        <f>M536</f>
        <v/>
      </c>
      <c r="N685" s="1277">
        <f>N536-M536</f>
        <v/>
      </c>
      <c r="O685" s="1277">
        <f>O536-N536</f>
        <v/>
      </c>
      <c r="P685" s="1277">
        <f>P536-O536</f>
        <v/>
      </c>
      <c r="Q685" s="1297">
        <f>Q536</f>
        <v/>
      </c>
      <c r="R685" s="1277">
        <f>R536</f>
        <v/>
      </c>
      <c r="S685" s="1277">
        <f>S536-R536</f>
        <v/>
      </c>
      <c r="T685" s="1277">
        <f>T536-S536</f>
        <v/>
      </c>
      <c r="U685" s="1277">
        <f>U536-T536</f>
        <v/>
      </c>
      <c r="V685" s="1297">
        <f>V536</f>
        <v/>
      </c>
      <c r="W685" s="1277">
        <f>W536</f>
        <v/>
      </c>
      <c r="X685" s="1277">
        <f>X536-W536</f>
        <v/>
      </c>
      <c r="Y685" s="1277">
        <f>Y536-X536</f>
        <v/>
      </c>
      <c r="Z685" s="1277">
        <f>Z536-Y536</f>
        <v/>
      </c>
      <c r="AA685" s="1297">
        <f>AA536</f>
        <v/>
      </c>
      <c r="AB685" s="1277">
        <f>AB536</f>
        <v/>
      </c>
      <c r="AC685" s="1277">
        <f>AC536-AB536</f>
        <v/>
      </c>
      <c r="AD685" s="1277">
        <f>AD536-AC536</f>
        <v/>
      </c>
      <c r="AE685" s="1277">
        <f>AE536-AD536</f>
        <v/>
      </c>
      <c r="AF685" s="1297">
        <f>AF536</f>
        <v/>
      </c>
      <c r="AG685" s="1277">
        <f>AG536</f>
        <v/>
      </c>
      <c r="AH685" s="1277">
        <f>AH536-AG536</f>
        <v/>
      </c>
      <c r="AI685" s="1277">
        <f>AI536-AH536</f>
        <v/>
      </c>
      <c r="AJ685" s="1277">
        <f>AJ536-AI536</f>
        <v/>
      </c>
      <c r="AK685" s="1297">
        <f>SUM(AG685,AH685,AI685,AJ685)</f>
        <v/>
      </c>
      <c r="AL685" s="1277">
        <f>AL536</f>
        <v/>
      </c>
      <c r="AM685" s="1277">
        <f>AM536-AL536</f>
        <v/>
      </c>
      <c r="AN685" s="1277">
        <f>AN536-AM536</f>
        <v/>
      </c>
      <c r="AO685" s="1277">
        <f>AO536-AN536</f>
        <v/>
      </c>
      <c r="AP685" s="1297">
        <f>SUM(AL685,AM685,AN685,AO685)</f>
        <v/>
      </c>
      <c r="AQ685" s="1277">
        <f>AQ536</f>
        <v/>
      </c>
      <c r="AR685" s="1277">
        <f>AR536-AQ536</f>
        <v/>
      </c>
      <c r="AS685" s="1277">
        <f>AS536-AR536</f>
        <v/>
      </c>
      <c r="AT685" s="1277">
        <f>AT536-AS536</f>
        <v/>
      </c>
      <c r="AU685" s="1297">
        <f>SUM(AQ685,AR685,AS685,AT685)</f>
        <v/>
      </c>
      <c r="AV685" s="1277">
        <f>AV536</f>
        <v/>
      </c>
      <c r="AW685" s="1277">
        <f>AW536-AV536</f>
        <v/>
      </c>
      <c r="AX685" s="1277">
        <f>AX536-AW536</f>
        <v/>
      </c>
      <c r="AY685" s="1277">
        <f>AY536-AX536</f>
        <v/>
      </c>
      <c r="AZ685" s="1297">
        <f>SUM(AV685,AW685,AX685,AY685)</f>
        <v/>
      </c>
      <c r="BA685" s="1277">
        <f>BA536</f>
        <v/>
      </c>
      <c r="BB685" s="1277">
        <f>BB536-BA536</f>
        <v/>
      </c>
      <c r="BC685" s="1277">
        <f>BC536-BB536</f>
        <v/>
      </c>
      <c r="BD685" s="1277">
        <f>BD536-BC536</f>
        <v/>
      </c>
      <c r="BE685" s="1297">
        <f>SUM(BA685,BB685,BC685,BD685)</f>
        <v/>
      </c>
      <c r="BF685" s="1277">
        <f>BF536</f>
        <v/>
      </c>
      <c r="BG685" s="1277">
        <f>BG536-BF536</f>
        <v/>
      </c>
      <c r="BH685" s="1277">
        <f>BH536-BG536</f>
        <v/>
      </c>
      <c r="BI685" s="1277">
        <f>BI536-BH536</f>
        <v/>
      </c>
      <c r="BJ685" s="1297">
        <f>SUM(BF685,BG685,BH685,BI685)</f>
        <v/>
      </c>
      <c r="BK685" s="1277">
        <f>BK536</f>
        <v/>
      </c>
      <c r="BL685" s="1277">
        <f>BL536-BK536</f>
        <v/>
      </c>
      <c r="BM685" s="1277">
        <f>BM536-BL536</f>
        <v/>
      </c>
      <c r="BN685" s="1277">
        <f>BN536-BM536</f>
        <v/>
      </c>
      <c r="BO685" s="1382">
        <f>SUM(BK685,BL685,BM685,BN685)</f>
        <v/>
      </c>
      <c r="BP685" s="1277" t="n"/>
      <c r="BQ685" s="1277" t="n"/>
      <c r="BR685" s="1277" t="n"/>
      <c r="BS685" s="1277" t="n"/>
      <c r="BT685" s="1297">
        <f>SUM(BP685,BQ685,BR685,BS685)</f>
        <v/>
      </c>
      <c r="BU685" s="1277" t="n"/>
      <c r="BV685" s="1277" t="n"/>
      <c r="BW685" s="1277" t="n"/>
      <c r="BX685" s="1277" t="n"/>
      <c r="BY685" s="1297">
        <f>SUM(BU685,BV685,BW685,BX685)</f>
        <v/>
      </c>
      <c r="BZ685" s="1297" t="n"/>
      <c r="CA685" s="1297" t="n"/>
      <c r="CB685" s="1297" t="n"/>
      <c r="CC685" s="1280" t="n"/>
    </row>
    <row r="686" ht="14.4" customFormat="1" customHeight="1" s="1275">
      <c r="A686" s="1384">
        <f>A537</f>
        <v/>
      </c>
      <c r="B686" s="1387" t="n"/>
      <c r="C686" s="1297">
        <f>C537</f>
        <v/>
      </c>
      <c r="D686" s="1297">
        <f>D537</f>
        <v/>
      </c>
      <c r="E686" s="1297">
        <f>E537</f>
        <v/>
      </c>
      <c r="F686" s="1297">
        <f>F537</f>
        <v/>
      </c>
      <c r="G686" s="1297">
        <f>G537</f>
        <v/>
      </c>
      <c r="H686" s="1277">
        <f>H537</f>
        <v/>
      </c>
      <c r="I686" s="1277">
        <f>I537-H537</f>
        <v/>
      </c>
      <c r="J686" s="1277">
        <f>J537-I537</f>
        <v/>
      </c>
      <c r="K686" s="1277">
        <f>K537-J537</f>
        <v/>
      </c>
      <c r="L686" s="1297">
        <f>L537</f>
        <v/>
      </c>
      <c r="M686" s="1277">
        <f>M537</f>
        <v/>
      </c>
      <c r="N686" s="1277">
        <f>N537-M537</f>
        <v/>
      </c>
      <c r="O686" s="1277">
        <f>O537-N537</f>
        <v/>
      </c>
      <c r="P686" s="1277">
        <f>P537-O537</f>
        <v/>
      </c>
      <c r="Q686" s="1297">
        <f>Q537</f>
        <v/>
      </c>
      <c r="R686" s="1277">
        <f>R537</f>
        <v/>
      </c>
      <c r="S686" s="1277">
        <f>S537-R537</f>
        <v/>
      </c>
      <c r="T686" s="1277">
        <f>T537-S537</f>
        <v/>
      </c>
      <c r="U686" s="1277">
        <f>U537-T537</f>
        <v/>
      </c>
      <c r="V686" s="1297">
        <f>V537</f>
        <v/>
      </c>
      <c r="W686" s="1277">
        <f>W537</f>
        <v/>
      </c>
      <c r="X686" s="1277">
        <f>X537-W537</f>
        <v/>
      </c>
      <c r="Y686" s="1277">
        <f>Y537-X537</f>
        <v/>
      </c>
      <c r="Z686" s="1277">
        <f>Z537-Y537</f>
        <v/>
      </c>
      <c r="AA686" s="1297">
        <f>AA537</f>
        <v/>
      </c>
      <c r="AB686" s="1277">
        <f>AB537</f>
        <v/>
      </c>
      <c r="AC686" s="1277">
        <f>AC537-AB537</f>
        <v/>
      </c>
      <c r="AD686" s="1277">
        <f>AD537-AC537</f>
        <v/>
      </c>
      <c r="AE686" s="1277">
        <f>AE537-AD537</f>
        <v/>
      </c>
      <c r="AF686" s="1297">
        <f>AF537</f>
        <v/>
      </c>
      <c r="AG686" s="1277">
        <f>AG537</f>
        <v/>
      </c>
      <c r="AH686" s="1277">
        <f>AH537-AG537</f>
        <v/>
      </c>
      <c r="AI686" s="1277">
        <f>AI537-AH537</f>
        <v/>
      </c>
      <c r="AJ686" s="1277">
        <f>AJ537-AI537</f>
        <v/>
      </c>
      <c r="AK686" s="1297">
        <f>SUM(AG686,AH686,AI686,AJ686)</f>
        <v/>
      </c>
      <c r="AL686" s="1277">
        <f>AL537</f>
        <v/>
      </c>
      <c r="AM686" s="1277">
        <f>AM537-AL537</f>
        <v/>
      </c>
      <c r="AN686" s="1277">
        <f>AN537-AM537</f>
        <v/>
      </c>
      <c r="AO686" s="1277">
        <f>AO537-AN537</f>
        <v/>
      </c>
      <c r="AP686" s="1297">
        <f>SUM(AL686,AM686,AN686,AO686)</f>
        <v/>
      </c>
      <c r="AQ686" s="1277">
        <f>AQ537</f>
        <v/>
      </c>
      <c r="AR686" s="1277">
        <f>AR537-AQ537</f>
        <v/>
      </c>
      <c r="AS686" s="1277">
        <f>AS537-AR537</f>
        <v/>
      </c>
      <c r="AT686" s="1277">
        <f>AT537-AS537</f>
        <v/>
      </c>
      <c r="AU686" s="1297">
        <f>SUM(AQ686,AR686,AS686,AT686)</f>
        <v/>
      </c>
      <c r="AV686" s="1277">
        <f>AV537</f>
        <v/>
      </c>
      <c r="AW686" s="1277">
        <f>AW537-AV537</f>
        <v/>
      </c>
      <c r="AX686" s="1277">
        <f>AX537-AW537</f>
        <v/>
      </c>
      <c r="AY686" s="1277">
        <f>AY537-AX537</f>
        <v/>
      </c>
      <c r="AZ686" s="1297">
        <f>SUM(AV686,AW686,AX686,AY686)</f>
        <v/>
      </c>
      <c r="BA686" s="1277">
        <f>BA537</f>
        <v/>
      </c>
      <c r="BB686" s="1277">
        <f>BB537-BA537</f>
        <v/>
      </c>
      <c r="BC686" s="1277">
        <f>BC537-BB537</f>
        <v/>
      </c>
      <c r="BD686" s="1277">
        <f>BD537-BC537</f>
        <v/>
      </c>
      <c r="BE686" s="1297">
        <f>SUM(BA686,BB686,BC686,BD686)</f>
        <v/>
      </c>
      <c r="BF686" s="1277">
        <f>BF537</f>
        <v/>
      </c>
      <c r="BG686" s="1277">
        <f>BG537-BF537</f>
        <v/>
      </c>
      <c r="BH686" s="1277">
        <f>BH537-BG537</f>
        <v/>
      </c>
      <c r="BI686" s="1277">
        <f>BI537-BH537</f>
        <v/>
      </c>
      <c r="BJ686" s="1297">
        <f>SUM(BF686,BG686,BH686,BI686)</f>
        <v/>
      </c>
      <c r="BK686" s="1277">
        <f>BK537</f>
        <v/>
      </c>
      <c r="BL686" s="1277">
        <f>BL537-BK537</f>
        <v/>
      </c>
      <c r="BM686" s="1277">
        <f>BM537-BL537</f>
        <v/>
      </c>
      <c r="BN686" s="1277">
        <f>BN537-BM537</f>
        <v/>
      </c>
      <c r="BO686" s="1382">
        <f>SUM(BK686,BL686,BM686,BN686)</f>
        <v/>
      </c>
      <c r="BP686" s="1277" t="n"/>
      <c r="BQ686" s="1277" t="n"/>
      <c r="BR686" s="1277" t="n"/>
      <c r="BS686" s="1277" t="n"/>
      <c r="BT686" s="1297">
        <f>SUM(BP686,BQ686,BR686,BS686)</f>
        <v/>
      </c>
      <c r="BU686" s="1277" t="n"/>
      <c r="BV686" s="1277" t="n"/>
      <c r="BW686" s="1277" t="n"/>
      <c r="BX686" s="1277" t="n"/>
      <c r="BY686" s="1297">
        <f>SUM(BU686,BV686,BW686,BX686)</f>
        <v/>
      </c>
      <c r="BZ686" s="1297" t="n"/>
      <c r="CA686" s="1297" t="n"/>
      <c r="CB686" s="1297" t="n"/>
      <c r="CC686" s="1280" t="n"/>
    </row>
    <row r="687" ht="14.4" customFormat="1" customHeight="1" s="1275">
      <c r="A687" s="1384">
        <f>A538</f>
        <v/>
      </c>
      <c r="B687" s="1387" t="n"/>
      <c r="C687" s="1297">
        <f>C538</f>
        <v/>
      </c>
      <c r="D687" s="1297">
        <f>D538</f>
        <v/>
      </c>
      <c r="E687" s="1297">
        <f>E538</f>
        <v/>
      </c>
      <c r="F687" s="1297">
        <f>F538</f>
        <v/>
      </c>
      <c r="G687" s="1297">
        <f>G538</f>
        <v/>
      </c>
      <c r="H687" s="1277">
        <f>H538</f>
        <v/>
      </c>
      <c r="I687" s="1277">
        <f>I538-H538</f>
        <v/>
      </c>
      <c r="J687" s="1277">
        <f>J538-I538</f>
        <v/>
      </c>
      <c r="K687" s="1277">
        <f>K538-J538</f>
        <v/>
      </c>
      <c r="L687" s="1297">
        <f>L538</f>
        <v/>
      </c>
      <c r="M687" s="1277">
        <f>M538</f>
        <v/>
      </c>
      <c r="N687" s="1277">
        <f>N538-M538</f>
        <v/>
      </c>
      <c r="O687" s="1277">
        <f>O538-N538</f>
        <v/>
      </c>
      <c r="P687" s="1277">
        <f>P538-O538</f>
        <v/>
      </c>
      <c r="Q687" s="1297">
        <f>Q538</f>
        <v/>
      </c>
      <c r="R687" s="1277">
        <f>R538</f>
        <v/>
      </c>
      <c r="S687" s="1277">
        <f>S538-R538</f>
        <v/>
      </c>
      <c r="T687" s="1277">
        <f>T538-S538</f>
        <v/>
      </c>
      <c r="U687" s="1277">
        <f>U538-T538</f>
        <v/>
      </c>
      <c r="V687" s="1297">
        <f>V538</f>
        <v/>
      </c>
      <c r="W687" s="1277">
        <f>W538</f>
        <v/>
      </c>
      <c r="X687" s="1277">
        <f>X538-W538</f>
        <v/>
      </c>
      <c r="Y687" s="1277">
        <f>Y538-X538</f>
        <v/>
      </c>
      <c r="Z687" s="1277">
        <f>Z538-Y538</f>
        <v/>
      </c>
      <c r="AA687" s="1297">
        <f>AA538</f>
        <v/>
      </c>
      <c r="AB687" s="1277">
        <f>AB538</f>
        <v/>
      </c>
      <c r="AC687" s="1277">
        <f>AC538-AB538</f>
        <v/>
      </c>
      <c r="AD687" s="1277">
        <f>AD538-AC538</f>
        <v/>
      </c>
      <c r="AE687" s="1277">
        <f>AE538-AD538</f>
        <v/>
      </c>
      <c r="AF687" s="1297">
        <f>AF538</f>
        <v/>
      </c>
      <c r="AG687" s="1277">
        <f>AG538</f>
        <v/>
      </c>
      <c r="AH687" s="1277">
        <f>AH538-AG538</f>
        <v/>
      </c>
      <c r="AI687" s="1277">
        <f>AI538-AH538</f>
        <v/>
      </c>
      <c r="AJ687" s="1277">
        <f>AJ538-AI538</f>
        <v/>
      </c>
      <c r="AK687" s="1297">
        <f>SUM(AG687,AH687,AI687,AJ687)</f>
        <v/>
      </c>
      <c r="AL687" s="1277">
        <f>AL538</f>
        <v/>
      </c>
      <c r="AM687" s="1277">
        <f>AM538-AL538</f>
        <v/>
      </c>
      <c r="AN687" s="1277">
        <f>AN538-AM538</f>
        <v/>
      </c>
      <c r="AO687" s="1277">
        <f>AO538-AN538</f>
        <v/>
      </c>
      <c r="AP687" s="1297">
        <f>SUM(AL687,AM687,AN687,AO687)</f>
        <v/>
      </c>
      <c r="AQ687" s="1277">
        <f>AQ538</f>
        <v/>
      </c>
      <c r="AR687" s="1277">
        <f>AR538-AQ538</f>
        <v/>
      </c>
      <c r="AS687" s="1277">
        <f>AS538-AR538</f>
        <v/>
      </c>
      <c r="AT687" s="1277">
        <f>AT538-AS538</f>
        <v/>
      </c>
      <c r="AU687" s="1297">
        <f>SUM(AQ687,AR687,AS687,AT687)</f>
        <v/>
      </c>
      <c r="AV687" s="1277">
        <f>AV538</f>
        <v/>
      </c>
      <c r="AW687" s="1277">
        <f>AW538-AV538</f>
        <v/>
      </c>
      <c r="AX687" s="1277">
        <f>AX538-AW538</f>
        <v/>
      </c>
      <c r="AY687" s="1277">
        <f>AY538-AX538</f>
        <v/>
      </c>
      <c r="AZ687" s="1297">
        <f>SUM(AV687,AW687,AX687,AY687)</f>
        <v/>
      </c>
      <c r="BA687" s="1277">
        <f>BA538</f>
        <v/>
      </c>
      <c r="BB687" s="1277">
        <f>BB538-BA538</f>
        <v/>
      </c>
      <c r="BC687" s="1277">
        <f>BC538-BB538</f>
        <v/>
      </c>
      <c r="BD687" s="1277">
        <f>BD538-BC538</f>
        <v/>
      </c>
      <c r="BE687" s="1297">
        <f>SUM(BA687,BB687,BC687,BD687)</f>
        <v/>
      </c>
      <c r="BF687" s="1277">
        <f>BF538</f>
        <v/>
      </c>
      <c r="BG687" s="1277">
        <f>BG538-BF538</f>
        <v/>
      </c>
      <c r="BH687" s="1277">
        <f>BH538-BG538</f>
        <v/>
      </c>
      <c r="BI687" s="1277">
        <f>BI538-BH538</f>
        <v/>
      </c>
      <c r="BJ687" s="1297">
        <f>SUM(BF687,BG687,BH687,BI687)</f>
        <v/>
      </c>
      <c r="BK687" s="1277">
        <f>BK538</f>
        <v/>
      </c>
      <c r="BL687" s="1277">
        <f>BL538-BK538</f>
        <v/>
      </c>
      <c r="BM687" s="1277">
        <f>BM538-BL538</f>
        <v/>
      </c>
      <c r="BN687" s="1277">
        <f>BN538-BM538</f>
        <v/>
      </c>
      <c r="BO687" s="1382">
        <f>SUM(BK687,BL687,BM687,BN687)</f>
        <v/>
      </c>
      <c r="BP687" s="1277">
        <f>BP385</f>
        <v/>
      </c>
      <c r="BQ687" s="1277">
        <f>BQ385</f>
        <v/>
      </c>
      <c r="BR687" s="1277">
        <f>BR385</f>
        <v/>
      </c>
      <c r="BS687" s="1277">
        <f>BS385</f>
        <v/>
      </c>
      <c r="BT687" s="1297">
        <f>SUM(BP687,BQ687,BR687,BS687)</f>
        <v/>
      </c>
      <c r="BU687" s="1277">
        <f>BU385</f>
        <v/>
      </c>
      <c r="BV687" s="1277">
        <f>BV385</f>
        <v/>
      </c>
      <c r="BW687" s="1277">
        <f>BW385</f>
        <v/>
      </c>
      <c r="BX687" s="1277">
        <f>BX385</f>
        <v/>
      </c>
      <c r="BY687" s="1297">
        <f>SUM(BU687,BV687,BW687,BX687)</f>
        <v/>
      </c>
      <c r="BZ687" s="1297">
        <f>BZ385</f>
        <v/>
      </c>
      <c r="CA687" s="1297">
        <f>CA385</f>
        <v/>
      </c>
      <c r="CB687" s="1297">
        <f>CB385</f>
        <v/>
      </c>
      <c r="CC687" s="1280" t="n"/>
    </row>
    <row r="688" ht="14.4" customFormat="1" customHeight="1" s="1275">
      <c r="A688" s="1384">
        <f>A539</f>
        <v/>
      </c>
      <c r="B688" s="1387" t="n"/>
      <c r="C688" s="1297">
        <f>C539</f>
        <v/>
      </c>
      <c r="D688" s="1297">
        <f>D539</f>
        <v/>
      </c>
      <c r="E688" s="1297">
        <f>E539</f>
        <v/>
      </c>
      <c r="F688" s="1297">
        <f>F539</f>
        <v/>
      </c>
      <c r="G688" s="1297">
        <f>G539</f>
        <v/>
      </c>
      <c r="H688" s="1277">
        <f>H539</f>
        <v/>
      </c>
      <c r="I688" s="1277">
        <f>I539-H539</f>
        <v/>
      </c>
      <c r="J688" s="1277">
        <f>J539-I539</f>
        <v/>
      </c>
      <c r="K688" s="1277">
        <f>K539-J539</f>
        <v/>
      </c>
      <c r="L688" s="1297">
        <f>L539</f>
        <v/>
      </c>
      <c r="M688" s="1277">
        <f>M539</f>
        <v/>
      </c>
      <c r="N688" s="1277">
        <f>N539-M539</f>
        <v/>
      </c>
      <c r="O688" s="1277">
        <f>O539-N539</f>
        <v/>
      </c>
      <c r="P688" s="1277">
        <f>P539-O539</f>
        <v/>
      </c>
      <c r="Q688" s="1297">
        <f>Q539</f>
        <v/>
      </c>
      <c r="R688" s="1277">
        <f>R539</f>
        <v/>
      </c>
      <c r="S688" s="1277">
        <f>S539-R539</f>
        <v/>
      </c>
      <c r="T688" s="1277">
        <f>T539-S539</f>
        <v/>
      </c>
      <c r="U688" s="1277">
        <f>U539-T539</f>
        <v/>
      </c>
      <c r="V688" s="1297">
        <f>V539</f>
        <v/>
      </c>
      <c r="W688" s="1277">
        <f>W539</f>
        <v/>
      </c>
      <c r="X688" s="1277">
        <f>X539-W539</f>
        <v/>
      </c>
      <c r="Y688" s="1277">
        <f>Y539-X539</f>
        <v/>
      </c>
      <c r="Z688" s="1277">
        <f>Z539-Y539</f>
        <v/>
      </c>
      <c r="AA688" s="1297">
        <f>AA539</f>
        <v/>
      </c>
      <c r="AB688" s="1277">
        <f>AB539</f>
        <v/>
      </c>
      <c r="AC688" s="1277">
        <f>AC539-AB539</f>
        <v/>
      </c>
      <c r="AD688" s="1277">
        <f>AD539-AC539</f>
        <v/>
      </c>
      <c r="AE688" s="1277">
        <f>AE539-AD539</f>
        <v/>
      </c>
      <c r="AF688" s="1297">
        <f>AF539</f>
        <v/>
      </c>
      <c r="AG688" s="1277">
        <f>AG539</f>
        <v/>
      </c>
      <c r="AH688" s="1277">
        <f>AH539-AG539</f>
        <v/>
      </c>
      <c r="AI688" s="1277">
        <f>AI539-AH539</f>
        <v/>
      </c>
      <c r="AJ688" s="1277">
        <f>AJ539-AI539</f>
        <v/>
      </c>
      <c r="AK688" s="1297">
        <f>SUM(AG688,AH688,AI688,AJ688)</f>
        <v/>
      </c>
      <c r="AL688" s="1277">
        <f>AL539</f>
        <v/>
      </c>
      <c r="AM688" s="1277">
        <f>AM539-AL539</f>
        <v/>
      </c>
      <c r="AN688" s="1277">
        <f>AN539-AM539</f>
        <v/>
      </c>
      <c r="AO688" s="1277">
        <f>AO539-AN539</f>
        <v/>
      </c>
      <c r="AP688" s="1297">
        <f>SUM(AL688,AM688,AN688,AO688)</f>
        <v/>
      </c>
      <c r="AQ688" s="1277">
        <f>AQ539</f>
        <v/>
      </c>
      <c r="AR688" s="1277">
        <f>AR539-AQ539</f>
        <v/>
      </c>
      <c r="AS688" s="1277">
        <f>AS539-AR539</f>
        <v/>
      </c>
      <c r="AT688" s="1277">
        <f>AT539-AS539</f>
        <v/>
      </c>
      <c r="AU688" s="1297">
        <f>SUM(AQ688,AR688,AS688,AT688)</f>
        <v/>
      </c>
      <c r="AV688" s="1277">
        <f>AV539</f>
        <v/>
      </c>
      <c r="AW688" s="1277">
        <f>AW539-AV539</f>
        <v/>
      </c>
      <c r="AX688" s="1277">
        <f>AX539-AW539</f>
        <v/>
      </c>
      <c r="AY688" s="1277">
        <f>AY539-AX539</f>
        <v/>
      </c>
      <c r="AZ688" s="1297">
        <f>SUM(AV688,AW688,AX688,AY688)</f>
        <v/>
      </c>
      <c r="BA688" s="1277">
        <f>BA539</f>
        <v/>
      </c>
      <c r="BB688" s="1277">
        <f>BB539-BA539</f>
        <v/>
      </c>
      <c r="BC688" s="1277">
        <f>BC539-BB539</f>
        <v/>
      </c>
      <c r="BD688" s="1277">
        <f>BD539-BC539</f>
        <v/>
      </c>
      <c r="BE688" s="1297">
        <f>SUM(BA688,BB688,BC688,BD688)</f>
        <v/>
      </c>
      <c r="BF688" s="1277">
        <f>BF539</f>
        <v/>
      </c>
      <c r="BG688" s="1277">
        <f>BG539-BF539</f>
        <v/>
      </c>
      <c r="BH688" s="1277">
        <f>BH539-BG539</f>
        <v/>
      </c>
      <c r="BI688" s="1277">
        <f>BI539-BH539</f>
        <v/>
      </c>
      <c r="BJ688" s="1297">
        <f>SUM(BF688,BG688,BH688,BI688)</f>
        <v/>
      </c>
      <c r="BK688" s="1277">
        <f>BK539</f>
        <v/>
      </c>
      <c r="BL688" s="1277">
        <f>BL539-BK539</f>
        <v/>
      </c>
      <c r="BM688" s="1277">
        <f>BM539-BL539</f>
        <v/>
      </c>
      <c r="BN688" s="1277">
        <f>BN539-BM539</f>
        <v/>
      </c>
      <c r="BO688" s="1382">
        <f>SUM(BK688,BL688,BM688,BN688)</f>
        <v/>
      </c>
      <c r="BP688" s="1277" t="n"/>
      <c r="BQ688" s="1277" t="n"/>
      <c r="BR688" s="1277" t="n"/>
      <c r="BS688" s="1277" t="n"/>
      <c r="BT688" s="1297">
        <f>SUM(BP688,BQ688,BR688,BS688)</f>
        <v/>
      </c>
      <c r="BU688" s="1277" t="n"/>
      <c r="BV688" s="1277" t="n"/>
      <c r="BW688" s="1277" t="n"/>
      <c r="BX688" s="1277" t="n"/>
      <c r="BY688" s="1297">
        <f>SUM(BU688,BV688,BW688,BX688)</f>
        <v/>
      </c>
      <c r="BZ688" s="1297" t="n"/>
      <c r="CA688" s="1297" t="n"/>
      <c r="CB688" s="1297" t="n"/>
      <c r="CC688" s="1280" t="n"/>
    </row>
    <row r="689" ht="14.4" customFormat="1" customHeight="1" s="1275">
      <c r="A689" s="1384">
        <f>A540</f>
        <v/>
      </c>
      <c r="B689" s="1387" t="n"/>
      <c r="C689" s="1297">
        <f>C540</f>
        <v/>
      </c>
      <c r="D689" s="1297">
        <f>D540</f>
        <v/>
      </c>
      <c r="E689" s="1297">
        <f>E540</f>
        <v/>
      </c>
      <c r="F689" s="1297">
        <f>F540</f>
        <v/>
      </c>
      <c r="G689" s="1297">
        <f>G540</f>
        <v/>
      </c>
      <c r="H689" s="1277">
        <f>H540</f>
        <v/>
      </c>
      <c r="I689" s="1277">
        <f>I540-H540</f>
        <v/>
      </c>
      <c r="J689" s="1277">
        <f>J540-I540</f>
        <v/>
      </c>
      <c r="K689" s="1277">
        <f>K540-J540</f>
        <v/>
      </c>
      <c r="L689" s="1297">
        <f>L540</f>
        <v/>
      </c>
      <c r="M689" s="1277">
        <f>M540</f>
        <v/>
      </c>
      <c r="N689" s="1277">
        <f>N540-M540</f>
        <v/>
      </c>
      <c r="O689" s="1277">
        <f>O540-N540</f>
        <v/>
      </c>
      <c r="P689" s="1277">
        <f>P540-O540</f>
        <v/>
      </c>
      <c r="Q689" s="1297">
        <f>Q540</f>
        <v/>
      </c>
      <c r="R689" s="1277">
        <f>R540</f>
        <v/>
      </c>
      <c r="S689" s="1277">
        <f>S540-R540</f>
        <v/>
      </c>
      <c r="T689" s="1277">
        <f>T540-S540</f>
        <v/>
      </c>
      <c r="U689" s="1277">
        <f>U540-T540</f>
        <v/>
      </c>
      <c r="V689" s="1297">
        <f>V540</f>
        <v/>
      </c>
      <c r="W689" s="1277">
        <f>W540</f>
        <v/>
      </c>
      <c r="X689" s="1277">
        <f>X540-W540</f>
        <v/>
      </c>
      <c r="Y689" s="1277">
        <f>Y540-X540</f>
        <v/>
      </c>
      <c r="Z689" s="1277">
        <f>Z540-Y540</f>
        <v/>
      </c>
      <c r="AA689" s="1297">
        <f>AA540</f>
        <v/>
      </c>
      <c r="AB689" s="1277">
        <f>AB540</f>
        <v/>
      </c>
      <c r="AC689" s="1277">
        <f>AC540-AB540</f>
        <v/>
      </c>
      <c r="AD689" s="1277">
        <f>AD540-AC540</f>
        <v/>
      </c>
      <c r="AE689" s="1277">
        <f>AE540-AD540</f>
        <v/>
      </c>
      <c r="AF689" s="1297">
        <f>AF540</f>
        <v/>
      </c>
      <c r="AG689" s="1277">
        <f>AG540</f>
        <v/>
      </c>
      <c r="AH689" s="1277">
        <f>AH540-AG540</f>
        <v/>
      </c>
      <c r="AI689" s="1277">
        <f>AI540-AH540</f>
        <v/>
      </c>
      <c r="AJ689" s="1277">
        <f>AJ540-AI540</f>
        <v/>
      </c>
      <c r="AK689" s="1297">
        <f>SUM(AG689,AH689,AI689,AJ689)</f>
        <v/>
      </c>
      <c r="AL689" s="1277">
        <f>AL540</f>
        <v/>
      </c>
      <c r="AM689" s="1277">
        <f>AM540-AL540</f>
        <v/>
      </c>
      <c r="AN689" s="1277">
        <f>AN540-AM540</f>
        <v/>
      </c>
      <c r="AO689" s="1277">
        <f>AO540-AN540</f>
        <v/>
      </c>
      <c r="AP689" s="1297">
        <f>SUM(AL689,AM689,AN689,AO689)</f>
        <v/>
      </c>
      <c r="AQ689" s="1277">
        <f>AQ540</f>
        <v/>
      </c>
      <c r="AR689" s="1277">
        <f>AR540-AQ540</f>
        <v/>
      </c>
      <c r="AS689" s="1277">
        <f>AS540-AR540</f>
        <v/>
      </c>
      <c r="AT689" s="1277">
        <f>AT540-AS540</f>
        <v/>
      </c>
      <c r="AU689" s="1297">
        <f>SUM(AQ689,AR689,AS689,AT689)</f>
        <v/>
      </c>
      <c r="AV689" s="1277">
        <f>AV540</f>
        <v/>
      </c>
      <c r="AW689" s="1277">
        <f>AW540-AV540</f>
        <v/>
      </c>
      <c r="AX689" s="1277">
        <f>AX540-AW540</f>
        <v/>
      </c>
      <c r="AY689" s="1277">
        <f>AY540-AX540</f>
        <v/>
      </c>
      <c r="AZ689" s="1297">
        <f>SUM(AV689,AW689,AX689,AY689)</f>
        <v/>
      </c>
      <c r="BA689" s="1277">
        <f>BA540</f>
        <v/>
      </c>
      <c r="BB689" s="1277">
        <f>BB540-BA540</f>
        <v/>
      </c>
      <c r="BC689" s="1277">
        <f>BC540-BB540</f>
        <v/>
      </c>
      <c r="BD689" s="1277">
        <f>BD540-BC540</f>
        <v/>
      </c>
      <c r="BE689" s="1297">
        <f>SUM(BA689,BB689,BC689,BD689)</f>
        <v/>
      </c>
      <c r="BF689" s="1277">
        <f>BF540</f>
        <v/>
      </c>
      <c r="BG689" s="1277">
        <f>BG540-BF540</f>
        <v/>
      </c>
      <c r="BH689" s="1277">
        <f>BH540-BG540</f>
        <v/>
      </c>
      <c r="BI689" s="1277">
        <f>BI540-BH540</f>
        <v/>
      </c>
      <c r="BJ689" s="1297">
        <f>SUM(BF689,BG689,BH689,BI689)</f>
        <v/>
      </c>
      <c r="BK689" s="1277">
        <f>BK540</f>
        <v/>
      </c>
      <c r="BL689" s="1277">
        <f>BL540-BK540</f>
        <v/>
      </c>
      <c r="BM689" s="1277">
        <f>BM540-BL540</f>
        <v/>
      </c>
      <c r="BN689" s="1277">
        <f>BN540-BM540</f>
        <v/>
      </c>
      <c r="BO689" s="1382">
        <f>SUM(BK689,BL689,BM689,BN689)</f>
        <v/>
      </c>
      <c r="BP689" s="1277" t="n"/>
      <c r="BQ689" s="1277" t="n"/>
      <c r="BR689" s="1277" t="n"/>
      <c r="BS689" s="1277" t="n"/>
      <c r="BT689" s="1297">
        <f>SUM(BP689,BQ689,BR689,BS689)</f>
        <v/>
      </c>
      <c r="BU689" s="1277" t="n"/>
      <c r="BV689" s="1277" t="n"/>
      <c r="BW689" s="1277" t="n"/>
      <c r="BX689" s="1277" t="n"/>
      <c r="BY689" s="1297">
        <f>SUM(BU689,BV689,BW689,BX689)</f>
        <v/>
      </c>
      <c r="BZ689" s="1297" t="n"/>
      <c r="CA689" s="1297" t="n"/>
      <c r="CB689" s="1297" t="n"/>
      <c r="CC689" s="1280" t="n"/>
    </row>
    <row r="690" ht="14.4" customFormat="1" customHeight="1" s="1275">
      <c r="A690" s="1384">
        <f>A541</f>
        <v/>
      </c>
      <c r="B690" s="1387" t="n"/>
      <c r="C690" s="1297">
        <f>C541</f>
        <v/>
      </c>
      <c r="D690" s="1297">
        <f>D541</f>
        <v/>
      </c>
      <c r="E690" s="1297">
        <f>E541</f>
        <v/>
      </c>
      <c r="F690" s="1297">
        <f>F541</f>
        <v/>
      </c>
      <c r="G690" s="1297">
        <f>G541</f>
        <v/>
      </c>
      <c r="H690" s="1277">
        <f>H541</f>
        <v/>
      </c>
      <c r="I690" s="1277">
        <f>I541-H541</f>
        <v/>
      </c>
      <c r="J690" s="1277">
        <f>J541-I541</f>
        <v/>
      </c>
      <c r="K690" s="1277">
        <f>K541-J541</f>
        <v/>
      </c>
      <c r="L690" s="1297">
        <f>L541</f>
        <v/>
      </c>
      <c r="M690" s="1277">
        <f>M541</f>
        <v/>
      </c>
      <c r="N690" s="1277">
        <f>N541-M541</f>
        <v/>
      </c>
      <c r="O690" s="1277">
        <f>O541-N541</f>
        <v/>
      </c>
      <c r="P690" s="1277">
        <f>P541-O541</f>
        <v/>
      </c>
      <c r="Q690" s="1297">
        <f>Q541</f>
        <v/>
      </c>
      <c r="R690" s="1277">
        <f>R541</f>
        <v/>
      </c>
      <c r="S690" s="1277">
        <f>S541-R541</f>
        <v/>
      </c>
      <c r="T690" s="1277">
        <f>T541-S541</f>
        <v/>
      </c>
      <c r="U690" s="1277">
        <f>U541-T541</f>
        <v/>
      </c>
      <c r="V690" s="1297">
        <f>V541</f>
        <v/>
      </c>
      <c r="W690" s="1277">
        <f>W541</f>
        <v/>
      </c>
      <c r="X690" s="1277">
        <f>X541-W541</f>
        <v/>
      </c>
      <c r="Y690" s="1277">
        <f>Y541-X541</f>
        <v/>
      </c>
      <c r="Z690" s="1277">
        <f>Z541-Y541</f>
        <v/>
      </c>
      <c r="AA690" s="1297">
        <f>AA541</f>
        <v/>
      </c>
      <c r="AB690" s="1277">
        <f>AB541</f>
        <v/>
      </c>
      <c r="AC690" s="1277">
        <f>AC541-AB541</f>
        <v/>
      </c>
      <c r="AD690" s="1277">
        <f>AD541-AC541</f>
        <v/>
      </c>
      <c r="AE690" s="1277">
        <f>AE541-AD541</f>
        <v/>
      </c>
      <c r="AF690" s="1297">
        <f>AF541</f>
        <v/>
      </c>
      <c r="AG690" s="1277">
        <f>AG541</f>
        <v/>
      </c>
      <c r="AH690" s="1277">
        <f>AH541-AG541</f>
        <v/>
      </c>
      <c r="AI690" s="1277">
        <f>AI541-AH541</f>
        <v/>
      </c>
      <c r="AJ690" s="1277">
        <f>AJ541-AI541</f>
        <v/>
      </c>
      <c r="AK690" s="1297">
        <f>SUM(AG690,AH690,AI690,AJ690)</f>
        <v/>
      </c>
      <c r="AL690" s="1277">
        <f>AL541</f>
        <v/>
      </c>
      <c r="AM690" s="1277">
        <f>AM541-AL541</f>
        <v/>
      </c>
      <c r="AN690" s="1277">
        <f>AN541-AM541</f>
        <v/>
      </c>
      <c r="AO690" s="1277">
        <f>AO541-AN541</f>
        <v/>
      </c>
      <c r="AP690" s="1297">
        <f>SUM(AL690,AM690,AN690,AO690)</f>
        <v/>
      </c>
      <c r="AQ690" s="1277">
        <f>AQ541</f>
        <v/>
      </c>
      <c r="AR690" s="1277">
        <f>AR541-AQ541</f>
        <v/>
      </c>
      <c r="AS690" s="1277">
        <f>AS541-AR541</f>
        <v/>
      </c>
      <c r="AT690" s="1277">
        <f>AT541-AS541</f>
        <v/>
      </c>
      <c r="AU690" s="1297">
        <f>SUM(AQ690,AR690,AS690,AT690)</f>
        <v/>
      </c>
      <c r="AV690" s="1277">
        <f>AV541</f>
        <v/>
      </c>
      <c r="AW690" s="1277">
        <f>AW541-AV541</f>
        <v/>
      </c>
      <c r="AX690" s="1277">
        <f>AX541-AW541</f>
        <v/>
      </c>
      <c r="AY690" s="1277">
        <f>AY541-AX541</f>
        <v/>
      </c>
      <c r="AZ690" s="1297">
        <f>SUM(AV690,AW690,AX690,AY690)</f>
        <v/>
      </c>
      <c r="BA690" s="1277">
        <f>BA541</f>
        <v/>
      </c>
      <c r="BB690" s="1277">
        <f>BB541-BA541</f>
        <v/>
      </c>
      <c r="BC690" s="1277">
        <f>BC541-BB541</f>
        <v/>
      </c>
      <c r="BD690" s="1277">
        <f>BD541-BC541</f>
        <v/>
      </c>
      <c r="BE690" s="1297">
        <f>SUM(BA690,BB690,BC690,BD690)</f>
        <v/>
      </c>
      <c r="BF690" s="1277">
        <f>BF541</f>
        <v/>
      </c>
      <c r="BG690" s="1277">
        <f>BG541-BF541</f>
        <v/>
      </c>
      <c r="BH690" s="1277">
        <f>BH541-BG541</f>
        <v/>
      </c>
      <c r="BI690" s="1277">
        <f>BI541-BH541</f>
        <v/>
      </c>
      <c r="BJ690" s="1297">
        <f>SUM(BF690,BG690,BH690,BI690)</f>
        <v/>
      </c>
      <c r="BK690" s="1277">
        <f>BK541</f>
        <v/>
      </c>
      <c r="BL690" s="1277">
        <f>BL541-BK541</f>
        <v/>
      </c>
      <c r="BM690" s="1277">
        <f>BM541-BL541</f>
        <v/>
      </c>
      <c r="BN690" s="1277">
        <f>BN541-BM541</f>
        <v/>
      </c>
      <c r="BO690" s="1382">
        <f>SUM(BK690,BL690,BM690,BN690)</f>
        <v/>
      </c>
      <c r="BP690" s="1277" t="n"/>
      <c r="BQ690" s="1277" t="n"/>
      <c r="BR690" s="1277" t="n"/>
      <c r="BS690" s="1277" t="n"/>
      <c r="BT690" s="1297">
        <f>SUM(BP690,BQ690,BR690,BS690)</f>
        <v/>
      </c>
      <c r="BU690" s="1277" t="n"/>
      <c r="BV690" s="1277" t="n"/>
      <c r="BW690" s="1277" t="n"/>
      <c r="BX690" s="1277" t="n"/>
      <c r="BY690" s="1297">
        <f>SUM(BU690,BV690,BW690,BX690)</f>
        <v/>
      </c>
      <c r="BZ690" s="1297" t="n"/>
      <c r="CA690" s="1297" t="n"/>
      <c r="CB690" s="1297" t="n"/>
      <c r="CC690" s="1280" t="n"/>
    </row>
    <row r="691" ht="14.4" customFormat="1" customHeight="1" s="1275">
      <c r="A691" s="1384">
        <f>A542</f>
        <v/>
      </c>
      <c r="B691" s="1387" t="n"/>
      <c r="C691" s="1297">
        <f>C542</f>
        <v/>
      </c>
      <c r="D691" s="1297">
        <f>D542</f>
        <v/>
      </c>
      <c r="E691" s="1297">
        <f>E542</f>
        <v/>
      </c>
      <c r="F691" s="1297">
        <f>F542</f>
        <v/>
      </c>
      <c r="G691" s="1297">
        <f>G542</f>
        <v/>
      </c>
      <c r="H691" s="1277">
        <f>H542</f>
        <v/>
      </c>
      <c r="I691" s="1277">
        <f>I542-H542</f>
        <v/>
      </c>
      <c r="J691" s="1277">
        <f>J542-I542</f>
        <v/>
      </c>
      <c r="K691" s="1277">
        <f>K542-J542</f>
        <v/>
      </c>
      <c r="L691" s="1297">
        <f>L542</f>
        <v/>
      </c>
      <c r="M691" s="1277">
        <f>M542</f>
        <v/>
      </c>
      <c r="N691" s="1277">
        <f>N542-M542</f>
        <v/>
      </c>
      <c r="O691" s="1277">
        <f>O542-N542</f>
        <v/>
      </c>
      <c r="P691" s="1277">
        <f>P542-O542</f>
        <v/>
      </c>
      <c r="Q691" s="1297">
        <f>Q542</f>
        <v/>
      </c>
      <c r="R691" s="1277">
        <f>R542</f>
        <v/>
      </c>
      <c r="S691" s="1277">
        <f>S542-R542</f>
        <v/>
      </c>
      <c r="T691" s="1277">
        <f>T542-S542</f>
        <v/>
      </c>
      <c r="U691" s="1277">
        <f>U542-T542</f>
        <v/>
      </c>
      <c r="V691" s="1297">
        <f>V542</f>
        <v/>
      </c>
      <c r="W691" s="1277">
        <f>W542</f>
        <v/>
      </c>
      <c r="X691" s="1277">
        <f>X542-W542</f>
        <v/>
      </c>
      <c r="Y691" s="1277">
        <f>Y542-X542</f>
        <v/>
      </c>
      <c r="Z691" s="1277">
        <f>Z542-Y542</f>
        <v/>
      </c>
      <c r="AA691" s="1297">
        <f>AA542</f>
        <v/>
      </c>
      <c r="AB691" s="1277">
        <f>AB542</f>
        <v/>
      </c>
      <c r="AC691" s="1277">
        <f>AC542-AB542</f>
        <v/>
      </c>
      <c r="AD691" s="1277">
        <f>AD542-AC542</f>
        <v/>
      </c>
      <c r="AE691" s="1277">
        <f>AE542-AD542</f>
        <v/>
      </c>
      <c r="AF691" s="1297">
        <f>AF542</f>
        <v/>
      </c>
      <c r="AG691" s="1277">
        <f>AG542</f>
        <v/>
      </c>
      <c r="AH691" s="1277">
        <f>AH542-AG542</f>
        <v/>
      </c>
      <c r="AI691" s="1277">
        <f>AI542-AH542</f>
        <v/>
      </c>
      <c r="AJ691" s="1277">
        <f>AJ542-AI542</f>
        <v/>
      </c>
      <c r="AK691" s="1297">
        <f>SUM(AG691,AH691,AI691,AJ691)</f>
        <v/>
      </c>
      <c r="AL691" s="1277">
        <f>AL542</f>
        <v/>
      </c>
      <c r="AM691" s="1277">
        <f>AM542-AL542</f>
        <v/>
      </c>
      <c r="AN691" s="1277">
        <f>AN542-AM542</f>
        <v/>
      </c>
      <c r="AO691" s="1277">
        <f>AO542-AN542</f>
        <v/>
      </c>
      <c r="AP691" s="1297">
        <f>SUM(AL691,AM691,AN691,AO691)</f>
        <v/>
      </c>
      <c r="AQ691" s="1277">
        <f>AQ542</f>
        <v/>
      </c>
      <c r="AR691" s="1277">
        <f>AR542-AQ542</f>
        <v/>
      </c>
      <c r="AS691" s="1277">
        <f>AS542-AR542</f>
        <v/>
      </c>
      <c r="AT691" s="1277">
        <f>AT542-AS542</f>
        <v/>
      </c>
      <c r="AU691" s="1297">
        <f>SUM(AQ691,AR691,AS691,AT691)</f>
        <v/>
      </c>
      <c r="AV691" s="1277">
        <f>AV542</f>
        <v/>
      </c>
      <c r="AW691" s="1277">
        <f>AW542-AV542</f>
        <v/>
      </c>
      <c r="AX691" s="1277">
        <f>AX542-AW542</f>
        <v/>
      </c>
      <c r="AY691" s="1277">
        <f>AY542-AX542</f>
        <v/>
      </c>
      <c r="AZ691" s="1297">
        <f>SUM(AV691,AW691,AX691,AY691)</f>
        <v/>
      </c>
      <c r="BA691" s="1277">
        <f>BA542</f>
        <v/>
      </c>
      <c r="BB691" s="1277">
        <f>BB542-BA542</f>
        <v/>
      </c>
      <c r="BC691" s="1277">
        <f>BC542-BB542</f>
        <v/>
      </c>
      <c r="BD691" s="1277">
        <f>BD542-BC542</f>
        <v/>
      </c>
      <c r="BE691" s="1297">
        <f>SUM(BA691,BB691,BC691,BD691)</f>
        <v/>
      </c>
      <c r="BF691" s="1277">
        <f>BF542</f>
        <v/>
      </c>
      <c r="BG691" s="1277">
        <f>BG542-BF542</f>
        <v/>
      </c>
      <c r="BH691" s="1277">
        <f>BH542-BG542</f>
        <v/>
      </c>
      <c r="BI691" s="1277">
        <f>BI542-BH542</f>
        <v/>
      </c>
      <c r="BJ691" s="1297">
        <f>SUM(BF691,BG691,BH691,BI691)</f>
        <v/>
      </c>
      <c r="BK691" s="1277">
        <f>BK542</f>
        <v/>
      </c>
      <c r="BL691" s="1277">
        <f>BL542-BK542</f>
        <v/>
      </c>
      <c r="BM691" s="1277">
        <f>BM542-BL542</f>
        <v/>
      </c>
      <c r="BN691" s="1277">
        <f>BN542-BM542</f>
        <v/>
      </c>
      <c r="BO691" s="1382">
        <f>SUM(BK691,BL691,BM691,BN691)</f>
        <v/>
      </c>
      <c r="BP691" s="1277" t="n"/>
      <c r="BQ691" s="1277" t="n"/>
      <c r="BR691" s="1277" t="n"/>
      <c r="BS691" s="1277" t="n"/>
      <c r="BT691" s="1297">
        <f>SUM(BP691,BQ691,BR691,BS691)</f>
        <v/>
      </c>
      <c r="BU691" s="1277" t="n"/>
      <c r="BV691" s="1277" t="n"/>
      <c r="BW691" s="1277" t="n"/>
      <c r="BX691" s="1277" t="n"/>
      <c r="BY691" s="1297">
        <f>SUM(BU691,BV691,BW691,BX691)</f>
        <v/>
      </c>
      <c r="BZ691" s="1297" t="n"/>
      <c r="CA691" s="1297" t="n"/>
      <c r="CB691" s="1297" t="n"/>
      <c r="CC691" s="1280" t="n"/>
    </row>
    <row r="692" ht="14.4" customFormat="1" customHeight="1" s="1275">
      <c r="A692" s="1384">
        <f>A543</f>
        <v/>
      </c>
      <c r="B692" s="1387" t="n"/>
      <c r="C692" s="1297">
        <f>C543</f>
        <v/>
      </c>
      <c r="D692" s="1297">
        <f>D543</f>
        <v/>
      </c>
      <c r="E692" s="1297">
        <f>E543</f>
        <v/>
      </c>
      <c r="F692" s="1297">
        <f>F543</f>
        <v/>
      </c>
      <c r="G692" s="1297">
        <f>G543</f>
        <v/>
      </c>
      <c r="H692" s="1277">
        <f>H543</f>
        <v/>
      </c>
      <c r="I692" s="1277">
        <f>I543-H543</f>
        <v/>
      </c>
      <c r="J692" s="1277">
        <f>J543-I543</f>
        <v/>
      </c>
      <c r="K692" s="1277">
        <f>K543-J543</f>
        <v/>
      </c>
      <c r="L692" s="1297">
        <f>L543</f>
        <v/>
      </c>
      <c r="M692" s="1277">
        <f>M543</f>
        <v/>
      </c>
      <c r="N692" s="1277">
        <f>N543-M543</f>
        <v/>
      </c>
      <c r="O692" s="1277">
        <f>O543-N543</f>
        <v/>
      </c>
      <c r="P692" s="1277">
        <f>P543-O543</f>
        <v/>
      </c>
      <c r="Q692" s="1297">
        <f>Q543</f>
        <v/>
      </c>
      <c r="R692" s="1277">
        <f>R543</f>
        <v/>
      </c>
      <c r="S692" s="1277">
        <f>S543-R543</f>
        <v/>
      </c>
      <c r="T692" s="1277">
        <f>T543-S543</f>
        <v/>
      </c>
      <c r="U692" s="1277">
        <f>U543-T543</f>
        <v/>
      </c>
      <c r="V692" s="1297">
        <f>V543</f>
        <v/>
      </c>
      <c r="W692" s="1277">
        <f>W543</f>
        <v/>
      </c>
      <c r="X692" s="1277">
        <f>X543-W543</f>
        <v/>
      </c>
      <c r="Y692" s="1277">
        <f>Y543-X543</f>
        <v/>
      </c>
      <c r="Z692" s="1277">
        <f>Z543-Y543</f>
        <v/>
      </c>
      <c r="AA692" s="1297">
        <f>AA543</f>
        <v/>
      </c>
      <c r="AB692" s="1277">
        <f>AB543</f>
        <v/>
      </c>
      <c r="AC692" s="1277">
        <f>AC543-AB543</f>
        <v/>
      </c>
      <c r="AD692" s="1277">
        <f>AD543-AC543</f>
        <v/>
      </c>
      <c r="AE692" s="1277">
        <f>AE543-AD543</f>
        <v/>
      </c>
      <c r="AF692" s="1297">
        <f>AF543</f>
        <v/>
      </c>
      <c r="AG692" s="1277">
        <f>AG543</f>
        <v/>
      </c>
      <c r="AH692" s="1277">
        <f>AH543-AG543</f>
        <v/>
      </c>
      <c r="AI692" s="1277">
        <f>AI543-AH543</f>
        <v/>
      </c>
      <c r="AJ692" s="1277">
        <f>AJ543-AI543</f>
        <v/>
      </c>
      <c r="AK692" s="1297">
        <f>SUM(AG692,AH692,AI692,AJ692)</f>
        <v/>
      </c>
      <c r="AL692" s="1277">
        <f>AL543</f>
        <v/>
      </c>
      <c r="AM692" s="1277">
        <f>AM543-AL543</f>
        <v/>
      </c>
      <c r="AN692" s="1277">
        <f>AN543-AM543</f>
        <v/>
      </c>
      <c r="AO692" s="1277">
        <f>AO543-AN543</f>
        <v/>
      </c>
      <c r="AP692" s="1297">
        <f>SUM(AL692,AM692,AN692,AO692)</f>
        <v/>
      </c>
      <c r="AQ692" s="1277">
        <f>AQ543</f>
        <v/>
      </c>
      <c r="AR692" s="1277">
        <f>AR543-AQ543</f>
        <v/>
      </c>
      <c r="AS692" s="1277">
        <f>AS543-AR543</f>
        <v/>
      </c>
      <c r="AT692" s="1277">
        <f>AT543-AS543</f>
        <v/>
      </c>
      <c r="AU692" s="1297">
        <f>SUM(AQ692,AR692,AS692,AT692)</f>
        <v/>
      </c>
      <c r="AV692" s="1277">
        <f>AV543</f>
        <v/>
      </c>
      <c r="AW692" s="1277">
        <f>AW543-AV543</f>
        <v/>
      </c>
      <c r="AX692" s="1277">
        <f>AX543-AW543</f>
        <v/>
      </c>
      <c r="AY692" s="1277">
        <f>AY543-AX543</f>
        <v/>
      </c>
      <c r="AZ692" s="1297">
        <f>SUM(AV692,AW692,AX692,AY692)</f>
        <v/>
      </c>
      <c r="BA692" s="1277">
        <f>BA543</f>
        <v/>
      </c>
      <c r="BB692" s="1277">
        <f>BB543-BA543</f>
        <v/>
      </c>
      <c r="BC692" s="1277">
        <f>BC543-BB543</f>
        <v/>
      </c>
      <c r="BD692" s="1277">
        <f>BD543-BC543</f>
        <v/>
      </c>
      <c r="BE692" s="1297">
        <f>SUM(BA692,BB692,BC692,BD692)</f>
        <v/>
      </c>
      <c r="BF692" s="1277">
        <f>BF543</f>
        <v/>
      </c>
      <c r="BG692" s="1277">
        <f>BG543-BF543</f>
        <v/>
      </c>
      <c r="BH692" s="1277">
        <f>BH543-BG543</f>
        <v/>
      </c>
      <c r="BI692" s="1277">
        <f>BI543-BH543</f>
        <v/>
      </c>
      <c r="BJ692" s="1297">
        <f>SUM(BF692,BG692,BH692,BI692)</f>
        <v/>
      </c>
      <c r="BK692" s="1277">
        <f>BK543</f>
        <v/>
      </c>
      <c r="BL692" s="1277">
        <f>BL543-BK543</f>
        <v/>
      </c>
      <c r="BM692" s="1277">
        <f>BM543-BL543</f>
        <v/>
      </c>
      <c r="BN692" s="1277">
        <f>BN543-BM543</f>
        <v/>
      </c>
      <c r="BO692" s="1382">
        <f>SUM(BK692,BL692,BM692,BN692)</f>
        <v/>
      </c>
      <c r="BP692" s="1277" t="n"/>
      <c r="BQ692" s="1277" t="n"/>
      <c r="BR692" s="1277" t="n"/>
      <c r="BS692" s="1277" t="n"/>
      <c r="BT692" s="1297">
        <f>SUM(BP692,BQ692,BR692,BS692)</f>
        <v/>
      </c>
      <c r="BU692" s="1277" t="n"/>
      <c r="BV692" s="1277" t="n"/>
      <c r="BW692" s="1277" t="n"/>
      <c r="BX692" s="1277" t="n"/>
      <c r="BY692" s="1297">
        <f>SUM(BU692,BV692,BW692,BX692)</f>
        <v/>
      </c>
      <c r="BZ692" s="1297" t="n"/>
      <c r="CA692" s="1297" t="n"/>
      <c r="CB692" s="1297" t="n"/>
      <c r="CC692" s="1280" t="n"/>
    </row>
    <row r="693" ht="14.4" customFormat="1" customHeight="1" s="1275">
      <c r="A693" s="1384">
        <f>A544</f>
        <v/>
      </c>
      <c r="B693" s="1387" t="n"/>
      <c r="C693" s="1297">
        <f>C544</f>
        <v/>
      </c>
      <c r="D693" s="1297">
        <f>D544</f>
        <v/>
      </c>
      <c r="E693" s="1297">
        <f>E544</f>
        <v/>
      </c>
      <c r="F693" s="1297">
        <f>F544</f>
        <v/>
      </c>
      <c r="G693" s="1297">
        <f>G544</f>
        <v/>
      </c>
      <c r="H693" s="1277">
        <f>H544</f>
        <v/>
      </c>
      <c r="I693" s="1277">
        <f>I544-H544</f>
        <v/>
      </c>
      <c r="J693" s="1277">
        <f>J544-I544</f>
        <v/>
      </c>
      <c r="K693" s="1277">
        <f>K544-J544</f>
        <v/>
      </c>
      <c r="L693" s="1297">
        <f>L544</f>
        <v/>
      </c>
      <c r="M693" s="1277">
        <f>M544</f>
        <v/>
      </c>
      <c r="N693" s="1277">
        <f>N544-M544</f>
        <v/>
      </c>
      <c r="O693" s="1277">
        <f>O544-N544</f>
        <v/>
      </c>
      <c r="P693" s="1277">
        <f>P544-O544</f>
        <v/>
      </c>
      <c r="Q693" s="1297">
        <f>Q544</f>
        <v/>
      </c>
      <c r="R693" s="1277">
        <f>R544</f>
        <v/>
      </c>
      <c r="S693" s="1277">
        <f>S544-R544</f>
        <v/>
      </c>
      <c r="T693" s="1277">
        <f>T544-S544</f>
        <v/>
      </c>
      <c r="U693" s="1277">
        <f>U544-T544</f>
        <v/>
      </c>
      <c r="V693" s="1297">
        <f>V544</f>
        <v/>
      </c>
      <c r="W693" s="1277">
        <f>W544</f>
        <v/>
      </c>
      <c r="X693" s="1277">
        <f>X544-W544</f>
        <v/>
      </c>
      <c r="Y693" s="1277">
        <f>Y544-X544</f>
        <v/>
      </c>
      <c r="Z693" s="1277">
        <f>Z544-Y544</f>
        <v/>
      </c>
      <c r="AA693" s="1297">
        <f>AA544</f>
        <v/>
      </c>
      <c r="AB693" s="1277">
        <f>AB544</f>
        <v/>
      </c>
      <c r="AC693" s="1277">
        <f>AC544-AB544</f>
        <v/>
      </c>
      <c r="AD693" s="1277">
        <f>AD544-AC544</f>
        <v/>
      </c>
      <c r="AE693" s="1277">
        <f>AE544-AD544</f>
        <v/>
      </c>
      <c r="AF693" s="1297">
        <f>AF544</f>
        <v/>
      </c>
      <c r="AG693" s="1277">
        <f>AG544</f>
        <v/>
      </c>
      <c r="AH693" s="1277">
        <f>AH544-AG544</f>
        <v/>
      </c>
      <c r="AI693" s="1277">
        <f>AI544-AH544</f>
        <v/>
      </c>
      <c r="AJ693" s="1277">
        <f>AJ544-AI544</f>
        <v/>
      </c>
      <c r="AK693" s="1297">
        <f>SUM(AG693,AH693,AI693,AJ693)</f>
        <v/>
      </c>
      <c r="AL693" s="1277">
        <f>AL544</f>
        <v/>
      </c>
      <c r="AM693" s="1277">
        <f>AM544-AL544</f>
        <v/>
      </c>
      <c r="AN693" s="1277">
        <f>AN544-AM544</f>
        <v/>
      </c>
      <c r="AO693" s="1277">
        <f>AO544-AN544</f>
        <v/>
      </c>
      <c r="AP693" s="1297">
        <f>SUM(AL693,AM693,AN693,AO693)</f>
        <v/>
      </c>
      <c r="AQ693" s="1277">
        <f>AQ544</f>
        <v/>
      </c>
      <c r="AR693" s="1277">
        <f>AR544-AQ544</f>
        <v/>
      </c>
      <c r="AS693" s="1277">
        <f>AS544-AR544</f>
        <v/>
      </c>
      <c r="AT693" s="1277">
        <f>AT544-AS544</f>
        <v/>
      </c>
      <c r="AU693" s="1297">
        <f>SUM(AQ693,AR693,AS693,AT693)</f>
        <v/>
      </c>
      <c r="AV693" s="1277">
        <f>AV544</f>
        <v/>
      </c>
      <c r="AW693" s="1277">
        <f>AW544-AV544</f>
        <v/>
      </c>
      <c r="AX693" s="1277">
        <f>AX544-AW544</f>
        <v/>
      </c>
      <c r="AY693" s="1277">
        <f>AY544-AX544</f>
        <v/>
      </c>
      <c r="AZ693" s="1297">
        <f>SUM(AV693,AW693,AX693,AY693)</f>
        <v/>
      </c>
      <c r="BA693" s="1277">
        <f>BA544</f>
        <v/>
      </c>
      <c r="BB693" s="1277">
        <f>BB544-BA544</f>
        <v/>
      </c>
      <c r="BC693" s="1277">
        <f>BC544-BB544</f>
        <v/>
      </c>
      <c r="BD693" s="1277">
        <f>BD544-BC544</f>
        <v/>
      </c>
      <c r="BE693" s="1297">
        <f>SUM(BA693,BB693,BC693,BD693)</f>
        <v/>
      </c>
      <c r="BF693" s="1277">
        <f>BF544</f>
        <v/>
      </c>
      <c r="BG693" s="1277">
        <f>BG544-BF544</f>
        <v/>
      </c>
      <c r="BH693" s="1277">
        <f>BH544-BG544</f>
        <v/>
      </c>
      <c r="BI693" s="1277">
        <f>BI544-BH544</f>
        <v/>
      </c>
      <c r="BJ693" s="1297">
        <f>SUM(BF693,BG693,BH693,BI693)</f>
        <v/>
      </c>
      <c r="BK693" s="1277">
        <f>BK544</f>
        <v/>
      </c>
      <c r="BL693" s="1277">
        <f>BL544-BK544</f>
        <v/>
      </c>
      <c r="BM693" s="1277">
        <f>BM544-BL544</f>
        <v/>
      </c>
      <c r="BN693" s="1277">
        <f>BN544-BM544</f>
        <v/>
      </c>
      <c r="BO693" s="1382">
        <f>SUM(BK693,BL693,BM693,BN693)</f>
        <v/>
      </c>
      <c r="BP693" s="1277" t="n"/>
      <c r="BQ693" s="1277" t="n"/>
      <c r="BR693" s="1277" t="n"/>
      <c r="BS693" s="1277" t="n"/>
      <c r="BT693" s="1297">
        <f>SUM(BP693,BQ693,BR693,BS693)</f>
        <v/>
      </c>
      <c r="BU693" s="1277" t="n"/>
      <c r="BV693" s="1277" t="n"/>
      <c r="BW693" s="1277" t="n"/>
      <c r="BX693" s="1277" t="n"/>
      <c r="BY693" s="1297">
        <f>SUM(BU693,BV693,BW693,BX693)</f>
        <v/>
      </c>
      <c r="BZ693" s="1297" t="n"/>
      <c r="CA693" s="1297" t="n"/>
      <c r="CB693" s="1297" t="n"/>
      <c r="CC693" s="1280" t="n"/>
    </row>
    <row r="694" ht="14.4" customFormat="1" customHeight="1" s="1275">
      <c r="A694" s="1384">
        <f>A545</f>
        <v/>
      </c>
      <c r="B694" s="1387" t="n"/>
      <c r="C694" s="1297">
        <f>C545</f>
        <v/>
      </c>
      <c r="D694" s="1297">
        <f>D545</f>
        <v/>
      </c>
      <c r="E694" s="1297">
        <f>E545</f>
        <v/>
      </c>
      <c r="F694" s="1297">
        <f>F545</f>
        <v/>
      </c>
      <c r="G694" s="1297">
        <f>G545</f>
        <v/>
      </c>
      <c r="H694" s="1277">
        <f>H545</f>
        <v/>
      </c>
      <c r="I694" s="1277">
        <f>I545-H545</f>
        <v/>
      </c>
      <c r="J694" s="1277">
        <f>J545-I545</f>
        <v/>
      </c>
      <c r="K694" s="1277">
        <f>K545-J545</f>
        <v/>
      </c>
      <c r="L694" s="1297">
        <f>L545</f>
        <v/>
      </c>
      <c r="M694" s="1277">
        <f>M545</f>
        <v/>
      </c>
      <c r="N694" s="1277">
        <f>N545-M545</f>
        <v/>
      </c>
      <c r="O694" s="1277">
        <f>O545-N545</f>
        <v/>
      </c>
      <c r="P694" s="1277">
        <f>P545-O545</f>
        <v/>
      </c>
      <c r="Q694" s="1297">
        <f>Q545</f>
        <v/>
      </c>
      <c r="R694" s="1277">
        <f>R545</f>
        <v/>
      </c>
      <c r="S694" s="1277">
        <f>S545-R545</f>
        <v/>
      </c>
      <c r="T694" s="1277">
        <f>T545-S545</f>
        <v/>
      </c>
      <c r="U694" s="1277">
        <f>U545-T545</f>
        <v/>
      </c>
      <c r="V694" s="1297">
        <f>V545</f>
        <v/>
      </c>
      <c r="W694" s="1277">
        <f>W545</f>
        <v/>
      </c>
      <c r="X694" s="1277">
        <f>X545-W545</f>
        <v/>
      </c>
      <c r="Y694" s="1277">
        <f>Y545-X545</f>
        <v/>
      </c>
      <c r="Z694" s="1277">
        <f>Z545-Y545</f>
        <v/>
      </c>
      <c r="AA694" s="1297">
        <f>AA545</f>
        <v/>
      </c>
      <c r="AB694" s="1277">
        <f>AB545</f>
        <v/>
      </c>
      <c r="AC694" s="1277">
        <f>AC545-AB545</f>
        <v/>
      </c>
      <c r="AD694" s="1277">
        <f>AD545-AC545</f>
        <v/>
      </c>
      <c r="AE694" s="1277">
        <f>AE545-AD545</f>
        <v/>
      </c>
      <c r="AF694" s="1297">
        <f>AF545</f>
        <v/>
      </c>
      <c r="AG694" s="1277">
        <f>AG545</f>
        <v/>
      </c>
      <c r="AH694" s="1277">
        <f>AH545-AG545</f>
        <v/>
      </c>
      <c r="AI694" s="1277">
        <f>AI545-AH545</f>
        <v/>
      </c>
      <c r="AJ694" s="1277">
        <f>AJ545-AI545</f>
        <v/>
      </c>
      <c r="AK694" s="1297">
        <f>SUM(AG694,AH694,AI694,AJ694)</f>
        <v/>
      </c>
      <c r="AL694" s="1277">
        <f>AL545</f>
        <v/>
      </c>
      <c r="AM694" s="1277">
        <f>AM545-AL545</f>
        <v/>
      </c>
      <c r="AN694" s="1277">
        <f>AN545-AM545</f>
        <v/>
      </c>
      <c r="AO694" s="1277">
        <f>AO545-AN545</f>
        <v/>
      </c>
      <c r="AP694" s="1297">
        <f>SUM(AL694,AM694,AN694,AO694)</f>
        <v/>
      </c>
      <c r="AQ694" s="1277">
        <f>AQ545</f>
        <v/>
      </c>
      <c r="AR694" s="1277">
        <f>AR545-AQ545</f>
        <v/>
      </c>
      <c r="AS694" s="1277">
        <f>AS545-AR545</f>
        <v/>
      </c>
      <c r="AT694" s="1277">
        <f>AT545-AS545</f>
        <v/>
      </c>
      <c r="AU694" s="1297">
        <f>SUM(AQ694,AR694,AS694,AT694)</f>
        <v/>
      </c>
      <c r="AV694" s="1277">
        <f>AV545</f>
        <v/>
      </c>
      <c r="AW694" s="1277">
        <f>AW545-AV545</f>
        <v/>
      </c>
      <c r="AX694" s="1277">
        <f>AX545-AW545</f>
        <v/>
      </c>
      <c r="AY694" s="1277">
        <f>AY545-AX545</f>
        <v/>
      </c>
      <c r="AZ694" s="1297">
        <f>SUM(AV694,AW694,AX694,AY694)</f>
        <v/>
      </c>
      <c r="BA694" s="1277">
        <f>BA545</f>
        <v/>
      </c>
      <c r="BB694" s="1277">
        <f>BB545-BA545</f>
        <v/>
      </c>
      <c r="BC694" s="1277">
        <f>BC545-BB545</f>
        <v/>
      </c>
      <c r="BD694" s="1277">
        <f>BD545-BC545</f>
        <v/>
      </c>
      <c r="BE694" s="1297">
        <f>SUM(BA694,BB694,BC694,BD694)</f>
        <v/>
      </c>
      <c r="BF694" s="1277">
        <f>BF545</f>
        <v/>
      </c>
      <c r="BG694" s="1277">
        <f>BG545-BF545</f>
        <v/>
      </c>
      <c r="BH694" s="1277">
        <f>BH545-BG545</f>
        <v/>
      </c>
      <c r="BI694" s="1277">
        <f>BI545-BH545</f>
        <v/>
      </c>
      <c r="BJ694" s="1297">
        <f>SUM(BF694,BG694,BH694,BI694)</f>
        <v/>
      </c>
      <c r="BK694" s="1277">
        <f>BK545</f>
        <v/>
      </c>
      <c r="BL694" s="1277">
        <f>BL545-BK545</f>
        <v/>
      </c>
      <c r="BM694" s="1277">
        <f>BM545-BL545</f>
        <v/>
      </c>
      <c r="BN694" s="1277">
        <f>BN545-BM545</f>
        <v/>
      </c>
      <c r="BO694" s="1382">
        <f>SUM(BK694,BL694,BM694,BN694)</f>
        <v/>
      </c>
      <c r="BP694" s="1277" t="n"/>
      <c r="BQ694" s="1277" t="n"/>
      <c r="BR694" s="1277" t="n"/>
      <c r="BS694" s="1277" t="n"/>
      <c r="BT694" s="1297">
        <f>SUM(BP694,BQ694,BR694,BS694)</f>
        <v/>
      </c>
      <c r="BU694" s="1277" t="n"/>
      <c r="BV694" s="1277" t="n"/>
      <c r="BW694" s="1277" t="n"/>
      <c r="BX694" s="1277" t="n"/>
      <c r="BY694" s="1297">
        <f>SUM(BU694,BV694,BW694,BX694)</f>
        <v/>
      </c>
      <c r="BZ694" s="1297" t="n"/>
      <c r="CA694" s="1297" t="n"/>
      <c r="CB694" s="1297" t="n"/>
      <c r="CC694" s="1280" t="n"/>
    </row>
    <row r="695" ht="14.4" customFormat="1" customHeight="1" s="1275">
      <c r="A695" s="1384">
        <f>A546</f>
        <v/>
      </c>
      <c r="B695" s="1387" t="n"/>
      <c r="C695" s="1297">
        <f>C546</f>
        <v/>
      </c>
      <c r="D695" s="1297">
        <f>D546</f>
        <v/>
      </c>
      <c r="E695" s="1297">
        <f>E546</f>
        <v/>
      </c>
      <c r="F695" s="1297">
        <f>F546</f>
        <v/>
      </c>
      <c r="G695" s="1297">
        <f>G546</f>
        <v/>
      </c>
      <c r="H695" s="1277">
        <f>H546</f>
        <v/>
      </c>
      <c r="I695" s="1277">
        <f>I546-H546</f>
        <v/>
      </c>
      <c r="J695" s="1277">
        <f>J546-I546</f>
        <v/>
      </c>
      <c r="K695" s="1277">
        <f>K546-J546</f>
        <v/>
      </c>
      <c r="L695" s="1297">
        <f>L546</f>
        <v/>
      </c>
      <c r="M695" s="1277">
        <f>M546</f>
        <v/>
      </c>
      <c r="N695" s="1277">
        <f>N546-M546</f>
        <v/>
      </c>
      <c r="O695" s="1277">
        <f>O546-N546</f>
        <v/>
      </c>
      <c r="P695" s="1277">
        <f>P546-O546</f>
        <v/>
      </c>
      <c r="Q695" s="1297">
        <f>Q546</f>
        <v/>
      </c>
      <c r="R695" s="1277">
        <f>R546</f>
        <v/>
      </c>
      <c r="S695" s="1277">
        <f>S546-R546</f>
        <v/>
      </c>
      <c r="T695" s="1277">
        <f>T546-S546</f>
        <v/>
      </c>
      <c r="U695" s="1277">
        <f>U546-T546</f>
        <v/>
      </c>
      <c r="V695" s="1297">
        <f>V546</f>
        <v/>
      </c>
      <c r="W695" s="1277">
        <f>W546</f>
        <v/>
      </c>
      <c r="X695" s="1277">
        <f>X546-W546</f>
        <v/>
      </c>
      <c r="Y695" s="1277">
        <f>Y546-X546</f>
        <v/>
      </c>
      <c r="Z695" s="1277">
        <f>Z546-Y546</f>
        <v/>
      </c>
      <c r="AA695" s="1297">
        <f>AA546</f>
        <v/>
      </c>
      <c r="AB695" s="1277">
        <f>AB546</f>
        <v/>
      </c>
      <c r="AC695" s="1277">
        <f>AC546-AB546</f>
        <v/>
      </c>
      <c r="AD695" s="1277">
        <f>AD546-AC546</f>
        <v/>
      </c>
      <c r="AE695" s="1277">
        <f>AE546-AD546</f>
        <v/>
      </c>
      <c r="AF695" s="1297">
        <f>AF546</f>
        <v/>
      </c>
      <c r="AG695" s="1277">
        <f>AG546</f>
        <v/>
      </c>
      <c r="AH695" s="1277">
        <f>AH546-AG546</f>
        <v/>
      </c>
      <c r="AI695" s="1277">
        <f>AI546-AH546</f>
        <v/>
      </c>
      <c r="AJ695" s="1277">
        <f>AJ546-AI546</f>
        <v/>
      </c>
      <c r="AK695" s="1297">
        <f>SUM(AG695,AH695,AI695,AJ695)</f>
        <v/>
      </c>
      <c r="AL695" s="1277">
        <f>AL546</f>
        <v/>
      </c>
      <c r="AM695" s="1277">
        <f>AM546-AL546</f>
        <v/>
      </c>
      <c r="AN695" s="1277">
        <f>AN546-AM546</f>
        <v/>
      </c>
      <c r="AO695" s="1277">
        <f>AO546-AN546</f>
        <v/>
      </c>
      <c r="AP695" s="1297">
        <f>SUM(AL695,AM695,AN695,AO695)</f>
        <v/>
      </c>
      <c r="AQ695" s="1277">
        <f>AQ546</f>
        <v/>
      </c>
      <c r="AR695" s="1277">
        <f>AR546-AQ546</f>
        <v/>
      </c>
      <c r="AS695" s="1277">
        <f>AS546-AR546</f>
        <v/>
      </c>
      <c r="AT695" s="1277">
        <f>AT546-AS546</f>
        <v/>
      </c>
      <c r="AU695" s="1297">
        <f>SUM(AQ695,AR695,AS695,AT695)</f>
        <v/>
      </c>
      <c r="AV695" s="1277">
        <f>AV546</f>
        <v/>
      </c>
      <c r="AW695" s="1277">
        <f>AW546-AV546</f>
        <v/>
      </c>
      <c r="AX695" s="1277">
        <f>AX546-AW546</f>
        <v/>
      </c>
      <c r="AY695" s="1277">
        <f>AY546-AX546</f>
        <v/>
      </c>
      <c r="AZ695" s="1297">
        <f>SUM(AV695,AW695,AX695,AY695)</f>
        <v/>
      </c>
      <c r="BA695" s="1277">
        <f>BA546</f>
        <v/>
      </c>
      <c r="BB695" s="1277">
        <f>BB546-BA546</f>
        <v/>
      </c>
      <c r="BC695" s="1277">
        <f>BC546-BB546</f>
        <v/>
      </c>
      <c r="BD695" s="1277">
        <f>BD546-BC546</f>
        <v/>
      </c>
      <c r="BE695" s="1297">
        <f>SUM(BA695,BB695,BC695,BD695)</f>
        <v/>
      </c>
      <c r="BF695" s="1277">
        <f>BF546</f>
        <v/>
      </c>
      <c r="BG695" s="1277">
        <f>BG546-BF546</f>
        <v/>
      </c>
      <c r="BH695" s="1277">
        <f>BH546-BG546</f>
        <v/>
      </c>
      <c r="BI695" s="1277">
        <f>BI546-BH546</f>
        <v/>
      </c>
      <c r="BJ695" s="1297">
        <f>SUM(BF695,BG695,BH695,BI695)</f>
        <v/>
      </c>
      <c r="BK695" s="1277">
        <f>BK546</f>
        <v/>
      </c>
      <c r="BL695" s="1277">
        <f>BL546-BK546</f>
        <v/>
      </c>
      <c r="BM695" s="1277">
        <f>BM546-BL546</f>
        <v/>
      </c>
      <c r="BN695" s="1277">
        <f>BN546-BM546</f>
        <v/>
      </c>
      <c r="BO695" s="1382">
        <f>SUM(BK695,BL695,BM695,BN695)</f>
        <v/>
      </c>
      <c r="BP695" s="1277" t="n"/>
      <c r="BQ695" s="1277" t="n"/>
      <c r="BR695" s="1277" t="n"/>
      <c r="BS695" s="1277" t="n"/>
      <c r="BT695" s="1297">
        <f>SUM(BP695,BQ695,BR695,BS695)</f>
        <v/>
      </c>
      <c r="BU695" s="1277" t="n"/>
      <c r="BV695" s="1277" t="n"/>
      <c r="BW695" s="1277" t="n"/>
      <c r="BX695" s="1277" t="n"/>
      <c r="BY695" s="1297">
        <f>SUM(BU695,BV695,BW695,BX695)</f>
        <v/>
      </c>
      <c r="BZ695" s="1297" t="n"/>
      <c r="CA695" s="1297" t="n"/>
      <c r="CB695" s="1297" t="n"/>
      <c r="CC695" s="1280" t="n"/>
    </row>
    <row r="696" ht="14.4" customFormat="1" customHeight="1" s="1275">
      <c r="A696" s="1384">
        <f>A547</f>
        <v/>
      </c>
      <c r="B696" s="1387" t="n"/>
      <c r="C696" s="1297">
        <f>C547</f>
        <v/>
      </c>
      <c r="D696" s="1297">
        <f>D547</f>
        <v/>
      </c>
      <c r="E696" s="1297">
        <f>E547</f>
        <v/>
      </c>
      <c r="F696" s="1297">
        <f>F547</f>
        <v/>
      </c>
      <c r="G696" s="1297">
        <f>G547</f>
        <v/>
      </c>
      <c r="H696" s="1277">
        <f>H547</f>
        <v/>
      </c>
      <c r="I696" s="1277">
        <f>I547-H547</f>
        <v/>
      </c>
      <c r="J696" s="1277">
        <f>J547-I547</f>
        <v/>
      </c>
      <c r="K696" s="1277">
        <f>K547-J547</f>
        <v/>
      </c>
      <c r="L696" s="1297">
        <f>L547</f>
        <v/>
      </c>
      <c r="M696" s="1277">
        <f>M547</f>
        <v/>
      </c>
      <c r="N696" s="1277">
        <f>N547-M547</f>
        <v/>
      </c>
      <c r="O696" s="1277">
        <f>O547-N547</f>
        <v/>
      </c>
      <c r="P696" s="1277">
        <f>P547-O547</f>
        <v/>
      </c>
      <c r="Q696" s="1297">
        <f>Q547</f>
        <v/>
      </c>
      <c r="R696" s="1277">
        <f>R547</f>
        <v/>
      </c>
      <c r="S696" s="1277">
        <f>S547-R547</f>
        <v/>
      </c>
      <c r="T696" s="1277">
        <f>T547-S547</f>
        <v/>
      </c>
      <c r="U696" s="1277">
        <f>U547-T547</f>
        <v/>
      </c>
      <c r="V696" s="1297">
        <f>V547</f>
        <v/>
      </c>
      <c r="W696" s="1277">
        <f>W547</f>
        <v/>
      </c>
      <c r="X696" s="1277">
        <f>X547-W547</f>
        <v/>
      </c>
      <c r="Y696" s="1277">
        <f>Y547-X547</f>
        <v/>
      </c>
      <c r="Z696" s="1277">
        <f>Z547-Y547</f>
        <v/>
      </c>
      <c r="AA696" s="1297">
        <f>AA547</f>
        <v/>
      </c>
      <c r="AB696" s="1277">
        <f>AB547</f>
        <v/>
      </c>
      <c r="AC696" s="1277">
        <f>AC547-AB547</f>
        <v/>
      </c>
      <c r="AD696" s="1277">
        <f>AD547-AC547</f>
        <v/>
      </c>
      <c r="AE696" s="1277">
        <f>AE547-AD547</f>
        <v/>
      </c>
      <c r="AF696" s="1297">
        <f>AF547</f>
        <v/>
      </c>
      <c r="AG696" s="1277">
        <f>AG547</f>
        <v/>
      </c>
      <c r="AH696" s="1277">
        <f>AH547-AG547</f>
        <v/>
      </c>
      <c r="AI696" s="1277">
        <f>AI547-AH547</f>
        <v/>
      </c>
      <c r="AJ696" s="1277">
        <f>AJ547-AI547</f>
        <v/>
      </c>
      <c r="AK696" s="1297">
        <f>SUM(AG696,AH696,AI696,AJ696)</f>
        <v/>
      </c>
      <c r="AL696" s="1277">
        <f>AL547</f>
        <v/>
      </c>
      <c r="AM696" s="1277">
        <f>AM547-AL547</f>
        <v/>
      </c>
      <c r="AN696" s="1277">
        <f>AN547-AM547</f>
        <v/>
      </c>
      <c r="AO696" s="1277">
        <f>AO547-AN547</f>
        <v/>
      </c>
      <c r="AP696" s="1297">
        <f>SUM(AL696,AM696,AN696,AO696)</f>
        <v/>
      </c>
      <c r="AQ696" s="1277">
        <f>AQ547</f>
        <v/>
      </c>
      <c r="AR696" s="1277">
        <f>AR547-AQ547</f>
        <v/>
      </c>
      <c r="AS696" s="1277">
        <f>AS547-AR547</f>
        <v/>
      </c>
      <c r="AT696" s="1277">
        <f>AT547-AS547</f>
        <v/>
      </c>
      <c r="AU696" s="1297">
        <f>SUM(AQ696,AR696,AS696,AT696)</f>
        <v/>
      </c>
      <c r="AV696" s="1277">
        <f>AV547</f>
        <v/>
      </c>
      <c r="AW696" s="1277">
        <f>AW547-AV547</f>
        <v/>
      </c>
      <c r="AX696" s="1277">
        <f>AX547-AW547</f>
        <v/>
      </c>
      <c r="AY696" s="1277">
        <f>AY547-AX547</f>
        <v/>
      </c>
      <c r="AZ696" s="1297">
        <f>SUM(AV696,AW696,AX696,AY696)</f>
        <v/>
      </c>
      <c r="BA696" s="1277">
        <f>BA547</f>
        <v/>
      </c>
      <c r="BB696" s="1277">
        <f>BB547-BA547</f>
        <v/>
      </c>
      <c r="BC696" s="1277">
        <f>BC547-BB547</f>
        <v/>
      </c>
      <c r="BD696" s="1277">
        <f>BD547-BC547</f>
        <v/>
      </c>
      <c r="BE696" s="1297">
        <f>SUM(BA696,BB696,BC696,BD696)</f>
        <v/>
      </c>
      <c r="BF696" s="1277">
        <f>BF547</f>
        <v/>
      </c>
      <c r="BG696" s="1277">
        <f>BG547-BF547</f>
        <v/>
      </c>
      <c r="BH696" s="1277">
        <f>BH547-BG547</f>
        <v/>
      </c>
      <c r="BI696" s="1277">
        <f>BI547-BH547</f>
        <v/>
      </c>
      <c r="BJ696" s="1297">
        <f>SUM(BF696,BG696,BH696,BI696)</f>
        <v/>
      </c>
      <c r="BK696" s="1277">
        <f>BK547</f>
        <v/>
      </c>
      <c r="BL696" s="1277">
        <f>BL547-BK547</f>
        <v/>
      </c>
      <c r="BM696" s="1277">
        <f>BM547-BL547</f>
        <v/>
      </c>
      <c r="BN696" s="1277">
        <f>BN547-BM547</f>
        <v/>
      </c>
      <c r="BO696" s="1382">
        <f>SUM(BK696,BL696,BM696,BN696)</f>
        <v/>
      </c>
      <c r="BP696" s="1277" t="n"/>
      <c r="BQ696" s="1277" t="n"/>
      <c r="BR696" s="1277" t="n"/>
      <c r="BS696" s="1277" t="n"/>
      <c r="BT696" s="1297">
        <f>SUM(BP696,BQ696,BR696,BS696)</f>
        <v/>
      </c>
      <c r="BU696" s="1277" t="n"/>
      <c r="BV696" s="1277" t="n"/>
      <c r="BW696" s="1277" t="n"/>
      <c r="BX696" s="1277" t="n"/>
      <c r="BY696" s="1297">
        <f>SUM(BU696,BV696,BW696,BX696)</f>
        <v/>
      </c>
      <c r="BZ696" s="1297" t="n"/>
      <c r="CA696" s="1297" t="n"/>
      <c r="CB696" s="1297" t="n"/>
      <c r="CC696" s="1280" t="n"/>
    </row>
    <row r="697" ht="14.4" customFormat="1" customHeight="1" s="1275">
      <c r="A697" s="1384">
        <f>A548</f>
        <v/>
      </c>
      <c r="B697" s="1387" t="n"/>
      <c r="C697" s="1297">
        <f>C548</f>
        <v/>
      </c>
      <c r="D697" s="1297">
        <f>D548</f>
        <v/>
      </c>
      <c r="E697" s="1297">
        <f>E548</f>
        <v/>
      </c>
      <c r="F697" s="1297">
        <f>F548</f>
        <v/>
      </c>
      <c r="G697" s="1297">
        <f>G548</f>
        <v/>
      </c>
      <c r="H697" s="1277">
        <f>H548</f>
        <v/>
      </c>
      <c r="I697" s="1277">
        <f>I548-H548</f>
        <v/>
      </c>
      <c r="J697" s="1277">
        <f>J548-I548</f>
        <v/>
      </c>
      <c r="K697" s="1277">
        <f>K548-J548</f>
        <v/>
      </c>
      <c r="L697" s="1297">
        <f>L548</f>
        <v/>
      </c>
      <c r="M697" s="1277">
        <f>M548</f>
        <v/>
      </c>
      <c r="N697" s="1277">
        <f>N548-M548</f>
        <v/>
      </c>
      <c r="O697" s="1277">
        <f>O548-N548</f>
        <v/>
      </c>
      <c r="P697" s="1277">
        <f>P548-O548</f>
        <v/>
      </c>
      <c r="Q697" s="1297">
        <f>Q548</f>
        <v/>
      </c>
      <c r="R697" s="1277">
        <f>R548</f>
        <v/>
      </c>
      <c r="S697" s="1277">
        <f>S548-R548</f>
        <v/>
      </c>
      <c r="T697" s="1277">
        <f>T548-S548</f>
        <v/>
      </c>
      <c r="U697" s="1277">
        <f>U548-T548</f>
        <v/>
      </c>
      <c r="V697" s="1297">
        <f>V548</f>
        <v/>
      </c>
      <c r="W697" s="1277">
        <f>W548</f>
        <v/>
      </c>
      <c r="X697" s="1277">
        <f>X548-W548</f>
        <v/>
      </c>
      <c r="Y697" s="1277">
        <f>Y548-X548</f>
        <v/>
      </c>
      <c r="Z697" s="1277">
        <f>Z548-Y548</f>
        <v/>
      </c>
      <c r="AA697" s="1297">
        <f>AA548</f>
        <v/>
      </c>
      <c r="AB697" s="1277">
        <f>AB548</f>
        <v/>
      </c>
      <c r="AC697" s="1277">
        <f>AC548-AB548</f>
        <v/>
      </c>
      <c r="AD697" s="1277">
        <f>AD548-AC548</f>
        <v/>
      </c>
      <c r="AE697" s="1277">
        <f>AE548-AD548</f>
        <v/>
      </c>
      <c r="AF697" s="1297">
        <f>AF548</f>
        <v/>
      </c>
      <c r="AG697" s="1277">
        <f>AG548</f>
        <v/>
      </c>
      <c r="AH697" s="1277">
        <f>AH548-AG548</f>
        <v/>
      </c>
      <c r="AI697" s="1277">
        <f>AI548-AH548</f>
        <v/>
      </c>
      <c r="AJ697" s="1277">
        <f>AJ548-AI548</f>
        <v/>
      </c>
      <c r="AK697" s="1297">
        <f>SUM(AG697,AH697,AI697,AJ697)</f>
        <v/>
      </c>
      <c r="AL697" s="1277">
        <f>AL548</f>
        <v/>
      </c>
      <c r="AM697" s="1277">
        <f>AM548-AL548</f>
        <v/>
      </c>
      <c r="AN697" s="1277">
        <f>AN548-AM548</f>
        <v/>
      </c>
      <c r="AO697" s="1277">
        <f>AO548-AN548</f>
        <v/>
      </c>
      <c r="AP697" s="1297">
        <f>SUM(AL697,AM697,AN697,AO697)</f>
        <v/>
      </c>
      <c r="AQ697" s="1277">
        <f>AQ548</f>
        <v/>
      </c>
      <c r="AR697" s="1277">
        <f>AR548-AQ548</f>
        <v/>
      </c>
      <c r="AS697" s="1277">
        <f>AS548-AR548</f>
        <v/>
      </c>
      <c r="AT697" s="1277">
        <f>AT548-AS548</f>
        <v/>
      </c>
      <c r="AU697" s="1297">
        <f>SUM(AQ697,AR697,AS697,AT697)</f>
        <v/>
      </c>
      <c r="AV697" s="1277">
        <f>AV548</f>
        <v/>
      </c>
      <c r="AW697" s="1277">
        <f>AW548-AV548</f>
        <v/>
      </c>
      <c r="AX697" s="1277">
        <f>AX548-AW548</f>
        <v/>
      </c>
      <c r="AY697" s="1277">
        <f>AY548-AX548</f>
        <v/>
      </c>
      <c r="AZ697" s="1297">
        <f>SUM(AV697,AW697,AX697,AY697)</f>
        <v/>
      </c>
      <c r="BA697" s="1277">
        <f>BA548</f>
        <v/>
      </c>
      <c r="BB697" s="1277">
        <f>BB548-BA548</f>
        <v/>
      </c>
      <c r="BC697" s="1277">
        <f>BC548-BB548</f>
        <v/>
      </c>
      <c r="BD697" s="1277">
        <f>BD548-BC548</f>
        <v/>
      </c>
      <c r="BE697" s="1297">
        <f>SUM(BA697,BB697,BC697,BD697)</f>
        <v/>
      </c>
      <c r="BF697" s="1277">
        <f>BF548</f>
        <v/>
      </c>
      <c r="BG697" s="1277">
        <f>BG548-BF548</f>
        <v/>
      </c>
      <c r="BH697" s="1277">
        <f>BH548-BG548</f>
        <v/>
      </c>
      <c r="BI697" s="1277">
        <f>BI548-BH548</f>
        <v/>
      </c>
      <c r="BJ697" s="1297">
        <f>SUM(BF697,BG697,BH697,BI697)</f>
        <v/>
      </c>
      <c r="BK697" s="1277">
        <f>BK548</f>
        <v/>
      </c>
      <c r="BL697" s="1277">
        <f>BL548-BK548</f>
        <v/>
      </c>
      <c r="BM697" s="1277">
        <f>BM548-BL548</f>
        <v/>
      </c>
      <c r="BN697" s="1277">
        <f>BN548-BM548</f>
        <v/>
      </c>
      <c r="BO697" s="1382">
        <f>SUM(BK697,BL697,BM697,BN697)</f>
        <v/>
      </c>
      <c r="BP697" s="1277" t="n"/>
      <c r="BQ697" s="1277" t="n"/>
      <c r="BR697" s="1277" t="n"/>
      <c r="BS697" s="1277" t="n"/>
      <c r="BT697" s="1297">
        <f>SUM(BP697,BQ697,BR697,BS697)</f>
        <v/>
      </c>
      <c r="BU697" s="1277" t="n"/>
      <c r="BV697" s="1277" t="n"/>
      <c r="BW697" s="1277" t="n"/>
      <c r="BX697" s="1277" t="n"/>
      <c r="BY697" s="1297">
        <f>SUM(BU697,BV697,BW697,BX697)</f>
        <v/>
      </c>
      <c r="BZ697" s="1297" t="n"/>
      <c r="CA697" s="1297" t="n"/>
      <c r="CB697" s="1297" t="n"/>
      <c r="CC697" s="1280" t="n"/>
    </row>
    <row r="698" ht="14.4" customFormat="1" customHeight="1" s="1275">
      <c r="A698" s="1384">
        <f>A549</f>
        <v/>
      </c>
      <c r="B698" s="1387" t="n"/>
      <c r="C698" s="1297">
        <f>C549</f>
        <v/>
      </c>
      <c r="D698" s="1297">
        <f>D549</f>
        <v/>
      </c>
      <c r="E698" s="1297">
        <f>E549</f>
        <v/>
      </c>
      <c r="F698" s="1297">
        <f>F549</f>
        <v/>
      </c>
      <c r="G698" s="1297">
        <f>G549</f>
        <v/>
      </c>
      <c r="H698" s="1277">
        <f>H549</f>
        <v/>
      </c>
      <c r="I698" s="1277">
        <f>I549-H549</f>
        <v/>
      </c>
      <c r="J698" s="1277">
        <f>J549-I549</f>
        <v/>
      </c>
      <c r="K698" s="1277">
        <f>K549-J549</f>
        <v/>
      </c>
      <c r="L698" s="1297">
        <f>L549</f>
        <v/>
      </c>
      <c r="M698" s="1277">
        <f>M549</f>
        <v/>
      </c>
      <c r="N698" s="1277">
        <f>N549-M549</f>
        <v/>
      </c>
      <c r="O698" s="1277">
        <f>O549-N549</f>
        <v/>
      </c>
      <c r="P698" s="1277">
        <f>P549-O549</f>
        <v/>
      </c>
      <c r="Q698" s="1297">
        <f>Q549</f>
        <v/>
      </c>
      <c r="R698" s="1277">
        <f>R549</f>
        <v/>
      </c>
      <c r="S698" s="1277">
        <f>S549-R549</f>
        <v/>
      </c>
      <c r="T698" s="1277">
        <f>T549-S549</f>
        <v/>
      </c>
      <c r="U698" s="1277">
        <f>U549-T549</f>
        <v/>
      </c>
      <c r="V698" s="1297">
        <f>V549</f>
        <v/>
      </c>
      <c r="W698" s="1277">
        <f>W549</f>
        <v/>
      </c>
      <c r="X698" s="1277">
        <f>X549-W549</f>
        <v/>
      </c>
      <c r="Y698" s="1277">
        <f>Y549-X549</f>
        <v/>
      </c>
      <c r="Z698" s="1277">
        <f>Z549-Y549</f>
        <v/>
      </c>
      <c r="AA698" s="1297">
        <f>AA549</f>
        <v/>
      </c>
      <c r="AB698" s="1277">
        <f>AB549</f>
        <v/>
      </c>
      <c r="AC698" s="1277">
        <f>AC549-AB549</f>
        <v/>
      </c>
      <c r="AD698" s="1277">
        <f>AD549-AC549</f>
        <v/>
      </c>
      <c r="AE698" s="1277">
        <f>AE549-AD549</f>
        <v/>
      </c>
      <c r="AF698" s="1297">
        <f>AF549</f>
        <v/>
      </c>
      <c r="AG698" s="1277">
        <f>AG549</f>
        <v/>
      </c>
      <c r="AH698" s="1277">
        <f>AH549-AG549</f>
        <v/>
      </c>
      <c r="AI698" s="1277">
        <f>AI549-AH549</f>
        <v/>
      </c>
      <c r="AJ698" s="1277">
        <f>AJ549-AI549</f>
        <v/>
      </c>
      <c r="AK698" s="1297">
        <f>SUM(AG698,AH698,AI698,AJ698)</f>
        <v/>
      </c>
      <c r="AL698" s="1277">
        <f>AL549</f>
        <v/>
      </c>
      <c r="AM698" s="1277">
        <f>AM549-AL549</f>
        <v/>
      </c>
      <c r="AN698" s="1277">
        <f>AN549-AM549</f>
        <v/>
      </c>
      <c r="AO698" s="1277">
        <f>AO549-AN549</f>
        <v/>
      </c>
      <c r="AP698" s="1297">
        <f>SUM(AL698,AM698,AN698,AO698)</f>
        <v/>
      </c>
      <c r="AQ698" s="1277">
        <f>AQ549</f>
        <v/>
      </c>
      <c r="AR698" s="1277">
        <f>AR549-AQ549</f>
        <v/>
      </c>
      <c r="AS698" s="1277">
        <f>AS549-AR549</f>
        <v/>
      </c>
      <c r="AT698" s="1277">
        <f>AT549-AS549</f>
        <v/>
      </c>
      <c r="AU698" s="1297">
        <f>SUM(AQ698,AR698,AS698,AT698)</f>
        <v/>
      </c>
      <c r="AV698" s="1277">
        <f>AV549</f>
        <v/>
      </c>
      <c r="AW698" s="1277">
        <f>AW549-AV549</f>
        <v/>
      </c>
      <c r="AX698" s="1277">
        <f>AX549-AW549</f>
        <v/>
      </c>
      <c r="AY698" s="1277">
        <f>AY549-AX549</f>
        <v/>
      </c>
      <c r="AZ698" s="1297">
        <f>SUM(AV698,AW698,AX698,AY698)</f>
        <v/>
      </c>
      <c r="BA698" s="1277">
        <f>BA549</f>
        <v/>
      </c>
      <c r="BB698" s="1277">
        <f>BB549-BA549</f>
        <v/>
      </c>
      <c r="BC698" s="1277">
        <f>BC549-BB549</f>
        <v/>
      </c>
      <c r="BD698" s="1277">
        <f>BD549-BC549</f>
        <v/>
      </c>
      <c r="BE698" s="1297">
        <f>SUM(BA698,BB698,BC698,BD698)</f>
        <v/>
      </c>
      <c r="BF698" s="1277">
        <f>BF549</f>
        <v/>
      </c>
      <c r="BG698" s="1277">
        <f>BG549-BF549</f>
        <v/>
      </c>
      <c r="BH698" s="1277">
        <f>BH549-BG549</f>
        <v/>
      </c>
      <c r="BI698" s="1277">
        <f>BI549-BH549</f>
        <v/>
      </c>
      <c r="BJ698" s="1297">
        <f>SUM(BF698,BG698,BH698,BI698)</f>
        <v/>
      </c>
      <c r="BK698" s="1277">
        <f>BK549</f>
        <v/>
      </c>
      <c r="BL698" s="1277">
        <f>BL549-BK549</f>
        <v/>
      </c>
      <c r="BM698" s="1277">
        <f>BM549-BL549</f>
        <v/>
      </c>
      <c r="BN698" s="1277">
        <f>BN549-BM549</f>
        <v/>
      </c>
      <c r="BO698" s="1382">
        <f>SUM(BK698,BL698,BM698,BN698)</f>
        <v/>
      </c>
      <c r="BP698" s="1277" t="n"/>
      <c r="BQ698" s="1277" t="n"/>
      <c r="BR698" s="1277" t="n"/>
      <c r="BS698" s="1277" t="n"/>
      <c r="BT698" s="1297">
        <f>SUM(BP698,BQ698,BR698,BS698)</f>
        <v/>
      </c>
      <c r="BU698" s="1277" t="n"/>
      <c r="BV698" s="1277" t="n"/>
      <c r="BW698" s="1277" t="n"/>
      <c r="BX698" s="1277" t="n"/>
      <c r="BY698" s="1297">
        <f>SUM(BU698,BV698,BW698,BX698)</f>
        <v/>
      </c>
      <c r="BZ698" s="1297" t="n"/>
      <c r="CA698" s="1297" t="n"/>
      <c r="CB698" s="1297" t="n"/>
      <c r="CC698" s="1280" t="n"/>
    </row>
    <row r="699" ht="14.4" customFormat="1" customHeight="1" s="1275">
      <c r="A699" s="1384">
        <f>A550</f>
        <v/>
      </c>
      <c r="B699" s="1387" t="n"/>
      <c r="C699" s="1297">
        <f>C550</f>
        <v/>
      </c>
      <c r="D699" s="1297">
        <f>D550</f>
        <v/>
      </c>
      <c r="E699" s="1297">
        <f>E550</f>
        <v/>
      </c>
      <c r="F699" s="1297">
        <f>F550</f>
        <v/>
      </c>
      <c r="G699" s="1297">
        <f>G550</f>
        <v/>
      </c>
      <c r="H699" s="1277">
        <f>H550</f>
        <v/>
      </c>
      <c r="I699" s="1277">
        <f>I550-H550</f>
        <v/>
      </c>
      <c r="J699" s="1277">
        <f>J550-I550</f>
        <v/>
      </c>
      <c r="K699" s="1277">
        <f>K550-J550</f>
        <v/>
      </c>
      <c r="L699" s="1297">
        <f>L550</f>
        <v/>
      </c>
      <c r="M699" s="1277">
        <f>M550</f>
        <v/>
      </c>
      <c r="N699" s="1277">
        <f>N550-M550</f>
        <v/>
      </c>
      <c r="O699" s="1277">
        <f>O550-N550</f>
        <v/>
      </c>
      <c r="P699" s="1277">
        <f>P550-O550</f>
        <v/>
      </c>
      <c r="Q699" s="1297">
        <f>Q550</f>
        <v/>
      </c>
      <c r="R699" s="1277">
        <f>R550</f>
        <v/>
      </c>
      <c r="S699" s="1277">
        <f>S550-R550</f>
        <v/>
      </c>
      <c r="T699" s="1277">
        <f>T550-S550</f>
        <v/>
      </c>
      <c r="U699" s="1277">
        <f>U550-T550</f>
        <v/>
      </c>
      <c r="V699" s="1297">
        <f>V550</f>
        <v/>
      </c>
      <c r="W699" s="1277">
        <f>W550</f>
        <v/>
      </c>
      <c r="X699" s="1277">
        <f>X550-W550</f>
        <v/>
      </c>
      <c r="Y699" s="1277">
        <f>Y550-X550</f>
        <v/>
      </c>
      <c r="Z699" s="1277">
        <f>Z550-Y550</f>
        <v/>
      </c>
      <c r="AA699" s="1297">
        <f>AA550</f>
        <v/>
      </c>
      <c r="AB699" s="1277">
        <f>AB550</f>
        <v/>
      </c>
      <c r="AC699" s="1277">
        <f>AC550-AB550</f>
        <v/>
      </c>
      <c r="AD699" s="1277">
        <f>AD550-AC550</f>
        <v/>
      </c>
      <c r="AE699" s="1277">
        <f>AE550-AD550</f>
        <v/>
      </c>
      <c r="AF699" s="1297">
        <f>AF550</f>
        <v/>
      </c>
      <c r="AG699" s="1277">
        <f>AG550</f>
        <v/>
      </c>
      <c r="AH699" s="1277">
        <f>AH550-AG550</f>
        <v/>
      </c>
      <c r="AI699" s="1277">
        <f>AI550-AH550</f>
        <v/>
      </c>
      <c r="AJ699" s="1277">
        <f>AJ550-AI550</f>
        <v/>
      </c>
      <c r="AK699" s="1297">
        <f>SUM(AG699,AH699,AI699,AJ699)</f>
        <v/>
      </c>
      <c r="AL699" s="1277">
        <f>AL550</f>
        <v/>
      </c>
      <c r="AM699" s="1277">
        <f>AM550-AL550</f>
        <v/>
      </c>
      <c r="AN699" s="1277">
        <f>AN550-AM550</f>
        <v/>
      </c>
      <c r="AO699" s="1277">
        <f>AO550-AN550</f>
        <v/>
      </c>
      <c r="AP699" s="1297">
        <f>SUM(AL699,AM699,AN699,AO699)</f>
        <v/>
      </c>
      <c r="AQ699" s="1277">
        <f>AQ550</f>
        <v/>
      </c>
      <c r="AR699" s="1277">
        <f>AR550-AQ550</f>
        <v/>
      </c>
      <c r="AS699" s="1277">
        <f>AS550-AR550</f>
        <v/>
      </c>
      <c r="AT699" s="1277">
        <f>AT550-AS550</f>
        <v/>
      </c>
      <c r="AU699" s="1297">
        <f>SUM(AQ699,AR699,AS699,AT699)</f>
        <v/>
      </c>
      <c r="AV699" s="1277">
        <f>AV550</f>
        <v/>
      </c>
      <c r="AW699" s="1277">
        <f>AW550-AV550</f>
        <v/>
      </c>
      <c r="AX699" s="1277">
        <f>AX550-AW550</f>
        <v/>
      </c>
      <c r="AY699" s="1277">
        <f>AY550-AX550</f>
        <v/>
      </c>
      <c r="AZ699" s="1297">
        <f>SUM(AV699,AW699,AX699,AY699)</f>
        <v/>
      </c>
      <c r="BA699" s="1277">
        <f>BA550</f>
        <v/>
      </c>
      <c r="BB699" s="1277">
        <f>BB550-BA550</f>
        <v/>
      </c>
      <c r="BC699" s="1277">
        <f>BC550-BB550</f>
        <v/>
      </c>
      <c r="BD699" s="1277">
        <f>BD550-BC550</f>
        <v/>
      </c>
      <c r="BE699" s="1297">
        <f>SUM(BA699,BB699,BC699,BD699)</f>
        <v/>
      </c>
      <c r="BF699" s="1277">
        <f>BF550</f>
        <v/>
      </c>
      <c r="BG699" s="1277">
        <f>BG550-BF550</f>
        <v/>
      </c>
      <c r="BH699" s="1277">
        <f>BH550-BG550</f>
        <v/>
      </c>
      <c r="BI699" s="1277">
        <f>BI550-BH550</f>
        <v/>
      </c>
      <c r="BJ699" s="1297">
        <f>SUM(BF699,BG699,BH699,BI699)</f>
        <v/>
      </c>
      <c r="BK699" s="1277">
        <f>BK550</f>
        <v/>
      </c>
      <c r="BL699" s="1277">
        <f>BL550-BK550</f>
        <v/>
      </c>
      <c r="BM699" s="1277">
        <f>BM550-BL550</f>
        <v/>
      </c>
      <c r="BN699" s="1277">
        <f>BN550-BM550</f>
        <v/>
      </c>
      <c r="BO699" s="1382">
        <f>SUM(BK699,BL699,BM699,BN699)</f>
        <v/>
      </c>
      <c r="BP699" s="1277" t="n"/>
      <c r="BQ699" s="1277" t="n"/>
      <c r="BR699" s="1277" t="n"/>
      <c r="BS699" s="1277" t="n"/>
      <c r="BT699" s="1297">
        <f>SUM(BP699,BQ699,BR699,BS699)</f>
        <v/>
      </c>
      <c r="BU699" s="1277" t="n"/>
      <c r="BV699" s="1277" t="n"/>
      <c r="BW699" s="1277" t="n"/>
      <c r="BX699" s="1277" t="n"/>
      <c r="BY699" s="1297">
        <f>SUM(BU699,BV699,BW699,BX699)</f>
        <v/>
      </c>
      <c r="BZ699" s="1297" t="n"/>
      <c r="CA699" s="1297" t="n"/>
      <c r="CB699" s="1297" t="n"/>
      <c r="CC699" s="1280" t="n"/>
    </row>
    <row r="700" ht="14.4" customFormat="1" customHeight="1" s="1275">
      <c r="A700" s="1384">
        <f>A551</f>
        <v/>
      </c>
      <c r="B700" s="1387" t="n"/>
      <c r="C700" s="1297">
        <f>C551</f>
        <v/>
      </c>
      <c r="D700" s="1297">
        <f>D551</f>
        <v/>
      </c>
      <c r="E700" s="1297">
        <f>E551</f>
        <v/>
      </c>
      <c r="F700" s="1297">
        <f>F551</f>
        <v/>
      </c>
      <c r="G700" s="1297">
        <f>G551</f>
        <v/>
      </c>
      <c r="H700" s="1277">
        <f>H551</f>
        <v/>
      </c>
      <c r="I700" s="1277">
        <f>I551-H551</f>
        <v/>
      </c>
      <c r="J700" s="1277">
        <f>J551-I551</f>
        <v/>
      </c>
      <c r="K700" s="1277">
        <f>K551-J551</f>
        <v/>
      </c>
      <c r="L700" s="1297">
        <f>L551</f>
        <v/>
      </c>
      <c r="M700" s="1277">
        <f>M551</f>
        <v/>
      </c>
      <c r="N700" s="1277">
        <f>N551-M551</f>
        <v/>
      </c>
      <c r="O700" s="1277">
        <f>O551-N551</f>
        <v/>
      </c>
      <c r="P700" s="1277">
        <f>P551-O551</f>
        <v/>
      </c>
      <c r="Q700" s="1297">
        <f>Q551</f>
        <v/>
      </c>
      <c r="R700" s="1277">
        <f>R551</f>
        <v/>
      </c>
      <c r="S700" s="1277">
        <f>S551-R551</f>
        <v/>
      </c>
      <c r="T700" s="1277">
        <f>T551-S551</f>
        <v/>
      </c>
      <c r="U700" s="1277">
        <f>U551-T551</f>
        <v/>
      </c>
      <c r="V700" s="1297">
        <f>V551</f>
        <v/>
      </c>
      <c r="W700" s="1277">
        <f>W551</f>
        <v/>
      </c>
      <c r="X700" s="1277">
        <f>X551-W551</f>
        <v/>
      </c>
      <c r="Y700" s="1277">
        <f>Y551-X551</f>
        <v/>
      </c>
      <c r="Z700" s="1277">
        <f>Z551-Y551</f>
        <v/>
      </c>
      <c r="AA700" s="1297">
        <f>AA551</f>
        <v/>
      </c>
      <c r="AB700" s="1277">
        <f>AB551</f>
        <v/>
      </c>
      <c r="AC700" s="1277">
        <f>AC551-AB551</f>
        <v/>
      </c>
      <c r="AD700" s="1277">
        <f>AD551-AC551</f>
        <v/>
      </c>
      <c r="AE700" s="1277">
        <f>AE551-AD551</f>
        <v/>
      </c>
      <c r="AF700" s="1297">
        <f>AF551</f>
        <v/>
      </c>
      <c r="AG700" s="1277">
        <f>AG551</f>
        <v/>
      </c>
      <c r="AH700" s="1277">
        <f>AH551-AG551</f>
        <v/>
      </c>
      <c r="AI700" s="1277">
        <f>AI551-AH551</f>
        <v/>
      </c>
      <c r="AJ700" s="1277">
        <f>AJ551-AI551</f>
        <v/>
      </c>
      <c r="AK700" s="1297">
        <f>SUM(AG700,AH700,AI700,AJ700)</f>
        <v/>
      </c>
      <c r="AL700" s="1277">
        <f>AL551</f>
        <v/>
      </c>
      <c r="AM700" s="1277">
        <f>AM551-AL551</f>
        <v/>
      </c>
      <c r="AN700" s="1277">
        <f>AN551-AM551</f>
        <v/>
      </c>
      <c r="AO700" s="1277">
        <f>AO551-AN551</f>
        <v/>
      </c>
      <c r="AP700" s="1297">
        <f>SUM(AL700,AM700,AN700,AO700)</f>
        <v/>
      </c>
      <c r="AQ700" s="1277">
        <f>AQ551</f>
        <v/>
      </c>
      <c r="AR700" s="1277">
        <f>AR551-AQ551</f>
        <v/>
      </c>
      <c r="AS700" s="1277">
        <f>AS551-AR551</f>
        <v/>
      </c>
      <c r="AT700" s="1277">
        <f>AT551-AS551</f>
        <v/>
      </c>
      <c r="AU700" s="1297">
        <f>SUM(AQ700,AR700,AS700,AT700)</f>
        <v/>
      </c>
      <c r="AV700" s="1277">
        <f>AV551</f>
        <v/>
      </c>
      <c r="AW700" s="1277">
        <f>AW551-AV551</f>
        <v/>
      </c>
      <c r="AX700" s="1277">
        <f>AX551-AW551</f>
        <v/>
      </c>
      <c r="AY700" s="1277">
        <f>AY551-AX551</f>
        <v/>
      </c>
      <c r="AZ700" s="1297">
        <f>SUM(AV700,AW700,AX700,AY700)</f>
        <v/>
      </c>
      <c r="BA700" s="1277">
        <f>BA551</f>
        <v/>
      </c>
      <c r="BB700" s="1277">
        <f>BB551-BA551</f>
        <v/>
      </c>
      <c r="BC700" s="1277">
        <f>BC551-BB551</f>
        <v/>
      </c>
      <c r="BD700" s="1277">
        <f>BD551-BC551</f>
        <v/>
      </c>
      <c r="BE700" s="1297">
        <f>SUM(BA700,BB700,BC700,BD700)</f>
        <v/>
      </c>
      <c r="BF700" s="1277">
        <f>BF551</f>
        <v/>
      </c>
      <c r="BG700" s="1277">
        <f>BG551-BF551</f>
        <v/>
      </c>
      <c r="BH700" s="1277">
        <f>BH551-BG551</f>
        <v/>
      </c>
      <c r="BI700" s="1277">
        <f>BI551-BH551</f>
        <v/>
      </c>
      <c r="BJ700" s="1297">
        <f>SUM(BF700,BG700,BH700,BI700)</f>
        <v/>
      </c>
      <c r="BK700" s="1277">
        <f>BK551</f>
        <v/>
      </c>
      <c r="BL700" s="1277">
        <f>BL551-BK551</f>
        <v/>
      </c>
      <c r="BM700" s="1277">
        <f>BM551-BL551</f>
        <v/>
      </c>
      <c r="BN700" s="1277">
        <f>BN551-BM551</f>
        <v/>
      </c>
      <c r="BO700" s="1382">
        <f>SUM(BK700,BL700,BM700,BN700)</f>
        <v/>
      </c>
      <c r="BP700" s="1277" t="n"/>
      <c r="BQ700" s="1277" t="n"/>
      <c r="BR700" s="1277" t="n"/>
      <c r="BS700" s="1277" t="n"/>
      <c r="BT700" s="1297">
        <f>SUM(BP700,BQ700,BR700,BS700)</f>
        <v/>
      </c>
      <c r="BU700" s="1277" t="n"/>
      <c r="BV700" s="1277" t="n"/>
      <c r="BW700" s="1277" t="n"/>
      <c r="BX700" s="1277" t="n"/>
      <c r="BY700" s="1297">
        <f>SUM(BU700,BV700,BW700,BX700)</f>
        <v/>
      </c>
      <c r="BZ700" s="1297" t="n"/>
      <c r="CA700" s="1297" t="n"/>
      <c r="CB700" s="1297" t="n"/>
      <c r="CC700" s="1280" t="n"/>
    </row>
    <row r="701" ht="14.4" customFormat="1" customHeight="1" s="1275">
      <c r="A701" s="1384">
        <f>A552</f>
        <v/>
      </c>
      <c r="B701" s="1387" t="n"/>
      <c r="C701" s="1297">
        <f>C552</f>
        <v/>
      </c>
      <c r="D701" s="1297">
        <f>D552</f>
        <v/>
      </c>
      <c r="E701" s="1297">
        <f>E552</f>
        <v/>
      </c>
      <c r="F701" s="1297">
        <f>F552</f>
        <v/>
      </c>
      <c r="G701" s="1297">
        <f>G552</f>
        <v/>
      </c>
      <c r="H701" s="1277">
        <f>H552</f>
        <v/>
      </c>
      <c r="I701" s="1277">
        <f>I552-H552</f>
        <v/>
      </c>
      <c r="J701" s="1277">
        <f>J552-I552</f>
        <v/>
      </c>
      <c r="K701" s="1277">
        <f>K552-J552</f>
        <v/>
      </c>
      <c r="L701" s="1297">
        <f>L552</f>
        <v/>
      </c>
      <c r="M701" s="1277">
        <f>M552</f>
        <v/>
      </c>
      <c r="N701" s="1277">
        <f>N552-M552</f>
        <v/>
      </c>
      <c r="O701" s="1277">
        <f>O552-N552</f>
        <v/>
      </c>
      <c r="P701" s="1277">
        <f>P552-O552</f>
        <v/>
      </c>
      <c r="Q701" s="1297">
        <f>Q552</f>
        <v/>
      </c>
      <c r="R701" s="1277">
        <f>R552</f>
        <v/>
      </c>
      <c r="S701" s="1277">
        <f>S552-R552</f>
        <v/>
      </c>
      <c r="T701" s="1277">
        <f>T552-S552</f>
        <v/>
      </c>
      <c r="U701" s="1277">
        <f>U552-T552</f>
        <v/>
      </c>
      <c r="V701" s="1297">
        <f>V552</f>
        <v/>
      </c>
      <c r="W701" s="1277">
        <f>W552</f>
        <v/>
      </c>
      <c r="X701" s="1277">
        <f>X552-W552</f>
        <v/>
      </c>
      <c r="Y701" s="1277">
        <f>Y552-X552</f>
        <v/>
      </c>
      <c r="Z701" s="1277">
        <f>Z552-Y552</f>
        <v/>
      </c>
      <c r="AA701" s="1297">
        <f>AA552</f>
        <v/>
      </c>
      <c r="AB701" s="1277">
        <f>AB552</f>
        <v/>
      </c>
      <c r="AC701" s="1277">
        <f>AC552-AB552</f>
        <v/>
      </c>
      <c r="AD701" s="1277">
        <f>AD552-AC552</f>
        <v/>
      </c>
      <c r="AE701" s="1277">
        <f>AE552-AD552</f>
        <v/>
      </c>
      <c r="AF701" s="1297">
        <f>AF552</f>
        <v/>
      </c>
      <c r="AG701" s="1277">
        <f>AG552</f>
        <v/>
      </c>
      <c r="AH701" s="1277">
        <f>AH552-AG552</f>
        <v/>
      </c>
      <c r="AI701" s="1277">
        <f>AI552-AH552</f>
        <v/>
      </c>
      <c r="AJ701" s="1277">
        <f>AJ552-AI552</f>
        <v/>
      </c>
      <c r="AK701" s="1297">
        <f>SUM(AG701,AH701,AI701,AJ701)</f>
        <v/>
      </c>
      <c r="AL701" s="1277">
        <f>AL552</f>
        <v/>
      </c>
      <c r="AM701" s="1277">
        <f>AM552-AL552</f>
        <v/>
      </c>
      <c r="AN701" s="1277">
        <f>AN552-AM552</f>
        <v/>
      </c>
      <c r="AO701" s="1277">
        <f>AO552-AN552</f>
        <v/>
      </c>
      <c r="AP701" s="1297">
        <f>SUM(AL701,AM701,AN701,AO701)</f>
        <v/>
      </c>
      <c r="AQ701" s="1277">
        <f>AQ552</f>
        <v/>
      </c>
      <c r="AR701" s="1277">
        <f>AR552-AQ552</f>
        <v/>
      </c>
      <c r="AS701" s="1277">
        <f>AS552-AR552</f>
        <v/>
      </c>
      <c r="AT701" s="1277">
        <f>AT552-AS552</f>
        <v/>
      </c>
      <c r="AU701" s="1297">
        <f>SUM(AQ701,AR701,AS701,AT701)</f>
        <v/>
      </c>
      <c r="AV701" s="1277">
        <f>AV552</f>
        <v/>
      </c>
      <c r="AW701" s="1277">
        <f>AW552-AV552</f>
        <v/>
      </c>
      <c r="AX701" s="1277">
        <f>AX552-AW552</f>
        <v/>
      </c>
      <c r="AY701" s="1277">
        <f>AY552-AX552</f>
        <v/>
      </c>
      <c r="AZ701" s="1297">
        <f>SUM(AV701,AW701,AX701,AY701)</f>
        <v/>
      </c>
      <c r="BA701" s="1277">
        <f>BA552</f>
        <v/>
      </c>
      <c r="BB701" s="1277">
        <f>BB552-BA552</f>
        <v/>
      </c>
      <c r="BC701" s="1277">
        <f>BC552-BB552</f>
        <v/>
      </c>
      <c r="BD701" s="1277">
        <f>BD552-BC552</f>
        <v/>
      </c>
      <c r="BE701" s="1297">
        <f>SUM(BA701,BB701,BC701,BD701)</f>
        <v/>
      </c>
      <c r="BF701" s="1277">
        <f>BF552</f>
        <v/>
      </c>
      <c r="BG701" s="1277">
        <f>BG552-BF552</f>
        <v/>
      </c>
      <c r="BH701" s="1277">
        <f>BH552-BG552</f>
        <v/>
      </c>
      <c r="BI701" s="1277">
        <f>BI552-BH552</f>
        <v/>
      </c>
      <c r="BJ701" s="1297">
        <f>SUM(BF701,BG701,BH701,BI701)</f>
        <v/>
      </c>
      <c r="BK701" s="1277">
        <f>BK552</f>
        <v/>
      </c>
      <c r="BL701" s="1277">
        <f>BL552-BK552</f>
        <v/>
      </c>
      <c r="BM701" s="1277">
        <f>BM552-BL552</f>
        <v/>
      </c>
      <c r="BN701" s="1277">
        <f>BN552-BM552</f>
        <v/>
      </c>
      <c r="BO701" s="1382">
        <f>SUM(BK701,BL701,BM701,BN701)</f>
        <v/>
      </c>
      <c r="BP701" s="1277" t="n"/>
      <c r="BQ701" s="1277" t="n"/>
      <c r="BR701" s="1277" t="n"/>
      <c r="BS701" s="1277" t="n"/>
      <c r="BT701" s="1297">
        <f>SUM(BP701,BQ701,BR701,BS701)</f>
        <v/>
      </c>
      <c r="BU701" s="1277" t="n"/>
      <c r="BV701" s="1277" t="n"/>
      <c r="BW701" s="1277" t="n"/>
      <c r="BX701" s="1277" t="n"/>
      <c r="BY701" s="1297">
        <f>SUM(BU701,BV701,BW701,BX701)</f>
        <v/>
      </c>
      <c r="BZ701" s="1297" t="n"/>
      <c r="CA701" s="1297" t="n"/>
      <c r="CB701" s="1297" t="n"/>
      <c r="CC701" s="1280" t="n"/>
    </row>
    <row r="702" ht="14.4" customFormat="1" customHeight="1" s="1275">
      <c r="A702" s="1384">
        <f>A553</f>
        <v/>
      </c>
      <c r="B702" s="1387" t="n"/>
      <c r="C702" s="1297">
        <f>C553</f>
        <v/>
      </c>
      <c r="D702" s="1297">
        <f>D553</f>
        <v/>
      </c>
      <c r="E702" s="1297">
        <f>E553</f>
        <v/>
      </c>
      <c r="F702" s="1297">
        <f>F553</f>
        <v/>
      </c>
      <c r="G702" s="1297">
        <f>G553</f>
        <v/>
      </c>
      <c r="H702" s="1277">
        <f>H553</f>
        <v/>
      </c>
      <c r="I702" s="1277">
        <f>I553-H553</f>
        <v/>
      </c>
      <c r="J702" s="1277">
        <f>J553-I553</f>
        <v/>
      </c>
      <c r="K702" s="1277">
        <f>K553-J553</f>
        <v/>
      </c>
      <c r="L702" s="1297">
        <f>L553</f>
        <v/>
      </c>
      <c r="M702" s="1277">
        <f>M553</f>
        <v/>
      </c>
      <c r="N702" s="1277">
        <f>N553-M553</f>
        <v/>
      </c>
      <c r="O702" s="1277">
        <f>O553-N553</f>
        <v/>
      </c>
      <c r="P702" s="1277">
        <f>P553-O553</f>
        <v/>
      </c>
      <c r="Q702" s="1297">
        <f>Q553</f>
        <v/>
      </c>
      <c r="R702" s="1277">
        <f>R553</f>
        <v/>
      </c>
      <c r="S702" s="1277">
        <f>S553-R553</f>
        <v/>
      </c>
      <c r="T702" s="1277">
        <f>T553-S553</f>
        <v/>
      </c>
      <c r="U702" s="1277">
        <f>U553-T553</f>
        <v/>
      </c>
      <c r="V702" s="1297">
        <f>V553</f>
        <v/>
      </c>
      <c r="W702" s="1277">
        <f>W553</f>
        <v/>
      </c>
      <c r="X702" s="1277">
        <f>X553-W553</f>
        <v/>
      </c>
      <c r="Y702" s="1277">
        <f>Y553-X553</f>
        <v/>
      </c>
      <c r="Z702" s="1277">
        <f>Z553-Y553</f>
        <v/>
      </c>
      <c r="AA702" s="1297">
        <f>AA553</f>
        <v/>
      </c>
      <c r="AB702" s="1277">
        <f>AB553</f>
        <v/>
      </c>
      <c r="AC702" s="1277">
        <f>AC553-AB553</f>
        <v/>
      </c>
      <c r="AD702" s="1277">
        <f>AD553-AC553</f>
        <v/>
      </c>
      <c r="AE702" s="1277">
        <f>AE553-AD553</f>
        <v/>
      </c>
      <c r="AF702" s="1297">
        <f>AF553</f>
        <v/>
      </c>
      <c r="AG702" s="1277">
        <f>AG553</f>
        <v/>
      </c>
      <c r="AH702" s="1277">
        <f>AH553-AG553</f>
        <v/>
      </c>
      <c r="AI702" s="1277">
        <f>AI553-AH553</f>
        <v/>
      </c>
      <c r="AJ702" s="1277">
        <f>AJ553-AI553</f>
        <v/>
      </c>
      <c r="AK702" s="1297">
        <f>SUM(AG702,AH702,AI702,AJ702)</f>
        <v/>
      </c>
      <c r="AL702" s="1277">
        <f>AL553</f>
        <v/>
      </c>
      <c r="AM702" s="1277">
        <f>AM553-AL553</f>
        <v/>
      </c>
      <c r="AN702" s="1277">
        <f>AN553-AM553</f>
        <v/>
      </c>
      <c r="AO702" s="1277">
        <f>AO553-AN553</f>
        <v/>
      </c>
      <c r="AP702" s="1297">
        <f>SUM(AL702,AM702,AN702,AO702)</f>
        <v/>
      </c>
      <c r="AQ702" s="1277">
        <f>AQ553</f>
        <v/>
      </c>
      <c r="AR702" s="1277">
        <f>AR553-AQ553</f>
        <v/>
      </c>
      <c r="AS702" s="1277">
        <f>AS553-AR553</f>
        <v/>
      </c>
      <c r="AT702" s="1277">
        <f>AT553-AS553</f>
        <v/>
      </c>
      <c r="AU702" s="1297">
        <f>SUM(AQ702,AR702,AS702,AT702)</f>
        <v/>
      </c>
      <c r="AV702" s="1277">
        <f>AV553</f>
        <v/>
      </c>
      <c r="AW702" s="1277">
        <f>AW553-AV553</f>
        <v/>
      </c>
      <c r="AX702" s="1277">
        <f>AX553-AW553</f>
        <v/>
      </c>
      <c r="AY702" s="1277">
        <f>AY553-AX553</f>
        <v/>
      </c>
      <c r="AZ702" s="1297">
        <f>SUM(AV702,AW702,AX702,AY702)</f>
        <v/>
      </c>
      <c r="BA702" s="1277">
        <f>BA553</f>
        <v/>
      </c>
      <c r="BB702" s="1277">
        <f>BB553-BA553</f>
        <v/>
      </c>
      <c r="BC702" s="1277">
        <f>BC553-BB553</f>
        <v/>
      </c>
      <c r="BD702" s="1277">
        <f>BD553-BC553</f>
        <v/>
      </c>
      <c r="BE702" s="1297">
        <f>SUM(BA702,BB702,BC702,BD702)</f>
        <v/>
      </c>
      <c r="BF702" s="1277">
        <f>BF553</f>
        <v/>
      </c>
      <c r="BG702" s="1277">
        <f>BG553-BF553</f>
        <v/>
      </c>
      <c r="BH702" s="1277">
        <f>BH553-BG553</f>
        <v/>
      </c>
      <c r="BI702" s="1277">
        <f>BI553-BH553</f>
        <v/>
      </c>
      <c r="BJ702" s="1297">
        <f>SUM(BF702,BG702,BH702,BI702)</f>
        <v/>
      </c>
      <c r="BK702" s="1277">
        <f>BK553</f>
        <v/>
      </c>
      <c r="BL702" s="1277">
        <f>BL553-BK553</f>
        <v/>
      </c>
      <c r="BM702" s="1277">
        <f>BM553-BL553</f>
        <v/>
      </c>
      <c r="BN702" s="1277">
        <f>BN553-BM553</f>
        <v/>
      </c>
      <c r="BO702" s="1382">
        <f>SUM(BK702,BL702,BM702,BN702)</f>
        <v/>
      </c>
      <c r="BP702" s="1277" t="n"/>
      <c r="BQ702" s="1277" t="n"/>
      <c r="BR702" s="1277" t="n"/>
      <c r="BS702" s="1277" t="n"/>
      <c r="BT702" s="1297">
        <f>SUM(BP702,BQ702,BR702,BS702)</f>
        <v/>
      </c>
      <c r="BU702" s="1277" t="n"/>
      <c r="BV702" s="1277" t="n"/>
      <c r="BW702" s="1277" t="n"/>
      <c r="BX702" s="1277" t="n"/>
      <c r="BY702" s="1297">
        <f>SUM(BU702,BV702,BW702,BX702)</f>
        <v/>
      </c>
      <c r="BZ702" s="1297" t="n"/>
      <c r="CA702" s="1297" t="n"/>
      <c r="CB702" s="1297" t="n"/>
      <c r="CC702" s="1280" t="n"/>
    </row>
    <row r="703" ht="14.4" customFormat="1" customHeight="1" s="1275">
      <c r="A703" s="1384">
        <f>A554</f>
        <v/>
      </c>
      <c r="B703" s="1387" t="n"/>
      <c r="C703" s="1297">
        <f>C554</f>
        <v/>
      </c>
      <c r="D703" s="1297">
        <f>D554</f>
        <v/>
      </c>
      <c r="E703" s="1297">
        <f>E554</f>
        <v/>
      </c>
      <c r="F703" s="1297">
        <f>F554</f>
        <v/>
      </c>
      <c r="G703" s="1297">
        <f>G554</f>
        <v/>
      </c>
      <c r="H703" s="1277">
        <f>H554</f>
        <v/>
      </c>
      <c r="I703" s="1277">
        <f>I554-H554</f>
        <v/>
      </c>
      <c r="J703" s="1277">
        <f>J554-I554</f>
        <v/>
      </c>
      <c r="K703" s="1277">
        <f>K554-J554</f>
        <v/>
      </c>
      <c r="L703" s="1297">
        <f>L554</f>
        <v/>
      </c>
      <c r="M703" s="1277">
        <f>M554</f>
        <v/>
      </c>
      <c r="N703" s="1277">
        <f>N554-M554</f>
        <v/>
      </c>
      <c r="O703" s="1277">
        <f>O554-N554</f>
        <v/>
      </c>
      <c r="P703" s="1277">
        <f>P554-O554</f>
        <v/>
      </c>
      <c r="Q703" s="1297">
        <f>Q554</f>
        <v/>
      </c>
      <c r="R703" s="1277">
        <f>R554</f>
        <v/>
      </c>
      <c r="S703" s="1277">
        <f>S554-R554</f>
        <v/>
      </c>
      <c r="T703" s="1277">
        <f>T554-S554</f>
        <v/>
      </c>
      <c r="U703" s="1277">
        <f>U554-T554</f>
        <v/>
      </c>
      <c r="V703" s="1297">
        <f>V554</f>
        <v/>
      </c>
      <c r="W703" s="1277">
        <f>W554</f>
        <v/>
      </c>
      <c r="X703" s="1277">
        <f>X554-W554</f>
        <v/>
      </c>
      <c r="Y703" s="1277">
        <f>Y554-X554</f>
        <v/>
      </c>
      <c r="Z703" s="1277">
        <f>Z554-Y554</f>
        <v/>
      </c>
      <c r="AA703" s="1297">
        <f>AA554</f>
        <v/>
      </c>
      <c r="AB703" s="1277">
        <f>AB554</f>
        <v/>
      </c>
      <c r="AC703" s="1277">
        <f>AC554-AB554</f>
        <v/>
      </c>
      <c r="AD703" s="1277">
        <f>AD554-AC554</f>
        <v/>
      </c>
      <c r="AE703" s="1277">
        <f>AE554-AD554</f>
        <v/>
      </c>
      <c r="AF703" s="1297">
        <f>AF554</f>
        <v/>
      </c>
      <c r="AG703" s="1277">
        <f>AG554</f>
        <v/>
      </c>
      <c r="AH703" s="1277">
        <f>AH554-AG554</f>
        <v/>
      </c>
      <c r="AI703" s="1277">
        <f>AI554-AH554</f>
        <v/>
      </c>
      <c r="AJ703" s="1277">
        <f>AJ554-AI554</f>
        <v/>
      </c>
      <c r="AK703" s="1297">
        <f>SUM(AG703,AH703,AI703,AJ703)</f>
        <v/>
      </c>
      <c r="AL703" s="1277">
        <f>AL554</f>
        <v/>
      </c>
      <c r="AM703" s="1277">
        <f>AM554-AL554</f>
        <v/>
      </c>
      <c r="AN703" s="1277">
        <f>AN554-AM554</f>
        <v/>
      </c>
      <c r="AO703" s="1277">
        <f>AO554-AN554</f>
        <v/>
      </c>
      <c r="AP703" s="1297">
        <f>SUM(AL703,AM703,AN703,AO703)</f>
        <v/>
      </c>
      <c r="AQ703" s="1277">
        <f>AQ554</f>
        <v/>
      </c>
      <c r="AR703" s="1277">
        <f>AR554-AQ554</f>
        <v/>
      </c>
      <c r="AS703" s="1277">
        <f>AS554-AR554</f>
        <v/>
      </c>
      <c r="AT703" s="1277">
        <f>AT554-AS554</f>
        <v/>
      </c>
      <c r="AU703" s="1297">
        <f>SUM(AQ703,AR703,AS703,AT703)</f>
        <v/>
      </c>
      <c r="AV703" s="1277">
        <f>AV554</f>
        <v/>
      </c>
      <c r="AW703" s="1277">
        <f>AW554-AV554</f>
        <v/>
      </c>
      <c r="AX703" s="1277">
        <f>AX554-AW554</f>
        <v/>
      </c>
      <c r="AY703" s="1277">
        <f>AY554-AX554</f>
        <v/>
      </c>
      <c r="AZ703" s="1297">
        <f>SUM(AV703,AW703,AX703,AY703)</f>
        <v/>
      </c>
      <c r="BA703" s="1277">
        <f>BA554</f>
        <v/>
      </c>
      <c r="BB703" s="1277">
        <f>BB554-BA554</f>
        <v/>
      </c>
      <c r="BC703" s="1277">
        <f>BC554-BB554</f>
        <v/>
      </c>
      <c r="BD703" s="1277">
        <f>BD554-BC554</f>
        <v/>
      </c>
      <c r="BE703" s="1297">
        <f>SUM(BA703,BB703,BC703,BD703)</f>
        <v/>
      </c>
      <c r="BF703" s="1277">
        <f>BF554</f>
        <v/>
      </c>
      <c r="BG703" s="1277">
        <f>BG554-BF554</f>
        <v/>
      </c>
      <c r="BH703" s="1277">
        <f>BH554-BG554</f>
        <v/>
      </c>
      <c r="BI703" s="1277">
        <f>BI554-BH554</f>
        <v/>
      </c>
      <c r="BJ703" s="1297">
        <f>SUM(BF703,BG703,BH703,BI703)</f>
        <v/>
      </c>
      <c r="BK703" s="1277">
        <f>BK554</f>
        <v/>
      </c>
      <c r="BL703" s="1277">
        <f>BL554-BK554</f>
        <v/>
      </c>
      <c r="BM703" s="1277">
        <f>BM554-BL554</f>
        <v/>
      </c>
      <c r="BN703" s="1277">
        <f>BN554-BM554</f>
        <v/>
      </c>
      <c r="BO703" s="1382">
        <f>SUM(BK703,BL703,BM703,BN703)</f>
        <v/>
      </c>
      <c r="BP703" s="1277" t="n"/>
      <c r="BQ703" s="1277" t="n"/>
      <c r="BR703" s="1277" t="n"/>
      <c r="BS703" s="1277" t="n"/>
      <c r="BT703" s="1297">
        <f>SUM(BP703,BQ703,BR703,BS703)</f>
        <v/>
      </c>
      <c r="BU703" s="1277" t="n"/>
      <c r="BV703" s="1277" t="n"/>
      <c r="BW703" s="1277" t="n"/>
      <c r="BX703" s="1277" t="n"/>
      <c r="BY703" s="1297">
        <f>SUM(BU703,BV703,BW703,BX703)</f>
        <v/>
      </c>
      <c r="BZ703" s="1297" t="n"/>
      <c r="CA703" s="1297" t="n"/>
      <c r="CB703" s="1297" t="n"/>
      <c r="CC703" s="1280" t="n"/>
    </row>
    <row r="704" ht="14.4" customFormat="1" customHeight="1" s="1275">
      <c r="A704" s="1384">
        <f>A555</f>
        <v/>
      </c>
      <c r="B704" s="1387" t="n"/>
      <c r="C704" s="1297">
        <f>C555</f>
        <v/>
      </c>
      <c r="D704" s="1297">
        <f>D555</f>
        <v/>
      </c>
      <c r="E704" s="1297">
        <f>E555</f>
        <v/>
      </c>
      <c r="F704" s="1297">
        <f>F555</f>
        <v/>
      </c>
      <c r="G704" s="1297">
        <f>G555</f>
        <v/>
      </c>
      <c r="H704" s="1277">
        <f>H555</f>
        <v/>
      </c>
      <c r="I704" s="1277">
        <f>I555-H555</f>
        <v/>
      </c>
      <c r="J704" s="1277">
        <f>J555-I555</f>
        <v/>
      </c>
      <c r="K704" s="1277">
        <f>K555-J555</f>
        <v/>
      </c>
      <c r="L704" s="1297">
        <f>L555</f>
        <v/>
      </c>
      <c r="M704" s="1277">
        <f>M555</f>
        <v/>
      </c>
      <c r="N704" s="1277">
        <f>N555-M555</f>
        <v/>
      </c>
      <c r="O704" s="1277">
        <f>O555-N555</f>
        <v/>
      </c>
      <c r="P704" s="1277">
        <f>P555-O555</f>
        <v/>
      </c>
      <c r="Q704" s="1297">
        <f>Q555</f>
        <v/>
      </c>
      <c r="R704" s="1277">
        <f>R555</f>
        <v/>
      </c>
      <c r="S704" s="1277">
        <f>S555-R555</f>
        <v/>
      </c>
      <c r="T704" s="1277">
        <f>T555-S555</f>
        <v/>
      </c>
      <c r="U704" s="1277">
        <f>U555-T555</f>
        <v/>
      </c>
      <c r="V704" s="1297">
        <f>V555</f>
        <v/>
      </c>
      <c r="W704" s="1277">
        <f>W555</f>
        <v/>
      </c>
      <c r="X704" s="1277">
        <f>X555-W555</f>
        <v/>
      </c>
      <c r="Y704" s="1277">
        <f>Y555-X555</f>
        <v/>
      </c>
      <c r="Z704" s="1277">
        <f>Z555-Y555</f>
        <v/>
      </c>
      <c r="AA704" s="1297">
        <f>AA555</f>
        <v/>
      </c>
      <c r="AB704" s="1277">
        <f>AB555</f>
        <v/>
      </c>
      <c r="AC704" s="1277">
        <f>AC555-AB555</f>
        <v/>
      </c>
      <c r="AD704" s="1277">
        <f>AD555-AC555</f>
        <v/>
      </c>
      <c r="AE704" s="1277">
        <f>AE555-AD555</f>
        <v/>
      </c>
      <c r="AF704" s="1297">
        <f>AF555</f>
        <v/>
      </c>
      <c r="AG704" s="1277">
        <f>AG555</f>
        <v/>
      </c>
      <c r="AH704" s="1277">
        <f>AH555-AG555</f>
        <v/>
      </c>
      <c r="AI704" s="1277">
        <f>AI555-AH555</f>
        <v/>
      </c>
      <c r="AJ704" s="1277">
        <f>AJ555-AI555</f>
        <v/>
      </c>
      <c r="AK704" s="1297">
        <f>SUM(AG704,AH704,AI704,AJ704)</f>
        <v/>
      </c>
      <c r="AL704" s="1277">
        <f>AL555</f>
        <v/>
      </c>
      <c r="AM704" s="1277">
        <f>AM555-AL555</f>
        <v/>
      </c>
      <c r="AN704" s="1277">
        <f>AN555-AM555</f>
        <v/>
      </c>
      <c r="AO704" s="1277">
        <f>AO555-AN555</f>
        <v/>
      </c>
      <c r="AP704" s="1297">
        <f>SUM(AL704,AM704,AN704,AO704)</f>
        <v/>
      </c>
      <c r="AQ704" s="1277">
        <f>AQ555</f>
        <v/>
      </c>
      <c r="AR704" s="1277">
        <f>AR555-AQ555</f>
        <v/>
      </c>
      <c r="AS704" s="1277">
        <f>AS555-AR555</f>
        <v/>
      </c>
      <c r="AT704" s="1277">
        <f>AT555-AS555</f>
        <v/>
      </c>
      <c r="AU704" s="1297">
        <f>SUM(AQ704,AR704,AS704,AT704)</f>
        <v/>
      </c>
      <c r="AV704" s="1277">
        <f>AV555</f>
        <v/>
      </c>
      <c r="AW704" s="1277">
        <f>AW555-AV555</f>
        <v/>
      </c>
      <c r="AX704" s="1277">
        <f>AX555-AW555</f>
        <v/>
      </c>
      <c r="AY704" s="1277">
        <f>AY555-AX555</f>
        <v/>
      </c>
      <c r="AZ704" s="1297">
        <f>SUM(AV704,AW704,AX704,AY704)</f>
        <v/>
      </c>
      <c r="BA704" s="1277">
        <f>BA555</f>
        <v/>
      </c>
      <c r="BB704" s="1277">
        <f>BB555-BA555</f>
        <v/>
      </c>
      <c r="BC704" s="1277">
        <f>BC555-BB555</f>
        <v/>
      </c>
      <c r="BD704" s="1277">
        <f>BD555-BC555</f>
        <v/>
      </c>
      <c r="BE704" s="1297">
        <f>SUM(BA704,BB704,BC704,BD704)</f>
        <v/>
      </c>
      <c r="BF704" s="1277">
        <f>BF555</f>
        <v/>
      </c>
      <c r="BG704" s="1277">
        <f>BG555-BF555</f>
        <v/>
      </c>
      <c r="BH704" s="1277">
        <f>BH555-BG555</f>
        <v/>
      </c>
      <c r="BI704" s="1277">
        <f>BI555-BH555</f>
        <v/>
      </c>
      <c r="BJ704" s="1297">
        <f>SUM(BF704,BG704,BH704,BI704)</f>
        <v/>
      </c>
      <c r="BK704" s="1277">
        <f>BK555</f>
        <v/>
      </c>
      <c r="BL704" s="1277">
        <f>BL555-BK555</f>
        <v/>
      </c>
      <c r="BM704" s="1277">
        <f>BM555-BL555</f>
        <v/>
      </c>
      <c r="BN704" s="1277">
        <f>BN555-BM555</f>
        <v/>
      </c>
      <c r="BO704" s="1382">
        <f>SUM(BK704,BL704,BM704,BN704)</f>
        <v/>
      </c>
      <c r="BP704" s="1277" t="n"/>
      <c r="BQ704" s="1277" t="n"/>
      <c r="BR704" s="1277" t="n"/>
      <c r="BS704" s="1277" t="n"/>
      <c r="BT704" s="1297">
        <f>SUM(BP704,BQ704,BR704,BS704)</f>
        <v/>
      </c>
      <c r="BU704" s="1277" t="n"/>
      <c r="BV704" s="1277" t="n"/>
      <c r="BW704" s="1277" t="n"/>
      <c r="BX704" s="1277" t="n"/>
      <c r="BY704" s="1297">
        <f>SUM(BU704,BV704,BW704,BX704)</f>
        <v/>
      </c>
      <c r="BZ704" s="1297" t="n"/>
      <c r="CA704" s="1297" t="n"/>
      <c r="CB704" s="1297" t="n"/>
      <c r="CC704" s="1280" t="n"/>
    </row>
    <row r="705" ht="14.4" customFormat="1" customHeight="1" s="1275">
      <c r="A705" s="1384">
        <f>A556</f>
        <v/>
      </c>
      <c r="B705" s="1387" t="n"/>
      <c r="C705" s="1297">
        <f>C556</f>
        <v/>
      </c>
      <c r="D705" s="1297">
        <f>D556</f>
        <v/>
      </c>
      <c r="E705" s="1297">
        <f>E556</f>
        <v/>
      </c>
      <c r="F705" s="1297">
        <f>F556</f>
        <v/>
      </c>
      <c r="G705" s="1297">
        <f>G556</f>
        <v/>
      </c>
      <c r="H705" s="1277">
        <f>H556</f>
        <v/>
      </c>
      <c r="I705" s="1277">
        <f>I556-H556</f>
        <v/>
      </c>
      <c r="J705" s="1277">
        <f>J556-I556</f>
        <v/>
      </c>
      <c r="K705" s="1277">
        <f>K556-J556</f>
        <v/>
      </c>
      <c r="L705" s="1297">
        <f>L556</f>
        <v/>
      </c>
      <c r="M705" s="1277">
        <f>M556</f>
        <v/>
      </c>
      <c r="N705" s="1277">
        <f>N556-M556</f>
        <v/>
      </c>
      <c r="O705" s="1277">
        <f>O556-N556</f>
        <v/>
      </c>
      <c r="P705" s="1277">
        <f>P556-O556</f>
        <v/>
      </c>
      <c r="Q705" s="1297">
        <f>Q556</f>
        <v/>
      </c>
      <c r="R705" s="1277">
        <f>R556</f>
        <v/>
      </c>
      <c r="S705" s="1277">
        <f>S556-R556</f>
        <v/>
      </c>
      <c r="T705" s="1277">
        <f>T556-S556</f>
        <v/>
      </c>
      <c r="U705" s="1277">
        <f>U556-T556</f>
        <v/>
      </c>
      <c r="V705" s="1297">
        <f>V556</f>
        <v/>
      </c>
      <c r="W705" s="1277">
        <f>W556</f>
        <v/>
      </c>
      <c r="X705" s="1277">
        <f>X556-W556</f>
        <v/>
      </c>
      <c r="Y705" s="1277">
        <f>Y556-X556</f>
        <v/>
      </c>
      <c r="Z705" s="1277">
        <f>Z556-Y556</f>
        <v/>
      </c>
      <c r="AA705" s="1297">
        <f>AA556</f>
        <v/>
      </c>
      <c r="AB705" s="1277">
        <f>AB556</f>
        <v/>
      </c>
      <c r="AC705" s="1277">
        <f>AC556-AB556</f>
        <v/>
      </c>
      <c r="AD705" s="1277">
        <f>AD556-AC556</f>
        <v/>
      </c>
      <c r="AE705" s="1277">
        <f>AE556-AD556</f>
        <v/>
      </c>
      <c r="AF705" s="1297">
        <f>AF556</f>
        <v/>
      </c>
      <c r="AG705" s="1277">
        <f>AG556</f>
        <v/>
      </c>
      <c r="AH705" s="1277">
        <f>AH556-AG556</f>
        <v/>
      </c>
      <c r="AI705" s="1277">
        <f>AI556-AH556</f>
        <v/>
      </c>
      <c r="AJ705" s="1277">
        <f>AJ556-AI556</f>
        <v/>
      </c>
      <c r="AK705" s="1297">
        <f>SUM(AG705,AH705,AI705,AJ705)</f>
        <v/>
      </c>
      <c r="AL705" s="1277">
        <f>AL556</f>
        <v/>
      </c>
      <c r="AM705" s="1277">
        <f>AM556-AL556</f>
        <v/>
      </c>
      <c r="AN705" s="1277">
        <f>AN556-AM556</f>
        <v/>
      </c>
      <c r="AO705" s="1277">
        <f>AO556-AN556</f>
        <v/>
      </c>
      <c r="AP705" s="1297">
        <f>SUM(AL705,AM705,AN705,AO705)</f>
        <v/>
      </c>
      <c r="AQ705" s="1277">
        <f>AQ556</f>
        <v/>
      </c>
      <c r="AR705" s="1277">
        <f>AR556-AQ556</f>
        <v/>
      </c>
      <c r="AS705" s="1277">
        <f>AS556-AR556</f>
        <v/>
      </c>
      <c r="AT705" s="1277">
        <f>AT556-AS556</f>
        <v/>
      </c>
      <c r="AU705" s="1297">
        <f>SUM(AQ705,AR705,AS705,AT705)</f>
        <v/>
      </c>
      <c r="AV705" s="1277">
        <f>AV556</f>
        <v/>
      </c>
      <c r="AW705" s="1277">
        <f>AW556-AV556</f>
        <v/>
      </c>
      <c r="AX705" s="1277">
        <f>AX556-AW556</f>
        <v/>
      </c>
      <c r="AY705" s="1277">
        <f>AY556-AX556</f>
        <v/>
      </c>
      <c r="AZ705" s="1297">
        <f>SUM(AV705,AW705,AX705,AY705)</f>
        <v/>
      </c>
      <c r="BA705" s="1277">
        <f>BA556</f>
        <v/>
      </c>
      <c r="BB705" s="1277">
        <f>BB556-BA556</f>
        <v/>
      </c>
      <c r="BC705" s="1277">
        <f>BC556-BB556</f>
        <v/>
      </c>
      <c r="BD705" s="1277">
        <f>BD556-BC556</f>
        <v/>
      </c>
      <c r="BE705" s="1297">
        <f>SUM(BA705,BB705,BC705,BD705)</f>
        <v/>
      </c>
      <c r="BF705" s="1277">
        <f>BF556</f>
        <v/>
      </c>
      <c r="BG705" s="1277">
        <f>BG556-BF556</f>
        <v/>
      </c>
      <c r="BH705" s="1277">
        <f>BH556-BG556</f>
        <v/>
      </c>
      <c r="BI705" s="1277">
        <f>BI556-BH556</f>
        <v/>
      </c>
      <c r="BJ705" s="1297">
        <f>SUM(BF705,BG705,BH705,BI705)</f>
        <v/>
      </c>
      <c r="BK705" s="1277">
        <f>BK556</f>
        <v/>
      </c>
      <c r="BL705" s="1277">
        <f>BL556-BK556</f>
        <v/>
      </c>
      <c r="BM705" s="1277">
        <f>BM556-BL556</f>
        <v/>
      </c>
      <c r="BN705" s="1277">
        <f>BN556-BM556</f>
        <v/>
      </c>
      <c r="BO705" s="1382">
        <f>SUM(BK705,BL705,BM705,BN705)</f>
        <v/>
      </c>
      <c r="BP705" s="1277" t="n"/>
      <c r="BQ705" s="1277" t="n"/>
      <c r="BR705" s="1277" t="n"/>
      <c r="BS705" s="1277" t="n"/>
      <c r="BT705" s="1297">
        <f>SUM(BP705,BQ705,BR705,BS705)</f>
        <v/>
      </c>
      <c r="BU705" s="1277" t="n"/>
      <c r="BV705" s="1277" t="n"/>
      <c r="BW705" s="1277" t="n"/>
      <c r="BX705" s="1277" t="n"/>
      <c r="BY705" s="1297">
        <f>SUM(BU705,BV705,BW705,BX705)</f>
        <v/>
      </c>
      <c r="BZ705" s="1297" t="n"/>
      <c r="CA705" s="1297" t="n"/>
      <c r="CB705" s="1297" t="n"/>
      <c r="CC705" s="1280" t="n"/>
    </row>
    <row r="706" ht="14.4" customFormat="1" customHeight="1" s="1275">
      <c r="A706" s="1384">
        <f>A557</f>
        <v/>
      </c>
      <c r="B706" s="1387" t="n"/>
      <c r="C706" s="1297">
        <f>C557</f>
        <v/>
      </c>
      <c r="D706" s="1297">
        <f>D557</f>
        <v/>
      </c>
      <c r="E706" s="1297">
        <f>E557</f>
        <v/>
      </c>
      <c r="F706" s="1297">
        <f>F557</f>
        <v/>
      </c>
      <c r="G706" s="1297">
        <f>G557</f>
        <v/>
      </c>
      <c r="H706" s="1277">
        <f>H557</f>
        <v/>
      </c>
      <c r="I706" s="1277">
        <f>I557-H557</f>
        <v/>
      </c>
      <c r="J706" s="1277">
        <f>J557-I557</f>
        <v/>
      </c>
      <c r="K706" s="1277">
        <f>K557-J557</f>
        <v/>
      </c>
      <c r="L706" s="1297">
        <f>L557</f>
        <v/>
      </c>
      <c r="M706" s="1277">
        <f>M557</f>
        <v/>
      </c>
      <c r="N706" s="1277">
        <f>N557-M557</f>
        <v/>
      </c>
      <c r="O706" s="1277">
        <f>O557-N557</f>
        <v/>
      </c>
      <c r="P706" s="1277">
        <f>P557-O557</f>
        <v/>
      </c>
      <c r="Q706" s="1297">
        <f>Q557</f>
        <v/>
      </c>
      <c r="R706" s="1277">
        <f>R557</f>
        <v/>
      </c>
      <c r="S706" s="1277">
        <f>S557-R557</f>
        <v/>
      </c>
      <c r="T706" s="1277">
        <f>T557-S557</f>
        <v/>
      </c>
      <c r="U706" s="1277">
        <f>U557-T557</f>
        <v/>
      </c>
      <c r="V706" s="1297">
        <f>V557</f>
        <v/>
      </c>
      <c r="W706" s="1277">
        <f>W557</f>
        <v/>
      </c>
      <c r="X706" s="1277">
        <f>X557-W557</f>
        <v/>
      </c>
      <c r="Y706" s="1277">
        <f>Y557-X557</f>
        <v/>
      </c>
      <c r="Z706" s="1277">
        <f>Z557-Y557</f>
        <v/>
      </c>
      <c r="AA706" s="1297">
        <f>AA557</f>
        <v/>
      </c>
      <c r="AB706" s="1277">
        <f>AB557</f>
        <v/>
      </c>
      <c r="AC706" s="1277">
        <f>AC557-AB557</f>
        <v/>
      </c>
      <c r="AD706" s="1277">
        <f>AD557-AC557</f>
        <v/>
      </c>
      <c r="AE706" s="1277">
        <f>AE557-AD557</f>
        <v/>
      </c>
      <c r="AF706" s="1297">
        <f>AF557</f>
        <v/>
      </c>
      <c r="AG706" s="1277">
        <f>AG557</f>
        <v/>
      </c>
      <c r="AH706" s="1277">
        <f>AH557-AG557</f>
        <v/>
      </c>
      <c r="AI706" s="1277">
        <f>AI557-AH557</f>
        <v/>
      </c>
      <c r="AJ706" s="1277">
        <f>AJ557-AI557</f>
        <v/>
      </c>
      <c r="AK706" s="1297">
        <f>SUM(AG706,AH706,AI706,AJ706)</f>
        <v/>
      </c>
      <c r="AL706" s="1277">
        <f>AL557</f>
        <v/>
      </c>
      <c r="AM706" s="1277">
        <f>AM557-AL557</f>
        <v/>
      </c>
      <c r="AN706" s="1277">
        <f>AN557-AM557</f>
        <v/>
      </c>
      <c r="AO706" s="1277">
        <f>AO557-AN557</f>
        <v/>
      </c>
      <c r="AP706" s="1297">
        <f>SUM(AL706,AM706,AN706,AO706)</f>
        <v/>
      </c>
      <c r="AQ706" s="1277">
        <f>AQ557</f>
        <v/>
      </c>
      <c r="AR706" s="1277">
        <f>AR557-AQ557</f>
        <v/>
      </c>
      <c r="AS706" s="1277">
        <f>AS557-AR557</f>
        <v/>
      </c>
      <c r="AT706" s="1277">
        <f>AT557-AS557</f>
        <v/>
      </c>
      <c r="AU706" s="1297">
        <f>SUM(AQ706,AR706,AS706,AT706)</f>
        <v/>
      </c>
      <c r="AV706" s="1277">
        <f>AV557</f>
        <v/>
      </c>
      <c r="AW706" s="1277">
        <f>AW557-AV557</f>
        <v/>
      </c>
      <c r="AX706" s="1277">
        <f>AX557-AW557</f>
        <v/>
      </c>
      <c r="AY706" s="1277">
        <f>AY557-AX557</f>
        <v/>
      </c>
      <c r="AZ706" s="1297">
        <f>SUM(AV706,AW706,AX706,AY706)</f>
        <v/>
      </c>
      <c r="BA706" s="1277">
        <f>BA557</f>
        <v/>
      </c>
      <c r="BB706" s="1277">
        <f>BB557-BA557</f>
        <v/>
      </c>
      <c r="BC706" s="1277">
        <f>BC557-BB557</f>
        <v/>
      </c>
      <c r="BD706" s="1277">
        <f>BD557-BC557</f>
        <v/>
      </c>
      <c r="BE706" s="1297">
        <f>SUM(BA706,BB706,BC706,BD706)</f>
        <v/>
      </c>
      <c r="BF706" s="1277">
        <f>BF557</f>
        <v/>
      </c>
      <c r="BG706" s="1277">
        <f>BG557-BF557</f>
        <v/>
      </c>
      <c r="BH706" s="1277">
        <f>BH557-BG557</f>
        <v/>
      </c>
      <c r="BI706" s="1277">
        <f>BI557-BH557</f>
        <v/>
      </c>
      <c r="BJ706" s="1297">
        <f>SUM(BF706,BG706,BH706,BI706)</f>
        <v/>
      </c>
      <c r="BK706" s="1277">
        <f>BK557</f>
        <v/>
      </c>
      <c r="BL706" s="1277">
        <f>BL557-BK557</f>
        <v/>
      </c>
      <c r="BM706" s="1277">
        <f>BM557-BL557</f>
        <v/>
      </c>
      <c r="BN706" s="1277">
        <f>BN557-BM557</f>
        <v/>
      </c>
      <c r="BO706" s="1382">
        <f>SUM(BK706,BL706,BM706,BN706)</f>
        <v/>
      </c>
      <c r="BP706" s="1277" t="n"/>
      <c r="BQ706" s="1277" t="n"/>
      <c r="BR706" s="1277" t="n"/>
      <c r="BS706" s="1277" t="n"/>
      <c r="BT706" s="1297">
        <f>SUM(BP706,BQ706,BR706,BS706)</f>
        <v/>
      </c>
      <c r="BU706" s="1277" t="n"/>
      <c r="BV706" s="1277" t="n"/>
      <c r="BW706" s="1277" t="n"/>
      <c r="BX706" s="1277" t="n"/>
      <c r="BY706" s="1297">
        <f>SUM(BU706,BV706,BW706,BX706)</f>
        <v/>
      </c>
      <c r="BZ706" s="1297" t="n"/>
      <c r="CA706" s="1297" t="n"/>
      <c r="CB706" s="1297" t="n"/>
      <c r="CC706" s="1280" t="n"/>
    </row>
    <row r="707" ht="14.4" customFormat="1" customHeight="1" s="1275">
      <c r="A707" s="1384">
        <f>A558</f>
        <v/>
      </c>
      <c r="B707" s="1387" t="n"/>
      <c r="C707" s="1297">
        <f>C558</f>
        <v/>
      </c>
      <c r="D707" s="1297">
        <f>D558</f>
        <v/>
      </c>
      <c r="E707" s="1297">
        <f>E558</f>
        <v/>
      </c>
      <c r="F707" s="1297">
        <f>F558</f>
        <v/>
      </c>
      <c r="G707" s="1297">
        <f>G558</f>
        <v/>
      </c>
      <c r="H707" s="1277">
        <f>H558</f>
        <v/>
      </c>
      <c r="I707" s="1277">
        <f>I558-H558</f>
        <v/>
      </c>
      <c r="J707" s="1277">
        <f>J558-I558</f>
        <v/>
      </c>
      <c r="K707" s="1277">
        <f>K558-J558</f>
        <v/>
      </c>
      <c r="L707" s="1297">
        <f>L558</f>
        <v/>
      </c>
      <c r="M707" s="1277">
        <f>M558</f>
        <v/>
      </c>
      <c r="N707" s="1277">
        <f>N558-M558</f>
        <v/>
      </c>
      <c r="O707" s="1277">
        <f>O558-N558</f>
        <v/>
      </c>
      <c r="P707" s="1277">
        <f>P558-O558</f>
        <v/>
      </c>
      <c r="Q707" s="1297">
        <f>Q558</f>
        <v/>
      </c>
      <c r="R707" s="1277">
        <f>R558</f>
        <v/>
      </c>
      <c r="S707" s="1277">
        <f>S558-R558</f>
        <v/>
      </c>
      <c r="T707" s="1277">
        <f>T558-S558</f>
        <v/>
      </c>
      <c r="U707" s="1277">
        <f>U558-T558</f>
        <v/>
      </c>
      <c r="V707" s="1297">
        <f>V558</f>
        <v/>
      </c>
      <c r="W707" s="1277">
        <f>W558</f>
        <v/>
      </c>
      <c r="X707" s="1277">
        <f>X558-W558</f>
        <v/>
      </c>
      <c r="Y707" s="1277">
        <f>Y558-X558</f>
        <v/>
      </c>
      <c r="Z707" s="1277">
        <f>Z558-Y558</f>
        <v/>
      </c>
      <c r="AA707" s="1297">
        <f>AA558</f>
        <v/>
      </c>
      <c r="AB707" s="1277">
        <f>AB558</f>
        <v/>
      </c>
      <c r="AC707" s="1277">
        <f>AC558-AB558</f>
        <v/>
      </c>
      <c r="AD707" s="1277">
        <f>AD558-AC558</f>
        <v/>
      </c>
      <c r="AE707" s="1277">
        <f>AE558-AD558</f>
        <v/>
      </c>
      <c r="AF707" s="1297">
        <f>AF558</f>
        <v/>
      </c>
      <c r="AG707" s="1277">
        <f>AG558</f>
        <v/>
      </c>
      <c r="AH707" s="1277">
        <f>AH558-AG558</f>
        <v/>
      </c>
      <c r="AI707" s="1277">
        <f>AI558-AH558</f>
        <v/>
      </c>
      <c r="AJ707" s="1277">
        <f>AJ558-AI558</f>
        <v/>
      </c>
      <c r="AK707" s="1297">
        <f>SUM(AG707,AH707,AI707,AJ707)</f>
        <v/>
      </c>
      <c r="AL707" s="1277">
        <f>AL558</f>
        <v/>
      </c>
      <c r="AM707" s="1277">
        <f>AM558-AL558</f>
        <v/>
      </c>
      <c r="AN707" s="1277">
        <f>AN558-AM558</f>
        <v/>
      </c>
      <c r="AO707" s="1277">
        <f>AO558-AN558</f>
        <v/>
      </c>
      <c r="AP707" s="1297">
        <f>SUM(AL707,AM707,AN707,AO707)</f>
        <v/>
      </c>
      <c r="AQ707" s="1277">
        <f>AQ558</f>
        <v/>
      </c>
      <c r="AR707" s="1277">
        <f>AR558-AQ558</f>
        <v/>
      </c>
      <c r="AS707" s="1277">
        <f>AS558-AR558</f>
        <v/>
      </c>
      <c r="AT707" s="1277">
        <f>AT558-AS558</f>
        <v/>
      </c>
      <c r="AU707" s="1297">
        <f>SUM(AQ707,AR707,AS707,AT707)</f>
        <v/>
      </c>
      <c r="AV707" s="1277">
        <f>AV558</f>
        <v/>
      </c>
      <c r="AW707" s="1277">
        <f>AW558-AV558</f>
        <v/>
      </c>
      <c r="AX707" s="1277">
        <f>AX558-AW558</f>
        <v/>
      </c>
      <c r="AY707" s="1277">
        <f>AY558-AX558</f>
        <v/>
      </c>
      <c r="AZ707" s="1297">
        <f>SUM(AV707,AW707,AX707,AY707)</f>
        <v/>
      </c>
      <c r="BA707" s="1277">
        <f>BA558</f>
        <v/>
      </c>
      <c r="BB707" s="1277">
        <f>BB558-BA558</f>
        <v/>
      </c>
      <c r="BC707" s="1277">
        <f>BC558-BB558</f>
        <v/>
      </c>
      <c r="BD707" s="1277">
        <f>BD558-BC558</f>
        <v/>
      </c>
      <c r="BE707" s="1297">
        <f>SUM(BA707,BB707,BC707,BD707)</f>
        <v/>
      </c>
      <c r="BF707" s="1277">
        <f>BF558</f>
        <v/>
      </c>
      <c r="BG707" s="1277">
        <f>BG558-BF558</f>
        <v/>
      </c>
      <c r="BH707" s="1277">
        <f>BH558-BG558</f>
        <v/>
      </c>
      <c r="BI707" s="1277">
        <f>BI558-BH558</f>
        <v/>
      </c>
      <c r="BJ707" s="1297">
        <f>SUM(BF707,BG707,BH707,BI707)</f>
        <v/>
      </c>
      <c r="BK707" s="1277">
        <f>BK558</f>
        <v/>
      </c>
      <c r="BL707" s="1277">
        <f>BL558-BK558</f>
        <v/>
      </c>
      <c r="BM707" s="1277">
        <f>BM558-BL558</f>
        <v/>
      </c>
      <c r="BN707" s="1277">
        <f>BN558-BM558</f>
        <v/>
      </c>
      <c r="BO707" s="1382">
        <f>SUM(BK707,BL707,BM707,BN707)</f>
        <v/>
      </c>
      <c r="BP707" s="1277" t="n"/>
      <c r="BQ707" s="1277" t="n"/>
      <c r="BR707" s="1277" t="n"/>
      <c r="BS707" s="1277" t="n"/>
      <c r="BT707" s="1297">
        <f>SUM(BP707,BQ707,BR707,BS707)</f>
        <v/>
      </c>
      <c r="BU707" s="1277" t="n"/>
      <c r="BV707" s="1277" t="n"/>
      <c r="BW707" s="1277" t="n"/>
      <c r="BX707" s="1277" t="n"/>
      <c r="BY707" s="1297">
        <f>SUM(BU707,BV707,BW707,BX707)</f>
        <v/>
      </c>
      <c r="BZ707" s="1297" t="n"/>
      <c r="CA707" s="1297" t="n"/>
      <c r="CB707" s="1297" t="n"/>
      <c r="CC707" s="1280" t="n"/>
    </row>
    <row r="708" ht="14.4" customFormat="1" customHeight="1" s="1275">
      <c r="A708" s="1384">
        <f>A559</f>
        <v/>
      </c>
      <c r="B708" s="1387" t="n"/>
      <c r="C708" s="1297">
        <f>C559</f>
        <v/>
      </c>
      <c r="D708" s="1297">
        <f>D559</f>
        <v/>
      </c>
      <c r="E708" s="1297">
        <f>E559</f>
        <v/>
      </c>
      <c r="F708" s="1297">
        <f>F559</f>
        <v/>
      </c>
      <c r="G708" s="1297">
        <f>G559</f>
        <v/>
      </c>
      <c r="H708" s="1277">
        <f>H559</f>
        <v/>
      </c>
      <c r="I708" s="1277">
        <f>I559-H559</f>
        <v/>
      </c>
      <c r="J708" s="1277">
        <f>J559-I559</f>
        <v/>
      </c>
      <c r="K708" s="1277">
        <f>K559-J559</f>
        <v/>
      </c>
      <c r="L708" s="1297">
        <f>L559</f>
        <v/>
      </c>
      <c r="M708" s="1277">
        <f>M559</f>
        <v/>
      </c>
      <c r="N708" s="1277">
        <f>N559-M559</f>
        <v/>
      </c>
      <c r="O708" s="1277">
        <f>O559-N559</f>
        <v/>
      </c>
      <c r="P708" s="1277">
        <f>P559-O559</f>
        <v/>
      </c>
      <c r="Q708" s="1297">
        <f>Q559</f>
        <v/>
      </c>
      <c r="R708" s="1277">
        <f>R559</f>
        <v/>
      </c>
      <c r="S708" s="1277">
        <f>S559-R559</f>
        <v/>
      </c>
      <c r="T708" s="1277">
        <f>T559-S559</f>
        <v/>
      </c>
      <c r="U708" s="1277">
        <f>U559-T559</f>
        <v/>
      </c>
      <c r="V708" s="1297">
        <f>V559</f>
        <v/>
      </c>
      <c r="W708" s="1277">
        <f>W559</f>
        <v/>
      </c>
      <c r="X708" s="1277">
        <f>X559-W559</f>
        <v/>
      </c>
      <c r="Y708" s="1277">
        <f>Y559-X559</f>
        <v/>
      </c>
      <c r="Z708" s="1277">
        <f>Z559-Y559</f>
        <v/>
      </c>
      <c r="AA708" s="1297">
        <f>AA559</f>
        <v/>
      </c>
      <c r="AB708" s="1277">
        <f>AB559</f>
        <v/>
      </c>
      <c r="AC708" s="1277">
        <f>AC559-AB559</f>
        <v/>
      </c>
      <c r="AD708" s="1277">
        <f>AD559-AC559</f>
        <v/>
      </c>
      <c r="AE708" s="1277">
        <f>AE559-AD559</f>
        <v/>
      </c>
      <c r="AF708" s="1297">
        <f>AF559</f>
        <v/>
      </c>
      <c r="AG708" s="1277">
        <f>AG559</f>
        <v/>
      </c>
      <c r="AH708" s="1277">
        <f>AH559-AG559</f>
        <v/>
      </c>
      <c r="AI708" s="1277">
        <f>AI559-AH559</f>
        <v/>
      </c>
      <c r="AJ708" s="1277">
        <f>AJ559-AI559</f>
        <v/>
      </c>
      <c r="AK708" s="1297">
        <f>SUM(AG708,AH708,AI708,AJ708)</f>
        <v/>
      </c>
      <c r="AL708" s="1277">
        <f>AL559</f>
        <v/>
      </c>
      <c r="AM708" s="1277">
        <f>AM559-AL559</f>
        <v/>
      </c>
      <c r="AN708" s="1277">
        <f>AN559-AM559</f>
        <v/>
      </c>
      <c r="AO708" s="1277">
        <f>AO559-AN559</f>
        <v/>
      </c>
      <c r="AP708" s="1297">
        <f>SUM(AL708,AM708,AN708,AO708)</f>
        <v/>
      </c>
      <c r="AQ708" s="1277">
        <f>AQ559</f>
        <v/>
      </c>
      <c r="AR708" s="1277">
        <f>AR559-AQ559</f>
        <v/>
      </c>
      <c r="AS708" s="1277">
        <f>AS559-AR559</f>
        <v/>
      </c>
      <c r="AT708" s="1277">
        <f>AT559-AS559</f>
        <v/>
      </c>
      <c r="AU708" s="1297">
        <f>SUM(AQ708,AR708,AS708,AT708)</f>
        <v/>
      </c>
      <c r="AV708" s="1277">
        <f>AV559</f>
        <v/>
      </c>
      <c r="AW708" s="1277">
        <f>AW559-AV559</f>
        <v/>
      </c>
      <c r="AX708" s="1277">
        <f>AX559-AW559</f>
        <v/>
      </c>
      <c r="AY708" s="1277">
        <f>AY559-AX559</f>
        <v/>
      </c>
      <c r="AZ708" s="1297">
        <f>SUM(AV708,AW708,AX708,AY708)</f>
        <v/>
      </c>
      <c r="BA708" s="1277">
        <f>BA559</f>
        <v/>
      </c>
      <c r="BB708" s="1277">
        <f>BB559-BA559</f>
        <v/>
      </c>
      <c r="BC708" s="1277">
        <f>BC559-BB559</f>
        <v/>
      </c>
      <c r="BD708" s="1277">
        <f>BD559-BC559</f>
        <v/>
      </c>
      <c r="BE708" s="1297">
        <f>SUM(BA708,BB708,BC708,BD708)</f>
        <v/>
      </c>
      <c r="BF708" s="1277">
        <f>BF559</f>
        <v/>
      </c>
      <c r="BG708" s="1277">
        <f>BG559-BF559</f>
        <v/>
      </c>
      <c r="BH708" s="1277">
        <f>BH559-BG559</f>
        <v/>
      </c>
      <c r="BI708" s="1277">
        <f>BI559-BH559</f>
        <v/>
      </c>
      <c r="BJ708" s="1297">
        <f>SUM(BF708,BG708,BH708,BI708)</f>
        <v/>
      </c>
      <c r="BK708" s="1277">
        <f>BK559</f>
        <v/>
      </c>
      <c r="BL708" s="1277">
        <f>BL559-BK559</f>
        <v/>
      </c>
      <c r="BM708" s="1277">
        <f>BM559-BL559</f>
        <v/>
      </c>
      <c r="BN708" s="1277">
        <f>BN559-BM559</f>
        <v/>
      </c>
      <c r="BO708" s="1382">
        <f>SUM(BK708,BL708,BM708,BN708)</f>
        <v/>
      </c>
      <c r="BP708" s="1277" t="n"/>
      <c r="BQ708" s="1277" t="n"/>
      <c r="BR708" s="1277" t="n"/>
      <c r="BS708" s="1277" t="n"/>
      <c r="BT708" s="1297">
        <f>SUM(BP708,BQ708,BR708,BS708)</f>
        <v/>
      </c>
      <c r="BU708" s="1277" t="n"/>
      <c r="BV708" s="1277" t="n"/>
      <c r="BW708" s="1277" t="n"/>
      <c r="BX708" s="1277" t="n"/>
      <c r="BY708" s="1297">
        <f>SUM(BU708,BV708,BW708,BX708)</f>
        <v/>
      </c>
      <c r="BZ708" s="1297" t="n"/>
      <c r="CA708" s="1297" t="n"/>
      <c r="CB708" s="1297" t="n"/>
      <c r="CC708" s="1280" t="n"/>
    </row>
    <row r="709" ht="14.4" customFormat="1" customHeight="1" s="1275">
      <c r="A709" s="1384">
        <f>A560</f>
        <v/>
      </c>
      <c r="B709" s="1387" t="n"/>
      <c r="C709" s="1297">
        <f>C560</f>
        <v/>
      </c>
      <c r="D709" s="1297">
        <f>D560</f>
        <v/>
      </c>
      <c r="E709" s="1297">
        <f>E560</f>
        <v/>
      </c>
      <c r="F709" s="1297">
        <f>F560</f>
        <v/>
      </c>
      <c r="G709" s="1297">
        <f>G560</f>
        <v/>
      </c>
      <c r="H709" s="1277">
        <f>H560</f>
        <v/>
      </c>
      <c r="I709" s="1277">
        <f>I560-H560</f>
        <v/>
      </c>
      <c r="J709" s="1277">
        <f>J560-I560</f>
        <v/>
      </c>
      <c r="K709" s="1277">
        <f>K560-J560</f>
        <v/>
      </c>
      <c r="L709" s="1297">
        <f>L560</f>
        <v/>
      </c>
      <c r="M709" s="1277">
        <f>M560</f>
        <v/>
      </c>
      <c r="N709" s="1277">
        <f>N560-M560</f>
        <v/>
      </c>
      <c r="O709" s="1277">
        <f>O560-N560</f>
        <v/>
      </c>
      <c r="P709" s="1277">
        <f>P560-O560</f>
        <v/>
      </c>
      <c r="Q709" s="1297">
        <f>Q560</f>
        <v/>
      </c>
      <c r="R709" s="1277">
        <f>R560</f>
        <v/>
      </c>
      <c r="S709" s="1277">
        <f>S560-R560</f>
        <v/>
      </c>
      <c r="T709" s="1277">
        <f>T560-S560</f>
        <v/>
      </c>
      <c r="U709" s="1277">
        <f>U560-T560</f>
        <v/>
      </c>
      <c r="V709" s="1297">
        <f>V560</f>
        <v/>
      </c>
      <c r="W709" s="1277">
        <f>W560</f>
        <v/>
      </c>
      <c r="X709" s="1277">
        <f>X560-W560</f>
        <v/>
      </c>
      <c r="Y709" s="1277">
        <f>Y560-X560</f>
        <v/>
      </c>
      <c r="Z709" s="1277">
        <f>Z560-Y560</f>
        <v/>
      </c>
      <c r="AA709" s="1297">
        <f>AA560</f>
        <v/>
      </c>
      <c r="AB709" s="1277">
        <f>AB560</f>
        <v/>
      </c>
      <c r="AC709" s="1277">
        <f>AC560-AB560</f>
        <v/>
      </c>
      <c r="AD709" s="1277">
        <f>AD560-AC560</f>
        <v/>
      </c>
      <c r="AE709" s="1277">
        <f>AE560-AD560</f>
        <v/>
      </c>
      <c r="AF709" s="1297">
        <f>AF560</f>
        <v/>
      </c>
      <c r="AG709" s="1277">
        <f>AG560</f>
        <v/>
      </c>
      <c r="AH709" s="1277">
        <f>AH560-AG560</f>
        <v/>
      </c>
      <c r="AI709" s="1277">
        <f>AI560-AH560</f>
        <v/>
      </c>
      <c r="AJ709" s="1277">
        <f>AJ560-AI560</f>
        <v/>
      </c>
      <c r="AK709" s="1297">
        <f>SUM(AG709,AH709,AI709,AJ709)</f>
        <v/>
      </c>
      <c r="AL709" s="1277">
        <f>AL560</f>
        <v/>
      </c>
      <c r="AM709" s="1277">
        <f>AM560-AL560</f>
        <v/>
      </c>
      <c r="AN709" s="1277">
        <f>AN560-AM560</f>
        <v/>
      </c>
      <c r="AO709" s="1277">
        <f>AO560-AN560</f>
        <v/>
      </c>
      <c r="AP709" s="1297">
        <f>SUM(AL709,AM709,AN709,AO709)</f>
        <v/>
      </c>
      <c r="AQ709" s="1277">
        <f>AQ560</f>
        <v/>
      </c>
      <c r="AR709" s="1277">
        <f>AR560-AQ560</f>
        <v/>
      </c>
      <c r="AS709" s="1277">
        <f>AS560-AR560</f>
        <v/>
      </c>
      <c r="AT709" s="1277">
        <f>AT560-AS560</f>
        <v/>
      </c>
      <c r="AU709" s="1297">
        <f>SUM(AQ709,AR709,AS709,AT709)</f>
        <v/>
      </c>
      <c r="AV709" s="1277">
        <f>AV560</f>
        <v/>
      </c>
      <c r="AW709" s="1277">
        <f>AW560-AV560</f>
        <v/>
      </c>
      <c r="AX709" s="1277">
        <f>AX560-AW560</f>
        <v/>
      </c>
      <c r="AY709" s="1277">
        <f>AY560-AX560</f>
        <v/>
      </c>
      <c r="AZ709" s="1297">
        <f>SUM(AV709,AW709,AX709,AY709)</f>
        <v/>
      </c>
      <c r="BA709" s="1277">
        <f>BA560</f>
        <v/>
      </c>
      <c r="BB709" s="1277">
        <f>BB560-BA560</f>
        <v/>
      </c>
      <c r="BC709" s="1277">
        <f>BC560-BB560</f>
        <v/>
      </c>
      <c r="BD709" s="1277">
        <f>BD560-BC560</f>
        <v/>
      </c>
      <c r="BE709" s="1297">
        <f>SUM(BA709,BB709,BC709,BD709)</f>
        <v/>
      </c>
      <c r="BF709" s="1277">
        <f>BF560</f>
        <v/>
      </c>
      <c r="BG709" s="1277">
        <f>BG560-BF560</f>
        <v/>
      </c>
      <c r="BH709" s="1277">
        <f>BH560-BG560</f>
        <v/>
      </c>
      <c r="BI709" s="1277">
        <f>BI560-BH560</f>
        <v/>
      </c>
      <c r="BJ709" s="1297">
        <f>SUM(BF709,BG709,BH709,BI709)</f>
        <v/>
      </c>
      <c r="BK709" s="1277">
        <f>BK560</f>
        <v/>
      </c>
      <c r="BL709" s="1277">
        <f>BL560-BK560</f>
        <v/>
      </c>
      <c r="BM709" s="1277">
        <f>BM560-BL560</f>
        <v/>
      </c>
      <c r="BN709" s="1277">
        <f>BN560-BM560</f>
        <v/>
      </c>
      <c r="BO709" s="1382">
        <f>SUM(BK709,BL709,BM709,BN709)</f>
        <v/>
      </c>
      <c r="BP709" s="1277" t="n"/>
      <c r="BQ709" s="1277" t="n"/>
      <c r="BR709" s="1277" t="n"/>
      <c r="BS709" s="1277" t="n"/>
      <c r="BT709" s="1297">
        <f>SUM(BP709,BQ709,BR709,BS709)</f>
        <v/>
      </c>
      <c r="BU709" s="1277" t="n"/>
      <c r="BV709" s="1277" t="n"/>
      <c r="BW709" s="1277" t="n"/>
      <c r="BX709" s="1277" t="n"/>
      <c r="BY709" s="1297">
        <f>SUM(BU709,BV709,BW709,BX709)</f>
        <v/>
      </c>
      <c r="BZ709" s="1297" t="n"/>
      <c r="CA709" s="1297" t="n"/>
      <c r="CB709" s="1297" t="n"/>
      <c r="CC709" s="1280" t="n"/>
    </row>
    <row r="710" ht="14.4" customFormat="1" customHeight="1" s="1275">
      <c r="A710" s="1384">
        <f>A561</f>
        <v/>
      </c>
      <c r="B710" s="1387" t="n"/>
      <c r="C710" s="1297">
        <f>C561</f>
        <v/>
      </c>
      <c r="D710" s="1297">
        <f>D561</f>
        <v/>
      </c>
      <c r="E710" s="1297">
        <f>E561</f>
        <v/>
      </c>
      <c r="F710" s="1297">
        <f>F561</f>
        <v/>
      </c>
      <c r="G710" s="1297">
        <f>G561</f>
        <v/>
      </c>
      <c r="H710" s="1277">
        <f>H561</f>
        <v/>
      </c>
      <c r="I710" s="1277">
        <f>I561-H561</f>
        <v/>
      </c>
      <c r="J710" s="1277">
        <f>J561-I561</f>
        <v/>
      </c>
      <c r="K710" s="1277">
        <f>K561-J561</f>
        <v/>
      </c>
      <c r="L710" s="1297">
        <f>L561</f>
        <v/>
      </c>
      <c r="M710" s="1277">
        <f>M561</f>
        <v/>
      </c>
      <c r="N710" s="1277">
        <f>N561-M561</f>
        <v/>
      </c>
      <c r="O710" s="1277">
        <f>O561-N561</f>
        <v/>
      </c>
      <c r="P710" s="1277">
        <f>P561-O561</f>
        <v/>
      </c>
      <c r="Q710" s="1297">
        <f>Q561</f>
        <v/>
      </c>
      <c r="R710" s="1277">
        <f>R561</f>
        <v/>
      </c>
      <c r="S710" s="1277">
        <f>S561-R561</f>
        <v/>
      </c>
      <c r="T710" s="1277">
        <f>T561-S561</f>
        <v/>
      </c>
      <c r="U710" s="1277">
        <f>U561-T561</f>
        <v/>
      </c>
      <c r="V710" s="1297">
        <f>V561</f>
        <v/>
      </c>
      <c r="W710" s="1277">
        <f>W561</f>
        <v/>
      </c>
      <c r="X710" s="1277">
        <f>X561-W561</f>
        <v/>
      </c>
      <c r="Y710" s="1277">
        <f>Y561-X561</f>
        <v/>
      </c>
      <c r="Z710" s="1277">
        <f>Z561-Y561</f>
        <v/>
      </c>
      <c r="AA710" s="1297">
        <f>AA561</f>
        <v/>
      </c>
      <c r="AB710" s="1277">
        <f>AB561</f>
        <v/>
      </c>
      <c r="AC710" s="1277">
        <f>AC561-AB561</f>
        <v/>
      </c>
      <c r="AD710" s="1277">
        <f>AD561-AC561</f>
        <v/>
      </c>
      <c r="AE710" s="1277">
        <f>AE561-AD561</f>
        <v/>
      </c>
      <c r="AF710" s="1297">
        <f>AF561</f>
        <v/>
      </c>
      <c r="AG710" s="1277">
        <f>AG561</f>
        <v/>
      </c>
      <c r="AH710" s="1277">
        <f>AH561-AG561</f>
        <v/>
      </c>
      <c r="AI710" s="1277">
        <f>AI561-AH561</f>
        <v/>
      </c>
      <c r="AJ710" s="1277">
        <f>AJ561-AI561</f>
        <v/>
      </c>
      <c r="AK710" s="1297">
        <f>SUM(AG710,AH710,AI710,AJ710)</f>
        <v/>
      </c>
      <c r="AL710" s="1277">
        <f>AL561</f>
        <v/>
      </c>
      <c r="AM710" s="1277">
        <f>AM561-AL561</f>
        <v/>
      </c>
      <c r="AN710" s="1277">
        <f>AN561-AM561</f>
        <v/>
      </c>
      <c r="AO710" s="1277">
        <f>AO561-AN561</f>
        <v/>
      </c>
      <c r="AP710" s="1297">
        <f>SUM(AL710,AM710,AN710,AO710)</f>
        <v/>
      </c>
      <c r="AQ710" s="1277">
        <f>AQ561</f>
        <v/>
      </c>
      <c r="AR710" s="1277">
        <f>AR561-AQ561</f>
        <v/>
      </c>
      <c r="AS710" s="1277">
        <f>AS561-AR561</f>
        <v/>
      </c>
      <c r="AT710" s="1277">
        <f>AT561-AS561</f>
        <v/>
      </c>
      <c r="AU710" s="1297">
        <f>SUM(AQ710,AR710,AS710,AT710)</f>
        <v/>
      </c>
      <c r="AV710" s="1277">
        <f>AV561</f>
        <v/>
      </c>
      <c r="AW710" s="1277">
        <f>AW561-AV561</f>
        <v/>
      </c>
      <c r="AX710" s="1277">
        <f>AX561-AW561</f>
        <v/>
      </c>
      <c r="AY710" s="1277">
        <f>AY561-AX561</f>
        <v/>
      </c>
      <c r="AZ710" s="1297">
        <f>SUM(AV710,AW710,AX710,AY710)</f>
        <v/>
      </c>
      <c r="BA710" s="1277">
        <f>BA561</f>
        <v/>
      </c>
      <c r="BB710" s="1277">
        <f>BB561-BA561</f>
        <v/>
      </c>
      <c r="BC710" s="1277">
        <f>BC561-BB561</f>
        <v/>
      </c>
      <c r="BD710" s="1277">
        <f>BD561-BC561</f>
        <v/>
      </c>
      <c r="BE710" s="1297">
        <f>SUM(BA710,BB710,BC710,BD710)</f>
        <v/>
      </c>
      <c r="BF710" s="1277">
        <f>BF561</f>
        <v/>
      </c>
      <c r="BG710" s="1277">
        <f>BG561-BF561</f>
        <v/>
      </c>
      <c r="BH710" s="1277">
        <f>BH561-BG561</f>
        <v/>
      </c>
      <c r="BI710" s="1277">
        <f>BI561-BH561</f>
        <v/>
      </c>
      <c r="BJ710" s="1297">
        <f>SUM(BF710,BG710,BH710,BI710)</f>
        <v/>
      </c>
      <c r="BK710" s="1277">
        <f>BK561</f>
        <v/>
      </c>
      <c r="BL710" s="1277">
        <f>BL561-BK561</f>
        <v/>
      </c>
      <c r="BM710" s="1277">
        <f>BM561-BL561</f>
        <v/>
      </c>
      <c r="BN710" s="1277">
        <f>BN561-BM561</f>
        <v/>
      </c>
      <c r="BO710" s="1382">
        <f>SUM(BK710,BL710,BM710,BN710)</f>
        <v/>
      </c>
      <c r="BP710" s="1277" t="n"/>
      <c r="BQ710" s="1277" t="n"/>
      <c r="BR710" s="1277" t="n"/>
      <c r="BS710" s="1277" t="n"/>
      <c r="BT710" s="1297">
        <f>SUM(BP710,BQ710,BR710,BS710)</f>
        <v/>
      </c>
      <c r="BU710" s="1277" t="n"/>
      <c r="BV710" s="1277" t="n"/>
      <c r="BW710" s="1277" t="n"/>
      <c r="BX710" s="1277" t="n"/>
      <c r="BY710" s="1297">
        <f>SUM(BU710,BV710,BW710,BX710)</f>
        <v/>
      </c>
      <c r="BZ710" s="1297" t="n"/>
      <c r="CA710" s="1297" t="n"/>
      <c r="CB710" s="1297" t="n"/>
      <c r="CC710" s="1280" t="n"/>
    </row>
    <row r="711" ht="14.4" customFormat="1" customHeight="1" s="1275">
      <c r="A711" s="1384">
        <f>A562</f>
        <v/>
      </c>
      <c r="B711" s="1387" t="n"/>
      <c r="C711" s="1297">
        <f>C562</f>
        <v/>
      </c>
      <c r="D711" s="1297">
        <f>D562</f>
        <v/>
      </c>
      <c r="E711" s="1297">
        <f>E562</f>
        <v/>
      </c>
      <c r="F711" s="1297">
        <f>F562</f>
        <v/>
      </c>
      <c r="G711" s="1297">
        <f>G562</f>
        <v/>
      </c>
      <c r="H711" s="1277">
        <f>H562</f>
        <v/>
      </c>
      <c r="I711" s="1277">
        <f>I562-H562</f>
        <v/>
      </c>
      <c r="J711" s="1277">
        <f>J562-I562</f>
        <v/>
      </c>
      <c r="K711" s="1277">
        <f>K562-J562</f>
        <v/>
      </c>
      <c r="L711" s="1297">
        <f>L562</f>
        <v/>
      </c>
      <c r="M711" s="1277">
        <f>M562</f>
        <v/>
      </c>
      <c r="N711" s="1277">
        <f>N562-M562</f>
        <v/>
      </c>
      <c r="O711" s="1277">
        <f>O562-N562</f>
        <v/>
      </c>
      <c r="P711" s="1277">
        <f>P562-O562</f>
        <v/>
      </c>
      <c r="Q711" s="1297">
        <f>Q562</f>
        <v/>
      </c>
      <c r="R711" s="1277">
        <f>R562</f>
        <v/>
      </c>
      <c r="S711" s="1277">
        <f>S562-R562</f>
        <v/>
      </c>
      <c r="T711" s="1277">
        <f>T562-S562</f>
        <v/>
      </c>
      <c r="U711" s="1277">
        <f>U562-T562</f>
        <v/>
      </c>
      <c r="V711" s="1297">
        <f>V562</f>
        <v/>
      </c>
      <c r="W711" s="1277">
        <f>W562</f>
        <v/>
      </c>
      <c r="X711" s="1277">
        <f>X562-W562</f>
        <v/>
      </c>
      <c r="Y711" s="1277">
        <f>Y562-X562</f>
        <v/>
      </c>
      <c r="Z711" s="1277">
        <f>Z562-Y562</f>
        <v/>
      </c>
      <c r="AA711" s="1297">
        <f>AA562</f>
        <v/>
      </c>
      <c r="AB711" s="1277">
        <f>AB562</f>
        <v/>
      </c>
      <c r="AC711" s="1277">
        <f>AC562-AB562</f>
        <v/>
      </c>
      <c r="AD711" s="1277">
        <f>AD562-AC562</f>
        <v/>
      </c>
      <c r="AE711" s="1277">
        <f>AE562-AD562</f>
        <v/>
      </c>
      <c r="AF711" s="1297">
        <f>AF562</f>
        <v/>
      </c>
      <c r="AG711" s="1277">
        <f>AG562</f>
        <v/>
      </c>
      <c r="AH711" s="1277">
        <f>AH562-AG562</f>
        <v/>
      </c>
      <c r="AI711" s="1277">
        <f>AI562-AH562</f>
        <v/>
      </c>
      <c r="AJ711" s="1277">
        <f>AJ562-AI562</f>
        <v/>
      </c>
      <c r="AK711" s="1297">
        <f>SUM(AG711,AH711,AI711,AJ711)</f>
        <v/>
      </c>
      <c r="AL711" s="1277">
        <f>AL562</f>
        <v/>
      </c>
      <c r="AM711" s="1277">
        <f>AM562-AL562</f>
        <v/>
      </c>
      <c r="AN711" s="1277">
        <f>AN562-AM562</f>
        <v/>
      </c>
      <c r="AO711" s="1277">
        <f>AO562-AN562</f>
        <v/>
      </c>
      <c r="AP711" s="1297">
        <f>SUM(AL711,AM711,AN711,AO711)</f>
        <v/>
      </c>
      <c r="AQ711" s="1277">
        <f>AQ562</f>
        <v/>
      </c>
      <c r="AR711" s="1277">
        <f>AR562-AQ562</f>
        <v/>
      </c>
      <c r="AS711" s="1277">
        <f>AS562-AR562</f>
        <v/>
      </c>
      <c r="AT711" s="1277">
        <f>AT562-AS562</f>
        <v/>
      </c>
      <c r="AU711" s="1297">
        <f>SUM(AQ711,AR711,AS711,AT711)</f>
        <v/>
      </c>
      <c r="AV711" s="1277">
        <f>AV562</f>
        <v/>
      </c>
      <c r="AW711" s="1277">
        <f>AW562-AV562</f>
        <v/>
      </c>
      <c r="AX711" s="1277">
        <f>AX562-AW562</f>
        <v/>
      </c>
      <c r="AY711" s="1277">
        <f>AY562-AX562</f>
        <v/>
      </c>
      <c r="AZ711" s="1297">
        <f>SUM(AV711,AW711,AX711,AY711)</f>
        <v/>
      </c>
      <c r="BA711" s="1277">
        <f>BA562</f>
        <v/>
      </c>
      <c r="BB711" s="1277">
        <f>BB562-BA562</f>
        <v/>
      </c>
      <c r="BC711" s="1277">
        <f>BC562-BB562</f>
        <v/>
      </c>
      <c r="BD711" s="1277">
        <f>BD562-BC562</f>
        <v/>
      </c>
      <c r="BE711" s="1297">
        <f>SUM(BA711,BB711,BC711,BD711)</f>
        <v/>
      </c>
      <c r="BF711" s="1277">
        <f>BF562</f>
        <v/>
      </c>
      <c r="BG711" s="1277">
        <f>BG562-BF562</f>
        <v/>
      </c>
      <c r="BH711" s="1277">
        <f>BH562-BG562</f>
        <v/>
      </c>
      <c r="BI711" s="1277">
        <f>BI562-BH562</f>
        <v/>
      </c>
      <c r="BJ711" s="1297">
        <f>SUM(BF711,BG711,BH711,BI711)</f>
        <v/>
      </c>
      <c r="BK711" s="1277">
        <f>BK562</f>
        <v/>
      </c>
      <c r="BL711" s="1277">
        <f>BL562-BK562</f>
        <v/>
      </c>
      <c r="BM711" s="1277">
        <f>BM562-BL562</f>
        <v/>
      </c>
      <c r="BN711" s="1277">
        <f>BN562-BM562</f>
        <v/>
      </c>
      <c r="BO711" s="1382">
        <f>SUM(BK711,BL711,BM711,BN711)</f>
        <v/>
      </c>
      <c r="BP711" s="1277" t="n"/>
      <c r="BQ711" s="1277" t="n"/>
      <c r="BR711" s="1277" t="n"/>
      <c r="BS711" s="1277" t="n"/>
      <c r="BT711" s="1297">
        <f>SUM(BP711,BQ711,BR711,BS711)</f>
        <v/>
      </c>
      <c r="BU711" s="1277" t="n"/>
      <c r="BV711" s="1277" t="n"/>
      <c r="BW711" s="1277" t="n"/>
      <c r="BX711" s="1277" t="n"/>
      <c r="BY711" s="1297">
        <f>SUM(BU711,BV711,BW711,BX711)</f>
        <v/>
      </c>
      <c r="BZ711" s="1297" t="n"/>
      <c r="CA711" s="1297" t="n"/>
      <c r="CB711" s="1297" t="n"/>
      <c r="CC711" s="1280" t="n"/>
    </row>
    <row r="712" ht="14.4" customFormat="1" customHeight="1" s="1275">
      <c r="A712" s="1384">
        <f>A563</f>
        <v/>
      </c>
      <c r="B712" s="1387" t="n"/>
      <c r="C712" s="1297">
        <f>C563</f>
        <v/>
      </c>
      <c r="D712" s="1297">
        <f>D563</f>
        <v/>
      </c>
      <c r="E712" s="1297">
        <f>E563</f>
        <v/>
      </c>
      <c r="F712" s="1297">
        <f>F563</f>
        <v/>
      </c>
      <c r="G712" s="1297">
        <f>G563</f>
        <v/>
      </c>
      <c r="H712" s="1277">
        <f>H563</f>
        <v/>
      </c>
      <c r="I712" s="1277">
        <f>I563-H563</f>
        <v/>
      </c>
      <c r="J712" s="1277">
        <f>J563-I563</f>
        <v/>
      </c>
      <c r="K712" s="1277">
        <f>K563-J563</f>
        <v/>
      </c>
      <c r="L712" s="1297">
        <f>L563</f>
        <v/>
      </c>
      <c r="M712" s="1277">
        <f>M563</f>
        <v/>
      </c>
      <c r="N712" s="1277">
        <f>N563-M563</f>
        <v/>
      </c>
      <c r="O712" s="1277">
        <f>O563-N563</f>
        <v/>
      </c>
      <c r="P712" s="1277">
        <f>P563-O563</f>
        <v/>
      </c>
      <c r="Q712" s="1297">
        <f>Q563</f>
        <v/>
      </c>
      <c r="R712" s="1277">
        <f>R563</f>
        <v/>
      </c>
      <c r="S712" s="1277">
        <f>S563-R563</f>
        <v/>
      </c>
      <c r="T712" s="1277">
        <f>T563-S563</f>
        <v/>
      </c>
      <c r="U712" s="1277">
        <f>U563-T563</f>
        <v/>
      </c>
      <c r="V712" s="1297">
        <f>V563</f>
        <v/>
      </c>
      <c r="W712" s="1277">
        <f>W563</f>
        <v/>
      </c>
      <c r="X712" s="1277">
        <f>X563-W563</f>
        <v/>
      </c>
      <c r="Y712" s="1277">
        <f>Y563-X563</f>
        <v/>
      </c>
      <c r="Z712" s="1277">
        <f>Z563-Y563</f>
        <v/>
      </c>
      <c r="AA712" s="1297">
        <f>AA563</f>
        <v/>
      </c>
      <c r="AB712" s="1277">
        <f>AB563</f>
        <v/>
      </c>
      <c r="AC712" s="1277">
        <f>AC563-AB563</f>
        <v/>
      </c>
      <c r="AD712" s="1277">
        <f>AD563-AC563</f>
        <v/>
      </c>
      <c r="AE712" s="1277">
        <f>AE563-AD563</f>
        <v/>
      </c>
      <c r="AF712" s="1297">
        <f>AF563</f>
        <v/>
      </c>
      <c r="AG712" s="1277">
        <f>AG563</f>
        <v/>
      </c>
      <c r="AH712" s="1277">
        <f>AH563-AG563</f>
        <v/>
      </c>
      <c r="AI712" s="1277">
        <f>AI563-AH563</f>
        <v/>
      </c>
      <c r="AJ712" s="1277">
        <f>AJ563-AI563</f>
        <v/>
      </c>
      <c r="AK712" s="1297">
        <f>SUM(AG712,AH712,AI712,AJ712)</f>
        <v/>
      </c>
      <c r="AL712" s="1277">
        <f>AL563</f>
        <v/>
      </c>
      <c r="AM712" s="1277">
        <f>AM563-AL563</f>
        <v/>
      </c>
      <c r="AN712" s="1277">
        <f>AN563-AM563</f>
        <v/>
      </c>
      <c r="AO712" s="1277">
        <f>AO563-AN563</f>
        <v/>
      </c>
      <c r="AP712" s="1297">
        <f>SUM(AL712,AM712,AN712,AO712)</f>
        <v/>
      </c>
      <c r="AQ712" s="1277">
        <f>AQ563</f>
        <v/>
      </c>
      <c r="AR712" s="1277">
        <f>AR563-AQ563</f>
        <v/>
      </c>
      <c r="AS712" s="1277">
        <f>AS563-AR563</f>
        <v/>
      </c>
      <c r="AT712" s="1277">
        <f>AT563-AS563</f>
        <v/>
      </c>
      <c r="AU712" s="1297">
        <f>SUM(AQ712,AR712,AS712,AT712)</f>
        <v/>
      </c>
      <c r="AV712" s="1277">
        <f>AV563</f>
        <v/>
      </c>
      <c r="AW712" s="1277">
        <f>AW563-AV563</f>
        <v/>
      </c>
      <c r="AX712" s="1277">
        <f>AX563-AW563</f>
        <v/>
      </c>
      <c r="AY712" s="1277">
        <f>AY563-AX563</f>
        <v/>
      </c>
      <c r="AZ712" s="1297">
        <f>SUM(AV712,AW712,AX712,AY712)</f>
        <v/>
      </c>
      <c r="BA712" s="1277">
        <f>BA563</f>
        <v/>
      </c>
      <c r="BB712" s="1277">
        <f>BB563-BA563</f>
        <v/>
      </c>
      <c r="BC712" s="1277">
        <f>BC563-BB563</f>
        <v/>
      </c>
      <c r="BD712" s="1277">
        <f>BD563-BC563</f>
        <v/>
      </c>
      <c r="BE712" s="1297">
        <f>SUM(BA712,BB712,BC712,BD712)</f>
        <v/>
      </c>
      <c r="BF712" s="1277">
        <f>BF563</f>
        <v/>
      </c>
      <c r="BG712" s="1277">
        <f>BG563-BF563</f>
        <v/>
      </c>
      <c r="BH712" s="1277">
        <f>BH563-BG563</f>
        <v/>
      </c>
      <c r="BI712" s="1277">
        <f>BI563-BH563</f>
        <v/>
      </c>
      <c r="BJ712" s="1297">
        <f>SUM(BF712,BG712,BH712,BI712)</f>
        <v/>
      </c>
      <c r="BK712" s="1277">
        <f>BK563</f>
        <v/>
      </c>
      <c r="BL712" s="1277">
        <f>BL563-BK563</f>
        <v/>
      </c>
      <c r="BM712" s="1277">
        <f>BM563-BL563</f>
        <v/>
      </c>
      <c r="BN712" s="1277">
        <f>BN563-BM563</f>
        <v/>
      </c>
      <c r="BO712" s="1382">
        <f>SUM(BK712,BL712,BM712,BN712)</f>
        <v/>
      </c>
      <c r="BP712" s="1277">
        <f>BP397</f>
        <v/>
      </c>
      <c r="BQ712" s="1277">
        <f>BQ397</f>
        <v/>
      </c>
      <c r="BR712" s="1277">
        <f>BR397</f>
        <v/>
      </c>
      <c r="BS712" s="1277">
        <f>BS397</f>
        <v/>
      </c>
      <c r="BT712" s="1297">
        <f>SUM(BP712,BQ712,BR712,BS712)</f>
        <v/>
      </c>
      <c r="BU712" s="1277">
        <f>BU397</f>
        <v/>
      </c>
      <c r="BV712" s="1277">
        <f>BV397</f>
        <v/>
      </c>
      <c r="BW712" s="1277">
        <f>BW397</f>
        <v/>
      </c>
      <c r="BX712" s="1277">
        <f>BX397</f>
        <v/>
      </c>
      <c r="BY712" s="1297">
        <f>SUM(BU712,BV712,BW712,BX712)</f>
        <v/>
      </c>
      <c r="BZ712" s="1297">
        <f>BZ397</f>
        <v/>
      </c>
      <c r="CA712" s="1297">
        <f>CA397</f>
        <v/>
      </c>
      <c r="CB712" s="1297">
        <f>CB397</f>
        <v/>
      </c>
      <c r="CC712" s="1280" t="n"/>
    </row>
    <row r="713" ht="14.4" customFormat="1" customHeight="1" s="1275">
      <c r="A713" s="1384">
        <f>A564</f>
        <v/>
      </c>
      <c r="B713" s="1387" t="n"/>
      <c r="C713" s="1297">
        <f>C564</f>
        <v/>
      </c>
      <c r="D713" s="1297">
        <f>D564</f>
        <v/>
      </c>
      <c r="E713" s="1297">
        <f>E564</f>
        <v/>
      </c>
      <c r="F713" s="1297">
        <f>F564</f>
        <v/>
      </c>
      <c r="G713" s="1297">
        <f>G564</f>
        <v/>
      </c>
      <c r="H713" s="1277">
        <f>H564</f>
        <v/>
      </c>
      <c r="I713" s="1277">
        <f>I564-H564</f>
        <v/>
      </c>
      <c r="J713" s="1277">
        <f>J564-I564</f>
        <v/>
      </c>
      <c r="K713" s="1277">
        <f>K564-J564</f>
        <v/>
      </c>
      <c r="L713" s="1297">
        <f>L564</f>
        <v/>
      </c>
      <c r="M713" s="1277">
        <f>M564</f>
        <v/>
      </c>
      <c r="N713" s="1277">
        <f>N564-M564</f>
        <v/>
      </c>
      <c r="O713" s="1277">
        <f>O564-N564</f>
        <v/>
      </c>
      <c r="P713" s="1277">
        <f>P564-O564</f>
        <v/>
      </c>
      <c r="Q713" s="1297">
        <f>Q564</f>
        <v/>
      </c>
      <c r="R713" s="1277">
        <f>R564</f>
        <v/>
      </c>
      <c r="S713" s="1277">
        <f>S564-R564</f>
        <v/>
      </c>
      <c r="T713" s="1277">
        <f>T564-S564</f>
        <v/>
      </c>
      <c r="U713" s="1277">
        <f>U564-T564</f>
        <v/>
      </c>
      <c r="V713" s="1297">
        <f>V564</f>
        <v/>
      </c>
      <c r="W713" s="1277">
        <f>W564</f>
        <v/>
      </c>
      <c r="X713" s="1277">
        <f>X564-W564</f>
        <v/>
      </c>
      <c r="Y713" s="1277">
        <f>Y564-X564</f>
        <v/>
      </c>
      <c r="Z713" s="1277">
        <f>Z564-Y564</f>
        <v/>
      </c>
      <c r="AA713" s="1297">
        <f>AA564</f>
        <v/>
      </c>
      <c r="AB713" s="1277">
        <f>AB564</f>
        <v/>
      </c>
      <c r="AC713" s="1277">
        <f>AC564-AB564</f>
        <v/>
      </c>
      <c r="AD713" s="1277">
        <f>AD564-AC564</f>
        <v/>
      </c>
      <c r="AE713" s="1277">
        <f>AE564-AD564</f>
        <v/>
      </c>
      <c r="AF713" s="1297">
        <f>AF564</f>
        <v/>
      </c>
      <c r="AG713" s="1277">
        <f>AG564</f>
        <v/>
      </c>
      <c r="AH713" s="1277">
        <f>AH564-AG564</f>
        <v/>
      </c>
      <c r="AI713" s="1277">
        <f>AI564-AH564</f>
        <v/>
      </c>
      <c r="AJ713" s="1277">
        <f>AJ564-AI564</f>
        <v/>
      </c>
      <c r="AK713" s="1297">
        <f>SUM(AG713,AH713,AI713,AJ713)</f>
        <v/>
      </c>
      <c r="AL713" s="1277">
        <f>AL564</f>
        <v/>
      </c>
      <c r="AM713" s="1277">
        <f>AM564-AL564</f>
        <v/>
      </c>
      <c r="AN713" s="1277">
        <f>AN564-AM564</f>
        <v/>
      </c>
      <c r="AO713" s="1277">
        <f>AO564-AN564</f>
        <v/>
      </c>
      <c r="AP713" s="1297">
        <f>SUM(AL713,AM713,AN713,AO713)</f>
        <v/>
      </c>
      <c r="AQ713" s="1277">
        <f>AQ564</f>
        <v/>
      </c>
      <c r="AR713" s="1277">
        <f>AR564-AQ564</f>
        <v/>
      </c>
      <c r="AS713" s="1277">
        <f>AS564-AR564</f>
        <v/>
      </c>
      <c r="AT713" s="1277">
        <f>AT564-AS564</f>
        <v/>
      </c>
      <c r="AU713" s="1297">
        <f>SUM(AQ713,AR713,AS713,AT713)</f>
        <v/>
      </c>
      <c r="AV713" s="1277">
        <f>AV564</f>
        <v/>
      </c>
      <c r="AW713" s="1277">
        <f>AW564-AV564</f>
        <v/>
      </c>
      <c r="AX713" s="1277">
        <f>AX564-AW564</f>
        <v/>
      </c>
      <c r="AY713" s="1277">
        <f>AY564-AX564</f>
        <v/>
      </c>
      <c r="AZ713" s="1297">
        <f>SUM(AV713,AW713,AX713,AY713)</f>
        <v/>
      </c>
      <c r="BA713" s="1277">
        <f>BA564</f>
        <v/>
      </c>
      <c r="BB713" s="1277">
        <f>BB564-BA564</f>
        <v/>
      </c>
      <c r="BC713" s="1277">
        <f>BC564-BB564</f>
        <v/>
      </c>
      <c r="BD713" s="1277">
        <f>BD564-BC564</f>
        <v/>
      </c>
      <c r="BE713" s="1297">
        <f>SUM(BA713,BB713,BC713,BD713)</f>
        <v/>
      </c>
      <c r="BF713" s="1277">
        <f>BF564</f>
        <v/>
      </c>
      <c r="BG713" s="1277">
        <f>BG564-BF564</f>
        <v/>
      </c>
      <c r="BH713" s="1277">
        <f>BH564-BG564</f>
        <v/>
      </c>
      <c r="BI713" s="1277">
        <f>BI564-BH564</f>
        <v/>
      </c>
      <c r="BJ713" s="1297">
        <f>SUM(BF713,BG713,BH713,BI713)</f>
        <v/>
      </c>
      <c r="BK713" s="1277">
        <f>BK564</f>
        <v/>
      </c>
      <c r="BL713" s="1277">
        <f>BL564-BK564</f>
        <v/>
      </c>
      <c r="BM713" s="1277">
        <f>BM564-BL564</f>
        <v/>
      </c>
      <c r="BN713" s="1277">
        <f>BN564-BM564</f>
        <v/>
      </c>
      <c r="BO713" s="1382">
        <f>SUM(BK713,BL713,BM713,BN713)</f>
        <v/>
      </c>
      <c r="BP713" s="1277" t="n"/>
      <c r="BQ713" s="1277" t="n"/>
      <c r="BR713" s="1277" t="n"/>
      <c r="BS713" s="1277" t="n"/>
      <c r="BT713" s="1297">
        <f>SUM(BP713,BQ713,BR713,BS713)</f>
        <v/>
      </c>
      <c r="BU713" s="1277" t="n"/>
      <c r="BV713" s="1277" t="n"/>
      <c r="BW713" s="1277" t="n"/>
      <c r="BX713" s="1277" t="n"/>
      <c r="BY713" s="1297">
        <f>SUM(BU713,BV713,BW713,BX713)</f>
        <v/>
      </c>
      <c r="BZ713" s="1297" t="n"/>
      <c r="CA713" s="1297" t="n"/>
      <c r="CB713" s="1297" t="n"/>
      <c r="CC713" s="1280" t="n"/>
    </row>
    <row r="714" ht="14.4" customFormat="1" customHeight="1" s="1275">
      <c r="A714" s="1388">
        <f>A565</f>
        <v/>
      </c>
      <c r="B714" s="1389" t="n"/>
      <c r="C714" s="1364">
        <f>C565</f>
        <v/>
      </c>
      <c r="D714" s="1364">
        <f>D565</f>
        <v/>
      </c>
      <c r="E714" s="1364">
        <f>E565</f>
        <v/>
      </c>
      <c r="F714" s="1364">
        <f>F565</f>
        <v/>
      </c>
      <c r="G714" s="1364">
        <f>G565</f>
        <v/>
      </c>
      <c r="H714" s="1365">
        <f>H565</f>
        <v/>
      </c>
      <c r="I714" s="1365">
        <f>I565-H565</f>
        <v/>
      </c>
      <c r="J714" s="1365">
        <f>J565-I565</f>
        <v/>
      </c>
      <c r="K714" s="1365">
        <f>K565-J565</f>
        <v/>
      </c>
      <c r="L714" s="1364">
        <f>L565</f>
        <v/>
      </c>
      <c r="M714" s="1365">
        <f>M565</f>
        <v/>
      </c>
      <c r="N714" s="1365">
        <f>N565-M565</f>
        <v/>
      </c>
      <c r="O714" s="1365">
        <f>O565-N565</f>
        <v/>
      </c>
      <c r="P714" s="1365">
        <f>P565-O565</f>
        <v/>
      </c>
      <c r="Q714" s="1364">
        <f>Q565</f>
        <v/>
      </c>
      <c r="R714" s="1365">
        <f>R565</f>
        <v/>
      </c>
      <c r="S714" s="1365">
        <f>S565-R565</f>
        <v/>
      </c>
      <c r="T714" s="1365">
        <f>T565-S565</f>
        <v/>
      </c>
      <c r="U714" s="1365">
        <f>U565-T565</f>
        <v/>
      </c>
      <c r="V714" s="1364">
        <f>V565</f>
        <v/>
      </c>
      <c r="W714" s="1365">
        <f>W565</f>
        <v/>
      </c>
      <c r="X714" s="1365">
        <f>X565-W565</f>
        <v/>
      </c>
      <c r="Y714" s="1365">
        <f>Y565-X565</f>
        <v/>
      </c>
      <c r="Z714" s="1365">
        <f>Z565-Y565</f>
        <v/>
      </c>
      <c r="AA714" s="1364">
        <f>AA565</f>
        <v/>
      </c>
      <c r="AB714" s="1365">
        <f>AB565</f>
        <v/>
      </c>
      <c r="AC714" s="1365">
        <f>AC565-AB565</f>
        <v/>
      </c>
      <c r="AD714" s="1365">
        <f>AD565-AC565</f>
        <v/>
      </c>
      <c r="AE714" s="1365">
        <f>AE565-AD565</f>
        <v/>
      </c>
      <c r="AF714" s="1364">
        <f>AF565</f>
        <v/>
      </c>
      <c r="AG714" s="1365">
        <f>AG565</f>
        <v/>
      </c>
      <c r="AH714" s="1365">
        <f>AH565-AG565</f>
        <v/>
      </c>
      <c r="AI714" s="1365">
        <f>AI565-AH565</f>
        <v/>
      </c>
      <c r="AJ714" s="1365">
        <f>AJ565-AI565</f>
        <v/>
      </c>
      <c r="AK714" s="1364">
        <f>SUM(AG714,AH714,AI714,AJ714)</f>
        <v/>
      </c>
      <c r="AL714" s="1365">
        <f>AL565</f>
        <v/>
      </c>
      <c r="AM714" s="1365">
        <f>AM565-AL565</f>
        <v/>
      </c>
      <c r="AN714" s="1365">
        <f>AN565-AM565</f>
        <v/>
      </c>
      <c r="AO714" s="1365">
        <f>AO565-AN565</f>
        <v/>
      </c>
      <c r="AP714" s="1364">
        <f>SUM(AL714,AM714,AN714,AO714)</f>
        <v/>
      </c>
      <c r="AQ714" s="1365">
        <f>AQ565</f>
        <v/>
      </c>
      <c r="AR714" s="1365">
        <f>AR565-AQ565</f>
        <v/>
      </c>
      <c r="AS714" s="1365">
        <f>AS565-AR565</f>
        <v/>
      </c>
      <c r="AT714" s="1365">
        <f>AT565-AS565</f>
        <v/>
      </c>
      <c r="AU714" s="1364">
        <f>SUM(AQ714,AR714,AS714,AT714)</f>
        <v/>
      </c>
      <c r="AV714" s="1365">
        <f>AV565</f>
        <v/>
      </c>
      <c r="AW714" s="1365">
        <f>AW565-AV565</f>
        <v/>
      </c>
      <c r="AX714" s="1365">
        <f>AX565-AW565</f>
        <v/>
      </c>
      <c r="AY714" s="1365">
        <f>AY565-AX565</f>
        <v/>
      </c>
      <c r="AZ714" s="1364">
        <f>SUM(AV714,AW714,AX714,AY714)</f>
        <v/>
      </c>
      <c r="BA714" s="1365">
        <f>BA565</f>
        <v/>
      </c>
      <c r="BB714" s="1365">
        <f>BB565-BA565</f>
        <v/>
      </c>
      <c r="BC714" s="1365">
        <f>BC565-BB565</f>
        <v/>
      </c>
      <c r="BD714" s="1365">
        <f>BD565-BC565</f>
        <v/>
      </c>
      <c r="BE714" s="1364">
        <f>SUM(BA714,BB714,BC714,BD714)</f>
        <v/>
      </c>
      <c r="BF714" s="1365">
        <f>BF565</f>
        <v/>
      </c>
      <c r="BG714" s="1365">
        <f>BG565-BF565</f>
        <v/>
      </c>
      <c r="BH714" s="1365">
        <f>BH565-BG565</f>
        <v/>
      </c>
      <c r="BI714" s="1365">
        <f>BI565-BH565</f>
        <v/>
      </c>
      <c r="BJ714" s="1364">
        <f>SUM(BF714,BG714,BH714,BI714)</f>
        <v/>
      </c>
      <c r="BK714" s="1365">
        <f>BK565</f>
        <v/>
      </c>
      <c r="BL714" s="1365">
        <f>BL565-BK565</f>
        <v/>
      </c>
      <c r="BM714" s="1365">
        <f>BM565-BL565</f>
        <v/>
      </c>
      <c r="BN714" s="1365">
        <f>BN565-BM565</f>
        <v/>
      </c>
      <c r="BO714" s="1366">
        <f>SUM(BK714,BL714,BM714,BN714)</f>
        <v/>
      </c>
      <c r="BP714" s="1365" t="n"/>
      <c r="BQ714" s="1365" t="n"/>
      <c r="BR714" s="1365" t="n"/>
      <c r="BS714" s="1365" t="n"/>
      <c r="BT714" s="1364">
        <f>SUM(BP714,BQ714,BR714,BS714)</f>
        <v/>
      </c>
      <c r="BU714" s="1365" t="n"/>
      <c r="BV714" s="1365" t="n"/>
      <c r="BW714" s="1365" t="n"/>
      <c r="BX714" s="1365" t="n"/>
      <c r="BY714" s="1364">
        <f>SUM(BU714,BV714,BW714,BX714)</f>
        <v/>
      </c>
      <c r="BZ714" s="1364" t="n"/>
      <c r="CA714" s="1364" t="n"/>
      <c r="CB714" s="1364" t="n"/>
      <c r="CC714" s="1280" t="n"/>
    </row>
    <row r="715" ht="14.4" customFormat="1" customHeight="1" s="1323">
      <c r="A715" s="1392">
        <f>A566</f>
        <v/>
      </c>
      <c r="B715" s="1393" t="n"/>
      <c r="C715" s="1326">
        <f>SUM(C674:C714)</f>
        <v/>
      </c>
      <c r="D715" s="1326">
        <f>SUM(D674:D714)</f>
        <v/>
      </c>
      <c r="E715" s="1326">
        <f>SUM(E674:E714)</f>
        <v/>
      </c>
      <c r="F715" s="1326">
        <f>SUM(F674:F714)</f>
        <v/>
      </c>
      <c r="G715" s="1326">
        <f>SUM(G674:G714)</f>
        <v/>
      </c>
      <c r="H715" s="1327">
        <f>SUM(H674:H714)</f>
        <v/>
      </c>
      <c r="I715" s="1327">
        <f>SUM(I674:I714)</f>
        <v/>
      </c>
      <c r="J715" s="1327">
        <f>SUM(J674:J714)</f>
        <v/>
      </c>
      <c r="K715" s="1327">
        <f>SUM(K674:K714)</f>
        <v/>
      </c>
      <c r="L715" s="1326">
        <f>SUM(L674:L714)</f>
        <v/>
      </c>
      <c r="M715" s="1327">
        <f>SUM(M674:M714)</f>
        <v/>
      </c>
      <c r="N715" s="1327">
        <f>SUM(N674:N714)</f>
        <v/>
      </c>
      <c r="O715" s="1327">
        <f>SUM(O674:O714)</f>
        <v/>
      </c>
      <c r="P715" s="1327">
        <f>SUM(P674:P714)</f>
        <v/>
      </c>
      <c r="Q715" s="1326">
        <f>SUM(Q674:Q714)</f>
        <v/>
      </c>
      <c r="R715" s="1327">
        <f>SUM(R674:R714)</f>
        <v/>
      </c>
      <c r="S715" s="1327">
        <f>SUM(S674:S714)</f>
        <v/>
      </c>
      <c r="T715" s="1327">
        <f>SUM(T674:T714)</f>
        <v/>
      </c>
      <c r="U715" s="1327">
        <f>SUM(U674:U714)</f>
        <v/>
      </c>
      <c r="V715" s="1326">
        <f>SUM(V674:V714)</f>
        <v/>
      </c>
      <c r="W715" s="1327">
        <f>SUM(W674:W714)</f>
        <v/>
      </c>
      <c r="X715" s="1327">
        <f>SUM(X674:X714)</f>
        <v/>
      </c>
      <c r="Y715" s="1327">
        <f>SUM(Y674:Y714)</f>
        <v/>
      </c>
      <c r="Z715" s="1327">
        <f>SUM(Z674:Z714)</f>
        <v/>
      </c>
      <c r="AA715" s="1326">
        <f>SUM(AA674:AA714)</f>
        <v/>
      </c>
      <c r="AB715" s="1327">
        <f>SUM(AB674:AB714)</f>
        <v/>
      </c>
      <c r="AC715" s="1327">
        <f>SUM(AC674:AC714)</f>
        <v/>
      </c>
      <c r="AD715" s="1327">
        <f>SUM(AD674:AD714)</f>
        <v/>
      </c>
      <c r="AE715" s="1327">
        <f>SUM(AE674:AE714)</f>
        <v/>
      </c>
      <c r="AF715" s="1326">
        <f>SUM(AF674:AF714)</f>
        <v/>
      </c>
      <c r="AG715" s="1327">
        <f>SUM(AG674:AG714)</f>
        <v/>
      </c>
      <c r="AH715" s="1327">
        <f>SUM(AH674:AH714)</f>
        <v/>
      </c>
      <c r="AI715" s="1327">
        <f>SUM(AI674:AI714)</f>
        <v/>
      </c>
      <c r="AJ715" s="1327">
        <f>SUM(AJ674:AJ714)</f>
        <v/>
      </c>
      <c r="AK715" s="1326">
        <f>SUM(AK674:AK714)</f>
        <v/>
      </c>
      <c r="AL715" s="1327">
        <f>SUM(AL674:AL714)</f>
        <v/>
      </c>
      <c r="AM715" s="1327">
        <f>SUM(AM674:AM714)</f>
        <v/>
      </c>
      <c r="AN715" s="1327">
        <f>SUM(AN674:AN714)</f>
        <v/>
      </c>
      <c r="AO715" s="1327">
        <f>SUM(AO674:AO714)</f>
        <v/>
      </c>
      <c r="AP715" s="1326">
        <f>SUM(AP674:AP714)</f>
        <v/>
      </c>
      <c r="AQ715" s="1327">
        <f>SUM(AQ674:AQ714)</f>
        <v/>
      </c>
      <c r="AR715" s="1327">
        <f>SUM(AR674:AR714)</f>
        <v/>
      </c>
      <c r="AS715" s="1327">
        <f>SUM(AS674:AS714)</f>
        <v/>
      </c>
      <c r="AT715" s="1327">
        <f>SUM(AT674:AT714)</f>
        <v/>
      </c>
      <c r="AU715" s="1326">
        <f>SUM(AU674:AU714)</f>
        <v/>
      </c>
      <c r="AV715" s="1327">
        <f>SUM(AV674:AV714)</f>
        <v/>
      </c>
      <c r="AW715" s="1327">
        <f>SUM(AW674:AW714)</f>
        <v/>
      </c>
      <c r="AX715" s="1327">
        <f>SUM(AX674:AX714)</f>
        <v/>
      </c>
      <c r="AY715" s="1327">
        <f>SUM(AY674:AY714)</f>
        <v/>
      </c>
      <c r="AZ715" s="1326">
        <f>SUM(AZ674:AZ714)</f>
        <v/>
      </c>
      <c r="BA715" s="1327">
        <f>SUM(BA674:BA714)</f>
        <v/>
      </c>
      <c r="BB715" s="1327">
        <f>SUM(BB674:BB714)</f>
        <v/>
      </c>
      <c r="BC715" s="1327">
        <f>SUM(BC674:BC714)</f>
        <v/>
      </c>
      <c r="BD715" s="1327">
        <f>SUM(BD674:BD714)</f>
        <v/>
      </c>
      <c r="BE715" s="1326">
        <f>SUM(BE674:BE714)</f>
        <v/>
      </c>
      <c r="BF715" s="1327">
        <f>SUM(BF674:BF714)</f>
        <v/>
      </c>
      <c r="BG715" s="1327">
        <f>SUM(BG674:BG714)</f>
        <v/>
      </c>
      <c r="BH715" s="1327">
        <f>SUM(BH674:BH714)</f>
        <v/>
      </c>
      <c r="BI715" s="1327">
        <f>SUM(BI674:BI714)</f>
        <v/>
      </c>
      <c r="BJ715" s="1326">
        <f>SUM(BJ674:BJ714)</f>
        <v/>
      </c>
      <c r="BK715" s="1327">
        <f>SUM(BK674:BK714)</f>
        <v/>
      </c>
      <c r="BL715" s="1327">
        <f>SUM(BL674:BL714)</f>
        <v/>
      </c>
      <c r="BM715" s="1327">
        <f>SUM(BM674:BM714)</f>
        <v/>
      </c>
      <c r="BN715" s="1327">
        <f>SUM(BN674:BN714)</f>
        <v/>
      </c>
      <c r="BO715" s="1386">
        <f>SUM(BO674:BO714)</f>
        <v/>
      </c>
      <c r="BP715" s="1327">
        <f>SUM(BP674:BP714)</f>
        <v/>
      </c>
      <c r="BQ715" s="1327">
        <f>SUM(BQ674:BQ714)</f>
        <v/>
      </c>
      <c r="BR715" s="1327">
        <f>SUM(BR674:BR714)</f>
        <v/>
      </c>
      <c r="BS715" s="1327">
        <f>SUM(BS674:BS714)</f>
        <v/>
      </c>
      <c r="BT715" s="1326">
        <f>SUM(BT674:BT714)</f>
        <v/>
      </c>
      <c r="BU715" s="1327">
        <f>SUM(BU674:BU714)</f>
        <v/>
      </c>
      <c r="BV715" s="1327">
        <f>SUM(BV674:BV714)</f>
        <v/>
      </c>
      <c r="BW715" s="1327">
        <f>SUM(BW674:BW714)</f>
        <v/>
      </c>
      <c r="BX715" s="1327">
        <f>SUM(BX674:BX714)</f>
        <v/>
      </c>
      <c r="BY715" s="1326">
        <f>SUM(BY674:BY714)</f>
        <v/>
      </c>
      <c r="BZ715" s="1326">
        <f>SUM(BZ674:BZ714)</f>
        <v/>
      </c>
      <c r="CA715" s="1326">
        <f>SUM(CA674:CA714)</f>
        <v/>
      </c>
      <c r="CB715" s="1326">
        <f>SUM(CB674:CB714)</f>
        <v/>
      </c>
      <c r="CC715" s="1331" t="n"/>
    </row>
    <row r="716" ht="14.4" customFormat="1" customHeight="1" s="1275">
      <c r="A716" s="1384">
        <f>A567</f>
        <v/>
      </c>
      <c r="B716" s="1387" t="n"/>
      <c r="C716" s="1297">
        <f>C567</f>
        <v/>
      </c>
      <c r="D716" s="1297">
        <f>D567</f>
        <v/>
      </c>
      <c r="E716" s="1297">
        <f>E567</f>
        <v/>
      </c>
      <c r="F716" s="1297">
        <f>F567</f>
        <v/>
      </c>
      <c r="G716" s="1297">
        <f>G567</f>
        <v/>
      </c>
      <c r="H716" s="1277">
        <f>H567</f>
        <v/>
      </c>
      <c r="I716" s="1277">
        <f>I567-H567</f>
        <v/>
      </c>
      <c r="J716" s="1277">
        <f>J567-I567</f>
        <v/>
      </c>
      <c r="K716" s="1277">
        <f>K567-J567</f>
        <v/>
      </c>
      <c r="L716" s="1297">
        <f>L567</f>
        <v/>
      </c>
      <c r="M716" s="1277">
        <f>M567</f>
        <v/>
      </c>
      <c r="N716" s="1277">
        <f>N567-M567</f>
        <v/>
      </c>
      <c r="O716" s="1277">
        <f>O567-N567</f>
        <v/>
      </c>
      <c r="P716" s="1277">
        <f>P567-O567</f>
        <v/>
      </c>
      <c r="Q716" s="1297">
        <f>Q567</f>
        <v/>
      </c>
      <c r="R716" s="1277">
        <f>R567</f>
        <v/>
      </c>
      <c r="S716" s="1277">
        <f>S567-R567</f>
        <v/>
      </c>
      <c r="T716" s="1277">
        <f>T567-S567</f>
        <v/>
      </c>
      <c r="U716" s="1277">
        <f>U567-T567</f>
        <v/>
      </c>
      <c r="V716" s="1297">
        <f>V567</f>
        <v/>
      </c>
      <c r="W716" s="1277">
        <f>W567</f>
        <v/>
      </c>
      <c r="X716" s="1277">
        <f>X567-W567</f>
        <v/>
      </c>
      <c r="Y716" s="1277">
        <f>Y567-X567</f>
        <v/>
      </c>
      <c r="Z716" s="1277">
        <f>Z567-Y567</f>
        <v/>
      </c>
      <c r="AA716" s="1297">
        <f>AA567</f>
        <v/>
      </c>
      <c r="AB716" s="1277">
        <f>AB567</f>
        <v/>
      </c>
      <c r="AC716" s="1277">
        <f>AC567-AB567</f>
        <v/>
      </c>
      <c r="AD716" s="1277">
        <f>AD567-AC567</f>
        <v/>
      </c>
      <c r="AE716" s="1277">
        <f>AE567-AD567</f>
        <v/>
      </c>
      <c r="AF716" s="1297">
        <f>AF567</f>
        <v/>
      </c>
      <c r="AG716" s="1277">
        <f>AG567</f>
        <v/>
      </c>
      <c r="AH716" s="1277">
        <f>AH567-AG567</f>
        <v/>
      </c>
      <c r="AI716" s="1277">
        <f>AI567-AH567</f>
        <v/>
      </c>
      <c r="AJ716" s="1277">
        <f>AJ567-AI567</f>
        <v/>
      </c>
      <c r="AK716" s="1297">
        <f>SUM(AG716,AH716,AI716,AJ716)</f>
        <v/>
      </c>
      <c r="AL716" s="1277">
        <f>AL567</f>
        <v/>
      </c>
      <c r="AM716" s="1277">
        <f>AM567-AL567</f>
        <v/>
      </c>
      <c r="AN716" s="1277">
        <f>AN567-AM567</f>
        <v/>
      </c>
      <c r="AO716" s="1277">
        <f>AO567-AN567</f>
        <v/>
      </c>
      <c r="AP716" s="1297">
        <f>SUM(AL716,AM716,AN716,AO716)</f>
        <v/>
      </c>
      <c r="AQ716" s="1277">
        <f>AQ567</f>
        <v/>
      </c>
      <c r="AR716" s="1277">
        <f>AR567-AQ567</f>
        <v/>
      </c>
      <c r="AS716" s="1277">
        <f>AS567-AR567</f>
        <v/>
      </c>
      <c r="AT716" s="1277">
        <f>AT567-AS567</f>
        <v/>
      </c>
      <c r="AU716" s="1297">
        <f>SUM(AQ716,AR716,AS716,AT716)</f>
        <v/>
      </c>
      <c r="AV716" s="1277">
        <f>AV567</f>
        <v/>
      </c>
      <c r="AW716" s="1277">
        <f>AW567-AV567</f>
        <v/>
      </c>
      <c r="AX716" s="1277">
        <f>AX567-AW567</f>
        <v/>
      </c>
      <c r="AY716" s="1277">
        <f>AY567-AX567</f>
        <v/>
      </c>
      <c r="AZ716" s="1297">
        <f>SUM(AV716,AW716,AX716,AY716)</f>
        <v/>
      </c>
      <c r="BA716" s="1277">
        <f>BA567</f>
        <v/>
      </c>
      <c r="BB716" s="1277">
        <f>BB567-BA567</f>
        <v/>
      </c>
      <c r="BC716" s="1277">
        <f>BC567-BB567</f>
        <v/>
      </c>
      <c r="BD716" s="1277">
        <f>BD567-BC567</f>
        <v/>
      </c>
      <c r="BE716" s="1297">
        <f>SUM(BA716,BB716,BC716,BD716)</f>
        <v/>
      </c>
      <c r="BF716" s="1277">
        <f>BF567</f>
        <v/>
      </c>
      <c r="BG716" s="1277">
        <f>BG567-BF567</f>
        <v/>
      </c>
      <c r="BH716" s="1277">
        <f>BH567-BG567</f>
        <v/>
      </c>
      <c r="BI716" s="1277">
        <f>BI567-BH567</f>
        <v/>
      </c>
      <c r="BJ716" s="1297">
        <f>SUM(BF716,BG716,BH716,BI716)</f>
        <v/>
      </c>
      <c r="BK716" s="1277">
        <f>BK567</f>
        <v/>
      </c>
      <c r="BL716" s="1277">
        <f>BL567-BK567</f>
        <v/>
      </c>
      <c r="BM716" s="1277">
        <f>BM567-BL567</f>
        <v/>
      </c>
      <c r="BN716" s="1277">
        <f>BN567-BM567</f>
        <v/>
      </c>
      <c r="BO716" s="1382">
        <f>SUM(BK716,BL716,BM716,BN716)</f>
        <v/>
      </c>
      <c r="BP716" s="1277" t="n"/>
      <c r="BQ716" s="1277" t="n"/>
      <c r="BR716" s="1277" t="n"/>
      <c r="BS716" s="1277" t="n"/>
      <c r="BT716" s="1297">
        <f>SUM(BP716,BQ716,BR716,BS716)</f>
        <v/>
      </c>
      <c r="BU716" s="1277" t="n"/>
      <c r="BV716" s="1277" t="n"/>
      <c r="BW716" s="1277" t="n"/>
      <c r="BX716" s="1277" t="n"/>
      <c r="BY716" s="1297">
        <f>SUM(BU716,BV716,BW716,BX716)</f>
        <v/>
      </c>
      <c r="BZ716" s="1297" t="n"/>
      <c r="CA716" s="1297" t="n"/>
      <c r="CB716" s="1297" t="n"/>
      <c r="CC716" s="1280" t="n"/>
    </row>
    <row r="717" ht="14.4" customFormat="1" customHeight="1" s="1275">
      <c r="A717" s="1384">
        <f>A568</f>
        <v/>
      </c>
      <c r="B717" s="1387" t="n"/>
      <c r="C717" s="1297">
        <f>C568</f>
        <v/>
      </c>
      <c r="D717" s="1297">
        <f>D568</f>
        <v/>
      </c>
      <c r="E717" s="1297">
        <f>E568</f>
        <v/>
      </c>
      <c r="F717" s="1297">
        <f>F568</f>
        <v/>
      </c>
      <c r="G717" s="1297">
        <f>G568</f>
        <v/>
      </c>
      <c r="H717" s="1277">
        <f>H568</f>
        <v/>
      </c>
      <c r="I717" s="1277">
        <f>I568-H568</f>
        <v/>
      </c>
      <c r="J717" s="1277">
        <f>J568-I568</f>
        <v/>
      </c>
      <c r="K717" s="1277">
        <f>K568-J568</f>
        <v/>
      </c>
      <c r="L717" s="1297">
        <f>L568</f>
        <v/>
      </c>
      <c r="M717" s="1277">
        <f>M568</f>
        <v/>
      </c>
      <c r="N717" s="1277">
        <f>N568-M568</f>
        <v/>
      </c>
      <c r="O717" s="1277">
        <f>O568-N568</f>
        <v/>
      </c>
      <c r="P717" s="1277">
        <f>P568-O568</f>
        <v/>
      </c>
      <c r="Q717" s="1297">
        <f>Q568</f>
        <v/>
      </c>
      <c r="R717" s="1277">
        <f>R568</f>
        <v/>
      </c>
      <c r="S717" s="1277">
        <f>S568-R568</f>
        <v/>
      </c>
      <c r="T717" s="1277">
        <f>T568-S568</f>
        <v/>
      </c>
      <c r="U717" s="1277">
        <f>U568-T568</f>
        <v/>
      </c>
      <c r="V717" s="1297">
        <f>V568</f>
        <v/>
      </c>
      <c r="W717" s="1277">
        <f>W568</f>
        <v/>
      </c>
      <c r="X717" s="1277">
        <f>X568-W568</f>
        <v/>
      </c>
      <c r="Y717" s="1277">
        <f>Y568-X568</f>
        <v/>
      </c>
      <c r="Z717" s="1277">
        <f>Z568-Y568</f>
        <v/>
      </c>
      <c r="AA717" s="1297">
        <f>AA568</f>
        <v/>
      </c>
      <c r="AB717" s="1277">
        <f>AB568</f>
        <v/>
      </c>
      <c r="AC717" s="1277">
        <f>AC568-AB568</f>
        <v/>
      </c>
      <c r="AD717" s="1277">
        <f>AD568-AC568</f>
        <v/>
      </c>
      <c r="AE717" s="1277">
        <f>AE568-AD568</f>
        <v/>
      </c>
      <c r="AF717" s="1297">
        <f>AF568</f>
        <v/>
      </c>
      <c r="AG717" s="1277">
        <f>AG568</f>
        <v/>
      </c>
      <c r="AH717" s="1277">
        <f>AH568-AG568</f>
        <v/>
      </c>
      <c r="AI717" s="1277">
        <f>AI568-AH568</f>
        <v/>
      </c>
      <c r="AJ717" s="1277">
        <f>AJ568-AI568</f>
        <v/>
      </c>
      <c r="AK717" s="1297">
        <f>SUM(AG717,AH717,AI717,AJ717)</f>
        <v/>
      </c>
      <c r="AL717" s="1277">
        <f>AL568</f>
        <v/>
      </c>
      <c r="AM717" s="1277">
        <f>AM568-AL568</f>
        <v/>
      </c>
      <c r="AN717" s="1277">
        <f>AN568-AM568</f>
        <v/>
      </c>
      <c r="AO717" s="1277">
        <f>AO568-AN568</f>
        <v/>
      </c>
      <c r="AP717" s="1297">
        <f>SUM(AL717,AM717,AN717,AO717)</f>
        <v/>
      </c>
      <c r="AQ717" s="1277">
        <f>AQ568</f>
        <v/>
      </c>
      <c r="AR717" s="1277">
        <f>AR568-AQ568</f>
        <v/>
      </c>
      <c r="AS717" s="1277">
        <f>AS568-AR568</f>
        <v/>
      </c>
      <c r="AT717" s="1277">
        <f>AT568-AS568</f>
        <v/>
      </c>
      <c r="AU717" s="1297">
        <f>SUM(AQ717,AR717,AS717,AT717)</f>
        <v/>
      </c>
      <c r="AV717" s="1277">
        <f>AV568</f>
        <v/>
      </c>
      <c r="AW717" s="1277">
        <f>AW568-AV568</f>
        <v/>
      </c>
      <c r="AX717" s="1277">
        <f>AX568-AW568</f>
        <v/>
      </c>
      <c r="AY717" s="1277">
        <f>AY568-AX568</f>
        <v/>
      </c>
      <c r="AZ717" s="1297">
        <f>SUM(AV717,AW717,AX717,AY717)</f>
        <v/>
      </c>
      <c r="BA717" s="1277">
        <f>BA568</f>
        <v/>
      </c>
      <c r="BB717" s="1277">
        <f>BB568-BA568</f>
        <v/>
      </c>
      <c r="BC717" s="1277">
        <f>BC568-BB568</f>
        <v/>
      </c>
      <c r="BD717" s="1277">
        <f>BD568-BC568</f>
        <v/>
      </c>
      <c r="BE717" s="1297">
        <f>SUM(BA717,BB717,BC717,BD717)</f>
        <v/>
      </c>
      <c r="BF717" s="1277">
        <f>BF568</f>
        <v/>
      </c>
      <c r="BG717" s="1277">
        <f>BG568-BF568</f>
        <v/>
      </c>
      <c r="BH717" s="1277">
        <f>BH568-BG568</f>
        <v/>
      </c>
      <c r="BI717" s="1277">
        <f>BI568-BH568</f>
        <v/>
      </c>
      <c r="BJ717" s="1297">
        <f>SUM(BF717,BG717,BH717,BI717)</f>
        <v/>
      </c>
      <c r="BK717" s="1277">
        <f>BK568</f>
        <v/>
      </c>
      <c r="BL717" s="1277">
        <f>BL568-BK568</f>
        <v/>
      </c>
      <c r="BM717" s="1277">
        <f>BM568-BL568</f>
        <v/>
      </c>
      <c r="BN717" s="1277">
        <f>BN568-BM568</f>
        <v/>
      </c>
      <c r="BO717" s="1382">
        <f>SUM(BK717,BL717,BM717,BN717)</f>
        <v/>
      </c>
      <c r="BP717" s="1277">
        <f>BO867-BP867</f>
        <v/>
      </c>
      <c r="BQ717" s="1277">
        <f>BP867-BQ867</f>
        <v/>
      </c>
      <c r="BR717" s="1277">
        <f>BQ867-BR867</f>
        <v/>
      </c>
      <c r="BS717" s="1277">
        <f>BR867-BS867</f>
        <v/>
      </c>
      <c r="BT717" s="1297">
        <f>SUM(BP717,BQ717,BR717,BS717)</f>
        <v/>
      </c>
      <c r="BU717" s="1277">
        <f>BT867-BU867</f>
        <v/>
      </c>
      <c r="BV717" s="1277">
        <f>BU867-BV867</f>
        <v/>
      </c>
      <c r="BW717" s="1277">
        <f>BV867-BW867</f>
        <v/>
      </c>
      <c r="BX717" s="1277">
        <f>BW867-BX867</f>
        <v/>
      </c>
      <c r="BY717" s="1297">
        <f>SUM(BU717,BV717,BW717,BX717)</f>
        <v/>
      </c>
      <c r="BZ717" s="1297">
        <f>BY867-BZ867</f>
        <v/>
      </c>
      <c r="CA717" s="1297">
        <f>BZ867-CA867</f>
        <v/>
      </c>
      <c r="CB717" s="1297">
        <f>CA867-CB867</f>
        <v/>
      </c>
      <c r="CC717" s="1280" t="n"/>
    </row>
    <row r="718" ht="14.4" customFormat="1" customHeight="1" s="1275">
      <c r="A718" s="1384">
        <f>A569</f>
        <v/>
      </c>
      <c r="B718" s="1387" t="n"/>
      <c r="C718" s="1297">
        <f>C569</f>
        <v/>
      </c>
      <c r="D718" s="1297">
        <f>D569</f>
        <v/>
      </c>
      <c r="E718" s="1297">
        <f>E569</f>
        <v/>
      </c>
      <c r="F718" s="1297">
        <f>F569</f>
        <v/>
      </c>
      <c r="G718" s="1297">
        <f>G569</f>
        <v/>
      </c>
      <c r="H718" s="1277">
        <f>H569</f>
        <v/>
      </c>
      <c r="I718" s="1277">
        <f>I569-H569</f>
        <v/>
      </c>
      <c r="J718" s="1277">
        <f>J569-I569</f>
        <v/>
      </c>
      <c r="K718" s="1277">
        <f>K569-J569</f>
        <v/>
      </c>
      <c r="L718" s="1297">
        <f>L569</f>
        <v/>
      </c>
      <c r="M718" s="1277">
        <f>M569</f>
        <v/>
      </c>
      <c r="N718" s="1277">
        <f>N569-M569</f>
        <v/>
      </c>
      <c r="O718" s="1277">
        <f>O569-N569</f>
        <v/>
      </c>
      <c r="P718" s="1277">
        <f>P569-O569</f>
        <v/>
      </c>
      <c r="Q718" s="1297">
        <f>Q569</f>
        <v/>
      </c>
      <c r="R718" s="1277">
        <f>R569</f>
        <v/>
      </c>
      <c r="S718" s="1277">
        <f>S569-R569</f>
        <v/>
      </c>
      <c r="T718" s="1277">
        <f>T569-S569</f>
        <v/>
      </c>
      <c r="U718" s="1277">
        <f>U569-T569</f>
        <v/>
      </c>
      <c r="V718" s="1297">
        <f>V569</f>
        <v/>
      </c>
      <c r="W718" s="1277">
        <f>W569</f>
        <v/>
      </c>
      <c r="X718" s="1277">
        <f>X569-W569</f>
        <v/>
      </c>
      <c r="Y718" s="1277">
        <f>Y569-X569</f>
        <v/>
      </c>
      <c r="Z718" s="1277">
        <f>Z569-Y569</f>
        <v/>
      </c>
      <c r="AA718" s="1297">
        <f>AA569</f>
        <v/>
      </c>
      <c r="AB718" s="1277">
        <f>AB569</f>
        <v/>
      </c>
      <c r="AC718" s="1277">
        <f>AC569-AB569</f>
        <v/>
      </c>
      <c r="AD718" s="1277">
        <f>AD569-AC569</f>
        <v/>
      </c>
      <c r="AE718" s="1277">
        <f>AE569-AD569</f>
        <v/>
      </c>
      <c r="AF718" s="1297">
        <f>AF569</f>
        <v/>
      </c>
      <c r="AG718" s="1277">
        <f>AG569</f>
        <v/>
      </c>
      <c r="AH718" s="1277">
        <f>AH569-AG569</f>
        <v/>
      </c>
      <c r="AI718" s="1277">
        <f>AI569-AH569</f>
        <v/>
      </c>
      <c r="AJ718" s="1277">
        <f>AJ569-AI569</f>
        <v/>
      </c>
      <c r="AK718" s="1297">
        <f>SUM(AG718,AH718,AI718,AJ718)</f>
        <v/>
      </c>
      <c r="AL718" s="1277">
        <f>AL569</f>
        <v/>
      </c>
      <c r="AM718" s="1277">
        <f>AM569-AL569</f>
        <v/>
      </c>
      <c r="AN718" s="1277">
        <f>AN569-AM569</f>
        <v/>
      </c>
      <c r="AO718" s="1277">
        <f>AO569-AN569</f>
        <v/>
      </c>
      <c r="AP718" s="1297">
        <f>SUM(AL718,AM718,AN718,AO718)</f>
        <v/>
      </c>
      <c r="AQ718" s="1277">
        <f>AQ569</f>
        <v/>
      </c>
      <c r="AR718" s="1277">
        <f>AR569-AQ569</f>
        <v/>
      </c>
      <c r="AS718" s="1277">
        <f>AS569-AR569</f>
        <v/>
      </c>
      <c r="AT718" s="1277">
        <f>AT569-AS569</f>
        <v/>
      </c>
      <c r="AU718" s="1297">
        <f>SUM(AQ718,AR718,AS718,AT718)</f>
        <v/>
      </c>
      <c r="AV718" s="1277">
        <f>AV569</f>
        <v/>
      </c>
      <c r="AW718" s="1277">
        <f>AW569-AV569</f>
        <v/>
      </c>
      <c r="AX718" s="1277">
        <f>AX569-AW569</f>
        <v/>
      </c>
      <c r="AY718" s="1277">
        <f>AY569-AX569</f>
        <v/>
      </c>
      <c r="AZ718" s="1297">
        <f>SUM(AV718,AW718,AX718,AY718)</f>
        <v/>
      </c>
      <c r="BA718" s="1277">
        <f>BA569</f>
        <v/>
      </c>
      <c r="BB718" s="1277">
        <f>BB569-BA569</f>
        <v/>
      </c>
      <c r="BC718" s="1277">
        <f>BC569-BB569</f>
        <v/>
      </c>
      <c r="BD718" s="1277">
        <f>BD569-BC569</f>
        <v/>
      </c>
      <c r="BE718" s="1297">
        <f>SUM(BA718,BB718,BC718,BD718)</f>
        <v/>
      </c>
      <c r="BF718" s="1277">
        <f>BF569</f>
        <v/>
      </c>
      <c r="BG718" s="1277">
        <f>BG569-BF569</f>
        <v/>
      </c>
      <c r="BH718" s="1277">
        <f>BH569-BG569</f>
        <v/>
      </c>
      <c r="BI718" s="1277">
        <f>BI569-BH569</f>
        <v/>
      </c>
      <c r="BJ718" s="1297">
        <f>SUM(BF718,BG718,BH718,BI718)</f>
        <v/>
      </c>
      <c r="BK718" s="1277">
        <f>BK569</f>
        <v/>
      </c>
      <c r="BL718" s="1277">
        <f>BL569-BK569</f>
        <v/>
      </c>
      <c r="BM718" s="1277">
        <f>BM569-BL569</f>
        <v/>
      </c>
      <c r="BN718" s="1277">
        <f>BN569-BM569</f>
        <v/>
      </c>
      <c r="BO718" s="1382">
        <f>SUM(BK718,BL718,BM718,BN718)</f>
        <v/>
      </c>
      <c r="BP718" s="1277" t="n"/>
      <c r="BQ718" s="1277" t="n"/>
      <c r="BR718" s="1277" t="n"/>
      <c r="BS718" s="1277" t="n"/>
      <c r="BT718" s="1297">
        <f>SUM(BP718,BQ718,BR718,BS718)</f>
        <v/>
      </c>
      <c r="BU718" s="1277" t="n"/>
      <c r="BV718" s="1277" t="n"/>
      <c r="BW718" s="1277" t="n"/>
      <c r="BX718" s="1277" t="n"/>
      <c r="BY718" s="1297">
        <f>SUM(BU718,BV718,BW718,BX718)</f>
        <v/>
      </c>
      <c r="BZ718" s="1297" t="n"/>
      <c r="CA718" s="1297" t="n"/>
      <c r="CB718" s="1297" t="n"/>
      <c r="CC718" s="1280" t="n"/>
    </row>
    <row r="719" ht="14.4" customFormat="1" customHeight="1" s="1275">
      <c r="A719" s="1384">
        <f>A570</f>
        <v/>
      </c>
      <c r="B719" s="1387" t="n"/>
      <c r="C719" s="1297">
        <f>C570</f>
        <v/>
      </c>
      <c r="D719" s="1297">
        <f>D570</f>
        <v/>
      </c>
      <c r="E719" s="1297">
        <f>E570</f>
        <v/>
      </c>
      <c r="F719" s="1297">
        <f>F570</f>
        <v/>
      </c>
      <c r="G719" s="1297">
        <f>G570</f>
        <v/>
      </c>
      <c r="H719" s="1277">
        <f>H570</f>
        <v/>
      </c>
      <c r="I719" s="1277">
        <f>I570-H570</f>
        <v/>
      </c>
      <c r="J719" s="1277">
        <f>J570-I570</f>
        <v/>
      </c>
      <c r="K719" s="1277">
        <f>K570-J570</f>
        <v/>
      </c>
      <c r="L719" s="1297">
        <f>L570</f>
        <v/>
      </c>
      <c r="M719" s="1277">
        <f>M570</f>
        <v/>
      </c>
      <c r="N719" s="1277">
        <f>N570-M570</f>
        <v/>
      </c>
      <c r="O719" s="1277">
        <f>O570-N570</f>
        <v/>
      </c>
      <c r="P719" s="1277">
        <f>P570-O570</f>
        <v/>
      </c>
      <c r="Q719" s="1297">
        <f>Q570</f>
        <v/>
      </c>
      <c r="R719" s="1277">
        <f>R570</f>
        <v/>
      </c>
      <c r="S719" s="1277">
        <f>S570-R570</f>
        <v/>
      </c>
      <c r="T719" s="1277">
        <f>T570-S570</f>
        <v/>
      </c>
      <c r="U719" s="1277">
        <f>U570-T570</f>
        <v/>
      </c>
      <c r="V719" s="1297">
        <f>V570</f>
        <v/>
      </c>
      <c r="W719" s="1277">
        <f>W570</f>
        <v/>
      </c>
      <c r="X719" s="1277">
        <f>X570-W570</f>
        <v/>
      </c>
      <c r="Y719" s="1277">
        <f>Y570-X570</f>
        <v/>
      </c>
      <c r="Z719" s="1277">
        <f>Z570-Y570</f>
        <v/>
      </c>
      <c r="AA719" s="1297">
        <f>AA570</f>
        <v/>
      </c>
      <c r="AB719" s="1277">
        <f>AB570</f>
        <v/>
      </c>
      <c r="AC719" s="1277">
        <f>AC570-AB570</f>
        <v/>
      </c>
      <c r="AD719" s="1277">
        <f>AD570-AC570</f>
        <v/>
      </c>
      <c r="AE719" s="1277">
        <f>AE570-AD570</f>
        <v/>
      </c>
      <c r="AF719" s="1297">
        <f>AF570</f>
        <v/>
      </c>
      <c r="AG719" s="1277">
        <f>AG570</f>
        <v/>
      </c>
      <c r="AH719" s="1277">
        <f>AH570-AG570</f>
        <v/>
      </c>
      <c r="AI719" s="1277">
        <f>AI570-AH570</f>
        <v/>
      </c>
      <c r="AJ719" s="1277">
        <f>AJ570-AI570</f>
        <v/>
      </c>
      <c r="AK719" s="1297">
        <f>SUM(AG719,AH719,AI719,AJ719)</f>
        <v/>
      </c>
      <c r="AL719" s="1277">
        <f>AL570</f>
        <v/>
      </c>
      <c r="AM719" s="1277">
        <f>AM570-AL570</f>
        <v/>
      </c>
      <c r="AN719" s="1277">
        <f>AN570-AM570</f>
        <v/>
      </c>
      <c r="AO719" s="1277">
        <f>AO570-AN570</f>
        <v/>
      </c>
      <c r="AP719" s="1297">
        <f>SUM(AL719,AM719,AN719,AO719)</f>
        <v/>
      </c>
      <c r="AQ719" s="1277">
        <f>AQ570</f>
        <v/>
      </c>
      <c r="AR719" s="1277">
        <f>AR570-AQ570</f>
        <v/>
      </c>
      <c r="AS719" s="1277">
        <f>AS570-AR570</f>
        <v/>
      </c>
      <c r="AT719" s="1277">
        <f>AT570-AS570</f>
        <v/>
      </c>
      <c r="AU719" s="1297">
        <f>SUM(AQ719,AR719,AS719,AT719)</f>
        <v/>
      </c>
      <c r="AV719" s="1277">
        <f>AV570</f>
        <v/>
      </c>
      <c r="AW719" s="1277">
        <f>AW570-AV570</f>
        <v/>
      </c>
      <c r="AX719" s="1277">
        <f>AX570-AW570</f>
        <v/>
      </c>
      <c r="AY719" s="1277">
        <f>AY570-AX570</f>
        <v/>
      </c>
      <c r="AZ719" s="1297">
        <f>SUM(AV719,AW719,AX719,AY719)</f>
        <v/>
      </c>
      <c r="BA719" s="1277">
        <f>BA570</f>
        <v/>
      </c>
      <c r="BB719" s="1277">
        <f>BB570-BA570</f>
        <v/>
      </c>
      <c r="BC719" s="1277">
        <f>BC570-BB570</f>
        <v/>
      </c>
      <c r="BD719" s="1277">
        <f>BD570-BC570</f>
        <v/>
      </c>
      <c r="BE719" s="1297">
        <f>SUM(BA719,BB719,BC719,BD719)</f>
        <v/>
      </c>
      <c r="BF719" s="1277">
        <f>BF570</f>
        <v/>
      </c>
      <c r="BG719" s="1277">
        <f>BG570-BF570</f>
        <v/>
      </c>
      <c r="BH719" s="1277">
        <f>BH570-BG570</f>
        <v/>
      </c>
      <c r="BI719" s="1277">
        <f>BI570-BH570</f>
        <v/>
      </c>
      <c r="BJ719" s="1297">
        <f>SUM(BF719,BG719,BH719,BI719)</f>
        <v/>
      </c>
      <c r="BK719" s="1277">
        <f>BK570</f>
        <v/>
      </c>
      <c r="BL719" s="1277">
        <f>BL570-BK570</f>
        <v/>
      </c>
      <c r="BM719" s="1277">
        <f>BM570-BL570</f>
        <v/>
      </c>
      <c r="BN719" s="1277">
        <f>BN570-BM570</f>
        <v/>
      </c>
      <c r="BO719" s="1382">
        <f>SUM(BK719,BL719,BM719,BN719)</f>
        <v/>
      </c>
      <c r="BP719" s="1277" t="n"/>
      <c r="BQ719" s="1277" t="n"/>
      <c r="BR719" s="1277" t="n"/>
      <c r="BS719" s="1277" t="n"/>
      <c r="BT719" s="1297">
        <f>SUM(BP719,BQ719,BR719,BS719)</f>
        <v/>
      </c>
      <c r="BU719" s="1277" t="n"/>
      <c r="BV719" s="1277" t="n"/>
      <c r="BW719" s="1277" t="n"/>
      <c r="BX719" s="1277" t="n"/>
      <c r="BY719" s="1297">
        <f>SUM(BU719,BV719,BW719,BX719)</f>
        <v/>
      </c>
      <c r="BZ719" s="1297" t="n"/>
      <c r="CA719" s="1297" t="n"/>
      <c r="CB719" s="1297" t="n"/>
      <c r="CC719" s="1280" t="n"/>
    </row>
    <row r="720" ht="14.4" customFormat="1" customHeight="1" s="1275">
      <c r="A720" s="1384">
        <f>A571</f>
        <v/>
      </c>
      <c r="B720" s="1387" t="n"/>
      <c r="C720" s="1297">
        <f>C571</f>
        <v/>
      </c>
      <c r="D720" s="1297">
        <f>D571</f>
        <v/>
      </c>
      <c r="E720" s="1297">
        <f>E571</f>
        <v/>
      </c>
      <c r="F720" s="1297">
        <f>F571</f>
        <v/>
      </c>
      <c r="G720" s="1297">
        <f>G571</f>
        <v/>
      </c>
      <c r="H720" s="1277">
        <f>H571</f>
        <v/>
      </c>
      <c r="I720" s="1277">
        <f>I571-H571</f>
        <v/>
      </c>
      <c r="J720" s="1277">
        <f>J571-I571</f>
        <v/>
      </c>
      <c r="K720" s="1277">
        <f>K571-J571</f>
        <v/>
      </c>
      <c r="L720" s="1297">
        <f>L571</f>
        <v/>
      </c>
      <c r="M720" s="1277">
        <f>M571</f>
        <v/>
      </c>
      <c r="N720" s="1277">
        <f>N571-M571</f>
        <v/>
      </c>
      <c r="O720" s="1277">
        <f>O571-N571</f>
        <v/>
      </c>
      <c r="P720" s="1277">
        <f>P571-O571</f>
        <v/>
      </c>
      <c r="Q720" s="1297">
        <f>Q571</f>
        <v/>
      </c>
      <c r="R720" s="1277">
        <f>R571</f>
        <v/>
      </c>
      <c r="S720" s="1277">
        <f>S571-R571</f>
        <v/>
      </c>
      <c r="T720" s="1277">
        <f>T571-S571</f>
        <v/>
      </c>
      <c r="U720" s="1277">
        <f>U571-T571</f>
        <v/>
      </c>
      <c r="V720" s="1297">
        <f>V571</f>
        <v/>
      </c>
      <c r="W720" s="1277">
        <f>W571</f>
        <v/>
      </c>
      <c r="X720" s="1277">
        <f>X571-W571</f>
        <v/>
      </c>
      <c r="Y720" s="1277">
        <f>Y571-X571</f>
        <v/>
      </c>
      <c r="Z720" s="1277">
        <f>Z571-Y571</f>
        <v/>
      </c>
      <c r="AA720" s="1297">
        <f>AA571</f>
        <v/>
      </c>
      <c r="AB720" s="1277">
        <f>AB571</f>
        <v/>
      </c>
      <c r="AC720" s="1277">
        <f>AC571-AB571</f>
        <v/>
      </c>
      <c r="AD720" s="1277">
        <f>AD571-AC571</f>
        <v/>
      </c>
      <c r="AE720" s="1277">
        <f>AE571-AD571</f>
        <v/>
      </c>
      <c r="AF720" s="1297">
        <f>AF571</f>
        <v/>
      </c>
      <c r="AG720" s="1277">
        <f>AG571</f>
        <v/>
      </c>
      <c r="AH720" s="1277">
        <f>AH571-AG571</f>
        <v/>
      </c>
      <c r="AI720" s="1277">
        <f>AI571-AH571</f>
        <v/>
      </c>
      <c r="AJ720" s="1277">
        <f>AJ571-AI571</f>
        <v/>
      </c>
      <c r="AK720" s="1297">
        <f>SUM(AG720,AH720,AI720,AJ720)</f>
        <v/>
      </c>
      <c r="AL720" s="1277">
        <f>AL571</f>
        <v/>
      </c>
      <c r="AM720" s="1277">
        <f>AM571-AL571</f>
        <v/>
      </c>
      <c r="AN720" s="1277">
        <f>AN571-AM571</f>
        <v/>
      </c>
      <c r="AO720" s="1277">
        <f>AO571-AN571</f>
        <v/>
      </c>
      <c r="AP720" s="1297">
        <f>SUM(AL720,AM720,AN720,AO720)</f>
        <v/>
      </c>
      <c r="AQ720" s="1277">
        <f>AQ571</f>
        <v/>
      </c>
      <c r="AR720" s="1277">
        <f>AR571-AQ571</f>
        <v/>
      </c>
      <c r="AS720" s="1277">
        <f>AS571-AR571</f>
        <v/>
      </c>
      <c r="AT720" s="1277">
        <f>AT571-AS571</f>
        <v/>
      </c>
      <c r="AU720" s="1297">
        <f>SUM(AQ720,AR720,AS720,AT720)</f>
        <v/>
      </c>
      <c r="AV720" s="1277">
        <f>AV571</f>
        <v/>
      </c>
      <c r="AW720" s="1277">
        <f>AW571-AV571</f>
        <v/>
      </c>
      <c r="AX720" s="1277">
        <f>AX571-AW571</f>
        <v/>
      </c>
      <c r="AY720" s="1277">
        <f>AY571-AX571</f>
        <v/>
      </c>
      <c r="AZ720" s="1297">
        <f>SUM(AV720,AW720,AX720,AY720)</f>
        <v/>
      </c>
      <c r="BA720" s="1277">
        <f>BA571</f>
        <v/>
      </c>
      <c r="BB720" s="1277">
        <f>BB571-BA571</f>
        <v/>
      </c>
      <c r="BC720" s="1277">
        <f>BC571-BB571</f>
        <v/>
      </c>
      <c r="BD720" s="1277">
        <f>BD571-BC571</f>
        <v/>
      </c>
      <c r="BE720" s="1297">
        <f>SUM(BA720,BB720,BC720,BD720)</f>
        <v/>
      </c>
      <c r="BF720" s="1277">
        <f>BF571</f>
        <v/>
      </c>
      <c r="BG720" s="1277">
        <f>BG571-BF571</f>
        <v/>
      </c>
      <c r="BH720" s="1277">
        <f>BH571-BG571</f>
        <v/>
      </c>
      <c r="BI720" s="1277">
        <f>BI571-BH571</f>
        <v/>
      </c>
      <c r="BJ720" s="1297">
        <f>SUM(BF720,BG720,BH720,BI720)</f>
        <v/>
      </c>
      <c r="BK720" s="1277">
        <f>BK571</f>
        <v/>
      </c>
      <c r="BL720" s="1277">
        <f>BL571-BK571</f>
        <v/>
      </c>
      <c r="BM720" s="1277">
        <f>BM571-BL571</f>
        <v/>
      </c>
      <c r="BN720" s="1277">
        <f>BN571-BM571</f>
        <v/>
      </c>
      <c r="BO720" s="1382">
        <f>SUM(BK720,BL720,BM720,BN720)</f>
        <v/>
      </c>
      <c r="BP720" s="1277">
        <f>BO871-BP871</f>
        <v/>
      </c>
      <c r="BQ720" s="1277">
        <f>BP871-BQ871</f>
        <v/>
      </c>
      <c r="BR720" s="1277">
        <f>BQ871-BR871</f>
        <v/>
      </c>
      <c r="BS720" s="1277">
        <f>BR871-BS871</f>
        <v/>
      </c>
      <c r="BT720" s="1297">
        <f>SUM(BP720,BQ720,BR720,BS720)</f>
        <v/>
      </c>
      <c r="BU720" s="1277">
        <f>BT871-BU871</f>
        <v/>
      </c>
      <c r="BV720" s="1277">
        <f>BU871-BV871</f>
        <v/>
      </c>
      <c r="BW720" s="1277">
        <f>BV871-BW871</f>
        <v/>
      </c>
      <c r="BX720" s="1277">
        <f>BW871-BX871</f>
        <v/>
      </c>
      <c r="BY720" s="1297">
        <f>SUM(BU720,BV720,BW720,BX720)</f>
        <v/>
      </c>
      <c r="BZ720" s="1297">
        <f>BY871-BZ871</f>
        <v/>
      </c>
      <c r="CA720" s="1297">
        <f>BZ871-CA871</f>
        <v/>
      </c>
      <c r="CB720" s="1297">
        <f>CA871-CB871</f>
        <v/>
      </c>
      <c r="CC720" s="1280" t="n"/>
    </row>
    <row r="721" ht="14.4" customFormat="1" customHeight="1" s="1275">
      <c r="A721" s="1384">
        <f>A572</f>
        <v/>
      </c>
      <c r="B721" s="1387" t="n"/>
      <c r="C721" s="1297">
        <f>C572</f>
        <v/>
      </c>
      <c r="D721" s="1297">
        <f>D572</f>
        <v/>
      </c>
      <c r="E721" s="1297">
        <f>E572</f>
        <v/>
      </c>
      <c r="F721" s="1297">
        <f>F572</f>
        <v/>
      </c>
      <c r="G721" s="1297">
        <f>G572</f>
        <v/>
      </c>
      <c r="H721" s="1277">
        <f>H572</f>
        <v/>
      </c>
      <c r="I721" s="1277">
        <f>I572-H572</f>
        <v/>
      </c>
      <c r="J721" s="1277">
        <f>J572-I572</f>
        <v/>
      </c>
      <c r="K721" s="1277">
        <f>K572-J572</f>
        <v/>
      </c>
      <c r="L721" s="1297">
        <f>L572</f>
        <v/>
      </c>
      <c r="M721" s="1277">
        <f>M572</f>
        <v/>
      </c>
      <c r="N721" s="1277">
        <f>N572-M572</f>
        <v/>
      </c>
      <c r="O721" s="1277">
        <f>O572-N572</f>
        <v/>
      </c>
      <c r="P721" s="1277">
        <f>P572-O572</f>
        <v/>
      </c>
      <c r="Q721" s="1297">
        <f>Q572</f>
        <v/>
      </c>
      <c r="R721" s="1277">
        <f>R572</f>
        <v/>
      </c>
      <c r="S721" s="1277">
        <f>S572-R572</f>
        <v/>
      </c>
      <c r="T721" s="1277">
        <f>T572-S572</f>
        <v/>
      </c>
      <c r="U721" s="1277">
        <f>U572-T572</f>
        <v/>
      </c>
      <c r="V721" s="1297">
        <f>V572</f>
        <v/>
      </c>
      <c r="W721" s="1277">
        <f>W572</f>
        <v/>
      </c>
      <c r="X721" s="1277">
        <f>X572-W572</f>
        <v/>
      </c>
      <c r="Y721" s="1277">
        <f>Y572-X572</f>
        <v/>
      </c>
      <c r="Z721" s="1277">
        <f>Z572-Y572</f>
        <v/>
      </c>
      <c r="AA721" s="1297">
        <f>AA572</f>
        <v/>
      </c>
      <c r="AB721" s="1277">
        <f>AB572</f>
        <v/>
      </c>
      <c r="AC721" s="1277">
        <f>AC572-AB572</f>
        <v/>
      </c>
      <c r="AD721" s="1277">
        <f>AD572-AC572</f>
        <v/>
      </c>
      <c r="AE721" s="1277">
        <f>AE572-AD572</f>
        <v/>
      </c>
      <c r="AF721" s="1297">
        <f>AF572</f>
        <v/>
      </c>
      <c r="AG721" s="1277">
        <f>AG572</f>
        <v/>
      </c>
      <c r="AH721" s="1277">
        <f>AH572-AG572</f>
        <v/>
      </c>
      <c r="AI721" s="1277">
        <f>AI572-AH572</f>
        <v/>
      </c>
      <c r="AJ721" s="1277">
        <f>AJ572-AI572</f>
        <v/>
      </c>
      <c r="AK721" s="1297">
        <f>SUM(AG721,AH721,AI721,AJ721)</f>
        <v/>
      </c>
      <c r="AL721" s="1277">
        <f>AL572</f>
        <v/>
      </c>
      <c r="AM721" s="1277">
        <f>AM572-AL572</f>
        <v/>
      </c>
      <c r="AN721" s="1277">
        <f>AN572-AM572</f>
        <v/>
      </c>
      <c r="AO721" s="1277">
        <f>AO572-AN572</f>
        <v/>
      </c>
      <c r="AP721" s="1297">
        <f>SUM(AL721,AM721,AN721,AO721)</f>
        <v/>
      </c>
      <c r="AQ721" s="1277">
        <f>AQ572</f>
        <v/>
      </c>
      <c r="AR721" s="1277">
        <f>AR572-AQ572</f>
        <v/>
      </c>
      <c r="AS721" s="1277">
        <f>AS572-AR572</f>
        <v/>
      </c>
      <c r="AT721" s="1277">
        <f>AT572-AS572</f>
        <v/>
      </c>
      <c r="AU721" s="1297">
        <f>SUM(AQ721,AR721,AS721,AT721)</f>
        <v/>
      </c>
      <c r="AV721" s="1277">
        <f>AV572</f>
        <v/>
      </c>
      <c r="AW721" s="1277">
        <f>AW572-AV572</f>
        <v/>
      </c>
      <c r="AX721" s="1277">
        <f>AX572-AW572</f>
        <v/>
      </c>
      <c r="AY721" s="1277">
        <f>AY572-AX572</f>
        <v/>
      </c>
      <c r="AZ721" s="1297">
        <f>SUM(AV721,AW721,AX721,AY721)</f>
        <v/>
      </c>
      <c r="BA721" s="1277">
        <f>BA572</f>
        <v/>
      </c>
      <c r="BB721" s="1277">
        <f>BB572-BA572</f>
        <v/>
      </c>
      <c r="BC721" s="1277">
        <f>BC572-BB572</f>
        <v/>
      </c>
      <c r="BD721" s="1277">
        <f>BD572-BC572</f>
        <v/>
      </c>
      <c r="BE721" s="1297">
        <f>SUM(BA721,BB721,BC721,BD721)</f>
        <v/>
      </c>
      <c r="BF721" s="1277">
        <f>BF572</f>
        <v/>
      </c>
      <c r="BG721" s="1277">
        <f>BG572-BF572</f>
        <v/>
      </c>
      <c r="BH721" s="1277">
        <f>BH572-BG572</f>
        <v/>
      </c>
      <c r="BI721" s="1277">
        <f>BI572-BH572</f>
        <v/>
      </c>
      <c r="BJ721" s="1297">
        <f>SUM(BF721,BG721,BH721,BI721)</f>
        <v/>
      </c>
      <c r="BK721" s="1277">
        <f>BK572</f>
        <v/>
      </c>
      <c r="BL721" s="1277">
        <f>BL572-BK572</f>
        <v/>
      </c>
      <c r="BM721" s="1277">
        <f>BM572-BL572</f>
        <v/>
      </c>
      <c r="BN721" s="1277">
        <f>BN572-BM572</f>
        <v/>
      </c>
      <c r="BO721" s="1382">
        <f>SUM(BK721,BL721,BM721,BN721)</f>
        <v/>
      </c>
      <c r="BP721" s="1277" t="n"/>
      <c r="BQ721" s="1277" t="n"/>
      <c r="BR721" s="1277" t="n"/>
      <c r="BS721" s="1277" t="n"/>
      <c r="BT721" s="1297">
        <f>SUM(BP721,BQ721,BR721,BS721)</f>
        <v/>
      </c>
      <c r="BU721" s="1277" t="n"/>
      <c r="BV721" s="1277" t="n"/>
      <c r="BW721" s="1277" t="n"/>
      <c r="BX721" s="1277" t="n"/>
      <c r="BY721" s="1297">
        <f>SUM(BU721,BV721,BW721,BX721)</f>
        <v/>
      </c>
      <c r="BZ721" s="1297" t="n"/>
      <c r="CA721" s="1297" t="n"/>
      <c r="CB721" s="1297" t="n"/>
      <c r="CC721" s="1280" t="n"/>
    </row>
    <row r="722" ht="14.4" customFormat="1" customHeight="1" s="1275">
      <c r="A722" s="1384">
        <f>A573</f>
        <v/>
      </c>
      <c r="B722" s="1387" t="n"/>
      <c r="C722" s="1297">
        <f>C573</f>
        <v/>
      </c>
      <c r="D722" s="1297">
        <f>D573</f>
        <v/>
      </c>
      <c r="E722" s="1297">
        <f>E573</f>
        <v/>
      </c>
      <c r="F722" s="1297">
        <f>F573</f>
        <v/>
      </c>
      <c r="G722" s="1297">
        <f>G573</f>
        <v/>
      </c>
      <c r="H722" s="1277">
        <f>H573</f>
        <v/>
      </c>
      <c r="I722" s="1277">
        <f>I573-H573</f>
        <v/>
      </c>
      <c r="J722" s="1277">
        <f>J573-I573</f>
        <v/>
      </c>
      <c r="K722" s="1277">
        <f>K573-J573</f>
        <v/>
      </c>
      <c r="L722" s="1297">
        <f>L573</f>
        <v/>
      </c>
      <c r="M722" s="1277">
        <f>M573</f>
        <v/>
      </c>
      <c r="N722" s="1277">
        <f>N573-M573</f>
        <v/>
      </c>
      <c r="O722" s="1277">
        <f>O573-N573</f>
        <v/>
      </c>
      <c r="P722" s="1277">
        <f>P573-O573</f>
        <v/>
      </c>
      <c r="Q722" s="1297">
        <f>Q573</f>
        <v/>
      </c>
      <c r="R722" s="1277">
        <f>R573</f>
        <v/>
      </c>
      <c r="S722" s="1277">
        <f>S573-R573</f>
        <v/>
      </c>
      <c r="T722" s="1277">
        <f>T573-S573</f>
        <v/>
      </c>
      <c r="U722" s="1277">
        <f>U573-T573</f>
        <v/>
      </c>
      <c r="V722" s="1297">
        <f>V573</f>
        <v/>
      </c>
      <c r="W722" s="1277">
        <f>W573</f>
        <v/>
      </c>
      <c r="X722" s="1277">
        <f>X573-W573</f>
        <v/>
      </c>
      <c r="Y722" s="1277">
        <f>Y573-X573</f>
        <v/>
      </c>
      <c r="Z722" s="1277">
        <f>Z573-Y573</f>
        <v/>
      </c>
      <c r="AA722" s="1297">
        <f>AA573</f>
        <v/>
      </c>
      <c r="AB722" s="1277">
        <f>AB573</f>
        <v/>
      </c>
      <c r="AC722" s="1277">
        <f>AC573-AB573</f>
        <v/>
      </c>
      <c r="AD722" s="1277">
        <f>AD573-AC573</f>
        <v/>
      </c>
      <c r="AE722" s="1277">
        <f>AE573-AD573</f>
        <v/>
      </c>
      <c r="AF722" s="1297">
        <f>AF573</f>
        <v/>
      </c>
      <c r="AG722" s="1277">
        <f>AG573</f>
        <v/>
      </c>
      <c r="AH722" s="1277">
        <f>AH573-AG573</f>
        <v/>
      </c>
      <c r="AI722" s="1277">
        <f>AI573-AH573</f>
        <v/>
      </c>
      <c r="AJ722" s="1277">
        <f>AJ573-AI573</f>
        <v/>
      </c>
      <c r="AK722" s="1297">
        <f>SUM(AG722,AH722,AI722,AJ722)</f>
        <v/>
      </c>
      <c r="AL722" s="1277">
        <f>AL573</f>
        <v/>
      </c>
      <c r="AM722" s="1277">
        <f>AM573-AL573</f>
        <v/>
      </c>
      <c r="AN722" s="1277">
        <f>AN573-AM573</f>
        <v/>
      </c>
      <c r="AO722" s="1277">
        <f>AO573-AN573</f>
        <v/>
      </c>
      <c r="AP722" s="1297">
        <f>SUM(AL722,AM722,AN722,AO722)</f>
        <v/>
      </c>
      <c r="AQ722" s="1277">
        <f>AQ573</f>
        <v/>
      </c>
      <c r="AR722" s="1277">
        <f>AR573-AQ573</f>
        <v/>
      </c>
      <c r="AS722" s="1277">
        <f>AS573-AR573</f>
        <v/>
      </c>
      <c r="AT722" s="1277">
        <f>AT573-AS573</f>
        <v/>
      </c>
      <c r="AU722" s="1297">
        <f>SUM(AQ722,AR722,AS722,AT722)</f>
        <v/>
      </c>
      <c r="AV722" s="1277">
        <f>AV573</f>
        <v/>
      </c>
      <c r="AW722" s="1277">
        <f>AW573-AV573</f>
        <v/>
      </c>
      <c r="AX722" s="1277">
        <f>AX573-AW573</f>
        <v/>
      </c>
      <c r="AY722" s="1277">
        <f>AY573-AX573</f>
        <v/>
      </c>
      <c r="AZ722" s="1297">
        <f>SUM(AV722,AW722,AX722,AY722)</f>
        <v/>
      </c>
      <c r="BA722" s="1277">
        <f>BA573</f>
        <v/>
      </c>
      <c r="BB722" s="1277">
        <f>BB573-BA573</f>
        <v/>
      </c>
      <c r="BC722" s="1277">
        <f>BC573-BB573</f>
        <v/>
      </c>
      <c r="BD722" s="1277">
        <f>BD573-BC573</f>
        <v/>
      </c>
      <c r="BE722" s="1297">
        <f>SUM(BA722,BB722,BC722,BD722)</f>
        <v/>
      </c>
      <c r="BF722" s="1277">
        <f>BF573</f>
        <v/>
      </c>
      <c r="BG722" s="1277">
        <f>BG573-BF573</f>
        <v/>
      </c>
      <c r="BH722" s="1277">
        <f>BH573-BG573</f>
        <v/>
      </c>
      <c r="BI722" s="1277">
        <f>BI573-BH573</f>
        <v/>
      </c>
      <c r="BJ722" s="1297">
        <f>SUM(BF722,BG722,BH722,BI722)</f>
        <v/>
      </c>
      <c r="BK722" s="1277">
        <f>BK573</f>
        <v/>
      </c>
      <c r="BL722" s="1277">
        <f>BL573-BK573</f>
        <v/>
      </c>
      <c r="BM722" s="1277">
        <f>BM573-BL573</f>
        <v/>
      </c>
      <c r="BN722" s="1277">
        <f>BN573-BM573</f>
        <v/>
      </c>
      <c r="BO722" s="1382">
        <f>SUM(BK722,BL722,BM722,BN722)</f>
        <v/>
      </c>
      <c r="BP722" s="1277">
        <f>BO860-BP860</f>
        <v/>
      </c>
      <c r="BQ722" s="1277">
        <f>BP860-BQ860</f>
        <v/>
      </c>
      <c r="BR722" s="1277">
        <f>BQ860-BR860</f>
        <v/>
      </c>
      <c r="BS722" s="1277">
        <f>BR860-BS860</f>
        <v/>
      </c>
      <c r="BT722" s="1297">
        <f>SUM(BP722,BQ722,BR722,BS722)</f>
        <v/>
      </c>
      <c r="BU722" s="1277">
        <f>BT860-BU860</f>
        <v/>
      </c>
      <c r="BV722" s="1277">
        <f>BU860-BV860</f>
        <v/>
      </c>
      <c r="BW722" s="1277">
        <f>BV860-BW860</f>
        <v/>
      </c>
      <c r="BX722" s="1277">
        <f>BW860-BX860</f>
        <v/>
      </c>
      <c r="BY722" s="1297">
        <f>SUM(BU722,BV722,BW722,BX722)</f>
        <v/>
      </c>
      <c r="BZ722" s="1297">
        <f>BY860-BZ860</f>
        <v/>
      </c>
      <c r="CA722" s="1297">
        <f>BZ860-CA860</f>
        <v/>
      </c>
      <c r="CB722" s="1297">
        <f>CA860-CB860</f>
        <v/>
      </c>
      <c r="CC722" s="1280" t="n"/>
    </row>
    <row r="723" ht="14.4" customFormat="1" customHeight="1" s="1275">
      <c r="A723" s="1384">
        <f>A574</f>
        <v/>
      </c>
      <c r="B723" s="1387" t="n"/>
      <c r="C723" s="1297">
        <f>C574</f>
        <v/>
      </c>
      <c r="D723" s="1297">
        <f>D574</f>
        <v/>
      </c>
      <c r="E723" s="1297">
        <f>E574</f>
        <v/>
      </c>
      <c r="F723" s="1297">
        <f>F574</f>
        <v/>
      </c>
      <c r="G723" s="1297">
        <f>G574</f>
        <v/>
      </c>
      <c r="H723" s="1277">
        <f>H574</f>
        <v/>
      </c>
      <c r="I723" s="1277">
        <f>I574-H574</f>
        <v/>
      </c>
      <c r="J723" s="1277">
        <f>J574-I574</f>
        <v/>
      </c>
      <c r="K723" s="1277">
        <f>K574-J574</f>
        <v/>
      </c>
      <c r="L723" s="1297">
        <f>L574</f>
        <v/>
      </c>
      <c r="M723" s="1277">
        <f>M574</f>
        <v/>
      </c>
      <c r="N723" s="1277">
        <f>N574-M574</f>
        <v/>
      </c>
      <c r="O723" s="1277">
        <f>O574-N574</f>
        <v/>
      </c>
      <c r="P723" s="1277">
        <f>P574-O574</f>
        <v/>
      </c>
      <c r="Q723" s="1297">
        <f>Q574</f>
        <v/>
      </c>
      <c r="R723" s="1277">
        <f>R574</f>
        <v/>
      </c>
      <c r="S723" s="1277">
        <f>S574-R574</f>
        <v/>
      </c>
      <c r="T723" s="1277">
        <f>T574-S574</f>
        <v/>
      </c>
      <c r="U723" s="1277">
        <f>U574-T574</f>
        <v/>
      </c>
      <c r="V723" s="1297">
        <f>V574</f>
        <v/>
      </c>
      <c r="W723" s="1277">
        <f>W574</f>
        <v/>
      </c>
      <c r="X723" s="1277">
        <f>X574-W574</f>
        <v/>
      </c>
      <c r="Y723" s="1277">
        <f>Y574-X574</f>
        <v/>
      </c>
      <c r="Z723" s="1277">
        <f>Z574-Y574</f>
        <v/>
      </c>
      <c r="AA723" s="1297">
        <f>AA574</f>
        <v/>
      </c>
      <c r="AB723" s="1277">
        <f>AB574</f>
        <v/>
      </c>
      <c r="AC723" s="1277">
        <f>AC574-AB574</f>
        <v/>
      </c>
      <c r="AD723" s="1277">
        <f>AD574-AC574</f>
        <v/>
      </c>
      <c r="AE723" s="1277">
        <f>AE574-AD574</f>
        <v/>
      </c>
      <c r="AF723" s="1297">
        <f>AF574</f>
        <v/>
      </c>
      <c r="AG723" s="1277">
        <f>AG574</f>
        <v/>
      </c>
      <c r="AH723" s="1277">
        <f>AH574-AG574</f>
        <v/>
      </c>
      <c r="AI723" s="1277">
        <f>AI574-AH574</f>
        <v/>
      </c>
      <c r="AJ723" s="1277">
        <f>AJ574-AI574</f>
        <v/>
      </c>
      <c r="AK723" s="1297">
        <f>SUM(AG723,AH723,AI723,AJ723)</f>
        <v/>
      </c>
      <c r="AL723" s="1277">
        <f>AL574</f>
        <v/>
      </c>
      <c r="AM723" s="1277">
        <f>AM574-AL574</f>
        <v/>
      </c>
      <c r="AN723" s="1277">
        <f>AN574-AM574</f>
        <v/>
      </c>
      <c r="AO723" s="1277">
        <f>AO574-AN574</f>
        <v/>
      </c>
      <c r="AP723" s="1297">
        <f>SUM(AL723,AM723,AN723,AO723)</f>
        <v/>
      </c>
      <c r="AQ723" s="1277">
        <f>AQ574</f>
        <v/>
      </c>
      <c r="AR723" s="1277">
        <f>AR574-AQ574</f>
        <v/>
      </c>
      <c r="AS723" s="1277">
        <f>AS574-AR574</f>
        <v/>
      </c>
      <c r="AT723" s="1277">
        <f>AT574-AS574</f>
        <v/>
      </c>
      <c r="AU723" s="1297">
        <f>SUM(AQ723,AR723,AS723,AT723)</f>
        <v/>
      </c>
      <c r="AV723" s="1277">
        <f>AV574</f>
        <v/>
      </c>
      <c r="AW723" s="1277">
        <f>AW574-AV574</f>
        <v/>
      </c>
      <c r="AX723" s="1277">
        <f>AX574-AW574</f>
        <v/>
      </c>
      <c r="AY723" s="1277">
        <f>AY574-AX574</f>
        <v/>
      </c>
      <c r="AZ723" s="1297">
        <f>SUM(AV723,AW723,AX723,AY723)</f>
        <v/>
      </c>
      <c r="BA723" s="1277">
        <f>BA574</f>
        <v/>
      </c>
      <c r="BB723" s="1277">
        <f>BB574-BA574</f>
        <v/>
      </c>
      <c r="BC723" s="1277">
        <f>BC574-BB574</f>
        <v/>
      </c>
      <c r="BD723" s="1277">
        <f>BD574-BC574</f>
        <v/>
      </c>
      <c r="BE723" s="1297">
        <f>SUM(BA723,BB723,BC723,BD723)</f>
        <v/>
      </c>
      <c r="BF723" s="1277">
        <f>BF574</f>
        <v/>
      </c>
      <c r="BG723" s="1277">
        <f>BG574-BF574</f>
        <v/>
      </c>
      <c r="BH723" s="1277">
        <f>BH574-BG574</f>
        <v/>
      </c>
      <c r="BI723" s="1277">
        <f>BI574-BH574</f>
        <v/>
      </c>
      <c r="BJ723" s="1297">
        <f>SUM(BF723,BG723,BH723,BI723)</f>
        <v/>
      </c>
      <c r="BK723" s="1277">
        <f>BK574</f>
        <v/>
      </c>
      <c r="BL723" s="1277">
        <f>BL574-BK574</f>
        <v/>
      </c>
      <c r="BM723" s="1277">
        <f>BM574-BL574</f>
        <v/>
      </c>
      <c r="BN723" s="1277">
        <f>BN574-BM574</f>
        <v/>
      </c>
      <c r="BO723" s="1382">
        <f>SUM(BK723,BL723,BM723,BN723)</f>
        <v/>
      </c>
      <c r="BP723" s="1277" t="n"/>
      <c r="BQ723" s="1277" t="n"/>
      <c r="BR723" s="1277" t="n"/>
      <c r="BS723" s="1277" t="n"/>
      <c r="BT723" s="1297">
        <f>SUM(BP723,BQ723,BR723,BS723)</f>
        <v/>
      </c>
      <c r="BU723" s="1277" t="n"/>
      <c r="BV723" s="1277" t="n"/>
      <c r="BW723" s="1277" t="n"/>
      <c r="BX723" s="1277" t="n"/>
      <c r="BY723" s="1297">
        <f>SUM(BU723,BV723,BW723,BX723)</f>
        <v/>
      </c>
      <c r="BZ723" s="1297" t="n"/>
      <c r="CA723" s="1297" t="n"/>
      <c r="CB723" s="1297" t="n"/>
      <c r="CC723" s="1280" t="n"/>
    </row>
    <row r="724" ht="14.4" customFormat="1" customHeight="1" s="1275">
      <c r="A724" s="1384">
        <f>A575</f>
        <v/>
      </c>
      <c r="B724" s="1387" t="n"/>
      <c r="C724" s="1297">
        <f>C575</f>
        <v/>
      </c>
      <c r="D724" s="1297">
        <f>D575</f>
        <v/>
      </c>
      <c r="E724" s="1297">
        <f>E575</f>
        <v/>
      </c>
      <c r="F724" s="1297">
        <f>F575</f>
        <v/>
      </c>
      <c r="G724" s="1297">
        <f>G575</f>
        <v/>
      </c>
      <c r="H724" s="1277">
        <f>H575</f>
        <v/>
      </c>
      <c r="I724" s="1277">
        <f>I575-H575</f>
        <v/>
      </c>
      <c r="J724" s="1277">
        <f>J575-I575</f>
        <v/>
      </c>
      <c r="K724" s="1277">
        <f>K575-J575</f>
        <v/>
      </c>
      <c r="L724" s="1297">
        <f>L575</f>
        <v/>
      </c>
      <c r="M724" s="1277">
        <f>M575</f>
        <v/>
      </c>
      <c r="N724" s="1277">
        <f>N575-M575</f>
        <v/>
      </c>
      <c r="O724" s="1277">
        <f>O575-N575</f>
        <v/>
      </c>
      <c r="P724" s="1277">
        <f>P575-O575</f>
        <v/>
      </c>
      <c r="Q724" s="1297">
        <f>Q575</f>
        <v/>
      </c>
      <c r="R724" s="1277">
        <f>R575</f>
        <v/>
      </c>
      <c r="S724" s="1277">
        <f>S575-R575</f>
        <v/>
      </c>
      <c r="T724" s="1277">
        <f>T575-S575</f>
        <v/>
      </c>
      <c r="U724" s="1277">
        <f>U575-T575</f>
        <v/>
      </c>
      <c r="V724" s="1297">
        <f>V575</f>
        <v/>
      </c>
      <c r="W724" s="1277">
        <f>W575</f>
        <v/>
      </c>
      <c r="X724" s="1277">
        <f>X575-W575</f>
        <v/>
      </c>
      <c r="Y724" s="1277">
        <f>Y575-X575</f>
        <v/>
      </c>
      <c r="Z724" s="1277">
        <f>Z575-Y575</f>
        <v/>
      </c>
      <c r="AA724" s="1297">
        <f>AA575</f>
        <v/>
      </c>
      <c r="AB724" s="1277">
        <f>AB575</f>
        <v/>
      </c>
      <c r="AC724" s="1277">
        <f>AC575-AB575</f>
        <v/>
      </c>
      <c r="AD724" s="1277">
        <f>AD575-AC575</f>
        <v/>
      </c>
      <c r="AE724" s="1277">
        <f>AE575-AD575</f>
        <v/>
      </c>
      <c r="AF724" s="1297">
        <f>AF575</f>
        <v/>
      </c>
      <c r="AG724" s="1277">
        <f>AG575</f>
        <v/>
      </c>
      <c r="AH724" s="1277">
        <f>AH575-AG575</f>
        <v/>
      </c>
      <c r="AI724" s="1277">
        <f>AI575-AH575</f>
        <v/>
      </c>
      <c r="AJ724" s="1277">
        <f>AJ575-AI575</f>
        <v/>
      </c>
      <c r="AK724" s="1297">
        <f>SUM(AG724,AH724,AI724,AJ724)</f>
        <v/>
      </c>
      <c r="AL724" s="1277">
        <f>AL575</f>
        <v/>
      </c>
      <c r="AM724" s="1277">
        <f>AM575-AL575</f>
        <v/>
      </c>
      <c r="AN724" s="1277">
        <f>AN575-AM575</f>
        <v/>
      </c>
      <c r="AO724" s="1277">
        <f>AO575-AN575</f>
        <v/>
      </c>
      <c r="AP724" s="1297">
        <f>SUM(AL724,AM724,AN724,AO724)</f>
        <v/>
      </c>
      <c r="AQ724" s="1277">
        <f>AQ575</f>
        <v/>
      </c>
      <c r="AR724" s="1277">
        <f>AR575-AQ575</f>
        <v/>
      </c>
      <c r="AS724" s="1277">
        <f>AS575-AR575</f>
        <v/>
      </c>
      <c r="AT724" s="1277">
        <f>AT575-AS575</f>
        <v/>
      </c>
      <c r="AU724" s="1297">
        <f>SUM(AQ724,AR724,AS724,AT724)</f>
        <v/>
      </c>
      <c r="AV724" s="1277">
        <f>AV575</f>
        <v/>
      </c>
      <c r="AW724" s="1277">
        <f>AW575-AV575</f>
        <v/>
      </c>
      <c r="AX724" s="1277">
        <f>AX575-AW575</f>
        <v/>
      </c>
      <c r="AY724" s="1277">
        <f>AY575-AX575</f>
        <v/>
      </c>
      <c r="AZ724" s="1297">
        <f>SUM(AV724,AW724,AX724,AY724)</f>
        <v/>
      </c>
      <c r="BA724" s="1277">
        <f>BA575</f>
        <v/>
      </c>
      <c r="BB724" s="1277">
        <f>BB575-BA575</f>
        <v/>
      </c>
      <c r="BC724" s="1277">
        <f>BC575-BB575</f>
        <v/>
      </c>
      <c r="BD724" s="1277">
        <f>BD575-BC575</f>
        <v/>
      </c>
      <c r="BE724" s="1297">
        <f>SUM(BA724,BB724,BC724,BD724)</f>
        <v/>
      </c>
      <c r="BF724" s="1277">
        <f>BF575</f>
        <v/>
      </c>
      <c r="BG724" s="1277">
        <f>BG575-BF575</f>
        <v/>
      </c>
      <c r="BH724" s="1277">
        <f>BH575-BG575</f>
        <v/>
      </c>
      <c r="BI724" s="1277">
        <f>BI575-BH575</f>
        <v/>
      </c>
      <c r="BJ724" s="1297">
        <f>SUM(BF724,BG724,BH724,BI724)</f>
        <v/>
      </c>
      <c r="BK724" s="1277">
        <f>BK575</f>
        <v/>
      </c>
      <c r="BL724" s="1277">
        <f>BL575-BK575</f>
        <v/>
      </c>
      <c r="BM724" s="1277">
        <f>BM575-BL575</f>
        <v/>
      </c>
      <c r="BN724" s="1277">
        <f>BN575-BM575</f>
        <v/>
      </c>
      <c r="BO724" s="1382">
        <f>SUM(BK724,BL724,BM724,BN724)</f>
        <v/>
      </c>
      <c r="BP724" s="1277" t="n"/>
      <c r="BQ724" s="1277" t="n"/>
      <c r="BR724" s="1277" t="n"/>
      <c r="BS724" s="1277" t="n"/>
      <c r="BT724" s="1297">
        <f>SUM(BP724,BQ724,BR724,BS724)</f>
        <v/>
      </c>
      <c r="BU724" s="1277" t="n"/>
      <c r="BV724" s="1277" t="n"/>
      <c r="BW724" s="1277" t="n"/>
      <c r="BX724" s="1277" t="n"/>
      <c r="BY724" s="1297">
        <f>SUM(BU724,BV724,BW724,BX724)</f>
        <v/>
      </c>
      <c r="BZ724" s="1297" t="n"/>
      <c r="CA724" s="1297" t="n"/>
      <c r="CB724" s="1297" t="n"/>
      <c r="CC724" s="1280" t="n"/>
    </row>
    <row r="725" ht="14.4" customFormat="1" customHeight="1" s="1275">
      <c r="A725" s="1384">
        <f>A576</f>
        <v/>
      </c>
      <c r="B725" s="1387" t="n"/>
      <c r="C725" s="1297">
        <f>C576</f>
        <v/>
      </c>
      <c r="D725" s="1297">
        <f>D576</f>
        <v/>
      </c>
      <c r="E725" s="1297">
        <f>E576</f>
        <v/>
      </c>
      <c r="F725" s="1297">
        <f>F576</f>
        <v/>
      </c>
      <c r="G725" s="1297">
        <f>G576</f>
        <v/>
      </c>
      <c r="H725" s="1277">
        <f>H576</f>
        <v/>
      </c>
      <c r="I725" s="1277">
        <f>I576-H576</f>
        <v/>
      </c>
      <c r="J725" s="1277">
        <f>J576-I576</f>
        <v/>
      </c>
      <c r="K725" s="1277">
        <f>K576-J576</f>
        <v/>
      </c>
      <c r="L725" s="1297">
        <f>L576</f>
        <v/>
      </c>
      <c r="M725" s="1277">
        <f>M576</f>
        <v/>
      </c>
      <c r="N725" s="1277">
        <f>N576-M576</f>
        <v/>
      </c>
      <c r="O725" s="1277">
        <f>O576-N576</f>
        <v/>
      </c>
      <c r="P725" s="1277">
        <f>P576-O576</f>
        <v/>
      </c>
      <c r="Q725" s="1297">
        <f>Q576</f>
        <v/>
      </c>
      <c r="R725" s="1277">
        <f>R576</f>
        <v/>
      </c>
      <c r="S725" s="1277">
        <f>S576-R576</f>
        <v/>
      </c>
      <c r="T725" s="1277">
        <f>T576-S576</f>
        <v/>
      </c>
      <c r="U725" s="1277">
        <f>U576-T576</f>
        <v/>
      </c>
      <c r="V725" s="1297">
        <f>V576</f>
        <v/>
      </c>
      <c r="W725" s="1277">
        <f>W576</f>
        <v/>
      </c>
      <c r="X725" s="1277">
        <f>X576-W576</f>
        <v/>
      </c>
      <c r="Y725" s="1277">
        <f>Y576-X576</f>
        <v/>
      </c>
      <c r="Z725" s="1277">
        <f>Z576-Y576</f>
        <v/>
      </c>
      <c r="AA725" s="1297">
        <f>AA576</f>
        <v/>
      </c>
      <c r="AB725" s="1277">
        <f>AB576</f>
        <v/>
      </c>
      <c r="AC725" s="1277">
        <f>AC576-AB576</f>
        <v/>
      </c>
      <c r="AD725" s="1277">
        <f>AD576-AC576</f>
        <v/>
      </c>
      <c r="AE725" s="1277">
        <f>AE576-AD576</f>
        <v/>
      </c>
      <c r="AF725" s="1297">
        <f>AF576</f>
        <v/>
      </c>
      <c r="AG725" s="1277">
        <f>AG576</f>
        <v/>
      </c>
      <c r="AH725" s="1277">
        <f>AH576-AG576</f>
        <v/>
      </c>
      <c r="AI725" s="1277">
        <f>AI576-AH576</f>
        <v/>
      </c>
      <c r="AJ725" s="1277">
        <f>AJ576-AI576</f>
        <v/>
      </c>
      <c r="AK725" s="1297">
        <f>SUM(AG725,AH725,AI725,AJ725)</f>
        <v/>
      </c>
      <c r="AL725" s="1277">
        <f>AL576</f>
        <v/>
      </c>
      <c r="AM725" s="1277">
        <f>AM576-AL576</f>
        <v/>
      </c>
      <c r="AN725" s="1277">
        <f>AN576-AM576</f>
        <v/>
      </c>
      <c r="AO725" s="1277">
        <f>AO576-AN576</f>
        <v/>
      </c>
      <c r="AP725" s="1297">
        <f>SUM(AL725,AM725,AN725,AO725)</f>
        <v/>
      </c>
      <c r="AQ725" s="1277">
        <f>AQ576</f>
        <v/>
      </c>
      <c r="AR725" s="1277">
        <f>AR576-AQ576</f>
        <v/>
      </c>
      <c r="AS725" s="1277">
        <f>AS576-AR576</f>
        <v/>
      </c>
      <c r="AT725" s="1277">
        <f>AT576-AS576</f>
        <v/>
      </c>
      <c r="AU725" s="1297">
        <f>SUM(AQ725,AR725,AS725,AT725)</f>
        <v/>
      </c>
      <c r="AV725" s="1277">
        <f>AV576</f>
        <v/>
      </c>
      <c r="AW725" s="1277">
        <f>AW576-AV576</f>
        <v/>
      </c>
      <c r="AX725" s="1277">
        <f>AX576-AW576</f>
        <v/>
      </c>
      <c r="AY725" s="1277">
        <f>AY576-AX576</f>
        <v/>
      </c>
      <c r="AZ725" s="1297">
        <f>SUM(AV725,AW725,AX725,AY725)</f>
        <v/>
      </c>
      <c r="BA725" s="1277">
        <f>BA576</f>
        <v/>
      </c>
      <c r="BB725" s="1277">
        <f>BB576-BA576</f>
        <v/>
      </c>
      <c r="BC725" s="1277">
        <f>BC576-BB576</f>
        <v/>
      </c>
      <c r="BD725" s="1277">
        <f>BD576-BC576</f>
        <v/>
      </c>
      <c r="BE725" s="1297">
        <f>SUM(BA725,BB725,BC725,BD725)</f>
        <v/>
      </c>
      <c r="BF725" s="1277">
        <f>BF576</f>
        <v/>
      </c>
      <c r="BG725" s="1277">
        <f>BG576-BF576</f>
        <v/>
      </c>
      <c r="BH725" s="1277">
        <f>BH576-BG576</f>
        <v/>
      </c>
      <c r="BI725" s="1277">
        <f>BI576-BH576</f>
        <v/>
      </c>
      <c r="BJ725" s="1297">
        <f>SUM(BF725,BG725,BH725,BI725)</f>
        <v/>
      </c>
      <c r="BK725" s="1277">
        <f>BK576</f>
        <v/>
      </c>
      <c r="BL725" s="1277">
        <f>BL576-BK576</f>
        <v/>
      </c>
      <c r="BM725" s="1277">
        <f>BM576-BL576</f>
        <v/>
      </c>
      <c r="BN725" s="1277">
        <f>BN576-BM576</f>
        <v/>
      </c>
      <c r="BO725" s="1382">
        <f>SUM(BK725,BL725,BM725,BN725)</f>
        <v/>
      </c>
      <c r="BP725" s="1277" t="n"/>
      <c r="BQ725" s="1277" t="n"/>
      <c r="BR725" s="1277" t="n"/>
      <c r="BS725" s="1277" t="n"/>
      <c r="BT725" s="1297">
        <f>SUM(BP725,BQ725,BR725,BS725)</f>
        <v/>
      </c>
      <c r="BU725" s="1277" t="n"/>
      <c r="BV725" s="1277" t="n"/>
      <c r="BW725" s="1277" t="n"/>
      <c r="BX725" s="1277" t="n"/>
      <c r="BY725" s="1297">
        <f>SUM(BU725,BV725,BW725,BX725)</f>
        <v/>
      </c>
      <c r="BZ725" s="1297" t="n"/>
      <c r="CA725" s="1297" t="n"/>
      <c r="CB725" s="1297" t="n"/>
      <c r="CC725" s="1280" t="n"/>
    </row>
    <row r="726" ht="14.4" customFormat="1" customHeight="1" s="1275">
      <c r="A726" s="1384">
        <f>A577</f>
        <v/>
      </c>
      <c r="B726" s="1387" t="n"/>
      <c r="C726" s="1297">
        <f>C577</f>
        <v/>
      </c>
      <c r="D726" s="1297">
        <f>D577</f>
        <v/>
      </c>
      <c r="E726" s="1297">
        <f>E577</f>
        <v/>
      </c>
      <c r="F726" s="1297">
        <f>F577</f>
        <v/>
      </c>
      <c r="G726" s="1297">
        <f>G577</f>
        <v/>
      </c>
      <c r="H726" s="1277">
        <f>H577</f>
        <v/>
      </c>
      <c r="I726" s="1277">
        <f>I577-H577</f>
        <v/>
      </c>
      <c r="J726" s="1277">
        <f>J577-I577</f>
        <v/>
      </c>
      <c r="K726" s="1277">
        <f>K577-J577</f>
        <v/>
      </c>
      <c r="L726" s="1297">
        <f>L577</f>
        <v/>
      </c>
      <c r="M726" s="1277">
        <f>M577</f>
        <v/>
      </c>
      <c r="N726" s="1277">
        <f>N577-M577</f>
        <v/>
      </c>
      <c r="O726" s="1277">
        <f>O577-N577</f>
        <v/>
      </c>
      <c r="P726" s="1277">
        <f>P577-O577</f>
        <v/>
      </c>
      <c r="Q726" s="1297">
        <f>Q577</f>
        <v/>
      </c>
      <c r="R726" s="1277">
        <f>R577</f>
        <v/>
      </c>
      <c r="S726" s="1277">
        <f>S577-R577</f>
        <v/>
      </c>
      <c r="T726" s="1277">
        <f>T577-S577</f>
        <v/>
      </c>
      <c r="U726" s="1277">
        <f>U577-T577</f>
        <v/>
      </c>
      <c r="V726" s="1297">
        <f>V577</f>
        <v/>
      </c>
      <c r="W726" s="1277">
        <f>W577</f>
        <v/>
      </c>
      <c r="X726" s="1277">
        <f>X577-W577</f>
        <v/>
      </c>
      <c r="Y726" s="1277">
        <f>Y577-X577</f>
        <v/>
      </c>
      <c r="Z726" s="1277">
        <f>Z577-Y577</f>
        <v/>
      </c>
      <c r="AA726" s="1297">
        <f>AA577</f>
        <v/>
      </c>
      <c r="AB726" s="1277">
        <f>AB577</f>
        <v/>
      </c>
      <c r="AC726" s="1277">
        <f>AC577-AB577</f>
        <v/>
      </c>
      <c r="AD726" s="1277">
        <f>AD577-AC577</f>
        <v/>
      </c>
      <c r="AE726" s="1277">
        <f>AE577-AD577</f>
        <v/>
      </c>
      <c r="AF726" s="1297">
        <f>AF577</f>
        <v/>
      </c>
      <c r="AG726" s="1277">
        <f>AG577</f>
        <v/>
      </c>
      <c r="AH726" s="1277">
        <f>AH577-AG577</f>
        <v/>
      </c>
      <c r="AI726" s="1277">
        <f>AI577-AH577</f>
        <v/>
      </c>
      <c r="AJ726" s="1277">
        <f>AJ577-AI577</f>
        <v/>
      </c>
      <c r="AK726" s="1297">
        <f>SUM(AG726,AH726,AI726,AJ726)</f>
        <v/>
      </c>
      <c r="AL726" s="1277">
        <f>AL577</f>
        <v/>
      </c>
      <c r="AM726" s="1277">
        <f>AM577-AL577</f>
        <v/>
      </c>
      <c r="AN726" s="1277">
        <f>AN577-AM577</f>
        <v/>
      </c>
      <c r="AO726" s="1277">
        <f>AO577-AN577</f>
        <v/>
      </c>
      <c r="AP726" s="1297">
        <f>SUM(AL726,AM726,AN726,AO726)</f>
        <v/>
      </c>
      <c r="AQ726" s="1277">
        <f>AQ577</f>
        <v/>
      </c>
      <c r="AR726" s="1277">
        <f>AR577-AQ577</f>
        <v/>
      </c>
      <c r="AS726" s="1277">
        <f>AS577-AR577</f>
        <v/>
      </c>
      <c r="AT726" s="1277">
        <f>AT577-AS577</f>
        <v/>
      </c>
      <c r="AU726" s="1297">
        <f>SUM(AQ726,AR726,AS726,AT726)</f>
        <v/>
      </c>
      <c r="AV726" s="1277">
        <f>AV577</f>
        <v/>
      </c>
      <c r="AW726" s="1277">
        <f>AW577-AV577</f>
        <v/>
      </c>
      <c r="AX726" s="1277">
        <f>AX577-AW577</f>
        <v/>
      </c>
      <c r="AY726" s="1277">
        <f>AY577-AX577</f>
        <v/>
      </c>
      <c r="AZ726" s="1297">
        <f>SUM(AV726,AW726,AX726,AY726)</f>
        <v/>
      </c>
      <c r="BA726" s="1277">
        <f>BA577</f>
        <v/>
      </c>
      <c r="BB726" s="1277">
        <f>BB577-BA577</f>
        <v/>
      </c>
      <c r="BC726" s="1277">
        <f>BC577-BB577</f>
        <v/>
      </c>
      <c r="BD726" s="1277">
        <f>BD577-BC577</f>
        <v/>
      </c>
      <c r="BE726" s="1297">
        <f>SUM(BA726,BB726,BC726,BD726)</f>
        <v/>
      </c>
      <c r="BF726" s="1277">
        <f>BF577</f>
        <v/>
      </c>
      <c r="BG726" s="1277">
        <f>BG577-BF577</f>
        <v/>
      </c>
      <c r="BH726" s="1277">
        <f>BH577-BG577</f>
        <v/>
      </c>
      <c r="BI726" s="1277">
        <f>BI577-BH577</f>
        <v/>
      </c>
      <c r="BJ726" s="1297">
        <f>SUM(BF726,BG726,BH726,BI726)</f>
        <v/>
      </c>
      <c r="BK726" s="1277">
        <f>BK577</f>
        <v/>
      </c>
      <c r="BL726" s="1277">
        <f>BL577-BK577</f>
        <v/>
      </c>
      <c r="BM726" s="1277">
        <f>BM577-BL577</f>
        <v/>
      </c>
      <c r="BN726" s="1277">
        <f>BN577-BM577</f>
        <v/>
      </c>
      <c r="BO726" s="1382">
        <f>SUM(BK726,BL726,BM726,BN726)</f>
        <v/>
      </c>
      <c r="BP726" s="1277">
        <f>BP915-BO915</f>
        <v/>
      </c>
      <c r="BQ726" s="1277">
        <f>BQ915-BP915</f>
        <v/>
      </c>
      <c r="BR726" s="1277">
        <f>BR915-BQ915</f>
        <v/>
      </c>
      <c r="BS726" s="1277">
        <f>BS915-BR915</f>
        <v/>
      </c>
      <c r="BT726" s="1297">
        <f>SUM(BP726,BQ726,BR726,BS726)</f>
        <v/>
      </c>
      <c r="BU726" s="1277">
        <f>BU915-BT915</f>
        <v/>
      </c>
      <c r="BV726" s="1277">
        <f>BV915-BU915</f>
        <v/>
      </c>
      <c r="BW726" s="1277">
        <f>BW915-BV915</f>
        <v/>
      </c>
      <c r="BX726" s="1277">
        <f>BX915-BW915</f>
        <v/>
      </c>
      <c r="BY726" s="1297">
        <f>SUM(BU726,BV726,BW726,BX726)</f>
        <v/>
      </c>
      <c r="BZ726" s="1297">
        <f>BZ915-BY915</f>
        <v/>
      </c>
      <c r="CA726" s="1297">
        <f>CA915-BZ915</f>
        <v/>
      </c>
      <c r="CB726" s="1297">
        <f>CB915-CA915</f>
        <v/>
      </c>
      <c r="CC726" s="1280" t="n"/>
    </row>
    <row r="727" ht="14.4" customFormat="1" customHeight="1" s="1275">
      <c r="A727" s="1384">
        <f>A578</f>
        <v/>
      </c>
      <c r="B727" s="1387" t="n"/>
      <c r="C727" s="1297">
        <f>C578</f>
        <v/>
      </c>
      <c r="D727" s="1297">
        <f>D578</f>
        <v/>
      </c>
      <c r="E727" s="1297">
        <f>E578</f>
        <v/>
      </c>
      <c r="F727" s="1297">
        <f>F578</f>
        <v/>
      </c>
      <c r="G727" s="1297">
        <f>G578</f>
        <v/>
      </c>
      <c r="H727" s="1277">
        <f>H578</f>
        <v/>
      </c>
      <c r="I727" s="1277">
        <f>I578-H578</f>
        <v/>
      </c>
      <c r="J727" s="1277">
        <f>J578-I578</f>
        <v/>
      </c>
      <c r="K727" s="1277">
        <f>K578-J578</f>
        <v/>
      </c>
      <c r="L727" s="1297">
        <f>L578</f>
        <v/>
      </c>
      <c r="M727" s="1277">
        <f>M578</f>
        <v/>
      </c>
      <c r="N727" s="1277">
        <f>N578-M578</f>
        <v/>
      </c>
      <c r="O727" s="1277">
        <f>O578-N578</f>
        <v/>
      </c>
      <c r="P727" s="1277">
        <f>P578-O578</f>
        <v/>
      </c>
      <c r="Q727" s="1297">
        <f>Q578</f>
        <v/>
      </c>
      <c r="R727" s="1277">
        <f>R578</f>
        <v/>
      </c>
      <c r="S727" s="1277">
        <f>S578-R578</f>
        <v/>
      </c>
      <c r="T727" s="1277">
        <f>T578-S578</f>
        <v/>
      </c>
      <c r="U727" s="1277">
        <f>U578-T578</f>
        <v/>
      </c>
      <c r="V727" s="1297">
        <f>V578</f>
        <v/>
      </c>
      <c r="W727" s="1277">
        <f>W578</f>
        <v/>
      </c>
      <c r="X727" s="1277">
        <f>X578-W578</f>
        <v/>
      </c>
      <c r="Y727" s="1277">
        <f>Y578-X578</f>
        <v/>
      </c>
      <c r="Z727" s="1277">
        <f>Z578-Y578</f>
        <v/>
      </c>
      <c r="AA727" s="1297">
        <f>AA578</f>
        <v/>
      </c>
      <c r="AB727" s="1277">
        <f>AB578</f>
        <v/>
      </c>
      <c r="AC727" s="1277">
        <f>AC578-AB578</f>
        <v/>
      </c>
      <c r="AD727" s="1277">
        <f>AD578-AC578</f>
        <v/>
      </c>
      <c r="AE727" s="1277">
        <f>AE578-AD578</f>
        <v/>
      </c>
      <c r="AF727" s="1297">
        <f>AF578</f>
        <v/>
      </c>
      <c r="AG727" s="1277">
        <f>AG578</f>
        <v/>
      </c>
      <c r="AH727" s="1277">
        <f>AH578-AG578</f>
        <v/>
      </c>
      <c r="AI727" s="1277">
        <f>AI578-AH578</f>
        <v/>
      </c>
      <c r="AJ727" s="1277">
        <f>AJ578-AI578</f>
        <v/>
      </c>
      <c r="AK727" s="1297">
        <f>SUM(AG727,AH727,AI727,AJ727)</f>
        <v/>
      </c>
      <c r="AL727" s="1277">
        <f>AL578</f>
        <v/>
      </c>
      <c r="AM727" s="1277">
        <f>AM578-AL578</f>
        <v/>
      </c>
      <c r="AN727" s="1277">
        <f>AN578-AM578</f>
        <v/>
      </c>
      <c r="AO727" s="1277">
        <f>AO578-AN578</f>
        <v/>
      </c>
      <c r="AP727" s="1297">
        <f>SUM(AL727,AM727,AN727,AO727)</f>
        <v/>
      </c>
      <c r="AQ727" s="1277">
        <f>AQ578</f>
        <v/>
      </c>
      <c r="AR727" s="1277">
        <f>AR578-AQ578</f>
        <v/>
      </c>
      <c r="AS727" s="1277">
        <f>AS578-AR578</f>
        <v/>
      </c>
      <c r="AT727" s="1277">
        <f>AT578-AS578</f>
        <v/>
      </c>
      <c r="AU727" s="1297">
        <f>SUM(AQ727,AR727,AS727,AT727)</f>
        <v/>
      </c>
      <c r="AV727" s="1277">
        <f>AV578</f>
        <v/>
      </c>
      <c r="AW727" s="1277">
        <f>AW578-AV578</f>
        <v/>
      </c>
      <c r="AX727" s="1277">
        <f>AX578-AW578</f>
        <v/>
      </c>
      <c r="AY727" s="1277">
        <f>AY578-AX578</f>
        <v/>
      </c>
      <c r="AZ727" s="1297">
        <f>SUM(AV727,AW727,AX727,AY727)</f>
        <v/>
      </c>
      <c r="BA727" s="1277">
        <f>BA578</f>
        <v/>
      </c>
      <c r="BB727" s="1277">
        <f>BB578-BA578</f>
        <v/>
      </c>
      <c r="BC727" s="1277">
        <f>BC578-BB578</f>
        <v/>
      </c>
      <c r="BD727" s="1277">
        <f>BD578-BC578</f>
        <v/>
      </c>
      <c r="BE727" s="1297">
        <f>SUM(BA727,BB727,BC727,BD727)</f>
        <v/>
      </c>
      <c r="BF727" s="1277">
        <f>BF578</f>
        <v/>
      </c>
      <c r="BG727" s="1277">
        <f>BG578-BF578</f>
        <v/>
      </c>
      <c r="BH727" s="1277">
        <f>BH578-BG578</f>
        <v/>
      </c>
      <c r="BI727" s="1277">
        <f>BI578-BH578</f>
        <v/>
      </c>
      <c r="BJ727" s="1297">
        <f>SUM(BF727,BG727,BH727,BI727)</f>
        <v/>
      </c>
      <c r="BK727" s="1277">
        <f>BK578</f>
        <v/>
      </c>
      <c r="BL727" s="1277">
        <f>BL578-BK578</f>
        <v/>
      </c>
      <c r="BM727" s="1277">
        <f>BM578-BL578</f>
        <v/>
      </c>
      <c r="BN727" s="1277">
        <f>BN578-BM578</f>
        <v/>
      </c>
      <c r="BO727" s="1382">
        <f>SUM(BK727,BL727,BM727,BN727)</f>
        <v/>
      </c>
      <c r="BP727" s="1277" t="n"/>
      <c r="BQ727" s="1277" t="n"/>
      <c r="BR727" s="1277" t="n"/>
      <c r="BS727" s="1277" t="n"/>
      <c r="BT727" s="1297">
        <f>SUM(BP727,BQ727,BR727,BS727)</f>
        <v/>
      </c>
      <c r="BU727" s="1277" t="n"/>
      <c r="BV727" s="1277" t="n"/>
      <c r="BW727" s="1277" t="n"/>
      <c r="BX727" s="1277" t="n"/>
      <c r="BY727" s="1297">
        <f>SUM(BU727,BV727,BW727,BX727)</f>
        <v/>
      </c>
      <c r="BZ727" s="1297" t="n"/>
      <c r="CA727" s="1297" t="n"/>
      <c r="CB727" s="1297" t="n"/>
      <c r="CC727" s="1280" t="n"/>
    </row>
    <row r="728" ht="14.4" customFormat="1" customHeight="1" s="1275">
      <c r="A728" s="1384">
        <f>A579</f>
        <v/>
      </c>
      <c r="B728" s="1387" t="n"/>
      <c r="C728" s="1297">
        <f>C579</f>
        <v/>
      </c>
      <c r="D728" s="1297">
        <f>D579</f>
        <v/>
      </c>
      <c r="E728" s="1297">
        <f>E579</f>
        <v/>
      </c>
      <c r="F728" s="1297">
        <f>F579</f>
        <v/>
      </c>
      <c r="G728" s="1297">
        <f>G579</f>
        <v/>
      </c>
      <c r="H728" s="1277">
        <f>H579</f>
        <v/>
      </c>
      <c r="I728" s="1277">
        <f>I579-H579</f>
        <v/>
      </c>
      <c r="J728" s="1277">
        <f>J579-I579</f>
        <v/>
      </c>
      <c r="K728" s="1277">
        <f>K579-J579</f>
        <v/>
      </c>
      <c r="L728" s="1297">
        <f>L579</f>
        <v/>
      </c>
      <c r="M728" s="1277">
        <f>M579</f>
        <v/>
      </c>
      <c r="N728" s="1277">
        <f>N579-M579</f>
        <v/>
      </c>
      <c r="O728" s="1277">
        <f>O579-N579</f>
        <v/>
      </c>
      <c r="P728" s="1277">
        <f>P579-O579</f>
        <v/>
      </c>
      <c r="Q728" s="1297">
        <f>Q579</f>
        <v/>
      </c>
      <c r="R728" s="1277">
        <f>R579</f>
        <v/>
      </c>
      <c r="S728" s="1277">
        <f>S579-R579</f>
        <v/>
      </c>
      <c r="T728" s="1277">
        <f>T579-S579</f>
        <v/>
      </c>
      <c r="U728" s="1277">
        <f>U579-T579</f>
        <v/>
      </c>
      <c r="V728" s="1297">
        <f>V579</f>
        <v/>
      </c>
      <c r="W728" s="1277">
        <f>W579</f>
        <v/>
      </c>
      <c r="X728" s="1277">
        <f>X579-W579</f>
        <v/>
      </c>
      <c r="Y728" s="1277">
        <f>Y579-X579</f>
        <v/>
      </c>
      <c r="Z728" s="1277">
        <f>Z579-Y579</f>
        <v/>
      </c>
      <c r="AA728" s="1297">
        <f>AA579</f>
        <v/>
      </c>
      <c r="AB728" s="1277">
        <f>AB579</f>
        <v/>
      </c>
      <c r="AC728" s="1277">
        <f>AC579-AB579</f>
        <v/>
      </c>
      <c r="AD728" s="1277">
        <f>AD579-AC579</f>
        <v/>
      </c>
      <c r="AE728" s="1277">
        <f>AE579-AD579</f>
        <v/>
      </c>
      <c r="AF728" s="1297">
        <f>AF579</f>
        <v/>
      </c>
      <c r="AG728" s="1277">
        <f>AG579</f>
        <v/>
      </c>
      <c r="AH728" s="1277">
        <f>AH579-AG579</f>
        <v/>
      </c>
      <c r="AI728" s="1277">
        <f>AI579-AH579</f>
        <v/>
      </c>
      <c r="AJ728" s="1277">
        <f>AJ579-AI579</f>
        <v/>
      </c>
      <c r="AK728" s="1297">
        <f>SUM(AG728,AH728,AI728,AJ728)</f>
        <v/>
      </c>
      <c r="AL728" s="1277">
        <f>AL579</f>
        <v/>
      </c>
      <c r="AM728" s="1277">
        <f>AM579-AL579</f>
        <v/>
      </c>
      <c r="AN728" s="1277">
        <f>AN579-AM579</f>
        <v/>
      </c>
      <c r="AO728" s="1277">
        <f>AO579-AN579</f>
        <v/>
      </c>
      <c r="AP728" s="1297">
        <f>SUM(AL728,AM728,AN728,AO728)</f>
        <v/>
      </c>
      <c r="AQ728" s="1277">
        <f>AQ579</f>
        <v/>
      </c>
      <c r="AR728" s="1277">
        <f>AR579-AQ579</f>
        <v/>
      </c>
      <c r="AS728" s="1277">
        <f>AS579-AR579</f>
        <v/>
      </c>
      <c r="AT728" s="1277">
        <f>AT579-AS579</f>
        <v/>
      </c>
      <c r="AU728" s="1297">
        <f>SUM(AQ728,AR728,AS728,AT728)</f>
        <v/>
      </c>
      <c r="AV728" s="1277">
        <f>AV579</f>
        <v/>
      </c>
      <c r="AW728" s="1277">
        <f>AW579-AV579</f>
        <v/>
      </c>
      <c r="AX728" s="1277">
        <f>AX579-AW579</f>
        <v/>
      </c>
      <c r="AY728" s="1277">
        <f>AY579-AX579</f>
        <v/>
      </c>
      <c r="AZ728" s="1297">
        <f>SUM(AV728,AW728,AX728,AY728)</f>
        <v/>
      </c>
      <c r="BA728" s="1277">
        <f>BA579</f>
        <v/>
      </c>
      <c r="BB728" s="1277">
        <f>BB579-BA579</f>
        <v/>
      </c>
      <c r="BC728" s="1277">
        <f>BC579-BB579</f>
        <v/>
      </c>
      <c r="BD728" s="1277">
        <f>BD579-BC579</f>
        <v/>
      </c>
      <c r="BE728" s="1297">
        <f>SUM(BA728,BB728,BC728,BD728)</f>
        <v/>
      </c>
      <c r="BF728" s="1277">
        <f>BF579</f>
        <v/>
      </c>
      <c r="BG728" s="1277">
        <f>BG579-BF579</f>
        <v/>
      </c>
      <c r="BH728" s="1277">
        <f>BH579-BG579</f>
        <v/>
      </c>
      <c r="BI728" s="1277">
        <f>BI579-BH579</f>
        <v/>
      </c>
      <c r="BJ728" s="1297">
        <f>SUM(BF728,BG728,BH728,BI728)</f>
        <v/>
      </c>
      <c r="BK728" s="1277">
        <f>BK579</f>
        <v/>
      </c>
      <c r="BL728" s="1277">
        <f>BL579-BK579</f>
        <v/>
      </c>
      <c r="BM728" s="1277">
        <f>BM579-BL579</f>
        <v/>
      </c>
      <c r="BN728" s="1277">
        <f>BN579-BM579</f>
        <v/>
      </c>
      <c r="BO728" s="1382">
        <f>SUM(BK728,BL728,BM728,BN728)</f>
        <v/>
      </c>
      <c r="BP728" s="1277" t="n"/>
      <c r="BQ728" s="1277" t="n"/>
      <c r="BR728" s="1277" t="n"/>
      <c r="BS728" s="1277" t="n"/>
      <c r="BT728" s="1297">
        <f>SUM(BP728,BQ728,BR728,BS728)</f>
        <v/>
      </c>
      <c r="BU728" s="1277" t="n"/>
      <c r="BV728" s="1277" t="n"/>
      <c r="BW728" s="1277" t="n"/>
      <c r="BX728" s="1277" t="n"/>
      <c r="BY728" s="1297">
        <f>SUM(BU728,BV728,BW728,BX728)</f>
        <v/>
      </c>
      <c r="BZ728" s="1297" t="n"/>
      <c r="CA728" s="1297" t="n"/>
      <c r="CB728" s="1297" t="n"/>
      <c r="CC728" s="1280" t="n"/>
    </row>
    <row r="729" ht="14.4" customFormat="1" customHeight="1" s="1275">
      <c r="A729" s="1384">
        <f>A580</f>
        <v/>
      </c>
      <c r="B729" s="1387" t="n"/>
      <c r="C729" s="1297">
        <f>C580</f>
        <v/>
      </c>
      <c r="D729" s="1297">
        <f>D580</f>
        <v/>
      </c>
      <c r="E729" s="1297">
        <f>E580</f>
        <v/>
      </c>
      <c r="F729" s="1297">
        <f>F580</f>
        <v/>
      </c>
      <c r="G729" s="1297">
        <f>G580</f>
        <v/>
      </c>
      <c r="H729" s="1277">
        <f>H580</f>
        <v/>
      </c>
      <c r="I729" s="1277">
        <f>I580-H580</f>
        <v/>
      </c>
      <c r="J729" s="1277">
        <f>J580-I580</f>
        <v/>
      </c>
      <c r="K729" s="1277">
        <f>K580-J580</f>
        <v/>
      </c>
      <c r="L729" s="1297">
        <f>L580</f>
        <v/>
      </c>
      <c r="M729" s="1277">
        <f>M580</f>
        <v/>
      </c>
      <c r="N729" s="1277">
        <f>N580-M580</f>
        <v/>
      </c>
      <c r="O729" s="1277">
        <f>O580-N580</f>
        <v/>
      </c>
      <c r="P729" s="1277">
        <f>P580-O580</f>
        <v/>
      </c>
      <c r="Q729" s="1297">
        <f>Q580</f>
        <v/>
      </c>
      <c r="R729" s="1277">
        <f>R580</f>
        <v/>
      </c>
      <c r="S729" s="1277">
        <f>S580-R580</f>
        <v/>
      </c>
      <c r="T729" s="1277">
        <f>T580-S580</f>
        <v/>
      </c>
      <c r="U729" s="1277">
        <f>U580-T580</f>
        <v/>
      </c>
      <c r="V729" s="1297">
        <f>V580</f>
        <v/>
      </c>
      <c r="W729" s="1277">
        <f>W580</f>
        <v/>
      </c>
      <c r="X729" s="1277">
        <f>X580-W580</f>
        <v/>
      </c>
      <c r="Y729" s="1277">
        <f>Y580-X580</f>
        <v/>
      </c>
      <c r="Z729" s="1277">
        <f>Z580-Y580</f>
        <v/>
      </c>
      <c r="AA729" s="1297">
        <f>AA580</f>
        <v/>
      </c>
      <c r="AB729" s="1277">
        <f>AB580</f>
        <v/>
      </c>
      <c r="AC729" s="1277">
        <f>AC580-AB580</f>
        <v/>
      </c>
      <c r="AD729" s="1277">
        <f>AD580-AC580</f>
        <v/>
      </c>
      <c r="AE729" s="1277">
        <f>AE580-AD580</f>
        <v/>
      </c>
      <c r="AF729" s="1297">
        <f>AF580</f>
        <v/>
      </c>
      <c r="AG729" s="1277">
        <f>AG580</f>
        <v/>
      </c>
      <c r="AH729" s="1277">
        <f>AH580-AG580</f>
        <v/>
      </c>
      <c r="AI729" s="1277">
        <f>AI580-AH580</f>
        <v/>
      </c>
      <c r="AJ729" s="1277">
        <f>AJ580-AI580</f>
        <v/>
      </c>
      <c r="AK729" s="1297">
        <f>SUM(AG729,AH729,AI729,AJ729)</f>
        <v/>
      </c>
      <c r="AL729" s="1277">
        <f>AL580</f>
        <v/>
      </c>
      <c r="AM729" s="1277">
        <f>AM580-AL580</f>
        <v/>
      </c>
      <c r="AN729" s="1277">
        <f>AN580-AM580</f>
        <v/>
      </c>
      <c r="AO729" s="1277">
        <f>AO580-AN580</f>
        <v/>
      </c>
      <c r="AP729" s="1297">
        <f>SUM(AL729,AM729,AN729,AO729)</f>
        <v/>
      </c>
      <c r="AQ729" s="1277">
        <f>AQ580</f>
        <v/>
      </c>
      <c r="AR729" s="1277">
        <f>AR580-AQ580</f>
        <v/>
      </c>
      <c r="AS729" s="1277">
        <f>AS580-AR580</f>
        <v/>
      </c>
      <c r="AT729" s="1277">
        <f>AT580-AS580</f>
        <v/>
      </c>
      <c r="AU729" s="1297">
        <f>SUM(AQ729,AR729,AS729,AT729)</f>
        <v/>
      </c>
      <c r="AV729" s="1277">
        <f>AV580</f>
        <v/>
      </c>
      <c r="AW729" s="1277">
        <f>AW580-AV580</f>
        <v/>
      </c>
      <c r="AX729" s="1277">
        <f>AX580-AW580</f>
        <v/>
      </c>
      <c r="AY729" s="1277">
        <f>AY580-AX580</f>
        <v/>
      </c>
      <c r="AZ729" s="1297">
        <f>SUM(AV729,AW729,AX729,AY729)</f>
        <v/>
      </c>
      <c r="BA729" s="1277">
        <f>BA580</f>
        <v/>
      </c>
      <c r="BB729" s="1277">
        <f>BB580-BA580</f>
        <v/>
      </c>
      <c r="BC729" s="1277">
        <f>BC580-BB580</f>
        <v/>
      </c>
      <c r="BD729" s="1277">
        <f>BD580-BC580</f>
        <v/>
      </c>
      <c r="BE729" s="1297">
        <f>SUM(BA729,BB729,BC729,BD729)</f>
        <v/>
      </c>
      <c r="BF729" s="1277">
        <f>BF580</f>
        <v/>
      </c>
      <c r="BG729" s="1277">
        <f>BG580-BF580</f>
        <v/>
      </c>
      <c r="BH729" s="1277">
        <f>BH580-BG580</f>
        <v/>
      </c>
      <c r="BI729" s="1277">
        <f>BI580-BH580</f>
        <v/>
      </c>
      <c r="BJ729" s="1297">
        <f>SUM(BF729,BG729,BH729,BI729)</f>
        <v/>
      </c>
      <c r="BK729" s="1277">
        <f>BK580</f>
        <v/>
      </c>
      <c r="BL729" s="1277">
        <f>BL580-BK580</f>
        <v/>
      </c>
      <c r="BM729" s="1277">
        <f>BM580-BL580</f>
        <v/>
      </c>
      <c r="BN729" s="1277">
        <f>BN580-BM580</f>
        <v/>
      </c>
      <c r="BO729" s="1382">
        <f>SUM(BK729,BL729,BM729,BN729)</f>
        <v/>
      </c>
      <c r="BP729" s="1277" t="n"/>
      <c r="BQ729" s="1277" t="n"/>
      <c r="BR729" s="1277" t="n"/>
      <c r="BS729" s="1277" t="n"/>
      <c r="BT729" s="1297">
        <f>SUM(BP729,BQ729,BR729,BS729)</f>
        <v/>
      </c>
      <c r="BU729" s="1277" t="n"/>
      <c r="BV729" s="1277" t="n"/>
      <c r="BW729" s="1277" t="n"/>
      <c r="BX729" s="1277" t="n"/>
      <c r="BY729" s="1297">
        <f>SUM(BU729,BV729,BW729,BX729)</f>
        <v/>
      </c>
      <c r="BZ729" s="1297" t="n"/>
      <c r="CA729" s="1297" t="n"/>
      <c r="CB729" s="1297" t="n"/>
      <c r="CC729" s="1280" t="n"/>
    </row>
    <row r="730" ht="14.4" customFormat="1" customHeight="1" s="1275">
      <c r="A730" s="1384">
        <f>A581</f>
        <v/>
      </c>
      <c r="B730" s="1387" t="n"/>
      <c r="C730" s="1297">
        <f>C581</f>
        <v/>
      </c>
      <c r="D730" s="1297">
        <f>D581</f>
        <v/>
      </c>
      <c r="E730" s="1297">
        <f>E581</f>
        <v/>
      </c>
      <c r="F730" s="1297">
        <f>F581</f>
        <v/>
      </c>
      <c r="G730" s="1297">
        <f>G581</f>
        <v/>
      </c>
      <c r="H730" s="1277">
        <f>H581</f>
        <v/>
      </c>
      <c r="I730" s="1277">
        <f>I581-H581</f>
        <v/>
      </c>
      <c r="J730" s="1277">
        <f>J581-I581</f>
        <v/>
      </c>
      <c r="K730" s="1277">
        <f>K581-J581</f>
        <v/>
      </c>
      <c r="L730" s="1297">
        <f>L581</f>
        <v/>
      </c>
      <c r="M730" s="1277">
        <f>M581</f>
        <v/>
      </c>
      <c r="N730" s="1277">
        <f>N581-M581</f>
        <v/>
      </c>
      <c r="O730" s="1277">
        <f>O581-N581</f>
        <v/>
      </c>
      <c r="P730" s="1277">
        <f>P581-O581</f>
        <v/>
      </c>
      <c r="Q730" s="1297">
        <f>Q581</f>
        <v/>
      </c>
      <c r="R730" s="1277">
        <f>R581</f>
        <v/>
      </c>
      <c r="S730" s="1277">
        <f>S581-R581</f>
        <v/>
      </c>
      <c r="T730" s="1277">
        <f>T581-S581</f>
        <v/>
      </c>
      <c r="U730" s="1277">
        <f>U581-T581</f>
        <v/>
      </c>
      <c r="V730" s="1297">
        <f>V581</f>
        <v/>
      </c>
      <c r="W730" s="1277">
        <f>W581</f>
        <v/>
      </c>
      <c r="X730" s="1277">
        <f>X581-W581</f>
        <v/>
      </c>
      <c r="Y730" s="1277">
        <f>Y581-X581</f>
        <v/>
      </c>
      <c r="Z730" s="1277">
        <f>Z581-Y581</f>
        <v/>
      </c>
      <c r="AA730" s="1297">
        <f>AA581</f>
        <v/>
      </c>
      <c r="AB730" s="1277">
        <f>AB581</f>
        <v/>
      </c>
      <c r="AC730" s="1277">
        <f>AC581-AB581</f>
        <v/>
      </c>
      <c r="AD730" s="1277">
        <f>AD581-AC581</f>
        <v/>
      </c>
      <c r="AE730" s="1277">
        <f>AE581-AD581</f>
        <v/>
      </c>
      <c r="AF730" s="1297">
        <f>AF581</f>
        <v/>
      </c>
      <c r="AG730" s="1277">
        <f>AG581</f>
        <v/>
      </c>
      <c r="AH730" s="1277">
        <f>AH581-AG581</f>
        <v/>
      </c>
      <c r="AI730" s="1277">
        <f>AI581-AH581</f>
        <v/>
      </c>
      <c r="AJ730" s="1277">
        <f>AJ581-AI581</f>
        <v/>
      </c>
      <c r="AK730" s="1297">
        <f>SUM(AG730,AH730,AI730,AJ730)</f>
        <v/>
      </c>
      <c r="AL730" s="1277">
        <f>AL581</f>
        <v/>
      </c>
      <c r="AM730" s="1277">
        <f>AM581-AL581</f>
        <v/>
      </c>
      <c r="AN730" s="1277">
        <f>AN581-AM581</f>
        <v/>
      </c>
      <c r="AO730" s="1277">
        <f>AO581-AN581</f>
        <v/>
      </c>
      <c r="AP730" s="1297">
        <f>SUM(AL730,AM730,AN730,AO730)</f>
        <v/>
      </c>
      <c r="AQ730" s="1277">
        <f>AQ581</f>
        <v/>
      </c>
      <c r="AR730" s="1277">
        <f>AR581-AQ581</f>
        <v/>
      </c>
      <c r="AS730" s="1277">
        <f>AS581-AR581</f>
        <v/>
      </c>
      <c r="AT730" s="1277">
        <f>AT581-AS581</f>
        <v/>
      </c>
      <c r="AU730" s="1297">
        <f>SUM(AQ730,AR730,AS730,AT730)</f>
        <v/>
      </c>
      <c r="AV730" s="1277">
        <f>AV581</f>
        <v/>
      </c>
      <c r="AW730" s="1277">
        <f>AW581-AV581</f>
        <v/>
      </c>
      <c r="AX730" s="1277">
        <f>AX581-AW581</f>
        <v/>
      </c>
      <c r="AY730" s="1277">
        <f>AY581-AX581</f>
        <v/>
      </c>
      <c r="AZ730" s="1297">
        <f>SUM(AV730,AW730,AX730,AY730)</f>
        <v/>
      </c>
      <c r="BA730" s="1277">
        <f>BA581</f>
        <v/>
      </c>
      <c r="BB730" s="1277">
        <f>BB581-BA581</f>
        <v/>
      </c>
      <c r="BC730" s="1277">
        <f>BC581-BB581</f>
        <v/>
      </c>
      <c r="BD730" s="1277">
        <f>BD581-BC581</f>
        <v/>
      </c>
      <c r="BE730" s="1297">
        <f>SUM(BA730,BB730,BC730,BD730)</f>
        <v/>
      </c>
      <c r="BF730" s="1277">
        <f>BF581</f>
        <v/>
      </c>
      <c r="BG730" s="1277">
        <f>BG581-BF581</f>
        <v/>
      </c>
      <c r="BH730" s="1277">
        <f>BH581-BG581</f>
        <v/>
      </c>
      <c r="BI730" s="1277">
        <f>BI581-BH581</f>
        <v/>
      </c>
      <c r="BJ730" s="1297">
        <f>SUM(BF730,BG730,BH730,BI730)</f>
        <v/>
      </c>
      <c r="BK730" s="1277">
        <f>BK581</f>
        <v/>
      </c>
      <c r="BL730" s="1277">
        <f>BL581-BK581</f>
        <v/>
      </c>
      <c r="BM730" s="1277">
        <f>BM581-BL581</f>
        <v/>
      </c>
      <c r="BN730" s="1277">
        <f>BN581-BM581</f>
        <v/>
      </c>
      <c r="BO730" s="1382">
        <f>SUM(BK730,BL730,BM730,BN730)</f>
        <v/>
      </c>
      <c r="BP730" s="1277" t="n"/>
      <c r="BQ730" s="1277" t="n"/>
      <c r="BR730" s="1277" t="n"/>
      <c r="BS730" s="1277" t="n"/>
      <c r="BT730" s="1297">
        <f>SUM(BP730,BQ730,BR730,BS730)</f>
        <v/>
      </c>
      <c r="BU730" s="1277" t="n"/>
      <c r="BV730" s="1277" t="n"/>
      <c r="BW730" s="1277" t="n"/>
      <c r="BX730" s="1277" t="n"/>
      <c r="BY730" s="1297">
        <f>SUM(BU730,BV730,BW730,BX730)</f>
        <v/>
      </c>
      <c r="BZ730" s="1297" t="n"/>
      <c r="CA730" s="1297" t="n"/>
      <c r="CB730" s="1297" t="n"/>
      <c r="CC730" s="1280" t="n"/>
    </row>
    <row r="731" ht="14.4" customFormat="1" customHeight="1" s="1275">
      <c r="A731" s="1384">
        <f>A582</f>
        <v/>
      </c>
      <c r="B731" s="1387" t="n"/>
      <c r="C731" s="1297">
        <f>C582</f>
        <v/>
      </c>
      <c r="D731" s="1297">
        <f>D582</f>
        <v/>
      </c>
      <c r="E731" s="1297">
        <f>E582</f>
        <v/>
      </c>
      <c r="F731" s="1297">
        <f>F582</f>
        <v/>
      </c>
      <c r="G731" s="1297">
        <f>G582</f>
        <v/>
      </c>
      <c r="H731" s="1277">
        <f>H582</f>
        <v/>
      </c>
      <c r="I731" s="1277">
        <f>I582-H582</f>
        <v/>
      </c>
      <c r="J731" s="1277">
        <f>J582-I582</f>
        <v/>
      </c>
      <c r="K731" s="1277">
        <f>K582-J582</f>
        <v/>
      </c>
      <c r="L731" s="1297">
        <f>L582</f>
        <v/>
      </c>
      <c r="M731" s="1277">
        <f>M582</f>
        <v/>
      </c>
      <c r="N731" s="1277">
        <f>N582-M582</f>
        <v/>
      </c>
      <c r="O731" s="1277">
        <f>O582-N582</f>
        <v/>
      </c>
      <c r="P731" s="1277">
        <f>P582-O582</f>
        <v/>
      </c>
      <c r="Q731" s="1297">
        <f>Q582</f>
        <v/>
      </c>
      <c r="R731" s="1277">
        <f>R582</f>
        <v/>
      </c>
      <c r="S731" s="1277">
        <f>S582-R582</f>
        <v/>
      </c>
      <c r="T731" s="1277">
        <f>T582-S582</f>
        <v/>
      </c>
      <c r="U731" s="1277">
        <f>U582-T582</f>
        <v/>
      </c>
      <c r="V731" s="1297">
        <f>V582</f>
        <v/>
      </c>
      <c r="W731" s="1277">
        <f>W582</f>
        <v/>
      </c>
      <c r="X731" s="1277">
        <f>X582-W582</f>
        <v/>
      </c>
      <c r="Y731" s="1277">
        <f>Y582-X582</f>
        <v/>
      </c>
      <c r="Z731" s="1277">
        <f>Z582-Y582</f>
        <v/>
      </c>
      <c r="AA731" s="1297">
        <f>AA582</f>
        <v/>
      </c>
      <c r="AB731" s="1277">
        <f>AB582</f>
        <v/>
      </c>
      <c r="AC731" s="1277">
        <f>AC582-AB582</f>
        <v/>
      </c>
      <c r="AD731" s="1277">
        <f>AD582-AC582</f>
        <v/>
      </c>
      <c r="AE731" s="1277">
        <f>AE582-AD582</f>
        <v/>
      </c>
      <c r="AF731" s="1297">
        <f>AF582</f>
        <v/>
      </c>
      <c r="AG731" s="1277">
        <f>AG582</f>
        <v/>
      </c>
      <c r="AH731" s="1277">
        <f>AH582-AG582</f>
        <v/>
      </c>
      <c r="AI731" s="1277">
        <f>AI582-AH582</f>
        <v/>
      </c>
      <c r="AJ731" s="1277">
        <f>AJ582-AI582</f>
        <v/>
      </c>
      <c r="AK731" s="1297">
        <f>SUM(AG731,AH731,AI731,AJ731)</f>
        <v/>
      </c>
      <c r="AL731" s="1277">
        <f>AL582</f>
        <v/>
      </c>
      <c r="AM731" s="1277">
        <f>AM582-AL582</f>
        <v/>
      </c>
      <c r="AN731" s="1277">
        <f>AN582-AM582</f>
        <v/>
      </c>
      <c r="AO731" s="1277">
        <f>AO582-AN582</f>
        <v/>
      </c>
      <c r="AP731" s="1297">
        <f>SUM(AL731,AM731,AN731,AO731)</f>
        <v/>
      </c>
      <c r="AQ731" s="1277">
        <f>AQ582</f>
        <v/>
      </c>
      <c r="AR731" s="1277">
        <f>AR582-AQ582</f>
        <v/>
      </c>
      <c r="AS731" s="1277">
        <f>AS582-AR582</f>
        <v/>
      </c>
      <c r="AT731" s="1277">
        <f>AT582-AS582</f>
        <v/>
      </c>
      <c r="AU731" s="1297">
        <f>SUM(AQ731,AR731,AS731,AT731)</f>
        <v/>
      </c>
      <c r="AV731" s="1277">
        <f>AV582</f>
        <v/>
      </c>
      <c r="AW731" s="1277">
        <f>AW582-AV582</f>
        <v/>
      </c>
      <c r="AX731" s="1277">
        <f>AX582-AW582</f>
        <v/>
      </c>
      <c r="AY731" s="1277">
        <f>AY582-AX582</f>
        <v/>
      </c>
      <c r="AZ731" s="1297">
        <f>SUM(AV731,AW731,AX731,AY731)</f>
        <v/>
      </c>
      <c r="BA731" s="1277">
        <f>BA582</f>
        <v/>
      </c>
      <c r="BB731" s="1277">
        <f>BB582-BA582</f>
        <v/>
      </c>
      <c r="BC731" s="1277">
        <f>BC582-BB582</f>
        <v/>
      </c>
      <c r="BD731" s="1277">
        <f>BD582-BC582</f>
        <v/>
      </c>
      <c r="BE731" s="1297">
        <f>SUM(BA731,BB731,BC731,BD731)</f>
        <v/>
      </c>
      <c r="BF731" s="1277">
        <f>BF582</f>
        <v/>
      </c>
      <c r="BG731" s="1277">
        <f>BG582-BF582</f>
        <v/>
      </c>
      <c r="BH731" s="1277">
        <f>BH582-BG582</f>
        <v/>
      </c>
      <c r="BI731" s="1277">
        <f>BI582-BH582</f>
        <v/>
      </c>
      <c r="BJ731" s="1297">
        <f>SUM(BF731,BG731,BH731,BI731)</f>
        <v/>
      </c>
      <c r="BK731" s="1277">
        <f>BK582</f>
        <v/>
      </c>
      <c r="BL731" s="1277">
        <f>BL582-BK582</f>
        <v/>
      </c>
      <c r="BM731" s="1277">
        <f>BM582-BL582</f>
        <v/>
      </c>
      <c r="BN731" s="1277">
        <f>BN582-BM582</f>
        <v/>
      </c>
      <c r="BO731" s="1382">
        <f>SUM(BK731,BL731,BM731,BN731)</f>
        <v/>
      </c>
      <c r="BP731" s="1277" t="n"/>
      <c r="BQ731" s="1277" t="n"/>
      <c r="BR731" s="1277" t="n"/>
      <c r="BS731" s="1277" t="n"/>
      <c r="BT731" s="1297">
        <f>SUM(BP731,BQ731,BR731,BS731)</f>
        <v/>
      </c>
      <c r="BU731" s="1277" t="n"/>
      <c r="BV731" s="1277" t="n"/>
      <c r="BW731" s="1277" t="n"/>
      <c r="BX731" s="1277" t="n"/>
      <c r="BY731" s="1297">
        <f>SUM(BU731,BV731,BW731,BX731)</f>
        <v/>
      </c>
      <c r="BZ731" s="1297" t="n"/>
      <c r="CA731" s="1297" t="n"/>
      <c r="CB731" s="1297" t="n"/>
      <c r="CC731" s="1280" t="n"/>
    </row>
    <row r="732" ht="14.4" customFormat="1" customHeight="1" s="1275">
      <c r="A732" s="1384">
        <f>A583</f>
        <v/>
      </c>
      <c r="B732" s="1387" t="n"/>
      <c r="C732" s="1297">
        <f>C583</f>
        <v/>
      </c>
      <c r="D732" s="1297">
        <f>D583</f>
        <v/>
      </c>
      <c r="E732" s="1297">
        <f>E583</f>
        <v/>
      </c>
      <c r="F732" s="1297">
        <f>F583</f>
        <v/>
      </c>
      <c r="G732" s="1297">
        <f>G583</f>
        <v/>
      </c>
      <c r="H732" s="1277">
        <f>H583</f>
        <v/>
      </c>
      <c r="I732" s="1277">
        <f>I583-H583</f>
        <v/>
      </c>
      <c r="J732" s="1277">
        <f>J583-I583</f>
        <v/>
      </c>
      <c r="K732" s="1277">
        <f>K583-J583</f>
        <v/>
      </c>
      <c r="L732" s="1297">
        <f>L583</f>
        <v/>
      </c>
      <c r="M732" s="1277">
        <f>M583</f>
        <v/>
      </c>
      <c r="N732" s="1277">
        <f>N583-M583</f>
        <v/>
      </c>
      <c r="O732" s="1277">
        <f>O583-N583</f>
        <v/>
      </c>
      <c r="P732" s="1277">
        <f>P583-O583</f>
        <v/>
      </c>
      <c r="Q732" s="1297">
        <f>Q583</f>
        <v/>
      </c>
      <c r="R732" s="1277">
        <f>R583</f>
        <v/>
      </c>
      <c r="S732" s="1277">
        <f>S583-R583</f>
        <v/>
      </c>
      <c r="T732" s="1277">
        <f>T583-S583</f>
        <v/>
      </c>
      <c r="U732" s="1277">
        <f>U583-T583</f>
        <v/>
      </c>
      <c r="V732" s="1297">
        <f>V583</f>
        <v/>
      </c>
      <c r="W732" s="1277">
        <f>W583</f>
        <v/>
      </c>
      <c r="X732" s="1277">
        <f>X583-W583</f>
        <v/>
      </c>
      <c r="Y732" s="1277">
        <f>Y583-X583</f>
        <v/>
      </c>
      <c r="Z732" s="1277">
        <f>Z583-Y583</f>
        <v/>
      </c>
      <c r="AA732" s="1297">
        <f>AA583</f>
        <v/>
      </c>
      <c r="AB732" s="1277">
        <f>AB583</f>
        <v/>
      </c>
      <c r="AC732" s="1277">
        <f>AC583-AB583</f>
        <v/>
      </c>
      <c r="AD732" s="1277">
        <f>AD583-AC583</f>
        <v/>
      </c>
      <c r="AE732" s="1277">
        <f>AE583-AD583</f>
        <v/>
      </c>
      <c r="AF732" s="1297">
        <f>AF583</f>
        <v/>
      </c>
      <c r="AG732" s="1277">
        <f>AG583</f>
        <v/>
      </c>
      <c r="AH732" s="1277">
        <f>AH583-AG583</f>
        <v/>
      </c>
      <c r="AI732" s="1277">
        <f>AI583-AH583</f>
        <v/>
      </c>
      <c r="AJ732" s="1277">
        <f>AJ583-AI583</f>
        <v/>
      </c>
      <c r="AK732" s="1297">
        <f>SUM(AG732,AH732,AI732,AJ732)</f>
        <v/>
      </c>
      <c r="AL732" s="1277">
        <f>AL583</f>
        <v/>
      </c>
      <c r="AM732" s="1277">
        <f>AM583-AL583</f>
        <v/>
      </c>
      <c r="AN732" s="1277">
        <f>AN583-AM583</f>
        <v/>
      </c>
      <c r="AO732" s="1277">
        <f>AO583-AN583</f>
        <v/>
      </c>
      <c r="AP732" s="1297">
        <f>SUM(AL732,AM732,AN732,AO732)</f>
        <v/>
      </c>
      <c r="AQ732" s="1277">
        <f>AQ583</f>
        <v/>
      </c>
      <c r="AR732" s="1277">
        <f>AR583-AQ583</f>
        <v/>
      </c>
      <c r="AS732" s="1277">
        <f>AS583-AR583</f>
        <v/>
      </c>
      <c r="AT732" s="1277">
        <f>AT583-AS583</f>
        <v/>
      </c>
      <c r="AU732" s="1297">
        <f>SUM(AQ732,AR732,AS732,AT732)</f>
        <v/>
      </c>
      <c r="AV732" s="1277">
        <f>AV583</f>
        <v/>
      </c>
      <c r="AW732" s="1277">
        <f>AW583-AV583</f>
        <v/>
      </c>
      <c r="AX732" s="1277">
        <f>AX583-AW583</f>
        <v/>
      </c>
      <c r="AY732" s="1277">
        <f>AY583-AX583</f>
        <v/>
      </c>
      <c r="AZ732" s="1297">
        <f>SUM(AV732,AW732,AX732,AY732)</f>
        <v/>
      </c>
      <c r="BA732" s="1277">
        <f>BA583</f>
        <v/>
      </c>
      <c r="BB732" s="1277">
        <f>BB583-BA583</f>
        <v/>
      </c>
      <c r="BC732" s="1277">
        <f>BC583-BB583</f>
        <v/>
      </c>
      <c r="BD732" s="1277">
        <f>BD583-BC583</f>
        <v/>
      </c>
      <c r="BE732" s="1297">
        <f>SUM(BA732,BB732,BC732,BD732)</f>
        <v/>
      </c>
      <c r="BF732" s="1277">
        <f>BF583</f>
        <v/>
      </c>
      <c r="BG732" s="1277">
        <f>BG583-BF583</f>
        <v/>
      </c>
      <c r="BH732" s="1277">
        <f>BH583-BG583</f>
        <v/>
      </c>
      <c r="BI732" s="1277">
        <f>BI583-BH583</f>
        <v/>
      </c>
      <c r="BJ732" s="1297">
        <f>SUM(BF732,BG732,BH732,BI732)</f>
        <v/>
      </c>
      <c r="BK732" s="1277">
        <f>BK583</f>
        <v/>
      </c>
      <c r="BL732" s="1277">
        <f>BL583-BK583</f>
        <v/>
      </c>
      <c r="BM732" s="1277">
        <f>BM583-BL583</f>
        <v/>
      </c>
      <c r="BN732" s="1277">
        <f>BN583-BM583</f>
        <v/>
      </c>
      <c r="BO732" s="1382">
        <f>SUM(BK732,BL732,BM732,BN732)</f>
        <v/>
      </c>
      <c r="BP732" s="1277" t="n"/>
      <c r="BQ732" s="1277" t="n"/>
      <c r="BR732" s="1277" t="n"/>
      <c r="BS732" s="1277" t="n"/>
      <c r="BT732" s="1297">
        <f>SUM(BP732,BQ732,BR732,BS732)</f>
        <v/>
      </c>
      <c r="BU732" s="1277" t="n"/>
      <c r="BV732" s="1277" t="n"/>
      <c r="BW732" s="1277" t="n"/>
      <c r="BX732" s="1277" t="n"/>
      <c r="BY732" s="1297">
        <f>SUM(BU732,BV732,BW732,BX732)</f>
        <v/>
      </c>
      <c r="BZ732" s="1297" t="n"/>
      <c r="CA732" s="1297" t="n"/>
      <c r="CB732" s="1297" t="n"/>
      <c r="CC732" s="1280" t="n"/>
    </row>
    <row r="733" ht="14.4" customFormat="1" customHeight="1" s="1275">
      <c r="A733" s="1384">
        <f>A584</f>
        <v/>
      </c>
      <c r="B733" s="1387" t="n"/>
      <c r="C733" s="1297">
        <f>C584</f>
        <v/>
      </c>
      <c r="D733" s="1297">
        <f>D584</f>
        <v/>
      </c>
      <c r="E733" s="1297">
        <f>E584</f>
        <v/>
      </c>
      <c r="F733" s="1297">
        <f>F584</f>
        <v/>
      </c>
      <c r="G733" s="1297">
        <f>G584</f>
        <v/>
      </c>
      <c r="H733" s="1277">
        <f>H584</f>
        <v/>
      </c>
      <c r="I733" s="1277">
        <f>I584-H584</f>
        <v/>
      </c>
      <c r="J733" s="1277">
        <f>J584-I584</f>
        <v/>
      </c>
      <c r="K733" s="1277">
        <f>K584-J584</f>
        <v/>
      </c>
      <c r="L733" s="1297">
        <f>L584</f>
        <v/>
      </c>
      <c r="M733" s="1277">
        <f>M584</f>
        <v/>
      </c>
      <c r="N733" s="1277">
        <f>N584-M584</f>
        <v/>
      </c>
      <c r="O733" s="1277">
        <f>O584-N584</f>
        <v/>
      </c>
      <c r="P733" s="1277">
        <f>P584-O584</f>
        <v/>
      </c>
      <c r="Q733" s="1297">
        <f>Q584</f>
        <v/>
      </c>
      <c r="R733" s="1277">
        <f>R584</f>
        <v/>
      </c>
      <c r="S733" s="1277">
        <f>S584-R584</f>
        <v/>
      </c>
      <c r="T733" s="1277">
        <f>T584-S584</f>
        <v/>
      </c>
      <c r="U733" s="1277">
        <f>U584-T584</f>
        <v/>
      </c>
      <c r="V733" s="1297">
        <f>V584</f>
        <v/>
      </c>
      <c r="W733" s="1277">
        <f>W584</f>
        <v/>
      </c>
      <c r="X733" s="1277">
        <f>X584-W584</f>
        <v/>
      </c>
      <c r="Y733" s="1277">
        <f>Y584-X584</f>
        <v/>
      </c>
      <c r="Z733" s="1277">
        <f>Z584-Y584</f>
        <v/>
      </c>
      <c r="AA733" s="1297">
        <f>AA584</f>
        <v/>
      </c>
      <c r="AB733" s="1277">
        <f>AB584</f>
        <v/>
      </c>
      <c r="AC733" s="1277">
        <f>AC584-AB584</f>
        <v/>
      </c>
      <c r="AD733" s="1277">
        <f>AD584-AC584</f>
        <v/>
      </c>
      <c r="AE733" s="1277">
        <f>AE584-AD584</f>
        <v/>
      </c>
      <c r="AF733" s="1297">
        <f>AF584</f>
        <v/>
      </c>
      <c r="AG733" s="1277">
        <f>AG584</f>
        <v/>
      </c>
      <c r="AH733" s="1277">
        <f>AH584-AG584</f>
        <v/>
      </c>
      <c r="AI733" s="1277">
        <f>AI584-AH584</f>
        <v/>
      </c>
      <c r="AJ733" s="1277">
        <f>AJ584-AI584</f>
        <v/>
      </c>
      <c r="AK733" s="1297">
        <f>SUM(AG733,AH733,AI733,AJ733)</f>
        <v/>
      </c>
      <c r="AL733" s="1277">
        <f>AL584</f>
        <v/>
      </c>
      <c r="AM733" s="1277">
        <f>AM584-AL584</f>
        <v/>
      </c>
      <c r="AN733" s="1277">
        <f>AN584-AM584</f>
        <v/>
      </c>
      <c r="AO733" s="1277">
        <f>AO584-AN584</f>
        <v/>
      </c>
      <c r="AP733" s="1297">
        <f>SUM(AL733,AM733,AN733,AO733)</f>
        <v/>
      </c>
      <c r="AQ733" s="1277">
        <f>AQ584</f>
        <v/>
      </c>
      <c r="AR733" s="1277">
        <f>AR584-AQ584</f>
        <v/>
      </c>
      <c r="AS733" s="1277">
        <f>AS584-AR584</f>
        <v/>
      </c>
      <c r="AT733" s="1277">
        <f>AT584-AS584</f>
        <v/>
      </c>
      <c r="AU733" s="1297">
        <f>SUM(AQ733,AR733,AS733,AT733)</f>
        <v/>
      </c>
      <c r="AV733" s="1277">
        <f>AV584</f>
        <v/>
      </c>
      <c r="AW733" s="1277">
        <f>AW584-AV584</f>
        <v/>
      </c>
      <c r="AX733" s="1277">
        <f>AX584-AW584</f>
        <v/>
      </c>
      <c r="AY733" s="1277">
        <f>AY584-AX584</f>
        <v/>
      </c>
      <c r="AZ733" s="1297">
        <f>SUM(AV733,AW733,AX733,AY733)</f>
        <v/>
      </c>
      <c r="BA733" s="1277">
        <f>BA584</f>
        <v/>
      </c>
      <c r="BB733" s="1277">
        <f>BB584-BA584</f>
        <v/>
      </c>
      <c r="BC733" s="1277">
        <f>BC584-BB584</f>
        <v/>
      </c>
      <c r="BD733" s="1277">
        <f>BD584-BC584</f>
        <v/>
      </c>
      <c r="BE733" s="1297">
        <f>SUM(BA733,BB733,BC733,BD733)</f>
        <v/>
      </c>
      <c r="BF733" s="1277">
        <f>BF584</f>
        <v/>
      </c>
      <c r="BG733" s="1277">
        <f>BG584-BF584</f>
        <v/>
      </c>
      <c r="BH733" s="1277">
        <f>BH584-BG584</f>
        <v/>
      </c>
      <c r="BI733" s="1277">
        <f>BI584-BH584</f>
        <v/>
      </c>
      <c r="BJ733" s="1297">
        <f>SUM(BF733,BG733,BH733,BI733)</f>
        <v/>
      </c>
      <c r="BK733" s="1277">
        <f>BK584</f>
        <v/>
      </c>
      <c r="BL733" s="1277">
        <f>BL584-BK584</f>
        <v/>
      </c>
      <c r="BM733" s="1277">
        <f>BM584-BL584</f>
        <v/>
      </c>
      <c r="BN733" s="1277">
        <f>BN584-BM584</f>
        <v/>
      </c>
      <c r="BO733" s="1382">
        <f>SUM(BK733,BL733,BM733,BN733)</f>
        <v/>
      </c>
      <c r="BP733" s="1277" t="n"/>
      <c r="BQ733" s="1277" t="n"/>
      <c r="BR733" s="1277" t="n"/>
      <c r="BS733" s="1277" t="n"/>
      <c r="BT733" s="1297">
        <f>SUM(BP733,BQ733,BR733,BS733)</f>
        <v/>
      </c>
      <c r="BU733" s="1277" t="n"/>
      <c r="BV733" s="1277" t="n"/>
      <c r="BW733" s="1277" t="n"/>
      <c r="BX733" s="1277" t="n"/>
      <c r="BY733" s="1297">
        <f>SUM(BU733,BV733,BW733,BX733)</f>
        <v/>
      </c>
      <c r="BZ733" s="1297" t="n"/>
      <c r="CA733" s="1297" t="n"/>
      <c r="CB733" s="1297" t="n"/>
      <c r="CC733" s="1280" t="n"/>
    </row>
    <row r="734" ht="14.4" customFormat="1" customHeight="1" s="1275">
      <c r="A734" s="1384">
        <f>A585</f>
        <v/>
      </c>
      <c r="B734" s="1387" t="n"/>
      <c r="C734" s="1297">
        <f>C585</f>
        <v/>
      </c>
      <c r="D734" s="1297">
        <f>D585</f>
        <v/>
      </c>
      <c r="E734" s="1297">
        <f>E585</f>
        <v/>
      </c>
      <c r="F734" s="1297">
        <f>F585</f>
        <v/>
      </c>
      <c r="G734" s="1297">
        <f>G585</f>
        <v/>
      </c>
      <c r="H734" s="1277">
        <f>H585</f>
        <v/>
      </c>
      <c r="I734" s="1277">
        <f>I585-H585</f>
        <v/>
      </c>
      <c r="J734" s="1277">
        <f>J585-I585</f>
        <v/>
      </c>
      <c r="K734" s="1277">
        <f>K585-J585</f>
        <v/>
      </c>
      <c r="L734" s="1297">
        <f>L585</f>
        <v/>
      </c>
      <c r="M734" s="1277">
        <f>M585</f>
        <v/>
      </c>
      <c r="N734" s="1277">
        <f>N585-M585</f>
        <v/>
      </c>
      <c r="O734" s="1277">
        <f>O585-N585</f>
        <v/>
      </c>
      <c r="P734" s="1277">
        <f>P585-O585</f>
        <v/>
      </c>
      <c r="Q734" s="1297">
        <f>Q585</f>
        <v/>
      </c>
      <c r="R734" s="1277">
        <f>R585</f>
        <v/>
      </c>
      <c r="S734" s="1277">
        <f>S585-R585</f>
        <v/>
      </c>
      <c r="T734" s="1277">
        <f>T585-S585</f>
        <v/>
      </c>
      <c r="U734" s="1277">
        <f>U585-T585</f>
        <v/>
      </c>
      <c r="V734" s="1297">
        <f>V585</f>
        <v/>
      </c>
      <c r="W734" s="1277">
        <f>W585</f>
        <v/>
      </c>
      <c r="X734" s="1277">
        <f>X585-W585</f>
        <v/>
      </c>
      <c r="Y734" s="1277">
        <f>Y585-X585</f>
        <v/>
      </c>
      <c r="Z734" s="1277">
        <f>Z585-Y585</f>
        <v/>
      </c>
      <c r="AA734" s="1297">
        <f>AA585</f>
        <v/>
      </c>
      <c r="AB734" s="1277">
        <f>AB585</f>
        <v/>
      </c>
      <c r="AC734" s="1277">
        <f>AC585-AB585</f>
        <v/>
      </c>
      <c r="AD734" s="1277">
        <f>AD585-AC585</f>
        <v/>
      </c>
      <c r="AE734" s="1277">
        <f>AE585-AD585</f>
        <v/>
      </c>
      <c r="AF734" s="1297">
        <f>AF585</f>
        <v/>
      </c>
      <c r="AG734" s="1277">
        <f>AG585</f>
        <v/>
      </c>
      <c r="AH734" s="1277">
        <f>AH585-AG585</f>
        <v/>
      </c>
      <c r="AI734" s="1277">
        <f>AI585-AH585</f>
        <v/>
      </c>
      <c r="AJ734" s="1277">
        <f>AJ585-AI585</f>
        <v/>
      </c>
      <c r="AK734" s="1297">
        <f>SUM(AG734,AH734,AI734,AJ734)</f>
        <v/>
      </c>
      <c r="AL734" s="1277">
        <f>AL585</f>
        <v/>
      </c>
      <c r="AM734" s="1277">
        <f>AM585-AL585</f>
        <v/>
      </c>
      <c r="AN734" s="1277">
        <f>AN585-AM585</f>
        <v/>
      </c>
      <c r="AO734" s="1277">
        <f>AO585-AN585</f>
        <v/>
      </c>
      <c r="AP734" s="1297">
        <f>SUM(AL734,AM734,AN734,AO734)</f>
        <v/>
      </c>
      <c r="AQ734" s="1277">
        <f>AQ585</f>
        <v/>
      </c>
      <c r="AR734" s="1277">
        <f>AR585-AQ585</f>
        <v/>
      </c>
      <c r="AS734" s="1277">
        <f>AS585-AR585</f>
        <v/>
      </c>
      <c r="AT734" s="1277">
        <f>AT585-AS585</f>
        <v/>
      </c>
      <c r="AU734" s="1297">
        <f>SUM(AQ734,AR734,AS734,AT734)</f>
        <v/>
      </c>
      <c r="AV734" s="1277">
        <f>AV585</f>
        <v/>
      </c>
      <c r="AW734" s="1277">
        <f>AW585-AV585</f>
        <v/>
      </c>
      <c r="AX734" s="1277">
        <f>AX585-AW585</f>
        <v/>
      </c>
      <c r="AY734" s="1277">
        <f>AY585-AX585</f>
        <v/>
      </c>
      <c r="AZ734" s="1297">
        <f>SUM(AV734,AW734,AX734,AY734)</f>
        <v/>
      </c>
      <c r="BA734" s="1277">
        <f>BA585</f>
        <v/>
      </c>
      <c r="BB734" s="1277">
        <f>BB585-BA585</f>
        <v/>
      </c>
      <c r="BC734" s="1277">
        <f>BC585-BB585</f>
        <v/>
      </c>
      <c r="BD734" s="1277">
        <f>BD585-BC585</f>
        <v/>
      </c>
      <c r="BE734" s="1297">
        <f>SUM(BA734,BB734,BC734,BD734)</f>
        <v/>
      </c>
      <c r="BF734" s="1277">
        <f>BF585</f>
        <v/>
      </c>
      <c r="BG734" s="1277">
        <f>BG585-BF585</f>
        <v/>
      </c>
      <c r="BH734" s="1277">
        <f>BH585-BG585</f>
        <v/>
      </c>
      <c r="BI734" s="1277">
        <f>BI585-BH585</f>
        <v/>
      </c>
      <c r="BJ734" s="1297">
        <f>SUM(BF734,BG734,BH734,BI734)</f>
        <v/>
      </c>
      <c r="BK734" s="1277">
        <f>BK585</f>
        <v/>
      </c>
      <c r="BL734" s="1277">
        <f>BL585-BK585</f>
        <v/>
      </c>
      <c r="BM734" s="1277">
        <f>BM585-BL585</f>
        <v/>
      </c>
      <c r="BN734" s="1277">
        <f>BN585-BM585</f>
        <v/>
      </c>
      <c r="BO734" s="1382">
        <f>SUM(BK734,BL734,BM734,BN734)</f>
        <v/>
      </c>
      <c r="BP734" s="1277" t="n"/>
      <c r="BQ734" s="1277" t="n"/>
      <c r="BR734" s="1277" t="n"/>
      <c r="BS734" s="1277" t="n"/>
      <c r="BT734" s="1297">
        <f>SUM(BP734,BQ734,BR734,BS734)</f>
        <v/>
      </c>
      <c r="BU734" s="1277" t="n"/>
      <c r="BV734" s="1277" t="n"/>
      <c r="BW734" s="1277" t="n"/>
      <c r="BX734" s="1277" t="n"/>
      <c r="BY734" s="1297">
        <f>SUM(BU734,BV734,BW734,BX734)</f>
        <v/>
      </c>
      <c r="BZ734" s="1297" t="n"/>
      <c r="CA734" s="1297" t="n"/>
      <c r="CB734" s="1297" t="n"/>
      <c r="CC734" s="1280" t="n"/>
    </row>
    <row r="735" ht="14.4" customFormat="1" customHeight="1" s="1275">
      <c r="A735" s="1384">
        <f>A586</f>
        <v/>
      </c>
      <c r="B735" s="1387" t="n"/>
      <c r="C735" s="1297">
        <f>C586</f>
        <v/>
      </c>
      <c r="D735" s="1297">
        <f>D586</f>
        <v/>
      </c>
      <c r="E735" s="1297">
        <f>E586</f>
        <v/>
      </c>
      <c r="F735" s="1297">
        <f>F586</f>
        <v/>
      </c>
      <c r="G735" s="1297">
        <f>G586</f>
        <v/>
      </c>
      <c r="H735" s="1277">
        <f>H586</f>
        <v/>
      </c>
      <c r="I735" s="1277">
        <f>I586-H586</f>
        <v/>
      </c>
      <c r="J735" s="1277">
        <f>J586-I586</f>
        <v/>
      </c>
      <c r="K735" s="1277">
        <f>K586-J586</f>
        <v/>
      </c>
      <c r="L735" s="1297">
        <f>L586</f>
        <v/>
      </c>
      <c r="M735" s="1277">
        <f>M586</f>
        <v/>
      </c>
      <c r="N735" s="1277">
        <f>N586-M586</f>
        <v/>
      </c>
      <c r="O735" s="1277">
        <f>O586-N586</f>
        <v/>
      </c>
      <c r="P735" s="1277">
        <f>P586-O586</f>
        <v/>
      </c>
      <c r="Q735" s="1297">
        <f>Q586</f>
        <v/>
      </c>
      <c r="R735" s="1277">
        <f>R586</f>
        <v/>
      </c>
      <c r="S735" s="1277">
        <f>S586-R586</f>
        <v/>
      </c>
      <c r="T735" s="1277">
        <f>T586-S586</f>
        <v/>
      </c>
      <c r="U735" s="1277">
        <f>U586-T586</f>
        <v/>
      </c>
      <c r="V735" s="1297">
        <f>V586</f>
        <v/>
      </c>
      <c r="W735" s="1277">
        <f>W586</f>
        <v/>
      </c>
      <c r="X735" s="1277">
        <f>X586-W586</f>
        <v/>
      </c>
      <c r="Y735" s="1277">
        <f>Y586-X586</f>
        <v/>
      </c>
      <c r="Z735" s="1277">
        <f>Z586-Y586</f>
        <v/>
      </c>
      <c r="AA735" s="1297">
        <f>AA586</f>
        <v/>
      </c>
      <c r="AB735" s="1277">
        <f>AB586</f>
        <v/>
      </c>
      <c r="AC735" s="1277">
        <f>AC586-AB586</f>
        <v/>
      </c>
      <c r="AD735" s="1277">
        <f>AD586-AC586</f>
        <v/>
      </c>
      <c r="AE735" s="1277">
        <f>AE586-AD586</f>
        <v/>
      </c>
      <c r="AF735" s="1297">
        <f>AF586</f>
        <v/>
      </c>
      <c r="AG735" s="1277">
        <f>AG586</f>
        <v/>
      </c>
      <c r="AH735" s="1277">
        <f>AH586-AG586</f>
        <v/>
      </c>
      <c r="AI735" s="1277">
        <f>AI586-AH586</f>
        <v/>
      </c>
      <c r="AJ735" s="1277">
        <f>AJ586-AI586</f>
        <v/>
      </c>
      <c r="AK735" s="1297">
        <f>SUM(AG735,AH735,AI735,AJ735)</f>
        <v/>
      </c>
      <c r="AL735" s="1277">
        <f>AL586</f>
        <v/>
      </c>
      <c r="AM735" s="1277">
        <f>AM586-AL586</f>
        <v/>
      </c>
      <c r="AN735" s="1277">
        <f>AN586-AM586</f>
        <v/>
      </c>
      <c r="AO735" s="1277">
        <f>AO586-AN586</f>
        <v/>
      </c>
      <c r="AP735" s="1297">
        <f>SUM(AL735,AM735,AN735,AO735)</f>
        <v/>
      </c>
      <c r="AQ735" s="1277">
        <f>AQ586</f>
        <v/>
      </c>
      <c r="AR735" s="1277">
        <f>AR586-AQ586</f>
        <v/>
      </c>
      <c r="AS735" s="1277">
        <f>AS586-AR586</f>
        <v/>
      </c>
      <c r="AT735" s="1277">
        <f>AT586-AS586</f>
        <v/>
      </c>
      <c r="AU735" s="1297">
        <f>SUM(AQ735,AR735,AS735,AT735)</f>
        <v/>
      </c>
      <c r="AV735" s="1277">
        <f>AV586</f>
        <v/>
      </c>
      <c r="AW735" s="1277">
        <f>AW586-AV586</f>
        <v/>
      </c>
      <c r="AX735" s="1277">
        <f>AX586-AW586</f>
        <v/>
      </c>
      <c r="AY735" s="1277">
        <f>AY586-AX586</f>
        <v/>
      </c>
      <c r="AZ735" s="1297">
        <f>SUM(AV735,AW735,AX735,AY735)</f>
        <v/>
      </c>
      <c r="BA735" s="1277">
        <f>BA586</f>
        <v/>
      </c>
      <c r="BB735" s="1277">
        <f>BB586-BA586</f>
        <v/>
      </c>
      <c r="BC735" s="1277">
        <f>BC586-BB586</f>
        <v/>
      </c>
      <c r="BD735" s="1277">
        <f>BD586-BC586</f>
        <v/>
      </c>
      <c r="BE735" s="1297">
        <f>SUM(BA735,BB735,BC735,BD735)</f>
        <v/>
      </c>
      <c r="BF735" s="1277">
        <f>BF586</f>
        <v/>
      </c>
      <c r="BG735" s="1277">
        <f>BG586-BF586</f>
        <v/>
      </c>
      <c r="BH735" s="1277">
        <f>BH586-BG586</f>
        <v/>
      </c>
      <c r="BI735" s="1277">
        <f>BI586-BH586</f>
        <v/>
      </c>
      <c r="BJ735" s="1297">
        <f>SUM(BF735,BG735,BH735,BI735)</f>
        <v/>
      </c>
      <c r="BK735" s="1277">
        <f>BK586</f>
        <v/>
      </c>
      <c r="BL735" s="1277">
        <f>BL586-BK586</f>
        <v/>
      </c>
      <c r="BM735" s="1277">
        <f>BM586-BL586</f>
        <v/>
      </c>
      <c r="BN735" s="1277">
        <f>BN586-BM586</f>
        <v/>
      </c>
      <c r="BO735" s="1382">
        <f>SUM(BK735,BL735,BM735,BN735)</f>
        <v/>
      </c>
      <c r="BP735" s="1277" t="n"/>
      <c r="BQ735" s="1277" t="n"/>
      <c r="BR735" s="1277" t="n"/>
      <c r="BS735" s="1277" t="n"/>
      <c r="BT735" s="1297">
        <f>SUM(BP735,BQ735,BR735,BS735)</f>
        <v/>
      </c>
      <c r="BU735" s="1277" t="n"/>
      <c r="BV735" s="1277" t="n"/>
      <c r="BW735" s="1277" t="n"/>
      <c r="BX735" s="1277" t="n"/>
      <c r="BY735" s="1297">
        <f>SUM(BU735,BV735,BW735,BX735)</f>
        <v/>
      </c>
      <c r="BZ735" s="1297" t="n"/>
      <c r="CA735" s="1297" t="n"/>
      <c r="CB735" s="1297" t="n"/>
      <c r="CC735" s="1280" t="n"/>
    </row>
    <row r="736" ht="14.4" customFormat="1" customHeight="1" s="1275">
      <c r="A736" s="1388">
        <f>A587</f>
        <v/>
      </c>
      <c r="B736" s="1389" t="n"/>
      <c r="C736" s="1364">
        <f>C587</f>
        <v/>
      </c>
      <c r="D736" s="1364">
        <f>D587</f>
        <v/>
      </c>
      <c r="E736" s="1364">
        <f>E587</f>
        <v/>
      </c>
      <c r="F736" s="1364">
        <f>F587</f>
        <v/>
      </c>
      <c r="G736" s="1364">
        <f>G587</f>
        <v/>
      </c>
      <c r="H736" s="1365">
        <f>H587</f>
        <v/>
      </c>
      <c r="I736" s="1365">
        <f>I587-H587</f>
        <v/>
      </c>
      <c r="J736" s="1365">
        <f>J587-I587</f>
        <v/>
      </c>
      <c r="K736" s="1365">
        <f>K587-J587</f>
        <v/>
      </c>
      <c r="L736" s="1364">
        <f>L587</f>
        <v/>
      </c>
      <c r="M736" s="1365">
        <f>M587</f>
        <v/>
      </c>
      <c r="N736" s="1365">
        <f>N587-M587</f>
        <v/>
      </c>
      <c r="O736" s="1365">
        <f>O587-N587</f>
        <v/>
      </c>
      <c r="P736" s="1365">
        <f>P587-O587</f>
        <v/>
      </c>
      <c r="Q736" s="1364">
        <f>Q587</f>
        <v/>
      </c>
      <c r="R736" s="1365">
        <f>R587</f>
        <v/>
      </c>
      <c r="S736" s="1365">
        <f>S587-R587</f>
        <v/>
      </c>
      <c r="T736" s="1365">
        <f>T587-S587</f>
        <v/>
      </c>
      <c r="U736" s="1365">
        <f>U587-T587</f>
        <v/>
      </c>
      <c r="V736" s="1364">
        <f>V587</f>
        <v/>
      </c>
      <c r="W736" s="1365">
        <f>W587</f>
        <v/>
      </c>
      <c r="X736" s="1365">
        <f>X587-W587</f>
        <v/>
      </c>
      <c r="Y736" s="1365">
        <f>Y587-X587</f>
        <v/>
      </c>
      <c r="Z736" s="1365">
        <f>Z587-Y587</f>
        <v/>
      </c>
      <c r="AA736" s="1364">
        <f>AA587</f>
        <v/>
      </c>
      <c r="AB736" s="1365">
        <f>AB587</f>
        <v/>
      </c>
      <c r="AC736" s="1365">
        <f>AC587-AB587</f>
        <v/>
      </c>
      <c r="AD736" s="1365">
        <f>AD587-AC587</f>
        <v/>
      </c>
      <c r="AE736" s="1365">
        <f>AE587-AD587</f>
        <v/>
      </c>
      <c r="AF736" s="1364">
        <f>AF587</f>
        <v/>
      </c>
      <c r="AG736" s="1365">
        <f>AG587</f>
        <v/>
      </c>
      <c r="AH736" s="1365">
        <f>AH587-AG587</f>
        <v/>
      </c>
      <c r="AI736" s="1365">
        <f>AI587-AH587</f>
        <v/>
      </c>
      <c r="AJ736" s="1365">
        <f>AJ587-AI587</f>
        <v/>
      </c>
      <c r="AK736" s="1364">
        <f>SUM(AG736,AH736,AI736,AJ736)</f>
        <v/>
      </c>
      <c r="AL736" s="1365">
        <f>AL587</f>
        <v/>
      </c>
      <c r="AM736" s="1365">
        <f>AM587-AL587</f>
        <v/>
      </c>
      <c r="AN736" s="1365">
        <f>AN587-AM587</f>
        <v/>
      </c>
      <c r="AO736" s="1365">
        <f>AO587-AN587</f>
        <v/>
      </c>
      <c r="AP736" s="1364">
        <f>SUM(AL736,AM736,AN736,AO736)</f>
        <v/>
      </c>
      <c r="AQ736" s="1365">
        <f>AQ587</f>
        <v/>
      </c>
      <c r="AR736" s="1365">
        <f>AR587-AQ587</f>
        <v/>
      </c>
      <c r="AS736" s="1365">
        <f>AS587-AR587</f>
        <v/>
      </c>
      <c r="AT736" s="1365">
        <f>AT587-AS587</f>
        <v/>
      </c>
      <c r="AU736" s="1364">
        <f>SUM(AQ736,AR736,AS736,AT736)</f>
        <v/>
      </c>
      <c r="AV736" s="1365">
        <f>AV587</f>
        <v/>
      </c>
      <c r="AW736" s="1365">
        <f>AW587-AV587</f>
        <v/>
      </c>
      <c r="AX736" s="1365">
        <f>AX587-AW587</f>
        <v/>
      </c>
      <c r="AY736" s="1365">
        <f>AY587-AX587</f>
        <v/>
      </c>
      <c r="AZ736" s="1364">
        <f>SUM(AV736,AW736,AX736,AY736)</f>
        <v/>
      </c>
      <c r="BA736" s="1365">
        <f>BA587</f>
        <v/>
      </c>
      <c r="BB736" s="1365">
        <f>BB587-BA587</f>
        <v/>
      </c>
      <c r="BC736" s="1365">
        <f>BC587-BB587</f>
        <v/>
      </c>
      <c r="BD736" s="1365">
        <f>BD587-BC587</f>
        <v/>
      </c>
      <c r="BE736" s="1364">
        <f>SUM(BA736,BB736,BC736,BD736)</f>
        <v/>
      </c>
      <c r="BF736" s="1365">
        <f>BF587</f>
        <v/>
      </c>
      <c r="BG736" s="1365">
        <f>BG587-BF587</f>
        <v/>
      </c>
      <c r="BH736" s="1365">
        <f>BH587-BG587</f>
        <v/>
      </c>
      <c r="BI736" s="1365">
        <f>BI587-BH587</f>
        <v/>
      </c>
      <c r="BJ736" s="1364">
        <f>SUM(BF736,BG736,BH736,BI736)</f>
        <v/>
      </c>
      <c r="BK736" s="1365">
        <f>BK587</f>
        <v/>
      </c>
      <c r="BL736" s="1365">
        <f>BL587-BK587</f>
        <v/>
      </c>
      <c r="BM736" s="1365">
        <f>BM587-BL587</f>
        <v/>
      </c>
      <c r="BN736" s="1365">
        <f>BN587-BM587</f>
        <v/>
      </c>
      <c r="BO736" s="1366">
        <f>SUM(BK736,BL736,BM736,BN736)</f>
        <v/>
      </c>
      <c r="BP736" s="1365" t="n"/>
      <c r="BQ736" s="1365" t="n"/>
      <c r="BR736" s="1365" t="n"/>
      <c r="BS736" s="1365" t="n"/>
      <c r="BT736" s="1364">
        <f>SUM(BP736,BQ736,BR736,BS736)</f>
        <v/>
      </c>
      <c r="BU736" s="1365" t="n"/>
      <c r="BV736" s="1365" t="n"/>
      <c r="BW736" s="1365" t="n"/>
      <c r="BX736" s="1365" t="n"/>
      <c r="BY736" s="1364">
        <f>SUM(BU736,BV736,BW736,BX736)</f>
        <v/>
      </c>
      <c r="BZ736" s="1364" t="n"/>
      <c r="CA736" s="1364" t="n"/>
      <c r="CB736" s="1364" t="n"/>
      <c r="CC736" s="1280" t="n"/>
    </row>
    <row r="737" ht="14.4" customFormat="1" customHeight="1" s="1323">
      <c r="A737" s="1392">
        <f>A588</f>
        <v/>
      </c>
      <c r="B737" s="1393" t="n"/>
      <c r="C737" s="1326">
        <f>SUM(C715:C736)</f>
        <v/>
      </c>
      <c r="D737" s="1326">
        <f>SUM(D715:D736)</f>
        <v/>
      </c>
      <c r="E737" s="1326">
        <f>SUM(E715:E736)</f>
        <v/>
      </c>
      <c r="F737" s="1326">
        <f>SUM(F715:F736)</f>
        <v/>
      </c>
      <c r="G737" s="1326">
        <f>SUM(G715:G736)</f>
        <v/>
      </c>
      <c r="H737" s="1327">
        <f>SUM(H715:H736)</f>
        <v/>
      </c>
      <c r="I737" s="1327">
        <f>SUM(I715:I736)</f>
        <v/>
      </c>
      <c r="J737" s="1327">
        <f>SUM(J715:J736)</f>
        <v/>
      </c>
      <c r="K737" s="1327">
        <f>SUM(K715:K736)</f>
        <v/>
      </c>
      <c r="L737" s="1326">
        <f>SUM(L715:L736)</f>
        <v/>
      </c>
      <c r="M737" s="1327">
        <f>SUM(M715:M736)</f>
        <v/>
      </c>
      <c r="N737" s="1327">
        <f>SUM(N715:N736)</f>
        <v/>
      </c>
      <c r="O737" s="1327">
        <f>SUM(O715:O736)</f>
        <v/>
      </c>
      <c r="P737" s="1327">
        <f>SUM(P715:P736)</f>
        <v/>
      </c>
      <c r="Q737" s="1326">
        <f>SUM(Q715:Q736)</f>
        <v/>
      </c>
      <c r="R737" s="1327">
        <f>SUM(R715:R736)</f>
        <v/>
      </c>
      <c r="S737" s="1327">
        <f>SUM(S715:S736)</f>
        <v/>
      </c>
      <c r="T737" s="1327">
        <f>SUM(T715:T736)</f>
        <v/>
      </c>
      <c r="U737" s="1327">
        <f>SUM(U715:U736)</f>
        <v/>
      </c>
      <c r="V737" s="1326">
        <f>SUM(V715:V736)</f>
        <v/>
      </c>
      <c r="W737" s="1327">
        <f>SUM(W715:W736)</f>
        <v/>
      </c>
      <c r="X737" s="1327">
        <f>SUM(X715:X736)</f>
        <v/>
      </c>
      <c r="Y737" s="1327">
        <f>SUM(Y715:Y736)</f>
        <v/>
      </c>
      <c r="Z737" s="1327">
        <f>SUM(Z715:Z736)</f>
        <v/>
      </c>
      <c r="AA737" s="1326">
        <f>SUM(AA715:AA736)</f>
        <v/>
      </c>
      <c r="AB737" s="1327">
        <f>SUM(AB715:AB736)</f>
        <v/>
      </c>
      <c r="AC737" s="1327">
        <f>SUM(AC715:AC736)</f>
        <v/>
      </c>
      <c r="AD737" s="1327">
        <f>SUM(AD715:AD736)</f>
        <v/>
      </c>
      <c r="AE737" s="1327">
        <f>SUM(AE715:AE736)</f>
        <v/>
      </c>
      <c r="AF737" s="1326">
        <f>SUM(AF715:AF736)</f>
        <v/>
      </c>
      <c r="AG737" s="1327">
        <f>SUM(AG715:AG736)</f>
        <v/>
      </c>
      <c r="AH737" s="1327">
        <f>SUM(AH715:AH736)</f>
        <v/>
      </c>
      <c r="AI737" s="1327">
        <f>SUM(AI715:AI736)</f>
        <v/>
      </c>
      <c r="AJ737" s="1327">
        <f>SUM(AJ715:AJ736)</f>
        <v/>
      </c>
      <c r="AK737" s="1326">
        <f>SUM(AK715:AK736)</f>
        <v/>
      </c>
      <c r="AL737" s="1327">
        <f>SUM(AL715:AL736)</f>
        <v/>
      </c>
      <c r="AM737" s="1327">
        <f>SUM(AM715:AM736)</f>
        <v/>
      </c>
      <c r="AN737" s="1327">
        <f>SUM(AN715:AN736)</f>
        <v/>
      </c>
      <c r="AO737" s="1327">
        <f>SUM(AO715:AO736)</f>
        <v/>
      </c>
      <c r="AP737" s="1326">
        <f>SUM(AP715:AP736)</f>
        <v/>
      </c>
      <c r="AQ737" s="1327">
        <f>SUM(AQ715:AQ736)</f>
        <v/>
      </c>
      <c r="AR737" s="1327">
        <f>SUM(AR715:AR736)</f>
        <v/>
      </c>
      <c r="AS737" s="1327">
        <f>SUM(AS715:AS736)</f>
        <v/>
      </c>
      <c r="AT737" s="1327">
        <f>SUM(AT715:AT736)</f>
        <v/>
      </c>
      <c r="AU737" s="1326">
        <f>SUM(AU715:AU736)</f>
        <v/>
      </c>
      <c r="AV737" s="1327">
        <f>SUM(AV715:AV736)</f>
        <v/>
      </c>
      <c r="AW737" s="1327">
        <f>SUM(AW715:AW736)</f>
        <v/>
      </c>
      <c r="AX737" s="1327">
        <f>SUM(AX715:AX736)</f>
        <v/>
      </c>
      <c r="AY737" s="1327">
        <f>SUM(AY715:AY736)</f>
        <v/>
      </c>
      <c r="AZ737" s="1326">
        <f>SUM(AZ715:AZ736)</f>
        <v/>
      </c>
      <c r="BA737" s="1327">
        <f>SUM(BA715:BA736)</f>
        <v/>
      </c>
      <c r="BB737" s="1327">
        <f>SUM(BB715:BB736)</f>
        <v/>
      </c>
      <c r="BC737" s="1327">
        <f>SUM(BC715:BC736)</f>
        <v/>
      </c>
      <c r="BD737" s="1327">
        <f>SUM(BD715:BD736)</f>
        <v/>
      </c>
      <c r="BE737" s="1326">
        <f>SUM(BE715:BE736)</f>
        <v/>
      </c>
      <c r="BF737" s="1327">
        <f>SUM(BF715:BF736)</f>
        <v/>
      </c>
      <c r="BG737" s="1327">
        <f>SUM(BG715:BG736)</f>
        <v/>
      </c>
      <c r="BH737" s="1327">
        <f>SUM(BH715:BH736)</f>
        <v/>
      </c>
      <c r="BI737" s="1327">
        <f>SUM(BI715:BI736)</f>
        <v/>
      </c>
      <c r="BJ737" s="1326">
        <f>SUM(BJ715:BJ736)</f>
        <v/>
      </c>
      <c r="BK737" s="1327">
        <f>SUM(BK715:BK736)</f>
        <v/>
      </c>
      <c r="BL737" s="1327">
        <f>SUM(BL715:BL736)</f>
        <v/>
      </c>
      <c r="BM737" s="1327">
        <f>SUM(BM715:BM736)</f>
        <v/>
      </c>
      <c r="BN737" s="1327">
        <f>SUM(BN715:BN736)</f>
        <v/>
      </c>
      <c r="BO737" s="1386">
        <f>SUM(BO715:BO736)</f>
        <v/>
      </c>
      <c r="BP737" s="1327">
        <f>SUM(BP715:BP736)</f>
        <v/>
      </c>
      <c r="BQ737" s="1327">
        <f>SUM(BQ715:BQ736)</f>
        <v/>
      </c>
      <c r="BR737" s="1327">
        <f>SUM(BR715:BR736)</f>
        <v/>
      </c>
      <c r="BS737" s="1327">
        <f>SUM(BS715:BS736)</f>
        <v/>
      </c>
      <c r="BT737" s="1326">
        <f>SUM(BT715:BT736)</f>
        <v/>
      </c>
      <c r="BU737" s="1327">
        <f>SUM(BU715:BU736)</f>
        <v/>
      </c>
      <c r="BV737" s="1327">
        <f>SUM(BV715:BV736)</f>
        <v/>
      </c>
      <c r="BW737" s="1327">
        <f>SUM(BW715:BW736)</f>
        <v/>
      </c>
      <c r="BX737" s="1327">
        <f>SUM(BX715:BX736)</f>
        <v/>
      </c>
      <c r="BY737" s="1326">
        <f>SUM(BY715:BY736)</f>
        <v/>
      </c>
      <c r="BZ737" s="1326">
        <f>SUM(BZ715:BZ736)</f>
        <v/>
      </c>
      <c r="CA737" s="1326">
        <f>SUM(CA715:CA736)</f>
        <v/>
      </c>
      <c r="CB737" s="1326">
        <f>SUM(CB715:CB736)</f>
        <v/>
      </c>
      <c r="CC737" s="1331" t="n"/>
    </row>
    <row r="738" ht="14.4" customFormat="1" customHeight="1" s="1323">
      <c r="A738" s="1344" t="n"/>
      <c r="B738" s="1394" t="n"/>
      <c r="C738" s="1345" t="n"/>
      <c r="D738" s="1345" t="n"/>
      <c r="E738" s="1345" t="n"/>
      <c r="F738" s="1345" t="n"/>
      <c r="G738" s="1345" t="n"/>
      <c r="H738" s="1346" t="n"/>
      <c r="I738" s="1346" t="n"/>
      <c r="J738" s="1346" t="n"/>
      <c r="K738" s="1346" t="n"/>
      <c r="L738" s="1345" t="n"/>
      <c r="M738" s="1346" t="n"/>
      <c r="N738" s="1346" t="n"/>
      <c r="O738" s="1346" t="n"/>
      <c r="P738" s="1346" t="n"/>
      <c r="Q738" s="1345" t="n"/>
      <c r="R738" s="1346" t="n"/>
      <c r="S738" s="1346" t="n"/>
      <c r="T738" s="1346" t="n"/>
      <c r="U738" s="1346" t="n"/>
      <c r="V738" s="1345" t="n"/>
      <c r="W738" s="1346" t="n"/>
      <c r="X738" s="1346" t="n"/>
      <c r="Y738" s="1346" t="n"/>
      <c r="Z738" s="1346" t="n"/>
      <c r="AA738" s="1345" t="n"/>
      <c r="AB738" s="1346" t="n"/>
      <c r="AC738" s="1346" t="n"/>
      <c r="AD738" s="1346" t="n"/>
      <c r="AE738" s="1346" t="n"/>
      <c r="AF738" s="1345" t="n"/>
      <c r="AG738" s="1346" t="n"/>
      <c r="AH738" s="1346" t="n"/>
      <c r="AI738" s="1346" t="n"/>
      <c r="AJ738" s="1346" t="n"/>
      <c r="AK738" s="1345" t="n"/>
      <c r="AL738" s="1346" t="n"/>
      <c r="AM738" s="1346" t="n"/>
      <c r="AN738" s="1346" t="n"/>
      <c r="AO738" s="1346" t="n"/>
      <c r="AP738" s="1345" t="n"/>
      <c r="AQ738" s="1346" t="n"/>
      <c r="AR738" s="1346" t="n"/>
      <c r="AS738" s="1346" t="n"/>
      <c r="AT738" s="1346" t="n"/>
      <c r="AU738" s="1345" t="n"/>
      <c r="AV738" s="1346" t="n"/>
      <c r="AW738" s="1346" t="n"/>
      <c r="AX738" s="1346" t="n"/>
      <c r="AY738" s="1346" t="n"/>
      <c r="AZ738" s="1345" t="n"/>
      <c r="BA738" s="1346" t="n"/>
      <c r="BB738" s="1346" t="n"/>
      <c r="BC738" s="1346" t="n"/>
      <c r="BD738" s="1346" t="n"/>
      <c r="BE738" s="1345" t="n"/>
      <c r="BF738" s="1346" t="n"/>
      <c r="BG738" s="1346" t="n"/>
      <c r="BH738" s="1346" t="n"/>
      <c r="BI738" s="1346" t="n"/>
      <c r="BJ738" s="1345" t="n"/>
      <c r="BK738" s="1346" t="n"/>
      <c r="BL738" s="1346" t="n"/>
      <c r="BM738" s="1346" t="n"/>
      <c r="BN738" s="1346" t="n"/>
      <c r="BO738" s="1347" t="n"/>
      <c r="BP738" s="1346" t="n"/>
      <c r="BQ738" s="1346" t="n"/>
      <c r="BR738" s="1346" t="n"/>
      <c r="BS738" s="1346" t="n"/>
      <c r="BT738" s="1297" t="n"/>
      <c r="BU738" s="1346" t="n"/>
      <c r="BV738" s="1346" t="n"/>
      <c r="BW738" s="1346" t="n"/>
      <c r="BX738" s="1346" t="n"/>
      <c r="BY738" s="1297" t="n"/>
      <c r="BZ738" s="1297" t="n"/>
      <c r="CA738" s="1297" t="n"/>
      <c r="CB738" s="1297" t="n"/>
      <c r="CC738" s="1331" t="n"/>
    </row>
    <row r="739" ht="14.4" customFormat="1" customHeight="1" s="1323">
      <c r="A739" s="1344">
        <f>A590</f>
        <v/>
      </c>
      <c r="B739" s="1394" t="n"/>
      <c r="C739" s="1345" t="n"/>
      <c r="D739" s="1345" t="n"/>
      <c r="E739" s="1345" t="n"/>
      <c r="F739" s="1345" t="n"/>
      <c r="G739" s="1345" t="n"/>
      <c r="H739" s="1346" t="n"/>
      <c r="I739" s="1346" t="n"/>
      <c r="J739" s="1346" t="n"/>
      <c r="K739" s="1346" t="n"/>
      <c r="L739" s="1345" t="n"/>
      <c r="M739" s="1346" t="n"/>
      <c r="N739" s="1346" t="n"/>
      <c r="O739" s="1346" t="n"/>
      <c r="P739" s="1346" t="n"/>
      <c r="Q739" s="1345" t="n"/>
      <c r="R739" s="1346" t="n"/>
      <c r="S739" s="1346" t="n"/>
      <c r="T739" s="1346" t="n"/>
      <c r="U739" s="1346" t="n"/>
      <c r="V739" s="1345" t="n"/>
      <c r="W739" s="1346" t="n"/>
      <c r="X739" s="1346" t="n"/>
      <c r="Y739" s="1346" t="n"/>
      <c r="Z739" s="1346" t="n"/>
      <c r="AA739" s="1345" t="n"/>
      <c r="AB739" s="1346" t="n"/>
      <c r="AC739" s="1346" t="n"/>
      <c r="AD739" s="1346" t="n"/>
      <c r="AE739" s="1346" t="n"/>
      <c r="AF739" s="1345" t="n"/>
      <c r="AG739" s="1346" t="n"/>
      <c r="AH739" s="1346" t="n"/>
      <c r="AI739" s="1346" t="n"/>
      <c r="AJ739" s="1346" t="n"/>
      <c r="AK739" s="1345" t="n"/>
      <c r="AL739" s="1346" t="n"/>
      <c r="AM739" s="1346" t="n"/>
      <c r="AN739" s="1346" t="n"/>
      <c r="AO739" s="1346" t="n"/>
      <c r="AP739" s="1345" t="n"/>
      <c r="AQ739" s="1346" t="n"/>
      <c r="AR739" s="1346" t="n"/>
      <c r="AS739" s="1346" t="n"/>
      <c r="AT739" s="1346" t="n"/>
      <c r="AU739" s="1345" t="n"/>
      <c r="AV739" s="1346" t="n"/>
      <c r="AW739" s="1346" t="n"/>
      <c r="AX739" s="1346" t="n"/>
      <c r="AY739" s="1346" t="n"/>
      <c r="AZ739" s="1345" t="n"/>
      <c r="BA739" s="1346" t="n"/>
      <c r="BB739" s="1346" t="n"/>
      <c r="BC739" s="1346" t="n"/>
      <c r="BD739" s="1346" t="n"/>
      <c r="BE739" s="1345" t="n"/>
      <c r="BF739" s="1346" t="n"/>
      <c r="BG739" s="1346" t="n"/>
      <c r="BH739" s="1346" t="n"/>
      <c r="BI739" s="1346" t="n"/>
      <c r="BJ739" s="1345" t="n"/>
      <c r="BK739" s="1346" t="n"/>
      <c r="BL739" s="1346" t="n"/>
      <c r="BM739" s="1346" t="n"/>
      <c r="BN739" s="1346" t="n"/>
      <c r="BO739" s="1347" t="n"/>
      <c r="BP739" s="1346" t="n"/>
      <c r="BQ739" s="1346" t="n"/>
      <c r="BR739" s="1346" t="n"/>
      <c r="BS739" s="1346" t="n"/>
      <c r="BT739" s="1297" t="n"/>
      <c r="BU739" s="1346" t="n"/>
      <c r="BV739" s="1346" t="n"/>
      <c r="BW739" s="1346" t="n"/>
      <c r="BX739" s="1346" t="n"/>
      <c r="BY739" s="1297" t="n"/>
      <c r="BZ739" s="1297" t="n"/>
      <c r="CA739" s="1297" t="n"/>
      <c r="CB739" s="1297" t="n"/>
      <c r="CC739" s="1331" t="n"/>
    </row>
    <row r="740" ht="14.4" customFormat="1" customHeight="1" s="1275">
      <c r="A740" s="1384">
        <f>A591</f>
        <v/>
      </c>
      <c r="B740" s="1387" t="n"/>
      <c r="C740" s="1297">
        <f>C591</f>
        <v/>
      </c>
      <c r="D740" s="1297">
        <f>D591</f>
        <v/>
      </c>
      <c r="E740" s="1297">
        <f>E591</f>
        <v/>
      </c>
      <c r="F740" s="1297">
        <f>F591</f>
        <v/>
      </c>
      <c r="G740" s="1297">
        <f>G591</f>
        <v/>
      </c>
      <c r="H740" s="1277">
        <f>H591</f>
        <v/>
      </c>
      <c r="I740" s="1277">
        <f>I591-H591</f>
        <v/>
      </c>
      <c r="J740" s="1277">
        <f>J591-I591</f>
        <v/>
      </c>
      <c r="K740" s="1277">
        <f>K591-J591</f>
        <v/>
      </c>
      <c r="L740" s="1297">
        <f>L591</f>
        <v/>
      </c>
      <c r="M740" s="1277">
        <f>M591</f>
        <v/>
      </c>
      <c r="N740" s="1277">
        <f>N591-M591</f>
        <v/>
      </c>
      <c r="O740" s="1277">
        <f>O591-N591</f>
        <v/>
      </c>
      <c r="P740" s="1277">
        <f>P591-O591</f>
        <v/>
      </c>
      <c r="Q740" s="1297">
        <f>Q591</f>
        <v/>
      </c>
      <c r="R740" s="1277">
        <f>R591</f>
        <v/>
      </c>
      <c r="S740" s="1277">
        <f>S591-R591</f>
        <v/>
      </c>
      <c r="T740" s="1277">
        <f>T591-S591</f>
        <v/>
      </c>
      <c r="U740" s="1277">
        <f>U591-T591</f>
        <v/>
      </c>
      <c r="V740" s="1297">
        <f>V591</f>
        <v/>
      </c>
      <c r="W740" s="1277">
        <f>W591</f>
        <v/>
      </c>
      <c r="X740" s="1277">
        <f>X591-W591</f>
        <v/>
      </c>
      <c r="Y740" s="1277">
        <f>Y591-X591</f>
        <v/>
      </c>
      <c r="Z740" s="1277">
        <f>Z591-Y591</f>
        <v/>
      </c>
      <c r="AA740" s="1297">
        <f>AA591</f>
        <v/>
      </c>
      <c r="AB740" s="1277">
        <f>AB591</f>
        <v/>
      </c>
      <c r="AC740" s="1277">
        <f>AC591-AB591</f>
        <v/>
      </c>
      <c r="AD740" s="1277">
        <f>AD591-AC591</f>
        <v/>
      </c>
      <c r="AE740" s="1277">
        <f>AE591-AD591</f>
        <v/>
      </c>
      <c r="AF740" s="1297">
        <f>AF591</f>
        <v/>
      </c>
      <c r="AG740" s="1277">
        <f>AG591</f>
        <v/>
      </c>
      <c r="AH740" s="1277">
        <f>AH591-AG591</f>
        <v/>
      </c>
      <c r="AI740" s="1277">
        <f>AI591-AH591</f>
        <v/>
      </c>
      <c r="AJ740" s="1277">
        <f>AJ591-AI591</f>
        <v/>
      </c>
      <c r="AK740" s="1297">
        <f>SUM(AG740,AH740,AI740,AJ740)</f>
        <v/>
      </c>
      <c r="AL740" s="1277">
        <f>AL591</f>
        <v/>
      </c>
      <c r="AM740" s="1277">
        <f>AM591-AL591</f>
        <v/>
      </c>
      <c r="AN740" s="1277">
        <f>AN591-AM591</f>
        <v/>
      </c>
      <c r="AO740" s="1277">
        <f>AO591-AN591</f>
        <v/>
      </c>
      <c r="AP740" s="1297">
        <f>SUM(AL740,AM740,AN740,AO740)</f>
        <v/>
      </c>
      <c r="AQ740" s="1277">
        <f>AQ591</f>
        <v/>
      </c>
      <c r="AR740" s="1277">
        <f>AR591-AQ591</f>
        <v/>
      </c>
      <c r="AS740" s="1277">
        <f>AS591-AR591</f>
        <v/>
      </c>
      <c r="AT740" s="1277">
        <f>AT591-AS591</f>
        <v/>
      </c>
      <c r="AU740" s="1297">
        <f>SUM(AQ740,AR740,AS740,AT740)</f>
        <v/>
      </c>
      <c r="AV740" s="1277">
        <f>AV591</f>
        <v/>
      </c>
      <c r="AW740" s="1277">
        <f>AW591-AV591</f>
        <v/>
      </c>
      <c r="AX740" s="1277">
        <f>AX591-AW591</f>
        <v/>
      </c>
      <c r="AY740" s="1277">
        <f>AY591-AX591</f>
        <v/>
      </c>
      <c r="AZ740" s="1297">
        <f>SUM(AV740,AW740,AX740,AY740)</f>
        <v/>
      </c>
      <c r="BA740" s="1277">
        <f>BA591</f>
        <v/>
      </c>
      <c r="BB740" s="1277">
        <f>BB591-BA591</f>
        <v/>
      </c>
      <c r="BC740" s="1277">
        <f>BC591-BB591</f>
        <v/>
      </c>
      <c r="BD740" s="1277">
        <f>BD591-BC591</f>
        <v/>
      </c>
      <c r="BE740" s="1297">
        <f>SUM(BA740,BB740,BC740,BD740)</f>
        <v/>
      </c>
      <c r="BF740" s="1277">
        <f>BF591</f>
        <v/>
      </c>
      <c r="BG740" s="1277">
        <f>BG591-BF591</f>
        <v/>
      </c>
      <c r="BH740" s="1277">
        <f>BH591-BG591</f>
        <v/>
      </c>
      <c r="BI740" s="1277">
        <f>BI591-BH591</f>
        <v/>
      </c>
      <c r="BJ740" s="1297">
        <f>SUM(BF740,BG740,BH740,BI740)</f>
        <v/>
      </c>
      <c r="BK740" s="1277">
        <f>BK591</f>
        <v/>
      </c>
      <c r="BL740" s="1277">
        <f>BL591-BK591</f>
        <v/>
      </c>
      <c r="BM740" s="1277">
        <f>BM591-BL591</f>
        <v/>
      </c>
      <c r="BN740" s="1277">
        <f>BN591-BM591</f>
        <v/>
      </c>
      <c r="BO740" s="1382">
        <f>SUM(BK740,BL740,BM740,BN740)</f>
        <v/>
      </c>
      <c r="BP740" s="1277" t="n"/>
      <c r="BQ740" s="1277" t="n"/>
      <c r="BR740" s="1277" t="n"/>
      <c r="BS740" s="1277" t="n"/>
      <c r="BT740" s="1297">
        <f>SUM(BP740,BQ740,BR740,BS740)</f>
        <v/>
      </c>
      <c r="BU740" s="1277" t="n"/>
      <c r="BV740" s="1277" t="n"/>
      <c r="BW740" s="1277" t="n"/>
      <c r="BX740" s="1277" t="n"/>
      <c r="BY740" s="1297">
        <f>SUM(BU740,BV740,BW740,BX740)</f>
        <v/>
      </c>
      <c r="BZ740" s="1297" t="n"/>
      <c r="CA740" s="1297" t="n"/>
      <c r="CB740" s="1297" t="n"/>
      <c r="CC740" s="1280" t="n"/>
    </row>
    <row r="741" ht="14.4" customFormat="1" customHeight="1" s="1275">
      <c r="A741" s="1384">
        <f>A592</f>
        <v/>
      </c>
      <c r="B741" s="1387" t="n"/>
      <c r="C741" s="1297">
        <f>C592</f>
        <v/>
      </c>
      <c r="D741" s="1297">
        <f>D592</f>
        <v/>
      </c>
      <c r="E741" s="1297">
        <f>E592</f>
        <v/>
      </c>
      <c r="F741" s="1297">
        <f>F592</f>
        <v/>
      </c>
      <c r="G741" s="1297">
        <f>G592</f>
        <v/>
      </c>
      <c r="H741" s="1277">
        <f>H592</f>
        <v/>
      </c>
      <c r="I741" s="1277">
        <f>I592-H592</f>
        <v/>
      </c>
      <c r="J741" s="1277">
        <f>J592-I592</f>
        <v/>
      </c>
      <c r="K741" s="1277">
        <f>K592-J592</f>
        <v/>
      </c>
      <c r="L741" s="1297">
        <f>L592</f>
        <v/>
      </c>
      <c r="M741" s="1277">
        <f>M592</f>
        <v/>
      </c>
      <c r="N741" s="1277">
        <f>N592-M592</f>
        <v/>
      </c>
      <c r="O741" s="1277">
        <f>O592-N592</f>
        <v/>
      </c>
      <c r="P741" s="1277">
        <f>P592-O592</f>
        <v/>
      </c>
      <c r="Q741" s="1297">
        <f>Q592</f>
        <v/>
      </c>
      <c r="R741" s="1277">
        <f>R592</f>
        <v/>
      </c>
      <c r="S741" s="1277">
        <f>S592-R592</f>
        <v/>
      </c>
      <c r="T741" s="1277">
        <f>T592-S592</f>
        <v/>
      </c>
      <c r="U741" s="1277">
        <f>U592-T592</f>
        <v/>
      </c>
      <c r="V741" s="1297">
        <f>V592</f>
        <v/>
      </c>
      <c r="W741" s="1277">
        <f>W592</f>
        <v/>
      </c>
      <c r="X741" s="1277">
        <f>X592-W592</f>
        <v/>
      </c>
      <c r="Y741" s="1277">
        <f>Y592-X592</f>
        <v/>
      </c>
      <c r="Z741" s="1277">
        <f>Z592-Y592</f>
        <v/>
      </c>
      <c r="AA741" s="1297">
        <f>AA592</f>
        <v/>
      </c>
      <c r="AB741" s="1277">
        <f>AB592</f>
        <v/>
      </c>
      <c r="AC741" s="1277">
        <f>AC592-AB592</f>
        <v/>
      </c>
      <c r="AD741" s="1277">
        <f>AD592-AC592</f>
        <v/>
      </c>
      <c r="AE741" s="1277">
        <f>AE592-AD592</f>
        <v/>
      </c>
      <c r="AF741" s="1297">
        <f>AF592</f>
        <v/>
      </c>
      <c r="AG741" s="1277">
        <f>AG592</f>
        <v/>
      </c>
      <c r="AH741" s="1277">
        <f>AH592-AG592</f>
        <v/>
      </c>
      <c r="AI741" s="1277">
        <f>AI592-AH592</f>
        <v/>
      </c>
      <c r="AJ741" s="1277">
        <f>AJ592-AI592</f>
        <v/>
      </c>
      <c r="AK741" s="1297">
        <f>SUM(AG741,AH741,AI741,AJ741)</f>
        <v/>
      </c>
      <c r="AL741" s="1277">
        <f>AL592</f>
        <v/>
      </c>
      <c r="AM741" s="1277">
        <f>AM592-AL592</f>
        <v/>
      </c>
      <c r="AN741" s="1277">
        <f>AN592-AM592</f>
        <v/>
      </c>
      <c r="AO741" s="1277">
        <f>AO592-AN592</f>
        <v/>
      </c>
      <c r="AP741" s="1297">
        <f>SUM(AL741,AM741,AN741,AO741)</f>
        <v/>
      </c>
      <c r="AQ741" s="1277">
        <f>AQ592</f>
        <v/>
      </c>
      <c r="AR741" s="1277">
        <f>AR592-AQ592</f>
        <v/>
      </c>
      <c r="AS741" s="1277">
        <f>AS592-AR592</f>
        <v/>
      </c>
      <c r="AT741" s="1277">
        <f>AT592-AS592</f>
        <v/>
      </c>
      <c r="AU741" s="1297">
        <f>SUM(AQ741,AR741,AS741,AT741)</f>
        <v/>
      </c>
      <c r="AV741" s="1277">
        <f>AV592</f>
        <v/>
      </c>
      <c r="AW741" s="1277">
        <f>AW592-AV592</f>
        <v/>
      </c>
      <c r="AX741" s="1277">
        <f>AX592-AW592</f>
        <v/>
      </c>
      <c r="AY741" s="1277">
        <f>AY592-AX592</f>
        <v/>
      </c>
      <c r="AZ741" s="1297">
        <f>SUM(AV741,AW741,AX741,AY741)</f>
        <v/>
      </c>
      <c r="BA741" s="1277">
        <f>BA592</f>
        <v/>
      </c>
      <c r="BB741" s="1277">
        <f>BB592-BA592</f>
        <v/>
      </c>
      <c r="BC741" s="1277">
        <f>BC592-BB592</f>
        <v/>
      </c>
      <c r="BD741" s="1277">
        <f>BD592-BC592</f>
        <v/>
      </c>
      <c r="BE741" s="1297">
        <f>SUM(BA741,BB741,BC741,BD741)</f>
        <v/>
      </c>
      <c r="BF741" s="1277">
        <f>BF592</f>
        <v/>
      </c>
      <c r="BG741" s="1277">
        <f>BG592-BF592</f>
        <v/>
      </c>
      <c r="BH741" s="1277">
        <f>BH592-BG592</f>
        <v/>
      </c>
      <c r="BI741" s="1277">
        <f>BI592-BH592</f>
        <v/>
      </c>
      <c r="BJ741" s="1297">
        <f>SUM(BF741,BG741,BH741,BI741)</f>
        <v/>
      </c>
      <c r="BK741" s="1277">
        <f>BK592</f>
        <v/>
      </c>
      <c r="BL741" s="1277">
        <f>BL592-BK592</f>
        <v/>
      </c>
      <c r="BM741" s="1277">
        <f>BM592-BL592</f>
        <v/>
      </c>
      <c r="BN741" s="1277">
        <f>BN592-BM592</f>
        <v/>
      </c>
      <c r="BO741" s="1382">
        <f>SUM(BK741,BL741,BM741,BN741)</f>
        <v/>
      </c>
      <c r="BP741" s="1277" t="n"/>
      <c r="BQ741" s="1277" t="n"/>
      <c r="BR741" s="1277" t="n"/>
      <c r="BS741" s="1277" t="n"/>
      <c r="BT741" s="1297">
        <f>SUM(BP741,BQ741,BR741,BS741)</f>
        <v/>
      </c>
      <c r="BU741" s="1277" t="n"/>
      <c r="BV741" s="1277" t="n"/>
      <c r="BW741" s="1277" t="n"/>
      <c r="BX741" s="1277" t="n"/>
      <c r="BY741" s="1297">
        <f>SUM(BU741,BV741,BW741,BX741)</f>
        <v/>
      </c>
      <c r="BZ741" s="1297" t="n"/>
      <c r="CA741" s="1297" t="n"/>
      <c r="CB741" s="1297" t="n"/>
      <c r="CC741" s="1280" t="n"/>
    </row>
    <row r="742" ht="14.4" customFormat="1" customHeight="1" s="1275">
      <c r="A742" s="1384">
        <f>A593</f>
        <v/>
      </c>
      <c r="B742" s="1387" t="n"/>
      <c r="C742" s="1297">
        <f>C593</f>
        <v/>
      </c>
      <c r="D742" s="1297">
        <f>D593</f>
        <v/>
      </c>
      <c r="E742" s="1297">
        <f>E593</f>
        <v/>
      </c>
      <c r="F742" s="1297">
        <f>F593</f>
        <v/>
      </c>
      <c r="G742" s="1297">
        <f>G593</f>
        <v/>
      </c>
      <c r="H742" s="1277">
        <f>H593</f>
        <v/>
      </c>
      <c r="I742" s="1277">
        <f>I593-H593</f>
        <v/>
      </c>
      <c r="J742" s="1277">
        <f>J593-I593</f>
        <v/>
      </c>
      <c r="K742" s="1277">
        <f>K593-J593</f>
        <v/>
      </c>
      <c r="L742" s="1297">
        <f>L593</f>
        <v/>
      </c>
      <c r="M742" s="1277">
        <f>M593</f>
        <v/>
      </c>
      <c r="N742" s="1277">
        <f>N593-M593</f>
        <v/>
      </c>
      <c r="O742" s="1277">
        <f>O593-N593</f>
        <v/>
      </c>
      <c r="P742" s="1277">
        <f>P593-O593</f>
        <v/>
      </c>
      <c r="Q742" s="1297">
        <f>Q593</f>
        <v/>
      </c>
      <c r="R742" s="1277">
        <f>R593</f>
        <v/>
      </c>
      <c r="S742" s="1277">
        <f>S593-R593</f>
        <v/>
      </c>
      <c r="T742" s="1277">
        <f>T593-S593</f>
        <v/>
      </c>
      <c r="U742" s="1277">
        <f>U593-T593</f>
        <v/>
      </c>
      <c r="V742" s="1297">
        <f>V593</f>
        <v/>
      </c>
      <c r="W742" s="1277">
        <f>W593</f>
        <v/>
      </c>
      <c r="X742" s="1277">
        <f>X593-W593</f>
        <v/>
      </c>
      <c r="Y742" s="1277">
        <f>Y593-X593</f>
        <v/>
      </c>
      <c r="Z742" s="1277">
        <f>Z593-Y593</f>
        <v/>
      </c>
      <c r="AA742" s="1297">
        <f>AA593</f>
        <v/>
      </c>
      <c r="AB742" s="1277">
        <f>AB593</f>
        <v/>
      </c>
      <c r="AC742" s="1277">
        <f>AC593-AB593</f>
        <v/>
      </c>
      <c r="AD742" s="1277">
        <f>AD593-AC593</f>
        <v/>
      </c>
      <c r="AE742" s="1277">
        <f>AE593-AD593</f>
        <v/>
      </c>
      <c r="AF742" s="1297">
        <f>AF593</f>
        <v/>
      </c>
      <c r="AG742" s="1277">
        <f>AG593</f>
        <v/>
      </c>
      <c r="AH742" s="1277">
        <f>AH593-AG593</f>
        <v/>
      </c>
      <c r="AI742" s="1277">
        <f>AI593-AH593</f>
        <v/>
      </c>
      <c r="AJ742" s="1277">
        <f>AJ593-AI593</f>
        <v/>
      </c>
      <c r="AK742" s="1297">
        <f>SUM(AG742,AH742,AI742,AJ742)</f>
        <v/>
      </c>
      <c r="AL742" s="1277">
        <f>AL593</f>
        <v/>
      </c>
      <c r="AM742" s="1277">
        <f>AM593-AL593</f>
        <v/>
      </c>
      <c r="AN742" s="1277">
        <f>AN593-AM593</f>
        <v/>
      </c>
      <c r="AO742" s="1277">
        <f>AO593-AN593</f>
        <v/>
      </c>
      <c r="AP742" s="1297">
        <f>SUM(AL742,AM742,AN742,AO742)</f>
        <v/>
      </c>
      <c r="AQ742" s="1277">
        <f>AQ593</f>
        <v/>
      </c>
      <c r="AR742" s="1277">
        <f>AR593-AQ593</f>
        <v/>
      </c>
      <c r="AS742" s="1277">
        <f>AS593-AR593</f>
        <v/>
      </c>
      <c r="AT742" s="1277">
        <f>AT593-AS593</f>
        <v/>
      </c>
      <c r="AU742" s="1297">
        <f>SUM(AQ742,AR742,AS742,AT742)</f>
        <v/>
      </c>
      <c r="AV742" s="1277">
        <f>AV593</f>
        <v/>
      </c>
      <c r="AW742" s="1277">
        <f>AW593-AV593</f>
        <v/>
      </c>
      <c r="AX742" s="1277">
        <f>AX593-AW593</f>
        <v/>
      </c>
      <c r="AY742" s="1277">
        <f>AY593-AX593</f>
        <v/>
      </c>
      <c r="AZ742" s="1297">
        <f>SUM(AV742,AW742,AX742,AY742)</f>
        <v/>
      </c>
      <c r="BA742" s="1277">
        <f>BA593</f>
        <v/>
      </c>
      <c r="BB742" s="1277">
        <f>BB593-BA593</f>
        <v/>
      </c>
      <c r="BC742" s="1277">
        <f>BC593-BB593</f>
        <v/>
      </c>
      <c r="BD742" s="1277">
        <f>BD593-BC593</f>
        <v/>
      </c>
      <c r="BE742" s="1297">
        <f>SUM(BA742,BB742,BC742,BD742)</f>
        <v/>
      </c>
      <c r="BF742" s="1277">
        <f>BF593</f>
        <v/>
      </c>
      <c r="BG742" s="1277">
        <f>BG593-BF593</f>
        <v/>
      </c>
      <c r="BH742" s="1277">
        <f>BH593-BG593</f>
        <v/>
      </c>
      <c r="BI742" s="1277">
        <f>BI593-BH593</f>
        <v/>
      </c>
      <c r="BJ742" s="1297">
        <f>SUM(BF742,BG742,BH742,BI742)</f>
        <v/>
      </c>
      <c r="BK742" s="1277">
        <f>BK593</f>
        <v/>
      </c>
      <c r="BL742" s="1277">
        <f>BL593-BK593</f>
        <v/>
      </c>
      <c r="BM742" s="1277">
        <f>BM593-BL593</f>
        <v/>
      </c>
      <c r="BN742" s="1277">
        <f>BN593-BM593</f>
        <v/>
      </c>
      <c r="BO742" s="1382">
        <f>SUM(BK742,BL742,BM742,BN742)</f>
        <v/>
      </c>
      <c r="BP742" s="1277" t="n"/>
      <c r="BQ742" s="1277" t="n"/>
      <c r="BR742" s="1277" t="n"/>
      <c r="BS742" s="1277" t="n"/>
      <c r="BT742" s="1297">
        <f>SUM(BP742,BQ742,BR742,BS742)</f>
        <v/>
      </c>
      <c r="BU742" s="1277" t="n"/>
      <c r="BV742" s="1277" t="n"/>
      <c r="BW742" s="1277" t="n"/>
      <c r="BX742" s="1277" t="n"/>
      <c r="BY742" s="1297">
        <f>SUM(BU742,BV742,BW742,BX742)</f>
        <v/>
      </c>
      <c r="BZ742" s="1297" t="n"/>
      <c r="CA742" s="1297" t="n"/>
      <c r="CB742" s="1297" t="n"/>
      <c r="CC742" s="1280" t="n"/>
    </row>
    <row r="743" ht="14.4" customFormat="1" customHeight="1" s="1275">
      <c r="A743" s="1384">
        <f>A594</f>
        <v/>
      </c>
      <c r="B743" s="1387" t="n"/>
      <c r="C743" s="1297">
        <f>C594</f>
        <v/>
      </c>
      <c r="D743" s="1297">
        <f>D594</f>
        <v/>
      </c>
      <c r="E743" s="1297">
        <f>E594</f>
        <v/>
      </c>
      <c r="F743" s="1297">
        <f>F594</f>
        <v/>
      </c>
      <c r="G743" s="1297">
        <f>G594</f>
        <v/>
      </c>
      <c r="H743" s="1277">
        <f>H594</f>
        <v/>
      </c>
      <c r="I743" s="1277">
        <f>I594-H594</f>
        <v/>
      </c>
      <c r="J743" s="1277">
        <f>J594-I594</f>
        <v/>
      </c>
      <c r="K743" s="1277">
        <f>K594-J594</f>
        <v/>
      </c>
      <c r="L743" s="1297">
        <f>L594</f>
        <v/>
      </c>
      <c r="M743" s="1277">
        <f>M594</f>
        <v/>
      </c>
      <c r="N743" s="1277">
        <f>N594-M594</f>
        <v/>
      </c>
      <c r="O743" s="1277">
        <f>O594-N594</f>
        <v/>
      </c>
      <c r="P743" s="1277">
        <f>P594-O594</f>
        <v/>
      </c>
      <c r="Q743" s="1297">
        <f>Q594</f>
        <v/>
      </c>
      <c r="R743" s="1277">
        <f>R594</f>
        <v/>
      </c>
      <c r="S743" s="1277">
        <f>S594-R594</f>
        <v/>
      </c>
      <c r="T743" s="1277">
        <f>T594-S594</f>
        <v/>
      </c>
      <c r="U743" s="1277">
        <f>U594-T594</f>
        <v/>
      </c>
      <c r="V743" s="1297">
        <f>V594</f>
        <v/>
      </c>
      <c r="W743" s="1277">
        <f>W594</f>
        <v/>
      </c>
      <c r="X743" s="1277">
        <f>X594-W594</f>
        <v/>
      </c>
      <c r="Y743" s="1277">
        <f>Y594-X594</f>
        <v/>
      </c>
      <c r="Z743" s="1277">
        <f>Z594-Y594</f>
        <v/>
      </c>
      <c r="AA743" s="1297">
        <f>AA594</f>
        <v/>
      </c>
      <c r="AB743" s="1277">
        <f>AB594</f>
        <v/>
      </c>
      <c r="AC743" s="1277">
        <f>AC594-AB594</f>
        <v/>
      </c>
      <c r="AD743" s="1277">
        <f>AD594-AC594</f>
        <v/>
      </c>
      <c r="AE743" s="1277">
        <f>AE594-AD594</f>
        <v/>
      </c>
      <c r="AF743" s="1297">
        <f>AF594</f>
        <v/>
      </c>
      <c r="AG743" s="1277">
        <f>AG594</f>
        <v/>
      </c>
      <c r="AH743" s="1277">
        <f>AH594-AG594</f>
        <v/>
      </c>
      <c r="AI743" s="1277">
        <f>AI594-AH594</f>
        <v/>
      </c>
      <c r="AJ743" s="1277">
        <f>AJ594-AI594</f>
        <v/>
      </c>
      <c r="AK743" s="1297">
        <f>SUM(AG743,AH743,AI743,AJ743)</f>
        <v/>
      </c>
      <c r="AL743" s="1277">
        <f>AL594</f>
        <v/>
      </c>
      <c r="AM743" s="1277">
        <f>AM594-AL594</f>
        <v/>
      </c>
      <c r="AN743" s="1277">
        <f>AN594-AM594</f>
        <v/>
      </c>
      <c r="AO743" s="1277">
        <f>AO594-AN594</f>
        <v/>
      </c>
      <c r="AP743" s="1297">
        <f>SUM(AL743,AM743,AN743,AO743)</f>
        <v/>
      </c>
      <c r="AQ743" s="1277">
        <f>AQ594</f>
        <v/>
      </c>
      <c r="AR743" s="1277">
        <f>AR594-AQ594</f>
        <v/>
      </c>
      <c r="AS743" s="1277">
        <f>AS594-AR594</f>
        <v/>
      </c>
      <c r="AT743" s="1277">
        <f>AT594-AS594</f>
        <v/>
      </c>
      <c r="AU743" s="1297">
        <f>SUM(AQ743,AR743,AS743,AT743)</f>
        <v/>
      </c>
      <c r="AV743" s="1277">
        <f>AV594</f>
        <v/>
      </c>
      <c r="AW743" s="1277">
        <f>AW594-AV594</f>
        <v/>
      </c>
      <c r="AX743" s="1277">
        <f>AX594-AW594</f>
        <v/>
      </c>
      <c r="AY743" s="1277">
        <f>AY594-AX594</f>
        <v/>
      </c>
      <c r="AZ743" s="1297">
        <f>SUM(AV743,AW743,AX743,AY743)</f>
        <v/>
      </c>
      <c r="BA743" s="1277">
        <f>BA594</f>
        <v/>
      </c>
      <c r="BB743" s="1277">
        <f>BB594-BA594</f>
        <v/>
      </c>
      <c r="BC743" s="1277">
        <f>BC594-BB594</f>
        <v/>
      </c>
      <c r="BD743" s="1277">
        <f>BD594-BC594</f>
        <v/>
      </c>
      <c r="BE743" s="1297">
        <f>SUM(BA743,BB743,BC743,BD743)</f>
        <v/>
      </c>
      <c r="BF743" s="1277">
        <f>BF594</f>
        <v/>
      </c>
      <c r="BG743" s="1277">
        <f>BG594-BF594</f>
        <v/>
      </c>
      <c r="BH743" s="1277">
        <f>BH594-BG594</f>
        <v/>
      </c>
      <c r="BI743" s="1277">
        <f>BI594-BH594</f>
        <v/>
      </c>
      <c r="BJ743" s="1297">
        <f>SUM(BF743,BG743,BH743,BI743)</f>
        <v/>
      </c>
      <c r="BK743" s="1277">
        <f>BK594</f>
        <v/>
      </c>
      <c r="BL743" s="1277">
        <f>BL594-BK594</f>
        <v/>
      </c>
      <c r="BM743" s="1277">
        <f>BM594-BL594</f>
        <v/>
      </c>
      <c r="BN743" s="1277">
        <f>BN594-BM594</f>
        <v/>
      </c>
      <c r="BO743" s="1382">
        <f>SUM(BK743,BL743,BM743,BN743)</f>
        <v/>
      </c>
      <c r="BP743" s="1277" t="n"/>
      <c r="BQ743" s="1277" t="n"/>
      <c r="BR743" s="1277" t="n"/>
      <c r="BS743" s="1277" t="n"/>
      <c r="BT743" s="1297">
        <f>SUM(BP743,BQ743,BR743,BS743)</f>
        <v/>
      </c>
      <c r="BU743" s="1277" t="n"/>
      <c r="BV743" s="1277" t="n"/>
      <c r="BW743" s="1277" t="n"/>
      <c r="BX743" s="1277" t="n"/>
      <c r="BY743" s="1297">
        <f>SUM(BU743,BV743,BW743,BX743)</f>
        <v/>
      </c>
      <c r="BZ743" s="1297" t="n"/>
      <c r="CA743" s="1297" t="n"/>
      <c r="CB743" s="1297" t="n"/>
      <c r="CC743" s="1280" t="n"/>
    </row>
    <row r="744" ht="14.4" customFormat="1" customHeight="1" s="1275">
      <c r="A744" s="1384">
        <f>A595</f>
        <v/>
      </c>
      <c r="B744" s="1387" t="n"/>
      <c r="C744" s="1297">
        <f>C595</f>
        <v/>
      </c>
      <c r="D744" s="1297">
        <f>D595</f>
        <v/>
      </c>
      <c r="E744" s="1297">
        <f>E595</f>
        <v/>
      </c>
      <c r="F744" s="1297">
        <f>F595</f>
        <v/>
      </c>
      <c r="G744" s="1297">
        <f>G595</f>
        <v/>
      </c>
      <c r="H744" s="1277">
        <f>H595</f>
        <v/>
      </c>
      <c r="I744" s="1277">
        <f>I595-H595</f>
        <v/>
      </c>
      <c r="J744" s="1277">
        <f>J595-I595</f>
        <v/>
      </c>
      <c r="K744" s="1277">
        <f>K595-J595</f>
        <v/>
      </c>
      <c r="L744" s="1297">
        <f>L595</f>
        <v/>
      </c>
      <c r="M744" s="1277">
        <f>M595</f>
        <v/>
      </c>
      <c r="N744" s="1277">
        <f>N595-M595</f>
        <v/>
      </c>
      <c r="O744" s="1277">
        <f>O595-N595</f>
        <v/>
      </c>
      <c r="P744" s="1277">
        <f>P595-O595</f>
        <v/>
      </c>
      <c r="Q744" s="1297">
        <f>Q595</f>
        <v/>
      </c>
      <c r="R744" s="1277">
        <f>R595</f>
        <v/>
      </c>
      <c r="S744" s="1277">
        <f>S595-R595</f>
        <v/>
      </c>
      <c r="T744" s="1277">
        <f>T595-S595</f>
        <v/>
      </c>
      <c r="U744" s="1277">
        <f>U595-T595</f>
        <v/>
      </c>
      <c r="V744" s="1297">
        <f>V595</f>
        <v/>
      </c>
      <c r="W744" s="1277">
        <f>W595</f>
        <v/>
      </c>
      <c r="X744" s="1277">
        <f>X595-W595</f>
        <v/>
      </c>
      <c r="Y744" s="1277">
        <f>Y595-X595</f>
        <v/>
      </c>
      <c r="Z744" s="1277">
        <f>Z595-Y595</f>
        <v/>
      </c>
      <c r="AA744" s="1297">
        <f>AA595</f>
        <v/>
      </c>
      <c r="AB744" s="1277">
        <f>AB595</f>
        <v/>
      </c>
      <c r="AC744" s="1277">
        <f>AC595-AB595</f>
        <v/>
      </c>
      <c r="AD744" s="1277">
        <f>AD595-AC595</f>
        <v/>
      </c>
      <c r="AE744" s="1277">
        <f>AE595-AD595</f>
        <v/>
      </c>
      <c r="AF744" s="1297">
        <f>AF595</f>
        <v/>
      </c>
      <c r="AG744" s="1277">
        <f>AG595</f>
        <v/>
      </c>
      <c r="AH744" s="1277">
        <f>AH595-AG595</f>
        <v/>
      </c>
      <c r="AI744" s="1277">
        <f>AI595-AH595</f>
        <v/>
      </c>
      <c r="AJ744" s="1277">
        <f>AJ595-AI595</f>
        <v/>
      </c>
      <c r="AK744" s="1297">
        <f>SUM(AG744,AH744,AI744,AJ744)</f>
        <v/>
      </c>
      <c r="AL744" s="1277">
        <f>AL595</f>
        <v/>
      </c>
      <c r="AM744" s="1277">
        <f>AM595-AL595</f>
        <v/>
      </c>
      <c r="AN744" s="1277">
        <f>AN595-AM595</f>
        <v/>
      </c>
      <c r="AO744" s="1277">
        <f>AO595-AN595</f>
        <v/>
      </c>
      <c r="AP744" s="1297">
        <f>SUM(AL744,AM744,AN744,AO744)</f>
        <v/>
      </c>
      <c r="AQ744" s="1277">
        <f>AQ595</f>
        <v/>
      </c>
      <c r="AR744" s="1277">
        <f>AR595-AQ595</f>
        <v/>
      </c>
      <c r="AS744" s="1277">
        <f>AS595-AR595</f>
        <v/>
      </c>
      <c r="AT744" s="1277">
        <f>AT595-AS595</f>
        <v/>
      </c>
      <c r="AU744" s="1297">
        <f>SUM(AQ744,AR744,AS744,AT744)</f>
        <v/>
      </c>
      <c r="AV744" s="1277">
        <f>AV595</f>
        <v/>
      </c>
      <c r="AW744" s="1277">
        <f>AW595-AV595</f>
        <v/>
      </c>
      <c r="AX744" s="1277">
        <f>AX595-AW595</f>
        <v/>
      </c>
      <c r="AY744" s="1277">
        <f>AY595-AX595</f>
        <v/>
      </c>
      <c r="AZ744" s="1297">
        <f>SUM(AV744,AW744,AX744,AY744)</f>
        <v/>
      </c>
      <c r="BA744" s="1277">
        <f>BA595</f>
        <v/>
      </c>
      <c r="BB744" s="1277">
        <f>BB595-BA595</f>
        <v/>
      </c>
      <c r="BC744" s="1277">
        <f>BC595-BB595</f>
        <v/>
      </c>
      <c r="BD744" s="1277">
        <f>BD595-BC595</f>
        <v/>
      </c>
      <c r="BE744" s="1297">
        <f>SUM(BA744,BB744,BC744,BD744)</f>
        <v/>
      </c>
      <c r="BF744" s="1277">
        <f>BF595</f>
        <v/>
      </c>
      <c r="BG744" s="1277">
        <f>BG595-BF595</f>
        <v/>
      </c>
      <c r="BH744" s="1277">
        <f>BH595-BG595</f>
        <v/>
      </c>
      <c r="BI744" s="1277">
        <f>BI595-BH595</f>
        <v/>
      </c>
      <c r="BJ744" s="1297">
        <f>SUM(BF744,BG744,BH744,BI744)</f>
        <v/>
      </c>
      <c r="BK744" s="1277">
        <f>BK595</f>
        <v/>
      </c>
      <c r="BL744" s="1277">
        <f>BL595-BK595</f>
        <v/>
      </c>
      <c r="BM744" s="1277">
        <f>BM595-BL595</f>
        <v/>
      </c>
      <c r="BN744" s="1277">
        <f>BN595-BM595</f>
        <v/>
      </c>
      <c r="BO744" s="1382">
        <f>SUM(BK744,BL744,BM744,BN744)</f>
        <v/>
      </c>
      <c r="BP744" s="1277">
        <f>-BP837</f>
        <v/>
      </c>
      <c r="BQ744" s="1277">
        <f>-BQ837</f>
        <v/>
      </c>
      <c r="BR744" s="1277">
        <f>-BR837</f>
        <v/>
      </c>
      <c r="BS744" s="1277">
        <f>-BS837</f>
        <v/>
      </c>
      <c r="BT744" s="1297">
        <f>SUM(BP744,BQ744,BR744,BS744)</f>
        <v/>
      </c>
      <c r="BU744" s="1277">
        <f>-BU837</f>
        <v/>
      </c>
      <c r="BV744" s="1277">
        <f>-BV837</f>
        <v/>
      </c>
      <c r="BW744" s="1277">
        <f>-BW837</f>
        <v/>
      </c>
      <c r="BX744" s="1277">
        <f>-BX837</f>
        <v/>
      </c>
      <c r="BY744" s="1297">
        <f>SUM(BU744,BV744,BW744,BX744)</f>
        <v/>
      </c>
      <c r="BZ744" s="1297">
        <f>-BZ837</f>
        <v/>
      </c>
      <c r="CA744" s="1297">
        <f>-CA837</f>
        <v/>
      </c>
      <c r="CB744" s="1297">
        <f>-CB837</f>
        <v/>
      </c>
      <c r="CC744" s="1280" t="n"/>
    </row>
    <row r="745" ht="14.4" customFormat="1" customHeight="1" s="1275">
      <c r="A745" s="1384">
        <f>A596</f>
        <v/>
      </c>
      <c r="B745" s="1387" t="n"/>
      <c r="C745" s="1297">
        <f>C596</f>
        <v/>
      </c>
      <c r="D745" s="1297">
        <f>D596</f>
        <v/>
      </c>
      <c r="E745" s="1297">
        <f>E596</f>
        <v/>
      </c>
      <c r="F745" s="1297">
        <f>F596</f>
        <v/>
      </c>
      <c r="G745" s="1297">
        <f>G596</f>
        <v/>
      </c>
      <c r="H745" s="1277">
        <f>H596</f>
        <v/>
      </c>
      <c r="I745" s="1277">
        <f>I596-H596</f>
        <v/>
      </c>
      <c r="J745" s="1277">
        <f>J596-I596</f>
        <v/>
      </c>
      <c r="K745" s="1277">
        <f>K596-J596</f>
        <v/>
      </c>
      <c r="L745" s="1297">
        <f>L596</f>
        <v/>
      </c>
      <c r="M745" s="1277">
        <f>M596</f>
        <v/>
      </c>
      <c r="N745" s="1277">
        <f>N596-M596</f>
        <v/>
      </c>
      <c r="O745" s="1277">
        <f>O596-N596</f>
        <v/>
      </c>
      <c r="P745" s="1277">
        <f>P596-O596</f>
        <v/>
      </c>
      <c r="Q745" s="1297">
        <f>Q596</f>
        <v/>
      </c>
      <c r="R745" s="1277">
        <f>R596</f>
        <v/>
      </c>
      <c r="S745" s="1277">
        <f>S596-R596</f>
        <v/>
      </c>
      <c r="T745" s="1277">
        <f>T596-S596</f>
        <v/>
      </c>
      <c r="U745" s="1277">
        <f>U596-T596</f>
        <v/>
      </c>
      <c r="V745" s="1297">
        <f>V596</f>
        <v/>
      </c>
      <c r="W745" s="1277">
        <f>W596</f>
        <v/>
      </c>
      <c r="X745" s="1277">
        <f>X596-W596</f>
        <v/>
      </c>
      <c r="Y745" s="1277">
        <f>Y596-X596</f>
        <v/>
      </c>
      <c r="Z745" s="1277">
        <f>Z596-Y596</f>
        <v/>
      </c>
      <c r="AA745" s="1297">
        <f>AA596</f>
        <v/>
      </c>
      <c r="AB745" s="1277">
        <f>AB596</f>
        <v/>
      </c>
      <c r="AC745" s="1277">
        <f>AC596-AB596</f>
        <v/>
      </c>
      <c r="AD745" s="1277">
        <f>AD596-AC596</f>
        <v/>
      </c>
      <c r="AE745" s="1277">
        <f>AE596-AD596</f>
        <v/>
      </c>
      <c r="AF745" s="1297">
        <f>AF596</f>
        <v/>
      </c>
      <c r="AG745" s="1277">
        <f>AG596</f>
        <v/>
      </c>
      <c r="AH745" s="1277">
        <f>AH596-AG596</f>
        <v/>
      </c>
      <c r="AI745" s="1277">
        <f>AI596-AH596</f>
        <v/>
      </c>
      <c r="AJ745" s="1277">
        <f>AJ596-AI596</f>
        <v/>
      </c>
      <c r="AK745" s="1297">
        <f>SUM(AG745,AH745,AI745,AJ745)</f>
        <v/>
      </c>
      <c r="AL745" s="1277">
        <f>AL596</f>
        <v/>
      </c>
      <c r="AM745" s="1277">
        <f>AM596-AL596</f>
        <v/>
      </c>
      <c r="AN745" s="1277">
        <f>AN596-AM596</f>
        <v/>
      </c>
      <c r="AO745" s="1277">
        <f>AO596-AN596</f>
        <v/>
      </c>
      <c r="AP745" s="1297">
        <f>SUM(AL745,AM745,AN745,AO745)</f>
        <v/>
      </c>
      <c r="AQ745" s="1277">
        <f>AQ596</f>
        <v/>
      </c>
      <c r="AR745" s="1277">
        <f>AR596-AQ596</f>
        <v/>
      </c>
      <c r="AS745" s="1277">
        <f>AS596-AR596</f>
        <v/>
      </c>
      <c r="AT745" s="1277">
        <f>AT596-AS596</f>
        <v/>
      </c>
      <c r="AU745" s="1297">
        <f>SUM(AQ745,AR745,AS745,AT745)</f>
        <v/>
      </c>
      <c r="AV745" s="1277">
        <f>AV596</f>
        <v/>
      </c>
      <c r="AW745" s="1277">
        <f>AW596-AV596</f>
        <v/>
      </c>
      <c r="AX745" s="1277">
        <f>AX596-AW596</f>
        <v/>
      </c>
      <c r="AY745" s="1277">
        <f>AY596-AX596</f>
        <v/>
      </c>
      <c r="AZ745" s="1297">
        <f>SUM(AV745,AW745,AX745,AY745)</f>
        <v/>
      </c>
      <c r="BA745" s="1277">
        <f>BA596</f>
        <v/>
      </c>
      <c r="BB745" s="1277">
        <f>BB596-BA596</f>
        <v/>
      </c>
      <c r="BC745" s="1277">
        <f>BC596-BB596</f>
        <v/>
      </c>
      <c r="BD745" s="1277">
        <f>BD596-BC596</f>
        <v/>
      </c>
      <c r="BE745" s="1297">
        <f>SUM(BA745,BB745,BC745,BD745)</f>
        <v/>
      </c>
      <c r="BF745" s="1277">
        <f>BF596</f>
        <v/>
      </c>
      <c r="BG745" s="1277">
        <f>BG596-BF596</f>
        <v/>
      </c>
      <c r="BH745" s="1277">
        <f>BH596-BG596</f>
        <v/>
      </c>
      <c r="BI745" s="1277">
        <f>BI596-BH596</f>
        <v/>
      </c>
      <c r="BJ745" s="1297">
        <f>SUM(BF745,BG745,BH745,BI745)</f>
        <v/>
      </c>
      <c r="BK745" s="1277">
        <f>BK596</f>
        <v/>
      </c>
      <c r="BL745" s="1277">
        <f>BL596-BK596</f>
        <v/>
      </c>
      <c r="BM745" s="1277">
        <f>BM596-BL596</f>
        <v/>
      </c>
      <c r="BN745" s="1277">
        <f>BN596-BM596</f>
        <v/>
      </c>
      <c r="BO745" s="1382">
        <f>SUM(BK745,BL745,BM745,BN745)</f>
        <v/>
      </c>
      <c r="BP745" s="1277">
        <f>-BP843</f>
        <v/>
      </c>
      <c r="BQ745" s="1277">
        <f>-BQ843</f>
        <v/>
      </c>
      <c r="BR745" s="1277">
        <f>-BR843</f>
        <v/>
      </c>
      <c r="BS745" s="1277">
        <f>-BS843</f>
        <v/>
      </c>
      <c r="BT745" s="1297">
        <f>SUM(BP745,BQ745,BR745,BS745)</f>
        <v/>
      </c>
      <c r="BU745" s="1277">
        <f>-BU843</f>
        <v/>
      </c>
      <c r="BV745" s="1277">
        <f>-BV843</f>
        <v/>
      </c>
      <c r="BW745" s="1277">
        <f>-BW843</f>
        <v/>
      </c>
      <c r="BX745" s="1277">
        <f>-BX843</f>
        <v/>
      </c>
      <c r="BY745" s="1297">
        <f>SUM(BU745,BV745,BW745,BX745)</f>
        <v/>
      </c>
      <c r="BZ745" s="1297">
        <f>-BZ843</f>
        <v/>
      </c>
      <c r="CA745" s="1297">
        <f>-CA843</f>
        <v/>
      </c>
      <c r="CB745" s="1297">
        <f>-CB843</f>
        <v/>
      </c>
      <c r="CC745" s="1280" t="n"/>
    </row>
    <row r="746" ht="14.4" customFormat="1" customHeight="1" s="1275">
      <c r="A746" s="1384">
        <f>A597</f>
        <v/>
      </c>
      <c r="B746" s="1387" t="n"/>
      <c r="C746" s="1297">
        <f>C597</f>
        <v/>
      </c>
      <c r="D746" s="1297">
        <f>D597</f>
        <v/>
      </c>
      <c r="E746" s="1297">
        <f>E597</f>
        <v/>
      </c>
      <c r="F746" s="1297">
        <f>F597</f>
        <v/>
      </c>
      <c r="G746" s="1297">
        <f>G597</f>
        <v/>
      </c>
      <c r="H746" s="1277">
        <f>H597</f>
        <v/>
      </c>
      <c r="I746" s="1277">
        <f>I597-H597</f>
        <v/>
      </c>
      <c r="J746" s="1277">
        <f>J597-I597</f>
        <v/>
      </c>
      <c r="K746" s="1277">
        <f>K597-J597</f>
        <v/>
      </c>
      <c r="L746" s="1297">
        <f>L597</f>
        <v/>
      </c>
      <c r="M746" s="1277">
        <f>M597</f>
        <v/>
      </c>
      <c r="N746" s="1277">
        <f>N597-M597</f>
        <v/>
      </c>
      <c r="O746" s="1277">
        <f>O597-N597</f>
        <v/>
      </c>
      <c r="P746" s="1277">
        <f>P597-O597</f>
        <v/>
      </c>
      <c r="Q746" s="1297">
        <f>Q597</f>
        <v/>
      </c>
      <c r="R746" s="1277">
        <f>R597</f>
        <v/>
      </c>
      <c r="S746" s="1277">
        <f>S597-R597</f>
        <v/>
      </c>
      <c r="T746" s="1277">
        <f>T597-S597</f>
        <v/>
      </c>
      <c r="U746" s="1277">
        <f>U597-T597</f>
        <v/>
      </c>
      <c r="V746" s="1297">
        <f>V597</f>
        <v/>
      </c>
      <c r="W746" s="1277">
        <f>W597</f>
        <v/>
      </c>
      <c r="X746" s="1277">
        <f>X597-W597</f>
        <v/>
      </c>
      <c r="Y746" s="1277">
        <f>Y597-X597</f>
        <v/>
      </c>
      <c r="Z746" s="1277">
        <f>Z597-Y597</f>
        <v/>
      </c>
      <c r="AA746" s="1297">
        <f>AA597</f>
        <v/>
      </c>
      <c r="AB746" s="1277">
        <f>AB597</f>
        <v/>
      </c>
      <c r="AC746" s="1277">
        <f>AC597-AB597</f>
        <v/>
      </c>
      <c r="AD746" s="1277">
        <f>AD597-AC597</f>
        <v/>
      </c>
      <c r="AE746" s="1277">
        <f>AE597-AD597</f>
        <v/>
      </c>
      <c r="AF746" s="1297">
        <f>AF597</f>
        <v/>
      </c>
      <c r="AG746" s="1277">
        <f>AG597</f>
        <v/>
      </c>
      <c r="AH746" s="1277">
        <f>AH597-AG597</f>
        <v/>
      </c>
      <c r="AI746" s="1277">
        <f>AI597-AH597</f>
        <v/>
      </c>
      <c r="AJ746" s="1277">
        <f>AJ597-AI597</f>
        <v/>
      </c>
      <c r="AK746" s="1297">
        <f>SUM(AG746,AH746,AI746,AJ746)</f>
        <v/>
      </c>
      <c r="AL746" s="1277">
        <f>AL597</f>
        <v/>
      </c>
      <c r="AM746" s="1277">
        <f>AM597-AL597</f>
        <v/>
      </c>
      <c r="AN746" s="1277">
        <f>AN597-AM597</f>
        <v/>
      </c>
      <c r="AO746" s="1277">
        <f>AO597-AN597</f>
        <v/>
      </c>
      <c r="AP746" s="1297">
        <f>SUM(AL746,AM746,AN746,AO746)</f>
        <v/>
      </c>
      <c r="AQ746" s="1277">
        <f>AQ597</f>
        <v/>
      </c>
      <c r="AR746" s="1277">
        <f>AR597-AQ597</f>
        <v/>
      </c>
      <c r="AS746" s="1277">
        <f>AS597-AR597</f>
        <v/>
      </c>
      <c r="AT746" s="1277">
        <f>AT597-AS597</f>
        <v/>
      </c>
      <c r="AU746" s="1297">
        <f>SUM(AQ746,AR746,AS746,AT746)</f>
        <v/>
      </c>
      <c r="AV746" s="1277">
        <f>AV597</f>
        <v/>
      </c>
      <c r="AW746" s="1277">
        <f>AW597-AV597</f>
        <v/>
      </c>
      <c r="AX746" s="1277">
        <f>AX597-AW597</f>
        <v/>
      </c>
      <c r="AY746" s="1277">
        <f>AY597-AX597</f>
        <v/>
      </c>
      <c r="AZ746" s="1297">
        <f>SUM(AV746,AW746,AX746,AY746)</f>
        <v/>
      </c>
      <c r="BA746" s="1277">
        <f>BA597</f>
        <v/>
      </c>
      <c r="BB746" s="1277">
        <f>BB597-BA597</f>
        <v/>
      </c>
      <c r="BC746" s="1277">
        <f>BC597-BB597</f>
        <v/>
      </c>
      <c r="BD746" s="1277">
        <f>BD597-BC597</f>
        <v/>
      </c>
      <c r="BE746" s="1297">
        <f>SUM(BA746,BB746,BC746,BD746)</f>
        <v/>
      </c>
      <c r="BF746" s="1277">
        <f>BF597</f>
        <v/>
      </c>
      <c r="BG746" s="1277">
        <f>BG597-BF597</f>
        <v/>
      </c>
      <c r="BH746" s="1277">
        <f>BH597-BG597</f>
        <v/>
      </c>
      <c r="BI746" s="1277">
        <f>BI597-BH597</f>
        <v/>
      </c>
      <c r="BJ746" s="1297">
        <f>SUM(BF746,BG746,BH746,BI746)</f>
        <v/>
      </c>
      <c r="BK746" s="1277">
        <f>BK597</f>
        <v/>
      </c>
      <c r="BL746" s="1277">
        <f>BL597-BK597</f>
        <v/>
      </c>
      <c r="BM746" s="1277">
        <f>BM597-BL597</f>
        <v/>
      </c>
      <c r="BN746" s="1277">
        <f>BN597-BM597</f>
        <v/>
      </c>
      <c r="BO746" s="1382">
        <f>SUM(BK746,BL746,BM746,BN746)</f>
        <v/>
      </c>
      <c r="BP746" s="1277" t="n"/>
      <c r="BQ746" s="1277" t="n"/>
      <c r="BR746" s="1277" t="n"/>
      <c r="BS746" s="1277" t="n"/>
      <c r="BT746" s="1297">
        <f>SUM(BP746,BQ746,BR746,BS746)</f>
        <v/>
      </c>
      <c r="BU746" s="1277" t="n"/>
      <c r="BV746" s="1277" t="n"/>
      <c r="BW746" s="1277" t="n"/>
      <c r="BX746" s="1277" t="n"/>
      <c r="BY746" s="1297">
        <f>SUM(BU746,BV746,BW746,BX746)</f>
        <v/>
      </c>
      <c r="BZ746" s="1297" t="n"/>
      <c r="CA746" s="1297" t="n"/>
      <c r="CB746" s="1297" t="n"/>
      <c r="CC746" s="1280" t="n"/>
    </row>
    <row r="747" ht="14.4" customFormat="1" customHeight="1" s="1275">
      <c r="A747" s="1384">
        <f>A598</f>
        <v/>
      </c>
      <c r="B747" s="1387" t="n"/>
      <c r="C747" s="1297">
        <f>C598</f>
        <v/>
      </c>
      <c r="D747" s="1297">
        <f>D598</f>
        <v/>
      </c>
      <c r="E747" s="1297">
        <f>E598</f>
        <v/>
      </c>
      <c r="F747" s="1297">
        <f>F598</f>
        <v/>
      </c>
      <c r="G747" s="1297">
        <f>G598</f>
        <v/>
      </c>
      <c r="H747" s="1277">
        <f>H598</f>
        <v/>
      </c>
      <c r="I747" s="1277">
        <f>I598-H598</f>
        <v/>
      </c>
      <c r="J747" s="1277">
        <f>J598-I598</f>
        <v/>
      </c>
      <c r="K747" s="1277">
        <f>K598-J598</f>
        <v/>
      </c>
      <c r="L747" s="1297">
        <f>L598</f>
        <v/>
      </c>
      <c r="M747" s="1277">
        <f>M598</f>
        <v/>
      </c>
      <c r="N747" s="1277">
        <f>N598-M598</f>
        <v/>
      </c>
      <c r="O747" s="1277">
        <f>O598-N598</f>
        <v/>
      </c>
      <c r="P747" s="1277">
        <f>P598-O598</f>
        <v/>
      </c>
      <c r="Q747" s="1297">
        <f>Q598</f>
        <v/>
      </c>
      <c r="R747" s="1277">
        <f>R598</f>
        <v/>
      </c>
      <c r="S747" s="1277">
        <f>S598-R598</f>
        <v/>
      </c>
      <c r="T747" s="1277">
        <f>T598-S598</f>
        <v/>
      </c>
      <c r="U747" s="1277">
        <f>U598-T598</f>
        <v/>
      </c>
      <c r="V747" s="1297">
        <f>V598</f>
        <v/>
      </c>
      <c r="W747" s="1277">
        <f>W598</f>
        <v/>
      </c>
      <c r="X747" s="1277">
        <f>X598-W598</f>
        <v/>
      </c>
      <c r="Y747" s="1277">
        <f>Y598-X598</f>
        <v/>
      </c>
      <c r="Z747" s="1277">
        <f>Z598-Y598</f>
        <v/>
      </c>
      <c r="AA747" s="1297">
        <f>AA598</f>
        <v/>
      </c>
      <c r="AB747" s="1277">
        <f>AB598</f>
        <v/>
      </c>
      <c r="AC747" s="1277">
        <f>AC598-AB598</f>
        <v/>
      </c>
      <c r="AD747" s="1277">
        <f>AD598-AC598</f>
        <v/>
      </c>
      <c r="AE747" s="1277">
        <f>AE598-AD598</f>
        <v/>
      </c>
      <c r="AF747" s="1297">
        <f>AF598</f>
        <v/>
      </c>
      <c r="AG747" s="1277">
        <f>AG598</f>
        <v/>
      </c>
      <c r="AH747" s="1277">
        <f>AH598-AG598</f>
        <v/>
      </c>
      <c r="AI747" s="1277">
        <f>AI598-AH598</f>
        <v/>
      </c>
      <c r="AJ747" s="1277">
        <f>AJ598-AI598</f>
        <v/>
      </c>
      <c r="AK747" s="1297">
        <f>SUM(AG747,AH747,AI747,AJ747)</f>
        <v/>
      </c>
      <c r="AL747" s="1277">
        <f>AL598</f>
        <v/>
      </c>
      <c r="AM747" s="1277">
        <f>AM598-AL598</f>
        <v/>
      </c>
      <c r="AN747" s="1277">
        <f>AN598-AM598</f>
        <v/>
      </c>
      <c r="AO747" s="1277">
        <f>AO598-AN598</f>
        <v/>
      </c>
      <c r="AP747" s="1297">
        <f>SUM(AL747,AM747,AN747,AO747)</f>
        <v/>
      </c>
      <c r="AQ747" s="1277">
        <f>AQ598</f>
        <v/>
      </c>
      <c r="AR747" s="1277">
        <f>AR598-AQ598</f>
        <v/>
      </c>
      <c r="AS747" s="1277">
        <f>AS598-AR598</f>
        <v/>
      </c>
      <c r="AT747" s="1277">
        <f>AT598-AS598</f>
        <v/>
      </c>
      <c r="AU747" s="1297">
        <f>SUM(AQ747,AR747,AS747,AT747)</f>
        <v/>
      </c>
      <c r="AV747" s="1277">
        <f>AV598</f>
        <v/>
      </c>
      <c r="AW747" s="1277">
        <f>AW598-AV598</f>
        <v/>
      </c>
      <c r="AX747" s="1277">
        <f>AX598-AW598</f>
        <v/>
      </c>
      <c r="AY747" s="1277">
        <f>AY598-AX598</f>
        <v/>
      </c>
      <c r="AZ747" s="1297">
        <f>SUM(AV747,AW747,AX747,AY747)</f>
        <v/>
      </c>
      <c r="BA747" s="1277">
        <f>BA598</f>
        <v/>
      </c>
      <c r="BB747" s="1277">
        <f>BB598-BA598</f>
        <v/>
      </c>
      <c r="BC747" s="1277">
        <f>BC598-BB598</f>
        <v/>
      </c>
      <c r="BD747" s="1277">
        <f>BD598-BC598</f>
        <v/>
      </c>
      <c r="BE747" s="1297">
        <f>SUM(BA747,BB747,BC747,BD747)</f>
        <v/>
      </c>
      <c r="BF747" s="1277">
        <f>BF598</f>
        <v/>
      </c>
      <c r="BG747" s="1277">
        <f>BG598-BF598</f>
        <v/>
      </c>
      <c r="BH747" s="1277">
        <f>BH598-BG598</f>
        <v/>
      </c>
      <c r="BI747" s="1277">
        <f>BI598-BH598</f>
        <v/>
      </c>
      <c r="BJ747" s="1297">
        <f>SUM(BF747,BG747,BH747,BI747)</f>
        <v/>
      </c>
      <c r="BK747" s="1277">
        <f>BK598</f>
        <v/>
      </c>
      <c r="BL747" s="1277">
        <f>BL598-BK598</f>
        <v/>
      </c>
      <c r="BM747" s="1277">
        <f>BM598-BL598</f>
        <v/>
      </c>
      <c r="BN747" s="1277">
        <f>BN598-BM598</f>
        <v/>
      </c>
      <c r="BO747" s="1382">
        <f>SUM(BK747,BL747,BM747,BN747)</f>
        <v/>
      </c>
      <c r="BP747" s="1277" t="n"/>
      <c r="BQ747" s="1277" t="n"/>
      <c r="BR747" s="1277" t="n"/>
      <c r="BS747" s="1277" t="n"/>
      <c r="BT747" s="1297">
        <f>SUM(BP747,BQ747,BR747,BS747)</f>
        <v/>
      </c>
      <c r="BU747" s="1277" t="n"/>
      <c r="BV747" s="1277" t="n"/>
      <c r="BW747" s="1277" t="n"/>
      <c r="BX747" s="1277" t="n"/>
      <c r="BY747" s="1297">
        <f>SUM(BU747,BV747,BW747,BX747)</f>
        <v/>
      </c>
      <c r="BZ747" s="1297" t="n"/>
      <c r="CA747" s="1297" t="n"/>
      <c r="CB747" s="1297" t="n"/>
      <c r="CC747" s="1280" t="n"/>
    </row>
    <row r="748" ht="14.4" customFormat="1" customHeight="1" s="1275">
      <c r="A748" s="1384">
        <f>A599</f>
        <v/>
      </c>
      <c r="B748" s="1387" t="n"/>
      <c r="C748" s="1297">
        <f>C599</f>
        <v/>
      </c>
      <c r="D748" s="1297">
        <f>D599</f>
        <v/>
      </c>
      <c r="E748" s="1297">
        <f>E599</f>
        <v/>
      </c>
      <c r="F748" s="1297">
        <f>F599</f>
        <v/>
      </c>
      <c r="G748" s="1297">
        <f>G599</f>
        <v/>
      </c>
      <c r="H748" s="1277">
        <f>H599</f>
        <v/>
      </c>
      <c r="I748" s="1277">
        <f>I599-H599</f>
        <v/>
      </c>
      <c r="J748" s="1277">
        <f>J599-I599</f>
        <v/>
      </c>
      <c r="K748" s="1277">
        <f>K599-J599</f>
        <v/>
      </c>
      <c r="L748" s="1297">
        <f>L599</f>
        <v/>
      </c>
      <c r="M748" s="1277">
        <f>M599</f>
        <v/>
      </c>
      <c r="N748" s="1277">
        <f>N599-M599</f>
        <v/>
      </c>
      <c r="O748" s="1277">
        <f>O599-N599</f>
        <v/>
      </c>
      <c r="P748" s="1277">
        <f>P599-O599</f>
        <v/>
      </c>
      <c r="Q748" s="1297">
        <f>Q599</f>
        <v/>
      </c>
      <c r="R748" s="1277">
        <f>R599</f>
        <v/>
      </c>
      <c r="S748" s="1277">
        <f>S599-R599</f>
        <v/>
      </c>
      <c r="T748" s="1277">
        <f>T599-S599</f>
        <v/>
      </c>
      <c r="U748" s="1277">
        <f>U599-T599</f>
        <v/>
      </c>
      <c r="V748" s="1297">
        <f>V599</f>
        <v/>
      </c>
      <c r="W748" s="1277">
        <f>W599</f>
        <v/>
      </c>
      <c r="X748" s="1277">
        <f>X599-W599</f>
        <v/>
      </c>
      <c r="Y748" s="1277">
        <f>Y599-X599</f>
        <v/>
      </c>
      <c r="Z748" s="1277">
        <f>Z599-Y599</f>
        <v/>
      </c>
      <c r="AA748" s="1297">
        <f>AA599</f>
        <v/>
      </c>
      <c r="AB748" s="1277">
        <f>AB599</f>
        <v/>
      </c>
      <c r="AC748" s="1277">
        <f>AC599-AB599</f>
        <v/>
      </c>
      <c r="AD748" s="1277">
        <f>AD599-AC599</f>
        <v/>
      </c>
      <c r="AE748" s="1277">
        <f>AE599-AD599</f>
        <v/>
      </c>
      <c r="AF748" s="1297">
        <f>AF599</f>
        <v/>
      </c>
      <c r="AG748" s="1277">
        <f>AG599</f>
        <v/>
      </c>
      <c r="AH748" s="1277">
        <f>AH599-AG599</f>
        <v/>
      </c>
      <c r="AI748" s="1277">
        <f>AI599-AH599</f>
        <v/>
      </c>
      <c r="AJ748" s="1277">
        <f>AJ599-AI599</f>
        <v/>
      </c>
      <c r="AK748" s="1297">
        <f>SUM(AG748,AH748,AI748,AJ748)</f>
        <v/>
      </c>
      <c r="AL748" s="1277">
        <f>AL599</f>
        <v/>
      </c>
      <c r="AM748" s="1277">
        <f>AM599-AL599</f>
        <v/>
      </c>
      <c r="AN748" s="1277">
        <f>AN599-AM599</f>
        <v/>
      </c>
      <c r="AO748" s="1277">
        <f>AO599-AN599</f>
        <v/>
      </c>
      <c r="AP748" s="1297">
        <f>SUM(AL748,AM748,AN748,AO748)</f>
        <v/>
      </c>
      <c r="AQ748" s="1277">
        <f>AQ599</f>
        <v/>
      </c>
      <c r="AR748" s="1277">
        <f>AR599-AQ599</f>
        <v/>
      </c>
      <c r="AS748" s="1277">
        <f>AS599-AR599</f>
        <v/>
      </c>
      <c r="AT748" s="1277">
        <f>AT599-AS599</f>
        <v/>
      </c>
      <c r="AU748" s="1297">
        <f>SUM(AQ748,AR748,AS748,AT748)</f>
        <v/>
      </c>
      <c r="AV748" s="1277">
        <f>AV599</f>
        <v/>
      </c>
      <c r="AW748" s="1277">
        <f>AW599-AV599</f>
        <v/>
      </c>
      <c r="AX748" s="1277">
        <f>AX599-AW599</f>
        <v/>
      </c>
      <c r="AY748" s="1277">
        <f>AY599-AX599</f>
        <v/>
      </c>
      <c r="AZ748" s="1297">
        <f>SUM(AV748,AW748,AX748,AY748)</f>
        <v/>
      </c>
      <c r="BA748" s="1277">
        <f>BA599</f>
        <v/>
      </c>
      <c r="BB748" s="1277">
        <f>BB599-BA599</f>
        <v/>
      </c>
      <c r="BC748" s="1277">
        <f>BC599-BB599</f>
        <v/>
      </c>
      <c r="BD748" s="1277">
        <f>BD599-BC599</f>
        <v/>
      </c>
      <c r="BE748" s="1297">
        <f>SUM(BA748,BB748,BC748,BD748)</f>
        <v/>
      </c>
      <c r="BF748" s="1277">
        <f>BF599</f>
        <v/>
      </c>
      <c r="BG748" s="1277">
        <f>BG599-BF599</f>
        <v/>
      </c>
      <c r="BH748" s="1277">
        <f>BH599-BG599</f>
        <v/>
      </c>
      <c r="BI748" s="1277">
        <f>BI599-BH599</f>
        <v/>
      </c>
      <c r="BJ748" s="1297">
        <f>SUM(BF748,BG748,BH748,BI748)</f>
        <v/>
      </c>
      <c r="BK748" s="1277">
        <f>BK599</f>
        <v/>
      </c>
      <c r="BL748" s="1277">
        <f>BL599-BK599</f>
        <v/>
      </c>
      <c r="BM748" s="1277">
        <f>BM599-BL599</f>
        <v/>
      </c>
      <c r="BN748" s="1277">
        <f>BN599-BM599</f>
        <v/>
      </c>
      <c r="BO748" s="1382">
        <f>SUM(BK748,BL748,BM748,BN748)</f>
        <v/>
      </c>
      <c r="BP748" s="1277" t="n"/>
      <c r="BQ748" s="1277" t="n"/>
      <c r="BR748" s="1277" t="n"/>
      <c r="BS748" s="1277" t="n"/>
      <c r="BT748" s="1297">
        <f>SUM(BP748,BQ748,BR748,BS748)</f>
        <v/>
      </c>
      <c r="BU748" s="1277" t="n"/>
      <c r="BV748" s="1277" t="n"/>
      <c r="BW748" s="1277" t="n"/>
      <c r="BX748" s="1277" t="n"/>
      <c r="BY748" s="1297">
        <f>SUM(BU748,BV748,BW748,BX748)</f>
        <v/>
      </c>
      <c r="BZ748" s="1297" t="n"/>
      <c r="CA748" s="1297" t="n"/>
      <c r="CB748" s="1297" t="n"/>
      <c r="CC748" s="1280" t="n"/>
    </row>
    <row r="749" ht="14.4" customFormat="1" customHeight="1" s="1275">
      <c r="A749" s="1384">
        <f>A600</f>
        <v/>
      </c>
      <c r="B749" s="1387" t="n"/>
      <c r="C749" s="1297">
        <f>C600</f>
        <v/>
      </c>
      <c r="D749" s="1297">
        <f>D600</f>
        <v/>
      </c>
      <c r="E749" s="1297">
        <f>E600</f>
        <v/>
      </c>
      <c r="F749" s="1297">
        <f>F600</f>
        <v/>
      </c>
      <c r="G749" s="1297">
        <f>G600</f>
        <v/>
      </c>
      <c r="H749" s="1277">
        <f>H600</f>
        <v/>
      </c>
      <c r="I749" s="1277">
        <f>I600-H600</f>
        <v/>
      </c>
      <c r="J749" s="1277">
        <f>J600-I600</f>
        <v/>
      </c>
      <c r="K749" s="1277">
        <f>K600-J600</f>
        <v/>
      </c>
      <c r="L749" s="1297">
        <f>L600</f>
        <v/>
      </c>
      <c r="M749" s="1277">
        <f>M600</f>
        <v/>
      </c>
      <c r="N749" s="1277">
        <f>N600-M600</f>
        <v/>
      </c>
      <c r="O749" s="1277">
        <f>O600-N600</f>
        <v/>
      </c>
      <c r="P749" s="1277">
        <f>P600-O600</f>
        <v/>
      </c>
      <c r="Q749" s="1297">
        <f>Q600</f>
        <v/>
      </c>
      <c r="R749" s="1277">
        <f>R600</f>
        <v/>
      </c>
      <c r="S749" s="1277">
        <f>S600-R600</f>
        <v/>
      </c>
      <c r="T749" s="1277">
        <f>T600-S600</f>
        <v/>
      </c>
      <c r="U749" s="1277">
        <f>U600-T600</f>
        <v/>
      </c>
      <c r="V749" s="1297">
        <f>V600</f>
        <v/>
      </c>
      <c r="W749" s="1277">
        <f>W600</f>
        <v/>
      </c>
      <c r="X749" s="1277">
        <f>X600-W600</f>
        <v/>
      </c>
      <c r="Y749" s="1277">
        <f>Y600-X600</f>
        <v/>
      </c>
      <c r="Z749" s="1277">
        <f>Z600-Y600</f>
        <v/>
      </c>
      <c r="AA749" s="1297">
        <f>AA600</f>
        <v/>
      </c>
      <c r="AB749" s="1277">
        <f>AB600</f>
        <v/>
      </c>
      <c r="AC749" s="1277">
        <f>AC600-AB600</f>
        <v/>
      </c>
      <c r="AD749" s="1277">
        <f>AD600-AC600</f>
        <v/>
      </c>
      <c r="AE749" s="1277">
        <f>AE600-AD600</f>
        <v/>
      </c>
      <c r="AF749" s="1297">
        <f>AF600</f>
        <v/>
      </c>
      <c r="AG749" s="1277">
        <f>AG600</f>
        <v/>
      </c>
      <c r="AH749" s="1277">
        <f>AH600-AG600</f>
        <v/>
      </c>
      <c r="AI749" s="1277">
        <f>AI600-AH600</f>
        <v/>
      </c>
      <c r="AJ749" s="1277">
        <f>AJ600-AI600</f>
        <v/>
      </c>
      <c r="AK749" s="1297">
        <f>SUM(AG749,AH749,AI749,AJ749)</f>
        <v/>
      </c>
      <c r="AL749" s="1277">
        <f>AL600</f>
        <v/>
      </c>
      <c r="AM749" s="1277">
        <f>AM600-AL600</f>
        <v/>
      </c>
      <c r="AN749" s="1277">
        <f>AN600-AM600</f>
        <v/>
      </c>
      <c r="AO749" s="1277">
        <f>AO600-AN600</f>
        <v/>
      </c>
      <c r="AP749" s="1297">
        <f>SUM(AL749,AM749,AN749,AO749)</f>
        <v/>
      </c>
      <c r="AQ749" s="1277">
        <f>AQ600</f>
        <v/>
      </c>
      <c r="AR749" s="1277">
        <f>AR600-AQ600</f>
        <v/>
      </c>
      <c r="AS749" s="1277">
        <f>AS600-AR600</f>
        <v/>
      </c>
      <c r="AT749" s="1277">
        <f>AT600-AS600</f>
        <v/>
      </c>
      <c r="AU749" s="1297">
        <f>SUM(AQ749,AR749,AS749,AT749)</f>
        <v/>
      </c>
      <c r="AV749" s="1277">
        <f>AV600</f>
        <v/>
      </c>
      <c r="AW749" s="1277">
        <f>AW600-AV600</f>
        <v/>
      </c>
      <c r="AX749" s="1277">
        <f>AX600-AW600</f>
        <v/>
      </c>
      <c r="AY749" s="1277">
        <f>AY600-AX600</f>
        <v/>
      </c>
      <c r="AZ749" s="1297">
        <f>SUM(AV749,AW749,AX749,AY749)</f>
        <v/>
      </c>
      <c r="BA749" s="1277">
        <f>BA600</f>
        <v/>
      </c>
      <c r="BB749" s="1277">
        <f>BB600-BA600</f>
        <v/>
      </c>
      <c r="BC749" s="1277">
        <f>BC600-BB600</f>
        <v/>
      </c>
      <c r="BD749" s="1277">
        <f>BD600-BC600</f>
        <v/>
      </c>
      <c r="BE749" s="1297">
        <f>SUM(BA749,BB749,BC749,BD749)</f>
        <v/>
      </c>
      <c r="BF749" s="1277">
        <f>BF600</f>
        <v/>
      </c>
      <c r="BG749" s="1277">
        <f>BG600-BF600</f>
        <v/>
      </c>
      <c r="BH749" s="1277">
        <f>BH600-BG600</f>
        <v/>
      </c>
      <c r="BI749" s="1277">
        <f>BI600-BH600</f>
        <v/>
      </c>
      <c r="BJ749" s="1297">
        <f>SUM(BF749,BG749,BH749,BI749)</f>
        <v/>
      </c>
      <c r="BK749" s="1277">
        <f>BK600</f>
        <v/>
      </c>
      <c r="BL749" s="1277">
        <f>BL600-BK600</f>
        <v/>
      </c>
      <c r="BM749" s="1277">
        <f>BM600-BL600</f>
        <v/>
      </c>
      <c r="BN749" s="1277">
        <f>BN600-BM600</f>
        <v/>
      </c>
      <c r="BO749" s="1382">
        <f>SUM(BK749,BL749,BM749,BN749)</f>
        <v/>
      </c>
      <c r="BP749" s="1277" t="n"/>
      <c r="BQ749" s="1277" t="n"/>
      <c r="BR749" s="1277" t="n"/>
      <c r="BS749" s="1277" t="n"/>
      <c r="BT749" s="1297">
        <f>SUM(BP749,BQ749,BR749,BS749)</f>
        <v/>
      </c>
      <c r="BU749" s="1277" t="n"/>
      <c r="BV749" s="1277" t="n"/>
      <c r="BW749" s="1277" t="n"/>
      <c r="BX749" s="1277" t="n"/>
      <c r="BY749" s="1297">
        <f>SUM(BU749,BV749,BW749,BX749)</f>
        <v/>
      </c>
      <c r="BZ749" s="1297" t="n"/>
      <c r="CA749" s="1297" t="n"/>
      <c r="CB749" s="1297" t="n"/>
      <c r="CC749" s="1280" t="n"/>
    </row>
    <row r="750" ht="14.4" customFormat="1" customHeight="1" s="1275">
      <c r="A750" s="1384">
        <f>A601</f>
        <v/>
      </c>
      <c r="B750" s="1387" t="n"/>
      <c r="C750" s="1297">
        <f>C601</f>
        <v/>
      </c>
      <c r="D750" s="1297">
        <f>D601</f>
        <v/>
      </c>
      <c r="E750" s="1297">
        <f>E601</f>
        <v/>
      </c>
      <c r="F750" s="1297">
        <f>F601</f>
        <v/>
      </c>
      <c r="G750" s="1297">
        <f>G601</f>
        <v/>
      </c>
      <c r="H750" s="1277">
        <f>H601</f>
        <v/>
      </c>
      <c r="I750" s="1277">
        <f>I601-H601</f>
        <v/>
      </c>
      <c r="J750" s="1277">
        <f>J601-I601</f>
        <v/>
      </c>
      <c r="K750" s="1277">
        <f>K601-J601</f>
        <v/>
      </c>
      <c r="L750" s="1297">
        <f>L601</f>
        <v/>
      </c>
      <c r="M750" s="1277">
        <f>M601</f>
        <v/>
      </c>
      <c r="N750" s="1277">
        <f>N601-M601</f>
        <v/>
      </c>
      <c r="O750" s="1277">
        <f>O601-N601</f>
        <v/>
      </c>
      <c r="P750" s="1277">
        <f>P601-O601</f>
        <v/>
      </c>
      <c r="Q750" s="1297">
        <f>Q601</f>
        <v/>
      </c>
      <c r="R750" s="1277">
        <f>R601</f>
        <v/>
      </c>
      <c r="S750" s="1277">
        <f>S601-R601</f>
        <v/>
      </c>
      <c r="T750" s="1277">
        <f>T601-S601</f>
        <v/>
      </c>
      <c r="U750" s="1277">
        <f>U601-T601</f>
        <v/>
      </c>
      <c r="V750" s="1297">
        <f>V601</f>
        <v/>
      </c>
      <c r="W750" s="1277">
        <f>W601</f>
        <v/>
      </c>
      <c r="X750" s="1277">
        <f>X601-W601</f>
        <v/>
      </c>
      <c r="Y750" s="1277">
        <f>Y601-X601</f>
        <v/>
      </c>
      <c r="Z750" s="1277">
        <f>Z601-Y601</f>
        <v/>
      </c>
      <c r="AA750" s="1297">
        <f>AA601</f>
        <v/>
      </c>
      <c r="AB750" s="1277">
        <f>AB601</f>
        <v/>
      </c>
      <c r="AC750" s="1277">
        <f>AC601-AB601</f>
        <v/>
      </c>
      <c r="AD750" s="1277">
        <f>AD601-AC601</f>
        <v/>
      </c>
      <c r="AE750" s="1277">
        <f>AE601-AD601</f>
        <v/>
      </c>
      <c r="AF750" s="1297">
        <f>AF601</f>
        <v/>
      </c>
      <c r="AG750" s="1277">
        <f>AG601</f>
        <v/>
      </c>
      <c r="AH750" s="1277">
        <f>AH601-AG601</f>
        <v/>
      </c>
      <c r="AI750" s="1277">
        <f>AI601-AH601</f>
        <v/>
      </c>
      <c r="AJ750" s="1277">
        <f>AJ601-AI601</f>
        <v/>
      </c>
      <c r="AK750" s="1297">
        <f>AK601</f>
        <v/>
      </c>
      <c r="AL750" s="1277">
        <f>AL601</f>
        <v/>
      </c>
      <c r="AM750" s="1277">
        <f>AM601-AL601</f>
        <v/>
      </c>
      <c r="AN750" s="1277">
        <f>AN601-AM601</f>
        <v/>
      </c>
      <c r="AO750" s="1277">
        <f>AO601-AN601</f>
        <v/>
      </c>
      <c r="AP750" s="1297">
        <f>AP601</f>
        <v/>
      </c>
      <c r="AQ750" s="1277">
        <f>AQ601</f>
        <v/>
      </c>
      <c r="AR750" s="1277">
        <f>AR601-AQ601</f>
        <v/>
      </c>
      <c r="AS750" s="1277">
        <f>AS601-AR601</f>
        <v/>
      </c>
      <c r="AT750" s="1277">
        <f>AT601-AS601</f>
        <v/>
      </c>
      <c r="AU750" s="1297">
        <f>AU601</f>
        <v/>
      </c>
      <c r="AV750" s="1277">
        <f>AV601</f>
        <v/>
      </c>
      <c r="AW750" s="1277">
        <f>AW601-AV601</f>
        <v/>
      </c>
      <c r="AX750" s="1277">
        <f>AX601-AW601</f>
        <v/>
      </c>
      <c r="AY750" s="1277">
        <f>AY601-AX601</f>
        <v/>
      </c>
      <c r="AZ750" s="1297">
        <f>AZ601</f>
        <v/>
      </c>
      <c r="BA750" s="1277">
        <f>BA601</f>
        <v/>
      </c>
      <c r="BB750" s="1277">
        <f>BB601-BA601</f>
        <v/>
      </c>
      <c r="BC750" s="1277">
        <f>BC601-BB601</f>
        <v/>
      </c>
      <c r="BD750" s="1277">
        <f>BD601-BC601</f>
        <v/>
      </c>
      <c r="BE750" s="1297">
        <f>BE601</f>
        <v/>
      </c>
      <c r="BF750" s="1277">
        <f>BF601</f>
        <v/>
      </c>
      <c r="BG750" s="1277">
        <f>BG601-BF601</f>
        <v/>
      </c>
      <c r="BH750" s="1277">
        <f>BH601-BG601</f>
        <v/>
      </c>
      <c r="BI750" s="1277">
        <f>BI601-BH601</f>
        <v/>
      </c>
      <c r="BJ750" s="1297">
        <f>BJ601</f>
        <v/>
      </c>
      <c r="BK750" s="1277">
        <f>BK601</f>
        <v/>
      </c>
      <c r="BL750" s="1277">
        <f>BL601-BK601</f>
        <v/>
      </c>
      <c r="BM750" s="1277">
        <f>BM601-BL601</f>
        <v/>
      </c>
      <c r="BN750" s="1277">
        <f>BN601-BM601</f>
        <v/>
      </c>
      <c r="BO750" s="1382">
        <f>BO601</f>
        <v/>
      </c>
      <c r="BP750" s="1277" t="n"/>
      <c r="BQ750" s="1277" t="n"/>
      <c r="BR750" s="1277" t="n"/>
      <c r="BS750" s="1277" t="n"/>
      <c r="BT750" s="1297">
        <f>SUM(BP750,BQ750,BR750,BS750)</f>
        <v/>
      </c>
      <c r="BU750" s="1277" t="n"/>
      <c r="BV750" s="1277" t="n"/>
      <c r="BW750" s="1277" t="n"/>
      <c r="BX750" s="1277" t="n"/>
      <c r="BY750" s="1297">
        <f>SUM(BU750,BV750,BW750,BX750)</f>
        <v/>
      </c>
      <c r="BZ750" s="1297" t="n"/>
      <c r="CA750" s="1297" t="n"/>
      <c r="CB750" s="1297" t="n"/>
      <c r="CC750" s="1280" t="n"/>
    </row>
    <row r="751" ht="14.4" customFormat="1" customHeight="1" s="1275">
      <c r="A751" s="1384">
        <f>A602</f>
        <v/>
      </c>
      <c r="B751" s="1387" t="n"/>
      <c r="C751" s="1297">
        <f>C602</f>
        <v/>
      </c>
      <c r="D751" s="1297">
        <f>D602</f>
        <v/>
      </c>
      <c r="E751" s="1297">
        <f>E602</f>
        <v/>
      </c>
      <c r="F751" s="1297">
        <f>F602</f>
        <v/>
      </c>
      <c r="G751" s="1297">
        <f>G602</f>
        <v/>
      </c>
      <c r="H751" s="1277">
        <f>H602</f>
        <v/>
      </c>
      <c r="I751" s="1277">
        <f>I602-H602</f>
        <v/>
      </c>
      <c r="J751" s="1277">
        <f>J602-I602</f>
        <v/>
      </c>
      <c r="K751" s="1277">
        <f>K602-J602</f>
        <v/>
      </c>
      <c r="L751" s="1297">
        <f>L602</f>
        <v/>
      </c>
      <c r="M751" s="1277">
        <f>M602</f>
        <v/>
      </c>
      <c r="N751" s="1277">
        <f>N602-M602</f>
        <v/>
      </c>
      <c r="O751" s="1277">
        <f>O602-N602</f>
        <v/>
      </c>
      <c r="P751" s="1277">
        <f>P602-O602</f>
        <v/>
      </c>
      <c r="Q751" s="1297">
        <f>Q602</f>
        <v/>
      </c>
      <c r="R751" s="1277">
        <f>R602</f>
        <v/>
      </c>
      <c r="S751" s="1277">
        <f>S602-R602</f>
        <v/>
      </c>
      <c r="T751" s="1277">
        <f>T602-S602</f>
        <v/>
      </c>
      <c r="U751" s="1277">
        <f>U602-T602</f>
        <v/>
      </c>
      <c r="V751" s="1297">
        <f>V602</f>
        <v/>
      </c>
      <c r="W751" s="1277">
        <f>W602</f>
        <v/>
      </c>
      <c r="X751" s="1277">
        <f>X602-W602</f>
        <v/>
      </c>
      <c r="Y751" s="1277">
        <f>Y602-X602</f>
        <v/>
      </c>
      <c r="Z751" s="1277">
        <f>Z602-Y602</f>
        <v/>
      </c>
      <c r="AA751" s="1297">
        <f>AA602</f>
        <v/>
      </c>
      <c r="AB751" s="1277">
        <f>AB602</f>
        <v/>
      </c>
      <c r="AC751" s="1277">
        <f>AC602-AB602</f>
        <v/>
      </c>
      <c r="AD751" s="1277">
        <f>AD602-AC602</f>
        <v/>
      </c>
      <c r="AE751" s="1277">
        <f>AE602-AD602</f>
        <v/>
      </c>
      <c r="AF751" s="1297">
        <f>AF602</f>
        <v/>
      </c>
      <c r="AG751" s="1277">
        <f>AG602</f>
        <v/>
      </c>
      <c r="AH751" s="1277">
        <f>AH602-AG602</f>
        <v/>
      </c>
      <c r="AI751" s="1277">
        <f>AI602-AH602</f>
        <v/>
      </c>
      <c r="AJ751" s="1277">
        <f>AJ602-AI602</f>
        <v/>
      </c>
      <c r="AK751" s="1297">
        <f>AK602</f>
        <v/>
      </c>
      <c r="AL751" s="1277">
        <f>AL602</f>
        <v/>
      </c>
      <c r="AM751" s="1277">
        <f>AM602-AL602</f>
        <v/>
      </c>
      <c r="AN751" s="1277">
        <f>AN602-AM602</f>
        <v/>
      </c>
      <c r="AO751" s="1277">
        <f>AO602-AN602</f>
        <v/>
      </c>
      <c r="AP751" s="1297">
        <f>AP602</f>
        <v/>
      </c>
      <c r="AQ751" s="1277">
        <f>AQ602</f>
        <v/>
      </c>
      <c r="AR751" s="1277">
        <f>AR602-AQ602</f>
        <v/>
      </c>
      <c r="AS751" s="1277">
        <f>AS602-AR602</f>
        <v/>
      </c>
      <c r="AT751" s="1277">
        <f>AT602-AS602</f>
        <v/>
      </c>
      <c r="AU751" s="1297">
        <f>AU602</f>
        <v/>
      </c>
      <c r="AV751" s="1277">
        <f>AV602</f>
        <v/>
      </c>
      <c r="AW751" s="1277">
        <f>AW602-AV602</f>
        <v/>
      </c>
      <c r="AX751" s="1277">
        <f>AX602-AW602</f>
        <v/>
      </c>
      <c r="AY751" s="1277">
        <f>AY602-AX602</f>
        <v/>
      </c>
      <c r="AZ751" s="1297">
        <f>AZ602</f>
        <v/>
      </c>
      <c r="BA751" s="1277">
        <f>BA602</f>
        <v/>
      </c>
      <c r="BB751" s="1277">
        <f>BB602-BA602</f>
        <v/>
      </c>
      <c r="BC751" s="1277">
        <f>BC602-BB602</f>
        <v/>
      </c>
      <c r="BD751" s="1277">
        <f>BD602-BC602</f>
        <v/>
      </c>
      <c r="BE751" s="1297">
        <f>BE602</f>
        <v/>
      </c>
      <c r="BF751" s="1277">
        <f>BF602</f>
        <v/>
      </c>
      <c r="BG751" s="1277">
        <f>BG602-BF602</f>
        <v/>
      </c>
      <c r="BH751" s="1277">
        <f>BH602-BG602</f>
        <v/>
      </c>
      <c r="BI751" s="1277">
        <f>BI602-BH602</f>
        <v/>
      </c>
      <c r="BJ751" s="1297">
        <f>BJ602</f>
        <v/>
      </c>
      <c r="BK751" s="1277">
        <f>BK602</f>
        <v/>
      </c>
      <c r="BL751" s="1277">
        <f>BL602-BK602</f>
        <v/>
      </c>
      <c r="BM751" s="1277">
        <f>BM602-BL602</f>
        <v/>
      </c>
      <c r="BN751" s="1277">
        <f>BN602-BM602</f>
        <v/>
      </c>
      <c r="BO751" s="1382">
        <f>BO602</f>
        <v/>
      </c>
      <c r="BP751" s="1277" t="n"/>
      <c r="BQ751" s="1277" t="n"/>
      <c r="BR751" s="1277" t="n"/>
      <c r="BS751" s="1277" t="n"/>
      <c r="BT751" s="1297">
        <f>SUM(BP751,BQ751,BR751,BS751)</f>
        <v/>
      </c>
      <c r="BU751" s="1277" t="n"/>
      <c r="BV751" s="1277" t="n"/>
      <c r="BW751" s="1277" t="n"/>
      <c r="BX751" s="1277" t="n"/>
      <c r="BY751" s="1297">
        <f>SUM(BU751,BV751,BW751,BX751)</f>
        <v/>
      </c>
      <c r="BZ751" s="1297" t="n"/>
      <c r="CA751" s="1297" t="n"/>
      <c r="CB751" s="1297" t="n"/>
      <c r="CC751" s="1280" t="n"/>
    </row>
    <row r="752" ht="14.4" customFormat="1" customHeight="1" s="1275">
      <c r="A752" s="1384">
        <f>A603</f>
        <v/>
      </c>
      <c r="B752" s="1387" t="n"/>
      <c r="C752" s="1297">
        <f>C603</f>
        <v/>
      </c>
      <c r="D752" s="1297">
        <f>D603</f>
        <v/>
      </c>
      <c r="E752" s="1297">
        <f>E603</f>
        <v/>
      </c>
      <c r="F752" s="1297">
        <f>F603</f>
        <v/>
      </c>
      <c r="G752" s="1297">
        <f>G603</f>
        <v/>
      </c>
      <c r="H752" s="1277">
        <f>H603</f>
        <v/>
      </c>
      <c r="I752" s="1277">
        <f>I603-H603</f>
        <v/>
      </c>
      <c r="J752" s="1277">
        <f>J603-I603</f>
        <v/>
      </c>
      <c r="K752" s="1277">
        <f>K603-J603</f>
        <v/>
      </c>
      <c r="L752" s="1297">
        <f>L603</f>
        <v/>
      </c>
      <c r="M752" s="1277">
        <f>M603</f>
        <v/>
      </c>
      <c r="N752" s="1277">
        <f>N603-M603</f>
        <v/>
      </c>
      <c r="O752" s="1277">
        <f>O603-N603</f>
        <v/>
      </c>
      <c r="P752" s="1277">
        <f>P603-O603</f>
        <v/>
      </c>
      <c r="Q752" s="1297">
        <f>Q603</f>
        <v/>
      </c>
      <c r="R752" s="1277">
        <f>R603</f>
        <v/>
      </c>
      <c r="S752" s="1277">
        <f>S603-R603</f>
        <v/>
      </c>
      <c r="T752" s="1277">
        <f>T603-S603</f>
        <v/>
      </c>
      <c r="U752" s="1277">
        <f>U603-T603</f>
        <v/>
      </c>
      <c r="V752" s="1297">
        <f>V603</f>
        <v/>
      </c>
      <c r="W752" s="1277">
        <f>W603</f>
        <v/>
      </c>
      <c r="X752" s="1277">
        <f>X603-W603</f>
        <v/>
      </c>
      <c r="Y752" s="1277">
        <f>Y603-X603</f>
        <v/>
      </c>
      <c r="Z752" s="1277">
        <f>Z603-Y603</f>
        <v/>
      </c>
      <c r="AA752" s="1297">
        <f>AA603</f>
        <v/>
      </c>
      <c r="AB752" s="1277">
        <f>AB603</f>
        <v/>
      </c>
      <c r="AC752" s="1277">
        <f>AC603-AB603</f>
        <v/>
      </c>
      <c r="AD752" s="1277">
        <f>AD603-AC603</f>
        <v/>
      </c>
      <c r="AE752" s="1277">
        <f>AE603-AD603</f>
        <v/>
      </c>
      <c r="AF752" s="1297">
        <f>AF603</f>
        <v/>
      </c>
      <c r="AG752" s="1277">
        <f>AG603</f>
        <v/>
      </c>
      <c r="AH752" s="1277">
        <f>AH603-AG603</f>
        <v/>
      </c>
      <c r="AI752" s="1277">
        <f>AI603-AH603</f>
        <v/>
      </c>
      <c r="AJ752" s="1277">
        <f>AJ603-AI603</f>
        <v/>
      </c>
      <c r="AK752" s="1297">
        <f>SUM(AG752,AH752,AI752,AJ752)</f>
        <v/>
      </c>
      <c r="AL752" s="1277">
        <f>AL603</f>
        <v/>
      </c>
      <c r="AM752" s="1277">
        <f>AM603-AL603</f>
        <v/>
      </c>
      <c r="AN752" s="1277">
        <f>AN603-AM603</f>
        <v/>
      </c>
      <c r="AO752" s="1277">
        <f>AO603-AN603</f>
        <v/>
      </c>
      <c r="AP752" s="1297">
        <f>SUM(AL752,AM752,AN752,AO752)</f>
        <v/>
      </c>
      <c r="AQ752" s="1277">
        <f>AQ603</f>
        <v/>
      </c>
      <c r="AR752" s="1277">
        <f>AR603-AQ603</f>
        <v/>
      </c>
      <c r="AS752" s="1277">
        <f>AS603-AR603</f>
        <v/>
      </c>
      <c r="AT752" s="1277">
        <f>AT603-AS603</f>
        <v/>
      </c>
      <c r="AU752" s="1297">
        <f>SUM(AQ752,AR752,AS752,AT752)</f>
        <v/>
      </c>
      <c r="AV752" s="1277">
        <f>AV603</f>
        <v/>
      </c>
      <c r="AW752" s="1277">
        <f>AW603-AV603</f>
        <v/>
      </c>
      <c r="AX752" s="1277">
        <f>AX603-AW603</f>
        <v/>
      </c>
      <c r="AY752" s="1277">
        <f>AY603-AX603</f>
        <v/>
      </c>
      <c r="AZ752" s="1297">
        <f>SUM(AV752,AW752,AX752,AY752)</f>
        <v/>
      </c>
      <c r="BA752" s="1277">
        <f>BA603</f>
        <v/>
      </c>
      <c r="BB752" s="1277">
        <f>BB603-BA603</f>
        <v/>
      </c>
      <c r="BC752" s="1277">
        <f>BC603-BB603</f>
        <v/>
      </c>
      <c r="BD752" s="1277">
        <f>BD603-BC603</f>
        <v/>
      </c>
      <c r="BE752" s="1297">
        <f>SUM(BA752,BB752,BC752,BD752)</f>
        <v/>
      </c>
      <c r="BF752" s="1277">
        <f>BF603</f>
        <v/>
      </c>
      <c r="BG752" s="1277">
        <f>BG603-BF603</f>
        <v/>
      </c>
      <c r="BH752" s="1277">
        <f>BH603-BG603</f>
        <v/>
      </c>
      <c r="BI752" s="1277">
        <f>BI603-BH603</f>
        <v/>
      </c>
      <c r="BJ752" s="1297">
        <f>SUM(BF752,BG752,BH752,BI752)</f>
        <v/>
      </c>
      <c r="BK752" s="1277">
        <f>BK603</f>
        <v/>
      </c>
      <c r="BL752" s="1277">
        <f>BL603-BK603</f>
        <v/>
      </c>
      <c r="BM752" s="1277">
        <f>BM603-BL603</f>
        <v/>
      </c>
      <c r="BN752" s="1277">
        <f>BN603-BM603</f>
        <v/>
      </c>
      <c r="BO752" s="1382">
        <f>SUM(BK752,BL752,BM752,BN752)</f>
        <v/>
      </c>
      <c r="BP752" s="1277" t="n"/>
      <c r="BQ752" s="1277" t="n"/>
      <c r="BR752" s="1277" t="n"/>
      <c r="BS752" s="1277" t="n"/>
      <c r="BT752" s="1297">
        <f>SUM(BP752,BQ752,BR752,BS752)</f>
        <v/>
      </c>
      <c r="BU752" s="1277" t="n"/>
      <c r="BV752" s="1277" t="n"/>
      <c r="BW752" s="1277" t="n"/>
      <c r="BX752" s="1277" t="n"/>
      <c r="BY752" s="1297">
        <f>SUM(BU752,BV752,BW752,BX752)</f>
        <v/>
      </c>
      <c r="BZ752" s="1297" t="n"/>
      <c r="CA752" s="1297" t="n"/>
      <c r="CB752" s="1297" t="n"/>
      <c r="CC752" s="1280" t="n"/>
    </row>
    <row r="753" ht="14.4" customFormat="1" customHeight="1" s="1275">
      <c r="A753" s="1384">
        <f>A604</f>
        <v/>
      </c>
      <c r="B753" s="1387" t="n"/>
      <c r="C753" s="1297">
        <f>C604</f>
        <v/>
      </c>
      <c r="D753" s="1297">
        <f>D604</f>
        <v/>
      </c>
      <c r="E753" s="1297">
        <f>E604</f>
        <v/>
      </c>
      <c r="F753" s="1297">
        <f>F604</f>
        <v/>
      </c>
      <c r="G753" s="1297">
        <f>G604</f>
        <v/>
      </c>
      <c r="H753" s="1277">
        <f>H604</f>
        <v/>
      </c>
      <c r="I753" s="1277">
        <f>I604-H604</f>
        <v/>
      </c>
      <c r="J753" s="1277">
        <f>J604-I604</f>
        <v/>
      </c>
      <c r="K753" s="1277">
        <f>K604-J604</f>
        <v/>
      </c>
      <c r="L753" s="1297">
        <f>L604</f>
        <v/>
      </c>
      <c r="M753" s="1277">
        <f>M604</f>
        <v/>
      </c>
      <c r="N753" s="1277">
        <f>N604-M604</f>
        <v/>
      </c>
      <c r="O753" s="1277">
        <f>O604-N604</f>
        <v/>
      </c>
      <c r="P753" s="1277">
        <f>P604-O604</f>
        <v/>
      </c>
      <c r="Q753" s="1297">
        <f>Q604</f>
        <v/>
      </c>
      <c r="R753" s="1277">
        <f>R604</f>
        <v/>
      </c>
      <c r="S753" s="1277">
        <f>S604-R604</f>
        <v/>
      </c>
      <c r="T753" s="1277">
        <f>T604-S604</f>
        <v/>
      </c>
      <c r="U753" s="1277">
        <f>U604-T604</f>
        <v/>
      </c>
      <c r="V753" s="1297">
        <f>V604</f>
        <v/>
      </c>
      <c r="W753" s="1277">
        <f>W604</f>
        <v/>
      </c>
      <c r="X753" s="1277">
        <f>X604-W604</f>
        <v/>
      </c>
      <c r="Y753" s="1277">
        <f>Y604-X604</f>
        <v/>
      </c>
      <c r="Z753" s="1277">
        <f>Z604-Y604</f>
        <v/>
      </c>
      <c r="AA753" s="1297">
        <f>AA604</f>
        <v/>
      </c>
      <c r="AB753" s="1277">
        <f>AB604</f>
        <v/>
      </c>
      <c r="AC753" s="1277">
        <f>AC604-AB604</f>
        <v/>
      </c>
      <c r="AD753" s="1277">
        <f>AD604-AC604</f>
        <v/>
      </c>
      <c r="AE753" s="1277">
        <f>AE604-AD604</f>
        <v/>
      </c>
      <c r="AF753" s="1297">
        <f>AF604</f>
        <v/>
      </c>
      <c r="AG753" s="1277">
        <f>AG604</f>
        <v/>
      </c>
      <c r="AH753" s="1277">
        <f>AH604-AG604</f>
        <v/>
      </c>
      <c r="AI753" s="1277">
        <f>AI604-AH604</f>
        <v/>
      </c>
      <c r="AJ753" s="1277">
        <f>AJ604-AI604</f>
        <v/>
      </c>
      <c r="AK753" s="1297">
        <f>SUM(AG753,AH753,AI753,AJ753)</f>
        <v/>
      </c>
      <c r="AL753" s="1277">
        <f>AL604</f>
        <v/>
      </c>
      <c r="AM753" s="1277">
        <f>AM604-AL604</f>
        <v/>
      </c>
      <c r="AN753" s="1277">
        <f>AN604-AM604</f>
        <v/>
      </c>
      <c r="AO753" s="1277">
        <f>AO604-AN604</f>
        <v/>
      </c>
      <c r="AP753" s="1297">
        <f>SUM(AL753,AM753,AN753,AO753)</f>
        <v/>
      </c>
      <c r="AQ753" s="1277">
        <f>AQ604</f>
        <v/>
      </c>
      <c r="AR753" s="1277">
        <f>AR604-AQ604</f>
        <v/>
      </c>
      <c r="AS753" s="1277">
        <f>AS604-AR604</f>
        <v/>
      </c>
      <c r="AT753" s="1277">
        <f>AT604-AS604</f>
        <v/>
      </c>
      <c r="AU753" s="1297">
        <f>SUM(AQ753,AR753,AS753,AT753)</f>
        <v/>
      </c>
      <c r="AV753" s="1277">
        <f>AV604</f>
        <v/>
      </c>
      <c r="AW753" s="1277">
        <f>AW604-AV604</f>
        <v/>
      </c>
      <c r="AX753" s="1277">
        <f>AX604-AW604</f>
        <v/>
      </c>
      <c r="AY753" s="1277">
        <f>AY604-AX604</f>
        <v/>
      </c>
      <c r="AZ753" s="1297">
        <f>SUM(AV753,AW753,AX753,AY753)</f>
        <v/>
      </c>
      <c r="BA753" s="1277">
        <f>BA604</f>
        <v/>
      </c>
      <c r="BB753" s="1277">
        <f>BB604-BA604</f>
        <v/>
      </c>
      <c r="BC753" s="1277">
        <f>BC604-BB604</f>
        <v/>
      </c>
      <c r="BD753" s="1277">
        <f>BD604-BC604</f>
        <v/>
      </c>
      <c r="BE753" s="1297">
        <f>SUM(BA753,BB753,BC753,BD753)</f>
        <v/>
      </c>
      <c r="BF753" s="1277">
        <f>BF604</f>
        <v/>
      </c>
      <c r="BG753" s="1277">
        <f>BG604-BF604</f>
        <v/>
      </c>
      <c r="BH753" s="1277">
        <f>BH604-BG604</f>
        <v/>
      </c>
      <c r="BI753" s="1277">
        <f>BI604-BH604</f>
        <v/>
      </c>
      <c r="BJ753" s="1297">
        <f>SUM(BF753,BG753,BH753,BI753)</f>
        <v/>
      </c>
      <c r="BK753" s="1277">
        <f>BK604</f>
        <v/>
      </c>
      <c r="BL753" s="1277">
        <f>BL604-BK604</f>
        <v/>
      </c>
      <c r="BM753" s="1277">
        <f>BM604-BL604</f>
        <v/>
      </c>
      <c r="BN753" s="1277">
        <f>BN604-BM604</f>
        <v/>
      </c>
      <c r="BO753" s="1382">
        <f>SUM(BK753,BL753,BM753,BN753)</f>
        <v/>
      </c>
      <c r="BP753" s="1277" t="n"/>
      <c r="BQ753" s="1277" t="n"/>
      <c r="BR753" s="1277" t="n"/>
      <c r="BS753" s="1277" t="n"/>
      <c r="BT753" s="1297">
        <f>SUM(BP753,BQ753,BR753,BS753)</f>
        <v/>
      </c>
      <c r="BU753" s="1277" t="n"/>
      <c r="BV753" s="1277" t="n"/>
      <c r="BW753" s="1277" t="n"/>
      <c r="BX753" s="1277" t="n"/>
      <c r="BY753" s="1297">
        <f>SUM(BU753,BV753,BW753,BX753)</f>
        <v/>
      </c>
      <c r="BZ753" s="1297" t="n"/>
      <c r="CA753" s="1297" t="n"/>
      <c r="CB753" s="1297" t="n"/>
      <c r="CC753" s="1280" t="n"/>
    </row>
    <row r="754" ht="14.4" customFormat="1" customHeight="1" s="1275">
      <c r="A754" s="1384">
        <f>A605</f>
        <v/>
      </c>
      <c r="B754" s="1387" t="n"/>
      <c r="C754" s="1297">
        <f>C605</f>
        <v/>
      </c>
      <c r="D754" s="1297">
        <f>D605</f>
        <v/>
      </c>
      <c r="E754" s="1297">
        <f>E605</f>
        <v/>
      </c>
      <c r="F754" s="1297">
        <f>F605</f>
        <v/>
      </c>
      <c r="G754" s="1297">
        <f>G605</f>
        <v/>
      </c>
      <c r="H754" s="1277">
        <f>H605</f>
        <v/>
      </c>
      <c r="I754" s="1277">
        <f>I605-H605</f>
        <v/>
      </c>
      <c r="J754" s="1277">
        <f>J605-I605</f>
        <v/>
      </c>
      <c r="K754" s="1277">
        <f>K605-J605</f>
        <v/>
      </c>
      <c r="L754" s="1297">
        <f>L605</f>
        <v/>
      </c>
      <c r="M754" s="1277">
        <f>M605</f>
        <v/>
      </c>
      <c r="N754" s="1277">
        <f>N605-M605</f>
        <v/>
      </c>
      <c r="O754" s="1277">
        <f>O605-N605</f>
        <v/>
      </c>
      <c r="P754" s="1277">
        <f>P605-O605</f>
        <v/>
      </c>
      <c r="Q754" s="1297">
        <f>Q605</f>
        <v/>
      </c>
      <c r="R754" s="1277">
        <f>R605</f>
        <v/>
      </c>
      <c r="S754" s="1277">
        <f>S605-R605</f>
        <v/>
      </c>
      <c r="T754" s="1277">
        <f>T605-S605</f>
        <v/>
      </c>
      <c r="U754" s="1277">
        <f>U605-T605</f>
        <v/>
      </c>
      <c r="V754" s="1297">
        <f>V605</f>
        <v/>
      </c>
      <c r="W754" s="1277">
        <f>W605</f>
        <v/>
      </c>
      <c r="X754" s="1277">
        <f>X605-W605</f>
        <v/>
      </c>
      <c r="Y754" s="1277">
        <f>Y605-X605</f>
        <v/>
      </c>
      <c r="Z754" s="1277">
        <f>Z605-Y605</f>
        <v/>
      </c>
      <c r="AA754" s="1297">
        <f>AA605</f>
        <v/>
      </c>
      <c r="AB754" s="1277">
        <f>AB605</f>
        <v/>
      </c>
      <c r="AC754" s="1277">
        <f>AC605-AB605</f>
        <v/>
      </c>
      <c r="AD754" s="1277">
        <f>AD605-AC605</f>
        <v/>
      </c>
      <c r="AE754" s="1277">
        <f>AE605-AD605</f>
        <v/>
      </c>
      <c r="AF754" s="1297">
        <f>AF605</f>
        <v/>
      </c>
      <c r="AG754" s="1277">
        <f>AG605</f>
        <v/>
      </c>
      <c r="AH754" s="1277">
        <f>AH605-AG605</f>
        <v/>
      </c>
      <c r="AI754" s="1277">
        <f>AI605-AH605</f>
        <v/>
      </c>
      <c r="AJ754" s="1277">
        <f>AJ605-AI605</f>
        <v/>
      </c>
      <c r="AK754" s="1297">
        <f>SUM(AG754,AH754,AI754,AJ754)</f>
        <v/>
      </c>
      <c r="AL754" s="1277">
        <f>AL605</f>
        <v/>
      </c>
      <c r="AM754" s="1277">
        <f>AM605-AL605</f>
        <v/>
      </c>
      <c r="AN754" s="1277">
        <f>AN605-AM605</f>
        <v/>
      </c>
      <c r="AO754" s="1277">
        <f>AO605-AN605</f>
        <v/>
      </c>
      <c r="AP754" s="1297">
        <f>SUM(AL754,AM754,AN754,AO754)</f>
        <v/>
      </c>
      <c r="AQ754" s="1277">
        <f>AQ605</f>
        <v/>
      </c>
      <c r="AR754" s="1277">
        <f>AR605-AQ605</f>
        <v/>
      </c>
      <c r="AS754" s="1277">
        <f>AS605-AR605</f>
        <v/>
      </c>
      <c r="AT754" s="1277">
        <f>AT605-AS605</f>
        <v/>
      </c>
      <c r="AU754" s="1297">
        <f>SUM(AQ754,AR754,AS754,AT754)</f>
        <v/>
      </c>
      <c r="AV754" s="1277">
        <f>AV605</f>
        <v/>
      </c>
      <c r="AW754" s="1277">
        <f>AW605-AV605</f>
        <v/>
      </c>
      <c r="AX754" s="1277">
        <f>AX605-AW605</f>
        <v/>
      </c>
      <c r="AY754" s="1277">
        <f>AY605-AX605</f>
        <v/>
      </c>
      <c r="AZ754" s="1297">
        <f>SUM(AV754,AW754,AX754,AY754)</f>
        <v/>
      </c>
      <c r="BA754" s="1277">
        <f>BA605</f>
        <v/>
      </c>
      <c r="BB754" s="1277">
        <f>BB605-BA605</f>
        <v/>
      </c>
      <c r="BC754" s="1277">
        <f>BC605-BB605</f>
        <v/>
      </c>
      <c r="BD754" s="1277">
        <f>BD605-BC605</f>
        <v/>
      </c>
      <c r="BE754" s="1297">
        <f>SUM(BA754,BB754,BC754,BD754)</f>
        <v/>
      </c>
      <c r="BF754" s="1277">
        <f>BF605</f>
        <v/>
      </c>
      <c r="BG754" s="1277">
        <f>BG605-BF605</f>
        <v/>
      </c>
      <c r="BH754" s="1277">
        <f>BH605-BG605</f>
        <v/>
      </c>
      <c r="BI754" s="1277">
        <f>BI605-BH605</f>
        <v/>
      </c>
      <c r="BJ754" s="1297">
        <f>SUM(BF754,BG754,BH754,BI754)</f>
        <v/>
      </c>
      <c r="BK754" s="1277">
        <f>BK605</f>
        <v/>
      </c>
      <c r="BL754" s="1277">
        <f>BL605-BK605</f>
        <v/>
      </c>
      <c r="BM754" s="1277">
        <f>BM605-BL605</f>
        <v/>
      </c>
      <c r="BN754" s="1277">
        <f>BN605-BM605</f>
        <v/>
      </c>
      <c r="BO754" s="1382">
        <f>SUM(BK754,BL754,BM754,BN754)</f>
        <v/>
      </c>
      <c r="BP754" s="1277" t="n"/>
      <c r="BQ754" s="1277" t="n"/>
      <c r="BR754" s="1277" t="n"/>
      <c r="BS754" s="1277" t="n"/>
      <c r="BT754" s="1297">
        <f>SUM(BP754,BQ754,BR754,BS754)</f>
        <v/>
      </c>
      <c r="BU754" s="1277" t="n"/>
      <c r="BV754" s="1277" t="n"/>
      <c r="BW754" s="1277" t="n"/>
      <c r="BX754" s="1277" t="n"/>
      <c r="BY754" s="1297">
        <f>SUM(BU754,BV754,BW754,BX754)</f>
        <v/>
      </c>
      <c r="BZ754" s="1297" t="n"/>
      <c r="CA754" s="1297" t="n"/>
      <c r="CB754" s="1297" t="n"/>
      <c r="CC754" s="1280" t="n"/>
    </row>
    <row r="755" ht="14.4" customFormat="1" customHeight="1" s="1275">
      <c r="A755" s="1384">
        <f>A606</f>
        <v/>
      </c>
      <c r="B755" s="1387" t="n"/>
      <c r="C755" s="1297">
        <f>C606</f>
        <v/>
      </c>
      <c r="D755" s="1297">
        <f>D606</f>
        <v/>
      </c>
      <c r="E755" s="1297">
        <f>E606</f>
        <v/>
      </c>
      <c r="F755" s="1297">
        <f>F606</f>
        <v/>
      </c>
      <c r="G755" s="1297">
        <f>G606</f>
        <v/>
      </c>
      <c r="H755" s="1277">
        <f>H606</f>
        <v/>
      </c>
      <c r="I755" s="1277">
        <f>I606-H606</f>
        <v/>
      </c>
      <c r="J755" s="1277">
        <f>J606-I606</f>
        <v/>
      </c>
      <c r="K755" s="1277">
        <f>K606-J606</f>
        <v/>
      </c>
      <c r="L755" s="1297">
        <f>L606</f>
        <v/>
      </c>
      <c r="M755" s="1277">
        <f>M606</f>
        <v/>
      </c>
      <c r="N755" s="1277">
        <f>N606-M606</f>
        <v/>
      </c>
      <c r="O755" s="1277">
        <f>O606-N606</f>
        <v/>
      </c>
      <c r="P755" s="1277">
        <f>P606-O606</f>
        <v/>
      </c>
      <c r="Q755" s="1297">
        <f>Q606</f>
        <v/>
      </c>
      <c r="R755" s="1277">
        <f>R606</f>
        <v/>
      </c>
      <c r="S755" s="1277">
        <f>S606-R606</f>
        <v/>
      </c>
      <c r="T755" s="1277">
        <f>T606-S606</f>
        <v/>
      </c>
      <c r="U755" s="1277">
        <f>U606-T606</f>
        <v/>
      </c>
      <c r="V755" s="1297">
        <f>V606</f>
        <v/>
      </c>
      <c r="W755" s="1277">
        <f>W606</f>
        <v/>
      </c>
      <c r="X755" s="1277">
        <f>X606-W606</f>
        <v/>
      </c>
      <c r="Y755" s="1277">
        <f>Y606-X606</f>
        <v/>
      </c>
      <c r="Z755" s="1277">
        <f>Z606-Y606</f>
        <v/>
      </c>
      <c r="AA755" s="1297">
        <f>AA606</f>
        <v/>
      </c>
      <c r="AB755" s="1277">
        <f>AB606</f>
        <v/>
      </c>
      <c r="AC755" s="1277">
        <f>AC606-AB606</f>
        <v/>
      </c>
      <c r="AD755" s="1277">
        <f>AD606-AC606</f>
        <v/>
      </c>
      <c r="AE755" s="1277">
        <f>AE606-AD606</f>
        <v/>
      </c>
      <c r="AF755" s="1297">
        <f>AF606</f>
        <v/>
      </c>
      <c r="AG755" s="1277">
        <f>AG606</f>
        <v/>
      </c>
      <c r="AH755" s="1277">
        <f>AH606-AG606</f>
        <v/>
      </c>
      <c r="AI755" s="1277">
        <f>AI606-AH606</f>
        <v/>
      </c>
      <c r="AJ755" s="1277">
        <f>AJ606-AI606</f>
        <v/>
      </c>
      <c r="AK755" s="1297">
        <f>SUM(AG755,AH755,AI755,AJ755)</f>
        <v/>
      </c>
      <c r="AL755" s="1277">
        <f>AL606</f>
        <v/>
      </c>
      <c r="AM755" s="1277">
        <f>AM606-AL606</f>
        <v/>
      </c>
      <c r="AN755" s="1277">
        <f>AN606-AM606</f>
        <v/>
      </c>
      <c r="AO755" s="1277">
        <f>AO606-AN606</f>
        <v/>
      </c>
      <c r="AP755" s="1297">
        <f>SUM(AL755,AM755,AN755,AO755)</f>
        <v/>
      </c>
      <c r="AQ755" s="1277">
        <f>AQ606</f>
        <v/>
      </c>
      <c r="AR755" s="1277">
        <f>AR606-AQ606</f>
        <v/>
      </c>
      <c r="AS755" s="1277">
        <f>AS606-AR606</f>
        <v/>
      </c>
      <c r="AT755" s="1277">
        <f>AT606-AS606</f>
        <v/>
      </c>
      <c r="AU755" s="1297">
        <f>SUM(AQ755,AR755,AS755,AT755)</f>
        <v/>
      </c>
      <c r="AV755" s="1277">
        <f>AV606</f>
        <v/>
      </c>
      <c r="AW755" s="1277">
        <f>AW606-AV606</f>
        <v/>
      </c>
      <c r="AX755" s="1277">
        <f>AX606-AW606</f>
        <v/>
      </c>
      <c r="AY755" s="1277">
        <f>AY606-AX606</f>
        <v/>
      </c>
      <c r="AZ755" s="1297">
        <f>SUM(AV755,AW755,AX755,AY755)</f>
        <v/>
      </c>
      <c r="BA755" s="1277">
        <f>BA606</f>
        <v/>
      </c>
      <c r="BB755" s="1277">
        <f>BB606-BA606</f>
        <v/>
      </c>
      <c r="BC755" s="1277">
        <f>BC606-BB606</f>
        <v/>
      </c>
      <c r="BD755" s="1277">
        <f>BD606-BC606</f>
        <v/>
      </c>
      <c r="BE755" s="1297">
        <f>SUM(BA755,BB755,BC755,BD755)</f>
        <v/>
      </c>
      <c r="BF755" s="1277">
        <f>BF606</f>
        <v/>
      </c>
      <c r="BG755" s="1277">
        <f>BG606-BF606</f>
        <v/>
      </c>
      <c r="BH755" s="1277">
        <f>BH606-BG606</f>
        <v/>
      </c>
      <c r="BI755" s="1277">
        <f>BI606-BH606</f>
        <v/>
      </c>
      <c r="BJ755" s="1297">
        <f>SUM(BF755,BG755,BH755,BI755)</f>
        <v/>
      </c>
      <c r="BK755" s="1277">
        <f>BK606</f>
        <v/>
      </c>
      <c r="BL755" s="1277">
        <f>BL606-BK606</f>
        <v/>
      </c>
      <c r="BM755" s="1277">
        <f>BM606-BL606</f>
        <v/>
      </c>
      <c r="BN755" s="1277">
        <f>BN606-BM606</f>
        <v/>
      </c>
      <c r="BO755" s="1382">
        <f>SUM(BK755,BL755,BM755,BN755)</f>
        <v/>
      </c>
      <c r="BP755" s="1277" t="n"/>
      <c r="BQ755" s="1277" t="n"/>
      <c r="BR755" s="1277" t="n"/>
      <c r="BS755" s="1277" t="n"/>
      <c r="BT755" s="1297">
        <f>SUM(BP755,BQ755,BR755,BS755)</f>
        <v/>
      </c>
      <c r="BU755" s="1277" t="n"/>
      <c r="BV755" s="1277" t="n"/>
      <c r="BW755" s="1277" t="n"/>
      <c r="BX755" s="1277" t="n"/>
      <c r="BY755" s="1297">
        <f>SUM(BU755,BV755,BW755,BX755)</f>
        <v/>
      </c>
      <c r="BZ755" s="1297" t="n"/>
      <c r="CA755" s="1297" t="n"/>
      <c r="CB755" s="1297" t="n"/>
      <c r="CC755" s="1280" t="n"/>
    </row>
    <row r="756" ht="14.4" customFormat="1" customHeight="1" s="1275">
      <c r="A756" s="1384">
        <f>A607</f>
        <v/>
      </c>
      <c r="B756" s="1387" t="n"/>
      <c r="C756" s="1297">
        <f>C607</f>
        <v/>
      </c>
      <c r="D756" s="1297">
        <f>D607</f>
        <v/>
      </c>
      <c r="E756" s="1297">
        <f>E607</f>
        <v/>
      </c>
      <c r="F756" s="1297">
        <f>F607</f>
        <v/>
      </c>
      <c r="G756" s="1297">
        <f>G607</f>
        <v/>
      </c>
      <c r="H756" s="1277">
        <f>H607</f>
        <v/>
      </c>
      <c r="I756" s="1277">
        <f>I607-H607</f>
        <v/>
      </c>
      <c r="J756" s="1277">
        <f>J607-I607</f>
        <v/>
      </c>
      <c r="K756" s="1277">
        <f>K607-J607</f>
        <v/>
      </c>
      <c r="L756" s="1297">
        <f>L607</f>
        <v/>
      </c>
      <c r="M756" s="1277">
        <f>M607</f>
        <v/>
      </c>
      <c r="N756" s="1277">
        <f>N607-M607</f>
        <v/>
      </c>
      <c r="O756" s="1277">
        <f>O607-N607</f>
        <v/>
      </c>
      <c r="P756" s="1277">
        <f>P607-O607</f>
        <v/>
      </c>
      <c r="Q756" s="1297">
        <f>Q607</f>
        <v/>
      </c>
      <c r="R756" s="1277">
        <f>R607</f>
        <v/>
      </c>
      <c r="S756" s="1277">
        <f>S607-R607</f>
        <v/>
      </c>
      <c r="T756" s="1277">
        <f>T607-S607</f>
        <v/>
      </c>
      <c r="U756" s="1277">
        <f>U607-T607</f>
        <v/>
      </c>
      <c r="V756" s="1297">
        <f>V607</f>
        <v/>
      </c>
      <c r="W756" s="1277">
        <f>W607</f>
        <v/>
      </c>
      <c r="X756" s="1277">
        <f>X607-W607</f>
        <v/>
      </c>
      <c r="Y756" s="1277">
        <f>Y607-X607</f>
        <v/>
      </c>
      <c r="Z756" s="1277">
        <f>Z607-Y607</f>
        <v/>
      </c>
      <c r="AA756" s="1297">
        <f>AA607</f>
        <v/>
      </c>
      <c r="AB756" s="1277">
        <f>AB607</f>
        <v/>
      </c>
      <c r="AC756" s="1277">
        <f>AC607-AB607</f>
        <v/>
      </c>
      <c r="AD756" s="1277">
        <f>AD607-AC607</f>
        <v/>
      </c>
      <c r="AE756" s="1277">
        <f>AE607-AD607</f>
        <v/>
      </c>
      <c r="AF756" s="1297">
        <f>AF607</f>
        <v/>
      </c>
      <c r="AG756" s="1277">
        <f>AG607</f>
        <v/>
      </c>
      <c r="AH756" s="1277">
        <f>AH607-AG607</f>
        <v/>
      </c>
      <c r="AI756" s="1277">
        <f>AI607-AH607</f>
        <v/>
      </c>
      <c r="AJ756" s="1277">
        <f>AJ607-AI607</f>
        <v/>
      </c>
      <c r="AK756" s="1297">
        <f>SUM(AG756,AH756,AI756,AJ756)</f>
        <v/>
      </c>
      <c r="AL756" s="1277">
        <f>AL607</f>
        <v/>
      </c>
      <c r="AM756" s="1277">
        <f>AM607-AL607</f>
        <v/>
      </c>
      <c r="AN756" s="1277">
        <f>AN607-AM607</f>
        <v/>
      </c>
      <c r="AO756" s="1277">
        <f>AO607-AN607</f>
        <v/>
      </c>
      <c r="AP756" s="1297">
        <f>SUM(AL756,AM756,AN756,AO756)</f>
        <v/>
      </c>
      <c r="AQ756" s="1277">
        <f>AQ607</f>
        <v/>
      </c>
      <c r="AR756" s="1277">
        <f>AR607-AQ607</f>
        <v/>
      </c>
      <c r="AS756" s="1277">
        <f>AS607-AR607</f>
        <v/>
      </c>
      <c r="AT756" s="1277">
        <f>AT607-AS607</f>
        <v/>
      </c>
      <c r="AU756" s="1297">
        <f>SUM(AQ756,AR756,AS756,AT756)</f>
        <v/>
      </c>
      <c r="AV756" s="1277">
        <f>AV607</f>
        <v/>
      </c>
      <c r="AW756" s="1277">
        <f>AW607-AV607</f>
        <v/>
      </c>
      <c r="AX756" s="1277">
        <f>AX607-AW607</f>
        <v/>
      </c>
      <c r="AY756" s="1277">
        <f>AY607-AX607</f>
        <v/>
      </c>
      <c r="AZ756" s="1297">
        <f>SUM(AV756,AW756,AX756,AY756)</f>
        <v/>
      </c>
      <c r="BA756" s="1277">
        <f>BA607</f>
        <v/>
      </c>
      <c r="BB756" s="1277">
        <f>BB607-BA607</f>
        <v/>
      </c>
      <c r="BC756" s="1277">
        <f>BC607-BB607</f>
        <v/>
      </c>
      <c r="BD756" s="1277">
        <f>BD607-BC607</f>
        <v/>
      </c>
      <c r="BE756" s="1297">
        <f>SUM(BA756,BB756,BC756,BD756)</f>
        <v/>
      </c>
      <c r="BF756" s="1277">
        <f>BF607</f>
        <v/>
      </c>
      <c r="BG756" s="1277">
        <f>BG607-BF607</f>
        <v/>
      </c>
      <c r="BH756" s="1277">
        <f>BH607-BG607</f>
        <v/>
      </c>
      <c r="BI756" s="1277">
        <f>BI607-BH607</f>
        <v/>
      </c>
      <c r="BJ756" s="1297">
        <f>SUM(BF756,BG756,BH756,BI756)</f>
        <v/>
      </c>
      <c r="BK756" s="1277">
        <f>BK607</f>
        <v/>
      </c>
      <c r="BL756" s="1277">
        <f>BL607-BK607</f>
        <v/>
      </c>
      <c r="BM756" s="1277">
        <f>BM607-BL607</f>
        <v/>
      </c>
      <c r="BN756" s="1277">
        <f>BN607-BM607</f>
        <v/>
      </c>
      <c r="BO756" s="1382">
        <f>SUM(BK756,BL756,BM756,BN756)</f>
        <v/>
      </c>
      <c r="BP756" s="1277">
        <f>BP460</f>
        <v/>
      </c>
      <c r="BQ756" s="1277">
        <f>BQ460</f>
        <v/>
      </c>
      <c r="BR756" s="1277">
        <f>BR460</f>
        <v/>
      </c>
      <c r="BS756" s="1277">
        <f>BS460</f>
        <v/>
      </c>
      <c r="BT756" s="1297">
        <f>SUM(BP756,BQ756,BR756,BS756)</f>
        <v/>
      </c>
      <c r="BU756" s="1277">
        <f>BU460</f>
        <v/>
      </c>
      <c r="BV756" s="1277">
        <f>BV460</f>
        <v/>
      </c>
      <c r="BW756" s="1277">
        <f>BW460</f>
        <v/>
      </c>
      <c r="BX756" s="1277">
        <f>BX460</f>
        <v/>
      </c>
      <c r="BY756" s="1297">
        <f>SUM(BU756,BV756,BW756,BX756)</f>
        <v/>
      </c>
      <c r="BZ756" s="1297">
        <f>BZ460</f>
        <v/>
      </c>
      <c r="CA756" s="1297">
        <f>CA460</f>
        <v/>
      </c>
      <c r="CB756" s="1297">
        <f>CB460</f>
        <v/>
      </c>
      <c r="CC756" s="1280" t="n"/>
    </row>
    <row r="757" ht="14.4" customFormat="1" customHeight="1" s="1275">
      <c r="A757" s="1384">
        <f>A608</f>
        <v/>
      </c>
      <c r="B757" s="1387" t="n"/>
      <c r="C757" s="1297">
        <f>C608</f>
        <v/>
      </c>
      <c r="D757" s="1297">
        <f>D608</f>
        <v/>
      </c>
      <c r="E757" s="1297">
        <f>E608</f>
        <v/>
      </c>
      <c r="F757" s="1297">
        <f>F608</f>
        <v/>
      </c>
      <c r="G757" s="1297">
        <f>G608</f>
        <v/>
      </c>
      <c r="H757" s="1277">
        <f>H608</f>
        <v/>
      </c>
      <c r="I757" s="1277">
        <f>I608-H608</f>
        <v/>
      </c>
      <c r="J757" s="1277">
        <f>J608-I608</f>
        <v/>
      </c>
      <c r="K757" s="1277">
        <f>K608-J608</f>
        <v/>
      </c>
      <c r="L757" s="1297">
        <f>L608</f>
        <v/>
      </c>
      <c r="M757" s="1277">
        <f>M608</f>
        <v/>
      </c>
      <c r="N757" s="1277">
        <f>N608-M608</f>
        <v/>
      </c>
      <c r="O757" s="1277">
        <f>O608-N608</f>
        <v/>
      </c>
      <c r="P757" s="1277">
        <f>P608-O608</f>
        <v/>
      </c>
      <c r="Q757" s="1297">
        <f>Q608</f>
        <v/>
      </c>
      <c r="R757" s="1277">
        <f>R608</f>
        <v/>
      </c>
      <c r="S757" s="1277">
        <f>S608-R608</f>
        <v/>
      </c>
      <c r="T757" s="1277">
        <f>T608-S608</f>
        <v/>
      </c>
      <c r="U757" s="1277">
        <f>U608-T608</f>
        <v/>
      </c>
      <c r="V757" s="1297">
        <f>V608</f>
        <v/>
      </c>
      <c r="W757" s="1277">
        <f>W608</f>
        <v/>
      </c>
      <c r="X757" s="1277">
        <f>X608-W608</f>
        <v/>
      </c>
      <c r="Y757" s="1277">
        <f>Y608-X608</f>
        <v/>
      </c>
      <c r="Z757" s="1277">
        <f>Z608-Y608</f>
        <v/>
      </c>
      <c r="AA757" s="1297">
        <f>AA608</f>
        <v/>
      </c>
      <c r="AB757" s="1277">
        <f>AB608</f>
        <v/>
      </c>
      <c r="AC757" s="1277">
        <f>AC608-AB608</f>
        <v/>
      </c>
      <c r="AD757" s="1277">
        <f>AD608-AC608</f>
        <v/>
      </c>
      <c r="AE757" s="1277">
        <f>AE608-AD608</f>
        <v/>
      </c>
      <c r="AF757" s="1297">
        <f>AF608</f>
        <v/>
      </c>
      <c r="AG757" s="1277">
        <f>AG608</f>
        <v/>
      </c>
      <c r="AH757" s="1277">
        <f>AH608-AG608</f>
        <v/>
      </c>
      <c r="AI757" s="1277">
        <f>AI608-AH608</f>
        <v/>
      </c>
      <c r="AJ757" s="1277">
        <f>AJ608-AI608</f>
        <v/>
      </c>
      <c r="AK757" s="1297">
        <f>SUM(AG757,AH757,AI757,AJ757)</f>
        <v/>
      </c>
      <c r="AL757" s="1277">
        <f>AL608</f>
        <v/>
      </c>
      <c r="AM757" s="1277">
        <f>AM608-AL608</f>
        <v/>
      </c>
      <c r="AN757" s="1277">
        <f>AN608-AM608</f>
        <v/>
      </c>
      <c r="AO757" s="1277">
        <f>AO608-AN608</f>
        <v/>
      </c>
      <c r="AP757" s="1297">
        <f>SUM(AL757,AM757,AN757,AO757)</f>
        <v/>
      </c>
      <c r="AQ757" s="1277">
        <f>AQ608</f>
        <v/>
      </c>
      <c r="AR757" s="1277">
        <f>AR608-AQ608</f>
        <v/>
      </c>
      <c r="AS757" s="1277">
        <f>AS608-AR608</f>
        <v/>
      </c>
      <c r="AT757" s="1277">
        <f>AT608-AS608</f>
        <v/>
      </c>
      <c r="AU757" s="1297">
        <f>SUM(AQ757,AR757,AS757,AT757)</f>
        <v/>
      </c>
      <c r="AV757" s="1277">
        <f>AV608</f>
        <v/>
      </c>
      <c r="AW757" s="1277">
        <f>AW608-AV608</f>
        <v/>
      </c>
      <c r="AX757" s="1277">
        <f>AX608-AW608</f>
        <v/>
      </c>
      <c r="AY757" s="1277">
        <f>AY608-AX608</f>
        <v/>
      </c>
      <c r="AZ757" s="1297">
        <f>SUM(AV757,AW757,AX757,AY757)</f>
        <v/>
      </c>
      <c r="BA757" s="1277">
        <f>BA608</f>
        <v/>
      </c>
      <c r="BB757" s="1277">
        <f>BB608-BA608</f>
        <v/>
      </c>
      <c r="BC757" s="1277">
        <f>BC608-BB608</f>
        <v/>
      </c>
      <c r="BD757" s="1277">
        <f>BD608-BC608</f>
        <v/>
      </c>
      <c r="BE757" s="1297">
        <f>SUM(BA757,BB757,BC757,BD757)</f>
        <v/>
      </c>
      <c r="BF757" s="1277">
        <f>BF608</f>
        <v/>
      </c>
      <c r="BG757" s="1277">
        <f>BG608-BF608</f>
        <v/>
      </c>
      <c r="BH757" s="1277">
        <f>BH608-BG608</f>
        <v/>
      </c>
      <c r="BI757" s="1277">
        <f>BI608-BH608</f>
        <v/>
      </c>
      <c r="BJ757" s="1297">
        <f>SUM(BF757,BG757,BH757,BI757)</f>
        <v/>
      </c>
      <c r="BK757" s="1277">
        <f>BK608</f>
        <v/>
      </c>
      <c r="BL757" s="1277">
        <f>BL608-BK608</f>
        <v/>
      </c>
      <c r="BM757" s="1277">
        <f>BM608-BL608</f>
        <v/>
      </c>
      <c r="BN757" s="1277">
        <f>BN608-BM608</f>
        <v/>
      </c>
      <c r="BO757" s="1382">
        <f>SUM(BK757,BL757,BM757,BN757)</f>
        <v/>
      </c>
      <c r="BP757" s="1277" t="n"/>
      <c r="BQ757" s="1277" t="n"/>
      <c r="BR757" s="1277" t="n"/>
      <c r="BS757" s="1277" t="n"/>
      <c r="BT757" s="1297">
        <f>SUM(BP757,BQ757,BR757,BS757)</f>
        <v/>
      </c>
      <c r="BU757" s="1277" t="n"/>
      <c r="BV757" s="1277" t="n"/>
      <c r="BW757" s="1277" t="n"/>
      <c r="BX757" s="1277" t="n"/>
      <c r="BY757" s="1297">
        <f>SUM(BU757,BV757,BW757,BX757)</f>
        <v/>
      </c>
      <c r="BZ757" s="1297" t="n"/>
      <c r="CA757" s="1297" t="n"/>
      <c r="CB757" s="1297" t="n"/>
      <c r="CC757" s="1280" t="n"/>
    </row>
    <row r="758" ht="14.4" customFormat="1" customHeight="1" s="1275">
      <c r="A758" s="1384">
        <f>A609</f>
        <v/>
      </c>
      <c r="B758" s="1387" t="n"/>
      <c r="C758" s="1297">
        <f>C609</f>
        <v/>
      </c>
      <c r="D758" s="1297">
        <f>D609</f>
        <v/>
      </c>
      <c r="E758" s="1297">
        <f>E609</f>
        <v/>
      </c>
      <c r="F758" s="1297">
        <f>F609</f>
        <v/>
      </c>
      <c r="G758" s="1297">
        <f>G609</f>
        <v/>
      </c>
      <c r="H758" s="1277">
        <f>H609</f>
        <v/>
      </c>
      <c r="I758" s="1277">
        <f>I609-H609</f>
        <v/>
      </c>
      <c r="J758" s="1277">
        <f>J609-I609</f>
        <v/>
      </c>
      <c r="K758" s="1277">
        <f>K609-J609</f>
        <v/>
      </c>
      <c r="L758" s="1297">
        <f>L609</f>
        <v/>
      </c>
      <c r="M758" s="1277">
        <f>M609</f>
        <v/>
      </c>
      <c r="N758" s="1277">
        <f>N609-M609</f>
        <v/>
      </c>
      <c r="O758" s="1277">
        <f>O609-N609</f>
        <v/>
      </c>
      <c r="P758" s="1277">
        <f>P609-O609</f>
        <v/>
      </c>
      <c r="Q758" s="1297">
        <f>Q609</f>
        <v/>
      </c>
      <c r="R758" s="1277">
        <f>R609</f>
        <v/>
      </c>
      <c r="S758" s="1277">
        <f>S609-R609</f>
        <v/>
      </c>
      <c r="T758" s="1277">
        <f>T609-S609</f>
        <v/>
      </c>
      <c r="U758" s="1277">
        <f>U609-T609</f>
        <v/>
      </c>
      <c r="V758" s="1297">
        <f>V609</f>
        <v/>
      </c>
      <c r="W758" s="1277">
        <f>W609</f>
        <v/>
      </c>
      <c r="X758" s="1277">
        <f>X609-W609</f>
        <v/>
      </c>
      <c r="Y758" s="1277">
        <f>Y609-X609</f>
        <v/>
      </c>
      <c r="Z758" s="1277">
        <f>Z609-Y609</f>
        <v/>
      </c>
      <c r="AA758" s="1297">
        <f>AA609</f>
        <v/>
      </c>
      <c r="AB758" s="1277">
        <f>AB609</f>
        <v/>
      </c>
      <c r="AC758" s="1277">
        <f>AC609-AB609</f>
        <v/>
      </c>
      <c r="AD758" s="1277">
        <f>AD609-AC609</f>
        <v/>
      </c>
      <c r="AE758" s="1277">
        <f>AE609-AD609</f>
        <v/>
      </c>
      <c r="AF758" s="1297">
        <f>AF609</f>
        <v/>
      </c>
      <c r="AG758" s="1277">
        <f>AG609</f>
        <v/>
      </c>
      <c r="AH758" s="1277">
        <f>AH609-AG609</f>
        <v/>
      </c>
      <c r="AI758" s="1277">
        <f>AI609-AH609</f>
        <v/>
      </c>
      <c r="AJ758" s="1277">
        <f>AJ609-AI609</f>
        <v/>
      </c>
      <c r="AK758" s="1297">
        <f>SUM(AG758,AH758,AI758,AJ758)</f>
        <v/>
      </c>
      <c r="AL758" s="1277">
        <f>AL609</f>
        <v/>
      </c>
      <c r="AM758" s="1277">
        <f>AM609-AL609</f>
        <v/>
      </c>
      <c r="AN758" s="1277">
        <f>AN609-AM609</f>
        <v/>
      </c>
      <c r="AO758" s="1277">
        <f>AO609-AN609</f>
        <v/>
      </c>
      <c r="AP758" s="1297">
        <f>SUM(AL758,AM758,AN758,AO758)</f>
        <v/>
      </c>
      <c r="AQ758" s="1277">
        <f>AQ609</f>
        <v/>
      </c>
      <c r="AR758" s="1277">
        <f>AR609-AQ609</f>
        <v/>
      </c>
      <c r="AS758" s="1277">
        <f>AS609-AR609</f>
        <v/>
      </c>
      <c r="AT758" s="1277">
        <f>AT609-AS609</f>
        <v/>
      </c>
      <c r="AU758" s="1297">
        <f>SUM(AQ758,AR758,AS758,AT758)</f>
        <v/>
      </c>
      <c r="AV758" s="1277">
        <f>AV609</f>
        <v/>
      </c>
      <c r="AW758" s="1277">
        <f>AW609-AV609</f>
        <v/>
      </c>
      <c r="AX758" s="1277">
        <f>AX609-AW609</f>
        <v/>
      </c>
      <c r="AY758" s="1277">
        <f>AY609-AX609</f>
        <v/>
      </c>
      <c r="AZ758" s="1297">
        <f>SUM(AV758,AW758,AX758,AY758)</f>
        <v/>
      </c>
      <c r="BA758" s="1277">
        <f>BA609</f>
        <v/>
      </c>
      <c r="BB758" s="1277">
        <f>BB609-BA609</f>
        <v/>
      </c>
      <c r="BC758" s="1277">
        <f>BC609-BB609</f>
        <v/>
      </c>
      <c r="BD758" s="1277">
        <f>BD609-BC609</f>
        <v/>
      </c>
      <c r="BE758" s="1297">
        <f>SUM(BA758,BB758,BC758,BD758)</f>
        <v/>
      </c>
      <c r="BF758" s="1277">
        <f>BF609</f>
        <v/>
      </c>
      <c r="BG758" s="1277">
        <f>BG609-BF609</f>
        <v/>
      </c>
      <c r="BH758" s="1277">
        <f>BH609-BG609</f>
        <v/>
      </c>
      <c r="BI758" s="1277">
        <f>BI609-BH609</f>
        <v/>
      </c>
      <c r="BJ758" s="1297">
        <f>SUM(BF758,BG758,BH758,BI758)</f>
        <v/>
      </c>
      <c r="BK758" s="1277">
        <f>BK609</f>
        <v/>
      </c>
      <c r="BL758" s="1277">
        <f>BL609-BK609</f>
        <v/>
      </c>
      <c r="BM758" s="1277">
        <f>BM609-BL609</f>
        <v/>
      </c>
      <c r="BN758" s="1277">
        <f>BN609-BM609</f>
        <v/>
      </c>
      <c r="BO758" s="1382">
        <f>SUM(BK758,BL758,BM758,BN758)</f>
        <v/>
      </c>
      <c r="BP758" s="1277" t="n"/>
      <c r="BQ758" s="1277" t="n"/>
      <c r="BR758" s="1277" t="n"/>
      <c r="BS758" s="1277" t="n"/>
      <c r="BT758" s="1297">
        <f>SUM(BP758,BQ758,BR758,BS758)</f>
        <v/>
      </c>
      <c r="BU758" s="1277" t="n"/>
      <c r="BV758" s="1277" t="n"/>
      <c r="BW758" s="1277" t="n"/>
      <c r="BX758" s="1277" t="n"/>
      <c r="BY758" s="1297">
        <f>SUM(BU758,BV758,BW758,BX758)</f>
        <v/>
      </c>
      <c r="BZ758" s="1297" t="n"/>
      <c r="CA758" s="1297" t="n"/>
      <c r="CB758" s="1297" t="n"/>
      <c r="CC758" s="1280" t="n"/>
    </row>
    <row r="759" ht="14.4" customFormat="1" customHeight="1" s="1275">
      <c r="A759" s="1384">
        <f>A610</f>
        <v/>
      </c>
      <c r="B759" s="1387" t="n"/>
      <c r="C759" s="1297">
        <f>C610</f>
        <v/>
      </c>
      <c r="D759" s="1297">
        <f>D610</f>
        <v/>
      </c>
      <c r="E759" s="1297">
        <f>E610</f>
        <v/>
      </c>
      <c r="F759" s="1297">
        <f>F610</f>
        <v/>
      </c>
      <c r="G759" s="1297">
        <f>G610</f>
        <v/>
      </c>
      <c r="H759" s="1277">
        <f>H610</f>
        <v/>
      </c>
      <c r="I759" s="1277">
        <f>I610-H610</f>
        <v/>
      </c>
      <c r="J759" s="1277">
        <f>J610-I610</f>
        <v/>
      </c>
      <c r="K759" s="1277">
        <f>K610-J610</f>
        <v/>
      </c>
      <c r="L759" s="1297">
        <f>L610</f>
        <v/>
      </c>
      <c r="M759" s="1277">
        <f>M610</f>
        <v/>
      </c>
      <c r="N759" s="1277">
        <f>N610-M610</f>
        <v/>
      </c>
      <c r="O759" s="1277">
        <f>O610-N610</f>
        <v/>
      </c>
      <c r="P759" s="1277">
        <f>P610-O610</f>
        <v/>
      </c>
      <c r="Q759" s="1297">
        <f>Q610</f>
        <v/>
      </c>
      <c r="R759" s="1277">
        <f>R610</f>
        <v/>
      </c>
      <c r="S759" s="1277">
        <f>S610-R610</f>
        <v/>
      </c>
      <c r="T759" s="1277">
        <f>T610-S610</f>
        <v/>
      </c>
      <c r="U759" s="1277">
        <f>U610-T610</f>
        <v/>
      </c>
      <c r="V759" s="1297">
        <f>V610</f>
        <v/>
      </c>
      <c r="W759" s="1277">
        <f>W610</f>
        <v/>
      </c>
      <c r="X759" s="1277">
        <f>X610-W610</f>
        <v/>
      </c>
      <c r="Y759" s="1277">
        <f>Y610-X610</f>
        <v/>
      </c>
      <c r="Z759" s="1277">
        <f>Z610-Y610</f>
        <v/>
      </c>
      <c r="AA759" s="1297">
        <f>AA610</f>
        <v/>
      </c>
      <c r="AB759" s="1277">
        <f>AB610</f>
        <v/>
      </c>
      <c r="AC759" s="1277">
        <f>AC610-AB610</f>
        <v/>
      </c>
      <c r="AD759" s="1277">
        <f>AD610-AC610</f>
        <v/>
      </c>
      <c r="AE759" s="1277">
        <f>AE610-AD610</f>
        <v/>
      </c>
      <c r="AF759" s="1297">
        <f>AF610</f>
        <v/>
      </c>
      <c r="AG759" s="1277">
        <f>AG610</f>
        <v/>
      </c>
      <c r="AH759" s="1277">
        <f>AH610-AG610</f>
        <v/>
      </c>
      <c r="AI759" s="1277">
        <f>AI610-AH610</f>
        <v/>
      </c>
      <c r="AJ759" s="1277">
        <f>AJ610-AI610</f>
        <v/>
      </c>
      <c r="AK759" s="1297">
        <f>SUM(AG759,AH759,AI759,AJ759)</f>
        <v/>
      </c>
      <c r="AL759" s="1277">
        <f>AL610</f>
        <v/>
      </c>
      <c r="AM759" s="1277">
        <f>AM610-AL610</f>
        <v/>
      </c>
      <c r="AN759" s="1277">
        <f>AN610-AM610</f>
        <v/>
      </c>
      <c r="AO759" s="1277">
        <f>AO610-AN610</f>
        <v/>
      </c>
      <c r="AP759" s="1297">
        <f>SUM(AL759,AM759,AN759,AO759)</f>
        <v/>
      </c>
      <c r="AQ759" s="1277">
        <f>AQ610</f>
        <v/>
      </c>
      <c r="AR759" s="1277">
        <f>AR610-AQ610</f>
        <v/>
      </c>
      <c r="AS759" s="1277">
        <f>AS610-AR610</f>
        <v/>
      </c>
      <c r="AT759" s="1277">
        <f>AT610-AS610</f>
        <v/>
      </c>
      <c r="AU759" s="1297">
        <f>SUM(AQ759,AR759,AS759,AT759)</f>
        <v/>
      </c>
      <c r="AV759" s="1277">
        <f>AV610</f>
        <v/>
      </c>
      <c r="AW759" s="1277">
        <f>AW610-AV610</f>
        <v/>
      </c>
      <c r="AX759" s="1277">
        <f>AX610-AW610</f>
        <v/>
      </c>
      <c r="AY759" s="1277">
        <f>AY610-AX610</f>
        <v/>
      </c>
      <c r="AZ759" s="1297">
        <f>SUM(AV759,AW759,AX759,AY759)</f>
        <v/>
      </c>
      <c r="BA759" s="1277">
        <f>BA610</f>
        <v/>
      </c>
      <c r="BB759" s="1277">
        <f>BB610-BA610</f>
        <v/>
      </c>
      <c r="BC759" s="1277">
        <f>BC610-BB610</f>
        <v/>
      </c>
      <c r="BD759" s="1277">
        <f>BD610-BC610</f>
        <v/>
      </c>
      <c r="BE759" s="1297">
        <f>SUM(BA759,BB759,BC759,BD759)</f>
        <v/>
      </c>
      <c r="BF759" s="1277">
        <f>BF610</f>
        <v/>
      </c>
      <c r="BG759" s="1277">
        <f>BG610-BF610</f>
        <v/>
      </c>
      <c r="BH759" s="1277">
        <f>BH610-BG610</f>
        <v/>
      </c>
      <c r="BI759" s="1277">
        <f>BI610-BH610</f>
        <v/>
      </c>
      <c r="BJ759" s="1297">
        <f>SUM(BF759,BG759,BH759,BI759)</f>
        <v/>
      </c>
      <c r="BK759" s="1277">
        <f>BK610</f>
        <v/>
      </c>
      <c r="BL759" s="1277">
        <f>BL610-BK610</f>
        <v/>
      </c>
      <c r="BM759" s="1277">
        <f>BM610-BL610</f>
        <v/>
      </c>
      <c r="BN759" s="1277">
        <f>BN610-BM610</f>
        <v/>
      </c>
      <c r="BO759" s="1382">
        <f>SUM(BK759,BL759,BM759,BN759)</f>
        <v/>
      </c>
      <c r="BP759" s="1277" t="n"/>
      <c r="BQ759" s="1277" t="n"/>
      <c r="BR759" s="1277" t="n"/>
      <c r="BS759" s="1277" t="n"/>
      <c r="BT759" s="1297">
        <f>SUM(BP759,BQ759,BR759,BS759)</f>
        <v/>
      </c>
      <c r="BU759" s="1277" t="n"/>
      <c r="BV759" s="1277" t="n"/>
      <c r="BW759" s="1277" t="n"/>
      <c r="BX759" s="1277" t="n"/>
      <c r="BY759" s="1297">
        <f>SUM(BU759,BV759,BW759,BX759)</f>
        <v/>
      </c>
      <c r="BZ759" s="1297" t="n"/>
      <c r="CA759" s="1297" t="n"/>
      <c r="CB759" s="1297" t="n"/>
      <c r="CC759" s="1280" t="n"/>
    </row>
    <row r="760" ht="14.4" customFormat="1" customHeight="1" s="1275">
      <c r="A760" s="1384">
        <f>A611</f>
        <v/>
      </c>
      <c r="B760" s="1387" t="n"/>
      <c r="C760" s="1297">
        <f>C611</f>
        <v/>
      </c>
      <c r="D760" s="1297">
        <f>D611</f>
        <v/>
      </c>
      <c r="E760" s="1297">
        <f>E611</f>
        <v/>
      </c>
      <c r="F760" s="1297">
        <f>F611</f>
        <v/>
      </c>
      <c r="G760" s="1297">
        <f>G611</f>
        <v/>
      </c>
      <c r="H760" s="1277">
        <f>H611</f>
        <v/>
      </c>
      <c r="I760" s="1277">
        <f>I611-H611</f>
        <v/>
      </c>
      <c r="J760" s="1277">
        <f>J611-I611</f>
        <v/>
      </c>
      <c r="K760" s="1277">
        <f>K611-J611</f>
        <v/>
      </c>
      <c r="L760" s="1297">
        <f>L611</f>
        <v/>
      </c>
      <c r="M760" s="1277">
        <f>M611</f>
        <v/>
      </c>
      <c r="N760" s="1277">
        <f>N611-M611</f>
        <v/>
      </c>
      <c r="O760" s="1277">
        <f>O611-N611</f>
        <v/>
      </c>
      <c r="P760" s="1277">
        <f>P611-O611</f>
        <v/>
      </c>
      <c r="Q760" s="1297">
        <f>Q611</f>
        <v/>
      </c>
      <c r="R760" s="1277">
        <f>R611</f>
        <v/>
      </c>
      <c r="S760" s="1277">
        <f>S611-R611</f>
        <v/>
      </c>
      <c r="T760" s="1277">
        <f>T611-S611</f>
        <v/>
      </c>
      <c r="U760" s="1277">
        <f>U611-T611</f>
        <v/>
      </c>
      <c r="V760" s="1297">
        <f>V611</f>
        <v/>
      </c>
      <c r="W760" s="1277">
        <f>W611</f>
        <v/>
      </c>
      <c r="X760" s="1277">
        <f>X611-W611</f>
        <v/>
      </c>
      <c r="Y760" s="1277">
        <f>Y611-X611</f>
        <v/>
      </c>
      <c r="Z760" s="1277">
        <f>Z611-Y611</f>
        <v/>
      </c>
      <c r="AA760" s="1297">
        <f>AA611</f>
        <v/>
      </c>
      <c r="AB760" s="1277">
        <f>AB611</f>
        <v/>
      </c>
      <c r="AC760" s="1277">
        <f>AC611-AB611</f>
        <v/>
      </c>
      <c r="AD760" s="1277">
        <f>AD611-AC611</f>
        <v/>
      </c>
      <c r="AE760" s="1277">
        <f>AE611-AD611</f>
        <v/>
      </c>
      <c r="AF760" s="1297">
        <f>AF611</f>
        <v/>
      </c>
      <c r="AG760" s="1277">
        <f>AG611</f>
        <v/>
      </c>
      <c r="AH760" s="1277">
        <f>AH611-AG611</f>
        <v/>
      </c>
      <c r="AI760" s="1277">
        <f>AI611-AH611</f>
        <v/>
      </c>
      <c r="AJ760" s="1277">
        <f>AJ611-AI611</f>
        <v/>
      </c>
      <c r="AK760" s="1297">
        <f>SUM(AG760,AH760,AI760,AJ760)</f>
        <v/>
      </c>
      <c r="AL760" s="1277">
        <f>AL611</f>
        <v/>
      </c>
      <c r="AM760" s="1277">
        <f>AM611-AL611</f>
        <v/>
      </c>
      <c r="AN760" s="1277">
        <f>AN611-AM611</f>
        <v/>
      </c>
      <c r="AO760" s="1277">
        <f>AO611-AN611</f>
        <v/>
      </c>
      <c r="AP760" s="1297">
        <f>SUM(AL760,AM760,AN760,AO760)</f>
        <v/>
      </c>
      <c r="AQ760" s="1277">
        <f>AQ611</f>
        <v/>
      </c>
      <c r="AR760" s="1277">
        <f>AR611-AQ611</f>
        <v/>
      </c>
      <c r="AS760" s="1277">
        <f>AS611-AR611</f>
        <v/>
      </c>
      <c r="AT760" s="1277">
        <f>AT611-AS611</f>
        <v/>
      </c>
      <c r="AU760" s="1297">
        <f>SUM(AQ760,AR760,AS760,AT760)</f>
        <v/>
      </c>
      <c r="AV760" s="1277">
        <f>AV611</f>
        <v/>
      </c>
      <c r="AW760" s="1277">
        <f>AW611-AV611</f>
        <v/>
      </c>
      <c r="AX760" s="1277">
        <f>AX611-AW611</f>
        <v/>
      </c>
      <c r="AY760" s="1277">
        <f>AY611-AX611</f>
        <v/>
      </c>
      <c r="AZ760" s="1297">
        <f>SUM(AV760,AW760,AX760,AY760)</f>
        <v/>
      </c>
      <c r="BA760" s="1277">
        <f>BA611</f>
        <v/>
      </c>
      <c r="BB760" s="1277">
        <f>BB611-BA611</f>
        <v/>
      </c>
      <c r="BC760" s="1277">
        <f>BC611-BB611</f>
        <v/>
      </c>
      <c r="BD760" s="1277">
        <f>BD611-BC611</f>
        <v/>
      </c>
      <c r="BE760" s="1297">
        <f>SUM(BA760,BB760,BC760,BD760)</f>
        <v/>
      </c>
      <c r="BF760" s="1277">
        <f>BF611</f>
        <v/>
      </c>
      <c r="BG760" s="1277">
        <f>BG611-BF611</f>
        <v/>
      </c>
      <c r="BH760" s="1277">
        <f>BH611-BG611</f>
        <v/>
      </c>
      <c r="BI760" s="1277">
        <f>BI611-BH611</f>
        <v/>
      </c>
      <c r="BJ760" s="1297">
        <f>SUM(BF760,BG760,BH760,BI760)</f>
        <v/>
      </c>
      <c r="BK760" s="1277">
        <f>BK611</f>
        <v/>
      </c>
      <c r="BL760" s="1277">
        <f>BL611-BK611</f>
        <v/>
      </c>
      <c r="BM760" s="1277">
        <f>BM611-BL611</f>
        <v/>
      </c>
      <c r="BN760" s="1277">
        <f>BN611-BM611</f>
        <v/>
      </c>
      <c r="BO760" s="1382">
        <f>SUM(BK760,BL760,BM760,BN760)</f>
        <v/>
      </c>
      <c r="BP760" s="1277" t="n"/>
      <c r="BQ760" s="1277" t="n"/>
      <c r="BR760" s="1277" t="n"/>
      <c r="BS760" s="1277" t="n"/>
      <c r="BT760" s="1297">
        <f>SUM(BP760,BQ760,BR760,BS760)</f>
        <v/>
      </c>
      <c r="BU760" s="1277" t="n"/>
      <c r="BV760" s="1277" t="n"/>
      <c r="BW760" s="1277" t="n"/>
      <c r="BX760" s="1277" t="n"/>
      <c r="BY760" s="1297">
        <f>SUM(BU760,BV760,BW760,BX760)</f>
        <v/>
      </c>
      <c r="BZ760" s="1297" t="n"/>
      <c r="CA760" s="1297" t="n"/>
      <c r="CB760" s="1297" t="n"/>
      <c r="CC760" s="1280" t="n"/>
    </row>
    <row r="761" ht="14.4" customFormat="1" customHeight="1" s="1275">
      <c r="A761" s="1384">
        <f>A612</f>
        <v/>
      </c>
      <c r="B761" s="1387" t="n"/>
      <c r="C761" s="1297">
        <f>C612</f>
        <v/>
      </c>
      <c r="D761" s="1297">
        <f>D612</f>
        <v/>
      </c>
      <c r="E761" s="1297">
        <f>E612</f>
        <v/>
      </c>
      <c r="F761" s="1297">
        <f>F612</f>
        <v/>
      </c>
      <c r="G761" s="1297">
        <f>G612</f>
        <v/>
      </c>
      <c r="H761" s="1277">
        <f>H612</f>
        <v/>
      </c>
      <c r="I761" s="1277">
        <f>I612-H612</f>
        <v/>
      </c>
      <c r="J761" s="1277">
        <f>J612-I612</f>
        <v/>
      </c>
      <c r="K761" s="1277">
        <f>K612-J612</f>
        <v/>
      </c>
      <c r="L761" s="1297">
        <f>L612</f>
        <v/>
      </c>
      <c r="M761" s="1277">
        <f>M612</f>
        <v/>
      </c>
      <c r="N761" s="1277">
        <f>N612-M612</f>
        <v/>
      </c>
      <c r="O761" s="1277">
        <f>O612-N612</f>
        <v/>
      </c>
      <c r="P761" s="1277">
        <f>P612-O612</f>
        <v/>
      </c>
      <c r="Q761" s="1297">
        <f>Q612</f>
        <v/>
      </c>
      <c r="R761" s="1277">
        <f>R612</f>
        <v/>
      </c>
      <c r="S761" s="1277">
        <f>S612-R612</f>
        <v/>
      </c>
      <c r="T761" s="1277">
        <f>T612-S612</f>
        <v/>
      </c>
      <c r="U761" s="1277">
        <f>U612-T612</f>
        <v/>
      </c>
      <c r="V761" s="1297">
        <f>V612</f>
        <v/>
      </c>
      <c r="W761" s="1277">
        <f>W612</f>
        <v/>
      </c>
      <c r="X761" s="1277">
        <f>X612-W612</f>
        <v/>
      </c>
      <c r="Y761" s="1277">
        <f>Y612-X612</f>
        <v/>
      </c>
      <c r="Z761" s="1277">
        <f>Z612-Y612</f>
        <v/>
      </c>
      <c r="AA761" s="1297">
        <f>AA612</f>
        <v/>
      </c>
      <c r="AB761" s="1277">
        <f>AB612</f>
        <v/>
      </c>
      <c r="AC761" s="1277">
        <f>AC612-AB612</f>
        <v/>
      </c>
      <c r="AD761" s="1277">
        <f>AD612-AC612</f>
        <v/>
      </c>
      <c r="AE761" s="1277">
        <f>AE612-AD612</f>
        <v/>
      </c>
      <c r="AF761" s="1297">
        <f>AF612</f>
        <v/>
      </c>
      <c r="AG761" s="1277">
        <f>AG612</f>
        <v/>
      </c>
      <c r="AH761" s="1277">
        <f>AH612-AG612</f>
        <v/>
      </c>
      <c r="AI761" s="1277">
        <f>AI612-AH612</f>
        <v/>
      </c>
      <c r="AJ761" s="1277">
        <f>AJ612-AI612</f>
        <v/>
      </c>
      <c r="AK761" s="1297">
        <f>SUM(AG761,AH761,AI761,AJ761)</f>
        <v/>
      </c>
      <c r="AL761" s="1277">
        <f>AL612</f>
        <v/>
      </c>
      <c r="AM761" s="1277">
        <f>AM612-AL612</f>
        <v/>
      </c>
      <c r="AN761" s="1277">
        <f>AN612-AM612</f>
        <v/>
      </c>
      <c r="AO761" s="1277">
        <f>AO612-AN612</f>
        <v/>
      </c>
      <c r="AP761" s="1297">
        <f>SUM(AL761,AM761,AN761,AO761)</f>
        <v/>
      </c>
      <c r="AQ761" s="1277">
        <f>AQ612</f>
        <v/>
      </c>
      <c r="AR761" s="1277">
        <f>AR612-AQ612</f>
        <v/>
      </c>
      <c r="AS761" s="1277">
        <f>AS612-AR612</f>
        <v/>
      </c>
      <c r="AT761" s="1277">
        <f>AT612-AS612</f>
        <v/>
      </c>
      <c r="AU761" s="1297">
        <f>SUM(AQ761,AR761,AS761,AT761)</f>
        <v/>
      </c>
      <c r="AV761" s="1277">
        <f>AV612</f>
        <v/>
      </c>
      <c r="AW761" s="1277">
        <f>AW612-AV612</f>
        <v/>
      </c>
      <c r="AX761" s="1277">
        <f>AX612-AW612</f>
        <v/>
      </c>
      <c r="AY761" s="1277">
        <f>AY612-AX612</f>
        <v/>
      </c>
      <c r="AZ761" s="1297">
        <f>SUM(AV761,AW761,AX761,AY761)</f>
        <v/>
      </c>
      <c r="BA761" s="1277">
        <f>BA612</f>
        <v/>
      </c>
      <c r="BB761" s="1277">
        <f>BB612-BA612</f>
        <v/>
      </c>
      <c r="BC761" s="1277">
        <f>BC612-BB612</f>
        <v/>
      </c>
      <c r="BD761" s="1277">
        <f>BD612-BC612</f>
        <v/>
      </c>
      <c r="BE761" s="1297">
        <f>SUM(BA761,BB761,BC761,BD761)</f>
        <v/>
      </c>
      <c r="BF761" s="1277">
        <f>BF612</f>
        <v/>
      </c>
      <c r="BG761" s="1277">
        <f>BG612-BF612</f>
        <v/>
      </c>
      <c r="BH761" s="1277">
        <f>BH612-BG612</f>
        <v/>
      </c>
      <c r="BI761" s="1277">
        <f>BI612-BH612</f>
        <v/>
      </c>
      <c r="BJ761" s="1297">
        <f>SUM(BF761,BG761,BH761,BI761)</f>
        <v/>
      </c>
      <c r="BK761" s="1277">
        <f>BK612</f>
        <v/>
      </c>
      <c r="BL761" s="1277">
        <f>BL612-BK612</f>
        <v/>
      </c>
      <c r="BM761" s="1277">
        <f>BM612-BL612</f>
        <v/>
      </c>
      <c r="BN761" s="1277">
        <f>BN612-BM612</f>
        <v/>
      </c>
      <c r="BO761" s="1382">
        <f>SUM(BK761,BL761,BM761,BN761)</f>
        <v/>
      </c>
      <c r="BP761" s="1277" t="n"/>
      <c r="BQ761" s="1277" t="n"/>
      <c r="BR761" s="1277" t="n"/>
      <c r="BS761" s="1277" t="n"/>
      <c r="BT761" s="1297">
        <f>SUM(BP761,BQ761,BR761,BS761)</f>
        <v/>
      </c>
      <c r="BU761" s="1277" t="n"/>
      <c r="BV761" s="1277" t="n"/>
      <c r="BW761" s="1277" t="n"/>
      <c r="BX761" s="1277" t="n"/>
      <c r="BY761" s="1297">
        <f>SUM(BU761,BV761,BW761,BX761)</f>
        <v/>
      </c>
      <c r="BZ761" s="1297" t="n"/>
      <c r="CA761" s="1297" t="n"/>
      <c r="CB761" s="1297" t="n"/>
      <c r="CC761" s="1280" t="n"/>
    </row>
    <row r="762" ht="14.4" customFormat="1" customHeight="1" s="1275">
      <c r="A762" s="1384">
        <f>A613</f>
        <v/>
      </c>
      <c r="B762" s="1387" t="n"/>
      <c r="C762" s="1297">
        <f>C613</f>
        <v/>
      </c>
      <c r="D762" s="1297">
        <f>D613</f>
        <v/>
      </c>
      <c r="E762" s="1297">
        <f>E613</f>
        <v/>
      </c>
      <c r="F762" s="1297">
        <f>F613</f>
        <v/>
      </c>
      <c r="G762" s="1297">
        <f>G613</f>
        <v/>
      </c>
      <c r="H762" s="1277">
        <f>H613</f>
        <v/>
      </c>
      <c r="I762" s="1277">
        <f>I613-H613</f>
        <v/>
      </c>
      <c r="J762" s="1277">
        <f>J613-I613</f>
        <v/>
      </c>
      <c r="K762" s="1277">
        <f>K613-J613</f>
        <v/>
      </c>
      <c r="L762" s="1297">
        <f>L613</f>
        <v/>
      </c>
      <c r="M762" s="1277">
        <f>M613</f>
        <v/>
      </c>
      <c r="N762" s="1277">
        <f>N613-M613</f>
        <v/>
      </c>
      <c r="O762" s="1277">
        <f>O613-N613</f>
        <v/>
      </c>
      <c r="P762" s="1277">
        <f>P613-O613</f>
        <v/>
      </c>
      <c r="Q762" s="1297">
        <f>Q613</f>
        <v/>
      </c>
      <c r="R762" s="1277">
        <f>R613</f>
        <v/>
      </c>
      <c r="S762" s="1277">
        <f>S613-R613</f>
        <v/>
      </c>
      <c r="T762" s="1277">
        <f>T613-S613</f>
        <v/>
      </c>
      <c r="U762" s="1277">
        <f>U613-T613</f>
        <v/>
      </c>
      <c r="V762" s="1297">
        <f>V613</f>
        <v/>
      </c>
      <c r="W762" s="1277">
        <f>W613</f>
        <v/>
      </c>
      <c r="X762" s="1277">
        <f>X613-W613</f>
        <v/>
      </c>
      <c r="Y762" s="1277">
        <f>Y613-X613</f>
        <v/>
      </c>
      <c r="Z762" s="1277">
        <f>Z613-Y613</f>
        <v/>
      </c>
      <c r="AA762" s="1297">
        <f>AA613</f>
        <v/>
      </c>
      <c r="AB762" s="1277">
        <f>AB613</f>
        <v/>
      </c>
      <c r="AC762" s="1277">
        <f>AC613-AB613</f>
        <v/>
      </c>
      <c r="AD762" s="1277">
        <f>AD613-AC613</f>
        <v/>
      </c>
      <c r="AE762" s="1277">
        <f>AE613-AD613</f>
        <v/>
      </c>
      <c r="AF762" s="1297">
        <f>AF613</f>
        <v/>
      </c>
      <c r="AG762" s="1277">
        <f>AG613</f>
        <v/>
      </c>
      <c r="AH762" s="1277">
        <f>AH613-AG613</f>
        <v/>
      </c>
      <c r="AI762" s="1277">
        <f>AI613-AH613</f>
        <v/>
      </c>
      <c r="AJ762" s="1277">
        <f>AJ613-AI613</f>
        <v/>
      </c>
      <c r="AK762" s="1297">
        <f>SUM(AG762,AH762,AI762,AJ762)</f>
        <v/>
      </c>
      <c r="AL762" s="1277">
        <f>AL613</f>
        <v/>
      </c>
      <c r="AM762" s="1277">
        <f>AM613-AL613</f>
        <v/>
      </c>
      <c r="AN762" s="1277">
        <f>AN613-AM613</f>
        <v/>
      </c>
      <c r="AO762" s="1277">
        <f>AO613-AN613</f>
        <v/>
      </c>
      <c r="AP762" s="1297">
        <f>SUM(AL762,AM762,AN762,AO762)</f>
        <v/>
      </c>
      <c r="AQ762" s="1277">
        <f>AQ613</f>
        <v/>
      </c>
      <c r="AR762" s="1277">
        <f>AR613-AQ613</f>
        <v/>
      </c>
      <c r="AS762" s="1277">
        <f>AS613-AR613</f>
        <v/>
      </c>
      <c r="AT762" s="1277">
        <f>AT613-AS613</f>
        <v/>
      </c>
      <c r="AU762" s="1297">
        <f>SUM(AQ762,AR762,AS762,AT762)</f>
        <v/>
      </c>
      <c r="AV762" s="1277">
        <f>AV613</f>
        <v/>
      </c>
      <c r="AW762" s="1277">
        <f>AW613-AV613</f>
        <v/>
      </c>
      <c r="AX762" s="1277">
        <f>AX613-AW613</f>
        <v/>
      </c>
      <c r="AY762" s="1277">
        <f>AY613-AX613</f>
        <v/>
      </c>
      <c r="AZ762" s="1297">
        <f>SUM(AV762,AW762,AX762,AY762)</f>
        <v/>
      </c>
      <c r="BA762" s="1277">
        <f>BA613</f>
        <v/>
      </c>
      <c r="BB762" s="1277">
        <f>BB613-BA613</f>
        <v/>
      </c>
      <c r="BC762" s="1277">
        <f>BC613-BB613</f>
        <v/>
      </c>
      <c r="BD762" s="1277">
        <f>BD613-BC613</f>
        <v/>
      </c>
      <c r="BE762" s="1297">
        <f>SUM(BA762,BB762,BC762,BD762)</f>
        <v/>
      </c>
      <c r="BF762" s="1277">
        <f>BF613</f>
        <v/>
      </c>
      <c r="BG762" s="1277">
        <f>BG613-BF613</f>
        <v/>
      </c>
      <c r="BH762" s="1277">
        <f>BH613-BG613</f>
        <v/>
      </c>
      <c r="BI762" s="1277">
        <f>BI613-BH613</f>
        <v/>
      </c>
      <c r="BJ762" s="1297">
        <f>SUM(BF762,BG762,BH762,BI762)</f>
        <v/>
      </c>
      <c r="BK762" s="1277">
        <f>BK613</f>
        <v/>
      </c>
      <c r="BL762" s="1277">
        <f>BL613-BK613</f>
        <v/>
      </c>
      <c r="BM762" s="1277">
        <f>BM613-BL613</f>
        <v/>
      </c>
      <c r="BN762" s="1277">
        <f>BN613-BM613</f>
        <v/>
      </c>
      <c r="BO762" s="1382">
        <f>SUM(BK762,BL762,BM762,BN762)</f>
        <v/>
      </c>
      <c r="BP762" s="1277" t="n"/>
      <c r="BQ762" s="1277" t="n"/>
      <c r="BR762" s="1277" t="n"/>
      <c r="BS762" s="1277" t="n"/>
      <c r="BT762" s="1297">
        <f>SUM(BP762,BQ762,BR762,BS762)</f>
        <v/>
      </c>
      <c r="BU762" s="1277" t="n"/>
      <c r="BV762" s="1277" t="n"/>
      <c r="BW762" s="1277" t="n"/>
      <c r="BX762" s="1277" t="n"/>
      <c r="BY762" s="1297">
        <f>SUM(BU762,BV762,BW762,BX762)</f>
        <v/>
      </c>
      <c r="BZ762" s="1297" t="n"/>
      <c r="CA762" s="1297" t="n"/>
      <c r="CB762" s="1297" t="n"/>
      <c r="CC762" s="1280" t="n"/>
    </row>
    <row r="763" ht="14.4" customFormat="1" customHeight="1" s="1275">
      <c r="A763" s="1384">
        <f>A614</f>
        <v/>
      </c>
      <c r="B763" s="1387" t="n"/>
      <c r="C763" s="1297">
        <f>C614</f>
        <v/>
      </c>
      <c r="D763" s="1297">
        <f>D614</f>
        <v/>
      </c>
      <c r="E763" s="1297">
        <f>E614</f>
        <v/>
      </c>
      <c r="F763" s="1297">
        <f>F614</f>
        <v/>
      </c>
      <c r="G763" s="1297">
        <f>G614</f>
        <v/>
      </c>
      <c r="H763" s="1277">
        <f>H614</f>
        <v/>
      </c>
      <c r="I763" s="1277">
        <f>I614-H614</f>
        <v/>
      </c>
      <c r="J763" s="1277">
        <f>J614-I614</f>
        <v/>
      </c>
      <c r="K763" s="1277">
        <f>K614-J614</f>
        <v/>
      </c>
      <c r="L763" s="1297">
        <f>L614</f>
        <v/>
      </c>
      <c r="M763" s="1277">
        <f>M614</f>
        <v/>
      </c>
      <c r="N763" s="1277">
        <f>N614-M614</f>
        <v/>
      </c>
      <c r="O763" s="1277">
        <f>O614-N614</f>
        <v/>
      </c>
      <c r="P763" s="1277">
        <f>P614-O614</f>
        <v/>
      </c>
      <c r="Q763" s="1297">
        <f>Q614</f>
        <v/>
      </c>
      <c r="R763" s="1277">
        <f>R614</f>
        <v/>
      </c>
      <c r="S763" s="1277">
        <f>S614-R614</f>
        <v/>
      </c>
      <c r="T763" s="1277">
        <f>T614-S614</f>
        <v/>
      </c>
      <c r="U763" s="1277">
        <f>U614-T614</f>
        <v/>
      </c>
      <c r="V763" s="1297">
        <f>V614</f>
        <v/>
      </c>
      <c r="W763" s="1277">
        <f>W614</f>
        <v/>
      </c>
      <c r="X763" s="1277">
        <f>X614-W614</f>
        <v/>
      </c>
      <c r="Y763" s="1277">
        <f>Y614-X614</f>
        <v/>
      </c>
      <c r="Z763" s="1277">
        <f>Z614-Y614</f>
        <v/>
      </c>
      <c r="AA763" s="1297">
        <f>AA614</f>
        <v/>
      </c>
      <c r="AB763" s="1277">
        <f>AB614</f>
        <v/>
      </c>
      <c r="AC763" s="1277">
        <f>AC614-AB614</f>
        <v/>
      </c>
      <c r="AD763" s="1277">
        <f>AD614-AC614</f>
        <v/>
      </c>
      <c r="AE763" s="1277">
        <f>AE614-AD614</f>
        <v/>
      </c>
      <c r="AF763" s="1297">
        <f>AF614</f>
        <v/>
      </c>
      <c r="AG763" s="1277">
        <f>AG614</f>
        <v/>
      </c>
      <c r="AH763" s="1277">
        <f>AH614-AG614</f>
        <v/>
      </c>
      <c r="AI763" s="1277">
        <f>AI614-AH614</f>
        <v/>
      </c>
      <c r="AJ763" s="1277">
        <f>AJ614-AI614</f>
        <v/>
      </c>
      <c r="AK763" s="1297">
        <f>SUM(AG763,AH763,AI763,AJ763)</f>
        <v/>
      </c>
      <c r="AL763" s="1277">
        <f>AL614</f>
        <v/>
      </c>
      <c r="AM763" s="1277">
        <f>AM614-AL614</f>
        <v/>
      </c>
      <c r="AN763" s="1277">
        <f>AN614-AM614</f>
        <v/>
      </c>
      <c r="AO763" s="1277">
        <f>AO614-AN614</f>
        <v/>
      </c>
      <c r="AP763" s="1297">
        <f>SUM(AL763,AM763,AN763,AO763)</f>
        <v/>
      </c>
      <c r="AQ763" s="1277">
        <f>AQ614</f>
        <v/>
      </c>
      <c r="AR763" s="1277">
        <f>AR614-AQ614</f>
        <v/>
      </c>
      <c r="AS763" s="1277">
        <f>AS614-AR614</f>
        <v/>
      </c>
      <c r="AT763" s="1277">
        <f>AT614-AS614</f>
        <v/>
      </c>
      <c r="AU763" s="1297">
        <f>SUM(AQ763,AR763,AS763,AT763)</f>
        <v/>
      </c>
      <c r="AV763" s="1277">
        <f>AV614</f>
        <v/>
      </c>
      <c r="AW763" s="1277">
        <f>AW614-AV614</f>
        <v/>
      </c>
      <c r="AX763" s="1277">
        <f>AX614-AW614</f>
        <v/>
      </c>
      <c r="AY763" s="1277">
        <f>AY614-AX614</f>
        <v/>
      </c>
      <c r="AZ763" s="1297">
        <f>SUM(AV763,AW763,AX763,AY763)</f>
        <v/>
      </c>
      <c r="BA763" s="1277">
        <f>BA614</f>
        <v/>
      </c>
      <c r="BB763" s="1277">
        <f>BB614-BA614</f>
        <v/>
      </c>
      <c r="BC763" s="1277">
        <f>BC614-BB614</f>
        <v/>
      </c>
      <c r="BD763" s="1277">
        <f>BD614-BC614</f>
        <v/>
      </c>
      <c r="BE763" s="1297">
        <f>SUM(BA763,BB763,BC763,BD763)</f>
        <v/>
      </c>
      <c r="BF763" s="1277">
        <f>BF614</f>
        <v/>
      </c>
      <c r="BG763" s="1277">
        <f>BG614-BF614</f>
        <v/>
      </c>
      <c r="BH763" s="1277">
        <f>BH614-BG614</f>
        <v/>
      </c>
      <c r="BI763" s="1277">
        <f>BI614-BH614</f>
        <v/>
      </c>
      <c r="BJ763" s="1297">
        <f>SUM(BF763,BG763,BH763,BI763)</f>
        <v/>
      </c>
      <c r="BK763" s="1277">
        <f>BK614</f>
        <v/>
      </c>
      <c r="BL763" s="1277">
        <f>BL614-BK614</f>
        <v/>
      </c>
      <c r="BM763" s="1277">
        <f>BM614-BL614</f>
        <v/>
      </c>
      <c r="BN763" s="1277">
        <f>BN614-BM614</f>
        <v/>
      </c>
      <c r="BO763" s="1382">
        <f>SUM(BK763,BL763,BM763,BN763)</f>
        <v/>
      </c>
      <c r="BP763" s="1277" t="n"/>
      <c r="BQ763" s="1277" t="n"/>
      <c r="BR763" s="1277" t="n"/>
      <c r="BS763" s="1277" t="n"/>
      <c r="BT763" s="1297">
        <f>SUM(BP763,BQ763,BR763,BS763)</f>
        <v/>
      </c>
      <c r="BU763" s="1277" t="n"/>
      <c r="BV763" s="1277" t="n"/>
      <c r="BW763" s="1277" t="n"/>
      <c r="BX763" s="1277" t="n"/>
      <c r="BY763" s="1297">
        <f>SUM(BU763,BV763,BW763,BX763)</f>
        <v/>
      </c>
      <c r="BZ763" s="1297" t="n"/>
      <c r="CA763" s="1297" t="n"/>
      <c r="CB763" s="1297" t="n"/>
      <c r="CC763" s="1280" t="n"/>
    </row>
    <row r="764" ht="14.4" customFormat="1" customHeight="1" s="1275">
      <c r="A764" s="1384">
        <f>A615</f>
        <v/>
      </c>
      <c r="B764" s="1387" t="n"/>
      <c r="C764" s="1297">
        <f>C615</f>
        <v/>
      </c>
      <c r="D764" s="1297">
        <f>D615</f>
        <v/>
      </c>
      <c r="E764" s="1297">
        <f>E615</f>
        <v/>
      </c>
      <c r="F764" s="1297">
        <f>F615</f>
        <v/>
      </c>
      <c r="G764" s="1297">
        <f>G615</f>
        <v/>
      </c>
      <c r="H764" s="1277">
        <f>H615</f>
        <v/>
      </c>
      <c r="I764" s="1277">
        <f>I615-H615</f>
        <v/>
      </c>
      <c r="J764" s="1277">
        <f>J615-I615</f>
        <v/>
      </c>
      <c r="K764" s="1277">
        <f>K615-J615</f>
        <v/>
      </c>
      <c r="L764" s="1297">
        <f>L615</f>
        <v/>
      </c>
      <c r="M764" s="1277">
        <f>M615</f>
        <v/>
      </c>
      <c r="N764" s="1277">
        <f>N615-M615</f>
        <v/>
      </c>
      <c r="O764" s="1277">
        <f>O615-N615</f>
        <v/>
      </c>
      <c r="P764" s="1277">
        <f>P615-O615</f>
        <v/>
      </c>
      <c r="Q764" s="1297">
        <f>Q615</f>
        <v/>
      </c>
      <c r="R764" s="1277">
        <f>R615</f>
        <v/>
      </c>
      <c r="S764" s="1277">
        <f>S615-R615</f>
        <v/>
      </c>
      <c r="T764" s="1277">
        <f>T615-S615</f>
        <v/>
      </c>
      <c r="U764" s="1277">
        <f>U615-T615</f>
        <v/>
      </c>
      <c r="V764" s="1297">
        <f>V615</f>
        <v/>
      </c>
      <c r="W764" s="1277">
        <f>W615</f>
        <v/>
      </c>
      <c r="X764" s="1277">
        <f>X615-W615</f>
        <v/>
      </c>
      <c r="Y764" s="1277">
        <f>Y615-X615</f>
        <v/>
      </c>
      <c r="Z764" s="1277">
        <f>Z615-Y615</f>
        <v/>
      </c>
      <c r="AA764" s="1297">
        <f>AA615</f>
        <v/>
      </c>
      <c r="AB764" s="1277">
        <f>AB615</f>
        <v/>
      </c>
      <c r="AC764" s="1277">
        <f>AC615-AB615</f>
        <v/>
      </c>
      <c r="AD764" s="1277">
        <f>AD615-AC615</f>
        <v/>
      </c>
      <c r="AE764" s="1277">
        <f>AE615-AD615</f>
        <v/>
      </c>
      <c r="AF764" s="1297">
        <f>AF615</f>
        <v/>
      </c>
      <c r="AG764" s="1277">
        <f>AG615</f>
        <v/>
      </c>
      <c r="AH764" s="1277">
        <f>AH615-AG615</f>
        <v/>
      </c>
      <c r="AI764" s="1277">
        <f>AI615-AH615</f>
        <v/>
      </c>
      <c r="AJ764" s="1277">
        <f>AJ615-AI615</f>
        <v/>
      </c>
      <c r="AK764" s="1297">
        <f>SUM(AG764,AH764,AI764,AJ764)</f>
        <v/>
      </c>
      <c r="AL764" s="1277">
        <f>AL615</f>
        <v/>
      </c>
      <c r="AM764" s="1277">
        <f>AM615-AL615</f>
        <v/>
      </c>
      <c r="AN764" s="1277">
        <f>AN615-AM615</f>
        <v/>
      </c>
      <c r="AO764" s="1277">
        <f>AO615-AN615</f>
        <v/>
      </c>
      <c r="AP764" s="1297">
        <f>SUM(AL764,AM764,AN764,AO764)</f>
        <v/>
      </c>
      <c r="AQ764" s="1277">
        <f>AQ615</f>
        <v/>
      </c>
      <c r="AR764" s="1277">
        <f>AR615-AQ615</f>
        <v/>
      </c>
      <c r="AS764" s="1277">
        <f>AS615-AR615</f>
        <v/>
      </c>
      <c r="AT764" s="1277">
        <f>AT615-AS615</f>
        <v/>
      </c>
      <c r="AU764" s="1297">
        <f>SUM(AQ764,AR764,AS764,AT764)</f>
        <v/>
      </c>
      <c r="AV764" s="1277">
        <f>AV615</f>
        <v/>
      </c>
      <c r="AW764" s="1277">
        <f>AW615-AV615</f>
        <v/>
      </c>
      <c r="AX764" s="1277">
        <f>AX615-AW615</f>
        <v/>
      </c>
      <c r="AY764" s="1277">
        <f>AY615-AX615</f>
        <v/>
      </c>
      <c r="AZ764" s="1297">
        <f>SUM(AV764,AW764,AX764,AY764)</f>
        <v/>
      </c>
      <c r="BA764" s="1277">
        <f>BA615</f>
        <v/>
      </c>
      <c r="BB764" s="1277">
        <f>BB615-BA615</f>
        <v/>
      </c>
      <c r="BC764" s="1277">
        <f>BC615-BB615</f>
        <v/>
      </c>
      <c r="BD764" s="1277">
        <f>BD615-BC615</f>
        <v/>
      </c>
      <c r="BE764" s="1297">
        <f>SUM(BA764,BB764,BC764,BD764)</f>
        <v/>
      </c>
      <c r="BF764" s="1277">
        <f>BF615</f>
        <v/>
      </c>
      <c r="BG764" s="1277">
        <f>BG615-BF615</f>
        <v/>
      </c>
      <c r="BH764" s="1277">
        <f>BH615-BG615</f>
        <v/>
      </c>
      <c r="BI764" s="1277">
        <f>BI615-BH615</f>
        <v/>
      </c>
      <c r="BJ764" s="1297">
        <f>SUM(BF764,BG764,BH764,BI764)</f>
        <v/>
      </c>
      <c r="BK764" s="1277">
        <f>BK615</f>
        <v/>
      </c>
      <c r="BL764" s="1277">
        <f>BL615-BK615</f>
        <v/>
      </c>
      <c r="BM764" s="1277">
        <f>BM615-BL615</f>
        <v/>
      </c>
      <c r="BN764" s="1277">
        <f>BN615-BM615</f>
        <v/>
      </c>
      <c r="BO764" s="1382">
        <f>SUM(BK764,BL764,BM764,BN764)</f>
        <v/>
      </c>
      <c r="BP764" s="1277" t="n"/>
      <c r="BQ764" s="1277" t="n"/>
      <c r="BR764" s="1277" t="n"/>
      <c r="BS764" s="1277" t="n"/>
      <c r="BT764" s="1297">
        <f>SUM(BP764,BQ764,BR764,BS764)</f>
        <v/>
      </c>
      <c r="BU764" s="1277" t="n"/>
      <c r="BV764" s="1277" t="n"/>
      <c r="BW764" s="1277" t="n"/>
      <c r="BX764" s="1277" t="n"/>
      <c r="BY764" s="1297">
        <f>SUM(BU764,BV764,BW764,BX764)</f>
        <v/>
      </c>
      <c r="BZ764" s="1297" t="n"/>
      <c r="CA764" s="1297" t="n"/>
      <c r="CB764" s="1297" t="n"/>
      <c r="CC764" s="1280" t="n"/>
    </row>
    <row r="765" ht="14.4" customFormat="1" customHeight="1" s="1275">
      <c r="A765" s="1384">
        <f>A616</f>
        <v/>
      </c>
      <c r="B765" s="1387" t="n"/>
      <c r="C765" s="1297">
        <f>C616</f>
        <v/>
      </c>
      <c r="D765" s="1297">
        <f>D616</f>
        <v/>
      </c>
      <c r="E765" s="1297">
        <f>E616</f>
        <v/>
      </c>
      <c r="F765" s="1297">
        <f>F616</f>
        <v/>
      </c>
      <c r="G765" s="1297">
        <f>G616</f>
        <v/>
      </c>
      <c r="H765" s="1277">
        <f>H616</f>
        <v/>
      </c>
      <c r="I765" s="1277">
        <f>I616-H616</f>
        <v/>
      </c>
      <c r="J765" s="1277">
        <f>J616-I616</f>
        <v/>
      </c>
      <c r="K765" s="1277">
        <f>K616-J616</f>
        <v/>
      </c>
      <c r="L765" s="1297">
        <f>L616</f>
        <v/>
      </c>
      <c r="M765" s="1277">
        <f>M616</f>
        <v/>
      </c>
      <c r="N765" s="1277">
        <f>N616-M616</f>
        <v/>
      </c>
      <c r="O765" s="1277">
        <f>O616-N616</f>
        <v/>
      </c>
      <c r="P765" s="1277">
        <f>P616-O616</f>
        <v/>
      </c>
      <c r="Q765" s="1297">
        <f>Q616</f>
        <v/>
      </c>
      <c r="R765" s="1277">
        <f>R616</f>
        <v/>
      </c>
      <c r="S765" s="1277">
        <f>S616-R616</f>
        <v/>
      </c>
      <c r="T765" s="1277">
        <f>T616-S616</f>
        <v/>
      </c>
      <c r="U765" s="1277">
        <f>U616-T616</f>
        <v/>
      </c>
      <c r="V765" s="1297">
        <f>V616</f>
        <v/>
      </c>
      <c r="W765" s="1277">
        <f>W616</f>
        <v/>
      </c>
      <c r="X765" s="1277">
        <f>X616-W616</f>
        <v/>
      </c>
      <c r="Y765" s="1277">
        <f>Y616-X616</f>
        <v/>
      </c>
      <c r="Z765" s="1277">
        <f>Z616-Y616</f>
        <v/>
      </c>
      <c r="AA765" s="1297">
        <f>AA616</f>
        <v/>
      </c>
      <c r="AB765" s="1277">
        <f>AB616</f>
        <v/>
      </c>
      <c r="AC765" s="1277">
        <f>AC616-AB616</f>
        <v/>
      </c>
      <c r="AD765" s="1277">
        <f>AD616-AC616</f>
        <v/>
      </c>
      <c r="AE765" s="1277">
        <f>AE616-AD616</f>
        <v/>
      </c>
      <c r="AF765" s="1297">
        <f>AF616</f>
        <v/>
      </c>
      <c r="AG765" s="1277">
        <f>AG616</f>
        <v/>
      </c>
      <c r="AH765" s="1277">
        <f>AH616-AG616</f>
        <v/>
      </c>
      <c r="AI765" s="1277">
        <f>AI616-AH616</f>
        <v/>
      </c>
      <c r="AJ765" s="1277">
        <f>AJ616-AI616</f>
        <v/>
      </c>
      <c r="AK765" s="1297">
        <f>SUM(AG765,AH765,AI765,AJ765)</f>
        <v/>
      </c>
      <c r="AL765" s="1277">
        <f>AL616</f>
        <v/>
      </c>
      <c r="AM765" s="1277">
        <f>AM616-AL616</f>
        <v/>
      </c>
      <c r="AN765" s="1277">
        <f>AN616-AM616</f>
        <v/>
      </c>
      <c r="AO765" s="1277">
        <f>AO616-AN616</f>
        <v/>
      </c>
      <c r="AP765" s="1297">
        <f>SUM(AL765,AM765,AN765,AO765)</f>
        <v/>
      </c>
      <c r="AQ765" s="1277">
        <f>AQ616</f>
        <v/>
      </c>
      <c r="AR765" s="1277">
        <f>AR616-AQ616</f>
        <v/>
      </c>
      <c r="AS765" s="1277">
        <f>AS616-AR616</f>
        <v/>
      </c>
      <c r="AT765" s="1277">
        <f>AT616-AS616</f>
        <v/>
      </c>
      <c r="AU765" s="1297">
        <f>SUM(AQ765,AR765,AS765,AT765)</f>
        <v/>
      </c>
      <c r="AV765" s="1277">
        <f>AV616</f>
        <v/>
      </c>
      <c r="AW765" s="1277">
        <f>AW616-AV616</f>
        <v/>
      </c>
      <c r="AX765" s="1277">
        <f>AX616-AW616</f>
        <v/>
      </c>
      <c r="AY765" s="1277">
        <f>AY616-AX616</f>
        <v/>
      </c>
      <c r="AZ765" s="1297">
        <f>SUM(AV765,AW765,AX765,AY765)</f>
        <v/>
      </c>
      <c r="BA765" s="1277">
        <f>BA616</f>
        <v/>
      </c>
      <c r="BB765" s="1277">
        <f>BB616-BA616</f>
        <v/>
      </c>
      <c r="BC765" s="1277">
        <f>BC616-BB616</f>
        <v/>
      </c>
      <c r="BD765" s="1277">
        <f>BD616-BC616</f>
        <v/>
      </c>
      <c r="BE765" s="1297">
        <f>SUM(BA765,BB765,BC765,BD765)</f>
        <v/>
      </c>
      <c r="BF765" s="1277">
        <f>BF616</f>
        <v/>
      </c>
      <c r="BG765" s="1277">
        <f>BG616-BF616</f>
        <v/>
      </c>
      <c r="BH765" s="1277">
        <f>BH616-BG616</f>
        <v/>
      </c>
      <c r="BI765" s="1277">
        <f>BI616-BH616</f>
        <v/>
      </c>
      <c r="BJ765" s="1297">
        <f>SUM(BF765,BG765,BH765,BI765)</f>
        <v/>
      </c>
      <c r="BK765" s="1277">
        <f>BK616</f>
        <v/>
      </c>
      <c r="BL765" s="1277">
        <f>BL616-BK616</f>
        <v/>
      </c>
      <c r="BM765" s="1277">
        <f>BM616-BL616</f>
        <v/>
      </c>
      <c r="BN765" s="1277">
        <f>BN616-BM616</f>
        <v/>
      </c>
      <c r="BO765" s="1382">
        <f>SUM(BK765,BL765,BM765,BN765)</f>
        <v/>
      </c>
      <c r="BP765" s="1277" t="n"/>
      <c r="BQ765" s="1277" t="n"/>
      <c r="BR765" s="1277" t="n"/>
      <c r="BS765" s="1277" t="n"/>
      <c r="BT765" s="1297">
        <f>SUM(BP765,BQ765,BR765,BS765)</f>
        <v/>
      </c>
      <c r="BU765" s="1277" t="n"/>
      <c r="BV765" s="1277" t="n"/>
      <c r="BW765" s="1277" t="n"/>
      <c r="BX765" s="1277" t="n"/>
      <c r="BY765" s="1297">
        <f>SUM(BU765,BV765,BW765,BX765)</f>
        <v/>
      </c>
      <c r="BZ765" s="1297" t="n"/>
      <c r="CA765" s="1297" t="n"/>
      <c r="CB765" s="1297" t="n"/>
      <c r="CC765" s="1280" t="n"/>
    </row>
    <row r="766" ht="14.4" customFormat="1" customHeight="1" s="1275">
      <c r="A766" s="1384">
        <f>A617</f>
        <v/>
      </c>
      <c r="B766" s="1387" t="n"/>
      <c r="C766" s="1297">
        <f>C617</f>
        <v/>
      </c>
      <c r="D766" s="1297">
        <f>D617</f>
        <v/>
      </c>
      <c r="E766" s="1297">
        <f>E617</f>
        <v/>
      </c>
      <c r="F766" s="1297">
        <f>F617</f>
        <v/>
      </c>
      <c r="G766" s="1297">
        <f>G617</f>
        <v/>
      </c>
      <c r="H766" s="1277">
        <f>H617</f>
        <v/>
      </c>
      <c r="I766" s="1277">
        <f>I617-H617</f>
        <v/>
      </c>
      <c r="J766" s="1277">
        <f>J617-I617</f>
        <v/>
      </c>
      <c r="K766" s="1277">
        <f>K617-J617</f>
        <v/>
      </c>
      <c r="L766" s="1297">
        <f>L617</f>
        <v/>
      </c>
      <c r="M766" s="1277">
        <f>M617</f>
        <v/>
      </c>
      <c r="N766" s="1277">
        <f>N617-M617</f>
        <v/>
      </c>
      <c r="O766" s="1277">
        <f>O617-N617</f>
        <v/>
      </c>
      <c r="P766" s="1277">
        <f>P617-O617</f>
        <v/>
      </c>
      <c r="Q766" s="1297">
        <f>Q617</f>
        <v/>
      </c>
      <c r="R766" s="1277">
        <f>R617</f>
        <v/>
      </c>
      <c r="S766" s="1277">
        <f>S617-R617</f>
        <v/>
      </c>
      <c r="T766" s="1277">
        <f>T617-S617</f>
        <v/>
      </c>
      <c r="U766" s="1277">
        <f>U617-T617</f>
        <v/>
      </c>
      <c r="V766" s="1297">
        <f>V617</f>
        <v/>
      </c>
      <c r="W766" s="1277">
        <f>W617</f>
        <v/>
      </c>
      <c r="X766" s="1277">
        <f>X617-W617</f>
        <v/>
      </c>
      <c r="Y766" s="1277">
        <f>Y617-X617</f>
        <v/>
      </c>
      <c r="Z766" s="1277">
        <f>Z617-Y617</f>
        <v/>
      </c>
      <c r="AA766" s="1297">
        <f>AA617</f>
        <v/>
      </c>
      <c r="AB766" s="1277">
        <f>AB617</f>
        <v/>
      </c>
      <c r="AC766" s="1277">
        <f>AC617-AB617</f>
        <v/>
      </c>
      <c r="AD766" s="1277">
        <f>AD617-AC617</f>
        <v/>
      </c>
      <c r="AE766" s="1277">
        <f>AE617-AD617</f>
        <v/>
      </c>
      <c r="AF766" s="1297">
        <f>AF617</f>
        <v/>
      </c>
      <c r="AG766" s="1277">
        <f>AG617</f>
        <v/>
      </c>
      <c r="AH766" s="1277">
        <f>AH617-AG617</f>
        <v/>
      </c>
      <c r="AI766" s="1277">
        <f>AI617-AH617</f>
        <v/>
      </c>
      <c r="AJ766" s="1277">
        <f>AJ617-AI617</f>
        <v/>
      </c>
      <c r="AK766" s="1297">
        <f>SUM(AG766,AH766,AI766,AJ766)</f>
        <v/>
      </c>
      <c r="AL766" s="1277">
        <f>AL617</f>
        <v/>
      </c>
      <c r="AM766" s="1277">
        <f>AM617-AL617</f>
        <v/>
      </c>
      <c r="AN766" s="1277">
        <f>AN617-AM617</f>
        <v/>
      </c>
      <c r="AO766" s="1277">
        <f>AO617-AN617</f>
        <v/>
      </c>
      <c r="AP766" s="1297">
        <f>SUM(AL766,AM766,AN766,AO766)</f>
        <v/>
      </c>
      <c r="AQ766" s="1277">
        <f>AQ617</f>
        <v/>
      </c>
      <c r="AR766" s="1277">
        <f>AR617-AQ617</f>
        <v/>
      </c>
      <c r="AS766" s="1277">
        <f>AS617-AR617</f>
        <v/>
      </c>
      <c r="AT766" s="1277">
        <f>AT617-AS617</f>
        <v/>
      </c>
      <c r="AU766" s="1297">
        <f>SUM(AQ766,AR766,AS766,AT766)</f>
        <v/>
      </c>
      <c r="AV766" s="1277">
        <f>AV617</f>
        <v/>
      </c>
      <c r="AW766" s="1277">
        <f>AW617-AV617</f>
        <v/>
      </c>
      <c r="AX766" s="1277">
        <f>AX617-AW617</f>
        <v/>
      </c>
      <c r="AY766" s="1277">
        <f>AY617-AX617</f>
        <v/>
      </c>
      <c r="AZ766" s="1297">
        <f>SUM(AV766,AW766,AX766,AY766)</f>
        <v/>
      </c>
      <c r="BA766" s="1277">
        <f>BA617</f>
        <v/>
      </c>
      <c r="BB766" s="1277">
        <f>BB617-BA617</f>
        <v/>
      </c>
      <c r="BC766" s="1277">
        <f>BC617-BB617</f>
        <v/>
      </c>
      <c r="BD766" s="1277">
        <f>BD617-BC617</f>
        <v/>
      </c>
      <c r="BE766" s="1297">
        <f>SUM(BA766,BB766,BC766,BD766)</f>
        <v/>
      </c>
      <c r="BF766" s="1277">
        <f>BF617</f>
        <v/>
      </c>
      <c r="BG766" s="1277">
        <f>BG617-BF617</f>
        <v/>
      </c>
      <c r="BH766" s="1277">
        <f>BH617-BG617</f>
        <v/>
      </c>
      <c r="BI766" s="1277">
        <f>BI617-BH617</f>
        <v/>
      </c>
      <c r="BJ766" s="1297">
        <f>SUM(BF766,BG766,BH766,BI766)</f>
        <v/>
      </c>
      <c r="BK766" s="1277">
        <f>BK617</f>
        <v/>
      </c>
      <c r="BL766" s="1277">
        <f>BL617-BK617</f>
        <v/>
      </c>
      <c r="BM766" s="1277">
        <f>BM617-BL617</f>
        <v/>
      </c>
      <c r="BN766" s="1277">
        <f>BN617-BM617</f>
        <v/>
      </c>
      <c r="BO766" s="1382">
        <f>SUM(BK766,BL766,BM766,BN766)</f>
        <v/>
      </c>
      <c r="BP766" s="1277" t="n"/>
      <c r="BQ766" s="1277" t="n"/>
      <c r="BR766" s="1277" t="n"/>
      <c r="BS766" s="1277" t="n"/>
      <c r="BT766" s="1297">
        <f>SUM(BP766,BQ766,BR766,BS766)</f>
        <v/>
      </c>
      <c r="BU766" s="1277" t="n"/>
      <c r="BV766" s="1277" t="n"/>
      <c r="BW766" s="1277" t="n"/>
      <c r="BX766" s="1277" t="n"/>
      <c r="BY766" s="1297">
        <f>SUM(BU766,BV766,BW766,BX766)</f>
        <v/>
      </c>
      <c r="BZ766" s="1297" t="n"/>
      <c r="CA766" s="1297" t="n"/>
      <c r="CB766" s="1297" t="n"/>
      <c r="CC766" s="1280" t="n"/>
    </row>
    <row r="767" ht="14.4" customFormat="1" customHeight="1" s="1275">
      <c r="A767" s="1384">
        <f>A618</f>
        <v/>
      </c>
      <c r="B767" s="1387" t="n"/>
      <c r="C767" s="1297">
        <f>C618</f>
        <v/>
      </c>
      <c r="D767" s="1297">
        <f>D618</f>
        <v/>
      </c>
      <c r="E767" s="1297">
        <f>E618</f>
        <v/>
      </c>
      <c r="F767" s="1297">
        <f>F618</f>
        <v/>
      </c>
      <c r="G767" s="1297">
        <f>G618</f>
        <v/>
      </c>
      <c r="H767" s="1277">
        <f>H618</f>
        <v/>
      </c>
      <c r="I767" s="1277">
        <f>I618-H618</f>
        <v/>
      </c>
      <c r="J767" s="1277">
        <f>J618-I618</f>
        <v/>
      </c>
      <c r="K767" s="1277">
        <f>K618-J618</f>
        <v/>
      </c>
      <c r="L767" s="1297">
        <f>L618</f>
        <v/>
      </c>
      <c r="M767" s="1277">
        <f>M618</f>
        <v/>
      </c>
      <c r="N767" s="1277">
        <f>N618-M618</f>
        <v/>
      </c>
      <c r="O767" s="1277">
        <f>O618-N618</f>
        <v/>
      </c>
      <c r="P767" s="1277">
        <f>P618-O618</f>
        <v/>
      </c>
      <c r="Q767" s="1297">
        <f>Q618</f>
        <v/>
      </c>
      <c r="R767" s="1277">
        <f>R618</f>
        <v/>
      </c>
      <c r="S767" s="1277">
        <f>S618-R618</f>
        <v/>
      </c>
      <c r="T767" s="1277">
        <f>T618-S618</f>
        <v/>
      </c>
      <c r="U767" s="1277">
        <f>U618-T618</f>
        <v/>
      </c>
      <c r="V767" s="1297">
        <f>V618</f>
        <v/>
      </c>
      <c r="W767" s="1277">
        <f>W618</f>
        <v/>
      </c>
      <c r="X767" s="1277">
        <f>X618-W618</f>
        <v/>
      </c>
      <c r="Y767" s="1277">
        <f>Y618-X618</f>
        <v/>
      </c>
      <c r="Z767" s="1277">
        <f>Z618-Y618</f>
        <v/>
      </c>
      <c r="AA767" s="1297">
        <f>AA618</f>
        <v/>
      </c>
      <c r="AB767" s="1277">
        <f>AB618</f>
        <v/>
      </c>
      <c r="AC767" s="1277">
        <f>AC618-AB618</f>
        <v/>
      </c>
      <c r="AD767" s="1277">
        <f>AD618-AC618</f>
        <v/>
      </c>
      <c r="AE767" s="1277">
        <f>AE618-AD618</f>
        <v/>
      </c>
      <c r="AF767" s="1297">
        <f>AF618</f>
        <v/>
      </c>
      <c r="AG767" s="1277">
        <f>AG618</f>
        <v/>
      </c>
      <c r="AH767" s="1277">
        <f>AH618-AG618</f>
        <v/>
      </c>
      <c r="AI767" s="1277">
        <f>AI618-AH618</f>
        <v/>
      </c>
      <c r="AJ767" s="1277">
        <f>AJ618-AI618</f>
        <v/>
      </c>
      <c r="AK767" s="1297">
        <f>SUM(AG767,AH767,AI767,AJ767)</f>
        <v/>
      </c>
      <c r="AL767" s="1277">
        <f>AL618</f>
        <v/>
      </c>
      <c r="AM767" s="1277">
        <f>AM618-AL618</f>
        <v/>
      </c>
      <c r="AN767" s="1277">
        <f>AN618-AM618</f>
        <v/>
      </c>
      <c r="AO767" s="1277">
        <f>AO618-AN618</f>
        <v/>
      </c>
      <c r="AP767" s="1297">
        <f>SUM(AL767,AM767,AN767,AO767)</f>
        <v/>
      </c>
      <c r="AQ767" s="1277">
        <f>AQ618</f>
        <v/>
      </c>
      <c r="AR767" s="1277">
        <f>AR618-AQ618</f>
        <v/>
      </c>
      <c r="AS767" s="1277">
        <f>AS618-AR618</f>
        <v/>
      </c>
      <c r="AT767" s="1277">
        <f>AT618-AS618</f>
        <v/>
      </c>
      <c r="AU767" s="1297">
        <f>SUM(AQ767,AR767,AS767,AT767)</f>
        <v/>
      </c>
      <c r="AV767" s="1277">
        <f>AV618</f>
        <v/>
      </c>
      <c r="AW767" s="1277">
        <f>AW618-AV618</f>
        <v/>
      </c>
      <c r="AX767" s="1277">
        <f>AX618-AW618</f>
        <v/>
      </c>
      <c r="AY767" s="1277">
        <f>AY618-AX618</f>
        <v/>
      </c>
      <c r="AZ767" s="1297">
        <f>SUM(AV767,AW767,AX767,AY767)</f>
        <v/>
      </c>
      <c r="BA767" s="1277">
        <f>BA618</f>
        <v/>
      </c>
      <c r="BB767" s="1277">
        <f>BB618-BA618</f>
        <v/>
      </c>
      <c r="BC767" s="1277">
        <f>BC618-BB618</f>
        <v/>
      </c>
      <c r="BD767" s="1277">
        <f>BD618-BC618</f>
        <v/>
      </c>
      <c r="BE767" s="1297">
        <f>SUM(BA767,BB767,BC767,BD767)</f>
        <v/>
      </c>
      <c r="BF767" s="1277">
        <f>BF618</f>
        <v/>
      </c>
      <c r="BG767" s="1277">
        <f>BG618-BF618</f>
        <v/>
      </c>
      <c r="BH767" s="1277">
        <f>BH618-BG618</f>
        <v/>
      </c>
      <c r="BI767" s="1277">
        <f>BI618-BH618</f>
        <v/>
      </c>
      <c r="BJ767" s="1297">
        <f>SUM(BF767,BG767,BH767,BI767)</f>
        <v/>
      </c>
      <c r="BK767" s="1277">
        <f>BK618</f>
        <v/>
      </c>
      <c r="BL767" s="1277">
        <f>BL618-BK618</f>
        <v/>
      </c>
      <c r="BM767" s="1277">
        <f>BM618-BL618</f>
        <v/>
      </c>
      <c r="BN767" s="1277">
        <f>BN618-BM618</f>
        <v/>
      </c>
      <c r="BO767" s="1382">
        <f>SUM(BK767,BL767,BM767,BN767)</f>
        <v/>
      </c>
      <c r="BP767" s="1277" t="n"/>
      <c r="BQ767" s="1277" t="n"/>
      <c r="BR767" s="1277" t="n"/>
      <c r="BS767" s="1277" t="n"/>
      <c r="BT767" s="1297">
        <f>SUM(BP767,BQ767,BR767,BS767)</f>
        <v/>
      </c>
      <c r="BU767" s="1277" t="n"/>
      <c r="BV767" s="1277" t="n"/>
      <c r="BW767" s="1277" t="n"/>
      <c r="BX767" s="1277" t="n"/>
      <c r="BY767" s="1297">
        <f>SUM(BU767,BV767,BW767,BX767)</f>
        <v/>
      </c>
      <c r="BZ767" s="1297" t="n"/>
      <c r="CA767" s="1297" t="n"/>
      <c r="CB767" s="1297" t="n"/>
      <c r="CC767" s="1280" t="n"/>
    </row>
    <row r="768" ht="14.4" customFormat="1" customHeight="1" s="1275">
      <c r="A768" s="1384">
        <f>A619</f>
        <v/>
      </c>
      <c r="B768" s="1387" t="n"/>
      <c r="C768" s="1297">
        <f>C619</f>
        <v/>
      </c>
      <c r="D768" s="1297">
        <f>D619</f>
        <v/>
      </c>
      <c r="E768" s="1297">
        <f>E619</f>
        <v/>
      </c>
      <c r="F768" s="1297">
        <f>F619</f>
        <v/>
      </c>
      <c r="G768" s="1297">
        <f>G619</f>
        <v/>
      </c>
      <c r="H768" s="1277">
        <f>H619</f>
        <v/>
      </c>
      <c r="I768" s="1277">
        <f>I619-H619</f>
        <v/>
      </c>
      <c r="J768" s="1277">
        <f>J619-I619</f>
        <v/>
      </c>
      <c r="K768" s="1277">
        <f>K619-J619</f>
        <v/>
      </c>
      <c r="L768" s="1297">
        <f>L619</f>
        <v/>
      </c>
      <c r="M768" s="1277">
        <f>M619</f>
        <v/>
      </c>
      <c r="N768" s="1277">
        <f>N619-M619</f>
        <v/>
      </c>
      <c r="O768" s="1277">
        <f>O619-N619</f>
        <v/>
      </c>
      <c r="P768" s="1277">
        <f>P619-O619</f>
        <v/>
      </c>
      <c r="Q768" s="1297">
        <f>Q619</f>
        <v/>
      </c>
      <c r="R768" s="1277">
        <f>R619</f>
        <v/>
      </c>
      <c r="S768" s="1277">
        <f>S619-R619</f>
        <v/>
      </c>
      <c r="T768" s="1277">
        <f>T619-S619</f>
        <v/>
      </c>
      <c r="U768" s="1277">
        <f>U619-T619</f>
        <v/>
      </c>
      <c r="V768" s="1297">
        <f>V619</f>
        <v/>
      </c>
      <c r="W768" s="1277">
        <f>W619</f>
        <v/>
      </c>
      <c r="X768" s="1277">
        <f>X619-W619</f>
        <v/>
      </c>
      <c r="Y768" s="1277">
        <f>Y619-X619</f>
        <v/>
      </c>
      <c r="Z768" s="1277">
        <f>Z619-Y619</f>
        <v/>
      </c>
      <c r="AA768" s="1297">
        <f>AA619</f>
        <v/>
      </c>
      <c r="AB768" s="1277">
        <f>AB619</f>
        <v/>
      </c>
      <c r="AC768" s="1277">
        <f>AC619-AB619</f>
        <v/>
      </c>
      <c r="AD768" s="1277">
        <f>AD619-AC619</f>
        <v/>
      </c>
      <c r="AE768" s="1277">
        <f>AE619-AD619</f>
        <v/>
      </c>
      <c r="AF768" s="1297">
        <f>AF619</f>
        <v/>
      </c>
      <c r="AG768" s="1277">
        <f>AG619</f>
        <v/>
      </c>
      <c r="AH768" s="1277">
        <f>AH619-AG619</f>
        <v/>
      </c>
      <c r="AI768" s="1277">
        <f>AI619-AH619</f>
        <v/>
      </c>
      <c r="AJ768" s="1277">
        <f>AJ619-AI619</f>
        <v/>
      </c>
      <c r="AK768" s="1297">
        <f>SUM(AG768,AH768,AI768,AJ768)</f>
        <v/>
      </c>
      <c r="AL768" s="1277">
        <f>AL619</f>
        <v/>
      </c>
      <c r="AM768" s="1277">
        <f>AM619-AL619</f>
        <v/>
      </c>
      <c r="AN768" s="1277">
        <f>AN619-AM619</f>
        <v/>
      </c>
      <c r="AO768" s="1277">
        <f>AO619-AN619</f>
        <v/>
      </c>
      <c r="AP768" s="1297">
        <f>SUM(AL768,AM768,AN768,AO768)</f>
        <v/>
      </c>
      <c r="AQ768" s="1277">
        <f>AQ619</f>
        <v/>
      </c>
      <c r="AR768" s="1277">
        <f>AR619-AQ619</f>
        <v/>
      </c>
      <c r="AS768" s="1277">
        <f>AS619-AR619</f>
        <v/>
      </c>
      <c r="AT768" s="1277">
        <f>AT619-AS619</f>
        <v/>
      </c>
      <c r="AU768" s="1297">
        <f>SUM(AQ768,AR768,AS768,AT768)</f>
        <v/>
      </c>
      <c r="AV768" s="1277">
        <f>AV619</f>
        <v/>
      </c>
      <c r="AW768" s="1277">
        <f>AW619-AV619</f>
        <v/>
      </c>
      <c r="AX768" s="1277">
        <f>AX619-AW619</f>
        <v/>
      </c>
      <c r="AY768" s="1277">
        <f>AY619-AX619</f>
        <v/>
      </c>
      <c r="AZ768" s="1297">
        <f>SUM(AV768,AW768,AX768,AY768)</f>
        <v/>
      </c>
      <c r="BA768" s="1277">
        <f>BA619</f>
        <v/>
      </c>
      <c r="BB768" s="1277">
        <f>BB619-BA619</f>
        <v/>
      </c>
      <c r="BC768" s="1277">
        <f>BC619-BB619</f>
        <v/>
      </c>
      <c r="BD768" s="1277">
        <f>BD619-BC619</f>
        <v/>
      </c>
      <c r="BE768" s="1297">
        <f>SUM(BA768,BB768,BC768,BD768)</f>
        <v/>
      </c>
      <c r="BF768" s="1277">
        <f>BF619</f>
        <v/>
      </c>
      <c r="BG768" s="1277">
        <f>BG619-BF619</f>
        <v/>
      </c>
      <c r="BH768" s="1277">
        <f>BH619-BG619</f>
        <v/>
      </c>
      <c r="BI768" s="1277">
        <f>BI619-BH619</f>
        <v/>
      </c>
      <c r="BJ768" s="1297">
        <f>SUM(BF768,BG768,BH768,BI768)</f>
        <v/>
      </c>
      <c r="BK768" s="1277">
        <f>BK619</f>
        <v/>
      </c>
      <c r="BL768" s="1277">
        <f>BL619-BK619</f>
        <v/>
      </c>
      <c r="BM768" s="1277">
        <f>BM619-BL619</f>
        <v/>
      </c>
      <c r="BN768" s="1277">
        <f>BN619-BM619</f>
        <v/>
      </c>
      <c r="BO768" s="1382">
        <f>SUM(BK768,BL768,BM768,BN768)</f>
        <v/>
      </c>
      <c r="BP768" s="1277" t="n"/>
      <c r="BQ768" s="1277" t="n"/>
      <c r="BR768" s="1277" t="n"/>
      <c r="BS768" s="1277" t="n"/>
      <c r="BT768" s="1297">
        <f>SUM(BP768,BQ768,BR768,BS768)</f>
        <v/>
      </c>
      <c r="BU768" s="1277" t="n"/>
      <c r="BV768" s="1277" t="n"/>
      <c r="BW768" s="1277" t="n"/>
      <c r="BX768" s="1277" t="n"/>
      <c r="BY768" s="1297">
        <f>SUM(BU768,BV768,BW768,BX768)</f>
        <v/>
      </c>
      <c r="BZ768" s="1297" t="n"/>
      <c r="CA768" s="1297" t="n"/>
      <c r="CB768" s="1297" t="n"/>
      <c r="CC768" s="1280" t="n"/>
    </row>
    <row r="769" ht="14.4" customFormat="1" customHeight="1" s="1275">
      <c r="A769" s="1384">
        <f>A620</f>
        <v/>
      </c>
      <c r="B769" s="1387" t="n"/>
      <c r="C769" s="1297">
        <f>C620</f>
        <v/>
      </c>
      <c r="D769" s="1297">
        <f>D620</f>
        <v/>
      </c>
      <c r="E769" s="1297">
        <f>E620</f>
        <v/>
      </c>
      <c r="F769" s="1297">
        <f>F620</f>
        <v/>
      </c>
      <c r="G769" s="1297">
        <f>G620</f>
        <v/>
      </c>
      <c r="H769" s="1277">
        <f>H620</f>
        <v/>
      </c>
      <c r="I769" s="1277">
        <f>I620-H620</f>
        <v/>
      </c>
      <c r="J769" s="1277">
        <f>J620-I620</f>
        <v/>
      </c>
      <c r="K769" s="1277">
        <f>K620-J620</f>
        <v/>
      </c>
      <c r="L769" s="1297">
        <f>L620</f>
        <v/>
      </c>
      <c r="M769" s="1277">
        <f>M620</f>
        <v/>
      </c>
      <c r="N769" s="1277">
        <f>N620-M620</f>
        <v/>
      </c>
      <c r="O769" s="1277">
        <f>O620-N620</f>
        <v/>
      </c>
      <c r="P769" s="1277">
        <f>P620-O620</f>
        <v/>
      </c>
      <c r="Q769" s="1297">
        <f>Q620</f>
        <v/>
      </c>
      <c r="R769" s="1277">
        <f>R620</f>
        <v/>
      </c>
      <c r="S769" s="1277">
        <f>S620-R620</f>
        <v/>
      </c>
      <c r="T769" s="1277">
        <f>T620-S620</f>
        <v/>
      </c>
      <c r="U769" s="1277">
        <f>U620-T620</f>
        <v/>
      </c>
      <c r="V769" s="1297">
        <f>V620</f>
        <v/>
      </c>
      <c r="W769" s="1277">
        <f>W620</f>
        <v/>
      </c>
      <c r="X769" s="1277">
        <f>X620-W620</f>
        <v/>
      </c>
      <c r="Y769" s="1277">
        <f>Y620-X620</f>
        <v/>
      </c>
      <c r="Z769" s="1277">
        <f>Z620-Y620</f>
        <v/>
      </c>
      <c r="AA769" s="1297">
        <f>AA620</f>
        <v/>
      </c>
      <c r="AB769" s="1277">
        <f>AB620</f>
        <v/>
      </c>
      <c r="AC769" s="1277">
        <f>AC620-AB620</f>
        <v/>
      </c>
      <c r="AD769" s="1277">
        <f>AD620-AC620</f>
        <v/>
      </c>
      <c r="AE769" s="1277">
        <f>AE620-AD620</f>
        <v/>
      </c>
      <c r="AF769" s="1297">
        <f>AF620</f>
        <v/>
      </c>
      <c r="AG769" s="1277">
        <f>AG620</f>
        <v/>
      </c>
      <c r="AH769" s="1277">
        <f>AH620-AG620</f>
        <v/>
      </c>
      <c r="AI769" s="1277">
        <f>AI620-AH620</f>
        <v/>
      </c>
      <c r="AJ769" s="1277">
        <f>AJ620-AI620</f>
        <v/>
      </c>
      <c r="AK769" s="1297">
        <f>SUM(AG769,AH769,AI769,AJ769)</f>
        <v/>
      </c>
      <c r="AL769" s="1277">
        <f>AL620</f>
        <v/>
      </c>
      <c r="AM769" s="1277">
        <f>AM620-AL620</f>
        <v/>
      </c>
      <c r="AN769" s="1277">
        <f>AN620-AM620</f>
        <v/>
      </c>
      <c r="AO769" s="1277">
        <f>AO620-AN620</f>
        <v/>
      </c>
      <c r="AP769" s="1297">
        <f>SUM(AL769,AM769,AN769,AO769)</f>
        <v/>
      </c>
      <c r="AQ769" s="1277">
        <f>AQ620</f>
        <v/>
      </c>
      <c r="AR769" s="1277">
        <f>AR620-AQ620</f>
        <v/>
      </c>
      <c r="AS769" s="1277">
        <f>AS620-AR620</f>
        <v/>
      </c>
      <c r="AT769" s="1277">
        <f>AT620-AS620</f>
        <v/>
      </c>
      <c r="AU769" s="1297">
        <f>SUM(AQ769,AR769,AS769,AT769)</f>
        <v/>
      </c>
      <c r="AV769" s="1277">
        <f>AV620</f>
        <v/>
      </c>
      <c r="AW769" s="1277">
        <f>AW620-AV620</f>
        <v/>
      </c>
      <c r="AX769" s="1277">
        <f>AX620-AW620</f>
        <v/>
      </c>
      <c r="AY769" s="1277">
        <f>AY620-AX620</f>
        <v/>
      </c>
      <c r="AZ769" s="1297">
        <f>SUM(AV769,AW769,AX769,AY769)</f>
        <v/>
      </c>
      <c r="BA769" s="1277">
        <f>BA620</f>
        <v/>
      </c>
      <c r="BB769" s="1277">
        <f>BB620-BA620</f>
        <v/>
      </c>
      <c r="BC769" s="1277">
        <f>BC620-BB620</f>
        <v/>
      </c>
      <c r="BD769" s="1277">
        <f>BD620-BC620</f>
        <v/>
      </c>
      <c r="BE769" s="1297">
        <f>SUM(BA769,BB769,BC769,BD769)</f>
        <v/>
      </c>
      <c r="BF769" s="1277">
        <f>BF620</f>
        <v/>
      </c>
      <c r="BG769" s="1277">
        <f>BG620-BF620</f>
        <v/>
      </c>
      <c r="BH769" s="1277">
        <f>BH620-BG620</f>
        <v/>
      </c>
      <c r="BI769" s="1277">
        <f>BI620-BH620</f>
        <v/>
      </c>
      <c r="BJ769" s="1297">
        <f>SUM(BF769,BG769,BH769,BI769)</f>
        <v/>
      </c>
      <c r="BK769" s="1277">
        <f>BK620</f>
        <v/>
      </c>
      <c r="BL769" s="1277">
        <f>BL620-BK620</f>
        <v/>
      </c>
      <c r="BM769" s="1277">
        <f>BM620-BL620</f>
        <v/>
      </c>
      <c r="BN769" s="1277">
        <f>BN620-BM620</f>
        <v/>
      </c>
      <c r="BO769" s="1382">
        <f>SUM(BK769,BL769,BM769,BN769)</f>
        <v/>
      </c>
      <c r="BP769" s="1277" t="n"/>
      <c r="BQ769" s="1277" t="n"/>
      <c r="BR769" s="1277" t="n"/>
      <c r="BS769" s="1277" t="n"/>
      <c r="BT769" s="1297">
        <f>SUM(BP769,BQ769,BR769,BS769)</f>
        <v/>
      </c>
      <c r="BU769" s="1277" t="n"/>
      <c r="BV769" s="1277" t="n"/>
      <c r="BW769" s="1277" t="n"/>
      <c r="BX769" s="1277" t="n"/>
      <c r="BY769" s="1297">
        <f>SUM(BU769,BV769,BW769,BX769)</f>
        <v/>
      </c>
      <c r="BZ769" s="1297" t="n"/>
      <c r="CA769" s="1297" t="n"/>
      <c r="CB769" s="1297" t="n"/>
      <c r="CC769" s="1280" t="n"/>
    </row>
    <row r="770" ht="14.4" customFormat="1" customHeight="1" s="1275">
      <c r="A770" s="1384">
        <f>A621</f>
        <v/>
      </c>
      <c r="B770" s="1387" t="n"/>
      <c r="C770" s="1297">
        <f>C621</f>
        <v/>
      </c>
      <c r="D770" s="1297">
        <f>D621</f>
        <v/>
      </c>
      <c r="E770" s="1297">
        <f>E621</f>
        <v/>
      </c>
      <c r="F770" s="1297">
        <f>F621</f>
        <v/>
      </c>
      <c r="G770" s="1297">
        <f>G621</f>
        <v/>
      </c>
      <c r="H770" s="1277">
        <f>H621</f>
        <v/>
      </c>
      <c r="I770" s="1277">
        <f>I621-H621</f>
        <v/>
      </c>
      <c r="J770" s="1277">
        <f>J621-I621</f>
        <v/>
      </c>
      <c r="K770" s="1277">
        <f>K621-J621</f>
        <v/>
      </c>
      <c r="L770" s="1297">
        <f>L621</f>
        <v/>
      </c>
      <c r="M770" s="1277">
        <f>M621</f>
        <v/>
      </c>
      <c r="N770" s="1277">
        <f>N621-M621</f>
        <v/>
      </c>
      <c r="O770" s="1277">
        <f>O621-N621</f>
        <v/>
      </c>
      <c r="P770" s="1277">
        <f>P621-O621</f>
        <v/>
      </c>
      <c r="Q770" s="1297">
        <f>Q621</f>
        <v/>
      </c>
      <c r="R770" s="1277">
        <f>R621</f>
        <v/>
      </c>
      <c r="S770" s="1277">
        <f>S621-R621</f>
        <v/>
      </c>
      <c r="T770" s="1277">
        <f>T621-S621</f>
        <v/>
      </c>
      <c r="U770" s="1277">
        <f>U621-T621</f>
        <v/>
      </c>
      <c r="V770" s="1297">
        <f>V621</f>
        <v/>
      </c>
      <c r="W770" s="1277">
        <f>W621</f>
        <v/>
      </c>
      <c r="X770" s="1277">
        <f>X621-W621</f>
        <v/>
      </c>
      <c r="Y770" s="1277">
        <f>Y621-X621</f>
        <v/>
      </c>
      <c r="Z770" s="1277">
        <f>Z621-Y621</f>
        <v/>
      </c>
      <c r="AA770" s="1297">
        <f>AA621</f>
        <v/>
      </c>
      <c r="AB770" s="1277">
        <f>AB621</f>
        <v/>
      </c>
      <c r="AC770" s="1277">
        <f>AC621-AB621</f>
        <v/>
      </c>
      <c r="AD770" s="1277">
        <f>AD621-AC621</f>
        <v/>
      </c>
      <c r="AE770" s="1277">
        <f>AE621-AD621</f>
        <v/>
      </c>
      <c r="AF770" s="1297">
        <f>AF621</f>
        <v/>
      </c>
      <c r="AG770" s="1277">
        <f>AG621</f>
        <v/>
      </c>
      <c r="AH770" s="1277">
        <f>AH621-AG621</f>
        <v/>
      </c>
      <c r="AI770" s="1277">
        <f>AI621-AH621</f>
        <v/>
      </c>
      <c r="AJ770" s="1277">
        <f>AJ621-AI621</f>
        <v/>
      </c>
      <c r="AK770" s="1297">
        <f>SUM(AG770,AH770,AI770,AJ770)</f>
        <v/>
      </c>
      <c r="AL770" s="1277">
        <f>AL621</f>
        <v/>
      </c>
      <c r="AM770" s="1277">
        <f>AM621-AL621</f>
        <v/>
      </c>
      <c r="AN770" s="1277">
        <f>AN621-AM621</f>
        <v/>
      </c>
      <c r="AO770" s="1277">
        <f>AO621-AN621</f>
        <v/>
      </c>
      <c r="AP770" s="1297">
        <f>SUM(AL770,AM770,AN770,AO770)</f>
        <v/>
      </c>
      <c r="AQ770" s="1277">
        <f>AQ621</f>
        <v/>
      </c>
      <c r="AR770" s="1277">
        <f>AR621-AQ621</f>
        <v/>
      </c>
      <c r="AS770" s="1277">
        <f>AS621-AR621</f>
        <v/>
      </c>
      <c r="AT770" s="1277">
        <f>AT621-AS621</f>
        <v/>
      </c>
      <c r="AU770" s="1297">
        <f>SUM(AQ770,AR770,AS770,AT770)</f>
        <v/>
      </c>
      <c r="AV770" s="1277">
        <f>AV621</f>
        <v/>
      </c>
      <c r="AW770" s="1277">
        <f>AW621-AV621</f>
        <v/>
      </c>
      <c r="AX770" s="1277">
        <f>AX621-AW621</f>
        <v/>
      </c>
      <c r="AY770" s="1277">
        <f>AY621-AX621</f>
        <v/>
      </c>
      <c r="AZ770" s="1297">
        <f>SUM(AV770,AW770,AX770,AY770)</f>
        <v/>
      </c>
      <c r="BA770" s="1277">
        <f>BA621</f>
        <v/>
      </c>
      <c r="BB770" s="1277">
        <f>BB621-BA621</f>
        <v/>
      </c>
      <c r="BC770" s="1277">
        <f>BC621-BB621</f>
        <v/>
      </c>
      <c r="BD770" s="1277">
        <f>BD621-BC621</f>
        <v/>
      </c>
      <c r="BE770" s="1297">
        <f>SUM(BA770,BB770,BC770,BD770)</f>
        <v/>
      </c>
      <c r="BF770" s="1277">
        <f>BF621</f>
        <v/>
      </c>
      <c r="BG770" s="1277">
        <f>BG621-BF621</f>
        <v/>
      </c>
      <c r="BH770" s="1277">
        <f>BH621-BG621</f>
        <v/>
      </c>
      <c r="BI770" s="1277">
        <f>BI621-BH621</f>
        <v/>
      </c>
      <c r="BJ770" s="1297">
        <f>SUM(BF770,BG770,BH770,BI770)</f>
        <v/>
      </c>
      <c r="BK770" s="1277">
        <f>BK621</f>
        <v/>
      </c>
      <c r="BL770" s="1277">
        <f>BL621-BK621</f>
        <v/>
      </c>
      <c r="BM770" s="1277">
        <f>BM621-BL621</f>
        <v/>
      </c>
      <c r="BN770" s="1277">
        <f>BN621-BM621</f>
        <v/>
      </c>
      <c r="BO770" s="1382">
        <f>SUM(BK770,BL770,BM770,BN770)</f>
        <v/>
      </c>
      <c r="BP770" s="1277" t="n"/>
      <c r="BQ770" s="1277" t="n"/>
      <c r="BR770" s="1277" t="n"/>
      <c r="BS770" s="1277" t="n"/>
      <c r="BT770" s="1297">
        <f>SUM(BP770,BQ770,BR770,BS770)</f>
        <v/>
      </c>
      <c r="BU770" s="1277" t="n"/>
      <c r="BV770" s="1277" t="n"/>
      <c r="BW770" s="1277" t="n"/>
      <c r="BX770" s="1277" t="n"/>
      <c r="BY770" s="1297">
        <f>SUM(BU770,BV770,BW770,BX770)</f>
        <v/>
      </c>
      <c r="BZ770" s="1297" t="n"/>
      <c r="CA770" s="1297" t="n"/>
      <c r="CB770" s="1297" t="n"/>
      <c r="CC770" s="1280" t="n"/>
    </row>
    <row r="771" ht="14.4" customFormat="1" customHeight="1" s="1275">
      <c r="A771" s="1384">
        <f>A622</f>
        <v/>
      </c>
      <c r="B771" s="1387" t="n"/>
      <c r="C771" s="1297">
        <f>C622</f>
        <v/>
      </c>
      <c r="D771" s="1297">
        <f>D622</f>
        <v/>
      </c>
      <c r="E771" s="1297">
        <f>E622</f>
        <v/>
      </c>
      <c r="F771" s="1297">
        <f>F622</f>
        <v/>
      </c>
      <c r="G771" s="1297">
        <f>G622</f>
        <v/>
      </c>
      <c r="H771" s="1277">
        <f>H622</f>
        <v/>
      </c>
      <c r="I771" s="1277">
        <f>I622-H622</f>
        <v/>
      </c>
      <c r="J771" s="1277">
        <f>J622-I622</f>
        <v/>
      </c>
      <c r="K771" s="1277">
        <f>K622-J622</f>
        <v/>
      </c>
      <c r="L771" s="1297">
        <f>L622</f>
        <v/>
      </c>
      <c r="M771" s="1277">
        <f>M622</f>
        <v/>
      </c>
      <c r="N771" s="1277">
        <f>N622-M622</f>
        <v/>
      </c>
      <c r="O771" s="1277">
        <f>O622-N622</f>
        <v/>
      </c>
      <c r="P771" s="1277">
        <f>P622-O622</f>
        <v/>
      </c>
      <c r="Q771" s="1297">
        <f>Q622</f>
        <v/>
      </c>
      <c r="R771" s="1277">
        <f>R622</f>
        <v/>
      </c>
      <c r="S771" s="1277">
        <f>S622-R622</f>
        <v/>
      </c>
      <c r="T771" s="1277">
        <f>T622-S622</f>
        <v/>
      </c>
      <c r="U771" s="1277">
        <f>U622-T622</f>
        <v/>
      </c>
      <c r="V771" s="1297">
        <f>V622</f>
        <v/>
      </c>
      <c r="W771" s="1277">
        <f>W622</f>
        <v/>
      </c>
      <c r="X771" s="1277">
        <f>X622-W622</f>
        <v/>
      </c>
      <c r="Y771" s="1277">
        <f>Y622-X622</f>
        <v/>
      </c>
      <c r="Z771" s="1277">
        <f>Z622-Y622</f>
        <v/>
      </c>
      <c r="AA771" s="1297">
        <f>AA622</f>
        <v/>
      </c>
      <c r="AB771" s="1277">
        <f>AB622</f>
        <v/>
      </c>
      <c r="AC771" s="1277">
        <f>AC622-AB622</f>
        <v/>
      </c>
      <c r="AD771" s="1277">
        <f>AD622-AC622</f>
        <v/>
      </c>
      <c r="AE771" s="1277">
        <f>AE622-AD622</f>
        <v/>
      </c>
      <c r="AF771" s="1297">
        <f>AF622</f>
        <v/>
      </c>
      <c r="AG771" s="1277">
        <f>AG622</f>
        <v/>
      </c>
      <c r="AH771" s="1277">
        <f>AH622-AG622</f>
        <v/>
      </c>
      <c r="AI771" s="1277">
        <f>AI622-AH622</f>
        <v/>
      </c>
      <c r="AJ771" s="1277">
        <f>AJ622-AI622</f>
        <v/>
      </c>
      <c r="AK771" s="1297">
        <f>SUM(AG771,AH771,AI771,AJ771)</f>
        <v/>
      </c>
      <c r="AL771" s="1277">
        <f>AL622</f>
        <v/>
      </c>
      <c r="AM771" s="1277">
        <f>AM622-AL622</f>
        <v/>
      </c>
      <c r="AN771" s="1277">
        <f>AN622-AM622</f>
        <v/>
      </c>
      <c r="AO771" s="1277">
        <f>AO622-AN622</f>
        <v/>
      </c>
      <c r="AP771" s="1297">
        <f>SUM(AL771,AM771,AN771,AO771)</f>
        <v/>
      </c>
      <c r="AQ771" s="1277">
        <f>AQ622</f>
        <v/>
      </c>
      <c r="AR771" s="1277">
        <f>AR622-AQ622</f>
        <v/>
      </c>
      <c r="AS771" s="1277">
        <f>AS622-AR622</f>
        <v/>
      </c>
      <c r="AT771" s="1277">
        <f>AT622-AS622</f>
        <v/>
      </c>
      <c r="AU771" s="1297">
        <f>SUM(AQ771,AR771,AS771,AT771)</f>
        <v/>
      </c>
      <c r="AV771" s="1277">
        <f>AV622</f>
        <v/>
      </c>
      <c r="AW771" s="1277">
        <f>AW622-AV622</f>
        <v/>
      </c>
      <c r="AX771" s="1277">
        <f>AX622-AW622</f>
        <v/>
      </c>
      <c r="AY771" s="1277">
        <f>AY622-AX622</f>
        <v/>
      </c>
      <c r="AZ771" s="1297">
        <f>SUM(AV771,AW771,AX771,AY771)</f>
        <v/>
      </c>
      <c r="BA771" s="1277">
        <f>BA622</f>
        <v/>
      </c>
      <c r="BB771" s="1277">
        <f>BB622-BA622</f>
        <v/>
      </c>
      <c r="BC771" s="1277">
        <f>BC622-BB622</f>
        <v/>
      </c>
      <c r="BD771" s="1277">
        <f>BD622-BC622</f>
        <v/>
      </c>
      <c r="BE771" s="1297">
        <f>SUM(BA771,BB771,BC771,BD771)</f>
        <v/>
      </c>
      <c r="BF771" s="1277">
        <f>BF622</f>
        <v/>
      </c>
      <c r="BG771" s="1277">
        <f>BG622-BF622</f>
        <v/>
      </c>
      <c r="BH771" s="1277">
        <f>BH622-BG622</f>
        <v/>
      </c>
      <c r="BI771" s="1277">
        <f>BI622-BH622</f>
        <v/>
      </c>
      <c r="BJ771" s="1297">
        <f>SUM(BF771,BG771,BH771,BI771)</f>
        <v/>
      </c>
      <c r="BK771" s="1277">
        <f>BK622</f>
        <v/>
      </c>
      <c r="BL771" s="1277">
        <f>BL622-BK622</f>
        <v/>
      </c>
      <c r="BM771" s="1277">
        <f>BM622-BL622</f>
        <v/>
      </c>
      <c r="BN771" s="1277">
        <f>BN622-BM622</f>
        <v/>
      </c>
      <c r="BO771" s="1382">
        <f>SUM(BK771,BL771,BM771,BN771)</f>
        <v/>
      </c>
      <c r="BP771" s="1277" t="n"/>
      <c r="BQ771" s="1277" t="n"/>
      <c r="BR771" s="1277" t="n"/>
      <c r="BS771" s="1277" t="n"/>
      <c r="BT771" s="1297">
        <f>SUM(BP771,BQ771,BR771,BS771)</f>
        <v/>
      </c>
      <c r="BU771" s="1277" t="n"/>
      <c r="BV771" s="1277" t="n"/>
      <c r="BW771" s="1277" t="n"/>
      <c r="BX771" s="1277" t="n"/>
      <c r="BY771" s="1297">
        <f>SUM(BU771,BV771,BW771,BX771)</f>
        <v/>
      </c>
      <c r="BZ771" s="1297" t="n"/>
      <c r="CA771" s="1297" t="n"/>
      <c r="CB771" s="1297" t="n"/>
      <c r="CC771" s="1280" t="n"/>
    </row>
    <row r="772" ht="14.4" customFormat="1" customHeight="1" s="1275">
      <c r="A772" s="1384">
        <f>A623</f>
        <v/>
      </c>
      <c r="B772" s="1387" t="n"/>
      <c r="C772" s="1297">
        <f>C623</f>
        <v/>
      </c>
      <c r="D772" s="1297">
        <f>D623</f>
        <v/>
      </c>
      <c r="E772" s="1297">
        <f>E623</f>
        <v/>
      </c>
      <c r="F772" s="1297">
        <f>F623</f>
        <v/>
      </c>
      <c r="G772" s="1297">
        <f>G623</f>
        <v/>
      </c>
      <c r="H772" s="1277">
        <f>H623</f>
        <v/>
      </c>
      <c r="I772" s="1277">
        <f>I623-H623</f>
        <v/>
      </c>
      <c r="J772" s="1277">
        <f>J623-I623</f>
        <v/>
      </c>
      <c r="K772" s="1277">
        <f>K623-J623</f>
        <v/>
      </c>
      <c r="L772" s="1297">
        <f>L623</f>
        <v/>
      </c>
      <c r="M772" s="1277">
        <f>M623</f>
        <v/>
      </c>
      <c r="N772" s="1277">
        <f>N623-M623</f>
        <v/>
      </c>
      <c r="O772" s="1277">
        <f>O623-N623</f>
        <v/>
      </c>
      <c r="P772" s="1277">
        <f>P623-O623</f>
        <v/>
      </c>
      <c r="Q772" s="1297">
        <f>Q623</f>
        <v/>
      </c>
      <c r="R772" s="1277">
        <f>R623</f>
        <v/>
      </c>
      <c r="S772" s="1277">
        <f>S623-R623</f>
        <v/>
      </c>
      <c r="T772" s="1277">
        <f>T623-S623</f>
        <v/>
      </c>
      <c r="U772" s="1277">
        <f>U623-T623</f>
        <v/>
      </c>
      <c r="V772" s="1297">
        <f>V623</f>
        <v/>
      </c>
      <c r="W772" s="1277">
        <f>W623</f>
        <v/>
      </c>
      <c r="X772" s="1277">
        <f>X623-W623</f>
        <v/>
      </c>
      <c r="Y772" s="1277">
        <f>Y623-X623</f>
        <v/>
      </c>
      <c r="Z772" s="1277">
        <f>Z623-Y623</f>
        <v/>
      </c>
      <c r="AA772" s="1297">
        <f>AA623</f>
        <v/>
      </c>
      <c r="AB772" s="1277">
        <f>AB623</f>
        <v/>
      </c>
      <c r="AC772" s="1277">
        <f>AC623-AB623</f>
        <v/>
      </c>
      <c r="AD772" s="1277">
        <f>AD623-AC623</f>
        <v/>
      </c>
      <c r="AE772" s="1277">
        <f>AE623-AD623</f>
        <v/>
      </c>
      <c r="AF772" s="1297">
        <f>AF623</f>
        <v/>
      </c>
      <c r="AG772" s="1277">
        <f>AG623</f>
        <v/>
      </c>
      <c r="AH772" s="1277">
        <f>AH623-AG623</f>
        <v/>
      </c>
      <c r="AI772" s="1277">
        <f>AI623-AH623</f>
        <v/>
      </c>
      <c r="AJ772" s="1277">
        <f>AJ623-AI623</f>
        <v/>
      </c>
      <c r="AK772" s="1297">
        <f>SUM(AG772,AH772,AI772,AJ772)</f>
        <v/>
      </c>
      <c r="AL772" s="1277">
        <f>AL623</f>
        <v/>
      </c>
      <c r="AM772" s="1277">
        <f>AM623-AL623</f>
        <v/>
      </c>
      <c r="AN772" s="1277">
        <f>AN623-AM623</f>
        <v/>
      </c>
      <c r="AO772" s="1277">
        <f>AO623-AN623</f>
        <v/>
      </c>
      <c r="AP772" s="1297">
        <f>SUM(AL772,AM772,AN772,AO772)</f>
        <v/>
      </c>
      <c r="AQ772" s="1277">
        <f>AQ623</f>
        <v/>
      </c>
      <c r="AR772" s="1277">
        <f>AR623-AQ623</f>
        <v/>
      </c>
      <c r="AS772" s="1277">
        <f>AS623-AR623</f>
        <v/>
      </c>
      <c r="AT772" s="1277">
        <f>AT623-AS623</f>
        <v/>
      </c>
      <c r="AU772" s="1297">
        <f>SUM(AQ772,AR772,AS772,AT772)</f>
        <v/>
      </c>
      <c r="AV772" s="1277">
        <f>AV623</f>
        <v/>
      </c>
      <c r="AW772" s="1277">
        <f>AW623-AV623</f>
        <v/>
      </c>
      <c r="AX772" s="1277">
        <f>AX623-AW623</f>
        <v/>
      </c>
      <c r="AY772" s="1277">
        <f>AY623-AX623</f>
        <v/>
      </c>
      <c r="AZ772" s="1297">
        <f>SUM(AV772,AW772,AX772,AY772)</f>
        <v/>
      </c>
      <c r="BA772" s="1277">
        <f>BA623</f>
        <v/>
      </c>
      <c r="BB772" s="1277">
        <f>BB623-BA623</f>
        <v/>
      </c>
      <c r="BC772" s="1277">
        <f>BC623-BB623</f>
        <v/>
      </c>
      <c r="BD772" s="1277">
        <f>BD623-BC623</f>
        <v/>
      </c>
      <c r="BE772" s="1297">
        <f>SUM(BA772,BB772,BC772,BD772)</f>
        <v/>
      </c>
      <c r="BF772" s="1277">
        <f>BF623</f>
        <v/>
      </c>
      <c r="BG772" s="1277">
        <f>BG623-BF623</f>
        <v/>
      </c>
      <c r="BH772" s="1277">
        <f>BH623-BG623</f>
        <v/>
      </c>
      <c r="BI772" s="1277">
        <f>BI623-BH623</f>
        <v/>
      </c>
      <c r="BJ772" s="1297">
        <f>SUM(BF772,BG772,BH772,BI772)</f>
        <v/>
      </c>
      <c r="BK772" s="1277">
        <f>BK623</f>
        <v/>
      </c>
      <c r="BL772" s="1277">
        <f>BL623-BK623</f>
        <v/>
      </c>
      <c r="BM772" s="1277">
        <f>BM623-BL623</f>
        <v/>
      </c>
      <c r="BN772" s="1277">
        <f>BN623-BM623</f>
        <v/>
      </c>
      <c r="BO772" s="1382">
        <f>SUM(BK772,BL772,BM772,BN772)</f>
        <v/>
      </c>
      <c r="BP772" s="1277" t="n"/>
      <c r="BQ772" s="1277" t="n"/>
      <c r="BR772" s="1277" t="n"/>
      <c r="BS772" s="1277" t="n"/>
      <c r="BT772" s="1297">
        <f>SUM(BP772,BQ772,BR772,BS772)</f>
        <v/>
      </c>
      <c r="BU772" s="1277" t="n"/>
      <c r="BV772" s="1277" t="n"/>
      <c r="BW772" s="1277" t="n"/>
      <c r="BX772" s="1277" t="n"/>
      <c r="BY772" s="1297">
        <f>SUM(BU772,BV772,BW772,BX772)</f>
        <v/>
      </c>
      <c r="BZ772" s="1297" t="n"/>
      <c r="CA772" s="1297" t="n"/>
      <c r="CB772" s="1297" t="n"/>
      <c r="CC772" s="1280" t="n"/>
    </row>
    <row r="773" ht="14.4" customFormat="1" customHeight="1" s="1275">
      <c r="A773" s="1384">
        <f>A624</f>
        <v/>
      </c>
      <c r="B773" s="1387" t="n"/>
      <c r="C773" s="1297">
        <f>C624</f>
        <v/>
      </c>
      <c r="D773" s="1297">
        <f>D624</f>
        <v/>
      </c>
      <c r="E773" s="1297">
        <f>E624</f>
        <v/>
      </c>
      <c r="F773" s="1297">
        <f>F624</f>
        <v/>
      </c>
      <c r="G773" s="1297">
        <f>G624</f>
        <v/>
      </c>
      <c r="H773" s="1277">
        <f>H624</f>
        <v/>
      </c>
      <c r="I773" s="1277">
        <f>I624-H624</f>
        <v/>
      </c>
      <c r="J773" s="1277">
        <f>J624-I624</f>
        <v/>
      </c>
      <c r="K773" s="1277">
        <f>K624-J624</f>
        <v/>
      </c>
      <c r="L773" s="1297">
        <f>L624</f>
        <v/>
      </c>
      <c r="M773" s="1277">
        <f>M624</f>
        <v/>
      </c>
      <c r="N773" s="1277">
        <f>N624-M624</f>
        <v/>
      </c>
      <c r="O773" s="1277">
        <f>O624-N624</f>
        <v/>
      </c>
      <c r="P773" s="1277">
        <f>P624-O624</f>
        <v/>
      </c>
      <c r="Q773" s="1297">
        <f>Q624</f>
        <v/>
      </c>
      <c r="R773" s="1277">
        <f>R624</f>
        <v/>
      </c>
      <c r="S773" s="1277">
        <f>S624-R624</f>
        <v/>
      </c>
      <c r="T773" s="1277">
        <f>T624-S624</f>
        <v/>
      </c>
      <c r="U773" s="1277">
        <f>U624-T624</f>
        <v/>
      </c>
      <c r="V773" s="1297">
        <f>V624</f>
        <v/>
      </c>
      <c r="W773" s="1277">
        <f>W624</f>
        <v/>
      </c>
      <c r="X773" s="1277">
        <f>X624-W624</f>
        <v/>
      </c>
      <c r="Y773" s="1277">
        <f>Y624-X624</f>
        <v/>
      </c>
      <c r="Z773" s="1277">
        <f>Z624-Y624</f>
        <v/>
      </c>
      <c r="AA773" s="1297">
        <f>AA624</f>
        <v/>
      </c>
      <c r="AB773" s="1277">
        <f>AB624</f>
        <v/>
      </c>
      <c r="AC773" s="1277">
        <f>AC624-AB624</f>
        <v/>
      </c>
      <c r="AD773" s="1277">
        <f>AD624-AC624</f>
        <v/>
      </c>
      <c r="AE773" s="1277">
        <f>AE624-AD624</f>
        <v/>
      </c>
      <c r="AF773" s="1297">
        <f>AF624</f>
        <v/>
      </c>
      <c r="AG773" s="1277">
        <f>AG624</f>
        <v/>
      </c>
      <c r="AH773" s="1277">
        <f>AH624-AG624</f>
        <v/>
      </c>
      <c r="AI773" s="1277">
        <f>AI624-AH624</f>
        <v/>
      </c>
      <c r="AJ773" s="1277">
        <f>AJ624-AI624</f>
        <v/>
      </c>
      <c r="AK773" s="1297">
        <f>SUM(AG773,AH773,AI773,AJ773)</f>
        <v/>
      </c>
      <c r="AL773" s="1277">
        <f>AL624</f>
        <v/>
      </c>
      <c r="AM773" s="1277">
        <f>AM624-AL624</f>
        <v/>
      </c>
      <c r="AN773" s="1277">
        <f>AN624-AM624</f>
        <v/>
      </c>
      <c r="AO773" s="1277">
        <f>AO624-AN624</f>
        <v/>
      </c>
      <c r="AP773" s="1297">
        <f>SUM(AL773,AM773,AN773,AO773)</f>
        <v/>
      </c>
      <c r="AQ773" s="1277">
        <f>AQ624</f>
        <v/>
      </c>
      <c r="AR773" s="1277">
        <f>AR624-AQ624</f>
        <v/>
      </c>
      <c r="AS773" s="1277">
        <f>AS624-AR624</f>
        <v/>
      </c>
      <c r="AT773" s="1277">
        <f>AT624-AS624</f>
        <v/>
      </c>
      <c r="AU773" s="1297">
        <f>SUM(AQ773,AR773,AS773,AT773)</f>
        <v/>
      </c>
      <c r="AV773" s="1277">
        <f>AV624</f>
        <v/>
      </c>
      <c r="AW773" s="1277">
        <f>AW624-AV624</f>
        <v/>
      </c>
      <c r="AX773" s="1277">
        <f>AX624-AW624</f>
        <v/>
      </c>
      <c r="AY773" s="1277">
        <f>AY624-AX624</f>
        <v/>
      </c>
      <c r="AZ773" s="1297">
        <f>SUM(AV773,AW773,AX773,AY773)</f>
        <v/>
      </c>
      <c r="BA773" s="1277">
        <f>BA624</f>
        <v/>
      </c>
      <c r="BB773" s="1277">
        <f>BB624-BA624</f>
        <v/>
      </c>
      <c r="BC773" s="1277">
        <f>BC624-BB624</f>
        <v/>
      </c>
      <c r="BD773" s="1277">
        <f>BD624-BC624</f>
        <v/>
      </c>
      <c r="BE773" s="1297">
        <f>SUM(BA773,BB773,BC773,BD773)</f>
        <v/>
      </c>
      <c r="BF773" s="1277">
        <f>BF624</f>
        <v/>
      </c>
      <c r="BG773" s="1277">
        <f>BG624-BF624</f>
        <v/>
      </c>
      <c r="BH773" s="1277">
        <f>BH624-BG624</f>
        <v/>
      </c>
      <c r="BI773" s="1277">
        <f>BI624-BH624</f>
        <v/>
      </c>
      <c r="BJ773" s="1297">
        <f>SUM(BF773,BG773,BH773,BI773)</f>
        <v/>
      </c>
      <c r="BK773" s="1277">
        <f>BK624</f>
        <v/>
      </c>
      <c r="BL773" s="1277">
        <f>BL624-BK624</f>
        <v/>
      </c>
      <c r="BM773" s="1277">
        <f>BM624-BL624</f>
        <v/>
      </c>
      <c r="BN773" s="1277">
        <f>BN624-BM624</f>
        <v/>
      </c>
      <c r="BO773" s="1382">
        <f>SUM(BK773,BL773,BM773,BN773)</f>
        <v/>
      </c>
      <c r="BP773" s="1277" t="n"/>
      <c r="BQ773" s="1277" t="n"/>
      <c r="BR773" s="1277" t="n"/>
      <c r="BS773" s="1277" t="n"/>
      <c r="BT773" s="1297">
        <f>SUM(BP773,BQ773,BR773,BS773)</f>
        <v/>
      </c>
      <c r="BU773" s="1277" t="n"/>
      <c r="BV773" s="1277" t="n"/>
      <c r="BW773" s="1277" t="n"/>
      <c r="BX773" s="1277" t="n"/>
      <c r="BY773" s="1297">
        <f>SUM(BU773,BV773,BW773,BX773)</f>
        <v/>
      </c>
      <c r="BZ773" s="1297" t="n"/>
      <c r="CA773" s="1297" t="n"/>
      <c r="CB773" s="1297" t="n"/>
      <c r="CC773" s="1280" t="n"/>
    </row>
    <row r="774" ht="14.4" customFormat="1" customHeight="1" s="1275">
      <c r="A774" s="1384">
        <f>A625</f>
        <v/>
      </c>
      <c r="B774" s="1387" t="n"/>
      <c r="C774" s="1297">
        <f>C625</f>
        <v/>
      </c>
      <c r="D774" s="1297">
        <f>D625</f>
        <v/>
      </c>
      <c r="E774" s="1297">
        <f>E625</f>
        <v/>
      </c>
      <c r="F774" s="1297">
        <f>F625</f>
        <v/>
      </c>
      <c r="G774" s="1297">
        <f>G625</f>
        <v/>
      </c>
      <c r="H774" s="1277">
        <f>H625</f>
        <v/>
      </c>
      <c r="I774" s="1277">
        <f>I625-H625</f>
        <v/>
      </c>
      <c r="J774" s="1277">
        <f>J625-I625</f>
        <v/>
      </c>
      <c r="K774" s="1277">
        <f>K625-J625</f>
        <v/>
      </c>
      <c r="L774" s="1297">
        <f>L625</f>
        <v/>
      </c>
      <c r="M774" s="1277">
        <f>M625</f>
        <v/>
      </c>
      <c r="N774" s="1277">
        <f>N625-M625</f>
        <v/>
      </c>
      <c r="O774" s="1277">
        <f>O625-N625</f>
        <v/>
      </c>
      <c r="P774" s="1277">
        <f>P625-O625</f>
        <v/>
      </c>
      <c r="Q774" s="1297">
        <f>Q625</f>
        <v/>
      </c>
      <c r="R774" s="1277">
        <f>R625</f>
        <v/>
      </c>
      <c r="S774" s="1277">
        <f>S625-R625</f>
        <v/>
      </c>
      <c r="T774" s="1277">
        <f>T625-S625</f>
        <v/>
      </c>
      <c r="U774" s="1277">
        <f>U625-T625</f>
        <v/>
      </c>
      <c r="V774" s="1297">
        <f>V625</f>
        <v/>
      </c>
      <c r="W774" s="1277">
        <f>W625</f>
        <v/>
      </c>
      <c r="X774" s="1277">
        <f>X625-W625</f>
        <v/>
      </c>
      <c r="Y774" s="1277">
        <f>Y625-X625</f>
        <v/>
      </c>
      <c r="Z774" s="1277">
        <f>Z625-Y625</f>
        <v/>
      </c>
      <c r="AA774" s="1297">
        <f>AA625</f>
        <v/>
      </c>
      <c r="AB774" s="1277">
        <f>AB625</f>
        <v/>
      </c>
      <c r="AC774" s="1277">
        <f>AC625-AB625</f>
        <v/>
      </c>
      <c r="AD774" s="1277">
        <f>AD625-AC625</f>
        <v/>
      </c>
      <c r="AE774" s="1277">
        <f>AE625-AD625</f>
        <v/>
      </c>
      <c r="AF774" s="1297">
        <f>AF625</f>
        <v/>
      </c>
      <c r="AG774" s="1277">
        <f>AG625</f>
        <v/>
      </c>
      <c r="AH774" s="1277">
        <f>AH625-AG625</f>
        <v/>
      </c>
      <c r="AI774" s="1277">
        <f>AI625-AH625</f>
        <v/>
      </c>
      <c r="AJ774" s="1277">
        <f>AJ625-AI625</f>
        <v/>
      </c>
      <c r="AK774" s="1297">
        <f>SUM(AG774,AH774,AI774,AJ774)</f>
        <v/>
      </c>
      <c r="AL774" s="1277">
        <f>AL625</f>
        <v/>
      </c>
      <c r="AM774" s="1277">
        <f>AM625-AL625</f>
        <v/>
      </c>
      <c r="AN774" s="1277">
        <f>AN625-AM625</f>
        <v/>
      </c>
      <c r="AO774" s="1277">
        <f>AO625-AN625</f>
        <v/>
      </c>
      <c r="AP774" s="1297">
        <f>SUM(AL774,AM774,AN774,AO774)</f>
        <v/>
      </c>
      <c r="AQ774" s="1277">
        <f>AQ625</f>
        <v/>
      </c>
      <c r="AR774" s="1277">
        <f>AR625-AQ625</f>
        <v/>
      </c>
      <c r="AS774" s="1277">
        <f>AS625-AR625</f>
        <v/>
      </c>
      <c r="AT774" s="1277">
        <f>AT625-AS625</f>
        <v/>
      </c>
      <c r="AU774" s="1297">
        <f>SUM(AQ774,AR774,AS774,AT774)</f>
        <v/>
      </c>
      <c r="AV774" s="1277">
        <f>AV625</f>
        <v/>
      </c>
      <c r="AW774" s="1277">
        <f>AW625-AV625</f>
        <v/>
      </c>
      <c r="AX774" s="1277">
        <f>AX625-AW625</f>
        <v/>
      </c>
      <c r="AY774" s="1277">
        <f>AY625-AX625</f>
        <v/>
      </c>
      <c r="AZ774" s="1297">
        <f>SUM(AV774,AW774,AX774,AY774)</f>
        <v/>
      </c>
      <c r="BA774" s="1277">
        <f>BA625</f>
        <v/>
      </c>
      <c r="BB774" s="1277">
        <f>BB625-BA625</f>
        <v/>
      </c>
      <c r="BC774" s="1277">
        <f>BC625-BB625</f>
        <v/>
      </c>
      <c r="BD774" s="1277">
        <f>BD625-BC625</f>
        <v/>
      </c>
      <c r="BE774" s="1297">
        <f>SUM(BA774,BB774,BC774,BD774)</f>
        <v/>
      </c>
      <c r="BF774" s="1277">
        <f>BF625</f>
        <v/>
      </c>
      <c r="BG774" s="1277">
        <f>BG625-BF625</f>
        <v/>
      </c>
      <c r="BH774" s="1277">
        <f>BH625-BG625</f>
        <v/>
      </c>
      <c r="BI774" s="1277">
        <f>BI625-BH625</f>
        <v/>
      </c>
      <c r="BJ774" s="1297">
        <f>SUM(BF774,BG774,BH774,BI774)</f>
        <v/>
      </c>
      <c r="BK774" s="1277">
        <f>BK625</f>
        <v/>
      </c>
      <c r="BL774" s="1277">
        <f>BL625-BK625</f>
        <v/>
      </c>
      <c r="BM774" s="1277">
        <f>BM625-BL625</f>
        <v/>
      </c>
      <c r="BN774" s="1277">
        <f>BN625-BM625</f>
        <v/>
      </c>
      <c r="BO774" s="1382">
        <f>SUM(BK774,BL774,BM774,BN774)</f>
        <v/>
      </c>
      <c r="BP774" s="1277" t="n"/>
      <c r="BQ774" s="1277" t="n"/>
      <c r="BR774" s="1277" t="n"/>
      <c r="BS774" s="1277" t="n"/>
      <c r="BT774" s="1297">
        <f>SUM(BP774,BQ774,BR774,BS774)</f>
        <v/>
      </c>
      <c r="BU774" s="1277" t="n"/>
      <c r="BV774" s="1277" t="n"/>
      <c r="BW774" s="1277" t="n"/>
      <c r="BX774" s="1277" t="n"/>
      <c r="BY774" s="1297">
        <f>SUM(BU774,BV774,BW774,BX774)</f>
        <v/>
      </c>
      <c r="BZ774" s="1297" t="n"/>
      <c r="CA774" s="1297" t="n"/>
      <c r="CB774" s="1297" t="n"/>
      <c r="CC774" s="1280" t="n"/>
    </row>
    <row r="775" ht="14.4" customFormat="1" customHeight="1" s="1275">
      <c r="A775" s="1384">
        <f>A626</f>
        <v/>
      </c>
      <c r="B775" s="1387" t="n"/>
      <c r="C775" s="1297">
        <f>C626</f>
        <v/>
      </c>
      <c r="D775" s="1297">
        <f>D626</f>
        <v/>
      </c>
      <c r="E775" s="1297">
        <f>E626</f>
        <v/>
      </c>
      <c r="F775" s="1297">
        <f>F626</f>
        <v/>
      </c>
      <c r="G775" s="1297">
        <f>G626</f>
        <v/>
      </c>
      <c r="H775" s="1277">
        <f>H626</f>
        <v/>
      </c>
      <c r="I775" s="1277">
        <f>I626-H626</f>
        <v/>
      </c>
      <c r="J775" s="1277">
        <f>J626-I626</f>
        <v/>
      </c>
      <c r="K775" s="1277">
        <f>K626-J626</f>
        <v/>
      </c>
      <c r="L775" s="1297">
        <f>L626</f>
        <v/>
      </c>
      <c r="M775" s="1277">
        <f>M626</f>
        <v/>
      </c>
      <c r="N775" s="1277">
        <f>N626-M626</f>
        <v/>
      </c>
      <c r="O775" s="1277">
        <f>O626-N626</f>
        <v/>
      </c>
      <c r="P775" s="1277">
        <f>P626-O626</f>
        <v/>
      </c>
      <c r="Q775" s="1297">
        <f>Q626</f>
        <v/>
      </c>
      <c r="R775" s="1277">
        <f>R626</f>
        <v/>
      </c>
      <c r="S775" s="1277">
        <f>S626-R626</f>
        <v/>
      </c>
      <c r="T775" s="1277">
        <f>T626-S626</f>
        <v/>
      </c>
      <c r="U775" s="1277">
        <f>U626-T626</f>
        <v/>
      </c>
      <c r="V775" s="1297">
        <f>V626</f>
        <v/>
      </c>
      <c r="W775" s="1277">
        <f>W626</f>
        <v/>
      </c>
      <c r="X775" s="1277">
        <f>X626-W626</f>
        <v/>
      </c>
      <c r="Y775" s="1277">
        <f>Y626-X626</f>
        <v/>
      </c>
      <c r="Z775" s="1277">
        <f>Z626-Y626</f>
        <v/>
      </c>
      <c r="AA775" s="1297">
        <f>AA626</f>
        <v/>
      </c>
      <c r="AB775" s="1277">
        <f>AB626</f>
        <v/>
      </c>
      <c r="AC775" s="1277">
        <f>AC626-AB626</f>
        <v/>
      </c>
      <c r="AD775" s="1277">
        <f>AD626-AC626</f>
        <v/>
      </c>
      <c r="AE775" s="1277">
        <f>AE626-AD626</f>
        <v/>
      </c>
      <c r="AF775" s="1297">
        <f>AF626</f>
        <v/>
      </c>
      <c r="AG775" s="1277">
        <f>AG626</f>
        <v/>
      </c>
      <c r="AH775" s="1277">
        <f>AH626-AG626</f>
        <v/>
      </c>
      <c r="AI775" s="1277">
        <f>AI626-AH626</f>
        <v/>
      </c>
      <c r="AJ775" s="1277">
        <f>AJ626-AI626</f>
        <v/>
      </c>
      <c r="AK775" s="1297">
        <f>SUM(AG775,AH775,AI775,AJ775)</f>
        <v/>
      </c>
      <c r="AL775" s="1277">
        <f>AL626</f>
        <v/>
      </c>
      <c r="AM775" s="1277">
        <f>AM626-AL626</f>
        <v/>
      </c>
      <c r="AN775" s="1277">
        <f>AN626-AM626</f>
        <v/>
      </c>
      <c r="AO775" s="1277">
        <f>AO626-AN626</f>
        <v/>
      </c>
      <c r="AP775" s="1297">
        <f>SUM(AL775,AM775,AN775,AO775)</f>
        <v/>
      </c>
      <c r="AQ775" s="1277">
        <f>AQ626</f>
        <v/>
      </c>
      <c r="AR775" s="1277">
        <f>AR626-AQ626</f>
        <v/>
      </c>
      <c r="AS775" s="1277">
        <f>AS626-AR626</f>
        <v/>
      </c>
      <c r="AT775" s="1277">
        <f>AT626-AS626</f>
        <v/>
      </c>
      <c r="AU775" s="1297">
        <f>SUM(AQ775,AR775,AS775,AT775)</f>
        <v/>
      </c>
      <c r="AV775" s="1277">
        <f>AV626</f>
        <v/>
      </c>
      <c r="AW775" s="1277">
        <f>AW626-AV626</f>
        <v/>
      </c>
      <c r="AX775" s="1277">
        <f>AX626-AW626</f>
        <v/>
      </c>
      <c r="AY775" s="1277">
        <f>AY626-AX626</f>
        <v/>
      </c>
      <c r="AZ775" s="1297">
        <f>SUM(AV775,AW775,AX775,AY775)</f>
        <v/>
      </c>
      <c r="BA775" s="1277">
        <f>BA626</f>
        <v/>
      </c>
      <c r="BB775" s="1277">
        <f>BB626-BA626</f>
        <v/>
      </c>
      <c r="BC775" s="1277">
        <f>BC626-BB626</f>
        <v/>
      </c>
      <c r="BD775" s="1277">
        <f>BD626-BC626</f>
        <v/>
      </c>
      <c r="BE775" s="1297">
        <f>SUM(BA775,BB775,BC775,BD775)</f>
        <v/>
      </c>
      <c r="BF775" s="1277">
        <f>BF626</f>
        <v/>
      </c>
      <c r="BG775" s="1277">
        <f>BG626-BF626</f>
        <v/>
      </c>
      <c r="BH775" s="1277">
        <f>BH626-BG626</f>
        <v/>
      </c>
      <c r="BI775" s="1277">
        <f>BI626-BH626</f>
        <v/>
      </c>
      <c r="BJ775" s="1297">
        <f>SUM(BF775,BG775,BH775,BI775)</f>
        <v/>
      </c>
      <c r="BK775" s="1277">
        <f>BK626</f>
        <v/>
      </c>
      <c r="BL775" s="1277">
        <f>BL626-BK626</f>
        <v/>
      </c>
      <c r="BM775" s="1277">
        <f>BM626-BL626</f>
        <v/>
      </c>
      <c r="BN775" s="1277">
        <f>BN626-BM626</f>
        <v/>
      </c>
      <c r="BO775" s="1382">
        <f>SUM(BK775,BL775,BM775,BN775)</f>
        <v/>
      </c>
      <c r="BP775" s="1277" t="n"/>
      <c r="BQ775" s="1277" t="n"/>
      <c r="BR775" s="1277" t="n"/>
      <c r="BS775" s="1277" t="n"/>
      <c r="BT775" s="1297">
        <f>SUM(BP775,BQ775,BR775,BS775)</f>
        <v/>
      </c>
      <c r="BU775" s="1277" t="n"/>
      <c r="BV775" s="1277" t="n"/>
      <c r="BW775" s="1277" t="n"/>
      <c r="BX775" s="1277" t="n"/>
      <c r="BY775" s="1297">
        <f>SUM(BU775,BV775,BW775,BX775)</f>
        <v/>
      </c>
      <c r="BZ775" s="1297" t="n"/>
      <c r="CA775" s="1297" t="n"/>
      <c r="CB775" s="1297" t="n"/>
      <c r="CC775" s="1280" t="n"/>
    </row>
    <row r="776" ht="14.4" customFormat="1" customHeight="1" s="1275">
      <c r="A776" s="1384">
        <f>A627</f>
        <v/>
      </c>
      <c r="B776" s="1387" t="n"/>
      <c r="C776" s="1297">
        <f>C627</f>
        <v/>
      </c>
      <c r="D776" s="1297">
        <f>D627</f>
        <v/>
      </c>
      <c r="E776" s="1297">
        <f>E627</f>
        <v/>
      </c>
      <c r="F776" s="1297">
        <f>F627</f>
        <v/>
      </c>
      <c r="G776" s="1297">
        <f>G627</f>
        <v/>
      </c>
      <c r="H776" s="1277">
        <f>H627</f>
        <v/>
      </c>
      <c r="I776" s="1277">
        <f>I627-H627</f>
        <v/>
      </c>
      <c r="J776" s="1277">
        <f>J627-I627</f>
        <v/>
      </c>
      <c r="K776" s="1277">
        <f>K627-J627</f>
        <v/>
      </c>
      <c r="L776" s="1297">
        <f>L627</f>
        <v/>
      </c>
      <c r="M776" s="1277">
        <f>M627</f>
        <v/>
      </c>
      <c r="N776" s="1277">
        <f>N627-M627</f>
        <v/>
      </c>
      <c r="O776" s="1277">
        <f>O627-N627</f>
        <v/>
      </c>
      <c r="P776" s="1277">
        <f>P627-O627</f>
        <v/>
      </c>
      <c r="Q776" s="1297">
        <f>Q627</f>
        <v/>
      </c>
      <c r="R776" s="1277">
        <f>R627</f>
        <v/>
      </c>
      <c r="S776" s="1277">
        <f>S627-R627</f>
        <v/>
      </c>
      <c r="T776" s="1277">
        <f>T627-S627</f>
        <v/>
      </c>
      <c r="U776" s="1277">
        <f>U627-T627</f>
        <v/>
      </c>
      <c r="V776" s="1297">
        <f>V627</f>
        <v/>
      </c>
      <c r="W776" s="1277">
        <f>W627</f>
        <v/>
      </c>
      <c r="X776" s="1277">
        <f>X627-W627</f>
        <v/>
      </c>
      <c r="Y776" s="1277">
        <f>Y627-X627</f>
        <v/>
      </c>
      <c r="Z776" s="1277">
        <f>Z627-Y627</f>
        <v/>
      </c>
      <c r="AA776" s="1297">
        <f>AA627</f>
        <v/>
      </c>
      <c r="AB776" s="1277">
        <f>AB627</f>
        <v/>
      </c>
      <c r="AC776" s="1277">
        <f>AC627-AB627</f>
        <v/>
      </c>
      <c r="AD776" s="1277">
        <f>AD627-AC627</f>
        <v/>
      </c>
      <c r="AE776" s="1277">
        <f>AE627-AD627</f>
        <v/>
      </c>
      <c r="AF776" s="1297">
        <f>AF627</f>
        <v/>
      </c>
      <c r="AG776" s="1277">
        <f>AG627</f>
        <v/>
      </c>
      <c r="AH776" s="1277">
        <f>AH627-AG627</f>
        <v/>
      </c>
      <c r="AI776" s="1277">
        <f>AI627-AH627</f>
        <v/>
      </c>
      <c r="AJ776" s="1277">
        <f>AJ627-AI627</f>
        <v/>
      </c>
      <c r="AK776" s="1297">
        <f>SUM(AG776,AH776,AI776,AJ776)</f>
        <v/>
      </c>
      <c r="AL776" s="1277">
        <f>AL627</f>
        <v/>
      </c>
      <c r="AM776" s="1277">
        <f>AM627-AL627</f>
        <v/>
      </c>
      <c r="AN776" s="1277">
        <f>AN627-AM627</f>
        <v/>
      </c>
      <c r="AO776" s="1277">
        <f>AO627-AN627</f>
        <v/>
      </c>
      <c r="AP776" s="1297">
        <f>SUM(AL776,AM776,AN776,AO776)</f>
        <v/>
      </c>
      <c r="AQ776" s="1277">
        <f>AQ627</f>
        <v/>
      </c>
      <c r="AR776" s="1277">
        <f>AR627-AQ627</f>
        <v/>
      </c>
      <c r="AS776" s="1277">
        <f>AS627-AR627</f>
        <v/>
      </c>
      <c r="AT776" s="1277">
        <f>AT627-AS627</f>
        <v/>
      </c>
      <c r="AU776" s="1297">
        <f>SUM(AQ776,AR776,AS776,AT776)</f>
        <v/>
      </c>
      <c r="AV776" s="1277">
        <f>AV627</f>
        <v/>
      </c>
      <c r="AW776" s="1277">
        <f>AW627-AV627</f>
        <v/>
      </c>
      <c r="AX776" s="1277">
        <f>AX627-AW627</f>
        <v/>
      </c>
      <c r="AY776" s="1277">
        <f>AY627-AX627</f>
        <v/>
      </c>
      <c r="AZ776" s="1297">
        <f>SUM(AV776,AW776,AX776,AY776)</f>
        <v/>
      </c>
      <c r="BA776" s="1277">
        <f>BA627</f>
        <v/>
      </c>
      <c r="BB776" s="1277">
        <f>BB627-BA627</f>
        <v/>
      </c>
      <c r="BC776" s="1277">
        <f>BC627-BB627</f>
        <v/>
      </c>
      <c r="BD776" s="1277">
        <f>BD627-BC627</f>
        <v/>
      </c>
      <c r="BE776" s="1297">
        <f>SUM(BA776,BB776,BC776,BD776)</f>
        <v/>
      </c>
      <c r="BF776" s="1277">
        <f>BF627</f>
        <v/>
      </c>
      <c r="BG776" s="1277">
        <f>BG627-BF627</f>
        <v/>
      </c>
      <c r="BH776" s="1277">
        <f>BH627-BG627</f>
        <v/>
      </c>
      <c r="BI776" s="1277">
        <f>BI627-BH627</f>
        <v/>
      </c>
      <c r="BJ776" s="1297">
        <f>SUM(BF776,BG776,BH776,BI776)</f>
        <v/>
      </c>
      <c r="BK776" s="1277">
        <f>BK627</f>
        <v/>
      </c>
      <c r="BL776" s="1277">
        <f>BL627-BK627</f>
        <v/>
      </c>
      <c r="BM776" s="1277">
        <f>BM627-BL627</f>
        <v/>
      </c>
      <c r="BN776" s="1277">
        <f>BN627-BM627</f>
        <v/>
      </c>
      <c r="BO776" s="1382">
        <f>SUM(BK776,BL776,BM776,BN776)</f>
        <v/>
      </c>
      <c r="BP776" s="1277" t="n"/>
      <c r="BQ776" s="1277" t="n"/>
      <c r="BR776" s="1277" t="n"/>
      <c r="BS776" s="1277" t="n"/>
      <c r="BT776" s="1297">
        <f>SUM(BP776,BQ776,BR776,BS776)</f>
        <v/>
      </c>
      <c r="BU776" s="1277" t="n"/>
      <c r="BV776" s="1277" t="n"/>
      <c r="BW776" s="1277" t="n"/>
      <c r="BX776" s="1277" t="n"/>
      <c r="BY776" s="1297">
        <f>SUM(BU776,BV776,BW776,BX776)</f>
        <v/>
      </c>
      <c r="BZ776" s="1297" t="n"/>
      <c r="CA776" s="1297" t="n"/>
      <c r="CB776" s="1297" t="n"/>
      <c r="CC776" s="1280" t="n"/>
    </row>
    <row r="777" ht="14.4" customFormat="1" customHeight="1" s="1275">
      <c r="A777" s="1384">
        <f>A628</f>
        <v/>
      </c>
      <c r="B777" s="1387" t="n"/>
      <c r="C777" s="1297">
        <f>C628</f>
        <v/>
      </c>
      <c r="D777" s="1297">
        <f>D628</f>
        <v/>
      </c>
      <c r="E777" s="1297">
        <f>E628</f>
        <v/>
      </c>
      <c r="F777" s="1297">
        <f>F628</f>
        <v/>
      </c>
      <c r="G777" s="1297">
        <f>G628</f>
        <v/>
      </c>
      <c r="H777" s="1277">
        <f>H628</f>
        <v/>
      </c>
      <c r="I777" s="1277">
        <f>I628-H628</f>
        <v/>
      </c>
      <c r="J777" s="1277">
        <f>J628-I628</f>
        <v/>
      </c>
      <c r="K777" s="1277">
        <f>K628-J628</f>
        <v/>
      </c>
      <c r="L777" s="1297">
        <f>L628</f>
        <v/>
      </c>
      <c r="M777" s="1277">
        <f>M628</f>
        <v/>
      </c>
      <c r="N777" s="1277">
        <f>N628-M628</f>
        <v/>
      </c>
      <c r="O777" s="1277">
        <f>O628-N628</f>
        <v/>
      </c>
      <c r="P777" s="1277">
        <f>P628-O628</f>
        <v/>
      </c>
      <c r="Q777" s="1297">
        <f>Q628</f>
        <v/>
      </c>
      <c r="R777" s="1277">
        <f>R628</f>
        <v/>
      </c>
      <c r="S777" s="1277">
        <f>S628-R628</f>
        <v/>
      </c>
      <c r="T777" s="1277">
        <f>T628-S628</f>
        <v/>
      </c>
      <c r="U777" s="1277">
        <f>U628-T628</f>
        <v/>
      </c>
      <c r="V777" s="1297">
        <f>V628</f>
        <v/>
      </c>
      <c r="W777" s="1277">
        <f>W628</f>
        <v/>
      </c>
      <c r="X777" s="1277">
        <f>X628-W628</f>
        <v/>
      </c>
      <c r="Y777" s="1277">
        <f>Y628-X628</f>
        <v/>
      </c>
      <c r="Z777" s="1277">
        <f>Z628-Y628</f>
        <v/>
      </c>
      <c r="AA777" s="1297">
        <f>AA628</f>
        <v/>
      </c>
      <c r="AB777" s="1277">
        <f>AB628</f>
        <v/>
      </c>
      <c r="AC777" s="1277">
        <f>AC628-AB628</f>
        <v/>
      </c>
      <c r="AD777" s="1277">
        <f>AD628-AC628</f>
        <v/>
      </c>
      <c r="AE777" s="1277">
        <f>AE628-AD628</f>
        <v/>
      </c>
      <c r="AF777" s="1297">
        <f>AF628</f>
        <v/>
      </c>
      <c r="AG777" s="1277">
        <f>AG628</f>
        <v/>
      </c>
      <c r="AH777" s="1277">
        <f>AH628-AG628</f>
        <v/>
      </c>
      <c r="AI777" s="1277">
        <f>AI628-AH628</f>
        <v/>
      </c>
      <c r="AJ777" s="1277">
        <f>AJ628-AI628</f>
        <v/>
      </c>
      <c r="AK777" s="1297">
        <f>SUM(AG777,AH777,AI777,AJ777)</f>
        <v/>
      </c>
      <c r="AL777" s="1277">
        <f>AL628</f>
        <v/>
      </c>
      <c r="AM777" s="1277">
        <f>AM628-AL628</f>
        <v/>
      </c>
      <c r="AN777" s="1277">
        <f>AN628-AM628</f>
        <v/>
      </c>
      <c r="AO777" s="1277">
        <f>AO628-AN628</f>
        <v/>
      </c>
      <c r="AP777" s="1297">
        <f>SUM(AL777,AM777,AN777,AO777)</f>
        <v/>
      </c>
      <c r="AQ777" s="1277">
        <f>AQ628</f>
        <v/>
      </c>
      <c r="AR777" s="1277">
        <f>AR628-AQ628</f>
        <v/>
      </c>
      <c r="AS777" s="1277">
        <f>AS628-AR628</f>
        <v/>
      </c>
      <c r="AT777" s="1277">
        <f>AT628-AS628</f>
        <v/>
      </c>
      <c r="AU777" s="1297">
        <f>SUM(AQ777,AR777,AS777,AT777)</f>
        <v/>
      </c>
      <c r="AV777" s="1277">
        <f>AV628</f>
        <v/>
      </c>
      <c r="AW777" s="1277">
        <f>AW628-AV628</f>
        <v/>
      </c>
      <c r="AX777" s="1277">
        <f>AX628-AW628</f>
        <v/>
      </c>
      <c r="AY777" s="1277">
        <f>AY628-AX628</f>
        <v/>
      </c>
      <c r="AZ777" s="1297">
        <f>SUM(AV777,AW777,AX777,AY777)</f>
        <v/>
      </c>
      <c r="BA777" s="1277">
        <f>BA628</f>
        <v/>
      </c>
      <c r="BB777" s="1277">
        <f>BB628-BA628</f>
        <v/>
      </c>
      <c r="BC777" s="1277">
        <f>BC628-BB628</f>
        <v/>
      </c>
      <c r="BD777" s="1277">
        <f>BD628-BC628</f>
        <v/>
      </c>
      <c r="BE777" s="1297">
        <f>SUM(BA777,BB777,BC777,BD777)</f>
        <v/>
      </c>
      <c r="BF777" s="1277">
        <f>BF628</f>
        <v/>
      </c>
      <c r="BG777" s="1277">
        <f>BG628-BF628</f>
        <v/>
      </c>
      <c r="BH777" s="1277">
        <f>BH628-BG628</f>
        <v/>
      </c>
      <c r="BI777" s="1277">
        <f>BI628-BH628</f>
        <v/>
      </c>
      <c r="BJ777" s="1297">
        <f>SUM(BF777,BG777,BH777,BI777)</f>
        <v/>
      </c>
      <c r="BK777" s="1277">
        <f>BK628</f>
        <v/>
      </c>
      <c r="BL777" s="1277">
        <f>BL628-BK628</f>
        <v/>
      </c>
      <c r="BM777" s="1277">
        <f>BM628-BL628</f>
        <v/>
      </c>
      <c r="BN777" s="1277">
        <f>BN628-BM628</f>
        <v/>
      </c>
      <c r="BO777" s="1382">
        <f>SUM(BK777,BL777,BM777,BN777)</f>
        <v/>
      </c>
      <c r="BP777" s="1277" t="n"/>
      <c r="BQ777" s="1277" t="n"/>
      <c r="BR777" s="1277" t="n"/>
      <c r="BS777" s="1277" t="n"/>
      <c r="BT777" s="1297">
        <f>SUM(BP777,BQ777,BR777,BS777)</f>
        <v/>
      </c>
      <c r="BU777" s="1277" t="n"/>
      <c r="BV777" s="1277" t="n"/>
      <c r="BW777" s="1277" t="n"/>
      <c r="BX777" s="1277" t="n"/>
      <c r="BY777" s="1297">
        <f>SUM(BU777,BV777,BW777,BX777)</f>
        <v/>
      </c>
      <c r="BZ777" s="1297" t="n"/>
      <c r="CA777" s="1297" t="n"/>
      <c r="CB777" s="1297" t="n"/>
      <c r="CC777" s="1280" t="n"/>
    </row>
    <row r="778" ht="14.4" customFormat="1" customHeight="1" s="1275">
      <c r="A778" s="1384">
        <f>A629</f>
        <v/>
      </c>
      <c r="B778" s="1387" t="n"/>
      <c r="C778" s="1297">
        <f>C629</f>
        <v/>
      </c>
      <c r="D778" s="1297">
        <f>D629</f>
        <v/>
      </c>
      <c r="E778" s="1297">
        <f>E629</f>
        <v/>
      </c>
      <c r="F778" s="1297">
        <f>F629</f>
        <v/>
      </c>
      <c r="G778" s="1297">
        <f>G629</f>
        <v/>
      </c>
      <c r="H778" s="1277">
        <f>H629</f>
        <v/>
      </c>
      <c r="I778" s="1277">
        <f>I629-H629</f>
        <v/>
      </c>
      <c r="J778" s="1277">
        <f>J629-I629</f>
        <v/>
      </c>
      <c r="K778" s="1277">
        <f>K629-J629</f>
        <v/>
      </c>
      <c r="L778" s="1297">
        <f>L629</f>
        <v/>
      </c>
      <c r="M778" s="1277">
        <f>M629</f>
        <v/>
      </c>
      <c r="N778" s="1277">
        <f>N629-M629</f>
        <v/>
      </c>
      <c r="O778" s="1277">
        <f>O629-N629</f>
        <v/>
      </c>
      <c r="P778" s="1277">
        <f>P629-O629</f>
        <v/>
      </c>
      <c r="Q778" s="1297">
        <f>Q629</f>
        <v/>
      </c>
      <c r="R778" s="1277">
        <f>R629</f>
        <v/>
      </c>
      <c r="S778" s="1277">
        <f>S629-R629</f>
        <v/>
      </c>
      <c r="T778" s="1277">
        <f>T629-S629</f>
        <v/>
      </c>
      <c r="U778" s="1277">
        <f>U629-T629</f>
        <v/>
      </c>
      <c r="V778" s="1297">
        <f>V629</f>
        <v/>
      </c>
      <c r="W778" s="1277">
        <f>W629</f>
        <v/>
      </c>
      <c r="X778" s="1277">
        <f>X629-W629</f>
        <v/>
      </c>
      <c r="Y778" s="1277">
        <f>Y629-X629</f>
        <v/>
      </c>
      <c r="Z778" s="1277">
        <f>Z629-Y629</f>
        <v/>
      </c>
      <c r="AA778" s="1297">
        <f>AA629</f>
        <v/>
      </c>
      <c r="AB778" s="1277">
        <f>AB629</f>
        <v/>
      </c>
      <c r="AC778" s="1277">
        <f>AC629-AB629</f>
        <v/>
      </c>
      <c r="AD778" s="1277">
        <f>AD629-AC629</f>
        <v/>
      </c>
      <c r="AE778" s="1277">
        <f>AE629-AD629</f>
        <v/>
      </c>
      <c r="AF778" s="1297">
        <f>AF629</f>
        <v/>
      </c>
      <c r="AG778" s="1277">
        <f>AG629</f>
        <v/>
      </c>
      <c r="AH778" s="1277">
        <f>AH629-AG629</f>
        <v/>
      </c>
      <c r="AI778" s="1277">
        <f>AI629-AH629</f>
        <v/>
      </c>
      <c r="AJ778" s="1277">
        <f>AJ629-AI629</f>
        <v/>
      </c>
      <c r="AK778" s="1297">
        <f>SUM(AG778,AH778,AI778,AJ778)</f>
        <v/>
      </c>
      <c r="AL778" s="1277">
        <f>AL629</f>
        <v/>
      </c>
      <c r="AM778" s="1277">
        <f>AM629-AL629</f>
        <v/>
      </c>
      <c r="AN778" s="1277">
        <f>AN629-AM629</f>
        <v/>
      </c>
      <c r="AO778" s="1277">
        <f>AO629-AN629</f>
        <v/>
      </c>
      <c r="AP778" s="1297">
        <f>SUM(AL778,AM778,AN778,AO778)</f>
        <v/>
      </c>
      <c r="AQ778" s="1277">
        <f>AQ629</f>
        <v/>
      </c>
      <c r="AR778" s="1277">
        <f>AR629-AQ629</f>
        <v/>
      </c>
      <c r="AS778" s="1277">
        <f>AS629-AR629</f>
        <v/>
      </c>
      <c r="AT778" s="1277">
        <f>AT629-AS629</f>
        <v/>
      </c>
      <c r="AU778" s="1297">
        <f>SUM(AQ778,AR778,AS778,AT778)</f>
        <v/>
      </c>
      <c r="AV778" s="1277">
        <f>AV629</f>
        <v/>
      </c>
      <c r="AW778" s="1277">
        <f>AW629-AV629</f>
        <v/>
      </c>
      <c r="AX778" s="1277">
        <f>AX629-AW629</f>
        <v/>
      </c>
      <c r="AY778" s="1277">
        <f>AY629-AX629</f>
        <v/>
      </c>
      <c r="AZ778" s="1297">
        <f>SUM(AV778,AW778,AX778,AY778)</f>
        <v/>
      </c>
      <c r="BA778" s="1277">
        <f>BA629</f>
        <v/>
      </c>
      <c r="BB778" s="1277">
        <f>BB629-BA629</f>
        <v/>
      </c>
      <c r="BC778" s="1277">
        <f>BC629-BB629</f>
        <v/>
      </c>
      <c r="BD778" s="1277">
        <f>BD629-BC629</f>
        <v/>
      </c>
      <c r="BE778" s="1297">
        <f>SUM(BA778,BB778,BC778,BD778)</f>
        <v/>
      </c>
      <c r="BF778" s="1277">
        <f>BF629</f>
        <v/>
      </c>
      <c r="BG778" s="1277">
        <f>BG629-BF629</f>
        <v/>
      </c>
      <c r="BH778" s="1277">
        <f>BH629-BG629</f>
        <v/>
      </c>
      <c r="BI778" s="1277">
        <f>BI629-BH629</f>
        <v/>
      </c>
      <c r="BJ778" s="1297">
        <f>SUM(BF778,BG778,BH778,BI778)</f>
        <v/>
      </c>
      <c r="BK778" s="1277">
        <f>BK629</f>
        <v/>
      </c>
      <c r="BL778" s="1277">
        <f>BL629-BK629</f>
        <v/>
      </c>
      <c r="BM778" s="1277">
        <f>BM629-BL629</f>
        <v/>
      </c>
      <c r="BN778" s="1277">
        <f>BN629-BM629</f>
        <v/>
      </c>
      <c r="BO778" s="1382">
        <f>SUM(BK778,BL778,BM778,BN778)</f>
        <v/>
      </c>
      <c r="BP778" s="1277">
        <f>BP459</f>
        <v/>
      </c>
      <c r="BQ778" s="1277">
        <f>BQ459</f>
        <v/>
      </c>
      <c r="BR778" s="1277">
        <f>BR459</f>
        <v/>
      </c>
      <c r="BS778" s="1277">
        <f>BS459</f>
        <v/>
      </c>
      <c r="BT778" s="1297">
        <f>SUM(BP778,BQ778,BR778,BS778)</f>
        <v/>
      </c>
      <c r="BU778" s="1277">
        <f>BU459</f>
        <v/>
      </c>
      <c r="BV778" s="1277">
        <f>BV459</f>
        <v/>
      </c>
      <c r="BW778" s="1277">
        <f>BW459</f>
        <v/>
      </c>
      <c r="BX778" s="1277">
        <f>BX459</f>
        <v/>
      </c>
      <c r="BY778" s="1297">
        <f>SUM(BU778,BV778,BW778,BX778)</f>
        <v/>
      </c>
      <c r="BZ778" s="1297">
        <f>BZ459</f>
        <v/>
      </c>
      <c r="CA778" s="1297">
        <f>CA459</f>
        <v/>
      </c>
      <c r="CB778" s="1297">
        <f>CB459</f>
        <v/>
      </c>
      <c r="CC778" s="1280" t="n"/>
    </row>
    <row r="779" ht="14.4" customFormat="1" customHeight="1" s="1275">
      <c r="A779" s="1384">
        <f>A630</f>
        <v/>
      </c>
      <c r="B779" s="1387" t="n"/>
      <c r="C779" s="1297">
        <f>C630</f>
        <v/>
      </c>
      <c r="D779" s="1297">
        <f>D630</f>
        <v/>
      </c>
      <c r="E779" s="1297">
        <f>E630</f>
        <v/>
      </c>
      <c r="F779" s="1297">
        <f>F630</f>
        <v/>
      </c>
      <c r="G779" s="1297">
        <f>G630</f>
        <v/>
      </c>
      <c r="H779" s="1277">
        <f>H630</f>
        <v/>
      </c>
      <c r="I779" s="1277">
        <f>I630-H630</f>
        <v/>
      </c>
      <c r="J779" s="1277">
        <f>J630-I630</f>
        <v/>
      </c>
      <c r="K779" s="1277">
        <f>K630-J630</f>
        <v/>
      </c>
      <c r="L779" s="1297">
        <f>L630</f>
        <v/>
      </c>
      <c r="M779" s="1277">
        <f>M630</f>
        <v/>
      </c>
      <c r="N779" s="1277">
        <f>N630-M630</f>
        <v/>
      </c>
      <c r="O779" s="1277">
        <f>O630-N630</f>
        <v/>
      </c>
      <c r="P779" s="1277">
        <f>P630-O630</f>
        <v/>
      </c>
      <c r="Q779" s="1297">
        <f>Q630</f>
        <v/>
      </c>
      <c r="R779" s="1277">
        <f>R630</f>
        <v/>
      </c>
      <c r="S779" s="1277">
        <f>S630-R630</f>
        <v/>
      </c>
      <c r="T779" s="1277">
        <f>T630-S630</f>
        <v/>
      </c>
      <c r="U779" s="1277">
        <f>U630-T630</f>
        <v/>
      </c>
      <c r="V779" s="1297">
        <f>V630</f>
        <v/>
      </c>
      <c r="W779" s="1277">
        <f>W630</f>
        <v/>
      </c>
      <c r="X779" s="1277">
        <f>X630-W630</f>
        <v/>
      </c>
      <c r="Y779" s="1277">
        <f>Y630-X630</f>
        <v/>
      </c>
      <c r="Z779" s="1277">
        <f>Z630-Y630</f>
        <v/>
      </c>
      <c r="AA779" s="1297">
        <f>AA630</f>
        <v/>
      </c>
      <c r="AB779" s="1277">
        <f>AB630</f>
        <v/>
      </c>
      <c r="AC779" s="1277">
        <f>AC630-AB630</f>
        <v/>
      </c>
      <c r="AD779" s="1277">
        <f>AD630-AC630</f>
        <v/>
      </c>
      <c r="AE779" s="1277">
        <f>AE630-AD630</f>
        <v/>
      </c>
      <c r="AF779" s="1297">
        <f>AF630</f>
        <v/>
      </c>
      <c r="AG779" s="1277">
        <f>AG630</f>
        <v/>
      </c>
      <c r="AH779" s="1277">
        <f>AH630-AG630</f>
        <v/>
      </c>
      <c r="AI779" s="1277">
        <f>AI630-AH630</f>
        <v/>
      </c>
      <c r="AJ779" s="1277">
        <f>AJ630-AI630</f>
        <v/>
      </c>
      <c r="AK779" s="1297">
        <f>SUM(AG779,AH779,AI779,AJ779)</f>
        <v/>
      </c>
      <c r="AL779" s="1277">
        <f>AL630</f>
        <v/>
      </c>
      <c r="AM779" s="1277">
        <f>AM630-AL630</f>
        <v/>
      </c>
      <c r="AN779" s="1277">
        <f>AN630-AM630</f>
        <v/>
      </c>
      <c r="AO779" s="1277">
        <f>AO630-AN630</f>
        <v/>
      </c>
      <c r="AP779" s="1297">
        <f>SUM(AL779,AM779,AN779,AO779)</f>
        <v/>
      </c>
      <c r="AQ779" s="1277">
        <f>AQ630</f>
        <v/>
      </c>
      <c r="AR779" s="1277">
        <f>AR630-AQ630</f>
        <v/>
      </c>
      <c r="AS779" s="1277">
        <f>AS630-AR630</f>
        <v/>
      </c>
      <c r="AT779" s="1277">
        <f>AT630-AS630</f>
        <v/>
      </c>
      <c r="AU779" s="1297">
        <f>SUM(AQ779,AR779,AS779,AT779)</f>
        <v/>
      </c>
      <c r="AV779" s="1277">
        <f>AV630</f>
        <v/>
      </c>
      <c r="AW779" s="1277">
        <f>AW630-AV630</f>
        <v/>
      </c>
      <c r="AX779" s="1277">
        <f>AX630-AW630</f>
        <v/>
      </c>
      <c r="AY779" s="1277">
        <f>AY630-AX630</f>
        <v/>
      </c>
      <c r="AZ779" s="1297">
        <f>SUM(AV779,AW779,AX779,AY779)</f>
        <v/>
      </c>
      <c r="BA779" s="1277">
        <f>BA630</f>
        <v/>
      </c>
      <c r="BB779" s="1277">
        <f>BB630-BA630</f>
        <v/>
      </c>
      <c r="BC779" s="1277">
        <f>BC630-BB630</f>
        <v/>
      </c>
      <c r="BD779" s="1277">
        <f>BD630-BC630</f>
        <v/>
      </c>
      <c r="BE779" s="1297">
        <f>SUM(BA779,BB779,BC779,BD779)</f>
        <v/>
      </c>
      <c r="BF779" s="1277">
        <f>BF630</f>
        <v/>
      </c>
      <c r="BG779" s="1277">
        <f>BG630-BF630</f>
        <v/>
      </c>
      <c r="BH779" s="1277">
        <f>BH630-BG630</f>
        <v/>
      </c>
      <c r="BI779" s="1277">
        <f>BI630-BH630</f>
        <v/>
      </c>
      <c r="BJ779" s="1297">
        <f>SUM(BF779,BG779,BH779,BI779)</f>
        <v/>
      </c>
      <c r="BK779" s="1277">
        <f>BK630</f>
        <v/>
      </c>
      <c r="BL779" s="1277">
        <f>BL630-BK630</f>
        <v/>
      </c>
      <c r="BM779" s="1277">
        <f>BM630-BL630</f>
        <v/>
      </c>
      <c r="BN779" s="1277">
        <f>BN630-BM630</f>
        <v/>
      </c>
      <c r="BO779" s="1382">
        <f>SUM(BK779,BL779,BM779,BN779)</f>
        <v/>
      </c>
      <c r="BP779" s="1277" t="n"/>
      <c r="BQ779" s="1277" t="n"/>
      <c r="BR779" s="1277" t="n"/>
      <c r="BS779" s="1277" t="n"/>
      <c r="BT779" s="1297">
        <f>SUM(BP779,BQ779,BR779,BS779)</f>
        <v/>
      </c>
      <c r="BU779" s="1277" t="n"/>
      <c r="BV779" s="1277" t="n"/>
      <c r="BW779" s="1277" t="n"/>
      <c r="BX779" s="1277" t="n"/>
      <c r="BY779" s="1297">
        <f>SUM(BU779,BV779,BW779,BX779)</f>
        <v/>
      </c>
      <c r="BZ779" s="1297" t="n"/>
      <c r="CA779" s="1297" t="n"/>
      <c r="CB779" s="1297" t="n"/>
      <c r="CC779" s="1280" t="n"/>
    </row>
    <row r="780" ht="14.4" customFormat="1" customHeight="1" s="1275">
      <c r="A780" s="1388">
        <f>A631</f>
        <v/>
      </c>
      <c r="B780" s="1389" t="n"/>
      <c r="C780" s="1364">
        <f>C631</f>
        <v/>
      </c>
      <c r="D780" s="1364">
        <f>D631</f>
        <v/>
      </c>
      <c r="E780" s="1364">
        <f>E631</f>
        <v/>
      </c>
      <c r="F780" s="1364">
        <f>F631</f>
        <v/>
      </c>
      <c r="G780" s="1364">
        <f>G631</f>
        <v/>
      </c>
      <c r="H780" s="1365">
        <f>H631</f>
        <v/>
      </c>
      <c r="I780" s="1365">
        <f>I631-H631</f>
        <v/>
      </c>
      <c r="J780" s="1365">
        <f>J631-I631</f>
        <v/>
      </c>
      <c r="K780" s="1365">
        <f>K631-J631</f>
        <v/>
      </c>
      <c r="L780" s="1364">
        <f>L631</f>
        <v/>
      </c>
      <c r="M780" s="1365">
        <f>M631</f>
        <v/>
      </c>
      <c r="N780" s="1365">
        <f>N631-M631</f>
        <v/>
      </c>
      <c r="O780" s="1365">
        <f>O631-N631</f>
        <v/>
      </c>
      <c r="P780" s="1365">
        <f>P631-O631</f>
        <v/>
      </c>
      <c r="Q780" s="1364">
        <f>Q631</f>
        <v/>
      </c>
      <c r="R780" s="1365">
        <f>R631</f>
        <v/>
      </c>
      <c r="S780" s="1365">
        <f>S631-R631</f>
        <v/>
      </c>
      <c r="T780" s="1365">
        <f>T631-S631</f>
        <v/>
      </c>
      <c r="U780" s="1365">
        <f>U631-T631</f>
        <v/>
      </c>
      <c r="V780" s="1364">
        <f>V631</f>
        <v/>
      </c>
      <c r="W780" s="1365">
        <f>W631</f>
        <v/>
      </c>
      <c r="X780" s="1365">
        <f>X631-W631</f>
        <v/>
      </c>
      <c r="Y780" s="1365">
        <f>Y631-X631</f>
        <v/>
      </c>
      <c r="Z780" s="1365">
        <f>Z631-Y631</f>
        <v/>
      </c>
      <c r="AA780" s="1364">
        <f>AA631</f>
        <v/>
      </c>
      <c r="AB780" s="1365">
        <f>AB631</f>
        <v/>
      </c>
      <c r="AC780" s="1365">
        <f>AC631-AB631</f>
        <v/>
      </c>
      <c r="AD780" s="1365">
        <f>AD631-AC631</f>
        <v/>
      </c>
      <c r="AE780" s="1365">
        <f>AE631-AD631</f>
        <v/>
      </c>
      <c r="AF780" s="1364">
        <f>AF631</f>
        <v/>
      </c>
      <c r="AG780" s="1365">
        <f>AG631</f>
        <v/>
      </c>
      <c r="AH780" s="1365">
        <f>AH631-AG631</f>
        <v/>
      </c>
      <c r="AI780" s="1365">
        <f>AI631-AH631</f>
        <v/>
      </c>
      <c r="AJ780" s="1365">
        <f>AJ631-AI631</f>
        <v/>
      </c>
      <c r="AK780" s="1364">
        <f>SUM(AG780,AH780,AI780,AJ780)</f>
        <v/>
      </c>
      <c r="AL780" s="1365">
        <f>AL631</f>
        <v/>
      </c>
      <c r="AM780" s="1365">
        <f>AM631-AL631</f>
        <v/>
      </c>
      <c r="AN780" s="1365">
        <f>AN631-AM631</f>
        <v/>
      </c>
      <c r="AO780" s="1277">
        <f>AO631-AN631</f>
        <v/>
      </c>
      <c r="AP780" s="1297">
        <f>SUM(AL780,AM780,AN780,AO780)</f>
        <v/>
      </c>
      <c r="AQ780" s="1365">
        <f>AQ631</f>
        <v/>
      </c>
      <c r="AR780" s="1365">
        <f>AR631-AQ631</f>
        <v/>
      </c>
      <c r="AS780" s="1365">
        <f>AS631-AR631</f>
        <v/>
      </c>
      <c r="AT780" s="1277">
        <f>AT631-AS631</f>
        <v/>
      </c>
      <c r="AU780" s="1297">
        <f>SUM(AQ780,AR780,AS780,AT780)</f>
        <v/>
      </c>
      <c r="AV780" s="1365">
        <f>AV631</f>
        <v/>
      </c>
      <c r="AW780" s="1365">
        <f>AW631-AV631</f>
        <v/>
      </c>
      <c r="AX780" s="1365">
        <f>AX631-AW631</f>
        <v/>
      </c>
      <c r="AY780" s="1277">
        <f>AY631-AX631</f>
        <v/>
      </c>
      <c r="AZ780" s="1297">
        <f>SUM(AV780,AW780,AX780,AY780)</f>
        <v/>
      </c>
      <c r="BA780" s="1365">
        <f>BA631</f>
        <v/>
      </c>
      <c r="BB780" s="1365">
        <f>BB631-BA631</f>
        <v/>
      </c>
      <c r="BC780" s="1365">
        <f>BC631-BB631</f>
        <v/>
      </c>
      <c r="BD780" s="1277">
        <f>BD631-BC631</f>
        <v/>
      </c>
      <c r="BE780" s="1297">
        <f>SUM(BA780,BB780,BC780,BD780)</f>
        <v/>
      </c>
      <c r="BF780" s="1365">
        <f>BF631</f>
        <v/>
      </c>
      <c r="BG780" s="1365">
        <f>BG631-BF631</f>
        <v/>
      </c>
      <c r="BH780" s="1365">
        <f>BH631-BG631</f>
        <v/>
      </c>
      <c r="BI780" s="1277">
        <f>BI631-BH631</f>
        <v/>
      </c>
      <c r="BJ780" s="1297">
        <f>SUM(BF780,BG780,BH780,BI780)</f>
        <v/>
      </c>
      <c r="BK780" s="1365">
        <f>BK631</f>
        <v/>
      </c>
      <c r="BL780" s="1365">
        <f>BL631-BK631</f>
        <v/>
      </c>
      <c r="BM780" s="1365">
        <f>BM631-BL631</f>
        <v/>
      </c>
      <c r="BN780" s="1277">
        <f>BN631-BM631</f>
        <v/>
      </c>
      <c r="BO780" s="1382">
        <f>SUM(BK780,BL780,BM780,BN780)</f>
        <v/>
      </c>
      <c r="BP780" s="1365" t="n"/>
      <c r="BQ780" s="1365" t="n"/>
      <c r="BR780" s="1365" t="n"/>
      <c r="BS780" s="1365" t="n"/>
      <c r="BT780" s="1364">
        <f>SUM(BP780,BQ780,BR780,BS780)</f>
        <v/>
      </c>
      <c r="BU780" s="1365" t="n"/>
      <c r="BV780" s="1365" t="n"/>
      <c r="BW780" s="1365" t="n"/>
      <c r="BX780" s="1365" t="n"/>
      <c r="BY780" s="1364">
        <f>SUM(BU780,BV780,BW780,BX780)</f>
        <v/>
      </c>
      <c r="BZ780" s="1364" t="n"/>
      <c r="CA780" s="1364" t="n"/>
      <c r="CB780" s="1364" t="n"/>
      <c r="CC780" s="1280" t="n"/>
    </row>
    <row r="781" ht="14.4" customFormat="1" customHeight="1" s="1323">
      <c r="A781" s="1392">
        <f>A632</f>
        <v/>
      </c>
      <c r="B781" s="1393" t="n"/>
      <c r="C781" s="1326">
        <f>SUM(C740:C780)</f>
        <v/>
      </c>
      <c r="D781" s="1326">
        <f>SUM(D740:D780)</f>
        <v/>
      </c>
      <c r="E781" s="1326">
        <f>SUM(E740:E780)</f>
        <v/>
      </c>
      <c r="F781" s="1326">
        <f>SUM(F740:F780)</f>
        <v/>
      </c>
      <c r="G781" s="1326">
        <f>SUM(G740:G780)</f>
        <v/>
      </c>
      <c r="H781" s="1327">
        <f>SUM(H740:H780)</f>
        <v/>
      </c>
      <c r="I781" s="1327">
        <f>SUM(I740:I780)</f>
        <v/>
      </c>
      <c r="J781" s="1327">
        <f>SUM(J740:J780)</f>
        <v/>
      </c>
      <c r="K781" s="1327">
        <f>SUM(K740:K780)</f>
        <v/>
      </c>
      <c r="L781" s="1326">
        <f>SUM(L740:L780)</f>
        <v/>
      </c>
      <c r="M781" s="1327">
        <f>SUM(M740:M780)</f>
        <v/>
      </c>
      <c r="N781" s="1327">
        <f>SUM(N740:N780)</f>
        <v/>
      </c>
      <c r="O781" s="1327">
        <f>SUM(O740:O780)</f>
        <v/>
      </c>
      <c r="P781" s="1327">
        <f>SUM(P740:P780)</f>
        <v/>
      </c>
      <c r="Q781" s="1326">
        <f>SUM(Q740:Q780)</f>
        <v/>
      </c>
      <c r="R781" s="1327">
        <f>SUM(R740:R780)</f>
        <v/>
      </c>
      <c r="S781" s="1327">
        <f>SUM(S740:S780)</f>
        <v/>
      </c>
      <c r="T781" s="1327">
        <f>SUM(T740:T780)</f>
        <v/>
      </c>
      <c r="U781" s="1327">
        <f>SUM(U740:U780)</f>
        <v/>
      </c>
      <c r="V781" s="1326">
        <f>SUM(V740:V780)</f>
        <v/>
      </c>
      <c r="W781" s="1327">
        <f>SUM(W740:W780)</f>
        <v/>
      </c>
      <c r="X781" s="1327">
        <f>SUM(X740:X780)</f>
        <v/>
      </c>
      <c r="Y781" s="1327">
        <f>SUM(Y740:Y780)</f>
        <v/>
      </c>
      <c r="Z781" s="1327">
        <f>SUM(Z740:Z780)</f>
        <v/>
      </c>
      <c r="AA781" s="1326">
        <f>SUM(AA740:AA780)</f>
        <v/>
      </c>
      <c r="AB781" s="1327">
        <f>SUM(AB740:AB780)</f>
        <v/>
      </c>
      <c r="AC781" s="1327">
        <f>SUM(AC740:AC780)</f>
        <v/>
      </c>
      <c r="AD781" s="1327">
        <f>SUM(AD740:AD780)</f>
        <v/>
      </c>
      <c r="AE781" s="1327">
        <f>SUM(AE740:AE780)</f>
        <v/>
      </c>
      <c r="AF781" s="1326">
        <f>SUM(AF740:AF780)</f>
        <v/>
      </c>
      <c r="AG781" s="1327">
        <f>SUM(AG740:AG780)</f>
        <v/>
      </c>
      <c r="AH781" s="1327">
        <f>SUM(AH740:AH780)</f>
        <v/>
      </c>
      <c r="AI781" s="1327">
        <f>SUM(AI740:AI780)</f>
        <v/>
      </c>
      <c r="AJ781" s="1327">
        <f>SUM(AJ740:AJ780)</f>
        <v/>
      </c>
      <c r="AK781" s="1326">
        <f>SUM(AK740:AK780)</f>
        <v/>
      </c>
      <c r="AL781" s="1327">
        <f>SUM(AL740:AL780)</f>
        <v/>
      </c>
      <c r="AM781" s="1327">
        <f>SUM(AM740:AM780)</f>
        <v/>
      </c>
      <c r="AN781" s="1327">
        <f>SUM(AN740:AN780)</f>
        <v/>
      </c>
      <c r="AO781" s="1327">
        <f>SUM(AO740:AO780)</f>
        <v/>
      </c>
      <c r="AP781" s="1326">
        <f>SUM(AP740:AP780)</f>
        <v/>
      </c>
      <c r="AQ781" s="1327">
        <f>SUM(AQ740:AQ780)</f>
        <v/>
      </c>
      <c r="AR781" s="1327">
        <f>SUM(AR740:AR780)</f>
        <v/>
      </c>
      <c r="AS781" s="1327">
        <f>SUM(AS740:AS780)</f>
        <v/>
      </c>
      <c r="AT781" s="1327">
        <f>SUM(AT740:AT780)</f>
        <v/>
      </c>
      <c r="AU781" s="1326">
        <f>SUM(AU740:AU780)</f>
        <v/>
      </c>
      <c r="AV781" s="1327">
        <f>SUM(AV740:AV780)</f>
        <v/>
      </c>
      <c r="AW781" s="1327">
        <f>SUM(AW740:AW780)</f>
        <v/>
      </c>
      <c r="AX781" s="1327">
        <f>SUM(AX740:AX780)</f>
        <v/>
      </c>
      <c r="AY781" s="1327">
        <f>SUM(AY740:AY780)</f>
        <v/>
      </c>
      <c r="AZ781" s="1326">
        <f>SUM(AZ740:AZ780)</f>
        <v/>
      </c>
      <c r="BA781" s="1327">
        <f>SUM(BA740:BA780)</f>
        <v/>
      </c>
      <c r="BB781" s="1327">
        <f>SUM(BB740:BB780)</f>
        <v/>
      </c>
      <c r="BC781" s="1327">
        <f>SUM(BC740:BC780)</f>
        <v/>
      </c>
      <c r="BD781" s="1327">
        <f>SUM(BD740:BD780)</f>
        <v/>
      </c>
      <c r="BE781" s="1326">
        <f>SUM(BE740:BE780)</f>
        <v/>
      </c>
      <c r="BF781" s="1327">
        <f>SUM(BF740:BF780)</f>
        <v/>
      </c>
      <c r="BG781" s="1327">
        <f>SUM(BG740:BG780)</f>
        <v/>
      </c>
      <c r="BH781" s="1327">
        <f>SUM(BH740:BH780)</f>
        <v/>
      </c>
      <c r="BI781" s="1327">
        <f>SUM(BI740:BI780)</f>
        <v/>
      </c>
      <c r="BJ781" s="1326">
        <f>SUM(BJ740:BJ780)</f>
        <v/>
      </c>
      <c r="BK781" s="1327">
        <f>SUM(BK740:BK780)</f>
        <v/>
      </c>
      <c r="BL781" s="1327">
        <f>SUM(BL740:BL780)</f>
        <v/>
      </c>
      <c r="BM781" s="1327">
        <f>SUM(BM740:BM780)</f>
        <v/>
      </c>
      <c r="BN781" s="1327">
        <f>SUM(BN740:BN780)</f>
        <v/>
      </c>
      <c r="BO781" s="1386">
        <f>SUM(BO740:BO780)</f>
        <v/>
      </c>
      <c r="BP781" s="1327">
        <f>SUM(BP740:BP780)</f>
        <v/>
      </c>
      <c r="BQ781" s="1327">
        <f>SUM(BQ740:BQ780)</f>
        <v/>
      </c>
      <c r="BR781" s="1327">
        <f>SUM(BR740:BR780)</f>
        <v/>
      </c>
      <c r="BS781" s="1327">
        <f>SUM(BS740:BS780)</f>
        <v/>
      </c>
      <c r="BT781" s="1326">
        <f>SUM(BT740:BT780)</f>
        <v/>
      </c>
      <c r="BU781" s="1327">
        <f>SUM(BU740:BU780)</f>
        <v/>
      </c>
      <c r="BV781" s="1327">
        <f>SUM(BV740:BV780)</f>
        <v/>
      </c>
      <c r="BW781" s="1327">
        <f>SUM(BW740:BW780)</f>
        <v/>
      </c>
      <c r="BX781" s="1327">
        <f>SUM(BX740:BX780)</f>
        <v/>
      </c>
      <c r="BY781" s="1326">
        <f>SUM(BY740:BY780)</f>
        <v/>
      </c>
      <c r="BZ781" s="1326">
        <f>SUM(BZ740:BZ780)</f>
        <v/>
      </c>
      <c r="CA781" s="1326">
        <f>SUM(CA740:CA780)</f>
        <v/>
      </c>
      <c r="CB781" s="1326">
        <f>SUM(CB740:CB780)</f>
        <v/>
      </c>
      <c r="CC781" s="1331" t="n"/>
    </row>
    <row r="782" ht="14.4" customFormat="1" customHeight="1" s="1323">
      <c r="A782" s="1344" t="n"/>
      <c r="B782" s="1394" t="n"/>
      <c r="C782" s="1345" t="n"/>
      <c r="D782" s="1345" t="n"/>
      <c r="E782" s="1345" t="n"/>
      <c r="F782" s="1345" t="n"/>
      <c r="G782" s="1345" t="n"/>
      <c r="H782" s="1346" t="n"/>
      <c r="I782" s="1346" t="n"/>
      <c r="J782" s="1346" t="n"/>
      <c r="K782" s="1346" t="n"/>
      <c r="L782" s="1345" t="n"/>
      <c r="M782" s="1346" t="n"/>
      <c r="N782" s="1346" t="n"/>
      <c r="O782" s="1346" t="n"/>
      <c r="P782" s="1346" t="n"/>
      <c r="Q782" s="1345" t="n"/>
      <c r="R782" s="1346" t="n"/>
      <c r="S782" s="1346" t="n"/>
      <c r="T782" s="1346" t="n"/>
      <c r="U782" s="1346" t="n"/>
      <c r="V782" s="1345" t="n"/>
      <c r="W782" s="1346" t="n"/>
      <c r="X782" s="1346" t="n"/>
      <c r="Y782" s="1346" t="n"/>
      <c r="Z782" s="1346" t="n"/>
      <c r="AA782" s="1345" t="n"/>
      <c r="AB782" s="1346" t="n"/>
      <c r="AC782" s="1346" t="n"/>
      <c r="AD782" s="1346" t="n"/>
      <c r="AE782" s="1346" t="n"/>
      <c r="AF782" s="1345" t="n"/>
      <c r="AG782" s="1346" t="n"/>
      <c r="AH782" s="1346" t="n"/>
      <c r="AI782" s="1346" t="n"/>
      <c r="AJ782" s="1346" t="n"/>
      <c r="AK782" s="1345" t="n"/>
      <c r="AL782" s="1346" t="n"/>
      <c r="AM782" s="1346" t="n"/>
      <c r="AN782" s="1346" t="n"/>
      <c r="AO782" s="1346" t="n"/>
      <c r="AP782" s="1345" t="n"/>
      <c r="AQ782" s="1346" t="n"/>
      <c r="AR782" s="1346" t="n"/>
      <c r="AS782" s="1346" t="n"/>
      <c r="AT782" s="1346" t="n"/>
      <c r="AU782" s="1345" t="n"/>
      <c r="AV782" s="1346" t="n"/>
      <c r="AW782" s="1346" t="n"/>
      <c r="AX782" s="1346" t="n"/>
      <c r="AY782" s="1346" t="n"/>
      <c r="AZ782" s="1345" t="n"/>
      <c r="BA782" s="1346" t="n"/>
      <c r="BB782" s="1346" t="n"/>
      <c r="BC782" s="1346" t="n"/>
      <c r="BD782" s="1346" t="n"/>
      <c r="BE782" s="1345" t="n"/>
      <c r="BF782" s="1346" t="n"/>
      <c r="BG782" s="1346" t="n"/>
      <c r="BH782" s="1346" t="n"/>
      <c r="BI782" s="1346" t="n"/>
      <c r="BJ782" s="1345" t="n"/>
      <c r="BK782" s="1346" t="n"/>
      <c r="BL782" s="1346" t="n"/>
      <c r="BM782" s="1346" t="n"/>
      <c r="BN782" s="1346" t="n"/>
      <c r="BO782" s="1347" t="n"/>
      <c r="BP782" s="1346" t="n"/>
      <c r="BQ782" s="1346" t="n"/>
      <c r="BR782" s="1346" t="n"/>
      <c r="BS782" s="1346" t="n"/>
      <c r="BT782" s="1297" t="n"/>
      <c r="BU782" s="1346" t="n"/>
      <c r="BV782" s="1346" t="n"/>
      <c r="BW782" s="1346" t="n"/>
      <c r="BX782" s="1346" t="n"/>
      <c r="BY782" s="1297" t="n"/>
      <c r="BZ782" s="1297" t="n"/>
      <c r="CA782" s="1297" t="n"/>
      <c r="CB782" s="1297" t="n"/>
      <c r="CC782" s="1331" t="n"/>
    </row>
    <row r="783" ht="14.4" customFormat="1" customHeight="1" s="1323">
      <c r="A783" s="1344">
        <f>A634</f>
        <v/>
      </c>
      <c r="B783" s="1394" t="n"/>
      <c r="C783" s="1345" t="n"/>
      <c r="D783" s="1345" t="n"/>
      <c r="E783" s="1345" t="n"/>
      <c r="F783" s="1345" t="n"/>
      <c r="G783" s="1345" t="n"/>
      <c r="H783" s="1346" t="n"/>
      <c r="I783" s="1346" t="n"/>
      <c r="J783" s="1346" t="n"/>
      <c r="K783" s="1346" t="n"/>
      <c r="L783" s="1345" t="n"/>
      <c r="M783" s="1346" t="n"/>
      <c r="N783" s="1346" t="n"/>
      <c r="O783" s="1346" t="n"/>
      <c r="P783" s="1346" t="n"/>
      <c r="Q783" s="1345" t="n"/>
      <c r="R783" s="1346" t="n"/>
      <c r="S783" s="1346" t="n"/>
      <c r="T783" s="1346" t="n"/>
      <c r="U783" s="1346" t="n"/>
      <c r="V783" s="1345" t="n"/>
      <c r="W783" s="1346" t="n"/>
      <c r="X783" s="1346" t="n"/>
      <c r="Y783" s="1346" t="n"/>
      <c r="Z783" s="1346" t="n"/>
      <c r="AA783" s="1345" t="n"/>
      <c r="AB783" s="1346" t="n"/>
      <c r="AC783" s="1346" t="n"/>
      <c r="AD783" s="1346" t="n"/>
      <c r="AE783" s="1346" t="n"/>
      <c r="AF783" s="1345" t="n"/>
      <c r="AG783" s="1346" t="n"/>
      <c r="AH783" s="1346" t="n"/>
      <c r="AI783" s="1346" t="n"/>
      <c r="AJ783" s="1346" t="n"/>
      <c r="AK783" s="1345" t="n"/>
      <c r="AL783" s="1346" t="n"/>
      <c r="AM783" s="1346" t="n"/>
      <c r="AN783" s="1346" t="n"/>
      <c r="AO783" s="1346" t="n"/>
      <c r="AP783" s="1345" t="n"/>
      <c r="AQ783" s="1346" t="n"/>
      <c r="AR783" s="1346" t="n"/>
      <c r="AS783" s="1346" t="n"/>
      <c r="AT783" s="1346" t="n"/>
      <c r="AU783" s="1345" t="n"/>
      <c r="AV783" s="1346" t="n"/>
      <c r="AW783" s="1346" t="n"/>
      <c r="AX783" s="1346" t="n"/>
      <c r="AY783" s="1346" t="n"/>
      <c r="AZ783" s="1345" t="n"/>
      <c r="BA783" s="1346" t="n"/>
      <c r="BB783" s="1346" t="n"/>
      <c r="BC783" s="1346" t="n"/>
      <c r="BD783" s="1346" t="n"/>
      <c r="BE783" s="1345" t="n"/>
      <c r="BF783" s="1346" t="n"/>
      <c r="BG783" s="1346" t="n"/>
      <c r="BH783" s="1346" t="n"/>
      <c r="BI783" s="1346" t="n"/>
      <c r="BJ783" s="1345" t="n"/>
      <c r="BK783" s="1346" t="n"/>
      <c r="BL783" s="1346" t="n"/>
      <c r="BM783" s="1346" t="n"/>
      <c r="BN783" s="1346" t="n"/>
      <c r="BO783" s="1347" t="n"/>
      <c r="BP783" s="1346" t="n"/>
      <c r="BQ783" s="1346" t="n"/>
      <c r="BR783" s="1346" t="n"/>
      <c r="BS783" s="1346" t="n"/>
      <c r="BT783" s="1297" t="n"/>
      <c r="BU783" s="1346" t="n"/>
      <c r="BV783" s="1346" t="n"/>
      <c r="BW783" s="1346" t="n"/>
      <c r="BX783" s="1346" t="n"/>
      <c r="BY783" s="1297" t="n"/>
      <c r="BZ783" s="1297" t="n"/>
      <c r="CA783" s="1297" t="n"/>
      <c r="CB783" s="1297" t="n"/>
      <c r="CC783" s="1331" t="n"/>
    </row>
    <row r="784" ht="14.4" customFormat="1" customHeight="1" s="1275">
      <c r="A784" s="1384">
        <f>A635</f>
        <v/>
      </c>
      <c r="B784" s="1387" t="n"/>
      <c r="C784" s="1297">
        <f>C635</f>
        <v/>
      </c>
      <c r="D784" s="1297">
        <f>D635</f>
        <v/>
      </c>
      <c r="E784" s="1297">
        <f>E635</f>
        <v/>
      </c>
      <c r="F784" s="1297">
        <f>F635</f>
        <v/>
      </c>
      <c r="G784" s="1297">
        <f>G635</f>
        <v/>
      </c>
      <c r="H784" s="1277">
        <f>H635</f>
        <v/>
      </c>
      <c r="I784" s="1277">
        <f>I635-H635</f>
        <v/>
      </c>
      <c r="J784" s="1277">
        <f>J635-I635</f>
        <v/>
      </c>
      <c r="K784" s="1277">
        <f>K635-J635</f>
        <v/>
      </c>
      <c r="L784" s="1297">
        <f>L635</f>
        <v/>
      </c>
      <c r="M784" s="1277">
        <f>M635</f>
        <v/>
      </c>
      <c r="N784" s="1277">
        <f>N635-M635</f>
        <v/>
      </c>
      <c r="O784" s="1277">
        <f>O635-N635</f>
        <v/>
      </c>
      <c r="P784" s="1277">
        <f>P635-O635</f>
        <v/>
      </c>
      <c r="Q784" s="1297">
        <f>Q635</f>
        <v/>
      </c>
      <c r="R784" s="1277">
        <f>R635</f>
        <v/>
      </c>
      <c r="S784" s="1277">
        <f>S635-R635</f>
        <v/>
      </c>
      <c r="T784" s="1277">
        <f>T635-S635</f>
        <v/>
      </c>
      <c r="U784" s="1277">
        <f>U635-T635</f>
        <v/>
      </c>
      <c r="V784" s="1297">
        <f>V635</f>
        <v/>
      </c>
      <c r="W784" s="1277">
        <f>W635</f>
        <v/>
      </c>
      <c r="X784" s="1277">
        <f>X635-W635</f>
        <v/>
      </c>
      <c r="Y784" s="1277">
        <f>Y635-X635</f>
        <v/>
      </c>
      <c r="Z784" s="1277">
        <f>Z635-Y635</f>
        <v/>
      </c>
      <c r="AA784" s="1297">
        <f>AA635</f>
        <v/>
      </c>
      <c r="AB784" s="1277">
        <f>AB635</f>
        <v/>
      </c>
      <c r="AC784" s="1277">
        <f>AC635-AB635</f>
        <v/>
      </c>
      <c r="AD784" s="1277">
        <f>AD635-AC635</f>
        <v/>
      </c>
      <c r="AE784" s="1277">
        <f>AE635-AD635</f>
        <v/>
      </c>
      <c r="AF784" s="1297">
        <f>AF635</f>
        <v/>
      </c>
      <c r="AG784" s="1277">
        <f>AG635</f>
        <v/>
      </c>
      <c r="AH784" s="1277">
        <f>AH635-AG635</f>
        <v/>
      </c>
      <c r="AI784" s="1277">
        <f>AI635-AH635</f>
        <v/>
      </c>
      <c r="AJ784" s="1277">
        <f>AJ635-AI635</f>
        <v/>
      </c>
      <c r="AK784" s="1297">
        <f>SUM(AG784,AH784,AI784,AJ784)</f>
        <v/>
      </c>
      <c r="AL784" s="1277">
        <f>AL635</f>
        <v/>
      </c>
      <c r="AM784" s="1277">
        <f>AM635-AL635</f>
        <v/>
      </c>
      <c r="AN784" s="1277">
        <f>AN635-AM635</f>
        <v/>
      </c>
      <c r="AO784" s="1277">
        <f>AO635-AN635</f>
        <v/>
      </c>
      <c r="AP784" s="1297">
        <f>SUM(AL784,AM784,AN784,AO784)</f>
        <v/>
      </c>
      <c r="AQ784" s="1277">
        <f>AQ635</f>
        <v/>
      </c>
      <c r="AR784" s="1277">
        <f>AR635-AQ635</f>
        <v/>
      </c>
      <c r="AS784" s="1277">
        <f>AS635-AR635</f>
        <v/>
      </c>
      <c r="AT784" s="1277">
        <f>AT635-AS635</f>
        <v/>
      </c>
      <c r="AU784" s="1297">
        <f>SUM(AQ784,AR784,AS784,AT784)</f>
        <v/>
      </c>
      <c r="AV784" s="1277">
        <f>AV635</f>
        <v/>
      </c>
      <c r="AW784" s="1277">
        <f>AW635-AV635</f>
        <v/>
      </c>
      <c r="AX784" s="1277">
        <f>AX635-AW635</f>
        <v/>
      </c>
      <c r="AY784" s="1277">
        <f>AY635-AX635</f>
        <v/>
      </c>
      <c r="AZ784" s="1297">
        <f>SUM(AV784,AW784,AX784,AY784)</f>
        <v/>
      </c>
      <c r="BA784" s="1277">
        <f>BA635</f>
        <v/>
      </c>
      <c r="BB784" s="1277">
        <f>BB635-BA635</f>
        <v/>
      </c>
      <c r="BC784" s="1277">
        <f>BC635-BB635</f>
        <v/>
      </c>
      <c r="BD784" s="1277">
        <f>BD635-BC635</f>
        <v/>
      </c>
      <c r="BE784" s="1297">
        <f>SUM(BA784,BB784,BC784,BD784)</f>
        <v/>
      </c>
      <c r="BF784" s="1277">
        <f>BF635</f>
        <v/>
      </c>
      <c r="BG784" s="1277">
        <f>BG635-BF635</f>
        <v/>
      </c>
      <c r="BH784" s="1277">
        <f>BH635-BG635</f>
        <v/>
      </c>
      <c r="BI784" s="1277">
        <f>BI635-BH635</f>
        <v/>
      </c>
      <c r="BJ784" s="1297">
        <f>SUM(BF784,BG784,BH784,BI784)</f>
        <v/>
      </c>
      <c r="BK784" s="1277">
        <f>BK635</f>
        <v/>
      </c>
      <c r="BL784" s="1277">
        <f>BL635-BK635</f>
        <v/>
      </c>
      <c r="BM784" s="1277">
        <f>BM635-BL635</f>
        <v/>
      </c>
      <c r="BN784" s="1277">
        <f>BN635-BM635</f>
        <v/>
      </c>
      <c r="BO784" s="1382">
        <f>SUM(BK784,BL784,BM784,BN784)</f>
        <v/>
      </c>
      <c r="BP784" s="1277" t="n"/>
      <c r="BQ784" s="1277" t="n"/>
      <c r="BR784" s="1277" t="n"/>
      <c r="BS784" s="1277" t="n"/>
      <c r="BT784" s="1297">
        <f>SUM(BP784,BQ784,BR784,BS784)</f>
        <v/>
      </c>
      <c r="BU784" s="1277" t="n"/>
      <c r="BV784" s="1277" t="n"/>
      <c r="BW784" s="1277" t="n"/>
      <c r="BX784" s="1277" t="n"/>
      <c r="BY784" s="1297">
        <f>SUM(BU784,BV784,BW784,BX784)</f>
        <v/>
      </c>
      <c r="BZ784" s="1297" t="n"/>
      <c r="CA784" s="1297" t="n"/>
      <c r="CB784" s="1297" t="n"/>
      <c r="CC784" s="1280" t="n"/>
    </row>
    <row r="785" ht="14.4" customFormat="1" customHeight="1" s="1275">
      <c r="A785" s="1384">
        <f>A636</f>
        <v/>
      </c>
      <c r="B785" s="1387" t="n"/>
      <c r="C785" s="1297">
        <f>C636</f>
        <v/>
      </c>
      <c r="D785" s="1297">
        <f>D636</f>
        <v/>
      </c>
      <c r="E785" s="1297">
        <f>E636</f>
        <v/>
      </c>
      <c r="F785" s="1297">
        <f>F636</f>
        <v/>
      </c>
      <c r="G785" s="1297">
        <f>G636</f>
        <v/>
      </c>
      <c r="H785" s="1277">
        <f>H636</f>
        <v/>
      </c>
      <c r="I785" s="1277">
        <f>I636-H636</f>
        <v/>
      </c>
      <c r="J785" s="1277">
        <f>J636-I636</f>
        <v/>
      </c>
      <c r="K785" s="1277">
        <f>K636-J636</f>
        <v/>
      </c>
      <c r="L785" s="1297">
        <f>L636</f>
        <v/>
      </c>
      <c r="M785" s="1277">
        <f>M636</f>
        <v/>
      </c>
      <c r="N785" s="1277">
        <f>N636-M636</f>
        <v/>
      </c>
      <c r="O785" s="1277">
        <f>O636-N636</f>
        <v/>
      </c>
      <c r="P785" s="1277">
        <f>P636-O636</f>
        <v/>
      </c>
      <c r="Q785" s="1297">
        <f>Q636</f>
        <v/>
      </c>
      <c r="R785" s="1277">
        <f>R636</f>
        <v/>
      </c>
      <c r="S785" s="1277">
        <f>S636-R636</f>
        <v/>
      </c>
      <c r="T785" s="1277">
        <f>T636-S636</f>
        <v/>
      </c>
      <c r="U785" s="1277">
        <f>U636-T636</f>
        <v/>
      </c>
      <c r="V785" s="1297">
        <f>V636</f>
        <v/>
      </c>
      <c r="W785" s="1277">
        <f>W636</f>
        <v/>
      </c>
      <c r="X785" s="1277">
        <f>X636-W636</f>
        <v/>
      </c>
      <c r="Y785" s="1277">
        <f>Y636-X636</f>
        <v/>
      </c>
      <c r="Z785" s="1277">
        <f>Z636-Y636</f>
        <v/>
      </c>
      <c r="AA785" s="1297">
        <f>AA636</f>
        <v/>
      </c>
      <c r="AB785" s="1277">
        <f>AB636</f>
        <v/>
      </c>
      <c r="AC785" s="1277">
        <f>AC636-AB636</f>
        <v/>
      </c>
      <c r="AD785" s="1277">
        <f>AD636-AC636</f>
        <v/>
      </c>
      <c r="AE785" s="1277">
        <f>AE636-AD636</f>
        <v/>
      </c>
      <c r="AF785" s="1297">
        <f>AF636</f>
        <v/>
      </c>
      <c r="AG785" s="1277">
        <f>AG636</f>
        <v/>
      </c>
      <c r="AH785" s="1277">
        <f>AH636-AG636</f>
        <v/>
      </c>
      <c r="AI785" s="1277">
        <f>AI636-AH636</f>
        <v/>
      </c>
      <c r="AJ785" s="1277">
        <f>AJ636-AI636</f>
        <v/>
      </c>
      <c r="AK785" s="1297">
        <f>AK636</f>
        <v/>
      </c>
      <c r="AL785" s="1277">
        <f>AL636</f>
        <v/>
      </c>
      <c r="AM785" s="1277">
        <f>AM636-AL636</f>
        <v/>
      </c>
      <c r="AN785" s="1277">
        <f>AN636-AM636</f>
        <v/>
      </c>
      <c r="AO785" s="1277">
        <f>AO636-AN636</f>
        <v/>
      </c>
      <c r="AP785" s="1297">
        <f>AP636</f>
        <v/>
      </c>
      <c r="AQ785" s="1277">
        <f>AQ636</f>
        <v/>
      </c>
      <c r="AR785" s="1277">
        <f>AR636-AQ636</f>
        <v/>
      </c>
      <c r="AS785" s="1277">
        <f>AS636-AR636</f>
        <v/>
      </c>
      <c r="AT785" s="1277">
        <f>AT636-AS636</f>
        <v/>
      </c>
      <c r="AU785" s="1297">
        <f>AU636</f>
        <v/>
      </c>
      <c r="AV785" s="1277">
        <f>AV636</f>
        <v/>
      </c>
      <c r="AW785" s="1277">
        <f>AW636-AV636</f>
        <v/>
      </c>
      <c r="AX785" s="1277">
        <f>AX636-AW636</f>
        <v/>
      </c>
      <c r="AY785" s="1277">
        <f>AY636-AX636</f>
        <v/>
      </c>
      <c r="AZ785" s="1297">
        <f>AZ636</f>
        <v/>
      </c>
      <c r="BA785" s="1277">
        <f>BA636</f>
        <v/>
      </c>
      <c r="BB785" s="1277">
        <f>BB636-BA636</f>
        <v/>
      </c>
      <c r="BC785" s="1277">
        <f>BC636-BB636</f>
        <v/>
      </c>
      <c r="BD785" s="1277">
        <f>BD636-BC636</f>
        <v/>
      </c>
      <c r="BE785" s="1297">
        <f>BE636</f>
        <v/>
      </c>
      <c r="BF785" s="1277">
        <f>BF636</f>
        <v/>
      </c>
      <c r="BG785" s="1277">
        <f>BG636-BF636</f>
        <v/>
      </c>
      <c r="BH785" s="1277">
        <f>BH636-BG636</f>
        <v/>
      </c>
      <c r="BI785" s="1277">
        <f>BI636-BH636</f>
        <v/>
      </c>
      <c r="BJ785" s="1297">
        <f>BJ636</f>
        <v/>
      </c>
      <c r="BK785" s="1277">
        <f>BK636</f>
        <v/>
      </c>
      <c r="BL785" s="1277">
        <f>BL636-BK636</f>
        <v/>
      </c>
      <c r="BM785" s="1277">
        <f>BM636-BL636</f>
        <v/>
      </c>
      <c r="BN785" s="1277">
        <f>BN636-BM636</f>
        <v/>
      </c>
      <c r="BO785" s="1382">
        <f>BO636</f>
        <v/>
      </c>
      <c r="BP785" s="1277" t="n"/>
      <c r="BQ785" s="1277" t="n"/>
      <c r="BR785" s="1277" t="n"/>
      <c r="BS785" s="1277" t="n"/>
      <c r="BT785" s="1297">
        <f>SUM(BP785,BQ785,BR785,BS785)</f>
        <v/>
      </c>
      <c r="BU785" s="1277" t="n"/>
      <c r="BV785" s="1277" t="n"/>
      <c r="BW785" s="1277" t="n"/>
      <c r="BX785" s="1277" t="n"/>
      <c r="BY785" s="1297">
        <f>SUM(BU785,BV785,BW785,BX785)</f>
        <v/>
      </c>
      <c r="BZ785" s="1297" t="n"/>
      <c r="CA785" s="1297" t="n"/>
      <c r="CB785" s="1297" t="n"/>
      <c r="CC785" s="1280" t="n"/>
    </row>
    <row r="786" ht="14.4" customFormat="1" customHeight="1" s="1275">
      <c r="A786" s="1384">
        <f>A637</f>
        <v/>
      </c>
      <c r="B786" s="1387" t="n"/>
      <c r="C786" s="1297">
        <f>C637</f>
        <v/>
      </c>
      <c r="D786" s="1297">
        <f>D637</f>
        <v/>
      </c>
      <c r="E786" s="1297">
        <f>E637</f>
        <v/>
      </c>
      <c r="F786" s="1297">
        <f>F637</f>
        <v/>
      </c>
      <c r="G786" s="1297">
        <f>G637</f>
        <v/>
      </c>
      <c r="H786" s="1277">
        <f>H637</f>
        <v/>
      </c>
      <c r="I786" s="1277">
        <f>I637-H637</f>
        <v/>
      </c>
      <c r="J786" s="1277">
        <f>J637-I637</f>
        <v/>
      </c>
      <c r="K786" s="1277">
        <f>K637-J637</f>
        <v/>
      </c>
      <c r="L786" s="1297">
        <f>L637</f>
        <v/>
      </c>
      <c r="M786" s="1277">
        <f>M637</f>
        <v/>
      </c>
      <c r="N786" s="1277">
        <f>N637-M637</f>
        <v/>
      </c>
      <c r="O786" s="1277">
        <f>O637-N637</f>
        <v/>
      </c>
      <c r="P786" s="1277">
        <f>P637-O637</f>
        <v/>
      </c>
      <c r="Q786" s="1297">
        <f>Q637</f>
        <v/>
      </c>
      <c r="R786" s="1277">
        <f>R637</f>
        <v/>
      </c>
      <c r="S786" s="1277">
        <f>S637-R637</f>
        <v/>
      </c>
      <c r="T786" s="1277">
        <f>T637-S637</f>
        <v/>
      </c>
      <c r="U786" s="1277">
        <f>U637-T637</f>
        <v/>
      </c>
      <c r="V786" s="1297">
        <f>V637</f>
        <v/>
      </c>
      <c r="W786" s="1277">
        <f>W637</f>
        <v/>
      </c>
      <c r="X786" s="1277">
        <f>X637-W637</f>
        <v/>
      </c>
      <c r="Y786" s="1277">
        <f>Y637-X637</f>
        <v/>
      </c>
      <c r="Z786" s="1277">
        <f>Z637-Y637</f>
        <v/>
      </c>
      <c r="AA786" s="1297">
        <f>AA637</f>
        <v/>
      </c>
      <c r="AB786" s="1277">
        <f>AB637</f>
        <v/>
      </c>
      <c r="AC786" s="1277">
        <f>AC637-AB637</f>
        <v/>
      </c>
      <c r="AD786" s="1277">
        <f>AD637-AC637</f>
        <v/>
      </c>
      <c r="AE786" s="1277">
        <f>AE637-AD637</f>
        <v/>
      </c>
      <c r="AF786" s="1297">
        <f>AF637</f>
        <v/>
      </c>
      <c r="AG786" s="1277">
        <f>AG637</f>
        <v/>
      </c>
      <c r="AH786" s="1277">
        <f>AH637-AG637</f>
        <v/>
      </c>
      <c r="AI786" s="1277">
        <f>AI637-AH637</f>
        <v/>
      </c>
      <c r="AJ786" s="1277">
        <f>AJ637-AI637</f>
        <v/>
      </c>
      <c r="AK786" s="1297">
        <f>SUM(AG786,AH786,AI786,AJ786)</f>
        <v/>
      </c>
      <c r="AL786" s="1277">
        <f>AL637</f>
        <v/>
      </c>
      <c r="AM786" s="1277">
        <f>AM637-AL637</f>
        <v/>
      </c>
      <c r="AN786" s="1277">
        <f>AN637-AM637</f>
        <v/>
      </c>
      <c r="AO786" s="1277">
        <f>AO637-AN637</f>
        <v/>
      </c>
      <c r="AP786" s="1297">
        <f>SUM(AL786,AM786,AN786,AO786)</f>
        <v/>
      </c>
      <c r="AQ786" s="1277">
        <f>AQ637</f>
        <v/>
      </c>
      <c r="AR786" s="1277">
        <f>AR637-AQ637</f>
        <v/>
      </c>
      <c r="AS786" s="1277">
        <f>AS637-AR637</f>
        <v/>
      </c>
      <c r="AT786" s="1277">
        <f>AT637-AS637</f>
        <v/>
      </c>
      <c r="AU786" s="1297">
        <f>SUM(AQ786,AR786,AS786,AT786)</f>
        <v/>
      </c>
      <c r="AV786" s="1277">
        <f>AV637</f>
        <v/>
      </c>
      <c r="AW786" s="1277">
        <f>AW637-AV637</f>
        <v/>
      </c>
      <c r="AX786" s="1277">
        <f>AX637-AW637</f>
        <v/>
      </c>
      <c r="AY786" s="1277">
        <f>AY637-AX637</f>
        <v/>
      </c>
      <c r="AZ786" s="1297">
        <f>SUM(AV786,AW786,AX786,AY786)</f>
        <v/>
      </c>
      <c r="BA786" s="1277">
        <f>BA637</f>
        <v/>
      </c>
      <c r="BB786" s="1277">
        <f>BB637-BA637</f>
        <v/>
      </c>
      <c r="BC786" s="1277">
        <f>BC637-BB637</f>
        <v/>
      </c>
      <c r="BD786" s="1277">
        <f>BD637-BC637</f>
        <v/>
      </c>
      <c r="BE786" s="1297">
        <f>SUM(BA786,BB786,BC786,BD786)</f>
        <v/>
      </c>
      <c r="BF786" s="1277">
        <f>BF637</f>
        <v/>
      </c>
      <c r="BG786" s="1277">
        <f>BG637-BF637</f>
        <v/>
      </c>
      <c r="BH786" s="1277">
        <f>BH637-BG637</f>
        <v/>
      </c>
      <c r="BI786" s="1277">
        <f>BI637-BH637</f>
        <v/>
      </c>
      <c r="BJ786" s="1297">
        <f>SUM(BF786,BG786,BH786,BI786)</f>
        <v/>
      </c>
      <c r="BK786" s="1277">
        <f>BK637</f>
        <v/>
      </c>
      <c r="BL786" s="1277">
        <f>BL637-BK637</f>
        <v/>
      </c>
      <c r="BM786" s="1277">
        <f>BM637-BL637</f>
        <v/>
      </c>
      <c r="BN786" s="1277">
        <f>BN637-BM637</f>
        <v/>
      </c>
      <c r="BO786" s="1382">
        <f>SUM(BK786,BL786,BM786,BN786)</f>
        <v/>
      </c>
      <c r="BP786" s="1277">
        <f>BP464</f>
        <v/>
      </c>
      <c r="BQ786" s="1277">
        <f>BQ464</f>
        <v/>
      </c>
      <c r="BR786" s="1277">
        <f>BR464</f>
        <v/>
      </c>
      <c r="BS786" s="1277">
        <f>BS464</f>
        <v/>
      </c>
      <c r="BT786" s="1297">
        <f>SUM(BP786,BQ786,BR786,BS786)</f>
        <v/>
      </c>
      <c r="BU786" s="1277">
        <f>BU464</f>
        <v/>
      </c>
      <c r="BV786" s="1277">
        <f>BV464</f>
        <v/>
      </c>
      <c r="BW786" s="1277">
        <f>BW464</f>
        <v/>
      </c>
      <c r="BX786" s="1277">
        <f>BX464</f>
        <v/>
      </c>
      <c r="BY786" s="1297">
        <f>SUM(BU786,BV786,BW786,BX786)</f>
        <v/>
      </c>
      <c r="BZ786" s="1297">
        <f>BZ464</f>
        <v/>
      </c>
      <c r="CA786" s="1297">
        <f>CA464</f>
        <v/>
      </c>
      <c r="CB786" s="1297">
        <f>CB464</f>
        <v/>
      </c>
      <c r="CC786" s="1280" t="n"/>
    </row>
    <row r="787" ht="14.4" customFormat="1" customHeight="1" s="1275">
      <c r="A787" s="1384">
        <f>A638</f>
        <v/>
      </c>
      <c r="B787" s="1387" t="n"/>
      <c r="C787" s="1297">
        <f>C638</f>
        <v/>
      </c>
      <c r="D787" s="1297">
        <f>D638</f>
        <v/>
      </c>
      <c r="E787" s="1297">
        <f>E638</f>
        <v/>
      </c>
      <c r="F787" s="1297">
        <f>F638</f>
        <v/>
      </c>
      <c r="G787" s="1297">
        <f>G638</f>
        <v/>
      </c>
      <c r="H787" s="1277">
        <f>H638</f>
        <v/>
      </c>
      <c r="I787" s="1277">
        <f>I638-H638</f>
        <v/>
      </c>
      <c r="J787" s="1277">
        <f>J638-I638</f>
        <v/>
      </c>
      <c r="K787" s="1277">
        <f>K638-J638</f>
        <v/>
      </c>
      <c r="L787" s="1297">
        <f>L638</f>
        <v/>
      </c>
      <c r="M787" s="1277">
        <f>M638</f>
        <v/>
      </c>
      <c r="N787" s="1277">
        <f>N638-M638</f>
        <v/>
      </c>
      <c r="O787" s="1277">
        <f>O638-N638</f>
        <v/>
      </c>
      <c r="P787" s="1277">
        <f>P638-O638</f>
        <v/>
      </c>
      <c r="Q787" s="1297">
        <f>Q638</f>
        <v/>
      </c>
      <c r="R787" s="1277">
        <f>R638</f>
        <v/>
      </c>
      <c r="S787" s="1277">
        <f>S638-R638</f>
        <v/>
      </c>
      <c r="T787" s="1277">
        <f>T638-S638</f>
        <v/>
      </c>
      <c r="U787" s="1277">
        <f>U638-T638</f>
        <v/>
      </c>
      <c r="V787" s="1297">
        <f>V638</f>
        <v/>
      </c>
      <c r="W787" s="1277">
        <f>W638</f>
        <v/>
      </c>
      <c r="X787" s="1277">
        <f>X638-W638</f>
        <v/>
      </c>
      <c r="Y787" s="1277">
        <f>Y638-X638</f>
        <v/>
      </c>
      <c r="Z787" s="1277">
        <f>Z638-Y638</f>
        <v/>
      </c>
      <c r="AA787" s="1297">
        <f>AA638</f>
        <v/>
      </c>
      <c r="AB787" s="1277">
        <f>AB638</f>
        <v/>
      </c>
      <c r="AC787" s="1277">
        <f>AC638-AB638</f>
        <v/>
      </c>
      <c r="AD787" s="1277">
        <f>AD638-AC638</f>
        <v/>
      </c>
      <c r="AE787" s="1277">
        <f>AE638-AD638</f>
        <v/>
      </c>
      <c r="AF787" s="1297">
        <f>AF638</f>
        <v/>
      </c>
      <c r="AG787" s="1277">
        <f>AG638</f>
        <v/>
      </c>
      <c r="AH787" s="1277">
        <f>AH638-AG638</f>
        <v/>
      </c>
      <c r="AI787" s="1277">
        <f>AI638-AH638</f>
        <v/>
      </c>
      <c r="AJ787" s="1277">
        <f>AJ638-AI638</f>
        <v/>
      </c>
      <c r="AK787" s="1297">
        <f>SUM(AG787,AH787,AI787,AJ787)</f>
        <v/>
      </c>
      <c r="AL787" s="1277">
        <f>AL638</f>
        <v/>
      </c>
      <c r="AM787" s="1277">
        <f>AM638-AL638</f>
        <v/>
      </c>
      <c r="AN787" s="1277">
        <f>AN638-AM638</f>
        <v/>
      </c>
      <c r="AO787" s="1277">
        <f>AO638-AN638</f>
        <v/>
      </c>
      <c r="AP787" s="1297">
        <f>SUM(AL787,AM787,AN787,AO787)</f>
        <v/>
      </c>
      <c r="AQ787" s="1277">
        <f>AQ638</f>
        <v/>
      </c>
      <c r="AR787" s="1277">
        <f>AR638-AQ638</f>
        <v/>
      </c>
      <c r="AS787" s="1277">
        <f>AS638-AR638</f>
        <v/>
      </c>
      <c r="AT787" s="1277">
        <f>AT638-AS638</f>
        <v/>
      </c>
      <c r="AU787" s="1297">
        <f>SUM(AQ787,AR787,AS787,AT787)</f>
        <v/>
      </c>
      <c r="AV787" s="1277">
        <f>AV638</f>
        <v/>
      </c>
      <c r="AW787" s="1277">
        <f>AW638-AV638</f>
        <v/>
      </c>
      <c r="AX787" s="1277">
        <f>AX638-AW638</f>
        <v/>
      </c>
      <c r="AY787" s="1277">
        <f>AY638-AX638</f>
        <v/>
      </c>
      <c r="AZ787" s="1297">
        <f>SUM(AV787,AW787,AX787,AY787)</f>
        <v/>
      </c>
      <c r="BA787" s="1277">
        <f>BA638</f>
        <v/>
      </c>
      <c r="BB787" s="1277">
        <f>BB638-BA638</f>
        <v/>
      </c>
      <c r="BC787" s="1277">
        <f>BC638-BB638</f>
        <v/>
      </c>
      <c r="BD787" s="1277">
        <f>BD638-BC638</f>
        <v/>
      </c>
      <c r="BE787" s="1297">
        <f>SUM(BA787,BB787,BC787,BD787)</f>
        <v/>
      </c>
      <c r="BF787" s="1277">
        <f>BF638</f>
        <v/>
      </c>
      <c r="BG787" s="1277">
        <f>BG638-BF638</f>
        <v/>
      </c>
      <c r="BH787" s="1277">
        <f>BH638-BG638</f>
        <v/>
      </c>
      <c r="BI787" s="1277">
        <f>BI638-BH638</f>
        <v/>
      </c>
      <c r="BJ787" s="1297">
        <f>SUM(BF787,BG787,BH787,BI787)</f>
        <v/>
      </c>
      <c r="BK787" s="1277">
        <f>BK638</f>
        <v/>
      </c>
      <c r="BL787" s="1277">
        <f>BL638-BK638</f>
        <v/>
      </c>
      <c r="BM787" s="1277">
        <f>BM638-BL638</f>
        <v/>
      </c>
      <c r="BN787" s="1277">
        <f>BN638-BM638</f>
        <v/>
      </c>
      <c r="BO787" s="1382">
        <f>SUM(BK787,BL787,BM787,BN787)</f>
        <v/>
      </c>
      <c r="BP787" s="1277" t="n"/>
      <c r="BQ787" s="1277" t="n"/>
      <c r="BR787" s="1277" t="n"/>
      <c r="BS787" s="1277" t="n"/>
      <c r="BT787" s="1297">
        <f>SUM(BP787,BQ787,BR787,BS787)</f>
        <v/>
      </c>
      <c r="BU787" s="1277" t="n"/>
      <c r="BV787" s="1277" t="n"/>
      <c r="BW787" s="1277" t="n"/>
      <c r="BX787" s="1277" t="n"/>
      <c r="BY787" s="1297">
        <f>SUM(BU787,BV787,BW787,BX787)</f>
        <v/>
      </c>
      <c r="BZ787" s="1297" t="n"/>
      <c r="CA787" s="1297" t="n"/>
      <c r="CB787" s="1297" t="n"/>
      <c r="CC787" s="1280" t="n"/>
    </row>
    <row r="788" ht="14.4" customFormat="1" customHeight="1" s="1275">
      <c r="A788" s="1384">
        <f>A639</f>
        <v/>
      </c>
      <c r="B788" s="1387" t="n"/>
      <c r="C788" s="1297">
        <f>C639</f>
        <v/>
      </c>
      <c r="D788" s="1297">
        <f>D639</f>
        <v/>
      </c>
      <c r="E788" s="1297">
        <f>E639</f>
        <v/>
      </c>
      <c r="F788" s="1297">
        <f>F639</f>
        <v/>
      </c>
      <c r="G788" s="1297">
        <f>G639</f>
        <v/>
      </c>
      <c r="H788" s="1277">
        <f>H639</f>
        <v/>
      </c>
      <c r="I788" s="1277">
        <f>I639-H639</f>
        <v/>
      </c>
      <c r="J788" s="1277">
        <f>J639-I639</f>
        <v/>
      </c>
      <c r="K788" s="1277">
        <f>K639-J639</f>
        <v/>
      </c>
      <c r="L788" s="1297">
        <f>L639</f>
        <v/>
      </c>
      <c r="M788" s="1277">
        <f>M639</f>
        <v/>
      </c>
      <c r="N788" s="1277">
        <f>N639-M639</f>
        <v/>
      </c>
      <c r="O788" s="1277">
        <f>O639-N639</f>
        <v/>
      </c>
      <c r="P788" s="1277">
        <f>P639-O639</f>
        <v/>
      </c>
      <c r="Q788" s="1297">
        <f>Q639</f>
        <v/>
      </c>
      <c r="R788" s="1277">
        <f>R639</f>
        <v/>
      </c>
      <c r="S788" s="1277">
        <f>S639-R639</f>
        <v/>
      </c>
      <c r="T788" s="1277">
        <f>T639-S639</f>
        <v/>
      </c>
      <c r="U788" s="1277">
        <f>U639-T639</f>
        <v/>
      </c>
      <c r="V788" s="1297">
        <f>V639</f>
        <v/>
      </c>
      <c r="W788" s="1277">
        <f>W639</f>
        <v/>
      </c>
      <c r="X788" s="1277">
        <f>X639-W639</f>
        <v/>
      </c>
      <c r="Y788" s="1277">
        <f>Y639-X639</f>
        <v/>
      </c>
      <c r="Z788" s="1277">
        <f>Z639-Y639</f>
        <v/>
      </c>
      <c r="AA788" s="1297">
        <f>AA639</f>
        <v/>
      </c>
      <c r="AB788" s="1277">
        <f>AB639</f>
        <v/>
      </c>
      <c r="AC788" s="1277">
        <f>AC639-AB639</f>
        <v/>
      </c>
      <c r="AD788" s="1277">
        <f>AD639-AC639</f>
        <v/>
      </c>
      <c r="AE788" s="1277">
        <f>AE639-AD639</f>
        <v/>
      </c>
      <c r="AF788" s="1297">
        <f>AF639</f>
        <v/>
      </c>
      <c r="AG788" s="1277">
        <f>AG639</f>
        <v/>
      </c>
      <c r="AH788" s="1277">
        <f>AH639-AG639</f>
        <v/>
      </c>
      <c r="AI788" s="1277">
        <f>AI639-AH639</f>
        <v/>
      </c>
      <c r="AJ788" s="1277">
        <f>AJ639-AI639</f>
        <v/>
      </c>
      <c r="AK788" s="1297">
        <f>SUM(AG788,AH788,AI788,AJ788)</f>
        <v/>
      </c>
      <c r="AL788" s="1277">
        <f>AL639</f>
        <v/>
      </c>
      <c r="AM788" s="1277">
        <f>AM639-AL639</f>
        <v/>
      </c>
      <c r="AN788" s="1277">
        <f>AN639-AM639</f>
        <v/>
      </c>
      <c r="AO788" s="1277">
        <f>AO639-AN639</f>
        <v/>
      </c>
      <c r="AP788" s="1297">
        <f>SUM(AL788,AM788,AN788,AO788)</f>
        <v/>
      </c>
      <c r="AQ788" s="1277">
        <f>AQ639</f>
        <v/>
      </c>
      <c r="AR788" s="1277">
        <f>AR639-AQ639</f>
        <v/>
      </c>
      <c r="AS788" s="1277">
        <f>AS639-AR639</f>
        <v/>
      </c>
      <c r="AT788" s="1277">
        <f>AT639-AS639</f>
        <v/>
      </c>
      <c r="AU788" s="1297">
        <f>SUM(AQ788,AR788,AS788,AT788)</f>
        <v/>
      </c>
      <c r="AV788" s="1277">
        <f>AV639</f>
        <v/>
      </c>
      <c r="AW788" s="1277">
        <f>AW639-AV639</f>
        <v/>
      </c>
      <c r="AX788" s="1277">
        <f>AX639-AW639</f>
        <v/>
      </c>
      <c r="AY788" s="1277">
        <f>AY639-AX639</f>
        <v/>
      </c>
      <c r="AZ788" s="1297">
        <f>SUM(AV788,AW788,AX788,AY788)</f>
        <v/>
      </c>
      <c r="BA788" s="1277">
        <f>BA639</f>
        <v/>
      </c>
      <c r="BB788" s="1277">
        <f>BB639-BA639</f>
        <v/>
      </c>
      <c r="BC788" s="1277">
        <f>BC639-BB639</f>
        <v/>
      </c>
      <c r="BD788" s="1277">
        <f>BD639-BC639</f>
        <v/>
      </c>
      <c r="BE788" s="1297">
        <f>SUM(BA788,BB788,BC788,BD788)</f>
        <v/>
      </c>
      <c r="BF788" s="1277">
        <f>BF639</f>
        <v/>
      </c>
      <c r="BG788" s="1277">
        <f>BG639-BF639</f>
        <v/>
      </c>
      <c r="BH788" s="1277">
        <f>BH639-BG639</f>
        <v/>
      </c>
      <c r="BI788" s="1277">
        <f>BI639-BH639</f>
        <v/>
      </c>
      <c r="BJ788" s="1297">
        <f>SUM(BF788,BG788,BH788,BI788)</f>
        <v/>
      </c>
      <c r="BK788" s="1277">
        <f>BK639</f>
        <v/>
      </c>
      <c r="BL788" s="1277">
        <f>BL639-BK639</f>
        <v/>
      </c>
      <c r="BM788" s="1277">
        <f>BM639-BL639</f>
        <v/>
      </c>
      <c r="BN788" s="1277">
        <f>BN639-BM639</f>
        <v/>
      </c>
      <c r="BO788" s="1382">
        <f>SUM(BK788,BL788,BM788,BN788)</f>
        <v/>
      </c>
      <c r="BP788" s="1277" t="n"/>
      <c r="BQ788" s="1277" t="n"/>
      <c r="BR788" s="1277" t="n"/>
      <c r="BS788" s="1277" t="n"/>
      <c r="BT788" s="1297">
        <f>SUM(BP788,BQ788,BR788,BS788)</f>
        <v/>
      </c>
      <c r="BU788" s="1277" t="n"/>
      <c r="BV788" s="1277" t="n"/>
      <c r="BW788" s="1277" t="n"/>
      <c r="BX788" s="1277" t="n"/>
      <c r="BY788" s="1297">
        <f>SUM(BU788,BV788,BW788,BX788)</f>
        <v/>
      </c>
      <c r="BZ788" s="1297" t="n"/>
      <c r="CA788" s="1297" t="n"/>
      <c r="CB788" s="1297" t="n"/>
      <c r="CC788" s="1280" t="n"/>
    </row>
    <row r="789" ht="14.4" customFormat="1" customHeight="1" s="1275">
      <c r="A789" s="1384">
        <f>A640</f>
        <v/>
      </c>
      <c r="B789" s="1387" t="n"/>
      <c r="C789" s="1297">
        <f>C640</f>
        <v/>
      </c>
      <c r="D789" s="1297">
        <f>D640</f>
        <v/>
      </c>
      <c r="E789" s="1297">
        <f>E640</f>
        <v/>
      </c>
      <c r="F789" s="1297">
        <f>F640</f>
        <v/>
      </c>
      <c r="G789" s="1297">
        <f>G640</f>
        <v/>
      </c>
      <c r="H789" s="1277">
        <f>H640</f>
        <v/>
      </c>
      <c r="I789" s="1277">
        <f>I640-H640</f>
        <v/>
      </c>
      <c r="J789" s="1277">
        <f>J640-I640</f>
        <v/>
      </c>
      <c r="K789" s="1277">
        <f>K640-J640</f>
        <v/>
      </c>
      <c r="L789" s="1297">
        <f>L640</f>
        <v/>
      </c>
      <c r="M789" s="1277">
        <f>M640</f>
        <v/>
      </c>
      <c r="N789" s="1277">
        <f>N640-M640</f>
        <v/>
      </c>
      <c r="O789" s="1277">
        <f>O640-N640</f>
        <v/>
      </c>
      <c r="P789" s="1277">
        <f>P640-O640</f>
        <v/>
      </c>
      <c r="Q789" s="1297">
        <f>Q640</f>
        <v/>
      </c>
      <c r="R789" s="1277">
        <f>R640</f>
        <v/>
      </c>
      <c r="S789" s="1277">
        <f>S640-R640</f>
        <v/>
      </c>
      <c r="T789" s="1277">
        <f>T640-S640</f>
        <v/>
      </c>
      <c r="U789" s="1277">
        <f>U640-T640</f>
        <v/>
      </c>
      <c r="V789" s="1297">
        <f>V640</f>
        <v/>
      </c>
      <c r="W789" s="1277">
        <f>W640</f>
        <v/>
      </c>
      <c r="X789" s="1277">
        <f>X640-W640</f>
        <v/>
      </c>
      <c r="Y789" s="1277">
        <f>Y640-X640</f>
        <v/>
      </c>
      <c r="Z789" s="1277">
        <f>Z640-Y640</f>
        <v/>
      </c>
      <c r="AA789" s="1297">
        <f>AA640</f>
        <v/>
      </c>
      <c r="AB789" s="1277">
        <f>AB640</f>
        <v/>
      </c>
      <c r="AC789" s="1277">
        <f>AC640-AB640</f>
        <v/>
      </c>
      <c r="AD789" s="1277">
        <f>AD640-AC640</f>
        <v/>
      </c>
      <c r="AE789" s="1277">
        <f>AE640-AD640</f>
        <v/>
      </c>
      <c r="AF789" s="1297">
        <f>AF640</f>
        <v/>
      </c>
      <c r="AG789" s="1277">
        <f>AG640</f>
        <v/>
      </c>
      <c r="AH789" s="1277">
        <f>AH640-AG640</f>
        <v/>
      </c>
      <c r="AI789" s="1277">
        <f>AI640-AH640</f>
        <v/>
      </c>
      <c r="AJ789" s="1277">
        <f>AJ640-AI640</f>
        <v/>
      </c>
      <c r="AK789" s="1297">
        <f>SUM(AG789,AH789,AI789,AJ789)</f>
        <v/>
      </c>
      <c r="AL789" s="1277">
        <f>AL640</f>
        <v/>
      </c>
      <c r="AM789" s="1277">
        <f>AM640-AL640</f>
        <v/>
      </c>
      <c r="AN789" s="1277">
        <f>AN640-AM640</f>
        <v/>
      </c>
      <c r="AO789" s="1277">
        <f>AO640-AN640</f>
        <v/>
      </c>
      <c r="AP789" s="1297">
        <f>SUM(AL789,AM789,AN789,AO789)</f>
        <v/>
      </c>
      <c r="AQ789" s="1277">
        <f>AQ640</f>
        <v/>
      </c>
      <c r="AR789" s="1277">
        <f>AR640-AQ640</f>
        <v/>
      </c>
      <c r="AS789" s="1277">
        <f>AS640-AR640</f>
        <v/>
      </c>
      <c r="AT789" s="1277">
        <f>AT640-AS640</f>
        <v/>
      </c>
      <c r="AU789" s="1297">
        <f>SUM(AQ789,AR789,AS789,AT789)</f>
        <v/>
      </c>
      <c r="AV789" s="1277">
        <f>AV640</f>
        <v/>
      </c>
      <c r="AW789" s="1277">
        <f>AW640-AV640</f>
        <v/>
      </c>
      <c r="AX789" s="1277">
        <f>AX640-AW640</f>
        <v/>
      </c>
      <c r="AY789" s="1277">
        <f>AY640-AX640</f>
        <v/>
      </c>
      <c r="AZ789" s="1297">
        <f>SUM(AV789,AW789,AX789,AY789)</f>
        <v/>
      </c>
      <c r="BA789" s="1277">
        <f>BA640</f>
        <v/>
      </c>
      <c r="BB789" s="1277">
        <f>BB640-BA640</f>
        <v/>
      </c>
      <c r="BC789" s="1277">
        <f>BC640-BB640</f>
        <v/>
      </c>
      <c r="BD789" s="1277">
        <f>BD640-BC640</f>
        <v/>
      </c>
      <c r="BE789" s="1297">
        <f>SUM(BA789,BB789,BC789,BD789)</f>
        <v/>
      </c>
      <c r="BF789" s="1277">
        <f>BF640</f>
        <v/>
      </c>
      <c r="BG789" s="1277">
        <f>BG640-BF640</f>
        <v/>
      </c>
      <c r="BH789" s="1277">
        <f>BH640-BG640</f>
        <v/>
      </c>
      <c r="BI789" s="1277">
        <f>BI640-BH640</f>
        <v/>
      </c>
      <c r="BJ789" s="1297">
        <f>SUM(BF789,BG789,BH789,BI789)</f>
        <v/>
      </c>
      <c r="BK789" s="1277">
        <f>BK640</f>
        <v/>
      </c>
      <c r="BL789" s="1277">
        <f>BL640-BK640</f>
        <v/>
      </c>
      <c r="BM789" s="1277">
        <f>BM640-BL640</f>
        <v/>
      </c>
      <c r="BN789" s="1277">
        <f>BN640-BM640</f>
        <v/>
      </c>
      <c r="BO789" s="1382">
        <f>SUM(BK789,BL789,BM789,BN789)</f>
        <v/>
      </c>
      <c r="BP789" s="1277" t="n"/>
      <c r="BQ789" s="1277" t="n"/>
      <c r="BR789" s="1277" t="n"/>
      <c r="BS789" s="1277" t="n"/>
      <c r="BT789" s="1297">
        <f>SUM(BP789,BQ789,BR789,BS789)</f>
        <v/>
      </c>
      <c r="BU789" s="1277" t="n"/>
      <c r="BV789" s="1277" t="n"/>
      <c r="BW789" s="1277" t="n"/>
      <c r="BX789" s="1277" t="n"/>
      <c r="BY789" s="1297">
        <f>SUM(BU789,BV789,BW789,BX789)</f>
        <v/>
      </c>
      <c r="BZ789" s="1297" t="n"/>
      <c r="CA789" s="1297" t="n"/>
      <c r="CB789" s="1297" t="n"/>
      <c r="CC789" s="1280" t="n"/>
    </row>
    <row r="790" ht="14.4" customFormat="1" customHeight="1" s="1275">
      <c r="A790" s="1384">
        <f>A641</f>
        <v/>
      </c>
      <c r="B790" s="1387" t="n"/>
      <c r="C790" s="1297">
        <f>C641</f>
        <v/>
      </c>
      <c r="D790" s="1297">
        <f>D641</f>
        <v/>
      </c>
      <c r="E790" s="1297">
        <f>E641</f>
        <v/>
      </c>
      <c r="F790" s="1297">
        <f>F641</f>
        <v/>
      </c>
      <c r="G790" s="1297">
        <f>G641</f>
        <v/>
      </c>
      <c r="H790" s="1277">
        <f>H641</f>
        <v/>
      </c>
      <c r="I790" s="1277">
        <f>I641-H641</f>
        <v/>
      </c>
      <c r="J790" s="1277">
        <f>J641-I641</f>
        <v/>
      </c>
      <c r="K790" s="1277">
        <f>K641-J641</f>
        <v/>
      </c>
      <c r="L790" s="1297">
        <f>L641</f>
        <v/>
      </c>
      <c r="M790" s="1277">
        <f>M641</f>
        <v/>
      </c>
      <c r="N790" s="1277">
        <f>N641-M641</f>
        <v/>
      </c>
      <c r="O790" s="1277">
        <f>O641-N641</f>
        <v/>
      </c>
      <c r="P790" s="1277">
        <f>P641-O641</f>
        <v/>
      </c>
      <c r="Q790" s="1297">
        <f>Q641</f>
        <v/>
      </c>
      <c r="R790" s="1277">
        <f>R641</f>
        <v/>
      </c>
      <c r="S790" s="1277">
        <f>S641-R641</f>
        <v/>
      </c>
      <c r="T790" s="1277">
        <f>T641-S641</f>
        <v/>
      </c>
      <c r="U790" s="1277">
        <f>U641-T641</f>
        <v/>
      </c>
      <c r="V790" s="1297">
        <f>V641</f>
        <v/>
      </c>
      <c r="W790" s="1277">
        <f>W641</f>
        <v/>
      </c>
      <c r="X790" s="1277">
        <f>X641-W641</f>
        <v/>
      </c>
      <c r="Y790" s="1277">
        <f>Y641-X641</f>
        <v/>
      </c>
      <c r="Z790" s="1277">
        <f>Z641-Y641</f>
        <v/>
      </c>
      <c r="AA790" s="1297">
        <f>AA641</f>
        <v/>
      </c>
      <c r="AB790" s="1277">
        <f>AB641</f>
        <v/>
      </c>
      <c r="AC790" s="1277">
        <f>AC641-AB641</f>
        <v/>
      </c>
      <c r="AD790" s="1277">
        <f>AD641-AC641</f>
        <v/>
      </c>
      <c r="AE790" s="1277">
        <f>AE641-AD641</f>
        <v/>
      </c>
      <c r="AF790" s="1297">
        <f>AF641</f>
        <v/>
      </c>
      <c r="AG790" s="1277">
        <f>AG641</f>
        <v/>
      </c>
      <c r="AH790" s="1277">
        <f>AH641-AG641</f>
        <v/>
      </c>
      <c r="AI790" s="1277">
        <f>AI641-AH641</f>
        <v/>
      </c>
      <c r="AJ790" s="1277">
        <f>AJ641-AI641</f>
        <v/>
      </c>
      <c r="AK790" s="1297">
        <f>SUM(AG790,AH790,AI790,AJ790)</f>
        <v/>
      </c>
      <c r="AL790" s="1277">
        <f>AL641</f>
        <v/>
      </c>
      <c r="AM790" s="1277">
        <f>AM641-AL641</f>
        <v/>
      </c>
      <c r="AN790" s="1277">
        <f>AN641-AM641</f>
        <v/>
      </c>
      <c r="AO790" s="1277">
        <f>AO641-AN641</f>
        <v/>
      </c>
      <c r="AP790" s="1297">
        <f>SUM(AL790,AM790,AN790,AO790)</f>
        <v/>
      </c>
      <c r="AQ790" s="1277">
        <f>AQ641</f>
        <v/>
      </c>
      <c r="AR790" s="1277">
        <f>AR641-AQ641</f>
        <v/>
      </c>
      <c r="AS790" s="1277">
        <f>AS641-AR641</f>
        <v/>
      </c>
      <c r="AT790" s="1277">
        <f>AT641-AS641</f>
        <v/>
      </c>
      <c r="AU790" s="1297">
        <f>SUM(AQ790,AR790,AS790,AT790)</f>
        <v/>
      </c>
      <c r="AV790" s="1277">
        <f>AV641</f>
        <v/>
      </c>
      <c r="AW790" s="1277">
        <f>AW641-AV641</f>
        <v/>
      </c>
      <c r="AX790" s="1277">
        <f>AX641-AW641</f>
        <v/>
      </c>
      <c r="AY790" s="1277">
        <f>AY641-AX641</f>
        <v/>
      </c>
      <c r="AZ790" s="1297">
        <f>SUM(AV790,AW790,AX790,AY790)</f>
        <v/>
      </c>
      <c r="BA790" s="1277">
        <f>BA641</f>
        <v/>
      </c>
      <c r="BB790" s="1277">
        <f>BB641-BA641</f>
        <v/>
      </c>
      <c r="BC790" s="1277">
        <f>BC641-BB641</f>
        <v/>
      </c>
      <c r="BD790" s="1277">
        <f>BD641-BC641</f>
        <v/>
      </c>
      <c r="BE790" s="1297">
        <f>SUM(BA790,BB790,BC790,BD790)</f>
        <v/>
      </c>
      <c r="BF790" s="1277">
        <f>BF641</f>
        <v/>
      </c>
      <c r="BG790" s="1277">
        <f>BG641-BF641</f>
        <v/>
      </c>
      <c r="BH790" s="1277">
        <f>BH641-BG641</f>
        <v/>
      </c>
      <c r="BI790" s="1277">
        <f>BI641-BH641</f>
        <v/>
      </c>
      <c r="BJ790" s="1297">
        <f>SUM(BF790,BG790,BH790,BI790)</f>
        <v/>
      </c>
      <c r="BK790" s="1277">
        <f>BK641</f>
        <v/>
      </c>
      <c r="BL790" s="1277">
        <f>BL641-BK641</f>
        <v/>
      </c>
      <c r="BM790" s="1277">
        <f>BM641-BL641</f>
        <v/>
      </c>
      <c r="BN790" s="1277">
        <f>BN641-BM641</f>
        <v/>
      </c>
      <c r="BO790" s="1382">
        <f>SUM(BK790,BL790,BM790,BN790)</f>
        <v/>
      </c>
      <c r="BP790" s="1277" t="n"/>
      <c r="BQ790" s="1277" t="n"/>
      <c r="BR790" s="1277" t="n"/>
      <c r="BS790" s="1277" t="n"/>
      <c r="BT790" s="1297">
        <f>SUM(BP790,BQ790,BR790,BS790)</f>
        <v/>
      </c>
      <c r="BU790" s="1277" t="n"/>
      <c r="BV790" s="1277" t="n"/>
      <c r="BW790" s="1277" t="n"/>
      <c r="BX790" s="1277" t="n"/>
      <c r="BY790" s="1297">
        <f>SUM(BU790,BV790,BW790,BX790)</f>
        <v/>
      </c>
      <c r="BZ790" s="1297" t="n"/>
      <c r="CA790" s="1297" t="n"/>
      <c r="CB790" s="1297" t="n"/>
      <c r="CC790" s="1280" t="n"/>
    </row>
    <row r="791" ht="14.4" customFormat="1" customHeight="1" s="1275">
      <c r="A791" s="1384">
        <f>A642</f>
        <v/>
      </c>
      <c r="B791" s="1387" t="n"/>
      <c r="C791" s="1297">
        <f>C642</f>
        <v/>
      </c>
      <c r="D791" s="1297">
        <f>D642</f>
        <v/>
      </c>
      <c r="E791" s="1297">
        <f>E642</f>
        <v/>
      </c>
      <c r="F791" s="1297">
        <f>F642</f>
        <v/>
      </c>
      <c r="G791" s="1297">
        <f>G642</f>
        <v/>
      </c>
      <c r="H791" s="1277">
        <f>H642</f>
        <v/>
      </c>
      <c r="I791" s="1277">
        <f>I642-H642</f>
        <v/>
      </c>
      <c r="J791" s="1277">
        <f>J642-I642</f>
        <v/>
      </c>
      <c r="K791" s="1277">
        <f>K642-J642</f>
        <v/>
      </c>
      <c r="L791" s="1297">
        <f>L642</f>
        <v/>
      </c>
      <c r="M791" s="1277">
        <f>M642</f>
        <v/>
      </c>
      <c r="N791" s="1277">
        <f>N642-M642</f>
        <v/>
      </c>
      <c r="O791" s="1277">
        <f>O642-N642</f>
        <v/>
      </c>
      <c r="P791" s="1277">
        <f>P642-O642</f>
        <v/>
      </c>
      <c r="Q791" s="1297">
        <f>Q642</f>
        <v/>
      </c>
      <c r="R791" s="1277">
        <f>R642</f>
        <v/>
      </c>
      <c r="S791" s="1277">
        <f>S642-R642</f>
        <v/>
      </c>
      <c r="T791" s="1277">
        <f>T642-S642</f>
        <v/>
      </c>
      <c r="U791" s="1277">
        <f>U642-T642</f>
        <v/>
      </c>
      <c r="V791" s="1297">
        <f>V642</f>
        <v/>
      </c>
      <c r="W791" s="1277">
        <f>W642</f>
        <v/>
      </c>
      <c r="X791" s="1277">
        <f>X642-W642</f>
        <v/>
      </c>
      <c r="Y791" s="1277">
        <f>Y642-X642</f>
        <v/>
      </c>
      <c r="Z791" s="1277">
        <f>Z642-Y642</f>
        <v/>
      </c>
      <c r="AA791" s="1297">
        <f>AA642</f>
        <v/>
      </c>
      <c r="AB791" s="1277">
        <f>AB642</f>
        <v/>
      </c>
      <c r="AC791" s="1277">
        <f>AC642-AB642</f>
        <v/>
      </c>
      <c r="AD791" s="1277">
        <f>AD642-AC642</f>
        <v/>
      </c>
      <c r="AE791" s="1277">
        <f>AE642-AD642</f>
        <v/>
      </c>
      <c r="AF791" s="1297">
        <f>AF642</f>
        <v/>
      </c>
      <c r="AG791" s="1277">
        <f>AG642</f>
        <v/>
      </c>
      <c r="AH791" s="1277">
        <f>AH642-AG642</f>
        <v/>
      </c>
      <c r="AI791" s="1277">
        <f>AI642-AH642</f>
        <v/>
      </c>
      <c r="AJ791" s="1277">
        <f>AJ642-AI642</f>
        <v/>
      </c>
      <c r="AK791" s="1297">
        <f>SUM(AG791,AH791,AI791,AJ791)</f>
        <v/>
      </c>
      <c r="AL791" s="1277">
        <f>AL642</f>
        <v/>
      </c>
      <c r="AM791" s="1277">
        <f>AM642-AL642</f>
        <v/>
      </c>
      <c r="AN791" s="1277">
        <f>AN642-AM642</f>
        <v/>
      </c>
      <c r="AO791" s="1277">
        <f>AO642-AN642</f>
        <v/>
      </c>
      <c r="AP791" s="1297">
        <f>SUM(AL791,AM791,AN791,AO791)</f>
        <v/>
      </c>
      <c r="AQ791" s="1277">
        <f>AQ642</f>
        <v/>
      </c>
      <c r="AR791" s="1277">
        <f>AR642-AQ642</f>
        <v/>
      </c>
      <c r="AS791" s="1277">
        <f>AS642-AR642</f>
        <v/>
      </c>
      <c r="AT791" s="1277">
        <f>AT642-AS642</f>
        <v/>
      </c>
      <c r="AU791" s="1297">
        <f>SUM(AQ791,AR791,AS791,AT791)</f>
        <v/>
      </c>
      <c r="AV791" s="1277">
        <f>AV642</f>
        <v/>
      </c>
      <c r="AW791" s="1277">
        <f>AW642-AV642</f>
        <v/>
      </c>
      <c r="AX791" s="1277">
        <f>AX642-AW642</f>
        <v/>
      </c>
      <c r="AY791" s="1277">
        <f>AY642-AX642</f>
        <v/>
      </c>
      <c r="AZ791" s="1297">
        <f>SUM(AV791,AW791,AX791,AY791)</f>
        <v/>
      </c>
      <c r="BA791" s="1277">
        <f>BA642</f>
        <v/>
      </c>
      <c r="BB791" s="1277">
        <f>BB642-BA642</f>
        <v/>
      </c>
      <c r="BC791" s="1277">
        <f>BC642-BB642</f>
        <v/>
      </c>
      <c r="BD791" s="1277">
        <f>BD642-BC642</f>
        <v/>
      </c>
      <c r="BE791" s="1297">
        <f>SUM(BA791,BB791,BC791,BD791)</f>
        <v/>
      </c>
      <c r="BF791" s="1277">
        <f>BF642</f>
        <v/>
      </c>
      <c r="BG791" s="1277">
        <f>BG642-BF642</f>
        <v/>
      </c>
      <c r="BH791" s="1277">
        <f>BH642-BG642</f>
        <v/>
      </c>
      <c r="BI791" s="1277">
        <f>BI642-BH642</f>
        <v/>
      </c>
      <c r="BJ791" s="1297">
        <f>SUM(BF791,BG791,BH791,BI791)</f>
        <v/>
      </c>
      <c r="BK791" s="1277">
        <f>BK642</f>
        <v/>
      </c>
      <c r="BL791" s="1277">
        <f>BL642-BK642</f>
        <v/>
      </c>
      <c r="BM791" s="1277">
        <f>BM642-BL642</f>
        <v/>
      </c>
      <c r="BN791" s="1277">
        <f>BN642-BM642</f>
        <v/>
      </c>
      <c r="BO791" s="1382">
        <f>SUM(BK791,BL791,BM791,BN791)</f>
        <v/>
      </c>
      <c r="BP791" s="1277" t="n"/>
      <c r="BQ791" s="1277" t="n"/>
      <c r="BR791" s="1277" t="n"/>
      <c r="BS791" s="1277" t="n"/>
      <c r="BT791" s="1297">
        <f>SUM(BP791,BQ791,BR791,BS791)</f>
        <v/>
      </c>
      <c r="BU791" s="1277" t="n"/>
      <c r="BV791" s="1277" t="n"/>
      <c r="BW791" s="1277" t="n"/>
      <c r="BX791" s="1277" t="n"/>
      <c r="BY791" s="1297">
        <f>SUM(BU791,BV791,BW791,BX791)</f>
        <v/>
      </c>
      <c r="BZ791" s="1297" t="n"/>
      <c r="CA791" s="1297" t="n"/>
      <c r="CB791" s="1297" t="n"/>
      <c r="CC791" s="1280" t="n"/>
    </row>
    <row r="792" ht="14.4" customFormat="1" customHeight="1" s="1275">
      <c r="A792" s="1384">
        <f>A643</f>
        <v/>
      </c>
      <c r="B792" s="1387" t="n"/>
      <c r="C792" s="1297">
        <f>C643</f>
        <v/>
      </c>
      <c r="D792" s="1297">
        <f>D643</f>
        <v/>
      </c>
      <c r="E792" s="1297">
        <f>E643</f>
        <v/>
      </c>
      <c r="F792" s="1297">
        <f>F643</f>
        <v/>
      </c>
      <c r="G792" s="1297">
        <f>G643</f>
        <v/>
      </c>
      <c r="H792" s="1277">
        <f>H643</f>
        <v/>
      </c>
      <c r="I792" s="1277">
        <f>I643-H643</f>
        <v/>
      </c>
      <c r="J792" s="1277">
        <f>J643-I643</f>
        <v/>
      </c>
      <c r="K792" s="1277">
        <f>K643-J643</f>
        <v/>
      </c>
      <c r="L792" s="1297">
        <f>L643</f>
        <v/>
      </c>
      <c r="M792" s="1277">
        <f>M643</f>
        <v/>
      </c>
      <c r="N792" s="1277">
        <f>N643-M643</f>
        <v/>
      </c>
      <c r="O792" s="1277">
        <f>O643-N643</f>
        <v/>
      </c>
      <c r="P792" s="1277">
        <f>P643-O643</f>
        <v/>
      </c>
      <c r="Q792" s="1297">
        <f>Q643</f>
        <v/>
      </c>
      <c r="R792" s="1277">
        <f>R643</f>
        <v/>
      </c>
      <c r="S792" s="1277">
        <f>S643-R643</f>
        <v/>
      </c>
      <c r="T792" s="1277">
        <f>T643-S643</f>
        <v/>
      </c>
      <c r="U792" s="1277">
        <f>U643-T643</f>
        <v/>
      </c>
      <c r="V792" s="1297">
        <f>V643</f>
        <v/>
      </c>
      <c r="W792" s="1277">
        <f>W643</f>
        <v/>
      </c>
      <c r="X792" s="1277">
        <f>X643-W643</f>
        <v/>
      </c>
      <c r="Y792" s="1277">
        <f>Y643-X643</f>
        <v/>
      </c>
      <c r="Z792" s="1277">
        <f>Z643-Y643</f>
        <v/>
      </c>
      <c r="AA792" s="1297">
        <f>AA643</f>
        <v/>
      </c>
      <c r="AB792" s="1277">
        <f>AB643</f>
        <v/>
      </c>
      <c r="AC792" s="1277">
        <f>AC643-AB643</f>
        <v/>
      </c>
      <c r="AD792" s="1277">
        <f>AD643-AC643</f>
        <v/>
      </c>
      <c r="AE792" s="1277">
        <f>AE643-AD643</f>
        <v/>
      </c>
      <c r="AF792" s="1297">
        <f>AF643</f>
        <v/>
      </c>
      <c r="AG792" s="1277">
        <f>AG643</f>
        <v/>
      </c>
      <c r="AH792" s="1277">
        <f>AH643-AG643</f>
        <v/>
      </c>
      <c r="AI792" s="1277">
        <f>AI643-AH643</f>
        <v/>
      </c>
      <c r="AJ792" s="1277">
        <f>AJ643-AI643</f>
        <v/>
      </c>
      <c r="AK792" s="1297">
        <f>SUM(AG792,AH792,AI792,AJ792)</f>
        <v/>
      </c>
      <c r="AL792" s="1277">
        <f>AL643</f>
        <v/>
      </c>
      <c r="AM792" s="1277">
        <f>AM643-AL643</f>
        <v/>
      </c>
      <c r="AN792" s="1277">
        <f>AN643-AM643</f>
        <v/>
      </c>
      <c r="AO792" s="1277">
        <f>AO643-AN643</f>
        <v/>
      </c>
      <c r="AP792" s="1297">
        <f>SUM(AL792,AM792,AN792,AO792)</f>
        <v/>
      </c>
      <c r="AQ792" s="1277">
        <f>AQ643</f>
        <v/>
      </c>
      <c r="AR792" s="1277">
        <f>AR643-AQ643</f>
        <v/>
      </c>
      <c r="AS792" s="1277">
        <f>AS643-AR643</f>
        <v/>
      </c>
      <c r="AT792" s="1277">
        <f>AT643-AS643</f>
        <v/>
      </c>
      <c r="AU792" s="1297">
        <f>SUM(AQ792,AR792,AS792,AT792)</f>
        <v/>
      </c>
      <c r="AV792" s="1277">
        <f>AV643</f>
        <v/>
      </c>
      <c r="AW792" s="1277">
        <f>AW643-AV643</f>
        <v/>
      </c>
      <c r="AX792" s="1277">
        <f>AX643-AW643</f>
        <v/>
      </c>
      <c r="AY792" s="1277">
        <f>AY643-AX643</f>
        <v/>
      </c>
      <c r="AZ792" s="1297">
        <f>SUM(AV792,AW792,AX792,AY792)</f>
        <v/>
      </c>
      <c r="BA792" s="1277">
        <f>BA643</f>
        <v/>
      </c>
      <c r="BB792" s="1277">
        <f>BB643-BA643</f>
        <v/>
      </c>
      <c r="BC792" s="1277">
        <f>BC643-BB643</f>
        <v/>
      </c>
      <c r="BD792" s="1277">
        <f>BD643-BC643</f>
        <v/>
      </c>
      <c r="BE792" s="1297">
        <f>SUM(BA792,BB792,BC792,BD792)</f>
        <v/>
      </c>
      <c r="BF792" s="1277">
        <f>BF643</f>
        <v/>
      </c>
      <c r="BG792" s="1277">
        <f>BG643-BF643</f>
        <v/>
      </c>
      <c r="BH792" s="1277">
        <f>BH643-BG643</f>
        <v/>
      </c>
      <c r="BI792" s="1277">
        <f>BI643-BH643</f>
        <v/>
      </c>
      <c r="BJ792" s="1297">
        <f>SUM(BF792,BG792,BH792,BI792)</f>
        <v/>
      </c>
      <c r="BK792" s="1277">
        <f>BK643</f>
        <v/>
      </c>
      <c r="BL792" s="1277">
        <f>BL643-BK643</f>
        <v/>
      </c>
      <c r="BM792" s="1277">
        <f>BM643-BL643</f>
        <v/>
      </c>
      <c r="BN792" s="1277">
        <f>BN643-BM643</f>
        <v/>
      </c>
      <c r="BO792" s="1382">
        <f>SUM(BK792,BL792,BM792,BN792)</f>
        <v/>
      </c>
      <c r="BP792" s="1277" t="n"/>
      <c r="BQ792" s="1277" t="n"/>
      <c r="BR792" s="1277" t="n"/>
      <c r="BS792" s="1277" t="n"/>
      <c r="BT792" s="1297">
        <f>SUM(BP792,BQ792,BR792,BS792)</f>
        <v/>
      </c>
      <c r="BU792" s="1277" t="n"/>
      <c r="BV792" s="1277" t="n"/>
      <c r="BW792" s="1277" t="n"/>
      <c r="BX792" s="1277" t="n"/>
      <c r="BY792" s="1297">
        <f>SUM(BU792,BV792,BW792,BX792)</f>
        <v/>
      </c>
      <c r="BZ792" s="1297" t="n"/>
      <c r="CA792" s="1297" t="n"/>
      <c r="CB792" s="1297" t="n"/>
      <c r="CC792" s="1280" t="n"/>
    </row>
    <row r="793" ht="14.4" customFormat="1" customHeight="1" s="1275">
      <c r="A793" s="1384">
        <f>A644</f>
        <v/>
      </c>
      <c r="B793" s="1387" t="n"/>
      <c r="C793" s="1297">
        <f>C644</f>
        <v/>
      </c>
      <c r="D793" s="1297">
        <f>D644</f>
        <v/>
      </c>
      <c r="E793" s="1297">
        <f>E644</f>
        <v/>
      </c>
      <c r="F793" s="1297">
        <f>F644</f>
        <v/>
      </c>
      <c r="G793" s="1297">
        <f>G644</f>
        <v/>
      </c>
      <c r="H793" s="1277">
        <f>H644</f>
        <v/>
      </c>
      <c r="I793" s="1277">
        <f>I644-H644</f>
        <v/>
      </c>
      <c r="J793" s="1277">
        <f>J644-I644</f>
        <v/>
      </c>
      <c r="K793" s="1277">
        <f>K644-J644</f>
        <v/>
      </c>
      <c r="L793" s="1297">
        <f>L644</f>
        <v/>
      </c>
      <c r="M793" s="1277">
        <f>M644</f>
        <v/>
      </c>
      <c r="N793" s="1277">
        <f>N644-M644</f>
        <v/>
      </c>
      <c r="O793" s="1277">
        <f>O644-N644</f>
        <v/>
      </c>
      <c r="P793" s="1277">
        <f>P644-O644</f>
        <v/>
      </c>
      <c r="Q793" s="1297">
        <f>Q644</f>
        <v/>
      </c>
      <c r="R793" s="1277">
        <f>R644</f>
        <v/>
      </c>
      <c r="S793" s="1277">
        <f>S644-R644</f>
        <v/>
      </c>
      <c r="T793" s="1277">
        <f>T644-S644</f>
        <v/>
      </c>
      <c r="U793" s="1277">
        <f>U644-T644</f>
        <v/>
      </c>
      <c r="V793" s="1297">
        <f>V644</f>
        <v/>
      </c>
      <c r="W793" s="1277">
        <f>W644</f>
        <v/>
      </c>
      <c r="X793" s="1277">
        <f>X644-W644</f>
        <v/>
      </c>
      <c r="Y793" s="1277">
        <f>Y644-X644</f>
        <v/>
      </c>
      <c r="Z793" s="1277">
        <f>Z644-Y644</f>
        <v/>
      </c>
      <c r="AA793" s="1297">
        <f>AA644</f>
        <v/>
      </c>
      <c r="AB793" s="1277">
        <f>AB644</f>
        <v/>
      </c>
      <c r="AC793" s="1277">
        <f>AC644-AB644</f>
        <v/>
      </c>
      <c r="AD793" s="1277">
        <f>AD644-AC644</f>
        <v/>
      </c>
      <c r="AE793" s="1277">
        <f>AE644-AD644</f>
        <v/>
      </c>
      <c r="AF793" s="1297">
        <f>AF644</f>
        <v/>
      </c>
      <c r="AG793" s="1277">
        <f>AG644</f>
        <v/>
      </c>
      <c r="AH793" s="1277">
        <f>AH644-AG644</f>
        <v/>
      </c>
      <c r="AI793" s="1277">
        <f>AI644-AH644</f>
        <v/>
      </c>
      <c r="AJ793" s="1277">
        <f>AJ644-AI644</f>
        <v/>
      </c>
      <c r="AK793" s="1297">
        <f>SUM(AG793,AH793,AI793,AJ793)</f>
        <v/>
      </c>
      <c r="AL793" s="1277">
        <f>AL644</f>
        <v/>
      </c>
      <c r="AM793" s="1277">
        <f>AM644-AL644</f>
        <v/>
      </c>
      <c r="AN793" s="1277">
        <f>AN644-AM644</f>
        <v/>
      </c>
      <c r="AO793" s="1277">
        <f>AO644-AN644</f>
        <v/>
      </c>
      <c r="AP793" s="1297">
        <f>SUM(AL793,AM793,AN793,AO793)</f>
        <v/>
      </c>
      <c r="AQ793" s="1277">
        <f>AQ644</f>
        <v/>
      </c>
      <c r="AR793" s="1277">
        <f>AR644-AQ644</f>
        <v/>
      </c>
      <c r="AS793" s="1277">
        <f>AS644-AR644</f>
        <v/>
      </c>
      <c r="AT793" s="1277">
        <f>AT644-AS644</f>
        <v/>
      </c>
      <c r="AU793" s="1297">
        <f>SUM(AQ793,AR793,AS793,AT793)</f>
        <v/>
      </c>
      <c r="AV793" s="1277">
        <f>AV644</f>
        <v/>
      </c>
      <c r="AW793" s="1277">
        <f>AW644-AV644</f>
        <v/>
      </c>
      <c r="AX793" s="1277">
        <f>AX644-AW644</f>
        <v/>
      </c>
      <c r="AY793" s="1277">
        <f>AY644-AX644</f>
        <v/>
      </c>
      <c r="AZ793" s="1297">
        <f>SUM(AV793,AW793,AX793,AY793)</f>
        <v/>
      </c>
      <c r="BA793" s="1277">
        <f>BA644</f>
        <v/>
      </c>
      <c r="BB793" s="1277">
        <f>BB644-BA644</f>
        <v/>
      </c>
      <c r="BC793" s="1277">
        <f>BC644-BB644</f>
        <v/>
      </c>
      <c r="BD793" s="1277">
        <f>BD644-BC644</f>
        <v/>
      </c>
      <c r="BE793" s="1297">
        <f>SUM(BA793,BB793,BC793,BD793)</f>
        <v/>
      </c>
      <c r="BF793" s="1277">
        <f>BF644</f>
        <v/>
      </c>
      <c r="BG793" s="1277">
        <f>BG644-BF644</f>
        <v/>
      </c>
      <c r="BH793" s="1277">
        <f>BH644-BG644</f>
        <v/>
      </c>
      <c r="BI793" s="1277">
        <f>BI644-BH644</f>
        <v/>
      </c>
      <c r="BJ793" s="1297">
        <f>SUM(BF793,BG793,BH793,BI793)</f>
        <v/>
      </c>
      <c r="BK793" s="1277">
        <f>BK644</f>
        <v/>
      </c>
      <c r="BL793" s="1277">
        <f>BL644-BK644</f>
        <v/>
      </c>
      <c r="BM793" s="1277">
        <f>BM644-BL644</f>
        <v/>
      </c>
      <c r="BN793" s="1277">
        <f>BN644-BM644</f>
        <v/>
      </c>
      <c r="BO793" s="1382">
        <f>SUM(BK793,BL793,BM793,BN793)</f>
        <v/>
      </c>
      <c r="BP793" s="1277" t="n"/>
      <c r="BQ793" s="1277" t="n"/>
      <c r="BR793" s="1277" t="n"/>
      <c r="BS793" s="1277" t="n"/>
      <c r="BT793" s="1297">
        <f>SUM(BP793,BQ793,BR793,BS793)</f>
        <v/>
      </c>
      <c r="BU793" s="1277" t="n"/>
      <c r="BV793" s="1277" t="n"/>
      <c r="BW793" s="1277" t="n"/>
      <c r="BX793" s="1277" t="n"/>
      <c r="BY793" s="1297">
        <f>SUM(BU793,BV793,BW793,BX793)</f>
        <v/>
      </c>
      <c r="BZ793" s="1297" t="n"/>
      <c r="CA793" s="1297" t="n"/>
      <c r="CB793" s="1297" t="n"/>
      <c r="CC793" s="1280" t="n"/>
    </row>
    <row r="794" ht="14.4" customFormat="1" customHeight="1" s="1275">
      <c r="A794" s="1384">
        <f>A645</f>
        <v/>
      </c>
      <c r="B794" s="1387" t="n"/>
      <c r="C794" s="1297">
        <f>C645</f>
        <v/>
      </c>
      <c r="D794" s="1297">
        <f>D645</f>
        <v/>
      </c>
      <c r="E794" s="1297">
        <f>E645</f>
        <v/>
      </c>
      <c r="F794" s="1297">
        <f>F645</f>
        <v/>
      </c>
      <c r="G794" s="1297">
        <f>G645</f>
        <v/>
      </c>
      <c r="H794" s="1277">
        <f>H645</f>
        <v/>
      </c>
      <c r="I794" s="1277">
        <f>I645-H645</f>
        <v/>
      </c>
      <c r="J794" s="1277">
        <f>J645-I645</f>
        <v/>
      </c>
      <c r="K794" s="1277">
        <f>K645-J645</f>
        <v/>
      </c>
      <c r="L794" s="1297">
        <f>L645</f>
        <v/>
      </c>
      <c r="M794" s="1277">
        <f>M645</f>
        <v/>
      </c>
      <c r="N794" s="1277">
        <f>N645-M645</f>
        <v/>
      </c>
      <c r="O794" s="1277">
        <f>O645-N645</f>
        <v/>
      </c>
      <c r="P794" s="1277">
        <f>P645-O645</f>
        <v/>
      </c>
      <c r="Q794" s="1297">
        <f>Q645</f>
        <v/>
      </c>
      <c r="R794" s="1277">
        <f>R645</f>
        <v/>
      </c>
      <c r="S794" s="1277">
        <f>S645-R645</f>
        <v/>
      </c>
      <c r="T794" s="1277">
        <f>T645-S645</f>
        <v/>
      </c>
      <c r="U794" s="1277">
        <f>U645-T645</f>
        <v/>
      </c>
      <c r="V794" s="1297">
        <f>V645</f>
        <v/>
      </c>
      <c r="W794" s="1277">
        <f>W645</f>
        <v/>
      </c>
      <c r="X794" s="1277">
        <f>X645-W645</f>
        <v/>
      </c>
      <c r="Y794" s="1277">
        <f>Y645-X645</f>
        <v/>
      </c>
      <c r="Z794" s="1277">
        <f>Z645-Y645</f>
        <v/>
      </c>
      <c r="AA794" s="1297">
        <f>AA645</f>
        <v/>
      </c>
      <c r="AB794" s="1277">
        <f>AB645</f>
        <v/>
      </c>
      <c r="AC794" s="1277">
        <f>AC645-AB645</f>
        <v/>
      </c>
      <c r="AD794" s="1277">
        <f>AD645-AC645</f>
        <v/>
      </c>
      <c r="AE794" s="1277">
        <f>AE645-AD645</f>
        <v/>
      </c>
      <c r="AF794" s="1297">
        <f>AF645</f>
        <v/>
      </c>
      <c r="AG794" s="1277">
        <f>AG645</f>
        <v/>
      </c>
      <c r="AH794" s="1277">
        <f>AH645-AG645</f>
        <v/>
      </c>
      <c r="AI794" s="1277">
        <f>AI645-AH645</f>
        <v/>
      </c>
      <c r="AJ794" s="1277">
        <f>AJ645-AI645</f>
        <v/>
      </c>
      <c r="AK794" s="1297">
        <f>SUM(AG794,AH794,AI794,AJ794)</f>
        <v/>
      </c>
      <c r="AL794" s="1277">
        <f>AL645</f>
        <v/>
      </c>
      <c r="AM794" s="1277">
        <f>AM645-AL645</f>
        <v/>
      </c>
      <c r="AN794" s="1277">
        <f>AN645-AM645</f>
        <v/>
      </c>
      <c r="AO794" s="1277">
        <f>AO645-AN645</f>
        <v/>
      </c>
      <c r="AP794" s="1297">
        <f>SUM(AL794,AM794,AN794,AO794)</f>
        <v/>
      </c>
      <c r="AQ794" s="1277">
        <f>AQ645</f>
        <v/>
      </c>
      <c r="AR794" s="1277">
        <f>AR645-AQ645</f>
        <v/>
      </c>
      <c r="AS794" s="1277">
        <f>AS645-AR645</f>
        <v/>
      </c>
      <c r="AT794" s="1277">
        <f>AT645-AS645</f>
        <v/>
      </c>
      <c r="AU794" s="1297">
        <f>SUM(AQ794,AR794,AS794,AT794)</f>
        <v/>
      </c>
      <c r="AV794" s="1277">
        <f>AV645</f>
        <v/>
      </c>
      <c r="AW794" s="1277">
        <f>AW645-AV645</f>
        <v/>
      </c>
      <c r="AX794" s="1277">
        <f>AX645-AW645</f>
        <v/>
      </c>
      <c r="AY794" s="1277">
        <f>AY645-AX645</f>
        <v/>
      </c>
      <c r="AZ794" s="1297">
        <f>SUM(AV794,AW794,AX794,AY794)</f>
        <v/>
      </c>
      <c r="BA794" s="1277">
        <f>BA645</f>
        <v/>
      </c>
      <c r="BB794" s="1277">
        <f>BB645-BA645</f>
        <v/>
      </c>
      <c r="BC794" s="1277">
        <f>BC645-BB645</f>
        <v/>
      </c>
      <c r="BD794" s="1277">
        <f>BD645-BC645</f>
        <v/>
      </c>
      <c r="BE794" s="1297">
        <f>SUM(BA794,BB794,BC794,BD794)</f>
        <v/>
      </c>
      <c r="BF794" s="1277">
        <f>BF645</f>
        <v/>
      </c>
      <c r="BG794" s="1277">
        <f>BG645-BF645</f>
        <v/>
      </c>
      <c r="BH794" s="1277">
        <f>BH645-BG645</f>
        <v/>
      </c>
      <c r="BI794" s="1277">
        <f>BI645-BH645</f>
        <v/>
      </c>
      <c r="BJ794" s="1297">
        <f>SUM(BF794,BG794,BH794,BI794)</f>
        <v/>
      </c>
      <c r="BK794" s="1277">
        <f>BK645</f>
        <v/>
      </c>
      <c r="BL794" s="1277">
        <f>BL645-BK645</f>
        <v/>
      </c>
      <c r="BM794" s="1277">
        <f>BM645-BL645</f>
        <v/>
      </c>
      <c r="BN794" s="1277">
        <f>BN645-BM645</f>
        <v/>
      </c>
      <c r="BO794" s="1382">
        <f>SUM(BK794,BL794,BM794,BN794)</f>
        <v/>
      </c>
      <c r="BP794" s="1277" t="n"/>
      <c r="BQ794" s="1277" t="n"/>
      <c r="BR794" s="1277" t="n"/>
      <c r="BS794" s="1277" t="n"/>
      <c r="BT794" s="1297">
        <f>SUM(BP794,BQ794,BR794,BS794)</f>
        <v/>
      </c>
      <c r="BU794" s="1277" t="n"/>
      <c r="BV794" s="1277" t="n"/>
      <c r="BW794" s="1277" t="n"/>
      <c r="BX794" s="1277" t="n"/>
      <c r="BY794" s="1297">
        <f>SUM(BU794,BV794,BW794,BX794)</f>
        <v/>
      </c>
      <c r="BZ794" s="1297" t="n"/>
      <c r="CA794" s="1297" t="n"/>
      <c r="CB794" s="1297" t="n"/>
      <c r="CC794" s="1280" t="n"/>
    </row>
    <row r="795" ht="14.4" customFormat="1" customHeight="1" s="1275">
      <c r="A795" s="1384">
        <f>A646</f>
        <v/>
      </c>
      <c r="B795" s="1387" t="n"/>
      <c r="C795" s="1297">
        <f>C646</f>
        <v/>
      </c>
      <c r="D795" s="1297">
        <f>D646</f>
        <v/>
      </c>
      <c r="E795" s="1297">
        <f>E646</f>
        <v/>
      </c>
      <c r="F795" s="1297">
        <f>F646</f>
        <v/>
      </c>
      <c r="G795" s="1297">
        <f>G646</f>
        <v/>
      </c>
      <c r="H795" s="1277">
        <f>H646</f>
        <v/>
      </c>
      <c r="I795" s="1277">
        <f>I646-H646</f>
        <v/>
      </c>
      <c r="J795" s="1277">
        <f>J646-I646</f>
        <v/>
      </c>
      <c r="K795" s="1277">
        <f>K646-J646</f>
        <v/>
      </c>
      <c r="L795" s="1297">
        <f>L646</f>
        <v/>
      </c>
      <c r="M795" s="1277">
        <f>M646</f>
        <v/>
      </c>
      <c r="N795" s="1277">
        <f>N646-M646</f>
        <v/>
      </c>
      <c r="O795" s="1277">
        <f>O646-N646</f>
        <v/>
      </c>
      <c r="P795" s="1277">
        <f>P646-O646</f>
        <v/>
      </c>
      <c r="Q795" s="1297">
        <f>Q646</f>
        <v/>
      </c>
      <c r="R795" s="1277">
        <f>R646</f>
        <v/>
      </c>
      <c r="S795" s="1277">
        <f>S646-R646</f>
        <v/>
      </c>
      <c r="T795" s="1277">
        <f>T646-S646</f>
        <v/>
      </c>
      <c r="U795" s="1277">
        <f>U646-T646</f>
        <v/>
      </c>
      <c r="V795" s="1297">
        <f>V646</f>
        <v/>
      </c>
      <c r="W795" s="1277">
        <f>W646</f>
        <v/>
      </c>
      <c r="X795" s="1277">
        <f>X646-W646</f>
        <v/>
      </c>
      <c r="Y795" s="1277">
        <f>Y646-X646</f>
        <v/>
      </c>
      <c r="Z795" s="1277">
        <f>Z646-Y646</f>
        <v/>
      </c>
      <c r="AA795" s="1297">
        <f>AA646</f>
        <v/>
      </c>
      <c r="AB795" s="1277">
        <f>AB646</f>
        <v/>
      </c>
      <c r="AC795" s="1277">
        <f>AC646-AB646</f>
        <v/>
      </c>
      <c r="AD795" s="1277">
        <f>AD646-AC646</f>
        <v/>
      </c>
      <c r="AE795" s="1277">
        <f>AE646-AD646</f>
        <v/>
      </c>
      <c r="AF795" s="1297">
        <f>AF646</f>
        <v/>
      </c>
      <c r="AG795" s="1277">
        <f>AG646</f>
        <v/>
      </c>
      <c r="AH795" s="1277">
        <f>AH646-AG646</f>
        <v/>
      </c>
      <c r="AI795" s="1277">
        <f>AI646-AH646</f>
        <v/>
      </c>
      <c r="AJ795" s="1277">
        <f>AJ646-AI646</f>
        <v/>
      </c>
      <c r="AK795" s="1297">
        <f>SUM(AG795,AH795,AI795,AJ795)</f>
        <v/>
      </c>
      <c r="AL795" s="1277">
        <f>AL646</f>
        <v/>
      </c>
      <c r="AM795" s="1277">
        <f>AM646-AL646</f>
        <v/>
      </c>
      <c r="AN795" s="1277">
        <f>AN646-AM646</f>
        <v/>
      </c>
      <c r="AO795" s="1277">
        <f>AO646-AN646</f>
        <v/>
      </c>
      <c r="AP795" s="1297">
        <f>SUM(AL795,AM795,AN795,AO795)</f>
        <v/>
      </c>
      <c r="AQ795" s="1277">
        <f>AQ646</f>
        <v/>
      </c>
      <c r="AR795" s="1277">
        <f>AR646-AQ646</f>
        <v/>
      </c>
      <c r="AS795" s="1277">
        <f>AS646-AR646</f>
        <v/>
      </c>
      <c r="AT795" s="1277">
        <f>AT646-AS646</f>
        <v/>
      </c>
      <c r="AU795" s="1297">
        <f>SUM(AQ795,AR795,AS795,AT795)</f>
        <v/>
      </c>
      <c r="AV795" s="1277">
        <f>AV646</f>
        <v/>
      </c>
      <c r="AW795" s="1277">
        <f>AW646-AV646</f>
        <v/>
      </c>
      <c r="AX795" s="1277">
        <f>AX646-AW646</f>
        <v/>
      </c>
      <c r="AY795" s="1277">
        <f>AY646-AX646</f>
        <v/>
      </c>
      <c r="AZ795" s="1297">
        <f>SUM(AV795,AW795,AX795,AY795)</f>
        <v/>
      </c>
      <c r="BA795" s="1277">
        <f>BA646</f>
        <v/>
      </c>
      <c r="BB795" s="1277">
        <f>BB646-BA646</f>
        <v/>
      </c>
      <c r="BC795" s="1277">
        <f>BC646-BB646</f>
        <v/>
      </c>
      <c r="BD795" s="1277">
        <f>BD646-BC646</f>
        <v/>
      </c>
      <c r="BE795" s="1297">
        <f>SUM(BA795,BB795,BC795,BD795)</f>
        <v/>
      </c>
      <c r="BF795" s="1277">
        <f>BF646</f>
        <v/>
      </c>
      <c r="BG795" s="1277">
        <f>BG646-BF646</f>
        <v/>
      </c>
      <c r="BH795" s="1277">
        <f>BH646-BG646</f>
        <v/>
      </c>
      <c r="BI795" s="1277">
        <f>BI646-BH646</f>
        <v/>
      </c>
      <c r="BJ795" s="1297">
        <f>SUM(BF795,BG795,BH795,BI795)</f>
        <v/>
      </c>
      <c r="BK795" s="1277">
        <f>BK646</f>
        <v/>
      </c>
      <c r="BL795" s="1277">
        <f>BL646-BK646</f>
        <v/>
      </c>
      <c r="BM795" s="1277">
        <f>BM646-BL646</f>
        <v/>
      </c>
      <c r="BN795" s="1277">
        <f>BN646-BM646</f>
        <v/>
      </c>
      <c r="BO795" s="1382">
        <f>SUM(BK795,BL795,BM795,BN795)</f>
        <v/>
      </c>
      <c r="BP795" s="1277" t="n"/>
      <c r="BQ795" s="1277" t="n"/>
      <c r="BR795" s="1277" t="n"/>
      <c r="BS795" s="1277" t="n"/>
      <c r="BT795" s="1297">
        <f>SUM(BP795,BQ795,BR795,BS795)</f>
        <v/>
      </c>
      <c r="BU795" s="1277" t="n"/>
      <c r="BV795" s="1277" t="n"/>
      <c r="BW795" s="1277" t="n"/>
      <c r="BX795" s="1277" t="n"/>
      <c r="BY795" s="1297">
        <f>SUM(BU795,BV795,BW795,BX795)</f>
        <v/>
      </c>
      <c r="BZ795" s="1297" t="n"/>
      <c r="CA795" s="1297" t="n"/>
      <c r="CB795" s="1297" t="n"/>
      <c r="CC795" s="1280" t="n"/>
    </row>
    <row r="796" ht="14.4" customFormat="1" customHeight="1" s="1275">
      <c r="A796" s="1384">
        <f>A647</f>
        <v/>
      </c>
      <c r="B796" s="1387" t="n"/>
      <c r="C796" s="1297">
        <f>C647</f>
        <v/>
      </c>
      <c r="D796" s="1297">
        <f>D647</f>
        <v/>
      </c>
      <c r="E796" s="1297">
        <f>E647</f>
        <v/>
      </c>
      <c r="F796" s="1297">
        <f>F647</f>
        <v/>
      </c>
      <c r="G796" s="1297">
        <f>G647</f>
        <v/>
      </c>
      <c r="H796" s="1277">
        <f>H647</f>
        <v/>
      </c>
      <c r="I796" s="1277">
        <f>I647-H647</f>
        <v/>
      </c>
      <c r="J796" s="1277">
        <f>J647-I647</f>
        <v/>
      </c>
      <c r="K796" s="1277">
        <f>K647-J647</f>
        <v/>
      </c>
      <c r="L796" s="1297">
        <f>L647</f>
        <v/>
      </c>
      <c r="M796" s="1277">
        <f>M647</f>
        <v/>
      </c>
      <c r="N796" s="1277">
        <f>N647-M647</f>
        <v/>
      </c>
      <c r="O796" s="1277">
        <f>O647-N647</f>
        <v/>
      </c>
      <c r="P796" s="1277">
        <f>P647-O647</f>
        <v/>
      </c>
      <c r="Q796" s="1297">
        <f>Q647</f>
        <v/>
      </c>
      <c r="R796" s="1277">
        <f>R647</f>
        <v/>
      </c>
      <c r="S796" s="1277">
        <f>S647-R647</f>
        <v/>
      </c>
      <c r="T796" s="1277">
        <f>T647-S647</f>
        <v/>
      </c>
      <c r="U796" s="1277">
        <f>U647-T647</f>
        <v/>
      </c>
      <c r="V796" s="1297">
        <f>V647</f>
        <v/>
      </c>
      <c r="W796" s="1277">
        <f>W647</f>
        <v/>
      </c>
      <c r="X796" s="1277">
        <f>X647-W647</f>
        <v/>
      </c>
      <c r="Y796" s="1277">
        <f>Y647-X647</f>
        <v/>
      </c>
      <c r="Z796" s="1277">
        <f>Z647-Y647</f>
        <v/>
      </c>
      <c r="AA796" s="1297">
        <f>AA647</f>
        <v/>
      </c>
      <c r="AB796" s="1277">
        <f>AB647</f>
        <v/>
      </c>
      <c r="AC796" s="1277">
        <f>AC647-AB647</f>
        <v/>
      </c>
      <c r="AD796" s="1277">
        <f>AD647-AC647</f>
        <v/>
      </c>
      <c r="AE796" s="1277">
        <f>AE647-AD647</f>
        <v/>
      </c>
      <c r="AF796" s="1297">
        <f>AF647</f>
        <v/>
      </c>
      <c r="AG796" s="1277">
        <f>AG647</f>
        <v/>
      </c>
      <c r="AH796" s="1277">
        <f>AH647-AG647</f>
        <v/>
      </c>
      <c r="AI796" s="1277">
        <f>AI647-AH647</f>
        <v/>
      </c>
      <c r="AJ796" s="1277">
        <f>AJ647-AI647</f>
        <v/>
      </c>
      <c r="AK796" s="1297">
        <f>SUM(AG796,AH796,AI796,AJ796)</f>
        <v/>
      </c>
      <c r="AL796" s="1277">
        <f>AL647</f>
        <v/>
      </c>
      <c r="AM796" s="1277">
        <f>AM647-AL647</f>
        <v/>
      </c>
      <c r="AN796" s="1277">
        <f>AN647-AM647</f>
        <v/>
      </c>
      <c r="AO796" s="1277">
        <f>AO647-AN647</f>
        <v/>
      </c>
      <c r="AP796" s="1297">
        <f>SUM(AL796,AM796,AN796,AO796)</f>
        <v/>
      </c>
      <c r="AQ796" s="1277">
        <f>AQ647</f>
        <v/>
      </c>
      <c r="AR796" s="1277">
        <f>AR647-AQ647</f>
        <v/>
      </c>
      <c r="AS796" s="1277">
        <f>AS647-AR647</f>
        <v/>
      </c>
      <c r="AT796" s="1277">
        <f>AT647-AS647</f>
        <v/>
      </c>
      <c r="AU796" s="1297">
        <f>SUM(AQ796,AR796,AS796,AT796)</f>
        <v/>
      </c>
      <c r="AV796" s="1277">
        <f>AV647</f>
        <v/>
      </c>
      <c r="AW796" s="1277">
        <f>AW647-AV647</f>
        <v/>
      </c>
      <c r="AX796" s="1277">
        <f>AX647-AW647</f>
        <v/>
      </c>
      <c r="AY796" s="1277">
        <f>AY647-AX647</f>
        <v/>
      </c>
      <c r="AZ796" s="1297">
        <f>SUM(AV796,AW796,AX796,AY796)</f>
        <v/>
      </c>
      <c r="BA796" s="1277">
        <f>BA647</f>
        <v/>
      </c>
      <c r="BB796" s="1277">
        <f>BB647-BA647</f>
        <v/>
      </c>
      <c r="BC796" s="1277">
        <f>BC647-BB647</f>
        <v/>
      </c>
      <c r="BD796" s="1277">
        <f>BD647-BC647</f>
        <v/>
      </c>
      <c r="BE796" s="1297">
        <f>SUM(BA796,BB796,BC796,BD796)</f>
        <v/>
      </c>
      <c r="BF796" s="1277">
        <f>BF647</f>
        <v/>
      </c>
      <c r="BG796" s="1277">
        <f>BG647-BF647</f>
        <v/>
      </c>
      <c r="BH796" s="1277">
        <f>BH647-BG647</f>
        <v/>
      </c>
      <c r="BI796" s="1277">
        <f>BI647-BH647</f>
        <v/>
      </c>
      <c r="BJ796" s="1297">
        <f>SUM(BF796,BG796,BH796,BI796)</f>
        <v/>
      </c>
      <c r="BK796" s="1277">
        <f>BK647</f>
        <v/>
      </c>
      <c r="BL796" s="1277">
        <f>BL647-BK647</f>
        <v/>
      </c>
      <c r="BM796" s="1277">
        <f>BM647-BL647</f>
        <v/>
      </c>
      <c r="BN796" s="1277">
        <f>BN647-BM647</f>
        <v/>
      </c>
      <c r="BO796" s="1382">
        <f>SUM(BK796,BL796,BM796,BN796)</f>
        <v/>
      </c>
      <c r="BP796" s="1277" t="n"/>
      <c r="BQ796" s="1277" t="n"/>
      <c r="BR796" s="1277" t="n"/>
      <c r="BS796" s="1277" t="n"/>
      <c r="BT796" s="1297">
        <f>SUM(BP796,BQ796,BR796,BS796)</f>
        <v/>
      </c>
      <c r="BU796" s="1277" t="n"/>
      <c r="BV796" s="1277" t="n"/>
      <c r="BW796" s="1277" t="n"/>
      <c r="BX796" s="1277" t="n"/>
      <c r="BY796" s="1297">
        <f>SUM(BU796,BV796,BW796,BX796)</f>
        <v/>
      </c>
      <c r="BZ796" s="1297" t="n"/>
      <c r="CA796" s="1297" t="n"/>
      <c r="CB796" s="1297" t="n"/>
      <c r="CC796" s="1280" t="n"/>
    </row>
    <row r="797" ht="14.4" customFormat="1" customHeight="1" s="1275">
      <c r="A797" s="1384">
        <f>A648</f>
        <v/>
      </c>
      <c r="B797" s="1387" t="n"/>
      <c r="C797" s="1297">
        <f>C648</f>
        <v/>
      </c>
      <c r="D797" s="1297">
        <f>D648</f>
        <v/>
      </c>
      <c r="E797" s="1297">
        <f>E648</f>
        <v/>
      </c>
      <c r="F797" s="1297">
        <f>F648</f>
        <v/>
      </c>
      <c r="G797" s="1297">
        <f>G648</f>
        <v/>
      </c>
      <c r="H797" s="1277">
        <f>H648</f>
        <v/>
      </c>
      <c r="I797" s="1277">
        <f>I648-H648</f>
        <v/>
      </c>
      <c r="J797" s="1277">
        <f>J648-I648</f>
        <v/>
      </c>
      <c r="K797" s="1277">
        <f>K648-J648</f>
        <v/>
      </c>
      <c r="L797" s="1297">
        <f>L648</f>
        <v/>
      </c>
      <c r="M797" s="1277">
        <f>M648</f>
        <v/>
      </c>
      <c r="N797" s="1277">
        <f>N648-M648</f>
        <v/>
      </c>
      <c r="O797" s="1277">
        <f>O648-N648</f>
        <v/>
      </c>
      <c r="P797" s="1277">
        <f>P648-O648</f>
        <v/>
      </c>
      <c r="Q797" s="1297">
        <f>Q648</f>
        <v/>
      </c>
      <c r="R797" s="1277">
        <f>R648</f>
        <v/>
      </c>
      <c r="S797" s="1277">
        <f>S648-R648</f>
        <v/>
      </c>
      <c r="T797" s="1277">
        <f>T648-S648</f>
        <v/>
      </c>
      <c r="U797" s="1277">
        <f>U648-T648</f>
        <v/>
      </c>
      <c r="V797" s="1297">
        <f>V648</f>
        <v/>
      </c>
      <c r="W797" s="1277">
        <f>W648</f>
        <v/>
      </c>
      <c r="X797" s="1277">
        <f>X648-W648</f>
        <v/>
      </c>
      <c r="Y797" s="1277">
        <f>Y648-X648</f>
        <v/>
      </c>
      <c r="Z797" s="1277">
        <f>Z648-Y648</f>
        <v/>
      </c>
      <c r="AA797" s="1297">
        <f>AA648</f>
        <v/>
      </c>
      <c r="AB797" s="1277">
        <f>AB648</f>
        <v/>
      </c>
      <c r="AC797" s="1277">
        <f>AC648-AB648</f>
        <v/>
      </c>
      <c r="AD797" s="1277">
        <f>AD648-AC648</f>
        <v/>
      </c>
      <c r="AE797" s="1277">
        <f>AE648-AD648</f>
        <v/>
      </c>
      <c r="AF797" s="1297">
        <f>AF648</f>
        <v/>
      </c>
      <c r="AG797" s="1277">
        <f>AG648</f>
        <v/>
      </c>
      <c r="AH797" s="1277">
        <f>AH648-AG648</f>
        <v/>
      </c>
      <c r="AI797" s="1277">
        <f>AI648-AH648</f>
        <v/>
      </c>
      <c r="AJ797" s="1277">
        <f>AJ648-AI648</f>
        <v/>
      </c>
      <c r="AK797" s="1297">
        <f>SUM(AG797,AH797,AI797,AJ797)</f>
        <v/>
      </c>
      <c r="AL797" s="1277">
        <f>AL648</f>
        <v/>
      </c>
      <c r="AM797" s="1277">
        <f>AM648-AL648</f>
        <v/>
      </c>
      <c r="AN797" s="1277">
        <f>AN648-AM648</f>
        <v/>
      </c>
      <c r="AO797" s="1277">
        <f>AO648-AN648</f>
        <v/>
      </c>
      <c r="AP797" s="1297">
        <f>SUM(AL797,AM797,AN797,AO797)</f>
        <v/>
      </c>
      <c r="AQ797" s="1277">
        <f>AQ648</f>
        <v/>
      </c>
      <c r="AR797" s="1277">
        <f>AR648-AQ648</f>
        <v/>
      </c>
      <c r="AS797" s="1277">
        <f>AS648-AR648</f>
        <v/>
      </c>
      <c r="AT797" s="1277">
        <f>AT648-AS648</f>
        <v/>
      </c>
      <c r="AU797" s="1297">
        <f>SUM(AQ797,AR797,AS797,AT797)</f>
        <v/>
      </c>
      <c r="AV797" s="1277">
        <f>AV648</f>
        <v/>
      </c>
      <c r="AW797" s="1277">
        <f>AW648-AV648</f>
        <v/>
      </c>
      <c r="AX797" s="1277">
        <f>AX648-AW648</f>
        <v/>
      </c>
      <c r="AY797" s="1277">
        <f>AY648-AX648</f>
        <v/>
      </c>
      <c r="AZ797" s="1297">
        <f>SUM(AV797,AW797,AX797,AY797)</f>
        <v/>
      </c>
      <c r="BA797" s="1277">
        <f>BA648</f>
        <v/>
      </c>
      <c r="BB797" s="1277">
        <f>BB648-BA648</f>
        <v/>
      </c>
      <c r="BC797" s="1277">
        <f>BC648-BB648</f>
        <v/>
      </c>
      <c r="BD797" s="1277">
        <f>BD648-BC648</f>
        <v/>
      </c>
      <c r="BE797" s="1297">
        <f>SUM(BA797,BB797,BC797,BD797)</f>
        <v/>
      </c>
      <c r="BF797" s="1277">
        <f>BF648</f>
        <v/>
      </c>
      <c r="BG797" s="1277">
        <f>BG648-BF648</f>
        <v/>
      </c>
      <c r="BH797" s="1277">
        <f>BH648-BG648</f>
        <v/>
      </c>
      <c r="BI797" s="1277">
        <f>BI648-BH648</f>
        <v/>
      </c>
      <c r="BJ797" s="1297">
        <f>SUM(BF797,BG797,BH797,BI797)</f>
        <v/>
      </c>
      <c r="BK797" s="1277">
        <f>BK648</f>
        <v/>
      </c>
      <c r="BL797" s="1277">
        <f>BL648-BK648</f>
        <v/>
      </c>
      <c r="BM797" s="1277">
        <f>BM648-BL648</f>
        <v/>
      </c>
      <c r="BN797" s="1277">
        <f>BN648-BM648</f>
        <v/>
      </c>
      <c r="BO797" s="1382">
        <f>SUM(BK797,BL797,BM797,BN797)</f>
        <v/>
      </c>
      <c r="BP797" s="1277" t="n"/>
      <c r="BQ797" s="1277" t="n"/>
      <c r="BR797" s="1277" t="n"/>
      <c r="BS797" s="1277" t="n"/>
      <c r="BT797" s="1297">
        <f>SUM(BP797,BQ797,BR797,BS797)</f>
        <v/>
      </c>
      <c r="BU797" s="1277" t="n"/>
      <c r="BV797" s="1277" t="n"/>
      <c r="BW797" s="1277" t="n"/>
      <c r="BX797" s="1277" t="n"/>
      <c r="BY797" s="1297">
        <f>SUM(BU797,BV797,BW797,BX797)</f>
        <v/>
      </c>
      <c r="BZ797" s="1297" t="n"/>
      <c r="CA797" s="1297" t="n"/>
      <c r="CB797" s="1297" t="n"/>
      <c r="CC797" s="1280" t="n"/>
    </row>
    <row r="798" ht="14.4" customFormat="1" customHeight="1" s="1275">
      <c r="A798" s="1384">
        <f>A649</f>
        <v/>
      </c>
      <c r="B798" s="1387" t="n"/>
      <c r="C798" s="1297">
        <f>C649</f>
        <v/>
      </c>
      <c r="D798" s="1297">
        <f>D649</f>
        <v/>
      </c>
      <c r="E798" s="1297">
        <f>E649</f>
        <v/>
      </c>
      <c r="F798" s="1297">
        <f>F649</f>
        <v/>
      </c>
      <c r="G798" s="1297">
        <f>G649</f>
        <v/>
      </c>
      <c r="H798" s="1277">
        <f>H649</f>
        <v/>
      </c>
      <c r="I798" s="1277">
        <f>I649-H649</f>
        <v/>
      </c>
      <c r="J798" s="1277">
        <f>J649-I649</f>
        <v/>
      </c>
      <c r="K798" s="1277">
        <f>K649-J649</f>
        <v/>
      </c>
      <c r="L798" s="1297">
        <f>L649</f>
        <v/>
      </c>
      <c r="M798" s="1277">
        <f>M649</f>
        <v/>
      </c>
      <c r="N798" s="1277">
        <f>N649-M649</f>
        <v/>
      </c>
      <c r="O798" s="1277">
        <f>O649-N649</f>
        <v/>
      </c>
      <c r="P798" s="1277">
        <f>P649-O649</f>
        <v/>
      </c>
      <c r="Q798" s="1297">
        <f>Q649</f>
        <v/>
      </c>
      <c r="R798" s="1277">
        <f>R649</f>
        <v/>
      </c>
      <c r="S798" s="1277">
        <f>S649-R649</f>
        <v/>
      </c>
      <c r="T798" s="1277">
        <f>T649-S649</f>
        <v/>
      </c>
      <c r="U798" s="1277">
        <f>U649-T649</f>
        <v/>
      </c>
      <c r="V798" s="1297">
        <f>V649</f>
        <v/>
      </c>
      <c r="W798" s="1277">
        <f>W649</f>
        <v/>
      </c>
      <c r="X798" s="1277">
        <f>X649-W649</f>
        <v/>
      </c>
      <c r="Y798" s="1277">
        <f>Y649-X649</f>
        <v/>
      </c>
      <c r="Z798" s="1277">
        <f>Z649-Y649</f>
        <v/>
      </c>
      <c r="AA798" s="1297">
        <f>AA649</f>
        <v/>
      </c>
      <c r="AB798" s="1277">
        <f>AB649</f>
        <v/>
      </c>
      <c r="AC798" s="1277">
        <f>AC649-AB649</f>
        <v/>
      </c>
      <c r="AD798" s="1277">
        <f>AD649-AC649</f>
        <v/>
      </c>
      <c r="AE798" s="1277">
        <f>AE649-AD649</f>
        <v/>
      </c>
      <c r="AF798" s="1297">
        <f>AF649</f>
        <v/>
      </c>
      <c r="AG798" s="1277">
        <f>AG649</f>
        <v/>
      </c>
      <c r="AH798" s="1277">
        <f>AH649-AG649</f>
        <v/>
      </c>
      <c r="AI798" s="1277">
        <f>AI649-AH649</f>
        <v/>
      </c>
      <c r="AJ798" s="1277">
        <f>AJ649-AI649</f>
        <v/>
      </c>
      <c r="AK798" s="1297">
        <f>SUM(AG798,AH798,AI798,AJ798)</f>
        <v/>
      </c>
      <c r="AL798" s="1277">
        <f>AL649</f>
        <v/>
      </c>
      <c r="AM798" s="1277">
        <f>AM649-AL649</f>
        <v/>
      </c>
      <c r="AN798" s="1277">
        <f>AN649-AM649</f>
        <v/>
      </c>
      <c r="AO798" s="1277">
        <f>AO649-AN649</f>
        <v/>
      </c>
      <c r="AP798" s="1297">
        <f>SUM(AL798,AM798,AN798,AO798)</f>
        <v/>
      </c>
      <c r="AQ798" s="1277">
        <f>AQ649</f>
        <v/>
      </c>
      <c r="AR798" s="1277">
        <f>AR649-AQ649</f>
        <v/>
      </c>
      <c r="AS798" s="1277">
        <f>AS649-AR649</f>
        <v/>
      </c>
      <c r="AT798" s="1277">
        <f>AT649-AS649</f>
        <v/>
      </c>
      <c r="AU798" s="1297">
        <f>SUM(AQ798,AR798,AS798,AT798)</f>
        <v/>
      </c>
      <c r="AV798" s="1277">
        <f>AV649</f>
        <v/>
      </c>
      <c r="AW798" s="1277">
        <f>AW649-AV649</f>
        <v/>
      </c>
      <c r="AX798" s="1277">
        <f>AX649-AW649</f>
        <v/>
      </c>
      <c r="AY798" s="1277">
        <f>AY649-AX649</f>
        <v/>
      </c>
      <c r="AZ798" s="1297">
        <f>SUM(AV798,AW798,AX798,AY798)</f>
        <v/>
      </c>
      <c r="BA798" s="1277">
        <f>BA649</f>
        <v/>
      </c>
      <c r="BB798" s="1277">
        <f>BB649-BA649</f>
        <v/>
      </c>
      <c r="BC798" s="1277">
        <f>BC649-BB649</f>
        <v/>
      </c>
      <c r="BD798" s="1277">
        <f>BD649-BC649</f>
        <v/>
      </c>
      <c r="BE798" s="1297">
        <f>SUM(BA798,BB798,BC798,BD798)</f>
        <v/>
      </c>
      <c r="BF798" s="1277">
        <f>BF649</f>
        <v/>
      </c>
      <c r="BG798" s="1277">
        <f>BG649-BF649</f>
        <v/>
      </c>
      <c r="BH798" s="1277">
        <f>BH649-BG649</f>
        <v/>
      </c>
      <c r="BI798" s="1277">
        <f>BI649-BH649</f>
        <v/>
      </c>
      <c r="BJ798" s="1297">
        <f>SUM(BF798,BG798,BH798,BI798)</f>
        <v/>
      </c>
      <c r="BK798" s="1277">
        <f>BK649</f>
        <v/>
      </c>
      <c r="BL798" s="1277">
        <f>BL649-BK649</f>
        <v/>
      </c>
      <c r="BM798" s="1277">
        <f>BM649-BL649</f>
        <v/>
      </c>
      <c r="BN798" s="1277">
        <f>BN649-BM649</f>
        <v/>
      </c>
      <c r="BO798" s="1382">
        <f>SUM(BK798,BL798,BM798,BN798)</f>
        <v/>
      </c>
      <c r="BP798" s="1277" t="n"/>
      <c r="BQ798" s="1277" t="n"/>
      <c r="BR798" s="1277" t="n"/>
      <c r="BS798" s="1277" t="n"/>
      <c r="BT798" s="1297">
        <f>SUM(BP798,BQ798,BR798,BS798)</f>
        <v/>
      </c>
      <c r="BU798" s="1277" t="n"/>
      <c r="BV798" s="1277" t="n"/>
      <c r="BW798" s="1277" t="n"/>
      <c r="BX798" s="1277" t="n"/>
      <c r="BY798" s="1297">
        <f>SUM(BU798,BV798,BW798,BX798)</f>
        <v/>
      </c>
      <c r="BZ798" s="1297" t="n"/>
      <c r="CA798" s="1297" t="n"/>
      <c r="CB798" s="1297" t="n"/>
      <c r="CC798" s="1280" t="n"/>
    </row>
    <row r="799" ht="14.4" customFormat="1" customHeight="1" s="1275">
      <c r="A799" s="1384">
        <f>A650</f>
        <v/>
      </c>
      <c r="B799" s="1387" t="n"/>
      <c r="C799" s="1297">
        <f>C650</f>
        <v/>
      </c>
      <c r="D799" s="1297">
        <f>D650</f>
        <v/>
      </c>
      <c r="E799" s="1297">
        <f>E650</f>
        <v/>
      </c>
      <c r="F799" s="1297">
        <f>F650</f>
        <v/>
      </c>
      <c r="G799" s="1297">
        <f>G650</f>
        <v/>
      </c>
      <c r="H799" s="1277">
        <f>H650</f>
        <v/>
      </c>
      <c r="I799" s="1277">
        <f>I650-H650</f>
        <v/>
      </c>
      <c r="J799" s="1277">
        <f>J650-I650</f>
        <v/>
      </c>
      <c r="K799" s="1277">
        <f>K650-J650</f>
        <v/>
      </c>
      <c r="L799" s="1297">
        <f>L650</f>
        <v/>
      </c>
      <c r="M799" s="1277">
        <f>M650</f>
        <v/>
      </c>
      <c r="N799" s="1277">
        <f>N650-M650</f>
        <v/>
      </c>
      <c r="O799" s="1277">
        <f>O650-N650</f>
        <v/>
      </c>
      <c r="P799" s="1277">
        <f>P650-O650</f>
        <v/>
      </c>
      <c r="Q799" s="1297">
        <f>Q650</f>
        <v/>
      </c>
      <c r="R799" s="1277">
        <f>R650</f>
        <v/>
      </c>
      <c r="S799" s="1277">
        <f>S650-R650</f>
        <v/>
      </c>
      <c r="T799" s="1277">
        <f>T650-S650</f>
        <v/>
      </c>
      <c r="U799" s="1277">
        <f>U650-T650</f>
        <v/>
      </c>
      <c r="V799" s="1297">
        <f>V650</f>
        <v/>
      </c>
      <c r="W799" s="1277">
        <f>W650</f>
        <v/>
      </c>
      <c r="X799" s="1277">
        <f>X650-W650</f>
        <v/>
      </c>
      <c r="Y799" s="1277">
        <f>Y650-X650</f>
        <v/>
      </c>
      <c r="Z799" s="1277">
        <f>Z650-Y650</f>
        <v/>
      </c>
      <c r="AA799" s="1297">
        <f>AA650</f>
        <v/>
      </c>
      <c r="AB799" s="1277">
        <f>AB650</f>
        <v/>
      </c>
      <c r="AC799" s="1277">
        <f>AC650-AB650</f>
        <v/>
      </c>
      <c r="AD799" s="1277">
        <f>AD650-AC650</f>
        <v/>
      </c>
      <c r="AE799" s="1277">
        <f>AE650-AD650</f>
        <v/>
      </c>
      <c r="AF799" s="1297">
        <f>AF650</f>
        <v/>
      </c>
      <c r="AG799" s="1277">
        <f>AG650</f>
        <v/>
      </c>
      <c r="AH799" s="1277">
        <f>AH650-AG650</f>
        <v/>
      </c>
      <c r="AI799" s="1277">
        <f>AI650-AH650</f>
        <v/>
      </c>
      <c r="AJ799" s="1277">
        <f>AJ650-AI650</f>
        <v/>
      </c>
      <c r="AK799" s="1297">
        <f>SUM(AG799,AH799,AI799,AJ799)</f>
        <v/>
      </c>
      <c r="AL799" s="1277">
        <f>AL650</f>
        <v/>
      </c>
      <c r="AM799" s="1277">
        <f>AM650-AL650</f>
        <v/>
      </c>
      <c r="AN799" s="1277">
        <f>AN650-AM650</f>
        <v/>
      </c>
      <c r="AO799" s="1277">
        <f>AO650-AN650</f>
        <v/>
      </c>
      <c r="AP799" s="1297">
        <f>SUM(AL799,AM799,AN799,AO799)</f>
        <v/>
      </c>
      <c r="AQ799" s="1277">
        <f>AQ650</f>
        <v/>
      </c>
      <c r="AR799" s="1277">
        <f>AR650-AQ650</f>
        <v/>
      </c>
      <c r="AS799" s="1277">
        <f>AS650-AR650</f>
        <v/>
      </c>
      <c r="AT799" s="1277">
        <f>AT650-AS650</f>
        <v/>
      </c>
      <c r="AU799" s="1297">
        <f>SUM(AQ799,AR799,AS799,AT799)</f>
        <v/>
      </c>
      <c r="AV799" s="1277">
        <f>AV650</f>
        <v/>
      </c>
      <c r="AW799" s="1277">
        <f>AW650-AV650</f>
        <v/>
      </c>
      <c r="AX799" s="1277">
        <f>AX650-AW650</f>
        <v/>
      </c>
      <c r="AY799" s="1277">
        <f>AY650-AX650</f>
        <v/>
      </c>
      <c r="AZ799" s="1297">
        <f>SUM(AV799,AW799,AX799,AY799)</f>
        <v/>
      </c>
      <c r="BA799" s="1277">
        <f>BA650</f>
        <v/>
      </c>
      <c r="BB799" s="1277">
        <f>BB650-BA650</f>
        <v/>
      </c>
      <c r="BC799" s="1277">
        <f>BC650-BB650</f>
        <v/>
      </c>
      <c r="BD799" s="1277">
        <f>BD650-BC650</f>
        <v/>
      </c>
      <c r="BE799" s="1297">
        <f>SUM(BA799,BB799,BC799,BD799)</f>
        <v/>
      </c>
      <c r="BF799" s="1277">
        <f>BF650</f>
        <v/>
      </c>
      <c r="BG799" s="1277">
        <f>BG650-BF650</f>
        <v/>
      </c>
      <c r="BH799" s="1277">
        <f>BH650-BG650</f>
        <v/>
      </c>
      <c r="BI799" s="1277">
        <f>BI650-BH650</f>
        <v/>
      </c>
      <c r="BJ799" s="1297">
        <f>SUM(BF799,BG799,BH799,BI799)</f>
        <v/>
      </c>
      <c r="BK799" s="1277">
        <f>BK650</f>
        <v/>
      </c>
      <c r="BL799" s="1277">
        <f>BL650-BK650</f>
        <v/>
      </c>
      <c r="BM799" s="1277">
        <f>BM650-BL650</f>
        <v/>
      </c>
      <c r="BN799" s="1277">
        <f>BN650-BM650</f>
        <v/>
      </c>
      <c r="BO799" s="1382">
        <f>SUM(BK799,BL799,BM799,BN799)</f>
        <v/>
      </c>
      <c r="BP799" s="1277" t="n"/>
      <c r="BQ799" s="1277" t="n"/>
      <c r="BR799" s="1277" t="n"/>
      <c r="BS799" s="1277" t="n"/>
      <c r="BT799" s="1297">
        <f>SUM(BP799,BQ799,BR799,BS799)</f>
        <v/>
      </c>
      <c r="BU799" s="1277" t="n"/>
      <c r="BV799" s="1277" t="n"/>
      <c r="BW799" s="1277" t="n"/>
      <c r="BX799" s="1277" t="n"/>
      <c r="BY799" s="1297">
        <f>SUM(BU799,BV799,BW799,BX799)</f>
        <v/>
      </c>
      <c r="BZ799" s="1297" t="n"/>
      <c r="CA799" s="1297" t="n"/>
      <c r="CB799" s="1297" t="n"/>
      <c r="CC799" s="1280" t="n"/>
    </row>
    <row r="800" ht="14.4" customFormat="1" customHeight="1" s="1275">
      <c r="A800" s="1384">
        <f>A651</f>
        <v/>
      </c>
      <c r="B800" s="1387" t="n"/>
      <c r="C800" s="1297">
        <f>C651</f>
        <v/>
      </c>
      <c r="D800" s="1297">
        <f>D651</f>
        <v/>
      </c>
      <c r="E800" s="1297">
        <f>E651</f>
        <v/>
      </c>
      <c r="F800" s="1297">
        <f>F651</f>
        <v/>
      </c>
      <c r="G800" s="1297">
        <f>G651</f>
        <v/>
      </c>
      <c r="H800" s="1277">
        <f>H651</f>
        <v/>
      </c>
      <c r="I800" s="1277">
        <f>I651-H651</f>
        <v/>
      </c>
      <c r="J800" s="1277">
        <f>J651-I651</f>
        <v/>
      </c>
      <c r="K800" s="1277">
        <f>K651-J651</f>
        <v/>
      </c>
      <c r="L800" s="1297">
        <f>L651</f>
        <v/>
      </c>
      <c r="M800" s="1277">
        <f>M651</f>
        <v/>
      </c>
      <c r="N800" s="1277">
        <f>N651-M651</f>
        <v/>
      </c>
      <c r="O800" s="1277">
        <f>O651-N651</f>
        <v/>
      </c>
      <c r="P800" s="1277">
        <f>P651-O651</f>
        <v/>
      </c>
      <c r="Q800" s="1297">
        <f>Q651</f>
        <v/>
      </c>
      <c r="R800" s="1277">
        <f>R651</f>
        <v/>
      </c>
      <c r="S800" s="1277">
        <f>S651-R651</f>
        <v/>
      </c>
      <c r="T800" s="1277">
        <f>T651-S651</f>
        <v/>
      </c>
      <c r="U800" s="1277">
        <f>U651-T651</f>
        <v/>
      </c>
      <c r="V800" s="1297">
        <f>V651</f>
        <v/>
      </c>
      <c r="W800" s="1277">
        <f>W651</f>
        <v/>
      </c>
      <c r="X800" s="1277">
        <f>X651-W651</f>
        <v/>
      </c>
      <c r="Y800" s="1277">
        <f>Y651-X651</f>
        <v/>
      </c>
      <c r="Z800" s="1277">
        <f>Z651-Y651</f>
        <v/>
      </c>
      <c r="AA800" s="1297">
        <f>AA651</f>
        <v/>
      </c>
      <c r="AB800" s="1277">
        <f>AB651</f>
        <v/>
      </c>
      <c r="AC800" s="1277">
        <f>AC651-AB651</f>
        <v/>
      </c>
      <c r="AD800" s="1277">
        <f>AD651-AC651</f>
        <v/>
      </c>
      <c r="AE800" s="1277">
        <f>AE651-AD651</f>
        <v/>
      </c>
      <c r="AF800" s="1297">
        <f>AF651</f>
        <v/>
      </c>
      <c r="AG800" s="1277">
        <f>AG651</f>
        <v/>
      </c>
      <c r="AH800" s="1277">
        <f>AH651-AG651</f>
        <v/>
      </c>
      <c r="AI800" s="1277">
        <f>AI651-AH651</f>
        <v/>
      </c>
      <c r="AJ800" s="1277">
        <f>AJ651-AI651</f>
        <v/>
      </c>
      <c r="AK800" s="1297">
        <f>SUM(AG800,AH800,AI800,AJ800)</f>
        <v/>
      </c>
      <c r="AL800" s="1277">
        <f>AL651</f>
        <v/>
      </c>
      <c r="AM800" s="1277">
        <f>AM651-AL651</f>
        <v/>
      </c>
      <c r="AN800" s="1277">
        <f>AN651-AM651</f>
        <v/>
      </c>
      <c r="AO800" s="1277">
        <f>AO651-AN651</f>
        <v/>
      </c>
      <c r="AP800" s="1297">
        <f>SUM(AL800,AM800,AN800,AO800)</f>
        <v/>
      </c>
      <c r="AQ800" s="1277">
        <f>AQ651</f>
        <v/>
      </c>
      <c r="AR800" s="1277">
        <f>AR651-AQ651</f>
        <v/>
      </c>
      <c r="AS800" s="1277">
        <f>AS651-AR651</f>
        <v/>
      </c>
      <c r="AT800" s="1277">
        <f>AT651-AS651</f>
        <v/>
      </c>
      <c r="AU800" s="1297">
        <f>SUM(AQ800,AR800,AS800,AT800)</f>
        <v/>
      </c>
      <c r="AV800" s="1277">
        <f>AV651</f>
        <v/>
      </c>
      <c r="AW800" s="1277">
        <f>AW651-AV651</f>
        <v/>
      </c>
      <c r="AX800" s="1277">
        <f>AX651-AW651</f>
        <v/>
      </c>
      <c r="AY800" s="1277">
        <f>AY651-AX651</f>
        <v/>
      </c>
      <c r="AZ800" s="1297">
        <f>SUM(AV800,AW800,AX800,AY800)</f>
        <v/>
      </c>
      <c r="BA800" s="1277">
        <f>BA651</f>
        <v/>
      </c>
      <c r="BB800" s="1277">
        <f>BB651-BA651</f>
        <v/>
      </c>
      <c r="BC800" s="1277">
        <f>BC651-BB651</f>
        <v/>
      </c>
      <c r="BD800" s="1277">
        <f>BD651-BC651</f>
        <v/>
      </c>
      <c r="BE800" s="1297">
        <f>SUM(BA800,BB800,BC800,BD800)</f>
        <v/>
      </c>
      <c r="BF800" s="1277">
        <f>BF651</f>
        <v/>
      </c>
      <c r="BG800" s="1277">
        <f>BG651-BF651</f>
        <v/>
      </c>
      <c r="BH800" s="1277">
        <f>BH651-BG651</f>
        <v/>
      </c>
      <c r="BI800" s="1277">
        <f>BI651-BH651</f>
        <v/>
      </c>
      <c r="BJ800" s="1297">
        <f>SUM(BF800,BG800,BH800,BI800)</f>
        <v/>
      </c>
      <c r="BK800" s="1277">
        <f>BK651</f>
        <v/>
      </c>
      <c r="BL800" s="1277">
        <f>BL651-BK651</f>
        <v/>
      </c>
      <c r="BM800" s="1277">
        <f>BM651-BL651</f>
        <v/>
      </c>
      <c r="BN800" s="1277">
        <f>BN651-BM651</f>
        <v/>
      </c>
      <c r="BO800" s="1382">
        <f>SUM(BK800,BL800,BM800,BN800)</f>
        <v/>
      </c>
      <c r="BP800" s="1277" t="n"/>
      <c r="BQ800" s="1277" t="n"/>
      <c r="BR800" s="1277" t="n"/>
      <c r="BS800" s="1277" t="n"/>
      <c r="BT800" s="1297">
        <f>SUM(BP800,BQ800,BR800,BS800)</f>
        <v/>
      </c>
      <c r="BU800" s="1277" t="n"/>
      <c r="BV800" s="1277" t="n"/>
      <c r="BW800" s="1277" t="n"/>
      <c r="BX800" s="1277" t="n"/>
      <c r="BY800" s="1297">
        <f>SUM(BU800,BV800,BW800,BX800)</f>
        <v/>
      </c>
      <c r="BZ800" s="1297" t="n"/>
      <c r="CA800" s="1297" t="n"/>
      <c r="CB800" s="1297" t="n"/>
      <c r="CC800" s="1280" t="n"/>
    </row>
    <row r="801" ht="14.4" customFormat="1" customHeight="1" s="1275">
      <c r="A801" s="1384">
        <f>A652</f>
        <v/>
      </c>
      <c r="B801" s="1387" t="n"/>
      <c r="C801" s="1297">
        <f>C652</f>
        <v/>
      </c>
      <c r="D801" s="1297">
        <f>D652</f>
        <v/>
      </c>
      <c r="E801" s="1297">
        <f>E652</f>
        <v/>
      </c>
      <c r="F801" s="1297">
        <f>F652</f>
        <v/>
      </c>
      <c r="G801" s="1297">
        <f>G652</f>
        <v/>
      </c>
      <c r="H801" s="1277">
        <f>H652</f>
        <v/>
      </c>
      <c r="I801" s="1277">
        <f>I652-H652</f>
        <v/>
      </c>
      <c r="J801" s="1277">
        <f>J652-I652</f>
        <v/>
      </c>
      <c r="K801" s="1277">
        <f>K652-J652</f>
        <v/>
      </c>
      <c r="L801" s="1297">
        <f>L652</f>
        <v/>
      </c>
      <c r="M801" s="1277">
        <f>M652</f>
        <v/>
      </c>
      <c r="N801" s="1277">
        <f>N652-M652</f>
        <v/>
      </c>
      <c r="O801" s="1277">
        <f>O652-N652</f>
        <v/>
      </c>
      <c r="P801" s="1277">
        <f>P652-O652</f>
        <v/>
      </c>
      <c r="Q801" s="1297">
        <f>Q652</f>
        <v/>
      </c>
      <c r="R801" s="1277">
        <f>R652</f>
        <v/>
      </c>
      <c r="S801" s="1277">
        <f>S652-R652</f>
        <v/>
      </c>
      <c r="T801" s="1277">
        <f>T652-S652</f>
        <v/>
      </c>
      <c r="U801" s="1277">
        <f>U652-T652</f>
        <v/>
      </c>
      <c r="V801" s="1297">
        <f>V652</f>
        <v/>
      </c>
      <c r="W801" s="1277">
        <f>W652</f>
        <v/>
      </c>
      <c r="X801" s="1277">
        <f>X652-W652</f>
        <v/>
      </c>
      <c r="Y801" s="1277">
        <f>Y652-X652</f>
        <v/>
      </c>
      <c r="Z801" s="1277">
        <f>Z652-Y652</f>
        <v/>
      </c>
      <c r="AA801" s="1297">
        <f>AA652</f>
        <v/>
      </c>
      <c r="AB801" s="1277">
        <f>AB652</f>
        <v/>
      </c>
      <c r="AC801" s="1277">
        <f>AC652-AB652</f>
        <v/>
      </c>
      <c r="AD801" s="1277">
        <f>AD652-AC652</f>
        <v/>
      </c>
      <c r="AE801" s="1277">
        <f>AE652-AD652</f>
        <v/>
      </c>
      <c r="AF801" s="1297">
        <f>AF652</f>
        <v/>
      </c>
      <c r="AG801" s="1277">
        <f>AG652</f>
        <v/>
      </c>
      <c r="AH801" s="1277">
        <f>AH652-AG652</f>
        <v/>
      </c>
      <c r="AI801" s="1277">
        <f>AI652-AH652</f>
        <v/>
      </c>
      <c r="AJ801" s="1277">
        <f>AJ652-AI652</f>
        <v/>
      </c>
      <c r="AK801" s="1297">
        <f>SUM(AG801,AH801,AI801,AJ801)</f>
        <v/>
      </c>
      <c r="AL801" s="1277">
        <f>AL652</f>
        <v/>
      </c>
      <c r="AM801" s="1277">
        <f>AM652-AL652</f>
        <v/>
      </c>
      <c r="AN801" s="1277">
        <f>AN652-AM652</f>
        <v/>
      </c>
      <c r="AO801" s="1277">
        <f>AO652-AN652</f>
        <v/>
      </c>
      <c r="AP801" s="1297">
        <f>SUM(AL801,AM801,AN801,AO801)</f>
        <v/>
      </c>
      <c r="AQ801" s="1277">
        <f>AQ652</f>
        <v/>
      </c>
      <c r="AR801" s="1277">
        <f>AR652-AQ652</f>
        <v/>
      </c>
      <c r="AS801" s="1277">
        <f>AS652-AR652</f>
        <v/>
      </c>
      <c r="AT801" s="1277">
        <f>AT652-AS652</f>
        <v/>
      </c>
      <c r="AU801" s="1297">
        <f>SUM(AQ801,AR801,AS801,AT801)</f>
        <v/>
      </c>
      <c r="AV801" s="1277">
        <f>AV652</f>
        <v/>
      </c>
      <c r="AW801" s="1277">
        <f>AW652-AV652</f>
        <v/>
      </c>
      <c r="AX801" s="1277">
        <f>AX652-AW652</f>
        <v/>
      </c>
      <c r="AY801" s="1277">
        <f>AY652-AX652</f>
        <v/>
      </c>
      <c r="AZ801" s="1297">
        <f>SUM(AV801,AW801,AX801,AY801)</f>
        <v/>
      </c>
      <c r="BA801" s="1277">
        <f>BA652</f>
        <v/>
      </c>
      <c r="BB801" s="1277">
        <f>BB652-BA652</f>
        <v/>
      </c>
      <c r="BC801" s="1277">
        <f>BC652-BB652</f>
        <v/>
      </c>
      <c r="BD801" s="1277">
        <f>BD652-BC652</f>
        <v/>
      </c>
      <c r="BE801" s="1297">
        <f>SUM(BA801,BB801,BC801,BD801)</f>
        <v/>
      </c>
      <c r="BF801" s="1277">
        <f>BF652</f>
        <v/>
      </c>
      <c r="BG801" s="1277">
        <f>BG652-BF652</f>
        <v/>
      </c>
      <c r="BH801" s="1277">
        <f>BH652-BG652</f>
        <v/>
      </c>
      <c r="BI801" s="1277">
        <f>BI652-BH652</f>
        <v/>
      </c>
      <c r="BJ801" s="1297">
        <f>SUM(BF801,BG801,BH801,BI801)</f>
        <v/>
      </c>
      <c r="BK801" s="1277">
        <f>BK652</f>
        <v/>
      </c>
      <c r="BL801" s="1277">
        <f>BL652-BK652</f>
        <v/>
      </c>
      <c r="BM801" s="1277">
        <f>BM652-BL652</f>
        <v/>
      </c>
      <c r="BN801" s="1277">
        <f>BN652-BM652</f>
        <v/>
      </c>
      <c r="BO801" s="1382">
        <f>SUM(BK801,BL801,BM801,BN801)</f>
        <v/>
      </c>
      <c r="BP801" s="1277">
        <f>BP461</f>
        <v/>
      </c>
      <c r="BQ801" s="1277">
        <f>BQ461</f>
        <v/>
      </c>
      <c r="BR801" s="1277">
        <f>BR461</f>
        <v/>
      </c>
      <c r="BS801" s="1277">
        <f>BS461</f>
        <v/>
      </c>
      <c r="BT801" s="1297">
        <f>SUM(BP801,BQ801,BR801,BS801)</f>
        <v/>
      </c>
      <c r="BU801" s="1277">
        <f>BU461</f>
        <v/>
      </c>
      <c r="BV801" s="1277">
        <f>BV461</f>
        <v/>
      </c>
      <c r="BW801" s="1277">
        <f>BW461</f>
        <v/>
      </c>
      <c r="BX801" s="1277">
        <f>BX461</f>
        <v/>
      </c>
      <c r="BY801" s="1297">
        <f>SUM(BU801,BV801,BW801,BX801)</f>
        <v/>
      </c>
      <c r="BZ801" s="1297">
        <f>BZ461</f>
        <v/>
      </c>
      <c r="CA801" s="1297">
        <f>CA461</f>
        <v/>
      </c>
      <c r="CB801" s="1297">
        <f>CB461</f>
        <v/>
      </c>
      <c r="CC801" s="1280" t="n"/>
    </row>
    <row r="802" ht="14.4" customFormat="1" customHeight="1" s="1275">
      <c r="A802" s="1384">
        <f>A653</f>
        <v/>
      </c>
      <c r="B802" s="1387" t="n"/>
      <c r="C802" s="1297">
        <f>C653</f>
        <v/>
      </c>
      <c r="D802" s="1297">
        <f>D653</f>
        <v/>
      </c>
      <c r="E802" s="1297">
        <f>E653</f>
        <v/>
      </c>
      <c r="F802" s="1297">
        <f>F653</f>
        <v/>
      </c>
      <c r="G802" s="1297">
        <f>G653</f>
        <v/>
      </c>
      <c r="H802" s="1277">
        <f>H653</f>
        <v/>
      </c>
      <c r="I802" s="1277">
        <f>I653-H653</f>
        <v/>
      </c>
      <c r="J802" s="1277">
        <f>J653-I653</f>
        <v/>
      </c>
      <c r="K802" s="1277">
        <f>K653-J653</f>
        <v/>
      </c>
      <c r="L802" s="1297">
        <f>L653</f>
        <v/>
      </c>
      <c r="M802" s="1277">
        <f>M653</f>
        <v/>
      </c>
      <c r="N802" s="1277">
        <f>N653-M653</f>
        <v/>
      </c>
      <c r="O802" s="1277">
        <f>O653-N653</f>
        <v/>
      </c>
      <c r="P802" s="1277">
        <f>P653-O653</f>
        <v/>
      </c>
      <c r="Q802" s="1297">
        <f>Q653</f>
        <v/>
      </c>
      <c r="R802" s="1277">
        <f>R653</f>
        <v/>
      </c>
      <c r="S802" s="1277">
        <f>S653-R653</f>
        <v/>
      </c>
      <c r="T802" s="1277">
        <f>T653-S653</f>
        <v/>
      </c>
      <c r="U802" s="1277">
        <f>U653-T653</f>
        <v/>
      </c>
      <c r="V802" s="1297">
        <f>V653</f>
        <v/>
      </c>
      <c r="W802" s="1277">
        <f>W653</f>
        <v/>
      </c>
      <c r="X802" s="1277">
        <f>X653-W653</f>
        <v/>
      </c>
      <c r="Y802" s="1277">
        <f>Y653-X653</f>
        <v/>
      </c>
      <c r="Z802" s="1277">
        <f>Z653-Y653</f>
        <v/>
      </c>
      <c r="AA802" s="1297">
        <f>AA653</f>
        <v/>
      </c>
      <c r="AB802" s="1277">
        <f>AB653</f>
        <v/>
      </c>
      <c r="AC802" s="1277">
        <f>AC653-AB653</f>
        <v/>
      </c>
      <c r="AD802" s="1277">
        <f>AD653-AC653</f>
        <v/>
      </c>
      <c r="AE802" s="1277">
        <f>AE653-AD653</f>
        <v/>
      </c>
      <c r="AF802" s="1297">
        <f>AF653</f>
        <v/>
      </c>
      <c r="AG802" s="1277">
        <f>AG653</f>
        <v/>
      </c>
      <c r="AH802" s="1277">
        <f>AH653-AG653</f>
        <v/>
      </c>
      <c r="AI802" s="1277">
        <f>AI653-AH653</f>
        <v/>
      </c>
      <c r="AJ802" s="1277">
        <f>AJ653-AI653</f>
        <v/>
      </c>
      <c r="AK802" s="1297">
        <f>SUM(AG802,AH802,AI802,AJ802)</f>
        <v/>
      </c>
      <c r="AL802" s="1277">
        <f>AL653</f>
        <v/>
      </c>
      <c r="AM802" s="1277">
        <f>AM653-AL653</f>
        <v/>
      </c>
      <c r="AN802" s="1277">
        <f>AN653-AM653</f>
        <v/>
      </c>
      <c r="AO802" s="1277">
        <f>AO653-AN653</f>
        <v/>
      </c>
      <c r="AP802" s="1297">
        <f>SUM(AL802,AM802,AN802,AO802)</f>
        <v/>
      </c>
      <c r="AQ802" s="1277">
        <f>AQ653</f>
        <v/>
      </c>
      <c r="AR802" s="1277">
        <f>AR653-AQ653</f>
        <v/>
      </c>
      <c r="AS802" s="1277">
        <f>AS653-AR653</f>
        <v/>
      </c>
      <c r="AT802" s="1277">
        <f>AT653-AS653</f>
        <v/>
      </c>
      <c r="AU802" s="1297">
        <f>SUM(AQ802,AR802,AS802,AT802)</f>
        <v/>
      </c>
      <c r="AV802" s="1277">
        <f>AV653</f>
        <v/>
      </c>
      <c r="AW802" s="1277">
        <f>AW653-AV653</f>
        <v/>
      </c>
      <c r="AX802" s="1277">
        <f>AX653-AW653</f>
        <v/>
      </c>
      <c r="AY802" s="1277">
        <f>AY653-AX653</f>
        <v/>
      </c>
      <c r="AZ802" s="1297">
        <f>SUM(AV802,AW802,AX802,AY802)</f>
        <v/>
      </c>
      <c r="BA802" s="1277">
        <f>BA653</f>
        <v/>
      </c>
      <c r="BB802" s="1277">
        <f>BB653-BA653</f>
        <v/>
      </c>
      <c r="BC802" s="1277">
        <f>BC653-BB653</f>
        <v/>
      </c>
      <c r="BD802" s="1277">
        <f>BD653-BC653</f>
        <v/>
      </c>
      <c r="BE802" s="1297">
        <f>SUM(BA802,BB802,BC802,BD802)</f>
        <v/>
      </c>
      <c r="BF802" s="1277">
        <f>BF653</f>
        <v/>
      </c>
      <c r="BG802" s="1277">
        <f>BG653-BF653</f>
        <v/>
      </c>
      <c r="BH802" s="1277">
        <f>BH653-BG653</f>
        <v/>
      </c>
      <c r="BI802" s="1277">
        <f>BI653-BH653</f>
        <v/>
      </c>
      <c r="BJ802" s="1297">
        <f>SUM(BF802,BG802,BH802,BI802)</f>
        <v/>
      </c>
      <c r="BK802" s="1277">
        <f>BK653</f>
        <v/>
      </c>
      <c r="BL802" s="1277">
        <f>BL653-BK653</f>
        <v/>
      </c>
      <c r="BM802" s="1277">
        <f>BM653-BL653</f>
        <v/>
      </c>
      <c r="BN802" s="1277">
        <f>BN653-BM653</f>
        <v/>
      </c>
      <c r="BO802" s="1382">
        <f>SUM(BK802,BL802,BM802,BN802)</f>
        <v/>
      </c>
      <c r="BP802" s="1277" t="n"/>
      <c r="BQ802" s="1277" t="n"/>
      <c r="BR802" s="1277" t="n"/>
      <c r="BS802" s="1277" t="n"/>
      <c r="BT802" s="1297">
        <f>SUM(BP802,BQ802,BR802,BS802)</f>
        <v/>
      </c>
      <c r="BU802" s="1277" t="n"/>
      <c r="BV802" s="1277" t="n"/>
      <c r="BW802" s="1277" t="n"/>
      <c r="BX802" s="1277" t="n"/>
      <c r="BY802" s="1297">
        <f>SUM(BU802,BV802,BW802,BX802)</f>
        <v/>
      </c>
      <c r="BZ802" s="1297" t="n"/>
      <c r="CA802" s="1297" t="n"/>
      <c r="CB802" s="1297" t="n"/>
      <c r="CC802" s="1280" t="n"/>
    </row>
    <row r="803" ht="14.4" customFormat="1" customHeight="1" s="1275">
      <c r="A803" s="1384">
        <f>A654</f>
        <v/>
      </c>
      <c r="B803" s="1387" t="n"/>
      <c r="C803" s="1297">
        <f>C654</f>
        <v/>
      </c>
      <c r="D803" s="1297">
        <f>D654</f>
        <v/>
      </c>
      <c r="E803" s="1297">
        <f>E654</f>
        <v/>
      </c>
      <c r="F803" s="1297">
        <f>F654</f>
        <v/>
      </c>
      <c r="G803" s="1297">
        <f>G654</f>
        <v/>
      </c>
      <c r="H803" s="1277">
        <f>H654</f>
        <v/>
      </c>
      <c r="I803" s="1277">
        <f>I654-H654</f>
        <v/>
      </c>
      <c r="J803" s="1277">
        <f>J654-I654</f>
        <v/>
      </c>
      <c r="K803" s="1277">
        <f>K654-J654</f>
        <v/>
      </c>
      <c r="L803" s="1297">
        <f>L654</f>
        <v/>
      </c>
      <c r="M803" s="1277">
        <f>M654</f>
        <v/>
      </c>
      <c r="N803" s="1277">
        <f>N654-M654</f>
        <v/>
      </c>
      <c r="O803" s="1277">
        <f>O654-N654</f>
        <v/>
      </c>
      <c r="P803" s="1277">
        <f>P654-O654</f>
        <v/>
      </c>
      <c r="Q803" s="1297">
        <f>Q654</f>
        <v/>
      </c>
      <c r="R803" s="1277">
        <f>R654</f>
        <v/>
      </c>
      <c r="S803" s="1277">
        <f>S654-R654</f>
        <v/>
      </c>
      <c r="T803" s="1277">
        <f>T654-S654</f>
        <v/>
      </c>
      <c r="U803" s="1277">
        <f>U654-T654</f>
        <v/>
      </c>
      <c r="V803" s="1297">
        <f>V654</f>
        <v/>
      </c>
      <c r="W803" s="1277">
        <f>W654</f>
        <v/>
      </c>
      <c r="X803" s="1277">
        <f>X654-W654</f>
        <v/>
      </c>
      <c r="Y803" s="1277">
        <f>Y654-X654</f>
        <v/>
      </c>
      <c r="Z803" s="1277">
        <f>Z654-Y654</f>
        <v/>
      </c>
      <c r="AA803" s="1297">
        <f>AA654</f>
        <v/>
      </c>
      <c r="AB803" s="1277">
        <f>AB654</f>
        <v/>
      </c>
      <c r="AC803" s="1277">
        <f>AC654-AB654</f>
        <v/>
      </c>
      <c r="AD803" s="1277">
        <f>AD654-AC654</f>
        <v/>
      </c>
      <c r="AE803" s="1277">
        <f>AE654-AD654</f>
        <v/>
      </c>
      <c r="AF803" s="1297">
        <f>AF654</f>
        <v/>
      </c>
      <c r="AG803" s="1277">
        <f>AG654</f>
        <v/>
      </c>
      <c r="AH803" s="1277">
        <f>AH654-AG654</f>
        <v/>
      </c>
      <c r="AI803" s="1277">
        <f>AI654-AH654</f>
        <v/>
      </c>
      <c r="AJ803" s="1277">
        <f>AJ654-AI654</f>
        <v/>
      </c>
      <c r="AK803" s="1297">
        <f>SUM(AG803,AH803,AI803,AJ803)</f>
        <v/>
      </c>
      <c r="AL803" s="1277">
        <f>AL654</f>
        <v/>
      </c>
      <c r="AM803" s="1277">
        <f>AM654-AL654</f>
        <v/>
      </c>
      <c r="AN803" s="1277">
        <f>AN654-AM654</f>
        <v/>
      </c>
      <c r="AO803" s="1277">
        <f>AO654-AN654</f>
        <v/>
      </c>
      <c r="AP803" s="1297">
        <f>SUM(AL803,AM803,AN803,AO803)</f>
        <v/>
      </c>
      <c r="AQ803" s="1277">
        <f>AQ654</f>
        <v/>
      </c>
      <c r="AR803" s="1277">
        <f>AR654-AQ654</f>
        <v/>
      </c>
      <c r="AS803" s="1277">
        <f>AS654-AR654</f>
        <v/>
      </c>
      <c r="AT803" s="1277">
        <f>AT654-AS654</f>
        <v/>
      </c>
      <c r="AU803" s="1297">
        <f>SUM(AQ803,AR803,AS803,AT803)</f>
        <v/>
      </c>
      <c r="AV803" s="1277">
        <f>AV654</f>
        <v/>
      </c>
      <c r="AW803" s="1277">
        <f>AW654-AV654</f>
        <v/>
      </c>
      <c r="AX803" s="1277">
        <f>AX654-AW654</f>
        <v/>
      </c>
      <c r="AY803" s="1277">
        <f>AY654-AX654</f>
        <v/>
      </c>
      <c r="AZ803" s="1297">
        <f>SUM(AV803,AW803,AX803,AY803)</f>
        <v/>
      </c>
      <c r="BA803" s="1277">
        <f>BA654</f>
        <v/>
      </c>
      <c r="BB803" s="1277">
        <f>BB654-BA654</f>
        <v/>
      </c>
      <c r="BC803" s="1277">
        <f>BC654-BB654</f>
        <v/>
      </c>
      <c r="BD803" s="1277">
        <f>BD654-BC654</f>
        <v/>
      </c>
      <c r="BE803" s="1297">
        <f>SUM(BA803,BB803,BC803,BD803)</f>
        <v/>
      </c>
      <c r="BF803" s="1277">
        <f>BF654</f>
        <v/>
      </c>
      <c r="BG803" s="1277">
        <f>BG654-BF654</f>
        <v/>
      </c>
      <c r="BH803" s="1277">
        <f>BH654-BG654</f>
        <v/>
      </c>
      <c r="BI803" s="1277">
        <f>BI654-BH654</f>
        <v/>
      </c>
      <c r="BJ803" s="1297">
        <f>SUM(BF803,BG803,BH803,BI803)</f>
        <v/>
      </c>
      <c r="BK803" s="1277">
        <f>BK654</f>
        <v/>
      </c>
      <c r="BL803" s="1277">
        <f>BL654-BK654</f>
        <v/>
      </c>
      <c r="BM803" s="1277">
        <f>BM654-BL654</f>
        <v/>
      </c>
      <c r="BN803" s="1277">
        <f>BN654-BM654</f>
        <v/>
      </c>
      <c r="BO803" s="1382">
        <f>SUM(BK803,BL803,BM803,BN803)</f>
        <v/>
      </c>
      <c r="BP803" s="1277">
        <f>BP465</f>
        <v/>
      </c>
      <c r="BQ803" s="1277">
        <f>BQ465</f>
        <v/>
      </c>
      <c r="BR803" s="1277">
        <f>BR465</f>
        <v/>
      </c>
      <c r="BS803" s="1277">
        <f>BS465</f>
        <v/>
      </c>
      <c r="BT803" s="1297">
        <f>SUM(BP803,BQ803,BR803,BS803)</f>
        <v/>
      </c>
      <c r="BU803" s="1277">
        <f>BU465</f>
        <v/>
      </c>
      <c r="BV803" s="1277">
        <f>BV465</f>
        <v/>
      </c>
      <c r="BW803" s="1277">
        <f>BW465</f>
        <v/>
      </c>
      <c r="BX803" s="1277">
        <f>BX465</f>
        <v/>
      </c>
      <c r="BY803" s="1297">
        <f>SUM(BU803,BV803,BW803,BX803)</f>
        <v/>
      </c>
      <c r="BZ803" s="1297">
        <f>BZ465</f>
        <v/>
      </c>
      <c r="CA803" s="1297">
        <f>CA465</f>
        <v/>
      </c>
      <c r="CB803" s="1297">
        <f>CB465</f>
        <v/>
      </c>
      <c r="CC803" s="1280" t="n"/>
    </row>
    <row r="804" ht="14.4" customFormat="1" customHeight="1" s="1275">
      <c r="A804" s="1384">
        <f>A655</f>
        <v/>
      </c>
      <c r="B804" s="1387" t="n"/>
      <c r="C804" s="1297">
        <f>C655</f>
        <v/>
      </c>
      <c r="D804" s="1297">
        <f>D655</f>
        <v/>
      </c>
      <c r="E804" s="1297">
        <f>E655</f>
        <v/>
      </c>
      <c r="F804" s="1297">
        <f>F655</f>
        <v/>
      </c>
      <c r="G804" s="1297">
        <f>G655</f>
        <v/>
      </c>
      <c r="H804" s="1277">
        <f>H655</f>
        <v/>
      </c>
      <c r="I804" s="1277">
        <f>I655-H655</f>
        <v/>
      </c>
      <c r="J804" s="1277">
        <f>J655-I655</f>
        <v/>
      </c>
      <c r="K804" s="1277">
        <f>K655-J655</f>
        <v/>
      </c>
      <c r="L804" s="1297">
        <f>L655</f>
        <v/>
      </c>
      <c r="M804" s="1277">
        <f>M655</f>
        <v/>
      </c>
      <c r="N804" s="1277">
        <f>N655-M655</f>
        <v/>
      </c>
      <c r="O804" s="1277">
        <f>O655-N655</f>
        <v/>
      </c>
      <c r="P804" s="1277">
        <f>P655-O655</f>
        <v/>
      </c>
      <c r="Q804" s="1297">
        <f>Q655</f>
        <v/>
      </c>
      <c r="R804" s="1277">
        <f>R655</f>
        <v/>
      </c>
      <c r="S804" s="1277">
        <f>S655-R655</f>
        <v/>
      </c>
      <c r="T804" s="1277">
        <f>T655-S655</f>
        <v/>
      </c>
      <c r="U804" s="1277">
        <f>U655-T655</f>
        <v/>
      </c>
      <c r="V804" s="1297">
        <f>V655</f>
        <v/>
      </c>
      <c r="W804" s="1277">
        <f>W655</f>
        <v/>
      </c>
      <c r="X804" s="1277">
        <f>X655-W655</f>
        <v/>
      </c>
      <c r="Y804" s="1277">
        <f>Y655-X655</f>
        <v/>
      </c>
      <c r="Z804" s="1277">
        <f>Z655-Y655</f>
        <v/>
      </c>
      <c r="AA804" s="1297">
        <f>AA655</f>
        <v/>
      </c>
      <c r="AB804" s="1277">
        <f>AB655</f>
        <v/>
      </c>
      <c r="AC804" s="1277">
        <f>AC655-AB655</f>
        <v/>
      </c>
      <c r="AD804" s="1277">
        <f>AD655-AC655</f>
        <v/>
      </c>
      <c r="AE804" s="1277">
        <f>AE655-AD655</f>
        <v/>
      </c>
      <c r="AF804" s="1297">
        <f>AF655</f>
        <v/>
      </c>
      <c r="AG804" s="1277">
        <f>AG655</f>
        <v/>
      </c>
      <c r="AH804" s="1277">
        <f>AH655-AG655</f>
        <v/>
      </c>
      <c r="AI804" s="1277">
        <f>AI655-AH655</f>
        <v/>
      </c>
      <c r="AJ804" s="1277">
        <f>AJ655-AI655</f>
        <v/>
      </c>
      <c r="AK804" s="1297">
        <f>SUM(AG804,AH804,AI804,AJ804)</f>
        <v/>
      </c>
      <c r="AL804" s="1277">
        <f>AL655</f>
        <v/>
      </c>
      <c r="AM804" s="1277">
        <f>AM655-AL655</f>
        <v/>
      </c>
      <c r="AN804" s="1277">
        <f>AN655-AM655</f>
        <v/>
      </c>
      <c r="AO804" s="1277">
        <f>AO655-AN655</f>
        <v/>
      </c>
      <c r="AP804" s="1297">
        <f>SUM(AL804,AM804,AN804,AO804)</f>
        <v/>
      </c>
      <c r="AQ804" s="1277">
        <f>AQ655</f>
        <v/>
      </c>
      <c r="AR804" s="1277">
        <f>AR655-AQ655</f>
        <v/>
      </c>
      <c r="AS804" s="1277">
        <f>AS655-AR655</f>
        <v/>
      </c>
      <c r="AT804" s="1277">
        <f>AT655-AS655</f>
        <v/>
      </c>
      <c r="AU804" s="1297">
        <f>SUM(AQ804,AR804,AS804,AT804)</f>
        <v/>
      </c>
      <c r="AV804" s="1277">
        <f>AV655</f>
        <v/>
      </c>
      <c r="AW804" s="1277">
        <f>AW655-AV655</f>
        <v/>
      </c>
      <c r="AX804" s="1277">
        <f>AX655-AW655</f>
        <v/>
      </c>
      <c r="AY804" s="1277">
        <f>AY655-AX655</f>
        <v/>
      </c>
      <c r="AZ804" s="1297">
        <f>SUM(AV804,AW804,AX804,AY804)</f>
        <v/>
      </c>
      <c r="BA804" s="1277">
        <f>BA655</f>
        <v/>
      </c>
      <c r="BB804" s="1277">
        <f>BB655-BA655</f>
        <v/>
      </c>
      <c r="BC804" s="1277">
        <f>BC655-BB655</f>
        <v/>
      </c>
      <c r="BD804" s="1277">
        <f>BD655-BC655</f>
        <v/>
      </c>
      <c r="BE804" s="1297">
        <f>SUM(BA804,BB804,BC804,BD804)</f>
        <v/>
      </c>
      <c r="BF804" s="1277">
        <f>BF655</f>
        <v/>
      </c>
      <c r="BG804" s="1277">
        <f>BG655-BF655</f>
        <v/>
      </c>
      <c r="BH804" s="1277">
        <f>BH655-BG655</f>
        <v/>
      </c>
      <c r="BI804" s="1277">
        <f>BI655-BH655</f>
        <v/>
      </c>
      <c r="BJ804" s="1297">
        <f>SUM(BF804,BG804,BH804,BI804)</f>
        <v/>
      </c>
      <c r="BK804" s="1277">
        <f>BK655</f>
        <v/>
      </c>
      <c r="BL804" s="1277">
        <f>BL655-BK655</f>
        <v/>
      </c>
      <c r="BM804" s="1277">
        <f>BM655-BL655</f>
        <v/>
      </c>
      <c r="BN804" s="1277">
        <f>BN655-BM655</f>
        <v/>
      </c>
      <c r="BO804" s="1382">
        <f>SUM(BK804,BL804,BM804,BN804)</f>
        <v/>
      </c>
      <c r="BP804" s="1277" t="n"/>
      <c r="BQ804" s="1277" t="n"/>
      <c r="BR804" s="1277" t="n"/>
      <c r="BS804" s="1277" t="n"/>
      <c r="BT804" s="1297">
        <f>SUM(BP804,BQ804,BR804,BS804)</f>
        <v/>
      </c>
      <c r="BU804" s="1277" t="n"/>
      <c r="BV804" s="1277" t="n"/>
      <c r="BW804" s="1277" t="n"/>
      <c r="BX804" s="1277" t="n"/>
      <c r="BY804" s="1297">
        <f>SUM(BU804,BV804,BW804,BX804)</f>
        <v/>
      </c>
      <c r="BZ804" s="1297" t="n"/>
      <c r="CA804" s="1297" t="n"/>
      <c r="CB804" s="1297" t="n"/>
      <c r="CC804" s="1280" t="n"/>
    </row>
    <row r="805" ht="14.4" customFormat="1" customHeight="1" s="1275">
      <c r="A805" s="1384">
        <f>A656</f>
        <v/>
      </c>
      <c r="B805" s="1387" t="n"/>
      <c r="C805" s="1297">
        <f>C656</f>
        <v/>
      </c>
      <c r="D805" s="1297">
        <f>D656</f>
        <v/>
      </c>
      <c r="E805" s="1297">
        <f>E656</f>
        <v/>
      </c>
      <c r="F805" s="1297">
        <f>F656</f>
        <v/>
      </c>
      <c r="G805" s="1297">
        <f>G656</f>
        <v/>
      </c>
      <c r="H805" s="1277">
        <f>H656</f>
        <v/>
      </c>
      <c r="I805" s="1277">
        <f>I656-H656</f>
        <v/>
      </c>
      <c r="J805" s="1277">
        <f>J656-I656</f>
        <v/>
      </c>
      <c r="K805" s="1277">
        <f>K656-J656</f>
        <v/>
      </c>
      <c r="L805" s="1297">
        <f>L656</f>
        <v/>
      </c>
      <c r="M805" s="1277">
        <f>M656</f>
        <v/>
      </c>
      <c r="N805" s="1277">
        <f>N656-M656</f>
        <v/>
      </c>
      <c r="O805" s="1277">
        <f>O656-N656</f>
        <v/>
      </c>
      <c r="P805" s="1277">
        <f>P656-O656</f>
        <v/>
      </c>
      <c r="Q805" s="1297">
        <f>Q656</f>
        <v/>
      </c>
      <c r="R805" s="1277">
        <f>R656</f>
        <v/>
      </c>
      <c r="S805" s="1277">
        <f>S656-R656</f>
        <v/>
      </c>
      <c r="T805" s="1277">
        <f>T656-S656</f>
        <v/>
      </c>
      <c r="U805" s="1277">
        <f>U656-T656</f>
        <v/>
      </c>
      <c r="V805" s="1297">
        <f>V656</f>
        <v/>
      </c>
      <c r="W805" s="1277">
        <f>W656</f>
        <v/>
      </c>
      <c r="X805" s="1277">
        <f>X656-W656</f>
        <v/>
      </c>
      <c r="Y805" s="1277">
        <f>Y656-X656</f>
        <v/>
      </c>
      <c r="Z805" s="1277">
        <f>Z656-Y656</f>
        <v/>
      </c>
      <c r="AA805" s="1297">
        <f>AA656</f>
        <v/>
      </c>
      <c r="AB805" s="1277">
        <f>AB656</f>
        <v/>
      </c>
      <c r="AC805" s="1277">
        <f>AC656-AB656</f>
        <v/>
      </c>
      <c r="AD805" s="1277">
        <f>AD656-AC656</f>
        <v/>
      </c>
      <c r="AE805" s="1277">
        <f>AE656-AD656</f>
        <v/>
      </c>
      <c r="AF805" s="1297">
        <f>AF656</f>
        <v/>
      </c>
      <c r="AG805" s="1277">
        <f>AG656</f>
        <v/>
      </c>
      <c r="AH805" s="1277">
        <f>AH656-AG656</f>
        <v/>
      </c>
      <c r="AI805" s="1277">
        <f>AI656-AH656</f>
        <v/>
      </c>
      <c r="AJ805" s="1277">
        <f>AJ656-AI656</f>
        <v/>
      </c>
      <c r="AK805" s="1297">
        <f>SUM(AG805,AH805,AI805,AJ805)</f>
        <v/>
      </c>
      <c r="AL805" s="1277">
        <f>AL656</f>
        <v/>
      </c>
      <c r="AM805" s="1277">
        <f>AM656-AL656</f>
        <v/>
      </c>
      <c r="AN805" s="1277">
        <f>AN656-AM656</f>
        <v/>
      </c>
      <c r="AO805" s="1277">
        <f>AO656-AN656</f>
        <v/>
      </c>
      <c r="AP805" s="1297">
        <f>SUM(AL805,AM805,AN805,AO805)</f>
        <v/>
      </c>
      <c r="AQ805" s="1277">
        <f>AQ656</f>
        <v/>
      </c>
      <c r="AR805" s="1277">
        <f>AR656-AQ656</f>
        <v/>
      </c>
      <c r="AS805" s="1277">
        <f>AS656-AR656</f>
        <v/>
      </c>
      <c r="AT805" s="1277">
        <f>AT656-AS656</f>
        <v/>
      </c>
      <c r="AU805" s="1297">
        <f>SUM(AQ805,AR805,AS805,AT805)</f>
        <v/>
      </c>
      <c r="AV805" s="1277">
        <f>AV656</f>
        <v/>
      </c>
      <c r="AW805" s="1277">
        <f>AW656-AV656</f>
        <v/>
      </c>
      <c r="AX805" s="1277">
        <f>AX656-AW656</f>
        <v/>
      </c>
      <c r="AY805" s="1277">
        <f>AY656-AX656</f>
        <v/>
      </c>
      <c r="AZ805" s="1297">
        <f>SUM(AV805,AW805,AX805,AY805)</f>
        <v/>
      </c>
      <c r="BA805" s="1277">
        <f>BA656</f>
        <v/>
      </c>
      <c r="BB805" s="1277">
        <f>BB656-BA656</f>
        <v/>
      </c>
      <c r="BC805" s="1277">
        <f>BC656-BB656</f>
        <v/>
      </c>
      <c r="BD805" s="1277">
        <f>BD656-BC656</f>
        <v/>
      </c>
      <c r="BE805" s="1297">
        <f>SUM(BA805,BB805,BC805,BD805)</f>
        <v/>
      </c>
      <c r="BF805" s="1277">
        <f>BF656</f>
        <v/>
      </c>
      <c r="BG805" s="1277">
        <f>BG656-BF656</f>
        <v/>
      </c>
      <c r="BH805" s="1277">
        <f>BH656-BG656</f>
        <v/>
      </c>
      <c r="BI805" s="1277">
        <f>BI656-BH656</f>
        <v/>
      </c>
      <c r="BJ805" s="1297">
        <f>SUM(BF805,BG805,BH805,BI805)</f>
        <v/>
      </c>
      <c r="BK805" s="1277">
        <f>BK656</f>
        <v/>
      </c>
      <c r="BL805" s="1277">
        <f>BL656-BK656</f>
        <v/>
      </c>
      <c r="BM805" s="1277">
        <f>BM656-BL656</f>
        <v/>
      </c>
      <c r="BN805" s="1277">
        <f>BN656-BM656</f>
        <v/>
      </c>
      <c r="BO805" s="1382">
        <f>SUM(BK805,BL805,BM805,BN805)</f>
        <v/>
      </c>
      <c r="BP805" s="1277" t="n"/>
      <c r="BQ805" s="1277" t="n"/>
      <c r="BR805" s="1277" t="n"/>
      <c r="BS805" s="1277" t="n"/>
      <c r="BT805" s="1297">
        <f>SUM(BP805,BQ805,BR805,BS805)</f>
        <v/>
      </c>
      <c r="BU805" s="1277" t="n"/>
      <c r="BV805" s="1277" t="n"/>
      <c r="BW805" s="1277" t="n"/>
      <c r="BX805" s="1277" t="n"/>
      <c r="BY805" s="1297">
        <f>SUM(BU805,BV805,BW805,BX805)</f>
        <v/>
      </c>
      <c r="BZ805" s="1297" t="n"/>
      <c r="CA805" s="1297" t="n"/>
      <c r="CB805" s="1297" t="n"/>
      <c r="CC805" s="1280" t="n"/>
    </row>
    <row r="806" ht="14.4" customFormat="1" customHeight="1" s="1275">
      <c r="A806" s="1388">
        <f>A657</f>
        <v/>
      </c>
      <c r="B806" s="1389" t="n"/>
      <c r="C806" s="1364">
        <f>C657</f>
        <v/>
      </c>
      <c r="D806" s="1364">
        <f>D657</f>
        <v/>
      </c>
      <c r="E806" s="1364">
        <f>E657</f>
        <v/>
      </c>
      <c r="F806" s="1364">
        <f>F657</f>
        <v/>
      </c>
      <c r="G806" s="1364">
        <f>G657</f>
        <v/>
      </c>
      <c r="H806" s="1365">
        <f>H657</f>
        <v/>
      </c>
      <c r="I806" s="1365">
        <f>I657-H657</f>
        <v/>
      </c>
      <c r="J806" s="1365">
        <f>J657-I657</f>
        <v/>
      </c>
      <c r="K806" s="1365">
        <f>K657-J657</f>
        <v/>
      </c>
      <c r="L806" s="1364">
        <f>L657</f>
        <v/>
      </c>
      <c r="M806" s="1365">
        <f>M657</f>
        <v/>
      </c>
      <c r="N806" s="1365">
        <f>N657-M657</f>
        <v/>
      </c>
      <c r="O806" s="1365">
        <f>O657-N657</f>
        <v/>
      </c>
      <c r="P806" s="1365">
        <f>P657-O657</f>
        <v/>
      </c>
      <c r="Q806" s="1364">
        <f>Q657</f>
        <v/>
      </c>
      <c r="R806" s="1365">
        <f>R657</f>
        <v/>
      </c>
      <c r="S806" s="1365">
        <f>S657-R657</f>
        <v/>
      </c>
      <c r="T806" s="1365">
        <f>T657-S657</f>
        <v/>
      </c>
      <c r="U806" s="1365">
        <f>U657-T657</f>
        <v/>
      </c>
      <c r="V806" s="1364">
        <f>V657</f>
        <v/>
      </c>
      <c r="W806" s="1365">
        <f>W657</f>
        <v/>
      </c>
      <c r="X806" s="1365">
        <f>X657-W657</f>
        <v/>
      </c>
      <c r="Y806" s="1365">
        <f>Y657-X657</f>
        <v/>
      </c>
      <c r="Z806" s="1365">
        <f>Z657-Y657</f>
        <v/>
      </c>
      <c r="AA806" s="1364">
        <f>AA657</f>
        <v/>
      </c>
      <c r="AB806" s="1365">
        <f>AB657</f>
        <v/>
      </c>
      <c r="AC806" s="1365">
        <f>AC657-AB657</f>
        <v/>
      </c>
      <c r="AD806" s="1365">
        <f>AD657-AC657</f>
        <v/>
      </c>
      <c r="AE806" s="1365">
        <f>AE657-AD657</f>
        <v/>
      </c>
      <c r="AF806" s="1364">
        <f>AF657</f>
        <v/>
      </c>
      <c r="AG806" s="1365">
        <f>AG657</f>
        <v/>
      </c>
      <c r="AH806" s="1365">
        <f>AH657-AG657</f>
        <v/>
      </c>
      <c r="AI806" s="1365">
        <f>AI657-AH657</f>
        <v/>
      </c>
      <c r="AJ806" s="1365">
        <f>AJ657-AI657</f>
        <v/>
      </c>
      <c r="AK806" s="1364">
        <f>SUM(AG806,AH806,AI806,AJ806)</f>
        <v/>
      </c>
      <c r="AL806" s="1365">
        <f>AL657</f>
        <v/>
      </c>
      <c r="AM806" s="1365">
        <f>AM657-AL657</f>
        <v/>
      </c>
      <c r="AN806" s="1365">
        <f>AN657-AM657</f>
        <v/>
      </c>
      <c r="AO806" s="1365">
        <f>AO657-AN657</f>
        <v/>
      </c>
      <c r="AP806" s="1364">
        <f>SUM(AL806,AM806,AN806,AO806)</f>
        <v/>
      </c>
      <c r="AQ806" s="1365">
        <f>AQ657</f>
        <v/>
      </c>
      <c r="AR806" s="1365">
        <f>AR657-AQ657</f>
        <v/>
      </c>
      <c r="AS806" s="1365">
        <f>AS657-AR657</f>
        <v/>
      </c>
      <c r="AT806" s="1365">
        <f>AT657-AS657</f>
        <v/>
      </c>
      <c r="AU806" s="1364">
        <f>SUM(AQ806,AR806,AS806,AT806)</f>
        <v/>
      </c>
      <c r="AV806" s="1365">
        <f>AV657</f>
        <v/>
      </c>
      <c r="AW806" s="1365">
        <f>AW657-AV657</f>
        <v/>
      </c>
      <c r="AX806" s="1365">
        <f>AX657-AW657</f>
        <v/>
      </c>
      <c r="AY806" s="1365">
        <f>AY657-AX657</f>
        <v/>
      </c>
      <c r="AZ806" s="1364">
        <f>SUM(AV806,AW806,AX806,AY806)</f>
        <v/>
      </c>
      <c r="BA806" s="1365">
        <f>BA657</f>
        <v/>
      </c>
      <c r="BB806" s="1365">
        <f>BB657-BA657</f>
        <v/>
      </c>
      <c r="BC806" s="1365">
        <f>BC657-BB657</f>
        <v/>
      </c>
      <c r="BD806" s="1365">
        <f>BD657-BC657</f>
        <v/>
      </c>
      <c r="BE806" s="1364">
        <f>SUM(BA806,BB806,BC806,BD806)</f>
        <v/>
      </c>
      <c r="BF806" s="1365">
        <f>BF657</f>
        <v/>
      </c>
      <c r="BG806" s="1365">
        <f>BG657-BF657</f>
        <v/>
      </c>
      <c r="BH806" s="1365">
        <f>BH657-BG657</f>
        <v/>
      </c>
      <c r="BI806" s="1365">
        <f>BI657-BH657</f>
        <v/>
      </c>
      <c r="BJ806" s="1364">
        <f>SUM(BF806,BG806,BH806,BI806)</f>
        <v/>
      </c>
      <c r="BK806" s="1365">
        <f>BK657</f>
        <v/>
      </c>
      <c r="BL806" s="1365">
        <f>BL657-BK657</f>
        <v/>
      </c>
      <c r="BM806" s="1365">
        <f>BM657-BL657</f>
        <v/>
      </c>
      <c r="BN806" s="1365">
        <f>BN657-BM657</f>
        <v/>
      </c>
      <c r="BO806" s="1366">
        <f>SUM(BK806,BL806,BM806,BN806)</f>
        <v/>
      </c>
      <c r="BP806" s="1365" t="n"/>
      <c r="BQ806" s="1365" t="n"/>
      <c r="BR806" s="1365" t="n"/>
      <c r="BS806" s="1365" t="n"/>
      <c r="BT806" s="1364">
        <f>SUM(BP806,BQ806,BR806,BS806)</f>
        <v/>
      </c>
      <c r="BU806" s="1365" t="n"/>
      <c r="BV806" s="1365" t="n"/>
      <c r="BW806" s="1365" t="n"/>
      <c r="BX806" s="1365" t="n"/>
      <c r="BY806" s="1364">
        <f>SUM(BU806,BV806,BW806,BX806)</f>
        <v/>
      </c>
      <c r="BZ806" s="1364" t="n"/>
      <c r="CA806" s="1364" t="n"/>
      <c r="CB806" s="1364" t="n"/>
      <c r="CC806" s="1280" t="n"/>
    </row>
    <row r="807" ht="14.4" customFormat="1" customHeight="1" s="1323">
      <c r="A807" s="1392">
        <f>A658</f>
        <v/>
      </c>
      <c r="B807" s="1393" t="n"/>
      <c r="C807" s="1326">
        <f>SUM(C784:C806)</f>
        <v/>
      </c>
      <c r="D807" s="1326">
        <f>SUM(D784:D806)</f>
        <v/>
      </c>
      <c r="E807" s="1326">
        <f>SUM(E784:E806)</f>
        <v/>
      </c>
      <c r="F807" s="1326">
        <f>SUM(F784:F806)</f>
        <v/>
      </c>
      <c r="G807" s="1326">
        <f>SUM(G784:G806)</f>
        <v/>
      </c>
      <c r="H807" s="1327">
        <f>SUM(H784:H806)</f>
        <v/>
      </c>
      <c r="I807" s="1327">
        <f>SUM(I784:I806)</f>
        <v/>
      </c>
      <c r="J807" s="1327">
        <f>SUM(J784:J806)</f>
        <v/>
      </c>
      <c r="K807" s="1327">
        <f>SUM(K784:K806)</f>
        <v/>
      </c>
      <c r="L807" s="1326">
        <f>SUM(L784:L806)</f>
        <v/>
      </c>
      <c r="M807" s="1327">
        <f>SUM(M784:M806)</f>
        <v/>
      </c>
      <c r="N807" s="1327">
        <f>SUM(N784:N806)</f>
        <v/>
      </c>
      <c r="O807" s="1327">
        <f>SUM(O784:O806)</f>
        <v/>
      </c>
      <c r="P807" s="1327">
        <f>SUM(P784:P806)</f>
        <v/>
      </c>
      <c r="Q807" s="1326">
        <f>SUM(Q784:Q806)</f>
        <v/>
      </c>
      <c r="R807" s="1327">
        <f>SUM(R784:R806)</f>
        <v/>
      </c>
      <c r="S807" s="1327">
        <f>SUM(S784:S806)</f>
        <v/>
      </c>
      <c r="T807" s="1327">
        <f>SUM(T784:T806)</f>
        <v/>
      </c>
      <c r="U807" s="1327">
        <f>SUM(U784:U806)</f>
        <v/>
      </c>
      <c r="V807" s="1326">
        <f>SUM(V784:V806)</f>
        <v/>
      </c>
      <c r="W807" s="1327">
        <f>SUM(W784:W806)</f>
        <v/>
      </c>
      <c r="X807" s="1327">
        <f>SUM(X784:X806)</f>
        <v/>
      </c>
      <c r="Y807" s="1327">
        <f>SUM(Y784:Y806)</f>
        <v/>
      </c>
      <c r="Z807" s="1327">
        <f>SUM(Z784:Z806)</f>
        <v/>
      </c>
      <c r="AA807" s="1326">
        <f>SUM(AA784:AA806)</f>
        <v/>
      </c>
      <c r="AB807" s="1327">
        <f>SUM(AB784:AB806)</f>
        <v/>
      </c>
      <c r="AC807" s="1327">
        <f>SUM(AC784:AC806)</f>
        <v/>
      </c>
      <c r="AD807" s="1327">
        <f>SUM(AD784:AD806)</f>
        <v/>
      </c>
      <c r="AE807" s="1327">
        <f>SUM(AE784:AE806)</f>
        <v/>
      </c>
      <c r="AF807" s="1326">
        <f>SUM(AF784:AF806)</f>
        <v/>
      </c>
      <c r="AG807" s="1327">
        <f>SUM(AG784:AG806)</f>
        <v/>
      </c>
      <c r="AH807" s="1327">
        <f>SUM(AH784:AH806)</f>
        <v/>
      </c>
      <c r="AI807" s="1327">
        <f>SUM(AI784:AI806)</f>
        <v/>
      </c>
      <c r="AJ807" s="1327">
        <f>SUM(AJ784:AJ806)</f>
        <v/>
      </c>
      <c r="AK807" s="1326">
        <f>SUM(AK784:AK806)</f>
        <v/>
      </c>
      <c r="AL807" s="1327">
        <f>SUM(AL784:AL806)</f>
        <v/>
      </c>
      <c r="AM807" s="1327">
        <f>SUM(AM784:AM806)</f>
        <v/>
      </c>
      <c r="AN807" s="1327">
        <f>SUM(AN784:AN806)</f>
        <v/>
      </c>
      <c r="AO807" s="1327">
        <f>SUM(AO784:AO806)</f>
        <v/>
      </c>
      <c r="AP807" s="1326">
        <f>SUM(AP784:AP806)</f>
        <v/>
      </c>
      <c r="AQ807" s="1327">
        <f>SUM(AQ784:AQ806)</f>
        <v/>
      </c>
      <c r="AR807" s="1327">
        <f>SUM(AR784:AR806)</f>
        <v/>
      </c>
      <c r="AS807" s="1327">
        <f>SUM(AS784:AS806)</f>
        <v/>
      </c>
      <c r="AT807" s="1327">
        <f>SUM(AT784:AT806)</f>
        <v/>
      </c>
      <c r="AU807" s="1326">
        <f>SUM(AU784:AU806)</f>
        <v/>
      </c>
      <c r="AV807" s="1327">
        <f>SUM(AV784:AV806)</f>
        <v/>
      </c>
      <c r="AW807" s="1327">
        <f>SUM(AW784:AW806)</f>
        <v/>
      </c>
      <c r="AX807" s="1327">
        <f>SUM(AX784:AX806)</f>
        <v/>
      </c>
      <c r="AY807" s="1327">
        <f>SUM(AY784:AY806)</f>
        <v/>
      </c>
      <c r="AZ807" s="1326">
        <f>SUM(AZ784:AZ806)</f>
        <v/>
      </c>
      <c r="BA807" s="1327">
        <f>SUM(BA784:BA806)</f>
        <v/>
      </c>
      <c r="BB807" s="1327">
        <f>SUM(BB784:BB806)</f>
        <v/>
      </c>
      <c r="BC807" s="1327">
        <f>SUM(BC784:BC806)</f>
        <v/>
      </c>
      <c r="BD807" s="1327">
        <f>SUM(BD784:BD806)</f>
        <v/>
      </c>
      <c r="BE807" s="1326">
        <f>SUM(BE784:BE806)</f>
        <v/>
      </c>
      <c r="BF807" s="1327">
        <f>SUM(BF784:BF806)</f>
        <v/>
      </c>
      <c r="BG807" s="1327">
        <f>SUM(BG784:BG806)</f>
        <v/>
      </c>
      <c r="BH807" s="1327">
        <f>SUM(BH784:BH806)</f>
        <v/>
      </c>
      <c r="BI807" s="1327">
        <f>SUM(BI784:BI806)</f>
        <v/>
      </c>
      <c r="BJ807" s="1326">
        <f>SUM(BJ784:BJ806)</f>
        <v/>
      </c>
      <c r="BK807" s="1327">
        <f>SUM(BK784:BK806)</f>
        <v/>
      </c>
      <c r="BL807" s="1327">
        <f>SUM(BL784:BL806)</f>
        <v/>
      </c>
      <c r="BM807" s="1327">
        <f>SUM(BM784:BM806)</f>
        <v/>
      </c>
      <c r="BN807" s="1327">
        <f>SUM(BN784:BN806)</f>
        <v/>
      </c>
      <c r="BO807" s="1386">
        <f>SUM(BO784:BO806)</f>
        <v/>
      </c>
      <c r="BP807" s="1327">
        <f>SUM(BP784:BP806)</f>
        <v/>
      </c>
      <c r="BQ807" s="1327">
        <f>SUM(BQ784:BQ806)</f>
        <v/>
      </c>
      <c r="BR807" s="1327">
        <f>SUM(BR784:BR806)</f>
        <v/>
      </c>
      <c r="BS807" s="1327">
        <f>SUM(BS784:BS806)</f>
        <v/>
      </c>
      <c r="BT807" s="1326">
        <f>SUM(BT784:BT806)</f>
        <v/>
      </c>
      <c r="BU807" s="1327">
        <f>SUM(BU784:BU806)</f>
        <v/>
      </c>
      <c r="BV807" s="1327">
        <f>SUM(BV784:BV806)</f>
        <v/>
      </c>
      <c r="BW807" s="1327">
        <f>SUM(BW784:BW806)</f>
        <v/>
      </c>
      <c r="BX807" s="1327">
        <f>SUM(BX784:BX806)</f>
        <v/>
      </c>
      <c r="BY807" s="1326">
        <f>SUM(BY784:BY806)</f>
        <v/>
      </c>
      <c r="BZ807" s="1326">
        <f>SUM(BZ784:BZ806)</f>
        <v/>
      </c>
      <c r="CA807" s="1326">
        <f>SUM(CA784:CA806)</f>
        <v/>
      </c>
      <c r="CB807" s="1326">
        <f>SUM(CB784:CB806)</f>
        <v/>
      </c>
      <c r="CC807" s="1331" t="n"/>
    </row>
    <row r="808" ht="14.4" customFormat="1" customHeight="1" s="1323">
      <c r="A808" s="1344" t="n"/>
      <c r="B808" s="1394" t="n"/>
      <c r="C808" s="1345" t="n"/>
      <c r="D808" s="1345" t="n"/>
      <c r="E808" s="1345" t="n"/>
      <c r="F808" s="1345" t="n"/>
      <c r="G808" s="1345" t="n"/>
      <c r="H808" s="1346" t="n"/>
      <c r="I808" s="1346" t="n"/>
      <c r="J808" s="1346" t="n"/>
      <c r="K808" s="1346" t="n"/>
      <c r="L808" s="1345" t="n"/>
      <c r="M808" s="1346" t="n"/>
      <c r="N808" s="1346" t="n"/>
      <c r="O808" s="1346" t="n"/>
      <c r="P808" s="1346" t="n"/>
      <c r="Q808" s="1345" t="n"/>
      <c r="R808" s="1346" t="n"/>
      <c r="S808" s="1346" t="n"/>
      <c r="T808" s="1346" t="n"/>
      <c r="U808" s="1346" t="n"/>
      <c r="V808" s="1345" t="n"/>
      <c r="W808" s="1346" t="n"/>
      <c r="X808" s="1346" t="n"/>
      <c r="Y808" s="1346" t="n"/>
      <c r="Z808" s="1346" t="n"/>
      <c r="AA808" s="1345" t="n"/>
      <c r="AB808" s="1346" t="n"/>
      <c r="AC808" s="1346" t="n"/>
      <c r="AD808" s="1346" t="n"/>
      <c r="AE808" s="1346" t="n"/>
      <c r="AF808" s="1345" t="n"/>
      <c r="AG808" s="1346" t="n"/>
      <c r="AH808" s="1346" t="n"/>
      <c r="AI808" s="1346" t="n"/>
      <c r="AJ808" s="1346" t="n"/>
      <c r="AK808" s="1345" t="n"/>
      <c r="AL808" s="1346" t="n"/>
      <c r="AM808" s="1346" t="n"/>
      <c r="AN808" s="1346" t="n"/>
      <c r="AO808" s="1346" t="n"/>
      <c r="AP808" s="1345" t="n"/>
      <c r="AQ808" s="1346" t="n"/>
      <c r="AR808" s="1346" t="n"/>
      <c r="AS808" s="1346" t="n"/>
      <c r="AT808" s="1346" t="n"/>
      <c r="AU808" s="1345" t="n"/>
      <c r="AV808" s="1346" t="n"/>
      <c r="AW808" s="1346" t="n"/>
      <c r="AX808" s="1346" t="n"/>
      <c r="AY808" s="1346" t="n"/>
      <c r="AZ808" s="1345" t="n"/>
      <c r="BA808" s="1346" t="n"/>
      <c r="BB808" s="1346" t="n"/>
      <c r="BC808" s="1346" t="n"/>
      <c r="BD808" s="1346" t="n"/>
      <c r="BE808" s="1345" t="n"/>
      <c r="BF808" s="1346" t="n"/>
      <c r="BG808" s="1346" t="n"/>
      <c r="BH808" s="1346" t="n"/>
      <c r="BI808" s="1346" t="n"/>
      <c r="BJ808" s="1345" t="n"/>
      <c r="BK808" s="1346" t="n"/>
      <c r="BL808" s="1346" t="n"/>
      <c r="BM808" s="1346" t="n"/>
      <c r="BN808" s="1346" t="n"/>
      <c r="BO808" s="1347" t="n"/>
      <c r="BP808" s="1346" t="n"/>
      <c r="BQ808" s="1346" t="n"/>
      <c r="BR808" s="1346" t="n"/>
      <c r="BS808" s="1346" t="n"/>
      <c r="BT808" s="1345" t="n"/>
      <c r="BU808" s="1346" t="n"/>
      <c r="BV808" s="1346" t="n"/>
      <c r="BW808" s="1346" t="n"/>
      <c r="BX808" s="1346" t="n"/>
      <c r="BY808" s="1345" t="n"/>
      <c r="BZ808" s="1345" t="n"/>
      <c r="CA808" s="1345" t="n"/>
      <c r="CB808" s="1345" t="n"/>
      <c r="CC808" s="1331" t="n"/>
    </row>
    <row r="809" ht="14.4" customFormat="1" customHeight="1" s="1323">
      <c r="A809" s="1344">
        <f>A660</f>
        <v/>
      </c>
      <c r="B809" s="1394" t="n"/>
      <c r="C809" s="1345">
        <f>C660</f>
        <v/>
      </c>
      <c r="D809" s="1345">
        <f>D660</f>
        <v/>
      </c>
      <c r="E809" s="1345">
        <f>E660</f>
        <v/>
      </c>
      <c r="F809" s="1345">
        <f>F660</f>
        <v/>
      </c>
      <c r="G809" s="1345">
        <f>G660</f>
        <v/>
      </c>
      <c r="H809" s="1346">
        <f>H660</f>
        <v/>
      </c>
      <c r="I809" s="1346">
        <f>I660-H660</f>
        <v/>
      </c>
      <c r="J809" s="1346">
        <f>J660-I660</f>
        <v/>
      </c>
      <c r="K809" s="1346">
        <f>K660-J660</f>
        <v/>
      </c>
      <c r="L809" s="1345">
        <f>L660</f>
        <v/>
      </c>
      <c r="M809" s="1346">
        <f>M660</f>
        <v/>
      </c>
      <c r="N809" s="1346">
        <f>N660-M660</f>
        <v/>
      </c>
      <c r="O809" s="1346">
        <f>O660-N660</f>
        <v/>
      </c>
      <c r="P809" s="1346">
        <f>P660-O660</f>
        <v/>
      </c>
      <c r="Q809" s="1345">
        <f>Q660</f>
        <v/>
      </c>
      <c r="R809" s="1346">
        <f>R660</f>
        <v/>
      </c>
      <c r="S809" s="1346">
        <f>S660-R660</f>
        <v/>
      </c>
      <c r="T809" s="1346">
        <f>T660-S660</f>
        <v/>
      </c>
      <c r="U809" s="1346">
        <f>U660-T660</f>
        <v/>
      </c>
      <c r="V809" s="1345">
        <f>V660</f>
        <v/>
      </c>
      <c r="W809" s="1346">
        <f>W660</f>
        <v/>
      </c>
      <c r="X809" s="1346">
        <f>X660-W660</f>
        <v/>
      </c>
      <c r="Y809" s="1346">
        <f>Y660-X660</f>
        <v/>
      </c>
      <c r="Z809" s="1346">
        <f>Z660-Y660</f>
        <v/>
      </c>
      <c r="AA809" s="1345">
        <f>AA660</f>
        <v/>
      </c>
      <c r="AB809" s="1346">
        <f>AB660</f>
        <v/>
      </c>
      <c r="AC809" s="1346">
        <f>AC660-AB660</f>
        <v/>
      </c>
      <c r="AD809" s="1346">
        <f>AD660-AC660</f>
        <v/>
      </c>
      <c r="AE809" s="1346">
        <f>AE660-AD660</f>
        <v/>
      </c>
      <c r="AF809" s="1345">
        <f>AF660</f>
        <v/>
      </c>
      <c r="AG809" s="1346">
        <f>AG660</f>
        <v/>
      </c>
      <c r="AH809" s="1346">
        <f>AH660-AG660</f>
        <v/>
      </c>
      <c r="AI809" s="1346">
        <f>AI660-AH660</f>
        <v/>
      </c>
      <c r="AJ809" s="1346">
        <f>AJ660-AI660</f>
        <v/>
      </c>
      <c r="AK809" s="1345">
        <f>AK660</f>
        <v/>
      </c>
      <c r="AL809" s="1346">
        <f>AL660</f>
        <v/>
      </c>
      <c r="AM809" s="1346">
        <f>AM660-AL660</f>
        <v/>
      </c>
      <c r="AN809" s="1346">
        <f>AN660-AM660</f>
        <v/>
      </c>
      <c r="AO809" s="1346">
        <f>AO660-AN660</f>
        <v/>
      </c>
      <c r="AP809" s="1345">
        <f>AP660</f>
        <v/>
      </c>
      <c r="AQ809" s="1346">
        <f>AQ660</f>
        <v/>
      </c>
      <c r="AR809" s="1346">
        <f>AR660-AQ660</f>
        <v/>
      </c>
      <c r="AS809" s="1346">
        <f>AS660-AR660</f>
        <v/>
      </c>
      <c r="AT809" s="1346">
        <f>AT660-AS660</f>
        <v/>
      </c>
      <c r="AU809" s="1345">
        <f>AU660</f>
        <v/>
      </c>
      <c r="AV809" s="1346">
        <f>AV660</f>
        <v/>
      </c>
      <c r="AW809" s="1346">
        <f>AW660-AV660</f>
        <v/>
      </c>
      <c r="AX809" s="1346">
        <f>AX660-AW660</f>
        <v/>
      </c>
      <c r="AY809" s="1346">
        <f>AY660-AX660</f>
        <v/>
      </c>
      <c r="AZ809" s="1345">
        <f>AZ660</f>
        <v/>
      </c>
      <c r="BA809" s="1346">
        <f>BA660</f>
        <v/>
      </c>
      <c r="BB809" s="1346">
        <f>BB660-BA660</f>
        <v/>
      </c>
      <c r="BC809" s="1346">
        <f>BC660-BB660</f>
        <v/>
      </c>
      <c r="BD809" s="1346">
        <f>BD660-BC660</f>
        <v/>
      </c>
      <c r="BE809" s="1345">
        <f>BE660</f>
        <v/>
      </c>
      <c r="BF809" s="1346">
        <f>BF660</f>
        <v/>
      </c>
      <c r="BG809" s="1346">
        <f>BG660-BF660</f>
        <v/>
      </c>
      <c r="BH809" s="1346">
        <f>BH660-BG660</f>
        <v/>
      </c>
      <c r="BI809" s="1346">
        <f>BI660-BH660</f>
        <v/>
      </c>
      <c r="BJ809" s="1345">
        <f>BJ660</f>
        <v/>
      </c>
      <c r="BK809" s="1346">
        <f>BK660</f>
        <v/>
      </c>
      <c r="BL809" s="1346">
        <f>BL660-BK660</f>
        <v/>
      </c>
      <c r="BM809" s="1346">
        <f>BM660-BL660</f>
        <v/>
      </c>
      <c r="BN809" s="1346">
        <f>BN660-BM660</f>
        <v/>
      </c>
      <c r="BO809" s="1347">
        <f>BO660</f>
        <v/>
      </c>
      <c r="BP809" s="1346" t="n"/>
      <c r="BQ809" s="1346" t="n"/>
      <c r="BR809" s="1346" t="n"/>
      <c r="BS809" s="1346" t="n"/>
      <c r="BT809" s="1345">
        <f>SUM(BP809,BQ809,BR809,BS809)</f>
        <v/>
      </c>
      <c r="BU809" s="1346" t="n"/>
      <c r="BV809" s="1346" t="n"/>
      <c r="BW809" s="1346" t="n"/>
      <c r="BX809" s="1346" t="n"/>
      <c r="BY809" s="1345">
        <f>SUM(BU809,BV809,BW809,BX809)</f>
        <v/>
      </c>
      <c r="BZ809" s="1345" t="n"/>
      <c r="CA809" s="1345" t="n"/>
      <c r="CB809" s="1345" t="n"/>
      <c r="CC809" s="1331" t="n"/>
    </row>
    <row r="810" ht="14.4" customFormat="1" customHeight="1" s="1323">
      <c r="A810" s="1344">
        <f>A661</f>
        <v/>
      </c>
      <c r="B810" s="1394" t="n"/>
      <c r="C810" s="1345">
        <f>C661</f>
        <v/>
      </c>
      <c r="D810" s="1345">
        <f>D661</f>
        <v/>
      </c>
      <c r="E810" s="1345">
        <f>E661</f>
        <v/>
      </c>
      <c r="F810" s="1345">
        <f>F661</f>
        <v/>
      </c>
      <c r="G810" s="1345">
        <f>G661</f>
        <v/>
      </c>
      <c r="H810" s="1346">
        <f>H661</f>
        <v/>
      </c>
      <c r="I810" s="1346">
        <f>I661-H661</f>
        <v/>
      </c>
      <c r="J810" s="1346">
        <f>J661-I661</f>
        <v/>
      </c>
      <c r="K810" s="1346">
        <f>K661-J661</f>
        <v/>
      </c>
      <c r="L810" s="1345">
        <f>L661</f>
        <v/>
      </c>
      <c r="M810" s="1346">
        <f>M661</f>
        <v/>
      </c>
      <c r="N810" s="1346">
        <f>N661-M661</f>
        <v/>
      </c>
      <c r="O810" s="1346">
        <f>O661-N661</f>
        <v/>
      </c>
      <c r="P810" s="1346">
        <f>P661-O661</f>
        <v/>
      </c>
      <c r="Q810" s="1345">
        <f>Q661</f>
        <v/>
      </c>
      <c r="R810" s="1346">
        <f>R661</f>
        <v/>
      </c>
      <c r="S810" s="1346">
        <f>S661-R661</f>
        <v/>
      </c>
      <c r="T810" s="1346">
        <f>T661-S661</f>
        <v/>
      </c>
      <c r="U810" s="1346">
        <f>U661-T661</f>
        <v/>
      </c>
      <c r="V810" s="1345">
        <f>V661</f>
        <v/>
      </c>
      <c r="W810" s="1346">
        <f>W661</f>
        <v/>
      </c>
      <c r="X810" s="1346">
        <f>X661-W661</f>
        <v/>
      </c>
      <c r="Y810" s="1346">
        <f>Y661-X661</f>
        <v/>
      </c>
      <c r="Z810" s="1346">
        <f>Z661-Y661</f>
        <v/>
      </c>
      <c r="AA810" s="1345">
        <f>AA661</f>
        <v/>
      </c>
      <c r="AB810" s="1346">
        <f>AB661</f>
        <v/>
      </c>
      <c r="AC810" s="1346">
        <f>AC661-AB661</f>
        <v/>
      </c>
      <c r="AD810" s="1346">
        <f>AD661-AC661</f>
        <v/>
      </c>
      <c r="AE810" s="1346">
        <f>AE661-AD661</f>
        <v/>
      </c>
      <c r="AF810" s="1345">
        <f>AF661</f>
        <v/>
      </c>
      <c r="AG810" s="1346">
        <f>AG661</f>
        <v/>
      </c>
      <c r="AH810" s="1346">
        <f>AH661-AG661</f>
        <v/>
      </c>
      <c r="AI810" s="1346">
        <f>AI661-AH661</f>
        <v/>
      </c>
      <c r="AJ810" s="1346">
        <f>AJ661-AI661</f>
        <v/>
      </c>
      <c r="AK810" s="1345">
        <f>AK661</f>
        <v/>
      </c>
      <c r="AL810" s="1346">
        <f>AL661</f>
        <v/>
      </c>
      <c r="AM810" s="1346">
        <f>AM661-AL661</f>
        <v/>
      </c>
      <c r="AN810" s="1346">
        <f>AN661-AM661</f>
        <v/>
      </c>
      <c r="AO810" s="1346">
        <f>AO661-AN661</f>
        <v/>
      </c>
      <c r="AP810" s="1345">
        <f>AP661</f>
        <v/>
      </c>
      <c r="AQ810" s="1346">
        <f>AQ661</f>
        <v/>
      </c>
      <c r="AR810" s="1346">
        <f>AR661-AQ661</f>
        <v/>
      </c>
      <c r="AS810" s="1346">
        <f>AS661-AR661</f>
        <v/>
      </c>
      <c r="AT810" s="1346">
        <f>AT661-AS661</f>
        <v/>
      </c>
      <c r="AU810" s="1345">
        <f>AU661</f>
        <v/>
      </c>
      <c r="AV810" s="1346">
        <f>AV661</f>
        <v/>
      </c>
      <c r="AW810" s="1346">
        <f>AW661-AV661</f>
        <v/>
      </c>
      <c r="AX810" s="1346">
        <f>AX661-AW661</f>
        <v/>
      </c>
      <c r="AY810" s="1346">
        <f>AY661-AX661</f>
        <v/>
      </c>
      <c r="AZ810" s="1345">
        <f>AZ661</f>
        <v/>
      </c>
      <c r="BA810" s="1346">
        <f>BA661</f>
        <v/>
      </c>
      <c r="BB810" s="1346">
        <f>BB661-BA661</f>
        <v/>
      </c>
      <c r="BC810" s="1346">
        <f>BC661-BB661</f>
        <v/>
      </c>
      <c r="BD810" s="1346">
        <f>BD661-BC661</f>
        <v/>
      </c>
      <c r="BE810" s="1345">
        <f>BE661</f>
        <v/>
      </c>
      <c r="BF810" s="1346">
        <f>BF661</f>
        <v/>
      </c>
      <c r="BG810" s="1346">
        <f>BG661-BF661</f>
        <v/>
      </c>
      <c r="BH810" s="1346">
        <f>BH661-BG661</f>
        <v/>
      </c>
      <c r="BI810" s="1346">
        <f>BI661-BH661</f>
        <v/>
      </c>
      <c r="BJ810" s="1345">
        <f>BJ661</f>
        <v/>
      </c>
      <c r="BK810" s="1346">
        <f>BK661</f>
        <v/>
      </c>
      <c r="BL810" s="1346">
        <f>BL661-BK661</f>
        <v/>
      </c>
      <c r="BM810" s="1346">
        <f>BM661-BL661</f>
        <v/>
      </c>
      <c r="BN810" s="1346">
        <f>BN661-BM661</f>
        <v/>
      </c>
      <c r="BO810" s="1347">
        <f>BO661</f>
        <v/>
      </c>
      <c r="BP810" s="1346" t="n"/>
      <c r="BQ810" s="1346" t="n"/>
      <c r="BR810" s="1346" t="n"/>
      <c r="BS810" s="1346" t="n"/>
      <c r="BT810" s="1345">
        <f>SUM(BP810,BQ810,BR810,BS810)</f>
        <v/>
      </c>
      <c r="BU810" s="1346" t="n"/>
      <c r="BV810" s="1346" t="n"/>
      <c r="BW810" s="1346" t="n"/>
      <c r="BX810" s="1346" t="n"/>
      <c r="BY810" s="1345">
        <f>SUM(BU810,BV810,BW810,BX810)</f>
        <v/>
      </c>
      <c r="BZ810" s="1345" t="n"/>
      <c r="CA810" s="1345" t="n"/>
      <c r="CB810" s="1345" t="n"/>
      <c r="CC810" s="1331" t="n"/>
    </row>
    <row r="811" ht="14.4" customFormat="1" customHeight="1" s="1275">
      <c r="A811" s="1344">
        <f>A662</f>
        <v/>
      </c>
      <c r="B811" s="1394" t="n"/>
      <c r="C811" s="1345">
        <f>C807+C781+C737+C810+C809</f>
        <v/>
      </c>
      <c r="D811" s="1345">
        <f>D807+D781+D737+D810+D809</f>
        <v/>
      </c>
      <c r="E811" s="1345">
        <f>E807+E781+E737+E810+E809</f>
        <v/>
      </c>
      <c r="F811" s="1345">
        <f>F807+F781+F737+F810+F809</f>
        <v/>
      </c>
      <c r="G811" s="1345">
        <f>G807+G781+G737+G810+G809</f>
        <v/>
      </c>
      <c r="H811" s="1346">
        <f>H807+H781+H737+H810+H809</f>
        <v/>
      </c>
      <c r="I811" s="1346">
        <f>I807+I781+I737+I810+I809</f>
        <v/>
      </c>
      <c r="J811" s="1346">
        <f>J807+J781+J737+J810+J809</f>
        <v/>
      </c>
      <c r="K811" s="1346">
        <f>K807+K781+K737+K810+K809</f>
        <v/>
      </c>
      <c r="L811" s="1345">
        <f>L807+L781+L737+L810+L809</f>
        <v/>
      </c>
      <c r="M811" s="1346">
        <f>M807+M781+M737+M810+M809</f>
        <v/>
      </c>
      <c r="N811" s="1346">
        <f>N807+N781+N737+N810+N809</f>
        <v/>
      </c>
      <c r="O811" s="1346">
        <f>O807+O781+O737+O810+O809</f>
        <v/>
      </c>
      <c r="P811" s="1346">
        <f>P807+P781+P737+P810+P809</f>
        <v/>
      </c>
      <c r="Q811" s="1345">
        <f>Q807+Q781+Q737+Q810+Q809</f>
        <v/>
      </c>
      <c r="R811" s="1346">
        <f>R807+R781+R737+R810+R809</f>
        <v/>
      </c>
      <c r="S811" s="1346">
        <f>S807+S781+S737+S810+S809</f>
        <v/>
      </c>
      <c r="T811" s="1346">
        <f>T807+T781+T737+T810+T809</f>
        <v/>
      </c>
      <c r="U811" s="1346">
        <f>U807+U781+U737+U810+U809</f>
        <v/>
      </c>
      <c r="V811" s="1345">
        <f>V807+V781+V737+V810+V809</f>
        <v/>
      </c>
      <c r="W811" s="1346">
        <f>W807+W781+W737+W810+W809</f>
        <v/>
      </c>
      <c r="X811" s="1346">
        <f>X807+X781+X737+X810+X809</f>
        <v/>
      </c>
      <c r="Y811" s="1346">
        <f>Y807+Y781+Y737+Y810+Y809</f>
        <v/>
      </c>
      <c r="Z811" s="1346">
        <f>Z807+Z781+Z737+Z810+Z809</f>
        <v/>
      </c>
      <c r="AA811" s="1345">
        <f>AA807+AA781+AA737+AA810+AA809</f>
        <v/>
      </c>
      <c r="AB811" s="1346">
        <f>AB807+AB781+AB737+AB810+AB809</f>
        <v/>
      </c>
      <c r="AC811" s="1346">
        <f>AC807+AC781+AC737+AC810+AC809</f>
        <v/>
      </c>
      <c r="AD811" s="1346">
        <f>AD807+AD781+AD737+AD810+AD809</f>
        <v/>
      </c>
      <c r="AE811" s="1346">
        <f>AE807+AE781+AE737+AE810+AE809</f>
        <v/>
      </c>
      <c r="AF811" s="1345">
        <f>AF807+AF781+AF737+AF810+AF809</f>
        <v/>
      </c>
      <c r="AG811" s="1346">
        <f>AG807+AG781+AG737+AG810+AG809</f>
        <v/>
      </c>
      <c r="AH811" s="1346">
        <f>AH807+AH781+AH737+AH810+AH809</f>
        <v/>
      </c>
      <c r="AI811" s="1346">
        <f>AI807+AI781+AI737+AI810+AI809</f>
        <v/>
      </c>
      <c r="AJ811" s="1346">
        <f>AJ807+AJ781+AJ737+AJ810+AJ809</f>
        <v/>
      </c>
      <c r="AK811" s="1345">
        <f>AK807+AK781+AK737+AK810+AK809</f>
        <v/>
      </c>
      <c r="AL811" s="1346">
        <f>AL807+AL781+AL737+AL810+AL809</f>
        <v/>
      </c>
      <c r="AM811" s="1346">
        <f>AM807+AM781+AM737+AM810+AM809</f>
        <v/>
      </c>
      <c r="AN811" s="1346">
        <f>AN807+AN781+AN737+AN810+AN809</f>
        <v/>
      </c>
      <c r="AO811" s="1346">
        <f>AO807+AO781+AO737+AO810+AO809</f>
        <v/>
      </c>
      <c r="AP811" s="1345">
        <f>AP807+AP781+AP737+AP810+AP809</f>
        <v/>
      </c>
      <c r="AQ811" s="1346">
        <f>AQ807+AQ781+AQ737+AQ810+AQ809</f>
        <v/>
      </c>
      <c r="AR811" s="1346">
        <f>AR807+AR781+AR737+AR810+AR809</f>
        <v/>
      </c>
      <c r="AS811" s="1346">
        <f>AS807+AS781+AS737+AS810+AS809</f>
        <v/>
      </c>
      <c r="AT811" s="1346">
        <f>AT807+AT781+AT737+AT810+AT809</f>
        <v/>
      </c>
      <c r="AU811" s="1345">
        <f>AU807+AU781+AU737+AU810+AU809</f>
        <v/>
      </c>
      <c r="AV811" s="1346">
        <f>AV807+AV781+AV737+AV810+AV809</f>
        <v/>
      </c>
      <c r="AW811" s="1346">
        <f>AW807+AW781+AW737+AW810+AW809</f>
        <v/>
      </c>
      <c r="AX811" s="1346">
        <f>AX807+AX781+AX737+AX810+AX809</f>
        <v/>
      </c>
      <c r="AY811" s="1346">
        <f>AY807+AY781+AY737+AY810+AY809</f>
        <v/>
      </c>
      <c r="AZ811" s="1345">
        <f>AZ807+AZ781+AZ737+AZ810+AZ809</f>
        <v/>
      </c>
      <c r="BA811" s="1346">
        <f>BA807+BA781+BA737+BA810+BA809</f>
        <v/>
      </c>
      <c r="BB811" s="1346">
        <f>BB807+BB781+BB737+BB810+BB809</f>
        <v/>
      </c>
      <c r="BC811" s="1346">
        <f>BC807+BC781+BC737+BC810+BC809</f>
        <v/>
      </c>
      <c r="BD811" s="1346">
        <f>BD807+BD781+BD737+BD810+BD809</f>
        <v/>
      </c>
      <c r="BE811" s="1345">
        <f>BE807+BE781+BE737+BE810+BE809</f>
        <v/>
      </c>
      <c r="BF811" s="1346">
        <f>BF807+BF781+BF737+BF810+BF809</f>
        <v/>
      </c>
      <c r="BG811" s="1346">
        <f>BG807+BG781+BG737+BG810+BG809</f>
        <v/>
      </c>
      <c r="BH811" s="1346">
        <f>BH807+BH781+BH737+BH810+BH809</f>
        <v/>
      </c>
      <c r="BI811" s="1346">
        <f>BI807+BI781+BI737+BI810+BI809</f>
        <v/>
      </c>
      <c r="BJ811" s="1345">
        <f>BJ807+BJ781+BJ737+BJ810+BJ809</f>
        <v/>
      </c>
      <c r="BK811" s="1346">
        <f>BK807+BK781+BK737+BK810+BK809</f>
        <v/>
      </c>
      <c r="BL811" s="1346">
        <f>BL807+BL781+BL737+BL810+BL809</f>
        <v/>
      </c>
      <c r="BM811" s="1346">
        <f>BM807+BM781+BM737+BM810+BM809</f>
        <v/>
      </c>
      <c r="BN811" s="1346">
        <f>BN807+BN781+BN737+BN810+BN809</f>
        <v/>
      </c>
      <c r="BO811" s="1347">
        <f>BO807+BO781+BO737+BO810+BO809</f>
        <v/>
      </c>
      <c r="BP811" s="1346">
        <f>BP807+BP781+BP737+BP810+BP809</f>
        <v/>
      </c>
      <c r="BQ811" s="1346">
        <f>BQ807+BQ781+BQ737+BQ810+BQ809</f>
        <v/>
      </c>
      <c r="BR811" s="1346">
        <f>BR807+BR781+BR737+BR810+BR809</f>
        <v/>
      </c>
      <c r="BS811" s="1346">
        <f>BS807+BS781+BS737+BS810+BS809</f>
        <v/>
      </c>
      <c r="BT811" s="1345">
        <f>BT807+BT781+BT737+BT810+BT809</f>
        <v/>
      </c>
      <c r="BU811" s="1346">
        <f>BU807+BU781+BU737+BU810+BU809</f>
        <v/>
      </c>
      <c r="BV811" s="1346">
        <f>BV807+BV781+BV737+BV810+BV809</f>
        <v/>
      </c>
      <c r="BW811" s="1346">
        <f>BW807+BW781+BW737+BW810+BW809</f>
        <v/>
      </c>
      <c r="BX811" s="1346">
        <f>BX807+BX781+BX737+BX810+BX809</f>
        <v/>
      </c>
      <c r="BY811" s="1345">
        <f>BY807+BY781+BY737+BY810+BY809</f>
        <v/>
      </c>
      <c r="BZ811" s="1345">
        <f>BZ807+BZ781+BZ737+BZ810+BZ809</f>
        <v/>
      </c>
      <c r="CA811" s="1345">
        <f>CA807+CA781+CA737+CA810+CA809</f>
        <v/>
      </c>
      <c r="CB811" s="1345">
        <f>CB807+CB781+CB737+CB810+CB809</f>
        <v/>
      </c>
      <c r="CC811" s="1280" t="n"/>
    </row>
    <row r="812" ht="14.4" customFormat="1" customHeight="1" s="1323">
      <c r="A812" s="1344" t="n"/>
      <c r="B812" s="1394" t="n"/>
      <c r="C812" s="1345" t="n"/>
      <c r="D812" s="1345" t="n"/>
      <c r="E812" s="1345" t="n"/>
      <c r="F812" s="1345" t="n"/>
      <c r="G812" s="1345" t="n"/>
      <c r="H812" s="1346" t="n"/>
      <c r="I812" s="1346" t="n"/>
      <c r="J812" s="1346" t="n"/>
      <c r="K812" s="1346" t="n"/>
      <c r="L812" s="1345" t="n"/>
      <c r="M812" s="1346" t="n"/>
      <c r="N812" s="1346" t="n"/>
      <c r="O812" s="1346" t="n"/>
      <c r="P812" s="1346" t="n"/>
      <c r="Q812" s="1345" t="n"/>
      <c r="R812" s="1346" t="n"/>
      <c r="S812" s="1346" t="n"/>
      <c r="T812" s="1346" t="n"/>
      <c r="U812" s="1346" t="n"/>
      <c r="V812" s="1345" t="n"/>
      <c r="W812" s="1346" t="n"/>
      <c r="X812" s="1346" t="n"/>
      <c r="Y812" s="1346" t="n"/>
      <c r="Z812" s="1346" t="n"/>
      <c r="AA812" s="1345" t="n"/>
      <c r="AB812" s="1346" t="n"/>
      <c r="AC812" s="1346" t="n"/>
      <c r="AD812" s="1346" t="n"/>
      <c r="AE812" s="1346" t="n"/>
      <c r="AF812" s="1345" t="n"/>
      <c r="AG812" s="1346" t="n"/>
      <c r="AH812" s="1346" t="n"/>
      <c r="AI812" s="1346" t="n"/>
      <c r="AJ812" s="1346" t="n"/>
      <c r="AK812" s="1345" t="n"/>
      <c r="AL812" s="1346" t="n"/>
      <c r="AM812" s="1346" t="n"/>
      <c r="AN812" s="1346" t="n"/>
      <c r="AO812" s="1346" t="n"/>
      <c r="AP812" s="1345" t="n"/>
      <c r="AQ812" s="1346" t="n"/>
      <c r="AR812" s="1346" t="n"/>
      <c r="AS812" s="1346" t="n"/>
      <c r="AT812" s="1346" t="n"/>
      <c r="AU812" s="1345" t="n"/>
      <c r="AV812" s="1346" t="n"/>
      <c r="AW812" s="1346" t="n"/>
      <c r="AX812" s="1346" t="n"/>
      <c r="AY812" s="1346" t="n"/>
      <c r="AZ812" s="1345" t="n"/>
      <c r="BA812" s="1346" t="n"/>
      <c r="BB812" s="1346" t="n"/>
      <c r="BC812" s="1346" t="n"/>
      <c r="BD812" s="1346" t="n"/>
      <c r="BE812" s="1345" t="n"/>
      <c r="BF812" s="1346" t="n"/>
      <c r="BG812" s="1346" t="n"/>
      <c r="BH812" s="1346" t="n"/>
      <c r="BI812" s="1346" t="n"/>
      <c r="BJ812" s="1345" t="n"/>
      <c r="BK812" s="1346" t="n"/>
      <c r="BL812" s="1346" t="n"/>
      <c r="BM812" s="1346" t="n"/>
      <c r="BN812" s="1346" t="n"/>
      <c r="BO812" s="1347" t="n"/>
      <c r="BP812" s="1346" t="n"/>
      <c r="BQ812" s="1346" t="n"/>
      <c r="BR812" s="1346" t="n"/>
      <c r="BS812" s="1346" t="n"/>
      <c r="BT812" s="1297" t="n"/>
      <c r="BU812" s="1346" t="n"/>
      <c r="BV812" s="1346" t="n"/>
      <c r="BW812" s="1346" t="n"/>
      <c r="BX812" s="1346" t="n"/>
      <c r="BY812" s="1297" t="n"/>
      <c r="BZ812" s="1297" t="n"/>
      <c r="CA812" s="1297" t="n"/>
      <c r="CB812" s="1297" t="n"/>
      <c r="CC812" s="1331" t="n"/>
    </row>
    <row r="813" ht="14.4" customFormat="1" customHeight="1" s="1323">
      <c r="A813" s="1344">
        <f>A664</f>
        <v/>
      </c>
      <c r="B813" s="1394" t="n"/>
      <c r="C813" s="1348" t="n">
        <v>194613.752</v>
      </c>
      <c r="D813" s="1345">
        <f>C814</f>
        <v/>
      </c>
      <c r="E813" s="1345">
        <f>D814</f>
        <v/>
      </c>
      <c r="F813" s="1345">
        <f>E814</f>
        <v/>
      </c>
      <c r="G813" s="1345">
        <f>F814</f>
        <v/>
      </c>
      <c r="H813" s="1346">
        <f>G814</f>
        <v/>
      </c>
      <c r="I813" s="1346">
        <f>H814</f>
        <v/>
      </c>
      <c r="J813" s="1346">
        <f>I814</f>
        <v/>
      </c>
      <c r="K813" s="1346">
        <f>J814</f>
        <v/>
      </c>
      <c r="L813" s="1345">
        <f>G814</f>
        <v/>
      </c>
      <c r="M813" s="1346">
        <f>L814</f>
        <v/>
      </c>
      <c r="N813" s="1346">
        <f>M814</f>
        <v/>
      </c>
      <c r="O813" s="1346">
        <f>N814</f>
        <v/>
      </c>
      <c r="P813" s="1346">
        <f>O814</f>
        <v/>
      </c>
      <c r="Q813" s="1345">
        <f>L814</f>
        <v/>
      </c>
      <c r="R813" s="1346">
        <f>Q814</f>
        <v/>
      </c>
      <c r="S813" s="1346">
        <f>R814</f>
        <v/>
      </c>
      <c r="T813" s="1346">
        <f>S814</f>
        <v/>
      </c>
      <c r="U813" s="1346">
        <f>T814</f>
        <v/>
      </c>
      <c r="V813" s="1345">
        <f>Q814</f>
        <v/>
      </c>
      <c r="W813" s="1346">
        <f>V814</f>
        <v/>
      </c>
      <c r="X813" s="1346">
        <f>W814</f>
        <v/>
      </c>
      <c r="Y813" s="1346">
        <f>X814</f>
        <v/>
      </c>
      <c r="Z813" s="1346">
        <f>Y814</f>
        <v/>
      </c>
      <c r="AA813" s="1345">
        <f>V814</f>
        <v/>
      </c>
      <c r="AB813" s="1346">
        <f>AA814</f>
        <v/>
      </c>
      <c r="AC813" s="1346">
        <f>AB814</f>
        <v/>
      </c>
      <c r="AD813" s="1346">
        <f>AC814</f>
        <v/>
      </c>
      <c r="AE813" s="1346">
        <f>AD814</f>
        <v/>
      </c>
      <c r="AF813" s="1345">
        <f>AA814</f>
        <v/>
      </c>
      <c r="AG813" s="1346">
        <f>AF814</f>
        <v/>
      </c>
      <c r="AH813" s="1346">
        <f>AG814</f>
        <v/>
      </c>
      <c r="AI813" s="1346">
        <f>AH814</f>
        <v/>
      </c>
      <c r="AJ813" s="1346">
        <f>AI814</f>
        <v/>
      </c>
      <c r="AK813" s="1345">
        <f>AF814</f>
        <v/>
      </c>
      <c r="AL813" s="1346">
        <f>AK814</f>
        <v/>
      </c>
      <c r="AM813" s="1346">
        <f>AL814</f>
        <v/>
      </c>
      <c r="AN813" s="1346">
        <f>AM814</f>
        <v/>
      </c>
      <c r="AO813" s="1346">
        <f>AN814</f>
        <v/>
      </c>
      <c r="AP813" s="1593">
        <f>+AL813</f>
        <v/>
      </c>
      <c r="AQ813" s="1331">
        <f>AP814</f>
        <v/>
      </c>
      <c r="AR813" s="1331">
        <f>+AQ814</f>
        <v/>
      </c>
      <c r="AS813" s="1346">
        <f>AR814</f>
        <v/>
      </c>
      <c r="AT813" s="1346">
        <f>AS814</f>
        <v/>
      </c>
      <c r="AU813" s="1593">
        <f>+AQ813</f>
        <v/>
      </c>
      <c r="AV813" s="1331">
        <f>AU814</f>
        <v/>
      </c>
      <c r="AW813" s="1331">
        <f>+AV814</f>
        <v/>
      </c>
      <c r="AX813" s="1346">
        <f>AW814</f>
        <v/>
      </c>
      <c r="AY813" s="1346">
        <f>AX814</f>
        <v/>
      </c>
      <c r="AZ813" s="1593">
        <f>+AV813</f>
        <v/>
      </c>
      <c r="BA813" s="1331">
        <f>AZ814</f>
        <v/>
      </c>
      <c r="BB813" s="1331">
        <f>+BA814</f>
        <v/>
      </c>
      <c r="BC813" s="1346">
        <f>BB814</f>
        <v/>
      </c>
      <c r="BD813" s="1346">
        <f>BC814</f>
        <v/>
      </c>
      <c r="BE813" s="1593">
        <f>+BA813</f>
        <v/>
      </c>
      <c r="BF813" s="1331">
        <f>BE814</f>
        <v/>
      </c>
      <c r="BG813" s="1331">
        <f>+BF814</f>
        <v/>
      </c>
      <c r="BH813" s="1346">
        <f>BG814</f>
        <v/>
      </c>
      <c r="BI813" s="1346">
        <f>BH814</f>
        <v/>
      </c>
      <c r="BJ813" s="1593">
        <f>+BF813</f>
        <v/>
      </c>
      <c r="BK813" s="1331">
        <f>BJ814</f>
        <v/>
      </c>
      <c r="BL813" s="1331">
        <f>+BK814</f>
        <v/>
      </c>
      <c r="BM813" s="1346">
        <f>BL814</f>
        <v/>
      </c>
      <c r="BN813" s="1346">
        <f>BM814</f>
        <v/>
      </c>
      <c r="BO813" s="1578">
        <f>+BK813</f>
        <v/>
      </c>
      <c r="BP813" s="1346">
        <f>BO814</f>
        <v/>
      </c>
      <c r="BQ813" s="1346">
        <f>BP814</f>
        <v/>
      </c>
      <c r="BR813" s="1346">
        <f>BQ814</f>
        <v/>
      </c>
      <c r="BS813" s="1346">
        <f>BR814</f>
        <v/>
      </c>
      <c r="BT813" s="1345">
        <f>BO814</f>
        <v/>
      </c>
      <c r="BU813" s="1346">
        <f>BT814</f>
        <v/>
      </c>
      <c r="BV813" s="1346">
        <f>BU814</f>
        <v/>
      </c>
      <c r="BW813" s="1346">
        <f>BV814</f>
        <v/>
      </c>
      <c r="BX813" s="1346">
        <f>BW814</f>
        <v/>
      </c>
      <c r="BY813" s="1345">
        <f>BT814</f>
        <v/>
      </c>
      <c r="BZ813" s="1345">
        <f>BY814</f>
        <v/>
      </c>
      <c r="CA813" s="1345">
        <f>BZ814</f>
        <v/>
      </c>
      <c r="CB813" s="1345">
        <f>CA814</f>
        <v/>
      </c>
      <c r="CC813" s="1331" t="n"/>
    </row>
    <row r="814" ht="14.4" customFormat="1" customHeight="1" s="1323">
      <c r="A814" s="1344">
        <f>A665</f>
        <v/>
      </c>
      <c r="B814" s="1394" t="n"/>
      <c r="C814" s="1345">
        <f>C813+C811</f>
        <v/>
      </c>
      <c r="D814" s="1345">
        <f>D813+D811</f>
        <v/>
      </c>
      <c r="E814" s="1345">
        <f>E813+E811</f>
        <v/>
      </c>
      <c r="F814" s="1345">
        <f>F813+F811</f>
        <v/>
      </c>
      <c r="G814" s="1345">
        <f>G813+G811</f>
        <v/>
      </c>
      <c r="H814" s="1346">
        <f>H813+H811</f>
        <v/>
      </c>
      <c r="I814" s="1346">
        <f>I813+I811</f>
        <v/>
      </c>
      <c r="J814" s="1346">
        <f>J813+J811</f>
        <v/>
      </c>
      <c r="K814" s="1346">
        <f>K813+K811</f>
        <v/>
      </c>
      <c r="L814" s="1345">
        <f>L813+L811</f>
        <v/>
      </c>
      <c r="M814" s="1346">
        <f>M813+M811</f>
        <v/>
      </c>
      <c r="N814" s="1346">
        <f>N813+N811</f>
        <v/>
      </c>
      <c r="O814" s="1346">
        <f>O813+O811</f>
        <v/>
      </c>
      <c r="P814" s="1346">
        <f>P813+P811</f>
        <v/>
      </c>
      <c r="Q814" s="1345">
        <f>Q813+Q811</f>
        <v/>
      </c>
      <c r="R814" s="1346">
        <f>R813+R811</f>
        <v/>
      </c>
      <c r="S814" s="1346">
        <f>S813+S811</f>
        <v/>
      </c>
      <c r="T814" s="1346">
        <f>T813+T811</f>
        <v/>
      </c>
      <c r="U814" s="1346">
        <f>U813+U811</f>
        <v/>
      </c>
      <c r="V814" s="1345">
        <f>V813+V811</f>
        <v/>
      </c>
      <c r="W814" s="1346">
        <f>W813+W811</f>
        <v/>
      </c>
      <c r="X814" s="1346">
        <f>X813+X811</f>
        <v/>
      </c>
      <c r="Y814" s="1346">
        <f>Y813+Y811</f>
        <v/>
      </c>
      <c r="Z814" s="1346">
        <f>Z813+Z811</f>
        <v/>
      </c>
      <c r="AA814" s="1345">
        <f>AA813+AA811</f>
        <v/>
      </c>
      <c r="AB814" s="1346">
        <f>AB813+AB811</f>
        <v/>
      </c>
      <c r="AC814" s="1346">
        <f>AC813+AC811</f>
        <v/>
      </c>
      <c r="AD814" s="1346">
        <f>AD813+AD811</f>
        <v/>
      </c>
      <c r="AE814" s="1346">
        <f>AE813+AE811</f>
        <v/>
      </c>
      <c r="AF814" s="1345">
        <f>AF813+AF811</f>
        <v/>
      </c>
      <c r="AG814" s="1346">
        <f>AG813+AG811</f>
        <v/>
      </c>
      <c r="AH814" s="1346">
        <f>AH813+AH811</f>
        <v/>
      </c>
      <c r="AI814" s="1346">
        <f>AI813+AI811</f>
        <v/>
      </c>
      <c r="AJ814" s="1346">
        <f>AJ813+AJ811</f>
        <v/>
      </c>
      <c r="AK814" s="1345">
        <f>AK813+AK811</f>
        <v/>
      </c>
      <c r="AL814" s="1346">
        <f>AL813+AL811</f>
        <v/>
      </c>
      <c r="AM814" s="1346">
        <f>AM813+AM811</f>
        <v/>
      </c>
      <c r="AN814" s="1346">
        <f>AN813+AN811</f>
        <v/>
      </c>
      <c r="AO814" s="1346">
        <f>AO813+AO811</f>
        <v/>
      </c>
      <c r="AP814" s="1345">
        <f>AP813+AP811</f>
        <v/>
      </c>
      <c r="AQ814" s="1346">
        <f>AQ813+AQ811</f>
        <v/>
      </c>
      <c r="AR814" s="1346">
        <f>AR813+AR811</f>
        <v/>
      </c>
      <c r="AS814" s="1346">
        <f>AS813+AS811</f>
        <v/>
      </c>
      <c r="AT814" s="1346">
        <f>AT813+AT811</f>
        <v/>
      </c>
      <c r="AU814" s="1345">
        <f>AU813+AU811</f>
        <v/>
      </c>
      <c r="AV814" s="1346">
        <f>AV813+AV811</f>
        <v/>
      </c>
      <c r="AW814" s="1346">
        <f>AW813+AW811</f>
        <v/>
      </c>
      <c r="AX814" s="1346">
        <f>AX813+AX811</f>
        <v/>
      </c>
      <c r="AY814" s="1346">
        <f>AY813+AY811</f>
        <v/>
      </c>
      <c r="AZ814" s="1345">
        <f>AZ813+AZ811</f>
        <v/>
      </c>
      <c r="BA814" s="1346">
        <f>BA813+BA811</f>
        <v/>
      </c>
      <c r="BB814" s="1346">
        <f>BB813+BB811</f>
        <v/>
      </c>
      <c r="BC814" s="1346">
        <f>BC813+BC811</f>
        <v/>
      </c>
      <c r="BD814" s="1346">
        <f>BD813+BD811</f>
        <v/>
      </c>
      <c r="BE814" s="1345">
        <f>BE813+BE811</f>
        <v/>
      </c>
      <c r="BF814" s="1346">
        <f>BF813+BF811</f>
        <v/>
      </c>
      <c r="BG814" s="1346">
        <f>BG813+BG811</f>
        <v/>
      </c>
      <c r="BH814" s="1346">
        <f>BH813+BH811</f>
        <v/>
      </c>
      <c r="BI814" s="1346">
        <f>BI813+BI811</f>
        <v/>
      </c>
      <c r="BJ814" s="1345">
        <f>BJ813+BJ811</f>
        <v/>
      </c>
      <c r="BK814" s="1346">
        <f>BK813+BK811</f>
        <v/>
      </c>
      <c r="BL814" s="1346">
        <f>BL813+BL811</f>
        <v/>
      </c>
      <c r="BM814" s="1346">
        <f>BM813+BM811</f>
        <v/>
      </c>
      <c r="BN814" s="1346">
        <f>BN813+BN811</f>
        <v/>
      </c>
      <c r="BO814" s="1347">
        <f>BO813+BO811</f>
        <v/>
      </c>
      <c r="BP814" s="1346">
        <f>BP813+BP811</f>
        <v/>
      </c>
      <c r="BQ814" s="1346">
        <f>BQ813+BQ811</f>
        <v/>
      </c>
      <c r="BR814" s="1346">
        <f>BR813+BR811</f>
        <v/>
      </c>
      <c r="BS814" s="1346">
        <f>BS813+BS811</f>
        <v/>
      </c>
      <c r="BT814" s="1345">
        <f>BT813+BT811</f>
        <v/>
      </c>
      <c r="BU814" s="1346">
        <f>BU813+BU811</f>
        <v/>
      </c>
      <c r="BV814" s="1346">
        <f>BV813+BV811</f>
        <v/>
      </c>
      <c r="BW814" s="1346">
        <f>BW813+BW811</f>
        <v/>
      </c>
      <c r="BX814" s="1346">
        <f>BX813+BX811</f>
        <v/>
      </c>
      <c r="BY814" s="1345">
        <f>BY813+BY811</f>
        <v/>
      </c>
      <c r="BZ814" s="1345">
        <f>BZ813+BZ811</f>
        <v/>
      </c>
      <c r="CA814" s="1345">
        <f>CA813+CA811</f>
        <v/>
      </c>
      <c r="CB814" s="1345">
        <f>CB813+CB811</f>
        <v/>
      </c>
      <c r="CC814" s="1331" t="n"/>
    </row>
    <row r="815" ht="14.4" customFormat="1" customHeight="1" s="1323">
      <c r="A815" s="1344" t="n"/>
      <c r="B815" s="1394" t="n"/>
      <c r="C815" s="1345" t="n"/>
      <c r="D815" s="1345" t="n"/>
      <c r="E815" s="1345" t="n"/>
      <c r="F815" s="1345" t="n"/>
      <c r="G815" s="1345" t="n"/>
      <c r="H815" s="1346" t="n"/>
      <c r="I815" s="1346" t="n"/>
      <c r="J815" s="1346" t="n"/>
      <c r="K815" s="1346" t="n"/>
      <c r="L815" s="1345" t="n"/>
      <c r="M815" s="1346" t="n"/>
      <c r="N815" s="1346" t="n"/>
      <c r="O815" s="1346" t="n"/>
      <c r="P815" s="1346" t="n"/>
      <c r="Q815" s="1345" t="n"/>
      <c r="R815" s="1346" t="n"/>
      <c r="S815" s="1346" t="n"/>
      <c r="T815" s="1346" t="n"/>
      <c r="U815" s="1346" t="n"/>
      <c r="V815" s="1345" t="n"/>
      <c r="W815" s="1346" t="n"/>
      <c r="X815" s="1346" t="n"/>
      <c r="Y815" s="1346" t="n"/>
      <c r="Z815" s="1346" t="n"/>
      <c r="AA815" s="1345" t="n"/>
      <c r="AB815" s="1346" t="n"/>
      <c r="AC815" s="1346" t="n"/>
      <c r="AD815" s="1346" t="n"/>
      <c r="AE815" s="1346" t="n"/>
      <c r="AF815" s="1345" t="n"/>
      <c r="AG815" s="1346" t="n"/>
      <c r="AH815" s="1346" t="n"/>
      <c r="AI815" s="1346" t="n"/>
      <c r="AJ815" s="1346" t="n"/>
      <c r="AK815" s="1345" t="n"/>
      <c r="AL815" s="1346" t="n"/>
      <c r="AM815" s="1346" t="n"/>
      <c r="AN815" s="1346" t="n"/>
      <c r="AO815" s="1346" t="n"/>
      <c r="AP815" s="1345" t="n"/>
      <c r="AQ815" s="1346" t="n"/>
      <c r="AR815" s="1346" t="n"/>
      <c r="AS815" s="1346" t="n"/>
      <c r="AT815" s="1346" t="n"/>
      <c r="AU815" s="1345" t="n"/>
      <c r="AV815" s="1346" t="n"/>
      <c r="AW815" s="1346" t="n"/>
      <c r="AX815" s="1346" t="n"/>
      <c r="AY815" s="1346" t="n"/>
      <c r="AZ815" s="1345" t="n"/>
      <c r="BA815" s="1346" t="n"/>
      <c r="BB815" s="1346" t="n"/>
      <c r="BC815" s="1346" t="n"/>
      <c r="BD815" s="1346" t="n"/>
      <c r="BE815" s="1345" t="n"/>
      <c r="BF815" s="1346" t="n"/>
      <c r="BG815" s="1346" t="n"/>
      <c r="BH815" s="1346" t="n"/>
      <c r="BI815" s="1346" t="n"/>
      <c r="BJ815" s="1345" t="n"/>
      <c r="BK815" s="1346" t="n"/>
      <c r="BL815" s="1346" t="n"/>
      <c r="BM815" s="1346" t="n"/>
      <c r="BN815" s="1346" t="n"/>
      <c r="BO815" s="1347" t="n"/>
      <c r="BP815" s="1346" t="n"/>
      <c r="BQ815" s="1346" t="n"/>
      <c r="BR815" s="1346" t="n"/>
      <c r="BS815" s="1346" t="n"/>
      <c r="BT815" s="1345" t="n"/>
      <c r="BU815" s="1346" t="n"/>
      <c r="BV815" s="1346" t="n"/>
      <c r="BW815" s="1346" t="n"/>
      <c r="BX815" s="1346" t="n"/>
      <c r="BY815" s="1345" t="n"/>
      <c r="BZ815" s="1345" t="n"/>
      <c r="CA815" s="1345" t="n"/>
      <c r="CB815" s="1345" t="n"/>
      <c r="CC815" s="1331" t="n"/>
    </row>
    <row r="816" ht="14.4" customFormat="1" customHeight="1" s="1275">
      <c r="A816" s="1384">
        <f>A667</f>
        <v/>
      </c>
      <c r="B816" s="1387" t="n"/>
      <c r="C816" s="1297" t="n"/>
      <c r="D816" s="1297" t="n"/>
      <c r="E816" s="1297" t="n"/>
      <c r="F816" s="1297">
        <f>F667</f>
        <v/>
      </c>
      <c r="G816" s="1297">
        <f>G667</f>
        <v/>
      </c>
      <c r="H816" s="1277">
        <f>H667</f>
        <v/>
      </c>
      <c r="I816" s="1277">
        <f>I667-H667</f>
        <v/>
      </c>
      <c r="J816" s="1277">
        <f>J667-I667</f>
        <v/>
      </c>
      <c r="K816" s="1277">
        <f>K667-J667</f>
        <v/>
      </c>
      <c r="L816" s="1297">
        <f>L667</f>
        <v/>
      </c>
      <c r="M816" s="1277">
        <f>M667</f>
        <v/>
      </c>
      <c r="N816" s="1277">
        <f>N667-M667</f>
        <v/>
      </c>
      <c r="O816" s="1277">
        <f>O667-N667</f>
        <v/>
      </c>
      <c r="P816" s="1277">
        <f>P667-O667</f>
        <v/>
      </c>
      <c r="Q816" s="1297">
        <f>Q667</f>
        <v/>
      </c>
      <c r="R816" s="1277">
        <f>R667</f>
        <v/>
      </c>
      <c r="S816" s="1277">
        <f>S667-R667</f>
        <v/>
      </c>
      <c r="T816" s="1277">
        <f>T667-S667</f>
        <v/>
      </c>
      <c r="U816" s="1277">
        <f>U667-T667</f>
        <v/>
      </c>
      <c r="V816" s="1297">
        <f>V667</f>
        <v/>
      </c>
      <c r="W816" s="1277">
        <f>W667</f>
        <v/>
      </c>
      <c r="X816" s="1277">
        <f>X667-W667</f>
        <v/>
      </c>
      <c r="Y816" s="1277">
        <f>Y667-X667</f>
        <v/>
      </c>
      <c r="Z816" s="1277">
        <f>Z667-Y667</f>
        <v/>
      </c>
      <c r="AA816" s="1297">
        <f>AA667</f>
        <v/>
      </c>
      <c r="AB816" s="1277">
        <f>AB667</f>
        <v/>
      </c>
      <c r="AC816" s="1277">
        <f>AC667-AB667</f>
        <v/>
      </c>
      <c r="AD816" s="1277">
        <f>AD667-AC667</f>
        <v/>
      </c>
      <c r="AE816" s="1277">
        <f>AE667-AD667</f>
        <v/>
      </c>
      <c r="AF816" s="1297">
        <f>AF667</f>
        <v/>
      </c>
      <c r="AG816" s="1277">
        <f>AG667</f>
        <v/>
      </c>
      <c r="AH816" s="1277">
        <f>AH667-AG667</f>
        <v/>
      </c>
      <c r="AI816" s="1277">
        <f>AI667-AH667</f>
        <v/>
      </c>
      <c r="AJ816" s="1277">
        <f>AJ667-AI667</f>
        <v/>
      </c>
      <c r="AK816" s="1297">
        <f>AK667</f>
        <v/>
      </c>
      <c r="AL816" s="1277">
        <f>AL667</f>
        <v/>
      </c>
      <c r="AM816" s="1277">
        <f>AM667-AL667</f>
        <v/>
      </c>
      <c r="AN816" s="1277">
        <f>AN667-AM667</f>
        <v/>
      </c>
      <c r="AO816" s="1277">
        <f>AO667-AN667</f>
        <v/>
      </c>
      <c r="AP816" s="1297">
        <f>AP667</f>
        <v/>
      </c>
      <c r="AQ816" s="1277">
        <f>AQ667</f>
        <v/>
      </c>
      <c r="AR816" s="1277">
        <f>AR667-AQ667</f>
        <v/>
      </c>
      <c r="AS816" s="1277">
        <f>AS667-AR667</f>
        <v/>
      </c>
      <c r="AT816" s="1277">
        <f>AT667-AS667</f>
        <v/>
      </c>
      <c r="AU816" s="1297">
        <f>AU667</f>
        <v/>
      </c>
      <c r="AV816" s="1277">
        <f>AV667</f>
        <v/>
      </c>
      <c r="AW816" s="1277">
        <f>AW667-AV667</f>
        <v/>
      </c>
      <c r="AX816" s="1277">
        <f>AX667-AW667</f>
        <v/>
      </c>
      <c r="AY816" s="1277">
        <f>AY667-AX667</f>
        <v/>
      </c>
      <c r="AZ816" s="1297">
        <f>AZ667</f>
        <v/>
      </c>
      <c r="BA816" s="1277">
        <f>BA667</f>
        <v/>
      </c>
      <c r="BB816" s="1277">
        <f>BB667-BA667</f>
        <v/>
      </c>
      <c r="BC816" s="1277">
        <f>BC667-BB667</f>
        <v/>
      </c>
      <c r="BD816" s="1277">
        <f>BD667-BC667</f>
        <v/>
      </c>
      <c r="BE816" s="1297">
        <f>BE667</f>
        <v/>
      </c>
      <c r="BF816" s="1277">
        <f>BF667</f>
        <v/>
      </c>
      <c r="BG816" s="1277">
        <f>BG667-BF667</f>
        <v/>
      </c>
      <c r="BH816" s="1277">
        <f>BH667-BG667</f>
        <v/>
      </c>
      <c r="BI816" s="1277">
        <f>BI667-BH667</f>
        <v/>
      </c>
      <c r="BJ816" s="1297">
        <f>BJ667</f>
        <v/>
      </c>
      <c r="BK816" s="1277">
        <f>BK667</f>
        <v/>
      </c>
      <c r="BL816" s="1277">
        <f>BL667-BK667</f>
        <v/>
      </c>
      <c r="BM816" s="1277">
        <f>BM667-BL667</f>
        <v/>
      </c>
      <c r="BN816" s="1277">
        <f>BN667-BM667</f>
        <v/>
      </c>
      <c r="BO816" s="1382">
        <f>BO667</f>
        <v/>
      </c>
      <c r="BP816" s="1277" t="n"/>
      <c r="BQ816" s="1277" t="n"/>
      <c r="BR816" s="1277" t="n"/>
      <c r="BS816" s="1277" t="n"/>
      <c r="BT816" s="1297" t="n"/>
      <c r="BU816" s="1277" t="n"/>
      <c r="BV816" s="1277" t="n"/>
      <c r="BW816" s="1277" t="n"/>
      <c r="BX816" s="1277" t="n"/>
      <c r="BY816" s="1297" t="n"/>
      <c r="BZ816" s="1297" t="n"/>
      <c r="CA816" s="1297" t="n"/>
      <c r="CB816" s="1297" t="n"/>
      <c r="CC816" s="1280" t="n"/>
    </row>
    <row r="817" ht="14.4" customFormat="1" customHeight="1" s="1275">
      <c r="A817" s="1388">
        <f>A668</f>
        <v/>
      </c>
      <c r="B817" s="1389" t="n"/>
      <c r="C817" s="1364" t="n"/>
      <c r="D817" s="1364" t="n"/>
      <c r="E817" s="1364" t="n"/>
      <c r="F817" s="1364">
        <f>F668</f>
        <v/>
      </c>
      <c r="G817" s="1364">
        <f>G668</f>
        <v/>
      </c>
      <c r="H817" s="1365">
        <f>H668</f>
        <v/>
      </c>
      <c r="I817" s="1365">
        <f>I668-H668</f>
        <v/>
      </c>
      <c r="J817" s="1365">
        <f>J668-I668</f>
        <v/>
      </c>
      <c r="K817" s="1365">
        <f>K668-J668</f>
        <v/>
      </c>
      <c r="L817" s="1364">
        <f>L668</f>
        <v/>
      </c>
      <c r="M817" s="1365">
        <f>M668</f>
        <v/>
      </c>
      <c r="N817" s="1365">
        <f>N668-M668</f>
        <v/>
      </c>
      <c r="O817" s="1365">
        <f>O668-N668</f>
        <v/>
      </c>
      <c r="P817" s="1365">
        <f>P668-O668</f>
        <v/>
      </c>
      <c r="Q817" s="1364">
        <f>Q668</f>
        <v/>
      </c>
      <c r="R817" s="1365">
        <f>R668</f>
        <v/>
      </c>
      <c r="S817" s="1365">
        <f>S668-R668</f>
        <v/>
      </c>
      <c r="T817" s="1365">
        <f>T668-S668</f>
        <v/>
      </c>
      <c r="U817" s="1365">
        <f>U668-T668</f>
        <v/>
      </c>
      <c r="V817" s="1364">
        <f>V668</f>
        <v/>
      </c>
      <c r="W817" s="1365">
        <f>W668</f>
        <v/>
      </c>
      <c r="X817" s="1365">
        <f>X668-W668</f>
        <v/>
      </c>
      <c r="Y817" s="1365">
        <f>Y668-X668</f>
        <v/>
      </c>
      <c r="Z817" s="1365">
        <f>Z668-Y668</f>
        <v/>
      </c>
      <c r="AA817" s="1364">
        <f>AA668</f>
        <v/>
      </c>
      <c r="AB817" s="1365">
        <f>AB668</f>
        <v/>
      </c>
      <c r="AC817" s="1365">
        <f>AC668-AB668</f>
        <v/>
      </c>
      <c r="AD817" s="1365">
        <f>AD668-AC668</f>
        <v/>
      </c>
      <c r="AE817" s="1365">
        <f>AE668-AD668</f>
        <v/>
      </c>
      <c r="AF817" s="1364">
        <f>AF668</f>
        <v/>
      </c>
      <c r="AG817" s="1365">
        <f>AG668</f>
        <v/>
      </c>
      <c r="AH817" s="1365">
        <f>AH668-AG668</f>
        <v/>
      </c>
      <c r="AI817" s="1365">
        <f>AI668-AH668</f>
        <v/>
      </c>
      <c r="AJ817" s="1365">
        <f>AJ668-AI668</f>
        <v/>
      </c>
      <c r="AK817" s="1364">
        <f>AK668</f>
        <v/>
      </c>
      <c r="AL817" s="1365">
        <f>AL668</f>
        <v/>
      </c>
      <c r="AM817" s="1365">
        <f>AM668-AL668</f>
        <v/>
      </c>
      <c r="AN817" s="1365">
        <f>AN668-AM668</f>
        <v/>
      </c>
      <c r="AO817" s="1365">
        <f>AO668-AN668</f>
        <v/>
      </c>
      <c r="AP817" s="1364">
        <f>AP668</f>
        <v/>
      </c>
      <c r="AQ817" s="1365">
        <f>AQ668</f>
        <v/>
      </c>
      <c r="AR817" s="1365">
        <f>AR668-AQ668</f>
        <v/>
      </c>
      <c r="AS817" s="1365">
        <f>AS668-AR668</f>
        <v/>
      </c>
      <c r="AT817" s="1365">
        <f>AT668-AS668</f>
        <v/>
      </c>
      <c r="AU817" s="1364">
        <f>AU668</f>
        <v/>
      </c>
      <c r="AV817" s="1365">
        <f>AV668</f>
        <v/>
      </c>
      <c r="AW817" s="1365">
        <f>AW668-AV668</f>
        <v/>
      </c>
      <c r="AX817" s="1365">
        <f>AX668-AW668</f>
        <v/>
      </c>
      <c r="AY817" s="1365">
        <f>AY668-AX668</f>
        <v/>
      </c>
      <c r="AZ817" s="1364">
        <f>AZ668</f>
        <v/>
      </c>
      <c r="BA817" s="1365">
        <f>BA668</f>
        <v/>
      </c>
      <c r="BB817" s="1365">
        <f>BB668-BA668</f>
        <v/>
      </c>
      <c r="BC817" s="1365">
        <f>BC668-BB668</f>
        <v/>
      </c>
      <c r="BD817" s="1365">
        <f>BD668-BC668</f>
        <v/>
      </c>
      <c r="BE817" s="1364">
        <f>BE668</f>
        <v/>
      </c>
      <c r="BF817" s="1365">
        <f>BF668</f>
        <v/>
      </c>
      <c r="BG817" s="1365">
        <f>BG668-BF668</f>
        <v/>
      </c>
      <c r="BH817" s="1365">
        <f>BH668-BG668</f>
        <v/>
      </c>
      <c r="BI817" s="1365">
        <f>BI668-BH668</f>
        <v/>
      </c>
      <c r="BJ817" s="1364">
        <f>BJ668</f>
        <v/>
      </c>
      <c r="BK817" s="1365">
        <f>BK668</f>
        <v/>
      </c>
      <c r="BL817" s="1365">
        <f>BL668-BK668</f>
        <v/>
      </c>
      <c r="BM817" s="1365">
        <f>BM668-BL668</f>
        <v/>
      </c>
      <c r="BN817" s="1365">
        <f>BN668-BM668</f>
        <v/>
      </c>
      <c r="BO817" s="1366">
        <f>BO668</f>
        <v/>
      </c>
      <c r="BP817" s="1365" t="n"/>
      <c r="BQ817" s="1365" t="n"/>
      <c r="BR817" s="1365" t="n"/>
      <c r="BS817" s="1365" t="n"/>
      <c r="BT817" s="1364" t="n"/>
      <c r="BU817" s="1365" t="n"/>
      <c r="BV817" s="1365" t="n"/>
      <c r="BW817" s="1365" t="n"/>
      <c r="BX817" s="1365" t="n"/>
      <c r="BY817" s="1364" t="n"/>
      <c r="BZ817" s="1364" t="n"/>
      <c r="CA817" s="1364" t="n"/>
      <c r="CB817" s="1364" t="n"/>
      <c r="CC817" s="1280" t="n"/>
    </row>
    <row r="818" ht="14.4" customFormat="1" customHeight="1" s="1275">
      <c r="A818" s="1466">
        <f>A669</f>
        <v/>
      </c>
      <c r="B818" s="1387" t="n"/>
      <c r="C818" s="1297" t="n"/>
      <c r="D818" s="1297" t="n"/>
      <c r="E818" s="1297" t="n"/>
      <c r="F818" s="1297">
        <f>F669</f>
        <v/>
      </c>
      <c r="G818" s="1297">
        <f>G669</f>
        <v/>
      </c>
      <c r="H818" s="1277">
        <f>H669</f>
        <v/>
      </c>
      <c r="I818" s="1277">
        <f>I669-H669</f>
        <v/>
      </c>
      <c r="J818" s="1277">
        <f>J669-I669</f>
        <v/>
      </c>
      <c r="K818" s="1277">
        <f>K669-J669</f>
        <v/>
      </c>
      <c r="L818" s="1297">
        <f>L669</f>
        <v/>
      </c>
      <c r="M818" s="1277">
        <f>M669</f>
        <v/>
      </c>
      <c r="N818" s="1277">
        <f>N669-M669</f>
        <v/>
      </c>
      <c r="O818" s="1277">
        <f>O669-N669</f>
        <v/>
      </c>
      <c r="P818" s="1277">
        <f>P669-O669</f>
        <v/>
      </c>
      <c r="Q818" s="1297">
        <f>Q669</f>
        <v/>
      </c>
      <c r="R818" s="1277">
        <f>R669</f>
        <v/>
      </c>
      <c r="S818" s="1277">
        <f>S669-R669</f>
        <v/>
      </c>
      <c r="T818" s="1277">
        <f>T669-S669</f>
        <v/>
      </c>
      <c r="U818" s="1277">
        <f>U669-T669</f>
        <v/>
      </c>
      <c r="V818" s="1297">
        <f>V669</f>
        <v/>
      </c>
      <c r="W818" s="1277">
        <f>W669</f>
        <v/>
      </c>
      <c r="X818" s="1277">
        <f>X669-W669</f>
        <v/>
      </c>
      <c r="Y818" s="1277">
        <f>Y669-X669</f>
        <v/>
      </c>
      <c r="Z818" s="1277">
        <f>Z669-Y669</f>
        <v/>
      </c>
      <c r="AA818" s="1297">
        <f>AA669</f>
        <v/>
      </c>
      <c r="AB818" s="1277">
        <f>AB669</f>
        <v/>
      </c>
      <c r="AC818" s="1277">
        <f>AC669-AB669</f>
        <v/>
      </c>
      <c r="AD818" s="1277">
        <f>AD669-AC669</f>
        <v/>
      </c>
      <c r="AE818" s="1277">
        <f>AE669-AD669</f>
        <v/>
      </c>
      <c r="AF818" s="1297">
        <f>AF669</f>
        <v/>
      </c>
      <c r="AG818" s="1277">
        <f>AG669</f>
        <v/>
      </c>
      <c r="AH818" s="1277">
        <f>AH669-AG669</f>
        <v/>
      </c>
      <c r="AI818" s="1277">
        <f>AI669-AH669</f>
        <v/>
      </c>
      <c r="AJ818" s="1277">
        <f>AJ669-AI669</f>
        <v/>
      </c>
      <c r="AK818" s="1297">
        <f>AK669</f>
        <v/>
      </c>
      <c r="AL818" s="1277">
        <f>AL669</f>
        <v/>
      </c>
      <c r="AM818" s="1277">
        <f>AM669-AL669</f>
        <v/>
      </c>
      <c r="AN818" s="1277">
        <f>AN669-AM669</f>
        <v/>
      </c>
      <c r="AO818" s="1277">
        <f>AO669-AN669</f>
        <v/>
      </c>
      <c r="AP818" s="1297">
        <f>AP669</f>
        <v/>
      </c>
      <c r="AQ818" s="1277">
        <f>AQ669</f>
        <v/>
      </c>
      <c r="AR818" s="1277">
        <f>AR669-AQ669</f>
        <v/>
      </c>
      <c r="AS818" s="1277">
        <f>AS669-AR669</f>
        <v/>
      </c>
      <c r="AT818" s="1277">
        <f>AT669-AS669</f>
        <v/>
      </c>
      <c r="AU818" s="1297">
        <f>AU669</f>
        <v/>
      </c>
      <c r="AV818" s="1277">
        <f>AV669</f>
        <v/>
      </c>
      <c r="AW818" s="1277">
        <f>AW669-AV669</f>
        <v/>
      </c>
      <c r="AX818" s="1277">
        <f>AX669-AW669</f>
        <v/>
      </c>
      <c r="AY818" s="1277">
        <f>AY669-AX669</f>
        <v/>
      </c>
      <c r="AZ818" s="1297">
        <f>AZ669</f>
        <v/>
      </c>
      <c r="BA818" s="1277">
        <f>BA669</f>
        <v/>
      </c>
      <c r="BB818" s="1277">
        <f>BB669-BA669</f>
        <v/>
      </c>
      <c r="BC818" s="1277">
        <f>BC669-BB669</f>
        <v/>
      </c>
      <c r="BD818" s="1277">
        <f>BD669-BC669</f>
        <v/>
      </c>
      <c r="BE818" s="1297">
        <f>BE669</f>
        <v/>
      </c>
      <c r="BF818" s="1277">
        <f>BF669</f>
        <v/>
      </c>
      <c r="BG818" s="1277">
        <f>BG669-BF669</f>
        <v/>
      </c>
      <c r="BH818" s="1277">
        <f>BH669-BG669</f>
        <v/>
      </c>
      <c r="BI818" s="1277">
        <f>BI669-BH669</f>
        <v/>
      </c>
      <c r="BJ818" s="1297">
        <f>BJ669</f>
        <v/>
      </c>
      <c r="BK818" s="1277">
        <f>BK669</f>
        <v/>
      </c>
      <c r="BL818" s="1277">
        <f>BL669-BK669</f>
        <v/>
      </c>
      <c r="BM818" s="1277">
        <f>BM669-BL669</f>
        <v/>
      </c>
      <c r="BN818" s="1277">
        <f>BN669-BM669</f>
        <v/>
      </c>
      <c r="BO818" s="1382">
        <f>BO669</f>
        <v/>
      </c>
      <c r="BP818" s="1277" t="n"/>
      <c r="BQ818" s="1277" t="n"/>
      <c r="BR818" s="1277" t="n"/>
      <c r="BS818" s="1277" t="n"/>
      <c r="BT818" s="1297" t="n"/>
      <c r="BU818" s="1277" t="n"/>
      <c r="BV818" s="1277" t="n"/>
      <c r="BW818" s="1277" t="n"/>
      <c r="BX818" s="1277" t="n"/>
      <c r="BY818" s="1297" t="n"/>
      <c r="BZ818" s="1297" t="n"/>
      <c r="CA818" s="1297" t="n"/>
      <c r="CB818" s="1297" t="n"/>
      <c r="CC818" s="1280" t="n"/>
    </row>
    <row r="819" ht="14.4" customFormat="1" customHeight="1" s="1275">
      <c r="A819" s="1466">
        <f>A670</f>
        <v/>
      </c>
      <c r="B819" s="1387" t="n"/>
      <c r="C819" s="1297" t="n"/>
      <c r="D819" s="1297" t="n"/>
      <c r="E819" s="1297" t="n"/>
      <c r="F819" s="1297">
        <f>F670</f>
        <v/>
      </c>
      <c r="G819" s="1297">
        <f>G670</f>
        <v/>
      </c>
      <c r="H819" s="1277">
        <f>H670</f>
        <v/>
      </c>
      <c r="I819" s="1277">
        <f>I670-H670</f>
        <v/>
      </c>
      <c r="J819" s="1277">
        <f>J670-I670</f>
        <v/>
      </c>
      <c r="K819" s="1277">
        <f>K670-J670</f>
        <v/>
      </c>
      <c r="L819" s="1297">
        <f>L670</f>
        <v/>
      </c>
      <c r="M819" s="1277">
        <f>M670</f>
        <v/>
      </c>
      <c r="N819" s="1277">
        <f>N670-M670</f>
        <v/>
      </c>
      <c r="O819" s="1277">
        <f>O670-N670</f>
        <v/>
      </c>
      <c r="P819" s="1277">
        <f>P670-O670</f>
        <v/>
      </c>
      <c r="Q819" s="1297">
        <f>Q670</f>
        <v/>
      </c>
      <c r="R819" s="1277">
        <f>R670</f>
        <v/>
      </c>
      <c r="S819" s="1277">
        <f>S670-R670</f>
        <v/>
      </c>
      <c r="T819" s="1277">
        <f>T670-S670</f>
        <v/>
      </c>
      <c r="U819" s="1277">
        <f>U670-T670</f>
        <v/>
      </c>
      <c r="V819" s="1297">
        <f>V670</f>
        <v/>
      </c>
      <c r="W819" s="1277">
        <f>W670</f>
        <v/>
      </c>
      <c r="X819" s="1277">
        <f>X670-W670</f>
        <v/>
      </c>
      <c r="Y819" s="1277">
        <f>Y670-X670</f>
        <v/>
      </c>
      <c r="Z819" s="1277">
        <f>Z670-Y670</f>
        <v/>
      </c>
      <c r="AA819" s="1297">
        <f>AA670</f>
        <v/>
      </c>
      <c r="AB819" s="1277">
        <f>AB670</f>
        <v/>
      </c>
      <c r="AC819" s="1277">
        <f>AC670-AB670</f>
        <v/>
      </c>
      <c r="AD819" s="1277">
        <f>AD670-AC670</f>
        <v/>
      </c>
      <c r="AE819" s="1277">
        <f>AE670-AD670</f>
        <v/>
      </c>
      <c r="AF819" s="1297">
        <f>AF670</f>
        <v/>
      </c>
      <c r="AG819" s="1277">
        <f>AG670</f>
        <v/>
      </c>
      <c r="AH819" s="1277">
        <f>AH670-AG670</f>
        <v/>
      </c>
      <c r="AI819" s="1277">
        <f>AI670-AH670</f>
        <v/>
      </c>
      <c r="AJ819" s="1277">
        <f>AJ670-AI670</f>
        <v/>
      </c>
      <c r="AK819" s="1297">
        <f>AK670</f>
        <v/>
      </c>
      <c r="AL819" s="1277">
        <f>AL670</f>
        <v/>
      </c>
      <c r="AM819" s="1277">
        <f>AM670-AL670</f>
        <v/>
      </c>
      <c r="AN819" s="1277">
        <f>AN670-AM670</f>
        <v/>
      </c>
      <c r="AO819" s="1277">
        <f>AO670-AN670</f>
        <v/>
      </c>
      <c r="AP819" s="1297">
        <f>AP670</f>
        <v/>
      </c>
      <c r="AQ819" s="1277">
        <f>AQ670</f>
        <v/>
      </c>
      <c r="AR819" s="1277">
        <f>AR670-AQ670</f>
        <v/>
      </c>
      <c r="AS819" s="1277">
        <f>AS670-AR670</f>
        <v/>
      </c>
      <c r="AT819" s="1277">
        <f>AT670-AS670</f>
        <v/>
      </c>
      <c r="AU819" s="1297">
        <f>AU670</f>
        <v/>
      </c>
      <c r="AV819" s="1277">
        <f>AV670</f>
        <v/>
      </c>
      <c r="AW819" s="1277">
        <f>AW670-AV670</f>
        <v/>
      </c>
      <c r="AX819" s="1277">
        <f>AX670-AW670</f>
        <v/>
      </c>
      <c r="AY819" s="1277">
        <f>AY670-AX670</f>
        <v/>
      </c>
      <c r="AZ819" s="1297">
        <f>AZ670</f>
        <v/>
      </c>
      <c r="BA819" s="1277">
        <f>BA670</f>
        <v/>
      </c>
      <c r="BB819" s="1277">
        <f>BB670-BA670</f>
        <v/>
      </c>
      <c r="BC819" s="1277">
        <f>BC670-BB670</f>
        <v/>
      </c>
      <c r="BD819" s="1277">
        <f>BD670-BC670</f>
        <v/>
      </c>
      <c r="BE819" s="1297">
        <f>BE670</f>
        <v/>
      </c>
      <c r="BF819" s="1277">
        <f>BF670</f>
        <v/>
      </c>
      <c r="BG819" s="1277">
        <f>BG670-BF670</f>
        <v/>
      </c>
      <c r="BH819" s="1277">
        <f>BH670-BG670</f>
        <v/>
      </c>
      <c r="BI819" s="1277">
        <f>BI670-BH670</f>
        <v/>
      </c>
      <c r="BJ819" s="1297">
        <f>BJ670</f>
        <v/>
      </c>
      <c r="BK819" s="1277">
        <f>BK670</f>
        <v/>
      </c>
      <c r="BL819" s="1277">
        <f>BL670-BK670</f>
        <v/>
      </c>
      <c r="BM819" s="1277">
        <f>BM670-BL670</f>
        <v/>
      </c>
      <c r="BN819" s="1277">
        <f>BN670-BM670</f>
        <v/>
      </c>
      <c r="BO819" s="1382">
        <f>BO670</f>
        <v/>
      </c>
      <c r="BP819" s="1277" t="n"/>
      <c r="BQ819" s="1277" t="n"/>
      <c r="BR819" s="1277" t="n"/>
      <c r="BS819" s="1277" t="n"/>
      <c r="BT819" s="1297" t="n"/>
      <c r="BU819" s="1277" t="n"/>
      <c r="BV819" s="1277" t="n"/>
      <c r="BW819" s="1277" t="n"/>
      <c r="BX819" s="1277" t="n"/>
      <c r="BY819" s="1297" t="n"/>
      <c r="BZ819" s="1297" t="n"/>
      <c r="CA819" s="1297" t="n"/>
      <c r="CB819" s="1297" t="n"/>
      <c r="CC819" s="1280" t="n"/>
    </row>
    <row r="820" ht="14.4" customFormat="1" customHeight="1" s="1323">
      <c r="A820" s="1344" t="n"/>
      <c r="B820" s="1394" t="n"/>
      <c r="C820" s="1345" t="n"/>
      <c r="D820" s="1345" t="n"/>
      <c r="E820" s="1345" t="n"/>
      <c r="F820" s="1345" t="n"/>
      <c r="G820" s="1345" t="n"/>
      <c r="H820" s="1346" t="n"/>
      <c r="I820" s="1346" t="n"/>
      <c r="J820" s="1346" t="n"/>
      <c r="K820" s="1346" t="n"/>
      <c r="L820" s="1345" t="n"/>
      <c r="M820" s="1346" t="n"/>
      <c r="N820" s="1346" t="n"/>
      <c r="O820" s="1346" t="n"/>
      <c r="P820" s="1346" t="n"/>
      <c r="Q820" s="1345" t="n"/>
      <c r="R820" s="1346" t="n"/>
      <c r="S820" s="1346" t="n"/>
      <c r="T820" s="1346" t="n"/>
      <c r="U820" s="1346" t="n"/>
      <c r="V820" s="1345" t="n"/>
      <c r="W820" s="1346" t="n"/>
      <c r="X820" s="1346" t="n"/>
      <c r="Y820" s="1346" t="n"/>
      <c r="Z820" s="1346" t="n"/>
      <c r="AA820" s="1345" t="n"/>
      <c r="AB820" s="1346" t="n"/>
      <c r="AC820" s="1346" t="n"/>
      <c r="AD820" s="1346" t="n"/>
      <c r="AE820" s="1346" t="n"/>
      <c r="AF820" s="1345" t="n"/>
      <c r="AG820" s="1346" t="n"/>
      <c r="AH820" s="1346" t="n"/>
      <c r="AI820" s="1346" t="n"/>
      <c r="AJ820" s="1346" t="n"/>
      <c r="AK820" s="1345" t="n"/>
      <c r="AL820" s="1346" t="n"/>
      <c r="AM820" s="1346" t="n"/>
      <c r="AN820" s="1346" t="n"/>
      <c r="AO820" s="1346" t="n"/>
      <c r="AP820" s="1345" t="n"/>
      <c r="AQ820" s="1346" t="n"/>
      <c r="AR820" s="1346" t="n"/>
      <c r="AS820" s="1346" t="n"/>
      <c r="AT820" s="1346" t="n"/>
      <c r="AU820" s="1345" t="n"/>
      <c r="AV820" s="1346" t="n"/>
      <c r="AW820" s="1346" t="n"/>
      <c r="AX820" s="1346" t="n"/>
      <c r="AY820" s="1346" t="n"/>
      <c r="AZ820" s="1345" t="n"/>
      <c r="BA820" s="1346" t="n"/>
      <c r="BB820" s="1346" t="n"/>
      <c r="BC820" s="1346" t="n"/>
      <c r="BD820" s="1346" t="n"/>
      <c r="BE820" s="1345" t="n"/>
      <c r="BF820" s="1346" t="n"/>
      <c r="BG820" s="1346" t="n"/>
      <c r="BH820" s="1346" t="n"/>
      <c r="BI820" s="1346" t="n"/>
      <c r="BJ820" s="1345" t="n"/>
      <c r="BK820" s="1346" t="n"/>
      <c r="BL820" s="1346" t="n"/>
      <c r="BM820" s="1346" t="n"/>
      <c r="BN820" s="1346" t="n"/>
      <c r="BO820" s="1347" t="n"/>
      <c r="BP820" s="1346" t="n"/>
      <c r="BQ820" s="1346" t="n"/>
      <c r="BR820" s="1346" t="n"/>
      <c r="BS820" s="1346" t="n"/>
      <c r="BT820" s="1345" t="n"/>
      <c r="BU820" s="1346" t="n"/>
      <c r="BV820" s="1346" t="n"/>
      <c r="BW820" s="1346" t="n"/>
      <c r="BX820" s="1346" t="n"/>
      <c r="BY820" s="1345" t="n"/>
      <c r="BZ820" s="1345" t="n"/>
      <c r="CA820" s="1345" t="n"/>
      <c r="CB820" s="1345" t="n"/>
      <c r="CC820" s="1331" t="n"/>
    </row>
    <row r="821" ht="14.4" customFormat="1" customHeight="1" s="1275">
      <c r="A821" s="1605" t="inlineStr">
        <is>
          <t>CF Check</t>
        </is>
      </c>
      <c r="B821" s="1605" t="n"/>
      <c r="C821" s="1606">
        <f>ROUND(C814-C858,6)</f>
        <v/>
      </c>
      <c r="D821" s="1606">
        <f>ROUND(D814-D858,6)</f>
        <v/>
      </c>
      <c r="E821" s="1606">
        <f>ROUND(E814-E858,6)</f>
        <v/>
      </c>
      <c r="F821" s="1606">
        <f>ROUND(F814-F858,6)</f>
        <v/>
      </c>
      <c r="G821" s="1606">
        <f>ROUND(G814-G858,6)</f>
        <v/>
      </c>
      <c r="H821" s="1606">
        <f>ROUND(H814-H858,6)</f>
        <v/>
      </c>
      <c r="I821" s="1606">
        <f>ROUND(I814-I858,6)</f>
        <v/>
      </c>
      <c r="J821" s="1606">
        <f>ROUND(J814-J858,6)</f>
        <v/>
      </c>
      <c r="K821" s="1606">
        <f>ROUND(K814-K858-81.478,6)</f>
        <v/>
      </c>
      <c r="L821" s="1606">
        <f>ROUND(L814-L858-81.478,6)</f>
        <v/>
      </c>
      <c r="M821" s="1606">
        <f>ROUND(M814-M858,6)</f>
        <v/>
      </c>
      <c r="N821" s="1606">
        <f>ROUND(N814-N858,6)</f>
        <v/>
      </c>
      <c r="O821" s="1606">
        <f>ROUND(O814-O858,6)</f>
        <v/>
      </c>
      <c r="P821" s="1606">
        <f>ROUND(P814-P858,6)</f>
        <v/>
      </c>
      <c r="Q821" s="1606">
        <f>ROUND(Q814-Q858,6)</f>
        <v/>
      </c>
      <c r="R821" s="1606">
        <f>ROUND(R814-R858,6)</f>
        <v/>
      </c>
      <c r="S821" s="1606">
        <f>ROUND(S814-S858,6)</f>
        <v/>
      </c>
      <c r="T821" s="1606">
        <f>ROUND(T814-T858,6)</f>
        <v/>
      </c>
      <c r="U821" s="1606">
        <f>ROUND(U814-U858,6)</f>
        <v/>
      </c>
      <c r="V821" s="1606">
        <f>ROUND(V814-V858,6)</f>
        <v/>
      </c>
      <c r="W821" s="1606">
        <f>ROUND(W814-W858,6)</f>
        <v/>
      </c>
      <c r="X821" s="1606">
        <f>ROUND(X814-X858,6)</f>
        <v/>
      </c>
      <c r="Y821" s="1606">
        <f>ROUND(Y814-Y858,6)</f>
        <v/>
      </c>
      <c r="Z821" s="1606">
        <f>ROUND(Z814-Z858,6)</f>
        <v/>
      </c>
      <c r="AA821" s="1606">
        <f>ROUND(AA814-AA858,6)</f>
        <v/>
      </c>
      <c r="AB821" s="1606">
        <f>ROUND(AB814-AB858,6)</f>
        <v/>
      </c>
      <c r="AC821" s="1606">
        <f>ROUND(AC814-AC858,6)</f>
        <v/>
      </c>
      <c r="AD821" s="1606">
        <f>ROUND(AD814-AD858,6)</f>
        <v/>
      </c>
      <c r="AE821" s="1606">
        <f>ROUND(AE814-AE858,6)</f>
        <v/>
      </c>
      <c r="AF821" s="1606">
        <f>ROUND(AF814-AF858,6)</f>
        <v/>
      </c>
      <c r="AG821" s="1606">
        <f>ROUND(AG814-AG858,6)</f>
        <v/>
      </c>
      <c r="AH821" s="1779">
        <f>ROUND(AH814-AH858,6)</f>
        <v/>
      </c>
      <c r="AI821" s="1606">
        <f>ROUND(AI814-AI858,6)</f>
        <v/>
      </c>
      <c r="AJ821" s="1606">
        <f>ROUND(AJ814-AJ858,6)</f>
        <v/>
      </c>
      <c r="AK821" s="1606">
        <f>ROUND(AK814-AK858,6)</f>
        <v/>
      </c>
      <c r="AL821" s="1606">
        <f>ROUND(AL814-AL858,6)</f>
        <v/>
      </c>
      <c r="AM821" s="1606">
        <f>ROUND(AM814-AM858,6)</f>
        <v/>
      </c>
      <c r="AN821" s="1606">
        <f>ROUND(AN814-AN858,6)</f>
        <v/>
      </c>
      <c r="AO821" s="1606">
        <f>ROUND(AO814-AO858,6)</f>
        <v/>
      </c>
      <c r="AP821" s="1606">
        <f>ROUND(AP814-AP858,6)</f>
        <v/>
      </c>
      <c r="AQ821" s="1606">
        <f>ROUND(AQ814-AQ858,6)</f>
        <v/>
      </c>
      <c r="AR821" s="1779">
        <f>ROUND(AR814-AR858,0)</f>
        <v/>
      </c>
      <c r="AS821" s="1606">
        <f>ROUND(AS814-AS858,6)</f>
        <v/>
      </c>
      <c r="AT821" s="1606">
        <f>ROUND(AT814-AT858,6)</f>
        <v/>
      </c>
      <c r="AU821" s="1606">
        <f>ROUND(AU814-AU858,6)</f>
        <v/>
      </c>
      <c r="AV821" s="1606">
        <f>ROUND(AV814-AV858,6)</f>
        <v/>
      </c>
      <c r="AW821" s="1779">
        <f>ROUND(AW814-AW858,0)</f>
        <v/>
      </c>
      <c r="AX821" s="1606">
        <f>ROUND(AX814-AX858,6)</f>
        <v/>
      </c>
      <c r="AY821" s="1606">
        <f>ROUND(AY814-AY858,6)</f>
        <v/>
      </c>
      <c r="AZ821" s="1606">
        <f>ROUND(AZ814-AZ858,6)</f>
        <v/>
      </c>
      <c r="BA821" s="1606">
        <f>ROUND(BA814-BA858,6)</f>
        <v/>
      </c>
      <c r="BB821" s="1779">
        <f>ROUND(BB814-BB858,0)</f>
        <v/>
      </c>
      <c r="BC821" s="1606">
        <f>ROUND(BC814-BC858,6)</f>
        <v/>
      </c>
      <c r="BD821" s="1606">
        <f>ROUND(BD814-BD858,6)</f>
        <v/>
      </c>
      <c r="BE821" s="1606">
        <f>ROUND(BE814-BE858,6)</f>
        <v/>
      </c>
      <c r="BF821" s="1606">
        <f>ROUND(BF814-BF858,6)</f>
        <v/>
      </c>
      <c r="BG821" s="1779">
        <f>ROUND(BG814-BG858,0)</f>
        <v/>
      </c>
      <c r="BH821" s="1606">
        <f>ROUND(BH814-BH858,6)</f>
        <v/>
      </c>
      <c r="BI821" s="1606">
        <f>ROUND(BI814-BI858,6)</f>
        <v/>
      </c>
      <c r="BJ821" s="1606">
        <f>ROUND(BJ814-BJ858,6)</f>
        <v/>
      </c>
      <c r="BK821" s="1606">
        <f>ROUND(BK814-BK858,6)</f>
        <v/>
      </c>
      <c r="BL821" s="1779">
        <f>ROUND(BL814-BL858,0)</f>
        <v/>
      </c>
      <c r="BM821" s="1606">
        <f>ROUND(BM814-BM858,6)</f>
        <v/>
      </c>
      <c r="BN821" s="1606">
        <f>ROUND(BN814-BN858,6)</f>
        <v/>
      </c>
      <c r="BO821" s="1607">
        <f>ROUND(BO814-BO858,6)</f>
        <v/>
      </c>
      <c r="BP821" s="1606">
        <f>ROUND(BP814-BP858,0)</f>
        <v/>
      </c>
      <c r="BQ821" s="1606">
        <f>ROUND(BQ814-BQ858,0)</f>
        <v/>
      </c>
      <c r="BR821" s="1606">
        <f>ROUND(BR814-BR858,0)</f>
        <v/>
      </c>
      <c r="BS821" s="1606">
        <f>ROUND(BS814-BS858,0)</f>
        <v/>
      </c>
      <c r="BT821" s="1606">
        <f>ROUND(BT814-BT858,0)</f>
        <v/>
      </c>
      <c r="BU821" s="1606">
        <f>ROUND(BU814-BU858,0)</f>
        <v/>
      </c>
      <c r="BV821" s="1606">
        <f>ROUND(BV814-BV858,0)</f>
        <v/>
      </c>
      <c r="BW821" s="1606">
        <f>ROUND(BW814-BW858,0)</f>
        <v/>
      </c>
      <c r="BX821" s="1606">
        <f>ROUND(BX814-BX858,0)</f>
        <v/>
      </c>
      <c r="BY821" s="1606">
        <f>ROUND(BY814-BY858,0)</f>
        <v/>
      </c>
      <c r="BZ821" s="1606">
        <f>ROUND(BZ814-BZ858,0)</f>
        <v/>
      </c>
      <c r="CA821" s="1606">
        <f>ROUND(CA814-CA858,0)</f>
        <v/>
      </c>
      <c r="CB821" s="1606">
        <f>ROUND(CB814-CB858,0)</f>
        <v/>
      </c>
      <c r="CC821" s="1280" t="n"/>
    </row>
    <row r="822" ht="14.4" customFormat="1" customHeight="1" s="1323">
      <c r="A822" s="1344" t="n"/>
      <c r="B822" s="1394" t="n"/>
      <c r="C822" s="1345" t="n"/>
      <c r="D822" s="1345" t="n"/>
      <c r="E822" s="1345" t="n"/>
      <c r="F822" s="1345" t="n"/>
      <c r="G822" s="1345" t="n"/>
      <c r="H822" s="1346" t="n"/>
      <c r="I822" s="1346" t="n"/>
      <c r="J822" s="1346" t="n"/>
      <c r="K822" s="1346" t="n"/>
      <c r="L822" s="1345" t="n"/>
      <c r="M822" s="1346" t="n"/>
      <c r="N822" s="1346" t="n"/>
      <c r="O822" s="1346" t="n"/>
      <c r="P822" s="1346" t="n"/>
      <c r="Q822" s="1345" t="n"/>
      <c r="R822" s="1346" t="n"/>
      <c r="S822" s="1346" t="n"/>
      <c r="T822" s="1346" t="n"/>
      <c r="U822" s="1346" t="n"/>
      <c r="V822" s="1345" t="n"/>
      <c r="W822" s="1346" t="n"/>
      <c r="X822" s="1346" t="n"/>
      <c r="Y822" s="1346" t="n"/>
      <c r="Z822" s="1346" t="n"/>
      <c r="AA822" s="1345" t="n"/>
      <c r="AB822" s="1346" t="n"/>
      <c r="AC822" s="1346" t="n"/>
      <c r="AD822" s="1346" t="n"/>
      <c r="AE822" s="1346" t="n"/>
      <c r="AF822" s="1345" t="n"/>
      <c r="AG822" s="1346" t="n"/>
      <c r="AH822" s="1346" t="n"/>
      <c r="AI822" s="1346" t="n"/>
      <c r="AJ822" s="1346" t="n"/>
      <c r="AK822" s="1345" t="n"/>
      <c r="AL822" s="1346" t="n"/>
      <c r="AM822" s="1346" t="n"/>
      <c r="AN822" s="1346" t="n"/>
      <c r="AO822" s="1346" t="n"/>
      <c r="AP822" s="1345" t="n"/>
      <c r="AQ822" s="1346" t="n"/>
      <c r="AR822" s="1346" t="n"/>
      <c r="AS822" s="1346" t="n"/>
      <c r="AT822" s="1346" t="n"/>
      <c r="AU822" s="1345" t="n"/>
      <c r="AV822" s="1346" t="n"/>
      <c r="AW822" s="1346" t="n"/>
      <c r="AX822" s="1346" t="n"/>
      <c r="AY822" s="1346" t="n"/>
      <c r="AZ822" s="1345" t="n"/>
      <c r="BA822" s="1346" t="n"/>
      <c r="BB822" s="1346" t="n"/>
      <c r="BC822" s="1346" t="n"/>
      <c r="BD822" s="1346" t="n"/>
      <c r="BE822" s="1345" t="n"/>
      <c r="BF822" s="1346" t="n"/>
      <c r="BG822" s="1346" t="n"/>
      <c r="BH822" s="1346" t="n"/>
      <c r="BI822" s="1346" t="n"/>
      <c r="BJ822" s="1345" t="n"/>
      <c r="BK822" s="1346" t="n"/>
      <c r="BL822" s="1346" t="n"/>
      <c r="BM822" s="1346" t="n"/>
      <c r="BN822" s="1346" t="n"/>
      <c r="BO822" s="1347" t="n"/>
      <c r="BP822" s="1346" t="n"/>
      <c r="BQ822" s="1346" t="n"/>
      <c r="BR822" s="1346" t="n"/>
      <c r="BS822" s="1346" t="n"/>
      <c r="BT822" s="1345" t="n"/>
      <c r="BU822" s="1346" t="n"/>
      <c r="BV822" s="1346" t="n"/>
      <c r="BW822" s="1346" t="n"/>
      <c r="BX822" s="1346" t="n"/>
      <c r="BY822" s="1345" t="n"/>
      <c r="BZ822" s="1345" t="n"/>
      <c r="CA822" s="1345" t="n"/>
      <c r="CB822" s="1345" t="n"/>
      <c r="CC822" s="1331" t="n"/>
    </row>
    <row r="823" ht="14.4" customFormat="1" customHeight="1" s="1323">
      <c r="A823" s="1780" t="inlineStr">
        <is>
          <t>Working Capital Forecasting</t>
        </is>
      </c>
      <c r="B823" s="1781" t="n"/>
      <c r="C823" s="1357" t="n"/>
      <c r="D823" s="1357" t="n"/>
      <c r="E823" s="1357" t="n"/>
      <c r="F823" s="1357" t="n"/>
      <c r="G823" s="1357" t="n"/>
      <c r="H823" s="1357" t="n"/>
      <c r="I823" s="1357" t="n"/>
      <c r="J823" s="1357" t="n"/>
      <c r="K823" s="1357" t="n"/>
      <c r="L823" s="1357" t="n"/>
      <c r="M823" s="1357" t="n"/>
      <c r="N823" s="1357" t="n"/>
      <c r="O823" s="1357" t="n"/>
      <c r="P823" s="1357" t="n"/>
      <c r="Q823" s="1357" t="n"/>
      <c r="R823" s="1357" t="n"/>
      <c r="S823" s="1357" t="n"/>
      <c r="T823" s="1357" t="n"/>
      <c r="U823" s="1357" t="n"/>
      <c r="V823" s="1357" t="n"/>
      <c r="W823" s="1357" t="n"/>
      <c r="X823" s="1357" t="n"/>
      <c r="Y823" s="1357" t="n"/>
      <c r="Z823" s="1357" t="n"/>
      <c r="AA823" s="1357" t="n"/>
      <c r="AB823" s="1357" t="n"/>
      <c r="AC823" s="1357" t="n"/>
      <c r="AD823" s="1357" t="n"/>
      <c r="AE823" s="1357" t="n"/>
      <c r="AF823" s="1357" t="n"/>
      <c r="AG823" s="1357" t="n"/>
      <c r="AH823" s="1357" t="n"/>
      <c r="AI823" s="1357" t="n"/>
      <c r="AJ823" s="1357" t="n"/>
      <c r="AK823" s="1357" t="n"/>
      <c r="AL823" s="1357" t="n"/>
      <c r="AM823" s="1357" t="n"/>
      <c r="AN823" s="1357" t="n"/>
      <c r="AO823" s="1357" t="n"/>
      <c r="AP823" s="1357" t="n"/>
      <c r="AQ823" s="1357" t="n"/>
      <c r="AR823" s="1357" t="n"/>
      <c r="AS823" s="1357" t="n"/>
      <c r="AT823" s="1357" t="n"/>
      <c r="AU823" s="1357" t="n"/>
      <c r="AV823" s="1357" t="n"/>
      <c r="AW823" s="1357" t="n"/>
      <c r="AX823" s="1357" t="n"/>
      <c r="AY823" s="1357" t="n"/>
      <c r="AZ823" s="1357" t="n"/>
      <c r="BA823" s="1357" t="n"/>
      <c r="BB823" s="1357" t="n"/>
      <c r="BC823" s="1357" t="n"/>
      <c r="BD823" s="1357" t="n"/>
      <c r="BE823" s="1357" t="n"/>
      <c r="BF823" s="1357" t="n"/>
      <c r="BG823" s="1357" t="n"/>
      <c r="BH823" s="1357" t="n"/>
      <c r="BI823" s="1357" t="n"/>
      <c r="BJ823" s="1357" t="n"/>
      <c r="BK823" s="1357" t="n"/>
      <c r="BL823" s="1357" t="n"/>
      <c r="BM823" s="1357" t="n"/>
      <c r="BN823" s="1357" t="n"/>
      <c r="BO823" s="1782" t="n"/>
      <c r="BP823" s="1357" t="n"/>
      <c r="BQ823" s="1357" t="n"/>
      <c r="BR823" s="1357" t="n"/>
      <c r="BS823" s="1357" t="n"/>
      <c r="BT823" s="1357" t="n"/>
      <c r="BU823" s="1357" t="n"/>
      <c r="BV823" s="1357" t="n"/>
      <c r="BW823" s="1357" t="n"/>
      <c r="BX823" s="1357" t="n"/>
      <c r="BY823" s="1357" t="n"/>
      <c r="BZ823" s="1357" t="n"/>
      <c r="CA823" s="1357" t="n"/>
      <c r="CB823" s="1357" t="n"/>
      <c r="CC823" s="1331" t="n"/>
    </row>
    <row r="824" ht="14.4" customFormat="1" customHeight="1" s="1350">
      <c r="A824" s="1783" t="inlineStr">
        <is>
          <t>Notes and accounts receivable, net, % of LTM Sales</t>
        </is>
      </c>
      <c r="B824" s="1459" t="n"/>
      <c r="C824" s="1621">
        <f>C867/C$369</f>
        <v/>
      </c>
      <c r="D824" s="1621">
        <f>D867/D$369</f>
        <v/>
      </c>
      <c r="E824" s="1621">
        <f>E867/E$369</f>
        <v/>
      </c>
      <c r="F824" s="1621">
        <f>F867/F$369</f>
        <v/>
      </c>
      <c r="G824" s="1621">
        <f>G867/G$369</f>
        <v/>
      </c>
      <c r="H824" s="1354" t="n"/>
      <c r="I824" s="1354" t="n"/>
      <c r="J824" s="1354" t="n"/>
      <c r="K824" s="1354" t="n"/>
      <c r="L824" s="1621">
        <f>L867/L$369</f>
        <v/>
      </c>
      <c r="M824" s="1356">
        <f>M867/(M$369+K$369+J$369+I$369)</f>
        <v/>
      </c>
      <c r="N824" s="1356">
        <f>N867/(N$369+M$369+K$369+J$369)</f>
        <v/>
      </c>
      <c r="O824" s="1356">
        <f>O867/(O$369+N$369+M$369+K$369)</f>
        <v/>
      </c>
      <c r="P824" s="1356">
        <f>P867/(P$369+O$369+N$369+M$369)</f>
        <v/>
      </c>
      <c r="Q824" s="1621">
        <f>Q867/Q$369</f>
        <v/>
      </c>
      <c r="R824" s="1356">
        <f>R867/(R$369+P$369+O$369+N$369)</f>
        <v/>
      </c>
      <c r="S824" s="1356">
        <f>S867/(S$369+R$369+P$369+O$369)</f>
        <v/>
      </c>
      <c r="T824" s="1356">
        <f>T867/(T$369+S$369+R$369+P$369)</f>
        <v/>
      </c>
      <c r="U824" s="1356">
        <f>U867/(U$369+T$369+S$369+R$369)</f>
        <v/>
      </c>
      <c r="V824" s="1621">
        <f>V867/V$369</f>
        <v/>
      </c>
      <c r="W824" s="1356">
        <f>W867/(W$369+U$369+T$369+S$369)</f>
        <v/>
      </c>
      <c r="X824" s="1356">
        <f>X867/(X$369+W$369+U$369+T$369)</f>
        <v/>
      </c>
      <c r="Y824" s="1356">
        <f>Y867/(Y$369+X$369+W$369+U$369)</f>
        <v/>
      </c>
      <c r="Z824" s="1356">
        <f>Z867/(Z$369+Y$369+X$369+W$369)</f>
        <v/>
      </c>
      <c r="AA824" s="1621">
        <f>AA867/AA$369</f>
        <v/>
      </c>
      <c r="AB824" s="1356">
        <f>AB867/(AB$369+Z$369+Y$369+X$369)</f>
        <v/>
      </c>
      <c r="AC824" s="1356">
        <f>AC867/(AC$369+AB$369+Z$369+Y$369)</f>
        <v/>
      </c>
      <c r="AD824" s="1356">
        <f>AD867/(AD$369+AC$369+AB$369+Z$369)</f>
        <v/>
      </c>
      <c r="AE824" s="1356">
        <f>AE867/(AE$369+AD$369+AC$369+AB$369)</f>
        <v/>
      </c>
      <c r="AF824" s="1621">
        <f>AF867/AF$369</f>
        <v/>
      </c>
      <c r="AG824" s="1356">
        <f>AG867/(AG$369+AE$369+AD$369+AC$369)</f>
        <v/>
      </c>
      <c r="AH824" s="1356">
        <f>AH867/(AH$369+AG$369+AE$369+AD$369)</f>
        <v/>
      </c>
      <c r="AI824" s="1356">
        <f>AI867/(AI$369+AH$369+AG$369+AE$369)</f>
        <v/>
      </c>
      <c r="AJ824" s="1356">
        <f>AJ867/(AJ$369+AI$369+AH$369+AG$369)</f>
        <v/>
      </c>
      <c r="AK824" s="1621">
        <f>AK867/AK$369</f>
        <v/>
      </c>
      <c r="AL824" s="1356">
        <f>AL867/(AL$369+AJ$369+AI$369+AH$369)</f>
        <v/>
      </c>
      <c r="AM824" s="1356">
        <f>AM867/(AM$369+AL$369+AJ$369+AI$369)</f>
        <v/>
      </c>
      <c r="AN824" s="1356">
        <f>AN867/(AN$369+AM$369+AL$369+AJ$369)</f>
        <v/>
      </c>
      <c r="AO824" s="1356">
        <f>AO867/(AO$369+AN$369+AM$369+AL$369)</f>
        <v/>
      </c>
      <c r="AP824" s="1621">
        <f>AP867/AP$369</f>
        <v/>
      </c>
      <c r="AQ824" s="1356">
        <f>AQ867/(AQ$369+AO$369+AN$369+AM$369)</f>
        <v/>
      </c>
      <c r="AR824" s="1356">
        <f>AR867/(AR$369+AQ$369+AO$369+AN$369)</f>
        <v/>
      </c>
      <c r="AS824" s="1356">
        <f>AS867/(AS$369+AR$369+AQ$369+AO$369)</f>
        <v/>
      </c>
      <c r="AT824" s="1356">
        <f>AT867/(AT$369+AS$369+AR$369+AQ$369)</f>
        <v/>
      </c>
      <c r="AU824" s="1621">
        <f>AU867/AU$369</f>
        <v/>
      </c>
      <c r="AV824" s="1356">
        <f>AV867/(AV$369+AT$369+AS$369+AR$369)</f>
        <v/>
      </c>
      <c r="AW824" s="1356">
        <f>AW867/(AW$369+AV$369+AT$369+AS$369)</f>
        <v/>
      </c>
      <c r="AX824" s="1356">
        <f>AX867/(AX$369+AW$369+AV$369+AT$369)</f>
        <v/>
      </c>
      <c r="AY824" s="1356">
        <f>AY867/(AY$369+AX$369+AW$369+AV$369)</f>
        <v/>
      </c>
      <c r="AZ824" s="1621">
        <f>AZ867/AZ$369</f>
        <v/>
      </c>
      <c r="BA824" s="1356">
        <f>BA867/(BA$369+AY$369+AX$369+AW$369)</f>
        <v/>
      </c>
      <c r="BB824" s="1356">
        <f>BB867/(BB$369+BA$369+AY$369+AX$369)</f>
        <v/>
      </c>
      <c r="BC824" s="1356">
        <f>BC867/(BC$369+BB$369+BA$369+AY$369)</f>
        <v/>
      </c>
      <c r="BD824" s="1356">
        <f>BD867/(BD$369+BC$369+BB$369+BA$369)</f>
        <v/>
      </c>
      <c r="BE824" s="1621">
        <f>BE867/BE$369</f>
        <v/>
      </c>
      <c r="BF824" s="1356">
        <f>BF867/(BF$369+BD$369+BC$369+BB$369)</f>
        <v/>
      </c>
      <c r="BG824" s="1356">
        <f>BG867/(BG$369+BF$369+BD$369+BC$369)</f>
        <v/>
      </c>
      <c r="BH824" s="1356">
        <f>BH867/(BH$369+BG$369+BF$369+BD$369)</f>
        <v/>
      </c>
      <c r="BI824" s="1356">
        <f>BI867/(BI$369+BH$369+BG$369+BF$369)</f>
        <v/>
      </c>
      <c r="BJ824" s="1621">
        <f>BJ867/BJ$369</f>
        <v/>
      </c>
      <c r="BK824" s="1356">
        <f>BK867/(BK$369+BI$369+BH$369+BG$369)</f>
        <v/>
      </c>
      <c r="BL824" s="1356">
        <f>BL867/(BL$369+BK$369+BI$369+BH$369)</f>
        <v/>
      </c>
      <c r="BM824" s="1356">
        <f>BM867/(BM$369+BL$369+BK$369+BI$369)</f>
        <v/>
      </c>
      <c r="BN824" s="1356">
        <f>BN867/(BN$369+BM$369+BL$369+BK$369)</f>
        <v/>
      </c>
      <c r="BO824" s="1622">
        <f>BO867/BO$369</f>
        <v/>
      </c>
      <c r="BP824" s="1354">
        <f>BK824+BP829</f>
        <v/>
      </c>
      <c r="BQ824" s="1354">
        <f>BL824+BQ829</f>
        <v/>
      </c>
      <c r="BR824" s="1354">
        <f>BM824+BR829</f>
        <v/>
      </c>
      <c r="BS824" s="1354">
        <f>BN824+BS829</f>
        <v/>
      </c>
      <c r="BT824" s="1353">
        <f>BT867/BT$369</f>
        <v/>
      </c>
      <c r="BU824" s="1354">
        <f>BP824+BU829</f>
        <v/>
      </c>
      <c r="BV824" s="1354">
        <f>BQ824+BV829</f>
        <v/>
      </c>
      <c r="BW824" s="1354">
        <f>BR824+BW829</f>
        <v/>
      </c>
      <c r="BX824" s="1354">
        <f>BS824+BX829</f>
        <v/>
      </c>
      <c r="BY824" s="1353">
        <f>BY867/BY$369</f>
        <v/>
      </c>
      <c r="BZ824" s="1353">
        <f>BY824+BZ829</f>
        <v/>
      </c>
      <c r="CA824" s="1353">
        <f>BZ824+CA829</f>
        <v/>
      </c>
      <c r="CB824" s="1353">
        <f>CA824+CB829</f>
        <v/>
      </c>
      <c r="CC824" s="1356" t="n"/>
    </row>
    <row r="825" ht="14.4" customFormat="1" customHeight="1" s="1350">
      <c r="A825" s="1783" t="inlineStr">
        <is>
          <t>Inventories, % of LTM Sales</t>
        </is>
      </c>
      <c r="B825" s="1459" t="n"/>
      <c r="C825" s="1621">
        <f>C871/C$369</f>
        <v/>
      </c>
      <c r="D825" s="1621">
        <f>D871/D$369</f>
        <v/>
      </c>
      <c r="E825" s="1621">
        <f>E871/E$369</f>
        <v/>
      </c>
      <c r="F825" s="1621">
        <f>F871/F$369</f>
        <v/>
      </c>
      <c r="G825" s="1621">
        <f>G871/G$369</f>
        <v/>
      </c>
      <c r="H825" s="1354" t="n"/>
      <c r="I825" s="1354" t="n"/>
      <c r="J825" s="1354" t="n"/>
      <c r="K825" s="1354" t="n"/>
      <c r="L825" s="1621">
        <f>L871/L$369</f>
        <v/>
      </c>
      <c r="M825" s="1356">
        <f>M871/(M$369+K$369+J$369+I$369)</f>
        <v/>
      </c>
      <c r="N825" s="1356">
        <f>N871/(N$369+M$369+K$369+J$369)</f>
        <v/>
      </c>
      <c r="O825" s="1356">
        <f>O871/(O$369+N$369+M$369+K$369)</f>
        <v/>
      </c>
      <c r="P825" s="1356">
        <f>P871/(P$369+O$369+N$369+M$369)</f>
        <v/>
      </c>
      <c r="Q825" s="1621">
        <f>Q871/Q$369</f>
        <v/>
      </c>
      <c r="R825" s="1356">
        <f>R871/(R$369+P$369+O$369+N$369)</f>
        <v/>
      </c>
      <c r="S825" s="1356">
        <f>S871/(S$369+R$369+P$369+O$369)</f>
        <v/>
      </c>
      <c r="T825" s="1356">
        <f>T871/(T$369+S$369+R$369+P$369)</f>
        <v/>
      </c>
      <c r="U825" s="1356">
        <f>U871/(U$369+T$369+S$369+R$369)</f>
        <v/>
      </c>
      <c r="V825" s="1621">
        <f>V871/V$369</f>
        <v/>
      </c>
      <c r="W825" s="1356">
        <f>W871/(W$369+U$369+T$369+S$369)</f>
        <v/>
      </c>
      <c r="X825" s="1356">
        <f>X871/(X$369+W$369+U$369+T$369)</f>
        <v/>
      </c>
      <c r="Y825" s="1356">
        <f>Y871/(Y$369+X$369+W$369+U$369)</f>
        <v/>
      </c>
      <c r="Z825" s="1356">
        <f>Z871/(Z$369+Y$369+X$369+W$369)</f>
        <v/>
      </c>
      <c r="AA825" s="1621">
        <f>AA871/AA$369</f>
        <v/>
      </c>
      <c r="AB825" s="1356">
        <f>AB871/(AB$369+Z$369+Y$369+X$369)</f>
        <v/>
      </c>
      <c r="AC825" s="1356">
        <f>AC871/(AC$369+AB$369+Z$369+Y$369)</f>
        <v/>
      </c>
      <c r="AD825" s="1356">
        <f>AD871/(AD$369+AC$369+AB$369+Z$369)</f>
        <v/>
      </c>
      <c r="AE825" s="1356">
        <f>AE871/(AE$369+AD$369+AC$369+AB$369)</f>
        <v/>
      </c>
      <c r="AF825" s="1621">
        <f>AF871/AF$369</f>
        <v/>
      </c>
      <c r="AG825" s="1356">
        <f>AG871/(AG$369+AE$369+AD$369+AC$369)</f>
        <v/>
      </c>
      <c r="AH825" s="1356">
        <f>AH871/(AH$369+AG$369+AE$369+AD$369)</f>
        <v/>
      </c>
      <c r="AI825" s="1356">
        <f>AI871/(AI$369+AH$369+AG$369+AE$369)</f>
        <v/>
      </c>
      <c r="AJ825" s="1356">
        <f>AJ871/(AJ$369+AI$369+AH$369+AG$369)</f>
        <v/>
      </c>
      <c r="AK825" s="1621">
        <f>AK871/AK$369</f>
        <v/>
      </c>
      <c r="AL825" s="1356">
        <f>AL871/(AL$369+AJ$369+AI$369+AH$369)</f>
        <v/>
      </c>
      <c r="AM825" s="1356">
        <f>AM871/(AM$369+AL$369+AJ$369+AI$369)</f>
        <v/>
      </c>
      <c r="AN825" s="1356">
        <f>AN871/(AN$369+AM$369+AL$369+AJ$369)</f>
        <v/>
      </c>
      <c r="AO825" s="1356">
        <f>AO871/(AO$369+AN$369+AM$369+AL$369)</f>
        <v/>
      </c>
      <c r="AP825" s="1621">
        <f>AP871/AP$369</f>
        <v/>
      </c>
      <c r="AQ825" s="1356">
        <f>AQ871/(AQ$369+AO$369+AN$369+AM$369)</f>
        <v/>
      </c>
      <c r="AR825" s="1356">
        <f>AR871/(AR$369+AQ$369+AO$369+AN$369)</f>
        <v/>
      </c>
      <c r="AS825" s="1356">
        <f>AS871/(AS$369+AR$369+AQ$369+AO$369)</f>
        <v/>
      </c>
      <c r="AT825" s="1356">
        <f>AT871/(AT$369+AS$369+AR$369+AQ$369)</f>
        <v/>
      </c>
      <c r="AU825" s="1621">
        <f>AU871/AU$369</f>
        <v/>
      </c>
      <c r="AV825" s="1356">
        <f>AV871/(AV$369+AT$369+AS$369+AR$369)</f>
        <v/>
      </c>
      <c r="AW825" s="1356">
        <f>AW871/(AW$369+AV$369+AT$369+AS$369)</f>
        <v/>
      </c>
      <c r="AX825" s="1356">
        <f>AX871/(AX$369+AW$369+AV$369+AT$369)</f>
        <v/>
      </c>
      <c r="AY825" s="1356">
        <f>AY871/(AY$369+AX$369+AW$369+AV$369)</f>
        <v/>
      </c>
      <c r="AZ825" s="1621">
        <f>AZ871/AZ$369</f>
        <v/>
      </c>
      <c r="BA825" s="1356">
        <f>BA871/(BA$369+AY$369+AX$369+AW$369)</f>
        <v/>
      </c>
      <c r="BB825" s="1356">
        <f>BB871/(BB$369+BA$369+AY$369+AX$369)</f>
        <v/>
      </c>
      <c r="BC825" s="1356">
        <f>BC871/(BC$369+BB$369+BA$369+AY$369)</f>
        <v/>
      </c>
      <c r="BD825" s="1356">
        <f>BD871/(BD$369+BC$369+BB$369+BA$369)</f>
        <v/>
      </c>
      <c r="BE825" s="1621">
        <f>BE871/BE$369</f>
        <v/>
      </c>
      <c r="BF825" s="1356">
        <f>BF871/(BF$369+BD$369+BC$369+BB$369)</f>
        <v/>
      </c>
      <c r="BG825" s="1356">
        <f>BG871/(BG$369+BF$369+BD$369+BC$369)</f>
        <v/>
      </c>
      <c r="BH825" s="1356">
        <f>BH871/(BH$369+BG$369+BF$369+BD$369)</f>
        <v/>
      </c>
      <c r="BI825" s="1356">
        <f>BI871/(BI$369+BH$369+BG$369+BF$369)</f>
        <v/>
      </c>
      <c r="BJ825" s="1621">
        <f>BJ871/BJ$369</f>
        <v/>
      </c>
      <c r="BK825" s="1356">
        <f>BK871/(BK$369+BI$369+BH$369+BG$369)</f>
        <v/>
      </c>
      <c r="BL825" s="1356">
        <f>BL871/(BL$369+BK$369+BI$369+BH$369)</f>
        <v/>
      </c>
      <c r="BM825" s="1356">
        <f>BM871/(BM$369+BL$369+BK$369+BI$369)</f>
        <v/>
      </c>
      <c r="BN825" s="1356">
        <f>BN871/(BN$369+BM$369+BL$369+BK$369)</f>
        <v/>
      </c>
      <c r="BO825" s="1622">
        <f>BO871/BO$369</f>
        <v/>
      </c>
      <c r="BP825" s="1354">
        <f>BK825+BP830</f>
        <v/>
      </c>
      <c r="BQ825" s="1354">
        <f>BL825+BQ830</f>
        <v/>
      </c>
      <c r="BR825" s="1354">
        <f>BM825+BR830</f>
        <v/>
      </c>
      <c r="BS825" s="1354">
        <f>BN825+BS830</f>
        <v/>
      </c>
      <c r="BT825" s="1353">
        <f>BT871/BT$369</f>
        <v/>
      </c>
      <c r="BU825" s="1354">
        <f>BP825+BU830</f>
        <v/>
      </c>
      <c r="BV825" s="1354">
        <f>BQ825+BV830</f>
        <v/>
      </c>
      <c r="BW825" s="1354">
        <f>BR825+BW830</f>
        <v/>
      </c>
      <c r="BX825" s="1354">
        <f>BS825+BX830</f>
        <v/>
      </c>
      <c r="BY825" s="1353">
        <f>BY871/BY$369</f>
        <v/>
      </c>
      <c r="BZ825" s="1353">
        <f>BY825+BZ830</f>
        <v/>
      </c>
      <c r="CA825" s="1353">
        <f>BZ825+CA830</f>
        <v/>
      </c>
      <c r="CB825" s="1353">
        <f>CA825+CB830</f>
        <v/>
      </c>
      <c r="CC825" s="1356" t="n"/>
    </row>
    <row r="826" ht="14.4" customFormat="1" customHeight="1" s="1350">
      <c r="A826" s="1783" t="inlineStr">
        <is>
          <t>Payables to contractors and equipment suppliers, % of LTM Sales</t>
        </is>
      </c>
      <c r="B826" s="1459" t="n"/>
      <c r="C826" s="1621">
        <f>C915/C$369</f>
        <v/>
      </c>
      <c r="D826" s="1621">
        <f>D915/D$369</f>
        <v/>
      </c>
      <c r="E826" s="1621">
        <f>E915/E$369</f>
        <v/>
      </c>
      <c r="F826" s="1621">
        <f>F915/F$369</f>
        <v/>
      </c>
      <c r="G826" s="1621">
        <f>G915/G$369</f>
        <v/>
      </c>
      <c r="H826" s="1354" t="n"/>
      <c r="I826" s="1354" t="n"/>
      <c r="J826" s="1354" t="n"/>
      <c r="K826" s="1354" t="n"/>
      <c r="L826" s="1621">
        <f>L915/L$369</f>
        <v/>
      </c>
      <c r="M826" s="1356">
        <f>M915/(M$369+K$369+J$369+I$369)</f>
        <v/>
      </c>
      <c r="N826" s="1356">
        <f>N915/(N$369+M$369+K$369+J$369)</f>
        <v/>
      </c>
      <c r="O826" s="1356">
        <f>O915/(O$369+N$369+M$369+K$369)</f>
        <v/>
      </c>
      <c r="P826" s="1356">
        <f>P915/(P$369+O$369+N$369+M$369)</f>
        <v/>
      </c>
      <c r="Q826" s="1621">
        <f>Q915/Q$369</f>
        <v/>
      </c>
      <c r="R826" s="1356">
        <f>R915/(R$369+P$369+O$369+N$369)</f>
        <v/>
      </c>
      <c r="S826" s="1356">
        <f>S915/(S$369+R$369+P$369+O$369)</f>
        <v/>
      </c>
      <c r="T826" s="1356">
        <f>T915/(T$369+S$369+R$369+P$369)</f>
        <v/>
      </c>
      <c r="U826" s="1356">
        <f>U915/(U$369+T$369+S$369+R$369)</f>
        <v/>
      </c>
      <c r="V826" s="1621">
        <f>V915/V$369</f>
        <v/>
      </c>
      <c r="W826" s="1356">
        <f>W915/(W$369+U$369+T$369+S$369)</f>
        <v/>
      </c>
      <c r="X826" s="1356">
        <f>X915/(X$369+W$369+U$369+T$369)</f>
        <v/>
      </c>
      <c r="Y826" s="1356">
        <f>Y915/(Y$369+X$369+W$369+U$369)</f>
        <v/>
      </c>
      <c r="Z826" s="1356">
        <f>Z915/(Z$369+Y$369+X$369+W$369)</f>
        <v/>
      </c>
      <c r="AA826" s="1621">
        <f>AA915/AA$369</f>
        <v/>
      </c>
      <c r="AB826" s="1356">
        <f>AB915/(AB$369+Z$369+Y$369+X$369)</f>
        <v/>
      </c>
      <c r="AC826" s="1356">
        <f>AC915/(AC$369+AB$369+Z$369+Y$369)</f>
        <v/>
      </c>
      <c r="AD826" s="1356">
        <f>AD915/(AD$369+AC$369+AB$369+Z$369)</f>
        <v/>
      </c>
      <c r="AE826" s="1356">
        <f>AE915/(AE$369+AD$369+AC$369+AB$369)</f>
        <v/>
      </c>
      <c r="AF826" s="1621">
        <f>AF915/AF$369</f>
        <v/>
      </c>
      <c r="AG826" s="1356">
        <f>AG915/(AG$369+AE$369+AD$369+AC$369)</f>
        <v/>
      </c>
      <c r="AH826" s="1356">
        <f>AH915/(AH$369+AG$369+AE$369+AD$369)</f>
        <v/>
      </c>
      <c r="AI826" s="1356">
        <f>AI915/(AI$369+AH$369+AG$369+AE$369)</f>
        <v/>
      </c>
      <c r="AJ826" s="1356">
        <f>AJ915/(AJ$369+AI$369+AH$369+AG$369)</f>
        <v/>
      </c>
      <c r="AK826" s="1621">
        <f>AK915/AK$369</f>
        <v/>
      </c>
      <c r="AL826" s="1356">
        <f>AL915/(AL$369+AJ$369+AI$369+AH$369)</f>
        <v/>
      </c>
      <c r="AM826" s="1356">
        <f>AM915/(AM$369+AL$369+AJ$369+AI$369)</f>
        <v/>
      </c>
      <c r="AN826" s="1356">
        <f>AN915/(AN$369+AM$369+AL$369+AJ$369)</f>
        <v/>
      </c>
      <c r="AO826" s="1356">
        <f>AO915/(AO$369+AN$369+AM$369+AL$369)</f>
        <v/>
      </c>
      <c r="AP826" s="1621">
        <f>AP915/AP$369</f>
        <v/>
      </c>
      <c r="AQ826" s="1356">
        <f>AQ915/(AQ$369+AO$369+AN$369+AM$369)</f>
        <v/>
      </c>
      <c r="AR826" s="1356">
        <f>AR915/(AR$369+AQ$369+AO$369+AN$369)</f>
        <v/>
      </c>
      <c r="AS826" s="1356">
        <f>AS915/(AS$369+AR$369+AQ$369+AO$369)</f>
        <v/>
      </c>
      <c r="AT826" s="1356">
        <f>AT915/(AT$369+AS$369+AR$369+AQ$369)</f>
        <v/>
      </c>
      <c r="AU826" s="1621">
        <f>AU915/AU$369</f>
        <v/>
      </c>
      <c r="AV826" s="1356">
        <f>AV915/(AV$369+AT$369+AS$369+AR$369)</f>
        <v/>
      </c>
      <c r="AW826" s="1356">
        <f>AW915/(AW$369+AV$369+AT$369+AS$369)</f>
        <v/>
      </c>
      <c r="AX826" s="1356">
        <f>AX915/(AX$369+AW$369+AV$369+AT$369)</f>
        <v/>
      </c>
      <c r="AY826" s="1356">
        <f>AY915/(AY$369+AX$369+AW$369+AV$369)</f>
        <v/>
      </c>
      <c r="AZ826" s="1621">
        <f>AZ915/AZ$369</f>
        <v/>
      </c>
      <c r="BA826" s="1356">
        <f>BA915/(BA$369+AY$369+AX$369+AW$369)</f>
        <v/>
      </c>
      <c r="BB826" s="1356">
        <f>BB915/(BB$369+BA$369+AY$369+AX$369)</f>
        <v/>
      </c>
      <c r="BC826" s="1356">
        <f>BC915/(BC$369+BB$369+BA$369+AY$369)</f>
        <v/>
      </c>
      <c r="BD826" s="1356">
        <f>BD915/(BD$369+BC$369+BB$369+BA$369)</f>
        <v/>
      </c>
      <c r="BE826" s="1621">
        <f>BE915/BE$369</f>
        <v/>
      </c>
      <c r="BF826" s="1356">
        <f>BF915/(BF$369+BD$369+BC$369+BB$369)</f>
        <v/>
      </c>
      <c r="BG826" s="1356">
        <f>BG915/(BG$369+BF$369+BD$369+BC$369)</f>
        <v/>
      </c>
      <c r="BH826" s="1356">
        <f>BH915/(BH$369+BG$369+BF$369+BD$369)</f>
        <v/>
      </c>
      <c r="BI826" s="1356">
        <f>BI915/(BI$369+BH$369+BG$369+BF$369)</f>
        <v/>
      </c>
      <c r="BJ826" s="1621">
        <f>BJ915/BJ$369</f>
        <v/>
      </c>
      <c r="BK826" s="1356">
        <f>BK915/(BK$369+BI$369+BH$369+BG$369)</f>
        <v/>
      </c>
      <c r="BL826" s="1356">
        <f>BL915/(BL$369+BK$369+BI$369+BH$369)</f>
        <v/>
      </c>
      <c r="BM826" s="1356">
        <f>BM915/(BM$369+BL$369+BK$369+BI$369)</f>
        <v/>
      </c>
      <c r="BN826" s="1356">
        <f>BN915/(BN$369+BM$369+BL$369+BK$369)</f>
        <v/>
      </c>
      <c r="BO826" s="1622">
        <f>BO915/BO$369</f>
        <v/>
      </c>
      <c r="BP826" s="1354">
        <f>BK826+BP831</f>
        <v/>
      </c>
      <c r="BQ826" s="1354">
        <f>BL826+BQ831</f>
        <v/>
      </c>
      <c r="BR826" s="1354">
        <f>BM826+BR831</f>
        <v/>
      </c>
      <c r="BS826" s="1354">
        <f>BN826+BS831</f>
        <v/>
      </c>
      <c r="BT826" s="1353">
        <f>BT915/BT$369</f>
        <v/>
      </c>
      <c r="BU826" s="1354">
        <f>BP826+BU831</f>
        <v/>
      </c>
      <c r="BV826" s="1354">
        <f>BQ826+BV831</f>
        <v/>
      </c>
      <c r="BW826" s="1354">
        <f>BR826+BW831</f>
        <v/>
      </c>
      <c r="BX826" s="1354">
        <f>BS826+BX831</f>
        <v/>
      </c>
      <c r="BY826" s="1353">
        <f>BY915/BY$369</f>
        <v/>
      </c>
      <c r="BZ826" s="1353">
        <f>BY826+BZ831</f>
        <v/>
      </c>
      <c r="CA826" s="1353">
        <f>BZ826+CA831</f>
        <v/>
      </c>
      <c r="CB826" s="1353">
        <f>CA826+CB831</f>
        <v/>
      </c>
      <c r="CC826" s="1356" t="n"/>
    </row>
    <row r="827" ht="14.4" customFormat="1" customHeight="1" s="1350">
      <c r="A827" s="1783" t="inlineStr">
        <is>
          <t>Financial assets at fair value through other comprehensive income, % of LTM Sales</t>
        </is>
      </c>
      <c r="B827" s="1459" t="n"/>
      <c r="C827" s="1621">
        <f>C860/C$369</f>
        <v/>
      </c>
      <c r="D827" s="1621">
        <f>D860/D$369</f>
        <v/>
      </c>
      <c r="E827" s="1621">
        <f>E860/E$369</f>
        <v/>
      </c>
      <c r="F827" s="1621">
        <f>F860/F$369</f>
        <v/>
      </c>
      <c r="G827" s="1621">
        <f>G860/G$369</f>
        <v/>
      </c>
      <c r="H827" s="1354" t="n"/>
      <c r="I827" s="1354" t="n"/>
      <c r="J827" s="1354" t="n"/>
      <c r="K827" s="1354" t="n"/>
      <c r="L827" s="1621">
        <f>L860/L$369</f>
        <v/>
      </c>
      <c r="M827" s="1356">
        <f>M860/(M$369+K$369+J$369+I$369)</f>
        <v/>
      </c>
      <c r="N827" s="1356">
        <f>N860/(N$369+M$369+K$369+J$369)</f>
        <v/>
      </c>
      <c r="O827" s="1356">
        <f>O860/(O$369+N$369+M$369+K$369)</f>
        <v/>
      </c>
      <c r="P827" s="1356">
        <f>P860/(P$369+O$369+N$369+M$369)</f>
        <v/>
      </c>
      <c r="Q827" s="1621">
        <f>Q860/Q$369</f>
        <v/>
      </c>
      <c r="R827" s="1356">
        <f>R860/(R$369+P$369+O$369+N$369)</f>
        <v/>
      </c>
      <c r="S827" s="1356">
        <f>S860/(S$369+R$369+P$369+O$369)</f>
        <v/>
      </c>
      <c r="T827" s="1356">
        <f>T860/(T$369+S$369+R$369+P$369)</f>
        <v/>
      </c>
      <c r="U827" s="1356">
        <f>U860/(U$369+T$369+S$369+R$369)</f>
        <v/>
      </c>
      <c r="V827" s="1621">
        <f>V860/V$369</f>
        <v/>
      </c>
      <c r="W827" s="1356">
        <f>W860/(W$369+U$369+T$369+S$369)</f>
        <v/>
      </c>
      <c r="X827" s="1356">
        <f>X860/(X$369+W$369+U$369+T$369)</f>
        <v/>
      </c>
      <c r="Y827" s="1356">
        <f>Y860/(Y$369+X$369+W$369+U$369)</f>
        <v/>
      </c>
      <c r="Z827" s="1356">
        <f>Z860/(Z$369+Y$369+X$369+W$369)</f>
        <v/>
      </c>
      <c r="AA827" s="1621">
        <f>AA860/AA$369</f>
        <v/>
      </c>
      <c r="AB827" s="1356">
        <f>AB860/(AB$369+Z$369+Y$369+X$369)</f>
        <v/>
      </c>
      <c r="AC827" s="1356">
        <f>AC860/(AC$369+AB$369+Z$369+Y$369)</f>
        <v/>
      </c>
      <c r="AD827" s="1356">
        <f>AD860/(AD$369+AC$369+AB$369+Z$369)</f>
        <v/>
      </c>
      <c r="AE827" s="1356">
        <f>AE860/(AE$369+AD$369+AC$369+AB$369)</f>
        <v/>
      </c>
      <c r="AF827" s="1621">
        <f>AF860/AF$369</f>
        <v/>
      </c>
      <c r="AG827" s="1356">
        <f>AG860/(AG$369+AE$369+AD$369+AC$369)</f>
        <v/>
      </c>
      <c r="AH827" s="1356">
        <f>AH860/(AH$369+AG$369+AE$369+AD$369)</f>
        <v/>
      </c>
      <c r="AI827" s="1356">
        <f>AI860/(AI$369+AH$369+AG$369+AE$369)</f>
        <v/>
      </c>
      <c r="AJ827" s="1356">
        <f>AJ860/(AJ$369+AI$369+AH$369+AG$369)</f>
        <v/>
      </c>
      <c r="AK827" s="1621">
        <f>AK860/AK$369</f>
        <v/>
      </c>
      <c r="AL827" s="1356">
        <f>AL860/(AL$369+AJ$369+AI$369+AH$369)</f>
        <v/>
      </c>
      <c r="AM827" s="1356">
        <f>AM860/(AM$369+AL$369+AJ$369+AI$369)</f>
        <v/>
      </c>
      <c r="AN827" s="1356">
        <f>AN860/(AN$369+AM$369+AL$369+AJ$369)</f>
        <v/>
      </c>
      <c r="AO827" s="1356">
        <f>AO860/(AO$369+AN$369+AM$369+AL$369)</f>
        <v/>
      </c>
      <c r="AP827" s="1621">
        <f>AP860/AP$369</f>
        <v/>
      </c>
      <c r="AQ827" s="1356">
        <f>AQ860/(AQ$369+AO$369+AN$369+AM$369)</f>
        <v/>
      </c>
      <c r="AR827" s="1356">
        <f>AR860/(AR$369+AQ$369+AO$369+AN$369)</f>
        <v/>
      </c>
      <c r="AS827" s="1356">
        <f>AS860/(AS$369+AR$369+AQ$369+AO$369)</f>
        <v/>
      </c>
      <c r="AT827" s="1356">
        <f>AT860/(AT$369+AS$369+AR$369+AQ$369)</f>
        <v/>
      </c>
      <c r="AU827" s="1621">
        <f>AU860/AU$369</f>
        <v/>
      </c>
      <c r="AV827" s="1356">
        <f>AV860/(AV$369+AT$369+AS$369+AR$369)</f>
        <v/>
      </c>
      <c r="AW827" s="1356">
        <f>AW860/(AW$369+AV$369+AT$369+AS$369)</f>
        <v/>
      </c>
      <c r="AX827" s="1356">
        <f>AX860/(AX$369+AW$369+AV$369+AT$369)</f>
        <v/>
      </c>
      <c r="AY827" s="1356">
        <f>AY860/(AY$369+AX$369+AW$369+AV$369)</f>
        <v/>
      </c>
      <c r="AZ827" s="1621">
        <f>AZ860/AZ$369</f>
        <v/>
      </c>
      <c r="BA827" s="1356">
        <f>BA860/(BA$369+AY$369+AX$369+AW$369)</f>
        <v/>
      </c>
      <c r="BB827" s="1356">
        <f>BB860/(BB$369+BA$369+AY$369+AX$369)</f>
        <v/>
      </c>
      <c r="BC827" s="1356">
        <f>BC860/(BC$369+BB$369+BA$369+AY$369)</f>
        <v/>
      </c>
      <c r="BD827" s="1356">
        <f>BD860/(BD$369+BC$369+BB$369+BA$369)</f>
        <v/>
      </c>
      <c r="BE827" s="1621">
        <f>BE860/BE$369</f>
        <v/>
      </c>
      <c r="BF827" s="1356">
        <f>BF860/(BF$369+BD$369+BC$369+BB$369)</f>
        <v/>
      </c>
      <c r="BG827" s="1356">
        <f>BG860/(BG$369+BF$369+BD$369+BC$369)</f>
        <v/>
      </c>
      <c r="BH827" s="1356">
        <f>BH860/(BH$369+BG$369+BF$369+BD$369)</f>
        <v/>
      </c>
      <c r="BI827" s="1356">
        <f>BI860/(BI$369+BH$369+BG$369+BF$369)</f>
        <v/>
      </c>
      <c r="BJ827" s="1621">
        <f>BJ860/BJ$369</f>
        <v/>
      </c>
      <c r="BK827" s="1356">
        <f>BK860/(BK$369+BI$369+BH$369+BG$369)</f>
        <v/>
      </c>
      <c r="BL827" s="1356">
        <f>BL860/(BL$369+BK$369+BI$369+BH$369)</f>
        <v/>
      </c>
      <c r="BM827" s="1356">
        <f>BM860/(BM$369+BL$369+BK$369+BI$369)</f>
        <v/>
      </c>
      <c r="BN827" s="1356">
        <f>BN860/(BN$369+BM$369+BL$369+BK$369)</f>
        <v/>
      </c>
      <c r="BO827" s="1622">
        <f>BO860/BO$369</f>
        <v/>
      </c>
      <c r="BP827" s="1354">
        <f>BK827+BP832</f>
        <v/>
      </c>
      <c r="BQ827" s="1354">
        <f>BL827+BQ832</f>
        <v/>
      </c>
      <c r="BR827" s="1354">
        <f>BM827+BR832</f>
        <v/>
      </c>
      <c r="BS827" s="1354">
        <f>BN827+BS832</f>
        <v/>
      </c>
      <c r="BT827" s="1353">
        <f>BT860/BT$369</f>
        <v/>
      </c>
      <c r="BU827" s="1354">
        <f>BP827+BU832</f>
        <v/>
      </c>
      <c r="BV827" s="1354">
        <f>BQ827+BV832</f>
        <v/>
      </c>
      <c r="BW827" s="1354">
        <f>BR827+BW832</f>
        <v/>
      </c>
      <c r="BX827" s="1354">
        <f>BS827+BX832</f>
        <v/>
      </c>
      <c r="BY827" s="1353">
        <f>BY860/BY$369</f>
        <v/>
      </c>
      <c r="BZ827" s="1353">
        <f>BY827+BZ832</f>
        <v/>
      </c>
      <c r="CA827" s="1353">
        <f>BZ827+CA832</f>
        <v/>
      </c>
      <c r="CB827" s="1353">
        <f>CA827+CB832</f>
        <v/>
      </c>
      <c r="CC827" s="1356" t="n"/>
    </row>
    <row r="828" ht="14.4" customFormat="1" customHeight="1" s="1350">
      <c r="A828" s="1559" t="n"/>
      <c r="B828" s="1459" t="n"/>
      <c r="C828" s="1353" t="n"/>
      <c r="D828" s="1353" t="n"/>
      <c r="E828" s="1353" t="n"/>
      <c r="F828" s="1353" t="n"/>
      <c r="G828" s="1353" t="n"/>
      <c r="H828" s="1354" t="n"/>
      <c r="I828" s="1354" t="n"/>
      <c r="J828" s="1354" t="n"/>
      <c r="K828" s="1354" t="n"/>
      <c r="L828" s="1353" t="n"/>
      <c r="M828" s="1354" t="n"/>
      <c r="N828" s="1354" t="n"/>
      <c r="O828" s="1354" t="n"/>
      <c r="P828" s="1354" t="n"/>
      <c r="Q828" s="1353" t="n"/>
      <c r="R828" s="1354" t="n"/>
      <c r="S828" s="1354" t="n"/>
      <c r="T828" s="1354" t="n"/>
      <c r="U828" s="1354" t="n"/>
      <c r="V828" s="1353" t="n"/>
      <c r="W828" s="1354" t="n"/>
      <c r="X828" s="1354" t="n"/>
      <c r="Y828" s="1354" t="n"/>
      <c r="Z828" s="1354" t="n"/>
      <c r="AA828" s="1353" t="n"/>
      <c r="AB828" s="1354" t="n"/>
      <c r="AC828" s="1354" t="n"/>
      <c r="AD828" s="1354" t="n"/>
      <c r="AE828" s="1354" t="n"/>
      <c r="AF828" s="1353" t="n"/>
      <c r="AG828" s="1354" t="n"/>
      <c r="AH828" s="1354" t="n"/>
      <c r="AI828" s="1354" t="n"/>
      <c r="AJ828" s="1354" t="n"/>
      <c r="AK828" s="1353" t="n"/>
      <c r="AL828" s="1354" t="n"/>
      <c r="AM828" s="1354" t="n"/>
      <c r="AN828" s="1354" t="n"/>
      <c r="AO828" s="1354" t="n"/>
      <c r="AP828" s="1353" t="n"/>
      <c r="AQ828" s="1354" t="n"/>
      <c r="AR828" s="1354" t="n"/>
      <c r="AS828" s="1354" t="n"/>
      <c r="AT828" s="1354" t="n"/>
      <c r="AU828" s="1353" t="n"/>
      <c r="AV828" s="1354" t="n"/>
      <c r="AW828" s="1354" t="n"/>
      <c r="AX828" s="1354" t="n"/>
      <c r="AY828" s="1354" t="n"/>
      <c r="AZ828" s="1353" t="n"/>
      <c r="BA828" s="1354" t="n"/>
      <c r="BB828" s="1354" t="n"/>
      <c r="BC828" s="1354" t="n"/>
      <c r="BD828" s="1354" t="n"/>
      <c r="BE828" s="1353" t="n"/>
      <c r="BF828" s="1354" t="n"/>
      <c r="BG828" s="1354" t="n"/>
      <c r="BH828" s="1354" t="n"/>
      <c r="BI828" s="1354" t="n"/>
      <c r="BJ828" s="1353" t="n"/>
      <c r="BK828" s="1354" t="n"/>
      <c r="BL828" s="1354" t="n"/>
      <c r="BM828" s="1354" t="n"/>
      <c r="BN828" s="1354" t="n"/>
      <c r="BO828" s="1355" t="n"/>
      <c r="BP828" s="1354" t="n"/>
      <c r="BQ828" s="1354" t="n"/>
      <c r="BR828" s="1354" t="n"/>
      <c r="BS828" s="1354" t="n"/>
      <c r="BT828" s="1353" t="n"/>
      <c r="BU828" s="1354" t="n"/>
      <c r="BV828" s="1354" t="n"/>
      <c r="BW828" s="1354" t="n"/>
      <c r="BX828" s="1354" t="n"/>
      <c r="BY828" s="1353" t="n"/>
      <c r="BZ828" s="1353" t="n"/>
      <c r="CA828" s="1353" t="n"/>
      <c r="CB828" s="1353" t="n"/>
      <c r="CC828" s="1356" t="n"/>
    </row>
    <row r="829" ht="14.4" customFormat="1" customHeight="1" s="1350">
      <c r="A829" s="1784" t="inlineStr">
        <is>
          <t>Notes and accounts receivable, net, Y/Y Change, %</t>
        </is>
      </c>
      <c r="B829" s="1785" t="n"/>
      <c r="C829" s="1786" t="n"/>
      <c r="D829" s="1786">
        <f>D824-C824</f>
        <v/>
      </c>
      <c r="E829" s="1786">
        <f>E824-D824</f>
        <v/>
      </c>
      <c r="F829" s="1786">
        <f>F824-E824</f>
        <v/>
      </c>
      <c r="G829" s="1786">
        <f>G824-F824</f>
        <v/>
      </c>
      <c r="H829" s="1787" t="n"/>
      <c r="I829" s="1787" t="n"/>
      <c r="J829" s="1787" t="n"/>
      <c r="K829" s="1787" t="n"/>
      <c r="L829" s="1786">
        <f>L824-G824</f>
        <v/>
      </c>
      <c r="M829" s="1787" t="n"/>
      <c r="N829" s="1787" t="n"/>
      <c r="O829" s="1787" t="n"/>
      <c r="P829" s="1787" t="n"/>
      <c r="Q829" s="1786">
        <f>Q824-L824</f>
        <v/>
      </c>
      <c r="R829" s="1787">
        <f>R824-M824</f>
        <v/>
      </c>
      <c r="S829" s="1787">
        <f>S824-N824</f>
        <v/>
      </c>
      <c r="T829" s="1787">
        <f>T824-O824</f>
        <v/>
      </c>
      <c r="U829" s="1787">
        <f>U824-P824</f>
        <v/>
      </c>
      <c r="V829" s="1786">
        <f>V824-Q824</f>
        <v/>
      </c>
      <c r="W829" s="1787">
        <f>W824-R824</f>
        <v/>
      </c>
      <c r="X829" s="1787">
        <f>X824-S824</f>
        <v/>
      </c>
      <c r="Y829" s="1787">
        <f>Y824-T824</f>
        <v/>
      </c>
      <c r="Z829" s="1787">
        <f>Z824-U824</f>
        <v/>
      </c>
      <c r="AA829" s="1786">
        <f>AA824-V824</f>
        <v/>
      </c>
      <c r="AB829" s="1787">
        <f>AB824-W824</f>
        <v/>
      </c>
      <c r="AC829" s="1787">
        <f>AC824-X824</f>
        <v/>
      </c>
      <c r="AD829" s="1787">
        <f>AD824-Y824</f>
        <v/>
      </c>
      <c r="AE829" s="1787">
        <f>AE824-Z824</f>
        <v/>
      </c>
      <c r="AF829" s="1786">
        <f>AF824-AA824</f>
        <v/>
      </c>
      <c r="AG829" s="1787">
        <f>AG824-AB824</f>
        <v/>
      </c>
      <c r="AH829" s="1787">
        <f>AH824-AC824</f>
        <v/>
      </c>
      <c r="AI829" s="1787">
        <f>AI824-AD824</f>
        <v/>
      </c>
      <c r="AJ829" s="1787">
        <f>AJ824-AE824</f>
        <v/>
      </c>
      <c r="AK829" s="1786">
        <f>AK824-AF824</f>
        <v/>
      </c>
      <c r="AL829" s="1787">
        <f>AL824-AG824</f>
        <v/>
      </c>
      <c r="AM829" s="1787">
        <f>AM824-AH824</f>
        <v/>
      </c>
      <c r="AN829" s="1787">
        <f>AN824-AI824</f>
        <v/>
      </c>
      <c r="AO829" s="1787">
        <f>AO824-AJ824</f>
        <v/>
      </c>
      <c r="AP829" s="1786">
        <f>AP824-AK824</f>
        <v/>
      </c>
      <c r="AQ829" s="1787">
        <f>AQ824-AL824</f>
        <v/>
      </c>
      <c r="AR829" s="1787">
        <f>AR824-AM824</f>
        <v/>
      </c>
      <c r="AS829" s="1787">
        <f>AS824-AN824</f>
        <v/>
      </c>
      <c r="AT829" s="1787">
        <f>AT824-AO824</f>
        <v/>
      </c>
      <c r="AU829" s="1786">
        <f>AU824-AP824</f>
        <v/>
      </c>
      <c r="AV829" s="1787">
        <f>AV824-AQ824</f>
        <v/>
      </c>
      <c r="AW829" s="1787">
        <f>AW824-AR824</f>
        <v/>
      </c>
      <c r="AX829" s="1787">
        <f>AX824-AS824</f>
        <v/>
      </c>
      <c r="AY829" s="1787">
        <f>AY824-AT824</f>
        <v/>
      </c>
      <c r="AZ829" s="1786">
        <f>AZ824-AU824</f>
        <v/>
      </c>
      <c r="BA829" s="1787">
        <f>BA824-AV824</f>
        <v/>
      </c>
      <c r="BB829" s="1787">
        <f>BB824-AW824</f>
        <v/>
      </c>
      <c r="BC829" s="1787">
        <f>BC824-AX824</f>
        <v/>
      </c>
      <c r="BD829" s="1787">
        <f>BD824-AY824</f>
        <v/>
      </c>
      <c r="BE829" s="1786">
        <f>BE824-AZ824</f>
        <v/>
      </c>
      <c r="BF829" s="1787">
        <f>BF824-BA824</f>
        <v/>
      </c>
      <c r="BG829" s="1787">
        <f>BG824-BB824</f>
        <v/>
      </c>
      <c r="BH829" s="1787">
        <f>BH824-BC824</f>
        <v/>
      </c>
      <c r="BI829" s="1787">
        <f>BI824-BD824</f>
        <v/>
      </c>
      <c r="BJ829" s="1786">
        <f>BJ824-BE824</f>
        <v/>
      </c>
      <c r="BK829" s="1787">
        <f>BK824-BF824</f>
        <v/>
      </c>
      <c r="BL829" s="1787">
        <f>BL824-BG824</f>
        <v/>
      </c>
      <c r="BM829" s="1787">
        <f>BM824-BH824</f>
        <v/>
      </c>
      <c r="BN829" s="1787">
        <f>BN824-BI824</f>
        <v/>
      </c>
      <c r="BO829" s="1788">
        <f>BO824-BJ824</f>
        <v/>
      </c>
      <c r="BP829" s="1789" t="n">
        <v>0</v>
      </c>
      <c r="BQ829" s="1789" t="n">
        <v>0</v>
      </c>
      <c r="BR829" s="1789" t="n">
        <v>0</v>
      </c>
      <c r="BS829" s="1789" t="n">
        <v>0</v>
      </c>
      <c r="BT829" s="1786">
        <f>BT824-BO824</f>
        <v/>
      </c>
      <c r="BU829" s="1789" t="n">
        <v>0</v>
      </c>
      <c r="BV829" s="1789" t="n">
        <v>0</v>
      </c>
      <c r="BW829" s="1789" t="n">
        <v>0</v>
      </c>
      <c r="BX829" s="1789" t="n">
        <v>0</v>
      </c>
      <c r="BY829" s="1786">
        <f>BY824-BT824</f>
        <v/>
      </c>
      <c r="BZ829" s="1790" t="n">
        <v>0</v>
      </c>
      <c r="CA829" s="1790" t="n">
        <v>0</v>
      </c>
      <c r="CB829" s="1790" t="n">
        <v>0</v>
      </c>
      <c r="CC829" s="1356" t="n"/>
    </row>
    <row r="830" ht="14.4" customFormat="1" customHeight="1" s="1350">
      <c r="A830" s="1791" t="inlineStr">
        <is>
          <t>Inventories, Y/Y Change, %</t>
        </is>
      </c>
      <c r="B830" s="1785" t="n"/>
      <c r="C830" s="1786" t="n"/>
      <c r="D830" s="1792">
        <f>D825-C825</f>
        <v/>
      </c>
      <c r="E830" s="1792">
        <f>E825-D825</f>
        <v/>
      </c>
      <c r="F830" s="1792">
        <f>F825-E825</f>
        <v/>
      </c>
      <c r="G830" s="1792">
        <f>G825-F825</f>
        <v/>
      </c>
      <c r="H830" s="1787" t="n"/>
      <c r="I830" s="1787" t="n"/>
      <c r="J830" s="1787" t="n"/>
      <c r="K830" s="1787" t="n"/>
      <c r="L830" s="1792">
        <f>L825-G825</f>
        <v/>
      </c>
      <c r="M830" s="1787" t="n"/>
      <c r="N830" s="1787" t="n"/>
      <c r="O830" s="1787" t="n"/>
      <c r="P830" s="1787" t="n"/>
      <c r="Q830" s="1792">
        <f>Q825-L825</f>
        <v/>
      </c>
      <c r="R830" s="1793">
        <f>R825-M825</f>
        <v/>
      </c>
      <c r="S830" s="1793">
        <f>S825-N825</f>
        <v/>
      </c>
      <c r="T830" s="1793">
        <f>T825-O825</f>
        <v/>
      </c>
      <c r="U830" s="1793">
        <f>U825-P825</f>
        <v/>
      </c>
      <c r="V830" s="1792">
        <f>V825-Q825</f>
        <v/>
      </c>
      <c r="W830" s="1793">
        <f>W825-R825</f>
        <v/>
      </c>
      <c r="X830" s="1793">
        <f>X825-S825</f>
        <v/>
      </c>
      <c r="Y830" s="1793">
        <f>Y825-T825</f>
        <v/>
      </c>
      <c r="Z830" s="1793">
        <f>Z825-U825</f>
        <v/>
      </c>
      <c r="AA830" s="1792">
        <f>AA825-V825</f>
        <v/>
      </c>
      <c r="AB830" s="1793">
        <f>AB825-W825</f>
        <v/>
      </c>
      <c r="AC830" s="1793">
        <f>AC825-X825</f>
        <v/>
      </c>
      <c r="AD830" s="1793">
        <f>AD825-Y825</f>
        <v/>
      </c>
      <c r="AE830" s="1793">
        <f>AE825-Z825</f>
        <v/>
      </c>
      <c r="AF830" s="1792">
        <f>AF825-AA825</f>
        <v/>
      </c>
      <c r="AG830" s="1793">
        <f>AG825-AB825</f>
        <v/>
      </c>
      <c r="AH830" s="1793">
        <f>AH825-AC825</f>
        <v/>
      </c>
      <c r="AI830" s="1793">
        <f>AI825-AD825</f>
        <v/>
      </c>
      <c r="AJ830" s="1793">
        <f>AJ825-AE825</f>
        <v/>
      </c>
      <c r="AK830" s="1792">
        <f>AK825-AF825</f>
        <v/>
      </c>
      <c r="AL830" s="1793">
        <f>AL825-AG825</f>
        <v/>
      </c>
      <c r="AM830" s="1793">
        <f>AM825-AH825</f>
        <v/>
      </c>
      <c r="AN830" s="1793">
        <f>AN825-AI825</f>
        <v/>
      </c>
      <c r="AO830" s="1793">
        <f>AO825-AJ825</f>
        <v/>
      </c>
      <c r="AP830" s="1792">
        <f>AP825-AK825</f>
        <v/>
      </c>
      <c r="AQ830" s="1793">
        <f>AQ825-AL825</f>
        <v/>
      </c>
      <c r="AR830" s="1793">
        <f>AR825-AM825</f>
        <v/>
      </c>
      <c r="AS830" s="1793">
        <f>AS825-AN825</f>
        <v/>
      </c>
      <c r="AT830" s="1793">
        <f>AT825-AO825</f>
        <v/>
      </c>
      <c r="AU830" s="1792">
        <f>AU825-AP825</f>
        <v/>
      </c>
      <c r="AV830" s="1793">
        <f>AV825-AQ825</f>
        <v/>
      </c>
      <c r="AW830" s="1793">
        <f>AW825-AR825</f>
        <v/>
      </c>
      <c r="AX830" s="1793">
        <f>AX825-AS825</f>
        <v/>
      </c>
      <c r="AY830" s="1793">
        <f>AY825-AT825</f>
        <v/>
      </c>
      <c r="AZ830" s="1792">
        <f>AZ825-AU825</f>
        <v/>
      </c>
      <c r="BA830" s="1793">
        <f>BA825-AV825</f>
        <v/>
      </c>
      <c r="BB830" s="1793">
        <f>BB825-AW825</f>
        <v/>
      </c>
      <c r="BC830" s="1793">
        <f>BC825-AX825</f>
        <v/>
      </c>
      <c r="BD830" s="1793">
        <f>BD825-AY825</f>
        <v/>
      </c>
      <c r="BE830" s="1792">
        <f>BE825-AZ825</f>
        <v/>
      </c>
      <c r="BF830" s="1793">
        <f>BF825-BA825</f>
        <v/>
      </c>
      <c r="BG830" s="1793">
        <f>BG825-BB825</f>
        <v/>
      </c>
      <c r="BH830" s="1793">
        <f>BH825-BC825</f>
        <v/>
      </c>
      <c r="BI830" s="1793">
        <f>BI825-BD825</f>
        <v/>
      </c>
      <c r="BJ830" s="1792">
        <f>BJ825-BE825</f>
        <v/>
      </c>
      <c r="BK830" s="1793">
        <f>BK825-BF825</f>
        <v/>
      </c>
      <c r="BL830" s="1793">
        <f>BL825-BG825</f>
        <v/>
      </c>
      <c r="BM830" s="1793">
        <f>BM825-BH825</f>
        <v/>
      </c>
      <c r="BN830" s="1793">
        <f>BN825-BI825</f>
        <v/>
      </c>
      <c r="BO830" s="1794">
        <f>BO825-BJ825</f>
        <v/>
      </c>
      <c r="BP830" s="1789" t="n">
        <v>0</v>
      </c>
      <c r="BQ830" s="1789" t="n">
        <v>0</v>
      </c>
      <c r="BR830" s="1789" t="n">
        <v>0</v>
      </c>
      <c r="BS830" s="1789" t="n">
        <v>0</v>
      </c>
      <c r="BT830" s="1786">
        <f>BT825-BO825</f>
        <v/>
      </c>
      <c r="BU830" s="1789" t="n">
        <v>0</v>
      </c>
      <c r="BV830" s="1789" t="n">
        <v>0</v>
      </c>
      <c r="BW830" s="1789" t="n">
        <v>0</v>
      </c>
      <c r="BX830" s="1789" t="n">
        <v>0</v>
      </c>
      <c r="BY830" s="1786">
        <f>BY825-BT825</f>
        <v/>
      </c>
      <c r="BZ830" s="1790" t="n">
        <v>0</v>
      </c>
      <c r="CA830" s="1790" t="n">
        <v>0</v>
      </c>
      <c r="CB830" s="1790" t="n">
        <v>0</v>
      </c>
      <c r="CC830" s="1356" t="n"/>
    </row>
    <row r="831" ht="14.4" customFormat="1" customHeight="1" s="1350">
      <c r="A831" s="1791" t="inlineStr">
        <is>
          <t>Payables to contractors and equipment suppliers, Y/Y Change, %</t>
        </is>
      </c>
      <c r="B831" s="1785" t="n"/>
      <c r="C831" s="1786" t="n"/>
      <c r="D831" s="1792">
        <f>D826-C826</f>
        <v/>
      </c>
      <c r="E831" s="1792">
        <f>E826-D826</f>
        <v/>
      </c>
      <c r="F831" s="1792">
        <f>F826-E826</f>
        <v/>
      </c>
      <c r="G831" s="1792">
        <f>G826-F826</f>
        <v/>
      </c>
      <c r="H831" s="1787" t="n"/>
      <c r="I831" s="1787" t="n"/>
      <c r="J831" s="1787" t="n"/>
      <c r="K831" s="1787" t="n"/>
      <c r="L831" s="1792">
        <f>L826-G826</f>
        <v/>
      </c>
      <c r="M831" s="1787" t="n"/>
      <c r="N831" s="1787" t="n"/>
      <c r="O831" s="1787" t="n"/>
      <c r="P831" s="1787" t="n"/>
      <c r="Q831" s="1792">
        <f>Q826-L826</f>
        <v/>
      </c>
      <c r="R831" s="1793">
        <f>R826-M826</f>
        <v/>
      </c>
      <c r="S831" s="1793">
        <f>S826-N826</f>
        <v/>
      </c>
      <c r="T831" s="1793">
        <f>T826-O826</f>
        <v/>
      </c>
      <c r="U831" s="1793">
        <f>U826-P826</f>
        <v/>
      </c>
      <c r="V831" s="1792">
        <f>V826-Q826</f>
        <v/>
      </c>
      <c r="W831" s="1793">
        <f>W826-R826</f>
        <v/>
      </c>
      <c r="X831" s="1793">
        <f>X826-S826</f>
        <v/>
      </c>
      <c r="Y831" s="1793">
        <f>Y826-T826</f>
        <v/>
      </c>
      <c r="Z831" s="1793">
        <f>Z826-U826</f>
        <v/>
      </c>
      <c r="AA831" s="1792">
        <f>AA826-V826</f>
        <v/>
      </c>
      <c r="AB831" s="1793">
        <f>AB826-W826</f>
        <v/>
      </c>
      <c r="AC831" s="1793">
        <f>AC826-X826</f>
        <v/>
      </c>
      <c r="AD831" s="1793">
        <f>AD826-Y826</f>
        <v/>
      </c>
      <c r="AE831" s="1793">
        <f>AE826-Z826</f>
        <v/>
      </c>
      <c r="AF831" s="1792">
        <f>AF826-AA826</f>
        <v/>
      </c>
      <c r="AG831" s="1793">
        <f>AG826-AB826</f>
        <v/>
      </c>
      <c r="AH831" s="1793">
        <f>AH826-AC826</f>
        <v/>
      </c>
      <c r="AI831" s="1793">
        <f>AI826-AD826</f>
        <v/>
      </c>
      <c r="AJ831" s="1793">
        <f>AJ826-AE826</f>
        <v/>
      </c>
      <c r="AK831" s="1792">
        <f>AK826-AF826</f>
        <v/>
      </c>
      <c r="AL831" s="1793">
        <f>AL826-AG826</f>
        <v/>
      </c>
      <c r="AM831" s="1793">
        <f>AM826-AH826</f>
        <v/>
      </c>
      <c r="AN831" s="1793">
        <f>AN826-AI826</f>
        <v/>
      </c>
      <c r="AO831" s="1793">
        <f>AO826-AJ826</f>
        <v/>
      </c>
      <c r="AP831" s="1792">
        <f>AP826-AK826</f>
        <v/>
      </c>
      <c r="AQ831" s="1793">
        <f>AQ826-AL826</f>
        <v/>
      </c>
      <c r="AR831" s="1793">
        <f>AR826-AM826</f>
        <v/>
      </c>
      <c r="AS831" s="1793">
        <f>AS826-AN826</f>
        <v/>
      </c>
      <c r="AT831" s="1793">
        <f>AT826-AO826</f>
        <v/>
      </c>
      <c r="AU831" s="1792">
        <f>AU826-AP826</f>
        <v/>
      </c>
      <c r="AV831" s="1793">
        <f>AV826-AQ826</f>
        <v/>
      </c>
      <c r="AW831" s="1793">
        <f>AW826-AR826</f>
        <v/>
      </c>
      <c r="AX831" s="1793">
        <f>AX826-AS826</f>
        <v/>
      </c>
      <c r="AY831" s="1793">
        <f>AY826-AT826</f>
        <v/>
      </c>
      <c r="AZ831" s="1792">
        <f>AZ826-AU826</f>
        <v/>
      </c>
      <c r="BA831" s="1793">
        <f>BA826-AV826</f>
        <v/>
      </c>
      <c r="BB831" s="1793">
        <f>BB826-AW826</f>
        <v/>
      </c>
      <c r="BC831" s="1793">
        <f>BC826-AX826</f>
        <v/>
      </c>
      <c r="BD831" s="1793">
        <f>BD826-AY826</f>
        <v/>
      </c>
      <c r="BE831" s="1792">
        <f>BE826-AZ826</f>
        <v/>
      </c>
      <c r="BF831" s="1793">
        <f>BF826-BA826</f>
        <v/>
      </c>
      <c r="BG831" s="1793">
        <f>BG826-BB826</f>
        <v/>
      </c>
      <c r="BH831" s="1793">
        <f>BH826-BC826</f>
        <v/>
      </c>
      <c r="BI831" s="1793">
        <f>BI826-BD826</f>
        <v/>
      </c>
      <c r="BJ831" s="1792">
        <f>BJ826-BE826</f>
        <v/>
      </c>
      <c r="BK831" s="1793">
        <f>BK826-BF826</f>
        <v/>
      </c>
      <c r="BL831" s="1793">
        <f>BL826-BG826</f>
        <v/>
      </c>
      <c r="BM831" s="1793">
        <f>BM826-BH826</f>
        <v/>
      </c>
      <c r="BN831" s="1793">
        <f>BN826-BI826</f>
        <v/>
      </c>
      <c r="BO831" s="1794">
        <f>BO826-BJ826</f>
        <v/>
      </c>
      <c r="BP831" s="1789" t="n">
        <v>0</v>
      </c>
      <c r="BQ831" s="1789" t="n">
        <v>0</v>
      </c>
      <c r="BR831" s="1789" t="n">
        <v>0</v>
      </c>
      <c r="BS831" s="1789" t="n">
        <v>0</v>
      </c>
      <c r="BT831" s="1786">
        <f>BT826-BO826</f>
        <v/>
      </c>
      <c r="BU831" s="1789" t="n">
        <v>0</v>
      </c>
      <c r="BV831" s="1789" t="n">
        <v>0</v>
      </c>
      <c r="BW831" s="1789" t="n">
        <v>0</v>
      </c>
      <c r="BX831" s="1789" t="n">
        <v>0</v>
      </c>
      <c r="BY831" s="1786">
        <f>BY826-BT826</f>
        <v/>
      </c>
      <c r="BZ831" s="1790" t="n">
        <v>0</v>
      </c>
      <c r="CA831" s="1790" t="n">
        <v>0</v>
      </c>
      <c r="CB831" s="1790" t="n">
        <v>0</v>
      </c>
      <c r="CC831" s="1356" t="n"/>
    </row>
    <row r="832" ht="14.4" customFormat="1" customHeight="1" s="1350">
      <c r="A832" s="1791" t="inlineStr">
        <is>
          <t>Financial assets at fair value through other comprehensive income, Y/Y Change, %</t>
        </is>
      </c>
      <c r="B832" s="1785" t="n"/>
      <c r="C832" s="1786" t="n"/>
      <c r="D832" s="1792">
        <f>D827-C827</f>
        <v/>
      </c>
      <c r="E832" s="1792">
        <f>E827-D827</f>
        <v/>
      </c>
      <c r="F832" s="1792">
        <f>F827-E827</f>
        <v/>
      </c>
      <c r="G832" s="1792">
        <f>G827-F827</f>
        <v/>
      </c>
      <c r="H832" s="1787" t="n"/>
      <c r="I832" s="1787" t="n"/>
      <c r="J832" s="1787" t="n"/>
      <c r="K832" s="1787" t="n"/>
      <c r="L832" s="1792">
        <f>L827-G827</f>
        <v/>
      </c>
      <c r="M832" s="1787" t="n"/>
      <c r="N832" s="1787" t="n"/>
      <c r="O832" s="1787" t="n"/>
      <c r="P832" s="1787" t="n"/>
      <c r="Q832" s="1792">
        <f>Q827-L827</f>
        <v/>
      </c>
      <c r="R832" s="1793">
        <f>R827-M827</f>
        <v/>
      </c>
      <c r="S832" s="1793">
        <f>S827-N827</f>
        <v/>
      </c>
      <c r="T832" s="1793">
        <f>T827-O827</f>
        <v/>
      </c>
      <c r="U832" s="1793">
        <f>U827-P827</f>
        <v/>
      </c>
      <c r="V832" s="1792">
        <f>V827-Q827</f>
        <v/>
      </c>
      <c r="W832" s="1793">
        <f>W827-R827</f>
        <v/>
      </c>
      <c r="X832" s="1793">
        <f>X827-S827</f>
        <v/>
      </c>
      <c r="Y832" s="1793">
        <f>Y827-T827</f>
        <v/>
      </c>
      <c r="Z832" s="1793">
        <f>Z827-U827</f>
        <v/>
      </c>
      <c r="AA832" s="1792">
        <f>AA827-V827</f>
        <v/>
      </c>
      <c r="AB832" s="1793">
        <f>AB827-W827</f>
        <v/>
      </c>
      <c r="AC832" s="1793">
        <f>AC827-X827</f>
        <v/>
      </c>
      <c r="AD832" s="1793">
        <f>AD827-Y827</f>
        <v/>
      </c>
      <c r="AE832" s="1793">
        <f>AE827-Z827</f>
        <v/>
      </c>
      <c r="AF832" s="1792">
        <f>AF827-AA827</f>
        <v/>
      </c>
      <c r="AG832" s="1793">
        <f>AG827-AB827</f>
        <v/>
      </c>
      <c r="AH832" s="1793">
        <f>AH827-AC827</f>
        <v/>
      </c>
      <c r="AI832" s="1793">
        <f>AI827-AD827</f>
        <v/>
      </c>
      <c r="AJ832" s="1793">
        <f>AJ827-AE827</f>
        <v/>
      </c>
      <c r="AK832" s="1792">
        <f>AK827-AF827</f>
        <v/>
      </c>
      <c r="AL832" s="1793">
        <f>AL827-AG827</f>
        <v/>
      </c>
      <c r="AM832" s="1793">
        <f>AM827-AH827</f>
        <v/>
      </c>
      <c r="AN832" s="1793">
        <f>AN827-AI827</f>
        <v/>
      </c>
      <c r="AO832" s="1793">
        <f>AO827-AJ827</f>
        <v/>
      </c>
      <c r="AP832" s="1792">
        <f>AP827-AK827</f>
        <v/>
      </c>
      <c r="AQ832" s="1793">
        <f>AQ827-AL827</f>
        <v/>
      </c>
      <c r="AR832" s="1793">
        <f>AR827-AM827</f>
        <v/>
      </c>
      <c r="AS832" s="1793">
        <f>AS827-AN827</f>
        <v/>
      </c>
      <c r="AT832" s="1793">
        <f>AT827-AO827</f>
        <v/>
      </c>
      <c r="AU832" s="1792">
        <f>AU827-AP827</f>
        <v/>
      </c>
      <c r="AV832" s="1793">
        <f>AV827-AQ827</f>
        <v/>
      </c>
      <c r="AW832" s="1793">
        <f>AW827-AR827</f>
        <v/>
      </c>
      <c r="AX832" s="1793">
        <f>AX827-AS827</f>
        <v/>
      </c>
      <c r="AY832" s="1793">
        <f>AY827-AT827</f>
        <v/>
      </c>
      <c r="AZ832" s="1792">
        <f>AZ827-AU827</f>
        <v/>
      </c>
      <c r="BA832" s="1793">
        <f>BA827-AV827</f>
        <v/>
      </c>
      <c r="BB832" s="1793">
        <f>BB827-AW827</f>
        <v/>
      </c>
      <c r="BC832" s="1793">
        <f>BC827-AX827</f>
        <v/>
      </c>
      <c r="BD832" s="1793">
        <f>BD827-AY827</f>
        <v/>
      </c>
      <c r="BE832" s="1792">
        <f>BE827-AZ827</f>
        <v/>
      </c>
      <c r="BF832" s="1793">
        <f>BF827-BA827</f>
        <v/>
      </c>
      <c r="BG832" s="1793">
        <f>BG827-BB827</f>
        <v/>
      </c>
      <c r="BH832" s="1793">
        <f>BH827-BC827</f>
        <v/>
      </c>
      <c r="BI832" s="1793">
        <f>BI827-BD827</f>
        <v/>
      </c>
      <c r="BJ832" s="1792">
        <f>BJ827-BE827</f>
        <v/>
      </c>
      <c r="BK832" s="1793">
        <f>BK827-BF827</f>
        <v/>
      </c>
      <c r="BL832" s="1793">
        <f>BL827-BG827</f>
        <v/>
      </c>
      <c r="BM832" s="1793">
        <f>BM827-BH827</f>
        <v/>
      </c>
      <c r="BN832" s="1793">
        <f>BN827-BI827</f>
        <v/>
      </c>
      <c r="BO832" s="1794">
        <f>BO827-BJ827</f>
        <v/>
      </c>
      <c r="BP832" s="1789" t="n">
        <v>0</v>
      </c>
      <c r="BQ832" s="1789" t="n">
        <v>0</v>
      </c>
      <c r="BR832" s="1789" t="n">
        <v>0</v>
      </c>
      <c r="BS832" s="1789" t="n">
        <v>0</v>
      </c>
      <c r="BT832" s="1786">
        <f>BT827-BO827</f>
        <v/>
      </c>
      <c r="BU832" s="1789" t="n">
        <v>0</v>
      </c>
      <c r="BV832" s="1789" t="n">
        <v>0</v>
      </c>
      <c r="BW832" s="1789" t="n">
        <v>0</v>
      </c>
      <c r="BX832" s="1789" t="n">
        <v>0</v>
      </c>
      <c r="BY832" s="1786">
        <f>BY827-BT827</f>
        <v/>
      </c>
      <c r="BZ832" s="1790" t="n">
        <v>0</v>
      </c>
      <c r="CA832" s="1790" t="n">
        <v>0</v>
      </c>
      <c r="CB832" s="1790" t="n">
        <v>0</v>
      </c>
      <c r="CC832" s="1356" t="n"/>
    </row>
    <row r="833" ht="14.4" customFormat="1" customHeight="1" s="1323">
      <c r="A833" s="1384" t="n"/>
      <c r="B833" s="1387" t="n"/>
      <c r="C833" s="1516" t="n"/>
      <c r="D833" s="1516" t="n"/>
      <c r="E833" s="1516" t="n"/>
      <c r="F833" s="1516" t="n"/>
      <c r="G833" s="1516" t="n"/>
      <c r="H833" s="1709" t="n"/>
      <c r="I833" s="1709" t="n"/>
      <c r="J833" s="1709" t="n"/>
      <c r="K833" s="1709" t="n"/>
      <c r="L833" s="1516" t="n"/>
      <c r="M833" s="1709" t="n"/>
      <c r="N833" s="1709" t="n"/>
      <c r="O833" s="1709" t="n"/>
      <c r="P833" s="1709" t="n"/>
      <c r="Q833" s="1516" t="n"/>
      <c r="R833" s="1709" t="n"/>
      <c r="S833" s="1709" t="n"/>
      <c r="T833" s="1709" t="n"/>
      <c r="U833" s="1709" t="n"/>
      <c r="V833" s="1516" t="n"/>
      <c r="W833" s="1709" t="n"/>
      <c r="X833" s="1709" t="n"/>
      <c r="Y833" s="1709" t="n"/>
      <c r="Z833" s="1709" t="n"/>
      <c r="AA833" s="1516" t="n"/>
      <c r="AB833" s="1709" t="n"/>
      <c r="AC833" s="1709" t="n"/>
      <c r="AD833" s="1709" t="n"/>
      <c r="AE833" s="1709" t="n"/>
      <c r="AF833" s="1516" t="n"/>
      <c r="AG833" s="1709" t="n"/>
      <c r="AH833" s="1709" t="n"/>
      <c r="AI833" s="1709" t="n"/>
      <c r="AJ833" s="1709" t="n"/>
      <c r="AK833" s="1516" t="n"/>
      <c r="AL833" s="1709" t="n"/>
      <c r="AM833" s="1709" t="n"/>
      <c r="AN833" s="1709" t="n"/>
      <c r="AO833" s="1709" t="n"/>
      <c r="AP833" s="1516" t="n"/>
      <c r="AQ833" s="1709" t="n"/>
      <c r="AR833" s="1709" t="n"/>
      <c r="AS833" s="1709" t="n"/>
      <c r="AT833" s="1709" t="n"/>
      <c r="AU833" s="1516" t="n"/>
      <c r="AV833" s="1709" t="n"/>
      <c r="AW833" s="1709" t="n"/>
      <c r="AX833" s="1709" t="n"/>
      <c r="AY833" s="1709" t="n"/>
      <c r="AZ833" s="1516" t="n"/>
      <c r="BA833" s="1709" t="n"/>
      <c r="BB833" s="1709" t="n"/>
      <c r="BC833" s="1709" t="n"/>
      <c r="BD833" s="1709" t="n"/>
      <c r="BE833" s="1516" t="n"/>
      <c r="BF833" s="1709" t="n"/>
      <c r="BG833" s="1709" t="n"/>
      <c r="BH833" s="1709" t="n"/>
      <c r="BI833" s="1709" t="n"/>
      <c r="BJ833" s="1516" t="n"/>
      <c r="BK833" s="1709" t="n"/>
      <c r="BL833" s="1709" t="n"/>
      <c r="BM833" s="1709" t="n"/>
      <c r="BN833" s="1709" t="n"/>
      <c r="BO833" s="1710" t="n"/>
      <c r="BP833" s="1709" t="n"/>
      <c r="BQ833" s="1709" t="n"/>
      <c r="BR833" s="1709" t="n"/>
      <c r="BS833" s="1709" t="n"/>
      <c r="BT833" s="1516" t="n"/>
      <c r="BU833" s="1709" t="n"/>
      <c r="BV833" s="1709" t="n"/>
      <c r="BW833" s="1709" t="n"/>
      <c r="BX833" s="1709" t="n"/>
      <c r="BY833" s="1516" t="n"/>
      <c r="BZ833" s="1516" t="n"/>
      <c r="CA833" s="1516" t="n"/>
      <c r="CB833" s="1516" t="n"/>
      <c r="CC833" s="1331" t="n"/>
    </row>
    <row r="834" ht="14.4" customFormat="1" customHeight="1" s="1323">
      <c r="A834" s="1780" t="inlineStr">
        <is>
          <t>D&amp;A Forecasting</t>
        </is>
      </c>
      <c r="B834" s="1781" t="n"/>
      <c r="C834" s="1795" t="n"/>
      <c r="D834" s="1795" t="n"/>
      <c r="E834" s="1795" t="n"/>
      <c r="F834" s="1795" t="n"/>
      <c r="G834" s="1795" t="n"/>
      <c r="H834" s="1795" t="n"/>
      <c r="I834" s="1795" t="n"/>
      <c r="J834" s="1795" t="n"/>
      <c r="K834" s="1795" t="n"/>
      <c r="L834" s="1795" t="n"/>
      <c r="M834" s="1795" t="n"/>
      <c r="N834" s="1795" t="n"/>
      <c r="O834" s="1795" t="n"/>
      <c r="P834" s="1795" t="n"/>
      <c r="Q834" s="1795" t="n"/>
      <c r="R834" s="1795" t="n"/>
      <c r="S834" s="1795" t="n"/>
      <c r="T834" s="1795" t="n"/>
      <c r="U834" s="1795" t="n"/>
      <c r="V834" s="1795" t="n"/>
      <c r="W834" s="1795" t="n"/>
      <c r="X834" s="1795" t="n"/>
      <c r="Y834" s="1795" t="n"/>
      <c r="Z834" s="1795" t="n"/>
      <c r="AA834" s="1795" t="n"/>
      <c r="AB834" s="1795" t="n"/>
      <c r="AC834" s="1795" t="n"/>
      <c r="AD834" s="1795" t="n"/>
      <c r="AE834" s="1795" t="n"/>
      <c r="AF834" s="1795" t="n"/>
      <c r="AG834" s="1795" t="n"/>
      <c r="AH834" s="1795" t="n"/>
      <c r="AI834" s="1795" t="n"/>
      <c r="AJ834" s="1795" t="n"/>
      <c r="AK834" s="1795" t="n"/>
      <c r="AL834" s="1795" t="n"/>
      <c r="AM834" s="1795" t="n"/>
      <c r="AN834" s="1795" t="n"/>
      <c r="AO834" s="1795" t="n"/>
      <c r="AP834" s="1795" t="n"/>
      <c r="AQ834" s="1795" t="n"/>
      <c r="AR834" s="1795" t="n"/>
      <c r="AS834" s="1795" t="n"/>
      <c r="AT834" s="1795" t="n"/>
      <c r="AU834" s="1795" t="n"/>
      <c r="AV834" s="1795" t="n"/>
      <c r="AW834" s="1795" t="n"/>
      <c r="AX834" s="1795" t="n"/>
      <c r="AY834" s="1795" t="n"/>
      <c r="AZ834" s="1795" t="n"/>
      <c r="BA834" s="1795" t="n"/>
      <c r="BB834" s="1795" t="n"/>
      <c r="BC834" s="1795" t="n"/>
      <c r="BD834" s="1795" t="n"/>
      <c r="BE834" s="1795" t="n"/>
      <c r="BF834" s="1795" t="n"/>
      <c r="BG834" s="1795" t="n"/>
      <c r="BH834" s="1795" t="n"/>
      <c r="BI834" s="1795" t="n"/>
      <c r="BJ834" s="1795" t="n"/>
      <c r="BK834" s="1795" t="n"/>
      <c r="BL834" s="1795" t="n"/>
      <c r="BM834" s="1795" t="n"/>
      <c r="BN834" s="1795" t="n"/>
      <c r="BO834" s="1796" t="n"/>
      <c r="BP834" s="1795" t="n"/>
      <c r="BQ834" s="1795" t="n"/>
      <c r="BR834" s="1795" t="n"/>
      <c r="BS834" s="1795" t="n"/>
      <c r="BT834" s="1795" t="n"/>
      <c r="BU834" s="1795" t="n"/>
      <c r="BV834" s="1795" t="n"/>
      <c r="BW834" s="1795" t="n"/>
      <c r="BX834" s="1795" t="n"/>
      <c r="BY834" s="1795" t="n"/>
      <c r="BZ834" s="1795" t="n"/>
      <c r="CA834" s="1795" t="n"/>
      <c r="CB834" s="1795" t="n"/>
      <c r="CC834" s="1331" t="n"/>
    </row>
    <row r="835" ht="14.4" customFormat="1" customHeight="1" s="1323">
      <c r="A835" s="1344" t="inlineStr">
        <is>
          <t>PP&amp;E BoP, mm</t>
        </is>
      </c>
      <c r="B835" s="1394" t="n"/>
      <c r="C835" s="1797" t="n"/>
      <c r="D835" s="1797">
        <f>C839</f>
        <v/>
      </c>
      <c r="E835" s="1797">
        <f>D839</f>
        <v/>
      </c>
      <c r="F835" s="1797">
        <f>E839</f>
        <v/>
      </c>
      <c r="G835" s="1797">
        <f>F839</f>
        <v/>
      </c>
      <c r="H835" s="1798">
        <f>G839</f>
        <v/>
      </c>
      <c r="I835" s="1798">
        <f>H839</f>
        <v/>
      </c>
      <c r="J835" s="1798">
        <f>I839</f>
        <v/>
      </c>
      <c r="K835" s="1798">
        <f>J839</f>
        <v/>
      </c>
      <c r="L835" s="1797">
        <f>G839</f>
        <v/>
      </c>
      <c r="M835" s="1798">
        <f>L839</f>
        <v/>
      </c>
      <c r="N835" s="1798">
        <f>M839</f>
        <v/>
      </c>
      <c r="O835" s="1798">
        <f>N839</f>
        <v/>
      </c>
      <c r="P835" s="1798">
        <f>O839</f>
        <v/>
      </c>
      <c r="Q835" s="1797">
        <f>L839</f>
        <v/>
      </c>
      <c r="R835" s="1798">
        <f>Q839</f>
        <v/>
      </c>
      <c r="S835" s="1798">
        <f>R839</f>
        <v/>
      </c>
      <c r="T835" s="1798">
        <f>S839</f>
        <v/>
      </c>
      <c r="U835" s="1798">
        <f>T839</f>
        <v/>
      </c>
      <c r="V835" s="1797">
        <f>Q839</f>
        <v/>
      </c>
      <c r="W835" s="1798">
        <f>V839</f>
        <v/>
      </c>
      <c r="X835" s="1798">
        <f>W839</f>
        <v/>
      </c>
      <c r="Y835" s="1798">
        <f>X839</f>
        <v/>
      </c>
      <c r="Z835" s="1798">
        <f>Y839</f>
        <v/>
      </c>
      <c r="AA835" s="1797">
        <f>V839</f>
        <v/>
      </c>
      <c r="AB835" s="1798">
        <f>AA839</f>
        <v/>
      </c>
      <c r="AC835" s="1798">
        <f>AB839</f>
        <v/>
      </c>
      <c r="AD835" s="1798">
        <f>AC839</f>
        <v/>
      </c>
      <c r="AE835" s="1798">
        <f>AD839</f>
        <v/>
      </c>
      <c r="AF835" s="1797">
        <f>AA839</f>
        <v/>
      </c>
      <c r="AG835" s="1798">
        <f>AF839</f>
        <v/>
      </c>
      <c r="AH835" s="1798">
        <f>AG839</f>
        <v/>
      </c>
      <c r="AI835" s="1798">
        <f>AH839</f>
        <v/>
      </c>
      <c r="AJ835" s="1798">
        <f>AI839</f>
        <v/>
      </c>
      <c r="AK835" s="1797">
        <f>AF839</f>
        <v/>
      </c>
      <c r="AL835" s="1798">
        <f>AK839</f>
        <v/>
      </c>
      <c r="AM835" s="1798">
        <f>AL839</f>
        <v/>
      </c>
      <c r="AN835" s="1798">
        <f>AM839</f>
        <v/>
      </c>
      <c r="AO835" s="1798">
        <f>AN839</f>
        <v/>
      </c>
      <c r="AP835" s="1797">
        <f>AK839</f>
        <v/>
      </c>
      <c r="AQ835" s="1798">
        <f>AP839</f>
        <v/>
      </c>
      <c r="AR835" s="1798">
        <f>AQ839</f>
        <v/>
      </c>
      <c r="AS835" s="1798">
        <f>AR839</f>
        <v/>
      </c>
      <c r="AT835" s="1798">
        <f>AS839</f>
        <v/>
      </c>
      <c r="AU835" s="1797">
        <f>AP839</f>
        <v/>
      </c>
      <c r="AV835" s="1798">
        <f>AU839</f>
        <v/>
      </c>
      <c r="AW835" s="1798">
        <f>AV839</f>
        <v/>
      </c>
      <c r="AX835" s="1798">
        <f>AW839</f>
        <v/>
      </c>
      <c r="AY835" s="1798">
        <f>AX839</f>
        <v/>
      </c>
      <c r="AZ835" s="1797">
        <f>AU839</f>
        <v/>
      </c>
      <c r="BA835" s="1798">
        <f>AZ839</f>
        <v/>
      </c>
      <c r="BB835" s="1798">
        <f>BA839</f>
        <v/>
      </c>
      <c r="BC835" s="1798">
        <f>BB839</f>
        <v/>
      </c>
      <c r="BD835" s="1798">
        <f>BC839</f>
        <v/>
      </c>
      <c r="BE835" s="1797">
        <f>AZ839</f>
        <v/>
      </c>
      <c r="BF835" s="1798">
        <f>BE839</f>
        <v/>
      </c>
      <c r="BG835" s="1798">
        <f>BF839</f>
        <v/>
      </c>
      <c r="BH835" s="1798">
        <f>BG839</f>
        <v/>
      </c>
      <c r="BI835" s="1798">
        <f>BH839</f>
        <v/>
      </c>
      <c r="BJ835" s="1797">
        <f>BE839</f>
        <v/>
      </c>
      <c r="BK835" s="1798">
        <f>BJ839</f>
        <v/>
      </c>
      <c r="BL835" s="1798">
        <f>BK839</f>
        <v/>
      </c>
      <c r="BM835" s="1798">
        <f>BL839</f>
        <v/>
      </c>
      <c r="BN835" s="1798">
        <f>BM839</f>
        <v/>
      </c>
      <c r="BO835" s="1799">
        <f>BJ839</f>
        <v/>
      </c>
      <c r="BP835" s="1798">
        <f>BO839</f>
        <v/>
      </c>
      <c r="BQ835" s="1798">
        <f>BP839</f>
        <v/>
      </c>
      <c r="BR835" s="1798">
        <f>BQ839</f>
        <v/>
      </c>
      <c r="BS835" s="1798">
        <f>BR839</f>
        <v/>
      </c>
      <c r="BT835" s="1797">
        <f>BO839</f>
        <v/>
      </c>
      <c r="BU835" s="1798">
        <f>BT839</f>
        <v/>
      </c>
      <c r="BV835" s="1798">
        <f>BU839</f>
        <v/>
      </c>
      <c r="BW835" s="1798">
        <f>BV839</f>
        <v/>
      </c>
      <c r="BX835" s="1798">
        <f>BW839</f>
        <v/>
      </c>
      <c r="BY835" s="1797">
        <f>BT839</f>
        <v/>
      </c>
      <c r="BZ835" s="1797">
        <f>BY839</f>
        <v/>
      </c>
      <c r="CA835" s="1797">
        <f>BZ839</f>
        <v/>
      </c>
      <c r="CB835" s="1797">
        <f>CA839</f>
        <v/>
      </c>
      <c r="CC835" s="1331" t="n"/>
    </row>
    <row r="836" ht="14.4" customFormat="1" customHeight="1" s="1323">
      <c r="A836" s="1384" t="inlineStr">
        <is>
          <t>Depreciation of fixed assets, mm</t>
        </is>
      </c>
      <c r="B836" s="1387" t="n"/>
      <c r="C836" s="1516" t="n"/>
      <c r="D836" s="1516">
        <f>-D677</f>
        <v/>
      </c>
      <c r="E836" s="1516">
        <f>-E677</f>
        <v/>
      </c>
      <c r="F836" s="1516">
        <f>-F677</f>
        <v/>
      </c>
      <c r="G836" s="1516">
        <f>-G677</f>
        <v/>
      </c>
      <c r="H836" s="1709">
        <f>-H677</f>
        <v/>
      </c>
      <c r="I836" s="1709">
        <f>-I677</f>
        <v/>
      </c>
      <c r="J836" s="1709">
        <f>-J677</f>
        <v/>
      </c>
      <c r="K836" s="1709">
        <f>-K677</f>
        <v/>
      </c>
      <c r="L836" s="1516">
        <f>-L677</f>
        <v/>
      </c>
      <c r="M836" s="1709">
        <f>-M677</f>
        <v/>
      </c>
      <c r="N836" s="1709">
        <f>-N677</f>
        <v/>
      </c>
      <c r="O836" s="1709">
        <f>-O677</f>
        <v/>
      </c>
      <c r="P836" s="1709">
        <f>-P677</f>
        <v/>
      </c>
      <c r="Q836" s="1516">
        <f>-Q677</f>
        <v/>
      </c>
      <c r="R836" s="1709">
        <f>-R677</f>
        <v/>
      </c>
      <c r="S836" s="1709">
        <f>-S677</f>
        <v/>
      </c>
      <c r="T836" s="1709">
        <f>-T677</f>
        <v/>
      </c>
      <c r="U836" s="1709">
        <f>-U677</f>
        <v/>
      </c>
      <c r="V836" s="1516">
        <f>-V677</f>
        <v/>
      </c>
      <c r="W836" s="1709">
        <f>-W677</f>
        <v/>
      </c>
      <c r="X836" s="1709">
        <f>-X677</f>
        <v/>
      </c>
      <c r="Y836" s="1709">
        <f>-Y677</f>
        <v/>
      </c>
      <c r="Z836" s="1709">
        <f>-Z677</f>
        <v/>
      </c>
      <c r="AA836" s="1516">
        <f>-AA677</f>
        <v/>
      </c>
      <c r="AB836" s="1709">
        <f>-AB677</f>
        <v/>
      </c>
      <c r="AC836" s="1709">
        <f>-AC677</f>
        <v/>
      </c>
      <c r="AD836" s="1709">
        <f>-AD677</f>
        <v/>
      </c>
      <c r="AE836" s="1709">
        <f>-AE677</f>
        <v/>
      </c>
      <c r="AF836" s="1516">
        <f>-AF677</f>
        <v/>
      </c>
      <c r="AG836" s="1709">
        <f>-AG71</f>
        <v/>
      </c>
      <c r="AH836" s="1709">
        <f>-AH71</f>
        <v/>
      </c>
      <c r="AI836" s="1709">
        <f>-AI71</f>
        <v/>
      </c>
      <c r="AJ836" s="1709">
        <f>-AJ71</f>
        <v/>
      </c>
      <c r="AK836" s="1516">
        <f>-AK71</f>
        <v/>
      </c>
      <c r="AL836" s="1709">
        <f>-AL71</f>
        <v/>
      </c>
      <c r="AM836" s="1709">
        <f>-AM71</f>
        <v/>
      </c>
      <c r="AN836" s="1709">
        <f>-AN71</f>
        <v/>
      </c>
      <c r="AO836" s="1709">
        <f>-AO71</f>
        <v/>
      </c>
      <c r="AP836" s="1516">
        <f>-AP71</f>
        <v/>
      </c>
      <c r="AQ836" s="1709">
        <f>-AQ71</f>
        <v/>
      </c>
      <c r="AR836" s="1709">
        <f>-AR71</f>
        <v/>
      </c>
      <c r="AS836" s="1709">
        <f>-AS71</f>
        <v/>
      </c>
      <c r="AT836" s="1709">
        <f>-AT71</f>
        <v/>
      </c>
      <c r="AU836" s="1516">
        <f>-AU71</f>
        <v/>
      </c>
      <c r="AV836" s="1709">
        <f>-AV71</f>
        <v/>
      </c>
      <c r="AW836" s="1709">
        <f>-AW71</f>
        <v/>
      </c>
      <c r="AX836" s="1709">
        <f>-AX71</f>
        <v/>
      </c>
      <c r="AY836" s="1709">
        <f>-AY71</f>
        <v/>
      </c>
      <c r="AZ836" s="1516">
        <f>-AZ71</f>
        <v/>
      </c>
      <c r="BA836" s="1709">
        <f>-BA71</f>
        <v/>
      </c>
      <c r="BB836" s="1709">
        <f>-BB71</f>
        <v/>
      </c>
      <c r="BC836" s="1709">
        <f>-BC71</f>
        <v/>
      </c>
      <c r="BD836" s="1709">
        <f>-BD71</f>
        <v/>
      </c>
      <c r="BE836" s="1516">
        <f>-BE71</f>
        <v/>
      </c>
      <c r="BF836" s="1709">
        <f>-BF71</f>
        <v/>
      </c>
      <c r="BG836" s="1709">
        <f>-BG71</f>
        <v/>
      </c>
      <c r="BH836" s="1709">
        <f>-BH71</f>
        <v/>
      </c>
      <c r="BI836" s="1709">
        <f>-BI71</f>
        <v/>
      </c>
      <c r="BJ836" s="1516">
        <f>-BJ71</f>
        <v/>
      </c>
      <c r="BK836" s="1709">
        <f>-BK71</f>
        <v/>
      </c>
      <c r="BL836" s="1709">
        <f>-BL71</f>
        <v/>
      </c>
      <c r="BM836" s="1709">
        <f>-BM71</f>
        <v/>
      </c>
      <c r="BN836" s="1709">
        <f>-BN71</f>
        <v/>
      </c>
      <c r="BO836" s="1710">
        <f>-BO71</f>
        <v/>
      </c>
      <c r="BP836" s="1709">
        <f>-BP835*BP847*BP3/BT3</f>
        <v/>
      </c>
      <c r="BQ836" s="1709">
        <f>-BQ835*BQ847*BQ3/BT3</f>
        <v/>
      </c>
      <c r="BR836" s="1709">
        <f>-BR835*BR847*BR3/BT3</f>
        <v/>
      </c>
      <c r="BS836" s="1709">
        <f>-BS835*BS847*BS3/BT3</f>
        <v/>
      </c>
      <c r="BT836" s="1516">
        <f>IF(OR(ISBLANK(BP836),ISBLANK(BQ836),ISBLANK(BR836),ISBLANK(BS836)),"n/a",SUM(BP836,BQ836,BR836,BS836))</f>
        <v/>
      </c>
      <c r="BU836" s="1709">
        <f>-BU835*BU847*BU3/BY3</f>
        <v/>
      </c>
      <c r="BV836" s="1709">
        <f>-BV835*BV847*BV3/BY3</f>
        <v/>
      </c>
      <c r="BW836" s="1709">
        <f>-BW835*BW847*BW3/BY3</f>
        <v/>
      </c>
      <c r="BX836" s="1709">
        <f>-BX835*BX847*BX3/BY3</f>
        <v/>
      </c>
      <c r="BY836" s="1516">
        <f>IF(OR(ISBLANK(BU836),ISBLANK(BV836),ISBLANK(BW836),ISBLANK(BX836)),"n/a",SUM(BU836,BV836,BW836,BX836))</f>
        <v/>
      </c>
      <c r="BZ836" s="1516">
        <f>-BZ835*BZ847</f>
        <v/>
      </c>
      <c r="CA836" s="1516">
        <f>-CA835*CA847</f>
        <v/>
      </c>
      <c r="CB836" s="1516">
        <f>-CB835*CB847</f>
        <v/>
      </c>
      <c r="CC836" s="1331" t="n"/>
    </row>
    <row r="837" ht="14.4" customFormat="1" customHeight="1" s="1323">
      <c r="A837" s="1384" t="inlineStr">
        <is>
          <t>Capex of PP&amp;E, mm</t>
        </is>
      </c>
      <c r="B837" s="1387" t="n"/>
      <c r="C837" s="1516" t="n"/>
      <c r="D837" s="1516">
        <f>D853+D745</f>
        <v/>
      </c>
      <c r="E837" s="1516">
        <f>E853+E745</f>
        <v/>
      </c>
      <c r="F837" s="1516">
        <f>F853+F745</f>
        <v/>
      </c>
      <c r="G837" s="1516">
        <f>G853+G745</f>
        <v/>
      </c>
      <c r="H837" s="1709">
        <f>H853+H745</f>
        <v/>
      </c>
      <c r="I837" s="1709">
        <f>I853+I745</f>
        <v/>
      </c>
      <c r="J837" s="1709">
        <f>J853+J745</f>
        <v/>
      </c>
      <c r="K837" s="1709">
        <f>K853+K745</f>
        <v/>
      </c>
      <c r="L837" s="1516">
        <f>L853+L745</f>
        <v/>
      </c>
      <c r="M837" s="1709">
        <f>M853+M745</f>
        <v/>
      </c>
      <c r="N837" s="1709">
        <f>N853+N745</f>
        <v/>
      </c>
      <c r="O837" s="1709">
        <f>O853+O745</f>
        <v/>
      </c>
      <c r="P837" s="1709">
        <f>P853+P745</f>
        <v/>
      </c>
      <c r="Q837" s="1516">
        <f>Q853+Q745</f>
        <v/>
      </c>
      <c r="R837" s="1709">
        <f>R853+R745</f>
        <v/>
      </c>
      <c r="S837" s="1709">
        <f>S853+S745</f>
        <v/>
      </c>
      <c r="T837" s="1709">
        <f>T853+T745</f>
        <v/>
      </c>
      <c r="U837" s="1709">
        <f>U853+U745</f>
        <v/>
      </c>
      <c r="V837" s="1516">
        <f>V853+V745</f>
        <v/>
      </c>
      <c r="W837" s="1709">
        <f>W853+W745</f>
        <v/>
      </c>
      <c r="X837" s="1709">
        <f>X853+X745</f>
        <v/>
      </c>
      <c r="Y837" s="1709">
        <f>Y853+Y745</f>
        <v/>
      </c>
      <c r="Z837" s="1709">
        <f>Z853+Z745</f>
        <v/>
      </c>
      <c r="AA837" s="1516">
        <f>AA853+AA745</f>
        <v/>
      </c>
      <c r="AB837" s="1709">
        <f>AB853+AB745</f>
        <v/>
      </c>
      <c r="AC837" s="1709">
        <f>AC853+AC745</f>
        <v/>
      </c>
      <c r="AD837" s="1709">
        <f>AD853+AD745</f>
        <v/>
      </c>
      <c r="AE837" s="1709">
        <f>AE853+AE745</f>
        <v/>
      </c>
      <c r="AF837" s="1516">
        <f>AF853+AF745</f>
        <v/>
      </c>
      <c r="AG837" s="1709">
        <f>AG853+AG745</f>
        <v/>
      </c>
      <c r="AH837" s="1709">
        <f>AH853+AH745</f>
        <v/>
      </c>
      <c r="AI837" s="1709">
        <f>AI853+AI745</f>
        <v/>
      </c>
      <c r="AJ837" s="1709">
        <f>AJ853+AJ745</f>
        <v/>
      </c>
      <c r="AK837" s="1516">
        <f>AK853+AK745</f>
        <v/>
      </c>
      <c r="AL837" s="1709">
        <f>AL853+AL745</f>
        <v/>
      </c>
      <c r="AM837" s="1709">
        <f>AM853+AM745</f>
        <v/>
      </c>
      <c r="AN837" s="1709">
        <f>AN853+AN745</f>
        <v/>
      </c>
      <c r="AO837" s="1709">
        <f>AO853+AO745</f>
        <v/>
      </c>
      <c r="AP837" s="1516">
        <f>AP853+AP745</f>
        <v/>
      </c>
      <c r="AQ837" s="1709">
        <f>AQ853+AQ745</f>
        <v/>
      </c>
      <c r="AR837" s="1709">
        <f>AR853+AR745</f>
        <v/>
      </c>
      <c r="AS837" s="1709">
        <f>AS853+AS745</f>
        <v/>
      </c>
      <c r="AT837" s="1709">
        <f>AT853+AT745</f>
        <v/>
      </c>
      <c r="AU837" s="1516">
        <f>AU853+AU745</f>
        <v/>
      </c>
      <c r="AV837" s="1709">
        <f>AV853+AV745</f>
        <v/>
      </c>
      <c r="AW837" s="1709">
        <f>AW853+AW745</f>
        <v/>
      </c>
      <c r="AX837" s="1709">
        <f>AX853+AX745</f>
        <v/>
      </c>
      <c r="AY837" s="1709">
        <f>AY853+AY745</f>
        <v/>
      </c>
      <c r="AZ837" s="1516">
        <f>AZ853+AZ745</f>
        <v/>
      </c>
      <c r="BA837" s="1709">
        <f>BA853+BA745</f>
        <v/>
      </c>
      <c r="BB837" s="1709">
        <f>BB853+BB745</f>
        <v/>
      </c>
      <c r="BC837" s="1709">
        <f>BC853+BC745</f>
        <v/>
      </c>
      <c r="BD837" s="1709">
        <f>BD853+BD745</f>
        <v/>
      </c>
      <c r="BE837" s="1516">
        <f>BE853+BE745</f>
        <v/>
      </c>
      <c r="BF837" s="1709">
        <f>BF853+BF745</f>
        <v/>
      </c>
      <c r="BG837" s="1709">
        <f>BG853+BG745</f>
        <v/>
      </c>
      <c r="BH837" s="1709">
        <f>BH853+BH745</f>
        <v/>
      </c>
      <c r="BI837" s="1709">
        <f>BI853+BI745</f>
        <v/>
      </c>
      <c r="BJ837" s="1516">
        <f>BJ853+BJ745</f>
        <v/>
      </c>
      <c r="BK837" s="1709">
        <f>BK853+BK745</f>
        <v/>
      </c>
      <c r="BL837" s="1709">
        <f>BL853+BL745</f>
        <v/>
      </c>
      <c r="BM837" s="1709">
        <f>BM853+BM745</f>
        <v/>
      </c>
      <c r="BN837" s="1709">
        <f>BN853+BN745</f>
        <v/>
      </c>
      <c r="BO837" s="1710">
        <f>BO853+BO745</f>
        <v/>
      </c>
      <c r="BP837" s="1709">
        <f>BP853*(1-BP854)</f>
        <v/>
      </c>
      <c r="BQ837" s="1709">
        <f>BQ853*(1-BQ854)</f>
        <v/>
      </c>
      <c r="BR837" s="1709">
        <f>BR853*(1-BR854)</f>
        <v/>
      </c>
      <c r="BS837" s="1709">
        <f>BS853*(1-BS854)</f>
        <v/>
      </c>
      <c r="BT837" s="1516">
        <f>IF(OR(ISBLANK(BP837),ISBLANK(BQ837),ISBLANK(BR837),ISBLANK(BS837)),"n/a",SUM(BP837,BQ837,BR837,BS837))</f>
        <v/>
      </c>
      <c r="BU837" s="1709">
        <f>BU853*(1-BU854)</f>
        <v/>
      </c>
      <c r="BV837" s="1709">
        <f>BV853*(1-BV854)</f>
        <v/>
      </c>
      <c r="BW837" s="1709">
        <f>BW853*(1-BW854)</f>
        <v/>
      </c>
      <c r="BX837" s="1709">
        <f>BX853*(1-BX854)</f>
        <v/>
      </c>
      <c r="BY837" s="1516">
        <f>IF(OR(ISBLANK(BU837),ISBLANK(BV837),ISBLANK(BW837),ISBLANK(BX837)),"n/a",SUM(BU837,BV837,BW837,BX837))</f>
        <v/>
      </c>
      <c r="BZ837" s="1516">
        <f>BZ853*(1-BZ854)</f>
        <v/>
      </c>
      <c r="CA837" s="1516">
        <f>CA853*(1-CA854)</f>
        <v/>
      </c>
      <c r="CB837" s="1516">
        <f>CB853*(1-CB854)</f>
        <v/>
      </c>
      <c r="CC837" s="1331" t="n"/>
    </row>
    <row r="838" ht="14.4" customFormat="1" customHeight="1" s="1323">
      <c r="A838" s="1384" t="inlineStr">
        <is>
          <t>Other net additions to PP&amp;E, mm</t>
        </is>
      </c>
      <c r="B838" s="1387" t="n"/>
      <c r="C838" s="1516" t="n"/>
      <c r="D838" s="1516">
        <f>ROUND(D839-D835-D836-D837,6)</f>
        <v/>
      </c>
      <c r="E838" s="1516">
        <f>ROUND(E839-E835-E836-E837,6)</f>
        <v/>
      </c>
      <c r="F838" s="1516">
        <f>ROUND(F839-F835-F836-F837,6)</f>
        <v/>
      </c>
      <c r="G838" s="1516">
        <f>ROUND(G839-G835-G836-G837,6)</f>
        <v/>
      </c>
      <c r="H838" s="1709">
        <f>ROUND(H839-H835-H836-H837,6)</f>
        <v/>
      </c>
      <c r="I838" s="1709">
        <f>ROUND(I839-I835-I836-I837,6)</f>
        <v/>
      </c>
      <c r="J838" s="1709">
        <f>ROUND(J839-J835-J836-J837,6)</f>
        <v/>
      </c>
      <c r="K838" s="1709">
        <f>ROUND(K839-K835-K836-K837,6)</f>
        <v/>
      </c>
      <c r="L838" s="1516">
        <f>ROUND(L839-L835-L836-L837,6)</f>
        <v/>
      </c>
      <c r="M838" s="1709">
        <f>ROUND(M839-M835-M836-M837,6)</f>
        <v/>
      </c>
      <c r="N838" s="1709">
        <f>ROUND(N839-N835-N836-N837,6)</f>
        <v/>
      </c>
      <c r="O838" s="1709">
        <f>ROUND(O839-O835-O836-O837,6)</f>
        <v/>
      </c>
      <c r="P838" s="1709">
        <f>ROUND(P839-P835-P836-P837,6)</f>
        <v/>
      </c>
      <c r="Q838" s="1516">
        <f>ROUND(Q839-Q835-Q836-Q837,6)</f>
        <v/>
      </c>
      <c r="R838" s="1709">
        <f>ROUND(R839-R835-R836-R837,6)</f>
        <v/>
      </c>
      <c r="S838" s="1709">
        <f>ROUND(S839-S835-S836-S837,6)</f>
        <v/>
      </c>
      <c r="T838" s="1709">
        <f>ROUND(T839-T835-T836-T837,6)</f>
        <v/>
      </c>
      <c r="U838" s="1709">
        <f>ROUND(U839-U835-U836-U837,6)</f>
        <v/>
      </c>
      <c r="V838" s="1516">
        <f>ROUND(V839-V835-V836-V837,6)</f>
        <v/>
      </c>
      <c r="W838" s="1709">
        <f>ROUND(W839-W835-W836-W837,6)</f>
        <v/>
      </c>
      <c r="X838" s="1709">
        <f>ROUND(X839-X835-X836-X837,6)</f>
        <v/>
      </c>
      <c r="Y838" s="1709">
        <f>ROUND(Y839-Y835-Y836-Y837,6)</f>
        <v/>
      </c>
      <c r="Z838" s="1709">
        <f>ROUND(Z839-Z835-Z836-Z837,6)</f>
        <v/>
      </c>
      <c r="AA838" s="1516">
        <f>ROUND(AA839-AA835-AA836-AA837,6)</f>
        <v/>
      </c>
      <c r="AB838" s="1709">
        <f>ROUND(AB839-AB835-AB836-AB837,6)</f>
        <v/>
      </c>
      <c r="AC838" s="1709">
        <f>ROUND(AC839-AC835-AC836-AC837,6)</f>
        <v/>
      </c>
      <c r="AD838" s="1709">
        <f>ROUND(AD839-AD835-AD836-AD837,6)</f>
        <v/>
      </c>
      <c r="AE838" s="1709">
        <f>ROUND(AE839-AE835-AE836-AE837,6)</f>
        <v/>
      </c>
      <c r="AF838" s="1516">
        <f>ROUND(AF839-AF835-AF836-AF837,6)</f>
        <v/>
      </c>
      <c r="AG838" s="1709">
        <f>ROUND(AG839-AG835-AG836-AG837,6)</f>
        <v/>
      </c>
      <c r="AH838" s="1709">
        <f>ROUND(AH839-AH835-AH836-AH837,6)</f>
        <v/>
      </c>
      <c r="AI838" s="1709">
        <f>ROUND(AI839-AI835-AI836-AI837,6)</f>
        <v/>
      </c>
      <c r="AJ838" s="1709">
        <f>ROUND(AJ839-AJ835-AJ836-AJ837,6)</f>
        <v/>
      </c>
      <c r="AK838" s="1516">
        <f>ROUND(AK839-AK835-AK836-AK837,6)</f>
        <v/>
      </c>
      <c r="AL838" s="1709">
        <f>ROUND(AL839-AL835-AL836-AL837,6)</f>
        <v/>
      </c>
      <c r="AM838" s="1709">
        <f>ROUND(AM839-AM835-AM836-AM837,6)</f>
        <v/>
      </c>
      <c r="AN838" s="1709">
        <f>ROUND(AN839-AN835-AN836-AN837,6)</f>
        <v/>
      </c>
      <c r="AO838" s="1709">
        <f>ROUND(AO839-AO835-AO836-AO837,6)</f>
        <v/>
      </c>
      <c r="AP838" s="1516">
        <f>ROUND(AP839-AP835-AP836-AP837,6)</f>
        <v/>
      </c>
      <c r="AQ838" s="1709">
        <f>ROUND(AQ839-AQ835-AQ836-AQ837,6)</f>
        <v/>
      </c>
      <c r="AR838" s="1709">
        <f>ROUND(AR839-AR835-AR836-AR837,6)</f>
        <v/>
      </c>
      <c r="AS838" s="1709">
        <f>ROUND(AS839-AS835-AS836-AS837,6)</f>
        <v/>
      </c>
      <c r="AT838" s="1709">
        <f>ROUND(AT839-AT835-AT836-AT837,6)</f>
        <v/>
      </c>
      <c r="AU838" s="1516">
        <f>ROUND(AU839-AU835-AU836-AU837,6)</f>
        <v/>
      </c>
      <c r="AV838" s="1709">
        <f>ROUND(AV839-AV835-AV836-AV837,6)</f>
        <v/>
      </c>
      <c r="AW838" s="1709">
        <f>ROUND(AW839-AW835-AW836-AW837,6)</f>
        <v/>
      </c>
      <c r="AX838" s="1709">
        <f>ROUND(AX839-AX835-AX836-AX837,6)</f>
        <v/>
      </c>
      <c r="AY838" s="1709">
        <f>ROUND(AY839-AY835-AY836-AY837,6)</f>
        <v/>
      </c>
      <c r="AZ838" s="1516">
        <f>ROUND(AZ839-AZ835-AZ836-AZ837,6)</f>
        <v/>
      </c>
      <c r="BA838" s="1709">
        <f>ROUND(BA839-BA835-BA836-BA837,6)</f>
        <v/>
      </c>
      <c r="BB838" s="1709">
        <f>ROUND(BB839-BB835-BB836-BB837,6)</f>
        <v/>
      </c>
      <c r="BC838" s="1709">
        <f>ROUND(BC839-BC835-BC836-BC837,6)</f>
        <v/>
      </c>
      <c r="BD838" s="1709">
        <f>ROUND(BD839-BD835-BD836-BD837,6)</f>
        <v/>
      </c>
      <c r="BE838" s="1516">
        <f>ROUND(BE839-BE835-BE836-BE837,6)</f>
        <v/>
      </c>
      <c r="BF838" s="1709">
        <f>ROUND(BF839-BF835-BF836-BF837,6)</f>
        <v/>
      </c>
      <c r="BG838" s="1709">
        <f>ROUND(BG839-BG835-BG836-BG837,6)</f>
        <v/>
      </c>
      <c r="BH838" s="1709">
        <f>ROUND(BH839-BH835-BH836-BH837,6)</f>
        <v/>
      </c>
      <c r="BI838" s="1709">
        <f>ROUND(BI839-BI835-BI836-BI837,6)</f>
        <v/>
      </c>
      <c r="BJ838" s="1516">
        <f>ROUND(BJ839-BJ835-BJ836-BJ837,6)</f>
        <v/>
      </c>
      <c r="BK838" s="1709">
        <f>ROUND(BK839-BK835-BK836-BK837,6)</f>
        <v/>
      </c>
      <c r="BL838" s="1709">
        <f>ROUND(BL839-BL835-BL836-BL837,6)</f>
        <v/>
      </c>
      <c r="BM838" s="1709">
        <f>ROUND(BM839-BM835-BM836-BM837,6)</f>
        <v/>
      </c>
      <c r="BN838" s="1709">
        <f>ROUND(BN839-BN835-BN836-BN837,6)</f>
        <v/>
      </c>
      <c r="BO838" s="1710">
        <f>ROUND(BO839-BO835-BO836-BO837,6)</f>
        <v/>
      </c>
      <c r="BP838" s="1709">
        <f>ROUND(BP839-BP835-BP836-BP837,6)</f>
        <v/>
      </c>
      <c r="BQ838" s="1709">
        <f>ROUND(BQ839-BQ835-BQ836-BQ837,6)</f>
        <v/>
      </c>
      <c r="BR838" s="1709">
        <f>ROUND(BR839-BR835-BR836-BR837,6)</f>
        <v/>
      </c>
      <c r="BS838" s="1709">
        <f>ROUND(BS839-BS835-BS836-BS837,6)</f>
        <v/>
      </c>
      <c r="BT838" s="1516">
        <f>ROUND(BT839-BT835-IF(ISNUMBER(BT836),BT836,0)-IF(ISNUMBER(BT837),BT837,0),6)</f>
        <v/>
      </c>
      <c r="BU838" s="1709">
        <f>ROUND(BU839-BU835-BU836-BU837,6)</f>
        <v/>
      </c>
      <c r="BV838" s="1709">
        <f>ROUND(BV839-BV835-BV836-BV837,6)</f>
        <v/>
      </c>
      <c r="BW838" s="1709">
        <f>ROUND(BW839-BW835-BW836-BW837,6)</f>
        <v/>
      </c>
      <c r="BX838" s="1709">
        <f>ROUND(BX839-BX835-BX836-BX837,6)</f>
        <v/>
      </c>
      <c r="BY838" s="1516">
        <f>ROUND(BY839-BY835-IF(ISNUMBER(BY836),BY836,0)-IF(ISNUMBER(BY837),BY837,0),6)</f>
        <v/>
      </c>
      <c r="BZ838" s="1516">
        <f>ROUND(BZ839-BZ835-BZ836-BZ837,6)</f>
        <v/>
      </c>
      <c r="CA838" s="1516">
        <f>ROUND(CA839-CA835-CA836-CA837,6)</f>
        <v/>
      </c>
      <c r="CB838" s="1516">
        <f>ROUND(CB839-CB835-CB836-CB837,6)</f>
        <v/>
      </c>
      <c r="CC838" s="1331" t="n"/>
    </row>
    <row r="839" ht="14.4" customFormat="1" customHeight="1" s="1323">
      <c r="A839" s="1800" t="inlineStr">
        <is>
          <t>PP&amp;E EoP, mm</t>
        </is>
      </c>
      <c r="B839" s="1801" t="n"/>
      <c r="C839" s="1802">
        <f>C895</f>
        <v/>
      </c>
      <c r="D839" s="1802">
        <f>D895</f>
        <v/>
      </c>
      <c r="E839" s="1802">
        <f>E895</f>
        <v/>
      </c>
      <c r="F839" s="1802">
        <f>F895</f>
        <v/>
      </c>
      <c r="G839" s="1802">
        <f>G895</f>
        <v/>
      </c>
      <c r="H839" s="1803">
        <f>H895</f>
        <v/>
      </c>
      <c r="I839" s="1803">
        <f>I895</f>
        <v/>
      </c>
      <c r="J839" s="1803">
        <f>J895</f>
        <v/>
      </c>
      <c r="K839" s="1803">
        <f>K895</f>
        <v/>
      </c>
      <c r="L839" s="1802">
        <f>L895</f>
        <v/>
      </c>
      <c r="M839" s="1803">
        <f>M895</f>
        <v/>
      </c>
      <c r="N839" s="1803">
        <f>N895</f>
        <v/>
      </c>
      <c r="O839" s="1803">
        <f>O895</f>
        <v/>
      </c>
      <c r="P839" s="1803">
        <f>P895</f>
        <v/>
      </c>
      <c r="Q839" s="1802">
        <f>Q895</f>
        <v/>
      </c>
      <c r="R839" s="1803">
        <f>R895</f>
        <v/>
      </c>
      <c r="S839" s="1803">
        <f>S895</f>
        <v/>
      </c>
      <c r="T839" s="1803">
        <f>T895</f>
        <v/>
      </c>
      <c r="U839" s="1803">
        <f>U895</f>
        <v/>
      </c>
      <c r="V839" s="1802">
        <f>V895</f>
        <v/>
      </c>
      <c r="W839" s="1803">
        <f>W895</f>
        <v/>
      </c>
      <c r="X839" s="1803">
        <f>X895</f>
        <v/>
      </c>
      <c r="Y839" s="1803">
        <f>Y895</f>
        <v/>
      </c>
      <c r="Z839" s="1803">
        <f>Z895</f>
        <v/>
      </c>
      <c r="AA839" s="1802">
        <f>AA895</f>
        <v/>
      </c>
      <c r="AB839" s="1803">
        <f>AB895</f>
        <v/>
      </c>
      <c r="AC839" s="1803">
        <f>AC895</f>
        <v/>
      </c>
      <c r="AD839" s="1803">
        <f>AD895</f>
        <v/>
      </c>
      <c r="AE839" s="1803">
        <f>AE895</f>
        <v/>
      </c>
      <c r="AF839" s="1802">
        <f>AF895</f>
        <v/>
      </c>
      <c r="AG839" s="1803">
        <f>AG895</f>
        <v/>
      </c>
      <c r="AH839" s="1803">
        <f>AH895</f>
        <v/>
      </c>
      <c r="AI839" s="1803">
        <f>AI895</f>
        <v/>
      </c>
      <c r="AJ839" s="1803">
        <f>AJ895</f>
        <v/>
      </c>
      <c r="AK839" s="1802">
        <f>AK895</f>
        <v/>
      </c>
      <c r="AL839" s="1803">
        <f>AL895</f>
        <v/>
      </c>
      <c r="AM839" s="1803">
        <f>AM895</f>
        <v/>
      </c>
      <c r="AN839" s="1803">
        <f>AN895</f>
        <v/>
      </c>
      <c r="AO839" s="1803">
        <f>AO895</f>
        <v/>
      </c>
      <c r="AP839" s="1802">
        <f>AP895</f>
        <v/>
      </c>
      <c r="AQ839" s="1803">
        <f>AQ895</f>
        <v/>
      </c>
      <c r="AR839" s="1803">
        <f>AR895</f>
        <v/>
      </c>
      <c r="AS839" s="1803">
        <f>AS895</f>
        <v/>
      </c>
      <c r="AT839" s="1803">
        <f>AT895</f>
        <v/>
      </c>
      <c r="AU839" s="1802">
        <f>AU895</f>
        <v/>
      </c>
      <c r="AV839" s="1803">
        <f>AV895</f>
        <v/>
      </c>
      <c r="AW839" s="1803">
        <f>AW895</f>
        <v/>
      </c>
      <c r="AX839" s="1803">
        <f>AX895</f>
        <v/>
      </c>
      <c r="AY839" s="1803">
        <f>AY895</f>
        <v/>
      </c>
      <c r="AZ839" s="1802">
        <f>AZ895</f>
        <v/>
      </c>
      <c r="BA839" s="1803">
        <f>BA895</f>
        <v/>
      </c>
      <c r="BB839" s="1803">
        <f>BB895</f>
        <v/>
      </c>
      <c r="BC839" s="1803">
        <f>BC895</f>
        <v/>
      </c>
      <c r="BD839" s="1803">
        <f>BD895</f>
        <v/>
      </c>
      <c r="BE839" s="1802">
        <f>BE895</f>
        <v/>
      </c>
      <c r="BF839" s="1803">
        <f>BF895</f>
        <v/>
      </c>
      <c r="BG839" s="1803">
        <f>BG895</f>
        <v/>
      </c>
      <c r="BH839" s="1803">
        <f>BH895</f>
        <v/>
      </c>
      <c r="BI839" s="1803">
        <f>BI895</f>
        <v/>
      </c>
      <c r="BJ839" s="1802">
        <f>BJ895</f>
        <v/>
      </c>
      <c r="BK839" s="1803">
        <f>BK895</f>
        <v/>
      </c>
      <c r="BL839" s="1803">
        <f>BL895</f>
        <v/>
      </c>
      <c r="BM839" s="1803">
        <f>BM895</f>
        <v/>
      </c>
      <c r="BN839" s="1803">
        <f>BN895</f>
        <v/>
      </c>
      <c r="BO839" s="1804">
        <f>BO895</f>
        <v/>
      </c>
      <c r="BP839" s="1803">
        <f>BP895</f>
        <v/>
      </c>
      <c r="BQ839" s="1803">
        <f>BQ895</f>
        <v/>
      </c>
      <c r="BR839" s="1803">
        <f>BR895</f>
        <v/>
      </c>
      <c r="BS839" s="1803">
        <f>BS895</f>
        <v/>
      </c>
      <c r="BT839" s="1802">
        <f>BT895</f>
        <v/>
      </c>
      <c r="BU839" s="1803">
        <f>BU895</f>
        <v/>
      </c>
      <c r="BV839" s="1803">
        <f>BV895</f>
        <v/>
      </c>
      <c r="BW839" s="1803">
        <f>BW895</f>
        <v/>
      </c>
      <c r="BX839" s="1803">
        <f>BX895</f>
        <v/>
      </c>
      <c r="BY839" s="1802">
        <f>BY895</f>
        <v/>
      </c>
      <c r="BZ839" s="1802">
        <f>BZ895</f>
        <v/>
      </c>
      <c r="CA839" s="1802">
        <f>CA895</f>
        <v/>
      </c>
      <c r="CB839" s="1802">
        <f>CB895</f>
        <v/>
      </c>
      <c r="CC839" s="1331" t="n"/>
    </row>
    <row r="840" ht="14.4" customFormat="1" customHeight="1" s="1323">
      <c r="A840" s="1384" t="n"/>
      <c r="B840" s="1387" t="n"/>
      <c r="C840" s="1516" t="n"/>
      <c r="D840" s="1516" t="n"/>
      <c r="E840" s="1516" t="n"/>
      <c r="F840" s="1516" t="n"/>
      <c r="G840" s="1516" t="n"/>
      <c r="H840" s="1709" t="n"/>
      <c r="I840" s="1709" t="n"/>
      <c r="J840" s="1709" t="n"/>
      <c r="K840" s="1709" t="n"/>
      <c r="L840" s="1516" t="n"/>
      <c r="M840" s="1709" t="n"/>
      <c r="N840" s="1709" t="n"/>
      <c r="O840" s="1709" t="n"/>
      <c r="P840" s="1709" t="n"/>
      <c r="Q840" s="1516" t="n"/>
      <c r="R840" s="1709" t="n"/>
      <c r="S840" s="1709" t="n"/>
      <c r="T840" s="1709" t="n"/>
      <c r="U840" s="1709" t="n"/>
      <c r="V840" s="1516" t="n"/>
      <c r="W840" s="1709" t="n"/>
      <c r="X840" s="1709" t="n"/>
      <c r="Y840" s="1709" t="n"/>
      <c r="Z840" s="1709" t="n"/>
      <c r="AA840" s="1516" t="n"/>
      <c r="AB840" s="1709" t="n"/>
      <c r="AC840" s="1709" t="n"/>
      <c r="AD840" s="1709" t="n"/>
      <c r="AE840" s="1709" t="n"/>
      <c r="AF840" s="1516" t="n"/>
      <c r="AG840" s="1709" t="n"/>
      <c r="AH840" s="1709" t="n"/>
      <c r="AI840" s="1709" t="n"/>
      <c r="AJ840" s="1709" t="n"/>
      <c r="AK840" s="1516" t="n"/>
      <c r="AL840" s="1709" t="n"/>
      <c r="AM840" s="1709" t="n"/>
      <c r="AN840" s="1709" t="n"/>
      <c r="AO840" s="1709" t="n"/>
      <c r="AP840" s="1516" t="n"/>
      <c r="AQ840" s="1709" t="n"/>
      <c r="AR840" s="1709" t="n"/>
      <c r="AS840" s="1709" t="n"/>
      <c r="AT840" s="1709" t="n"/>
      <c r="AU840" s="1516" t="n"/>
      <c r="AV840" s="1709" t="n"/>
      <c r="AW840" s="1709" t="n"/>
      <c r="AX840" s="1709" t="n"/>
      <c r="AY840" s="1709" t="n"/>
      <c r="AZ840" s="1516" t="n"/>
      <c r="BA840" s="1709" t="n"/>
      <c r="BB840" s="1709" t="n"/>
      <c r="BC840" s="1709" t="n"/>
      <c r="BD840" s="1709" t="n"/>
      <c r="BE840" s="1516" t="n"/>
      <c r="BF840" s="1709" t="n"/>
      <c r="BG840" s="1709" t="n"/>
      <c r="BH840" s="1709" t="n"/>
      <c r="BI840" s="1709" t="n"/>
      <c r="BJ840" s="1516" t="n"/>
      <c r="BK840" s="1709" t="n"/>
      <c r="BL840" s="1709" t="n"/>
      <c r="BM840" s="1709" t="n"/>
      <c r="BN840" s="1709" t="n"/>
      <c r="BO840" s="1710" t="n"/>
      <c r="BP840" s="1709" t="n"/>
      <c r="BQ840" s="1709" t="n"/>
      <c r="BR840" s="1709" t="n"/>
      <c r="BS840" s="1709" t="n"/>
      <c r="BT840" s="1516" t="n"/>
      <c r="BU840" s="1709" t="n"/>
      <c r="BV840" s="1709" t="n"/>
      <c r="BW840" s="1709" t="n"/>
      <c r="BX840" s="1709" t="n"/>
      <c r="BY840" s="1516" t="n"/>
      <c r="BZ840" s="1516" t="n"/>
      <c r="CA840" s="1516" t="n"/>
      <c r="CB840" s="1516" t="n"/>
      <c r="CC840" s="1331" t="n"/>
    </row>
    <row r="841" ht="14.4" customFormat="1" customHeight="1" s="1323">
      <c r="A841" s="1344" t="inlineStr">
        <is>
          <t>Intangibles BoP, mm</t>
        </is>
      </c>
      <c r="B841" s="1394" t="n"/>
      <c r="C841" s="1797" t="n"/>
      <c r="D841" s="1797">
        <f>C845</f>
        <v/>
      </c>
      <c r="E841" s="1797">
        <f>D845</f>
        <v/>
      </c>
      <c r="F841" s="1797">
        <f>E845</f>
        <v/>
      </c>
      <c r="G841" s="1797">
        <f>F845</f>
        <v/>
      </c>
      <c r="H841" s="1798">
        <f>G845</f>
        <v/>
      </c>
      <c r="I841" s="1798">
        <f>H845</f>
        <v/>
      </c>
      <c r="J841" s="1798">
        <f>I845</f>
        <v/>
      </c>
      <c r="K841" s="1798">
        <f>J845</f>
        <v/>
      </c>
      <c r="L841" s="1797">
        <f>G845</f>
        <v/>
      </c>
      <c r="M841" s="1798">
        <f>L845</f>
        <v/>
      </c>
      <c r="N841" s="1798">
        <f>M845</f>
        <v/>
      </c>
      <c r="O841" s="1798">
        <f>N845</f>
        <v/>
      </c>
      <c r="P841" s="1798">
        <f>O845</f>
        <v/>
      </c>
      <c r="Q841" s="1797">
        <f>L845</f>
        <v/>
      </c>
      <c r="R841" s="1798">
        <f>Q845</f>
        <v/>
      </c>
      <c r="S841" s="1798">
        <f>R845</f>
        <v/>
      </c>
      <c r="T841" s="1798">
        <f>S845</f>
        <v/>
      </c>
      <c r="U841" s="1798">
        <f>T845</f>
        <v/>
      </c>
      <c r="V841" s="1797">
        <f>Q845</f>
        <v/>
      </c>
      <c r="W841" s="1798">
        <f>V845</f>
        <v/>
      </c>
      <c r="X841" s="1798">
        <f>W845</f>
        <v/>
      </c>
      <c r="Y841" s="1798">
        <f>X845</f>
        <v/>
      </c>
      <c r="Z841" s="1798">
        <f>Y845</f>
        <v/>
      </c>
      <c r="AA841" s="1797">
        <f>V845</f>
        <v/>
      </c>
      <c r="AB841" s="1798">
        <f>AA845</f>
        <v/>
      </c>
      <c r="AC841" s="1798">
        <f>AB845</f>
        <v/>
      </c>
      <c r="AD841" s="1798">
        <f>AC845</f>
        <v/>
      </c>
      <c r="AE841" s="1798">
        <f>AD845</f>
        <v/>
      </c>
      <c r="AF841" s="1797">
        <f>AA845</f>
        <v/>
      </c>
      <c r="AG841" s="1798">
        <f>AF845</f>
        <v/>
      </c>
      <c r="AH841" s="1798">
        <f>AG845</f>
        <v/>
      </c>
      <c r="AI841" s="1798">
        <f>AH845</f>
        <v/>
      </c>
      <c r="AJ841" s="1798">
        <f>AI845</f>
        <v/>
      </c>
      <c r="AK841" s="1797">
        <f>AF845</f>
        <v/>
      </c>
      <c r="AL841" s="1798">
        <f>AK845</f>
        <v/>
      </c>
      <c r="AM841" s="1798">
        <f>AL845</f>
        <v/>
      </c>
      <c r="AN841" s="1798">
        <f>AM845</f>
        <v/>
      </c>
      <c r="AO841" s="1798">
        <f>AN845</f>
        <v/>
      </c>
      <c r="AP841" s="1797">
        <f>AK845</f>
        <v/>
      </c>
      <c r="AQ841" s="1798">
        <f>AP845</f>
        <v/>
      </c>
      <c r="AR841" s="1798">
        <f>AQ845</f>
        <v/>
      </c>
      <c r="AS841" s="1798">
        <f>AR845</f>
        <v/>
      </c>
      <c r="AT841" s="1798">
        <f>AS845</f>
        <v/>
      </c>
      <c r="AU841" s="1797">
        <f>AP845</f>
        <v/>
      </c>
      <c r="AV841" s="1798">
        <f>AU845</f>
        <v/>
      </c>
      <c r="AW841" s="1798">
        <f>AV845</f>
        <v/>
      </c>
      <c r="AX841" s="1798">
        <f>AW845</f>
        <v/>
      </c>
      <c r="AY841" s="1798">
        <f>AX845</f>
        <v/>
      </c>
      <c r="AZ841" s="1797">
        <f>AU845</f>
        <v/>
      </c>
      <c r="BA841" s="1798">
        <f>AZ845</f>
        <v/>
      </c>
      <c r="BB841" s="1798">
        <f>BA845</f>
        <v/>
      </c>
      <c r="BC841" s="1798">
        <f>BB845</f>
        <v/>
      </c>
      <c r="BD841" s="1798">
        <f>BC845</f>
        <v/>
      </c>
      <c r="BE841" s="1797">
        <f>AZ845</f>
        <v/>
      </c>
      <c r="BF841" s="1798">
        <f>BE845</f>
        <v/>
      </c>
      <c r="BG841" s="1798">
        <f>BF845</f>
        <v/>
      </c>
      <c r="BH841" s="1798">
        <f>BG845</f>
        <v/>
      </c>
      <c r="BI841" s="1798">
        <f>BH845</f>
        <v/>
      </c>
      <c r="BJ841" s="1797">
        <f>BE845</f>
        <v/>
      </c>
      <c r="BK841" s="1798">
        <f>BJ845</f>
        <v/>
      </c>
      <c r="BL841" s="1798">
        <f>BK845</f>
        <v/>
      </c>
      <c r="BM841" s="1798">
        <f>BL845</f>
        <v/>
      </c>
      <c r="BN841" s="1798">
        <f>BM845</f>
        <v/>
      </c>
      <c r="BO841" s="1799">
        <f>BJ845</f>
        <v/>
      </c>
      <c r="BP841" s="1798">
        <f>BO845</f>
        <v/>
      </c>
      <c r="BQ841" s="1798">
        <f>BP845</f>
        <v/>
      </c>
      <c r="BR841" s="1798">
        <f>BQ845</f>
        <v/>
      </c>
      <c r="BS841" s="1798">
        <f>BR845</f>
        <v/>
      </c>
      <c r="BT841" s="1797">
        <f>BO845</f>
        <v/>
      </c>
      <c r="BU841" s="1798">
        <f>BT845</f>
        <v/>
      </c>
      <c r="BV841" s="1798">
        <f>BU845</f>
        <v/>
      </c>
      <c r="BW841" s="1798">
        <f>BV845</f>
        <v/>
      </c>
      <c r="BX841" s="1798">
        <f>BW845</f>
        <v/>
      </c>
      <c r="BY841" s="1797">
        <f>BT845</f>
        <v/>
      </c>
      <c r="BZ841" s="1797">
        <f>BY845</f>
        <v/>
      </c>
      <c r="CA841" s="1797">
        <f>BZ845</f>
        <v/>
      </c>
      <c r="CB841" s="1797">
        <f>CA845</f>
        <v/>
      </c>
      <c r="CC841" s="1331" t="n"/>
    </row>
    <row r="842" ht="14.4" customFormat="1" customHeight="1" s="1323">
      <c r="A842" s="1384" t="inlineStr">
        <is>
          <t>Amortization of intangibles, mm</t>
        </is>
      </c>
      <c r="B842" s="1387" t="n"/>
      <c r="C842" s="1516" t="n"/>
      <c r="D842" s="1516">
        <f>-D678</f>
        <v/>
      </c>
      <c r="E842" s="1516">
        <f>-E678</f>
        <v/>
      </c>
      <c r="F842" s="1516">
        <f>-F678</f>
        <v/>
      </c>
      <c r="G842" s="1516">
        <f>-G678</f>
        <v/>
      </c>
      <c r="H842" s="1709">
        <f>-H678</f>
        <v/>
      </c>
      <c r="I842" s="1709">
        <f>-I678</f>
        <v/>
      </c>
      <c r="J842" s="1709">
        <f>-J678</f>
        <v/>
      </c>
      <c r="K842" s="1709">
        <f>-K678</f>
        <v/>
      </c>
      <c r="L842" s="1516">
        <f>-L678</f>
        <v/>
      </c>
      <c r="M842" s="1709">
        <f>-M678</f>
        <v/>
      </c>
      <c r="N842" s="1709">
        <f>-N678</f>
        <v/>
      </c>
      <c r="O842" s="1709">
        <f>-O678</f>
        <v/>
      </c>
      <c r="P842" s="1709">
        <f>-P678</f>
        <v/>
      </c>
      <c r="Q842" s="1516">
        <f>-Q678</f>
        <v/>
      </c>
      <c r="R842" s="1709">
        <f>-R678</f>
        <v/>
      </c>
      <c r="S842" s="1709">
        <f>-S678</f>
        <v/>
      </c>
      <c r="T842" s="1709">
        <f>-T678</f>
        <v/>
      </c>
      <c r="U842" s="1709">
        <f>-U678</f>
        <v/>
      </c>
      <c r="V842" s="1516">
        <f>-V678</f>
        <v/>
      </c>
      <c r="W842" s="1709">
        <f>-W678</f>
        <v/>
      </c>
      <c r="X842" s="1709">
        <f>-X678</f>
        <v/>
      </c>
      <c r="Y842" s="1709">
        <f>-Y678</f>
        <v/>
      </c>
      <c r="Z842" s="1709">
        <f>-Z678</f>
        <v/>
      </c>
      <c r="AA842" s="1516">
        <f>-AA678</f>
        <v/>
      </c>
      <c r="AB842" s="1709">
        <f>-AB678</f>
        <v/>
      </c>
      <c r="AC842" s="1709">
        <f>-AC678</f>
        <v/>
      </c>
      <c r="AD842" s="1709">
        <f>-AD678</f>
        <v/>
      </c>
      <c r="AE842" s="1709">
        <f>-AE678</f>
        <v/>
      </c>
      <c r="AF842" s="1516">
        <f>-AF678</f>
        <v/>
      </c>
      <c r="AG842" s="1709">
        <f>-AG678</f>
        <v/>
      </c>
      <c r="AH842" s="1709">
        <f>-AH678</f>
        <v/>
      </c>
      <c r="AI842" s="1709">
        <f>-AI678</f>
        <v/>
      </c>
      <c r="AJ842" s="1709">
        <f>-AJ678</f>
        <v/>
      </c>
      <c r="AK842" s="1516">
        <f>-AK678</f>
        <v/>
      </c>
      <c r="AL842" s="1709">
        <f>-AL678</f>
        <v/>
      </c>
      <c r="AM842" s="1709">
        <f>-AM678</f>
        <v/>
      </c>
      <c r="AN842" s="1709">
        <f>-AN678</f>
        <v/>
      </c>
      <c r="AO842" s="1709">
        <f>-AO678</f>
        <v/>
      </c>
      <c r="AP842" s="1516">
        <f>-AP678</f>
        <v/>
      </c>
      <c r="AQ842" s="1709">
        <f>-AQ678</f>
        <v/>
      </c>
      <c r="AR842" s="1709">
        <f>-AR678</f>
        <v/>
      </c>
      <c r="AS842" s="1709">
        <f>-AS678</f>
        <v/>
      </c>
      <c r="AT842" s="1709">
        <f>-AT678</f>
        <v/>
      </c>
      <c r="AU842" s="1516">
        <f>-AU678</f>
        <v/>
      </c>
      <c r="AV842" s="1709">
        <f>-AV678</f>
        <v/>
      </c>
      <c r="AW842" s="1709">
        <f>-AW678</f>
        <v/>
      </c>
      <c r="AX842" s="1709">
        <f>-AX678</f>
        <v/>
      </c>
      <c r="AY842" s="1709">
        <f>-AY678</f>
        <v/>
      </c>
      <c r="AZ842" s="1516">
        <f>-AZ678</f>
        <v/>
      </c>
      <c r="BA842" s="1709">
        <f>-BA678</f>
        <v/>
      </c>
      <c r="BB842" s="1709">
        <f>-BB678</f>
        <v/>
      </c>
      <c r="BC842" s="1709">
        <f>-BC678</f>
        <v/>
      </c>
      <c r="BD842" s="1709">
        <f>-BD678</f>
        <v/>
      </c>
      <c r="BE842" s="1516">
        <f>-BE678</f>
        <v/>
      </c>
      <c r="BF842" s="1709">
        <f>-BF678</f>
        <v/>
      </c>
      <c r="BG842" s="1709">
        <f>-BG678</f>
        <v/>
      </c>
      <c r="BH842" s="1709">
        <f>-BH678</f>
        <v/>
      </c>
      <c r="BI842" s="1709">
        <f>-BI678</f>
        <v/>
      </c>
      <c r="BJ842" s="1516">
        <f>-BJ678</f>
        <v/>
      </c>
      <c r="BK842" s="1709">
        <f>-BK678</f>
        <v/>
      </c>
      <c r="BL842" s="1709">
        <f>-BL678</f>
        <v/>
      </c>
      <c r="BM842" s="1709">
        <f>-BM678</f>
        <v/>
      </c>
      <c r="BN842" s="1709">
        <f>-BN678</f>
        <v/>
      </c>
      <c r="BO842" s="1710">
        <f>-BO678</f>
        <v/>
      </c>
      <c r="BP842" s="1709">
        <f>-BP841*BP848*BP3/BT3</f>
        <v/>
      </c>
      <c r="BQ842" s="1709">
        <f>-BQ841*BQ848*BQ3/BT3</f>
        <v/>
      </c>
      <c r="BR842" s="1709">
        <f>-BR841*BR848*BR3/BT3</f>
        <v/>
      </c>
      <c r="BS842" s="1709">
        <f>-BS841*BS848*BS3/BT3</f>
        <v/>
      </c>
      <c r="BT842" s="1516">
        <f>IF(OR(ISBLANK(BP842),ISBLANK(BQ842),ISBLANK(BR842),ISBLANK(BS842)),"n/a",SUM(BP842,BQ842,BR842,BS842))</f>
        <v/>
      </c>
      <c r="BU842" s="1709">
        <f>-BU841*BU848*BU3/BY3</f>
        <v/>
      </c>
      <c r="BV842" s="1709">
        <f>-BV841*BV848*BV3/BY3</f>
        <v/>
      </c>
      <c r="BW842" s="1709">
        <f>-BW841*BW848*BW3/BY3</f>
        <v/>
      </c>
      <c r="BX842" s="1709">
        <f>-BX841*BX848*BX3/BY3</f>
        <v/>
      </c>
      <c r="BY842" s="1516">
        <f>IF(OR(ISBLANK(BU842),ISBLANK(BV842),ISBLANK(BW842),ISBLANK(BX842)),"n/a",SUM(BU842,BV842,BW842,BX842))</f>
        <v/>
      </c>
      <c r="BZ842" s="1516">
        <f>-BZ841*BZ848</f>
        <v/>
      </c>
      <c r="CA842" s="1516">
        <f>-CA841*CA848</f>
        <v/>
      </c>
      <c r="CB842" s="1516">
        <f>-CB841*CB848</f>
        <v/>
      </c>
      <c r="CC842" s="1331" t="n"/>
    </row>
    <row r="843" ht="14.4" customFormat="1" customHeight="1" s="1323">
      <c r="A843" s="1384" t="inlineStr">
        <is>
          <t>Capex of intangibles, mm</t>
        </is>
      </c>
      <c r="B843" s="1387" t="n"/>
      <c r="C843" s="1516" t="n"/>
      <c r="D843" s="1516">
        <f>-D745</f>
        <v/>
      </c>
      <c r="E843" s="1516">
        <f>-E745</f>
        <v/>
      </c>
      <c r="F843" s="1516">
        <f>-F745</f>
        <v/>
      </c>
      <c r="G843" s="1516">
        <f>-G745</f>
        <v/>
      </c>
      <c r="H843" s="1709">
        <f>-H745</f>
        <v/>
      </c>
      <c r="I843" s="1709">
        <f>-I745</f>
        <v/>
      </c>
      <c r="J843" s="1709">
        <f>-J745</f>
        <v/>
      </c>
      <c r="K843" s="1709">
        <f>-K745</f>
        <v/>
      </c>
      <c r="L843" s="1516">
        <f>-L745</f>
        <v/>
      </c>
      <c r="M843" s="1709">
        <f>-M745</f>
        <v/>
      </c>
      <c r="N843" s="1709">
        <f>-N745</f>
        <v/>
      </c>
      <c r="O843" s="1709">
        <f>-O745</f>
        <v/>
      </c>
      <c r="P843" s="1709">
        <f>-P745</f>
        <v/>
      </c>
      <c r="Q843" s="1516">
        <f>-Q745</f>
        <v/>
      </c>
      <c r="R843" s="1709">
        <f>-R745</f>
        <v/>
      </c>
      <c r="S843" s="1709">
        <f>-S745</f>
        <v/>
      </c>
      <c r="T843" s="1709">
        <f>-T745</f>
        <v/>
      </c>
      <c r="U843" s="1709">
        <f>-U745</f>
        <v/>
      </c>
      <c r="V843" s="1516">
        <f>-V745</f>
        <v/>
      </c>
      <c r="W843" s="1709">
        <f>-W745</f>
        <v/>
      </c>
      <c r="X843" s="1709">
        <f>-X745</f>
        <v/>
      </c>
      <c r="Y843" s="1709">
        <f>-Y745</f>
        <v/>
      </c>
      <c r="Z843" s="1709">
        <f>-Z745</f>
        <v/>
      </c>
      <c r="AA843" s="1516">
        <f>-AA745</f>
        <v/>
      </c>
      <c r="AB843" s="1709">
        <f>-AB745</f>
        <v/>
      </c>
      <c r="AC843" s="1709">
        <f>-AC745</f>
        <v/>
      </c>
      <c r="AD843" s="1709">
        <f>-AD745</f>
        <v/>
      </c>
      <c r="AE843" s="1709">
        <f>-AE745</f>
        <v/>
      </c>
      <c r="AF843" s="1516">
        <f>-AF745</f>
        <v/>
      </c>
      <c r="AG843" s="1709">
        <f>-AG745</f>
        <v/>
      </c>
      <c r="AH843" s="1709">
        <f>-AH745</f>
        <v/>
      </c>
      <c r="AI843" s="1709">
        <f>-AI745</f>
        <v/>
      </c>
      <c r="AJ843" s="1709">
        <f>-AJ745</f>
        <v/>
      </c>
      <c r="AK843" s="1516">
        <f>-AK745</f>
        <v/>
      </c>
      <c r="AL843" s="1709">
        <f>-AL745</f>
        <v/>
      </c>
      <c r="AM843" s="1709">
        <f>-AM745</f>
        <v/>
      </c>
      <c r="AN843" s="1709">
        <f>-AN745</f>
        <v/>
      </c>
      <c r="AO843" s="1709">
        <f>-AO745</f>
        <v/>
      </c>
      <c r="AP843" s="1516">
        <f>-AP745</f>
        <v/>
      </c>
      <c r="AQ843" s="1709">
        <f>-AQ745</f>
        <v/>
      </c>
      <c r="AR843" s="1709">
        <f>-AR745</f>
        <v/>
      </c>
      <c r="AS843" s="1709">
        <f>-AS745</f>
        <v/>
      </c>
      <c r="AT843" s="1709">
        <f>-AT745</f>
        <v/>
      </c>
      <c r="AU843" s="1516">
        <f>-AU745</f>
        <v/>
      </c>
      <c r="AV843" s="1709">
        <f>-AV745</f>
        <v/>
      </c>
      <c r="AW843" s="1709">
        <f>-AW745</f>
        <v/>
      </c>
      <c r="AX843" s="1709">
        <f>-AX745</f>
        <v/>
      </c>
      <c r="AY843" s="1709">
        <f>-AY745</f>
        <v/>
      </c>
      <c r="AZ843" s="1516">
        <f>-AZ745</f>
        <v/>
      </c>
      <c r="BA843" s="1709">
        <f>-BA745</f>
        <v/>
      </c>
      <c r="BB843" s="1709">
        <f>-BB745</f>
        <v/>
      </c>
      <c r="BC843" s="1709">
        <f>-BC745</f>
        <v/>
      </c>
      <c r="BD843" s="1709">
        <f>-BD745</f>
        <v/>
      </c>
      <c r="BE843" s="1516">
        <f>-BE745</f>
        <v/>
      </c>
      <c r="BF843" s="1709">
        <f>-BF745</f>
        <v/>
      </c>
      <c r="BG843" s="1709">
        <f>-BG745</f>
        <v/>
      </c>
      <c r="BH843" s="1709">
        <f>-BH745</f>
        <v/>
      </c>
      <c r="BI843" s="1709">
        <f>-BI745</f>
        <v/>
      </c>
      <c r="BJ843" s="1516">
        <f>-BJ745</f>
        <v/>
      </c>
      <c r="BK843" s="1709">
        <f>-BK745</f>
        <v/>
      </c>
      <c r="BL843" s="1709">
        <f>-BL745</f>
        <v/>
      </c>
      <c r="BM843" s="1709">
        <f>-BM745</f>
        <v/>
      </c>
      <c r="BN843" s="1709">
        <f>-BN745</f>
        <v/>
      </c>
      <c r="BO843" s="1710">
        <f>-BO745</f>
        <v/>
      </c>
      <c r="BP843" s="1709">
        <f>BP853*BP854</f>
        <v/>
      </c>
      <c r="BQ843" s="1709">
        <f>BQ853*BQ854</f>
        <v/>
      </c>
      <c r="BR843" s="1709">
        <f>BR853*BR854</f>
        <v/>
      </c>
      <c r="BS843" s="1709">
        <f>BS853*BS854</f>
        <v/>
      </c>
      <c r="BT843" s="1516">
        <f>IF(OR(ISBLANK(BP843),ISBLANK(BQ843),ISBLANK(BR843),ISBLANK(BS843)),"n/a",SUM(BP843,BQ843,BR843,BS843))</f>
        <v/>
      </c>
      <c r="BU843" s="1709">
        <f>BU853*BU854</f>
        <v/>
      </c>
      <c r="BV843" s="1709">
        <f>BV853*BV854</f>
        <v/>
      </c>
      <c r="BW843" s="1709">
        <f>BW853*BW854</f>
        <v/>
      </c>
      <c r="BX843" s="1709">
        <f>BX853*BX854</f>
        <v/>
      </c>
      <c r="BY843" s="1516">
        <f>IF(OR(ISBLANK(BU843),ISBLANK(BV843),ISBLANK(BW843),ISBLANK(BX843)),"n/a",SUM(BU843,BV843,BW843,BX843))</f>
        <v/>
      </c>
      <c r="BZ843" s="1516">
        <f>BZ853*BZ854</f>
        <v/>
      </c>
      <c r="CA843" s="1516">
        <f>CA853*CA854</f>
        <v/>
      </c>
      <c r="CB843" s="1516">
        <f>CB853*CB854</f>
        <v/>
      </c>
      <c r="CC843" s="1331" t="n"/>
    </row>
    <row r="844" ht="14.4" customFormat="1" customHeight="1" s="1323">
      <c r="A844" s="1384" t="inlineStr">
        <is>
          <t>Other net additions to intangibles, mm</t>
        </is>
      </c>
      <c r="B844" s="1387" t="n"/>
      <c r="C844" s="1516" t="n"/>
      <c r="D844" s="1516">
        <f>ROUND(D845-D841-D842-D843,6)</f>
        <v/>
      </c>
      <c r="E844" s="1516">
        <f>ROUND(E845-E841-E842-E843,6)</f>
        <v/>
      </c>
      <c r="F844" s="1516">
        <f>ROUND(F845-F841-F842-F843,6)</f>
        <v/>
      </c>
      <c r="G844" s="1516">
        <f>ROUND(G845-G841-G842-G843,6)</f>
        <v/>
      </c>
      <c r="H844" s="1709">
        <f>ROUND(H845-H841-H842-H843,6)</f>
        <v/>
      </c>
      <c r="I844" s="1709">
        <f>ROUND(I845-I841-I842-I843,6)</f>
        <v/>
      </c>
      <c r="J844" s="1709">
        <f>ROUND(J845-J841-J842-J843,6)</f>
        <v/>
      </c>
      <c r="K844" s="1709">
        <f>ROUND(K845-K841-K842-K843,6)</f>
        <v/>
      </c>
      <c r="L844" s="1516">
        <f>ROUND(L845-L841-L842-L843,6)</f>
        <v/>
      </c>
      <c r="M844" s="1709">
        <f>ROUND(M845-M841-M842-M843,6)</f>
        <v/>
      </c>
      <c r="N844" s="1709">
        <f>ROUND(N845-N841-N842-N843,6)</f>
        <v/>
      </c>
      <c r="O844" s="1709">
        <f>ROUND(O845-O841-O842-O843,6)</f>
        <v/>
      </c>
      <c r="P844" s="1709">
        <f>ROUND(P845-P841-P842-P843,6)</f>
        <v/>
      </c>
      <c r="Q844" s="1516">
        <f>ROUND(Q845-Q841-Q842-Q843,6)</f>
        <v/>
      </c>
      <c r="R844" s="1709">
        <f>ROUND(R845-R841-R842-R843,6)</f>
        <v/>
      </c>
      <c r="S844" s="1709">
        <f>ROUND(S845-S841-S842-S843,6)</f>
        <v/>
      </c>
      <c r="T844" s="1709">
        <f>ROUND(T845-T841-T842-T843,6)</f>
        <v/>
      </c>
      <c r="U844" s="1709">
        <f>ROUND(U845-U841-U842-U843,6)</f>
        <v/>
      </c>
      <c r="V844" s="1516">
        <f>ROUND(V845-V841-V842-V843,6)</f>
        <v/>
      </c>
      <c r="W844" s="1709">
        <f>ROUND(W845-W841-W842-W843,6)</f>
        <v/>
      </c>
      <c r="X844" s="1709">
        <f>ROUND(X845-X841-X842-X843,6)</f>
        <v/>
      </c>
      <c r="Y844" s="1709">
        <f>ROUND(Y845-Y841-Y842-Y843,6)</f>
        <v/>
      </c>
      <c r="Z844" s="1709">
        <f>ROUND(Z845-Z841-Z842-Z843,6)</f>
        <v/>
      </c>
      <c r="AA844" s="1516">
        <f>ROUND(AA845-AA841-AA842-AA843,6)</f>
        <v/>
      </c>
      <c r="AB844" s="1709">
        <f>ROUND(AB845-AB841-AB842-AB843,6)</f>
        <v/>
      </c>
      <c r="AC844" s="1709">
        <f>ROUND(AC845-AC841-AC842-AC843,6)</f>
        <v/>
      </c>
      <c r="AD844" s="1709">
        <f>ROUND(AD845-AD841-AD842-AD843,6)</f>
        <v/>
      </c>
      <c r="AE844" s="1709">
        <f>ROUND(AE845-AE841-AE842-AE843,6)</f>
        <v/>
      </c>
      <c r="AF844" s="1516">
        <f>ROUND(AF845-AF841-AF842-AF843,6)</f>
        <v/>
      </c>
      <c r="AG844" s="1709">
        <f>ROUND(AG845-AG841-AG842-AG843,6)</f>
        <v/>
      </c>
      <c r="AH844" s="1709">
        <f>ROUND(AH845-AH841-AH842-AH843,6)</f>
        <v/>
      </c>
      <c r="AI844" s="1709">
        <f>ROUND(AI845-AI841-AI842-AI843,6)</f>
        <v/>
      </c>
      <c r="AJ844" s="1709">
        <f>ROUND(AJ845-AJ841-AJ842-AJ843,6)</f>
        <v/>
      </c>
      <c r="AK844" s="1516">
        <f>ROUND(AK845-AK841-AK842-AK843,6)</f>
        <v/>
      </c>
      <c r="AL844" s="1709">
        <f>ROUND(AL845-AL841-AL842-AL843,6)</f>
        <v/>
      </c>
      <c r="AM844" s="1709">
        <f>ROUND(AM845-AM841-AM842-AM843,6)</f>
        <v/>
      </c>
      <c r="AN844" s="1709">
        <f>ROUND(AN845-AN841-AN842-AN843,6)</f>
        <v/>
      </c>
      <c r="AO844" s="1709">
        <f>ROUND(AO845-AO841-AO842-AO843,6)</f>
        <v/>
      </c>
      <c r="AP844" s="1516">
        <f>ROUND(AP845-AP841-AP842-AP843,6)</f>
        <v/>
      </c>
      <c r="AQ844" s="1709">
        <f>ROUND(AQ845-AQ841-AQ842-AQ843,6)</f>
        <v/>
      </c>
      <c r="AR844" s="1709">
        <f>ROUND(AR845-AR841-AR842-AR843,6)</f>
        <v/>
      </c>
      <c r="AS844" s="1709">
        <f>ROUND(AS845-AS841-AS842-AS843,6)</f>
        <v/>
      </c>
      <c r="AT844" s="1709">
        <f>ROUND(AT845-AT841-AT842-AT843,6)</f>
        <v/>
      </c>
      <c r="AU844" s="1516">
        <f>ROUND(AU845-AU841-AU842-AU843,6)</f>
        <v/>
      </c>
      <c r="AV844" s="1709">
        <f>ROUND(AV845-AV841-AV842-AV843,6)</f>
        <v/>
      </c>
      <c r="AW844" s="1709">
        <f>ROUND(AW845-AW841-AW842-AW843,6)</f>
        <v/>
      </c>
      <c r="AX844" s="1709">
        <f>ROUND(AX845-AX841-AX842-AX843,6)</f>
        <v/>
      </c>
      <c r="AY844" s="1709">
        <f>ROUND(AY845-AY841-AY842-AY843,6)</f>
        <v/>
      </c>
      <c r="AZ844" s="1516">
        <f>ROUND(AZ845-AZ841-AZ842-AZ843,6)</f>
        <v/>
      </c>
      <c r="BA844" s="1709">
        <f>ROUND(BA845-BA841-BA842-BA843,6)</f>
        <v/>
      </c>
      <c r="BB844" s="1709">
        <f>ROUND(BB845-BB841-BB842-BB843,6)</f>
        <v/>
      </c>
      <c r="BC844" s="1709">
        <f>ROUND(BC845-BC841-BC842-BC843,6)</f>
        <v/>
      </c>
      <c r="BD844" s="1709">
        <f>ROUND(BD845-BD841-BD842-BD843,6)</f>
        <v/>
      </c>
      <c r="BE844" s="1516">
        <f>ROUND(BE845-BE841-BE842-BE843,6)</f>
        <v/>
      </c>
      <c r="BF844" s="1709">
        <f>ROUND(BF845-BF841-BF842-BF843,6)</f>
        <v/>
      </c>
      <c r="BG844" s="1709">
        <f>ROUND(BG845-BG841-BG842-BG843,6)</f>
        <v/>
      </c>
      <c r="BH844" s="1709">
        <f>ROUND(BH845-BH841-BH842-BH843,6)</f>
        <v/>
      </c>
      <c r="BI844" s="1709">
        <f>ROUND(BI845-BI841-BI842-BI843,6)</f>
        <v/>
      </c>
      <c r="BJ844" s="1516">
        <f>ROUND(BJ845-BJ841-BJ842-BJ843,6)</f>
        <v/>
      </c>
      <c r="BK844" s="1709">
        <f>ROUND(BK845-BK841-BK842-BK843,6)</f>
        <v/>
      </c>
      <c r="BL844" s="1709">
        <f>ROUND(BL845-BL841-BL842-BL843,6)</f>
        <v/>
      </c>
      <c r="BM844" s="1709">
        <f>ROUND(BM845-BM841-BM842-BM843,6)</f>
        <v/>
      </c>
      <c r="BN844" s="1709">
        <f>ROUND(BN845-BN841-BN842-BN843,6)</f>
        <v/>
      </c>
      <c r="BO844" s="1710">
        <f>ROUND(BO845-BO841-BO842-BO843,6)</f>
        <v/>
      </c>
      <c r="BP844" s="1709">
        <f>ROUND(BP845-BP841-BP842-BP843,6)</f>
        <v/>
      </c>
      <c r="BQ844" s="1709">
        <f>ROUND(BQ845-BQ841-BQ842-BQ843,6)</f>
        <v/>
      </c>
      <c r="BR844" s="1709">
        <f>ROUND(BR845-BR841-BR842-BR843,6)</f>
        <v/>
      </c>
      <c r="BS844" s="1709">
        <f>ROUND(BS845-BS841-BS842-BS843,6)</f>
        <v/>
      </c>
      <c r="BT844" s="1516">
        <f>ROUND(BT845-BT841-IF(ISNUMBER(BT842),BT842,0)-IF(ISNUMBER(BT843),BT843,0),6)</f>
        <v/>
      </c>
      <c r="BU844" s="1709">
        <f>ROUND(BU845-BU841-BU842-BU843,6)</f>
        <v/>
      </c>
      <c r="BV844" s="1709">
        <f>ROUND(BV845-BV841-BV842-BV843,6)</f>
        <v/>
      </c>
      <c r="BW844" s="1709">
        <f>ROUND(BW845-BW841-BW842-BW843,6)</f>
        <v/>
      </c>
      <c r="BX844" s="1709">
        <f>ROUND(BX845-BX841-BX842-BX843,6)</f>
        <v/>
      </c>
      <c r="BY844" s="1516">
        <f>ROUND(BY845-BY841-IF(ISNUMBER(BY842),BY842,0)-IF(ISNUMBER(BY843),BY843,0),6)</f>
        <v/>
      </c>
      <c r="BZ844" s="1516">
        <f>ROUND(BZ845-BZ841-BZ842-BZ843,6)</f>
        <v/>
      </c>
      <c r="CA844" s="1516">
        <f>ROUND(CA845-CA841-CA842-CA843,6)</f>
        <v/>
      </c>
      <c r="CB844" s="1516">
        <f>ROUND(CB845-CB841-CB842-CB843,6)</f>
        <v/>
      </c>
      <c r="CC844" s="1331" t="n"/>
    </row>
    <row r="845" ht="14.4" customFormat="1" customHeight="1" s="1323">
      <c r="A845" s="1800" t="inlineStr">
        <is>
          <t>Intangibles EoP, mm</t>
        </is>
      </c>
      <c r="B845" s="1801" t="n"/>
      <c r="C845" s="1802">
        <f>C897</f>
        <v/>
      </c>
      <c r="D845" s="1802">
        <f>D897</f>
        <v/>
      </c>
      <c r="E845" s="1802">
        <f>E897</f>
        <v/>
      </c>
      <c r="F845" s="1802">
        <f>F897</f>
        <v/>
      </c>
      <c r="G845" s="1802">
        <f>G897</f>
        <v/>
      </c>
      <c r="H845" s="1803">
        <f>H897</f>
        <v/>
      </c>
      <c r="I845" s="1803">
        <f>I897</f>
        <v/>
      </c>
      <c r="J845" s="1803">
        <f>J897</f>
        <v/>
      </c>
      <c r="K845" s="1803">
        <f>K897</f>
        <v/>
      </c>
      <c r="L845" s="1802">
        <f>L897</f>
        <v/>
      </c>
      <c r="M845" s="1803">
        <f>M897</f>
        <v/>
      </c>
      <c r="N845" s="1803">
        <f>N897</f>
        <v/>
      </c>
      <c r="O845" s="1803">
        <f>O897</f>
        <v/>
      </c>
      <c r="P845" s="1803">
        <f>P897</f>
        <v/>
      </c>
      <c r="Q845" s="1802">
        <f>Q897</f>
        <v/>
      </c>
      <c r="R845" s="1803">
        <f>R897</f>
        <v/>
      </c>
      <c r="S845" s="1803">
        <f>S897</f>
        <v/>
      </c>
      <c r="T845" s="1803">
        <f>T897</f>
        <v/>
      </c>
      <c r="U845" s="1803">
        <f>U897</f>
        <v/>
      </c>
      <c r="V845" s="1802">
        <f>V897</f>
        <v/>
      </c>
      <c r="W845" s="1803">
        <f>W897</f>
        <v/>
      </c>
      <c r="X845" s="1803">
        <f>X897</f>
        <v/>
      </c>
      <c r="Y845" s="1803">
        <f>Y897</f>
        <v/>
      </c>
      <c r="Z845" s="1803">
        <f>Z897</f>
        <v/>
      </c>
      <c r="AA845" s="1802">
        <f>AA897</f>
        <v/>
      </c>
      <c r="AB845" s="1803">
        <f>AB897</f>
        <v/>
      </c>
      <c r="AC845" s="1803">
        <f>AC897</f>
        <v/>
      </c>
      <c r="AD845" s="1803">
        <f>AD897</f>
        <v/>
      </c>
      <c r="AE845" s="1803">
        <f>AE897</f>
        <v/>
      </c>
      <c r="AF845" s="1802">
        <f>AF897</f>
        <v/>
      </c>
      <c r="AG845" s="1803">
        <f>AG897</f>
        <v/>
      </c>
      <c r="AH845" s="1803">
        <f>AH897</f>
        <v/>
      </c>
      <c r="AI845" s="1803">
        <f>AI897</f>
        <v/>
      </c>
      <c r="AJ845" s="1803">
        <f>AJ897</f>
        <v/>
      </c>
      <c r="AK845" s="1802">
        <f>AK897</f>
        <v/>
      </c>
      <c r="AL845" s="1803">
        <f>AL897</f>
        <v/>
      </c>
      <c r="AM845" s="1803">
        <f>AM897</f>
        <v/>
      </c>
      <c r="AN845" s="1803">
        <f>AN897</f>
        <v/>
      </c>
      <c r="AO845" s="1803">
        <f>AO897</f>
        <v/>
      </c>
      <c r="AP845" s="1802">
        <f>AP897</f>
        <v/>
      </c>
      <c r="AQ845" s="1803">
        <f>AQ897</f>
        <v/>
      </c>
      <c r="AR845" s="1803">
        <f>AR897</f>
        <v/>
      </c>
      <c r="AS845" s="1803">
        <f>AS897</f>
        <v/>
      </c>
      <c r="AT845" s="1803">
        <f>AT897</f>
        <v/>
      </c>
      <c r="AU845" s="1802">
        <f>AU897</f>
        <v/>
      </c>
      <c r="AV845" s="1803">
        <f>AV897</f>
        <v/>
      </c>
      <c r="AW845" s="1803">
        <f>AW897</f>
        <v/>
      </c>
      <c r="AX845" s="1803">
        <f>AX897</f>
        <v/>
      </c>
      <c r="AY845" s="1803">
        <f>AY897</f>
        <v/>
      </c>
      <c r="AZ845" s="1802">
        <f>AZ897</f>
        <v/>
      </c>
      <c r="BA845" s="1803">
        <f>BA897</f>
        <v/>
      </c>
      <c r="BB845" s="1803">
        <f>BB897</f>
        <v/>
      </c>
      <c r="BC845" s="1803">
        <f>BC897</f>
        <v/>
      </c>
      <c r="BD845" s="1803">
        <f>BD897</f>
        <v/>
      </c>
      <c r="BE845" s="1802">
        <f>BE897</f>
        <v/>
      </c>
      <c r="BF845" s="1803">
        <f>BF897</f>
        <v/>
      </c>
      <c r="BG845" s="1803">
        <f>BG897</f>
        <v/>
      </c>
      <c r="BH845" s="1803">
        <f>BH897</f>
        <v/>
      </c>
      <c r="BI845" s="1803">
        <f>BI897</f>
        <v/>
      </c>
      <c r="BJ845" s="1802">
        <f>BJ897</f>
        <v/>
      </c>
      <c r="BK845" s="1803">
        <f>BK897</f>
        <v/>
      </c>
      <c r="BL845" s="1803">
        <f>BL897</f>
        <v/>
      </c>
      <c r="BM845" s="1803">
        <f>BM897</f>
        <v/>
      </c>
      <c r="BN845" s="1803">
        <f>BN897</f>
        <v/>
      </c>
      <c r="BO845" s="1804">
        <f>BO897</f>
        <v/>
      </c>
      <c r="BP845" s="1803">
        <f>BP897</f>
        <v/>
      </c>
      <c r="BQ845" s="1803">
        <f>BQ897</f>
        <v/>
      </c>
      <c r="BR845" s="1803">
        <f>BR897</f>
        <v/>
      </c>
      <c r="BS845" s="1803">
        <f>BS897</f>
        <v/>
      </c>
      <c r="BT845" s="1802">
        <f>BT897</f>
        <v/>
      </c>
      <c r="BU845" s="1803">
        <f>BU897</f>
        <v/>
      </c>
      <c r="BV845" s="1803">
        <f>BV897</f>
        <v/>
      </c>
      <c r="BW845" s="1803">
        <f>BW897</f>
        <v/>
      </c>
      <c r="BX845" s="1803">
        <f>BX897</f>
        <v/>
      </c>
      <c r="BY845" s="1802">
        <f>BY897</f>
        <v/>
      </c>
      <c r="BZ845" s="1802">
        <f>BZ897</f>
        <v/>
      </c>
      <c r="CA845" s="1802">
        <f>CA897</f>
        <v/>
      </c>
      <c r="CB845" s="1802">
        <f>CB897</f>
        <v/>
      </c>
      <c r="CC845" s="1331" t="n"/>
    </row>
    <row r="846" ht="14.4" customFormat="1" customHeight="1" s="1323">
      <c r="A846" s="1384" t="n"/>
      <c r="B846" s="1387" t="n"/>
      <c r="C846" s="1516" t="n"/>
      <c r="D846" s="1516" t="n"/>
      <c r="E846" s="1516" t="n"/>
      <c r="F846" s="1516" t="n"/>
      <c r="G846" s="1516" t="n"/>
      <c r="H846" s="1709" t="n"/>
      <c r="I846" s="1709" t="n"/>
      <c r="J846" s="1709" t="n"/>
      <c r="K846" s="1709" t="n"/>
      <c r="L846" s="1516" t="n"/>
      <c r="M846" s="1709" t="n"/>
      <c r="N846" s="1709" t="n"/>
      <c r="O846" s="1709" t="n"/>
      <c r="P846" s="1709" t="n"/>
      <c r="Q846" s="1516" t="n"/>
      <c r="R846" s="1709" t="n"/>
      <c r="S846" s="1709" t="n"/>
      <c r="T846" s="1709" t="n"/>
      <c r="U846" s="1709" t="n"/>
      <c r="V846" s="1516" t="n"/>
      <c r="W846" s="1709" t="n"/>
      <c r="X846" s="1709" t="n"/>
      <c r="Y846" s="1709" t="n"/>
      <c r="Z846" s="1709" t="n"/>
      <c r="AA846" s="1516" t="n"/>
      <c r="AB846" s="1709" t="n"/>
      <c r="AC846" s="1709" t="n"/>
      <c r="AD846" s="1709" t="n"/>
      <c r="AE846" s="1709" t="n"/>
      <c r="AF846" s="1516" t="n"/>
      <c r="AG846" s="1709" t="n"/>
      <c r="AH846" s="1709" t="n"/>
      <c r="AI846" s="1709" t="n"/>
      <c r="AJ846" s="1709" t="n"/>
      <c r="AK846" s="1516" t="n"/>
      <c r="AL846" s="1709" t="n"/>
      <c r="AM846" s="1709" t="n"/>
      <c r="AN846" s="1709" t="n"/>
      <c r="AO846" s="1709" t="n"/>
      <c r="AP846" s="1516" t="n"/>
      <c r="AQ846" s="1709" t="n"/>
      <c r="AR846" s="1709" t="n"/>
      <c r="AS846" s="1709" t="n"/>
      <c r="AT846" s="1709" t="n"/>
      <c r="AU846" s="1516" t="n"/>
      <c r="AV846" s="1709" t="n"/>
      <c r="AW846" s="1709" t="n"/>
      <c r="AX846" s="1709" t="n"/>
      <c r="AY846" s="1709" t="n"/>
      <c r="AZ846" s="1516" t="n"/>
      <c r="BA846" s="1709" t="n"/>
      <c r="BB846" s="1709" t="n"/>
      <c r="BC846" s="1709" t="n"/>
      <c r="BD846" s="1709" t="n"/>
      <c r="BE846" s="1516" t="n"/>
      <c r="BF846" s="1709" t="n"/>
      <c r="BG846" s="1709" t="n"/>
      <c r="BH846" s="1709" t="n"/>
      <c r="BI846" s="1709" t="n"/>
      <c r="BJ846" s="1516" t="n"/>
      <c r="BK846" s="1709" t="n"/>
      <c r="BL846" s="1709" t="n"/>
      <c r="BM846" s="1709" t="n"/>
      <c r="BN846" s="1709" t="n"/>
      <c r="BO846" s="1710" t="n"/>
      <c r="BP846" s="1709" t="n"/>
      <c r="BQ846" s="1709" t="n"/>
      <c r="BR846" s="1709" t="n"/>
      <c r="BS846" s="1709" t="n"/>
      <c r="BT846" s="1516" t="n"/>
      <c r="BU846" s="1709" t="n"/>
      <c r="BV846" s="1709" t="n"/>
      <c r="BW846" s="1709" t="n"/>
      <c r="BX846" s="1709" t="n"/>
      <c r="BY846" s="1516" t="n"/>
      <c r="BZ846" s="1516" t="n"/>
      <c r="CA846" s="1516" t="n"/>
      <c r="CB846" s="1516" t="n"/>
      <c r="CC846" s="1331" t="n"/>
    </row>
    <row r="847" ht="14.4" customFormat="1" customHeight="1" s="1323">
      <c r="A847" s="1805" t="inlineStr">
        <is>
          <t>Depreciation as percentage of PP&amp;E BoP, %</t>
        </is>
      </c>
      <c r="B847" s="1610" t="n"/>
      <c r="C847" s="1311" t="n"/>
      <c r="D847" s="1311">
        <f>IFERROR(-D836/D835,"n/a")</f>
        <v/>
      </c>
      <c r="E847" s="1311">
        <f>IFERROR(-E836/E835,"n/a")</f>
        <v/>
      </c>
      <c r="F847" s="1311">
        <f>IFERROR(-F836/F835,"n/a")</f>
        <v/>
      </c>
      <c r="G847" s="1311">
        <f>IFERROR(-G836/G835,"n/a")</f>
        <v/>
      </c>
      <c r="H847" s="1312">
        <f>IFERROR(-H836/H835*L3/H3,"n/a")</f>
        <v/>
      </c>
      <c r="I847" s="1312">
        <f>IFERROR(-I836/I835*L3/I3,"n/a")</f>
        <v/>
      </c>
      <c r="J847" s="1312">
        <f>IFERROR(-J836/J835*L3/J3,"n/a")</f>
        <v/>
      </c>
      <c r="K847" s="1312">
        <f>IFERROR(-K836/K835*L3/K3,"n/a")</f>
        <v/>
      </c>
      <c r="L847" s="1311">
        <f>IFERROR(-L836/L835,"n/a")</f>
        <v/>
      </c>
      <c r="M847" s="1312">
        <f>IFERROR(-M836/M835*Q3/M3,"n/a")</f>
        <v/>
      </c>
      <c r="N847" s="1312">
        <f>IFERROR(-N836/N835*Q3/N3,"n/a")</f>
        <v/>
      </c>
      <c r="O847" s="1312">
        <f>IFERROR(-O836/O835*Q3/O3,"n/a")</f>
        <v/>
      </c>
      <c r="P847" s="1312">
        <f>IFERROR(-P836/P835*Q3/P3,"n/a")</f>
        <v/>
      </c>
      <c r="Q847" s="1311">
        <f>IFERROR(-Q836/Q835,"n/a")</f>
        <v/>
      </c>
      <c r="R847" s="1312">
        <f>IFERROR(-R836/R835*V3/R3,"n/a")</f>
        <v/>
      </c>
      <c r="S847" s="1312">
        <f>IFERROR(-S836/S835*V3/S3,"n/a")</f>
        <v/>
      </c>
      <c r="T847" s="1312">
        <f>IFERROR(-T836/T835*V3/T3,"n/a")</f>
        <v/>
      </c>
      <c r="U847" s="1312">
        <f>IFERROR(-U836/U835*V3/U3,"n/a")</f>
        <v/>
      </c>
      <c r="V847" s="1311">
        <f>IFERROR(-V836/V835,"n/a")</f>
        <v/>
      </c>
      <c r="W847" s="1312">
        <f>IFERROR(-W836/W835*AA3/W3,"n/a")</f>
        <v/>
      </c>
      <c r="X847" s="1312">
        <f>IFERROR(-X836/X835*AA3/X3,"n/a")</f>
        <v/>
      </c>
      <c r="Y847" s="1312">
        <f>IFERROR(-Y836/Y835*AA3/Y3,"n/a")</f>
        <v/>
      </c>
      <c r="Z847" s="1312">
        <f>IFERROR(-Z836/Z835*AA3/Z3,"n/a")</f>
        <v/>
      </c>
      <c r="AA847" s="1311">
        <f>IFERROR(-AA836/AA835,"n/a")</f>
        <v/>
      </c>
      <c r="AB847" s="1312">
        <f>IFERROR(-AB836/AB835*AF3/AB3,"n/a")</f>
        <v/>
      </c>
      <c r="AC847" s="1312">
        <f>IFERROR(-AC836/AC835*AF3/AC3,"n/a")</f>
        <v/>
      </c>
      <c r="AD847" s="1312">
        <f>IFERROR(-AD836/AD835*AF3/AD3,"n/a")</f>
        <v/>
      </c>
      <c r="AE847" s="1312">
        <f>IFERROR(-AE836/AE835*AF3/AE3,"n/a")</f>
        <v/>
      </c>
      <c r="AF847" s="1311">
        <f>IFERROR(-AF836/AF835,"n/a")</f>
        <v/>
      </c>
      <c r="AG847" s="1312">
        <f>IFERROR(-AG836/AG835*AK3/AG3,"n/a")</f>
        <v/>
      </c>
      <c r="AH847" s="1312">
        <f>IFERROR(-AH836/AH835*AK3/AH3,"n/a")</f>
        <v/>
      </c>
      <c r="AI847" s="1312">
        <f>IFERROR(-AI836/AI835*AK3/AI3,"n/a")</f>
        <v/>
      </c>
      <c r="AJ847" s="1312">
        <f>IFERROR(-AJ836/AJ835*AK3/AJ3,"n/a")</f>
        <v/>
      </c>
      <c r="AK847" s="1311">
        <f>IFERROR(-AK836/AK835,"n/a")</f>
        <v/>
      </c>
      <c r="AL847" s="1312">
        <f>IFERROR(-AL836/AL835*AP3/AL3,"n/a")</f>
        <v/>
      </c>
      <c r="AM847" s="1312">
        <f>IFERROR(-AM836/AM835*AP3/AM3,"n/a")</f>
        <v/>
      </c>
      <c r="AN847" s="1312">
        <f>IFERROR(-AN836/AN835*AP3/AN3,"n/a")</f>
        <v/>
      </c>
      <c r="AO847" s="1312">
        <f>IFERROR(-AO836/AO835*AP3/AO3,"n/a")</f>
        <v/>
      </c>
      <c r="AP847" s="1311">
        <f>IFERROR(-AP836/AP835,"n/a")</f>
        <v/>
      </c>
      <c r="AQ847" s="1312">
        <f>IFERROR(-AQ836/AQ835*AU3/AQ3,"n/a")</f>
        <v/>
      </c>
      <c r="AR847" s="1312">
        <f>IFERROR(-AR836/AR835*AU3/AR3,"n/a")</f>
        <v/>
      </c>
      <c r="AS847" s="1312">
        <f>IFERROR(-AS836/AS835*AU3/AS3,"n/a")</f>
        <v/>
      </c>
      <c r="AT847" s="1312">
        <f>IFERROR(-AT836/AT835*AU3/AT3,"n/a")</f>
        <v/>
      </c>
      <c r="AU847" s="1311">
        <f>IFERROR(-AU836/AU835,"n/a")</f>
        <v/>
      </c>
      <c r="AV847" s="1312">
        <f>IFERROR(-AV836/AV835*AZ3/AV3,"n/a")</f>
        <v/>
      </c>
      <c r="AW847" s="1312">
        <f>IFERROR(-AW836/AW835*AZ3/AW3,"n/a")</f>
        <v/>
      </c>
      <c r="AX847" s="1312">
        <f>IFERROR(-AX836/AX835*AZ3/AX3,"n/a")</f>
        <v/>
      </c>
      <c r="AY847" s="1312">
        <f>IFERROR(-AY836/AY835*AZ3/AY3,"n/a")</f>
        <v/>
      </c>
      <c r="AZ847" s="1311">
        <f>IFERROR(-AZ836/AZ835,"n/a")</f>
        <v/>
      </c>
      <c r="BA847" s="1312">
        <f>IFERROR(-BA836/BA835*BE3/BA3,"n/a")</f>
        <v/>
      </c>
      <c r="BB847" s="1312">
        <f>IFERROR(-BB836/BB835*BE3/BB3,"n/a")</f>
        <v/>
      </c>
      <c r="BC847" s="1312">
        <f>IFERROR(-BC836/BC835*BE3/BC3,"n/a")</f>
        <v/>
      </c>
      <c r="BD847" s="1312">
        <f>IFERROR(-BD836/BD835*BE3/BD3,"n/a")</f>
        <v/>
      </c>
      <c r="BE847" s="1311">
        <f>IFERROR(-BE836/BE835,"n/a")</f>
        <v/>
      </c>
      <c r="BF847" s="1312">
        <f>IFERROR(-BF836/BF835*BJ3/BF3,"n/a")</f>
        <v/>
      </c>
      <c r="BG847" s="1312">
        <f>IFERROR(-BG836/BG835*BJ3/BG3,"n/a")</f>
        <v/>
      </c>
      <c r="BH847" s="1312">
        <f>IFERROR(-BH836/BH835*BJ3/BH3,"n/a")</f>
        <v/>
      </c>
      <c r="BI847" s="1312">
        <f>IFERROR(-BI836/BI835*BJ3/BI3,"n/a")</f>
        <v/>
      </c>
      <c r="BJ847" s="1311">
        <f>IFERROR(-BJ836/BJ835,"n/a")</f>
        <v/>
      </c>
      <c r="BK847" s="1312">
        <f>IFERROR(-BK836/BK835*BO3/BK3,"n/a")</f>
        <v/>
      </c>
      <c r="BL847" s="1312">
        <f>IFERROR(-BL836/BL835*BO3/BL3,"n/a")</f>
        <v/>
      </c>
      <c r="BM847" s="1312">
        <f>IFERROR(-BM836/BM835*BO3/BM3,"n/a")</f>
        <v/>
      </c>
      <c r="BN847" s="1312">
        <f>IFERROR(-BN836/BN835*BO3/BN3,"n/a")</f>
        <v/>
      </c>
      <c r="BO847" s="1313">
        <f>IFERROR(-BO836/BO835,"n/a")</f>
        <v/>
      </c>
      <c r="BP847" s="1314" t="n">
        <v>0.21</v>
      </c>
      <c r="BQ847" s="1314" t="n">
        <v>0.21</v>
      </c>
      <c r="BR847" s="1314" t="n">
        <v>0.21</v>
      </c>
      <c r="BS847" s="1314" t="n">
        <v>0.21</v>
      </c>
      <c r="BT847" s="1311">
        <f>AVERAGE(BP847,BQ847,BR847,BS847)</f>
        <v/>
      </c>
      <c r="BU847" s="1314" t="n">
        <v>0.21</v>
      </c>
      <c r="BV847" s="1314" t="n">
        <v>0.21</v>
      </c>
      <c r="BW847" s="1314" t="n">
        <v>0.21</v>
      </c>
      <c r="BX847" s="1314" t="n">
        <v>0.21</v>
      </c>
      <c r="BY847" s="1311">
        <f>AVERAGE(BU847,BV847,BW847,BX847)</f>
        <v/>
      </c>
      <c r="BZ847" s="1315" t="n">
        <v>0.21</v>
      </c>
      <c r="CA847" s="1315" t="n">
        <v>0.21</v>
      </c>
      <c r="CB847" s="1315" t="n">
        <v>0.21</v>
      </c>
      <c r="CC847" s="1331" t="n"/>
    </row>
    <row r="848" ht="14.4" customFormat="1" customHeight="1" s="1323">
      <c r="A848" s="1805" t="inlineStr">
        <is>
          <t>Amortization as percentage of Intangibles BoP, %</t>
        </is>
      </c>
      <c r="B848" s="1610" t="n"/>
      <c r="C848" s="1311" t="n"/>
      <c r="D848" s="1311">
        <f>IFERROR(-D842/D841,"n/a")</f>
        <v/>
      </c>
      <c r="E848" s="1311">
        <f>IFERROR(-E842/E841,"n/a")</f>
        <v/>
      </c>
      <c r="F848" s="1311">
        <f>IFERROR(-F842/F841,"n/a")</f>
        <v/>
      </c>
      <c r="G848" s="1311">
        <f>IFERROR(-G842/G841,"n/a")</f>
        <v/>
      </c>
      <c r="H848" s="1312">
        <f>IFERROR(-H842/H841*L3/H3,"n/a")</f>
        <v/>
      </c>
      <c r="I848" s="1312">
        <f>IFERROR(-I842/I841*L3/I3,"n/a")</f>
        <v/>
      </c>
      <c r="J848" s="1312">
        <f>IFERROR(-J842/J841*L3/J3,"n/a")</f>
        <v/>
      </c>
      <c r="K848" s="1312">
        <f>IFERROR(-K842/K841*L3/K3,"n/a")</f>
        <v/>
      </c>
      <c r="L848" s="1311">
        <f>IFERROR(-L842/L841,"n/a")</f>
        <v/>
      </c>
      <c r="M848" s="1312">
        <f>IFERROR(-M842/M841*Q3/M3,"n/a")</f>
        <v/>
      </c>
      <c r="N848" s="1312">
        <f>IFERROR(-N842/N841*Q3/N3,"n/a")</f>
        <v/>
      </c>
      <c r="O848" s="1312">
        <f>IFERROR(-O842/O841*Q3/O3,"n/a")</f>
        <v/>
      </c>
      <c r="P848" s="1312">
        <f>IFERROR(-P842/P841*Q3/P3,"n/a")</f>
        <v/>
      </c>
      <c r="Q848" s="1311">
        <f>IFERROR(-Q842/Q841,"n/a")</f>
        <v/>
      </c>
      <c r="R848" s="1312">
        <f>IFERROR(-R842/R841*V3/R3,"n/a")</f>
        <v/>
      </c>
      <c r="S848" s="1312">
        <f>IFERROR(-S842/S841*V3/S3,"n/a")</f>
        <v/>
      </c>
      <c r="T848" s="1312">
        <f>IFERROR(-T842/T841*V3/T3,"n/a")</f>
        <v/>
      </c>
      <c r="U848" s="1312">
        <f>IFERROR(-U842/U841*V3/U3,"n/a")</f>
        <v/>
      </c>
      <c r="V848" s="1311">
        <f>IFERROR(-V842/V841,"n/a")</f>
        <v/>
      </c>
      <c r="W848" s="1312">
        <f>IFERROR(-W842/W841*AA3/W3,"n/a")</f>
        <v/>
      </c>
      <c r="X848" s="1312">
        <f>IFERROR(-X842/X841*AA3/X3,"n/a")</f>
        <v/>
      </c>
      <c r="Y848" s="1312">
        <f>IFERROR(-Y842/Y841*AA3/Y3,"n/a")</f>
        <v/>
      </c>
      <c r="Z848" s="1312">
        <f>IFERROR(-Z842/Z841*AA3/Z3,"n/a")</f>
        <v/>
      </c>
      <c r="AA848" s="1311">
        <f>IFERROR(-AA842/AA841,"n/a")</f>
        <v/>
      </c>
      <c r="AB848" s="1312">
        <f>IFERROR(-AB842/AB841*AF3/AB3,"n/a")</f>
        <v/>
      </c>
      <c r="AC848" s="1312">
        <f>IFERROR(-AC842/AC841*AF3/AC3,"n/a")</f>
        <v/>
      </c>
      <c r="AD848" s="1312">
        <f>IFERROR(-AD842/AD841*AF3/AD3,"n/a")</f>
        <v/>
      </c>
      <c r="AE848" s="1312">
        <f>IFERROR(-AE842/AE841*AF3/AE3,"n/a")</f>
        <v/>
      </c>
      <c r="AF848" s="1311">
        <f>IFERROR(-AF842/AF841,"n/a")</f>
        <v/>
      </c>
      <c r="AG848" s="1312">
        <f>IFERROR(-AG842/AG841*AK3/AG3,"n/a")</f>
        <v/>
      </c>
      <c r="AH848" s="1312">
        <f>IFERROR(-AH842/AH841*AK3/AH3,"n/a")</f>
        <v/>
      </c>
      <c r="AI848" s="1312">
        <f>IFERROR(-AI842/AI841*AK3/AI3,"n/a")</f>
        <v/>
      </c>
      <c r="AJ848" s="1312">
        <f>IFERROR(-AJ842/AJ841*AK3/AJ3,"n/a")</f>
        <v/>
      </c>
      <c r="AK848" s="1311">
        <f>IFERROR(-AK842/AK841,"n/a")</f>
        <v/>
      </c>
      <c r="AL848" s="1312">
        <f>IFERROR(-AL842/AL841*AP3/AL3,"n/a")</f>
        <v/>
      </c>
      <c r="AM848" s="1312">
        <f>IFERROR(-AM842/AM841*AP3/AM3,"n/a")</f>
        <v/>
      </c>
      <c r="AN848" s="1312">
        <f>IFERROR(-AN842/AN841*AP3/AN3,"n/a")</f>
        <v/>
      </c>
      <c r="AO848" s="1312">
        <f>IFERROR(-AO842/AO841*AP3/AO3,"n/a")</f>
        <v/>
      </c>
      <c r="AP848" s="1311">
        <f>IFERROR(-AP842/AP841,"n/a")</f>
        <v/>
      </c>
      <c r="AQ848" s="1312">
        <f>IFERROR(-AQ842/AQ841*AU3/AQ3,"n/a")</f>
        <v/>
      </c>
      <c r="AR848" s="1312">
        <f>IFERROR(-AR842/AR841*AU3/AR3,"n/a")</f>
        <v/>
      </c>
      <c r="AS848" s="1312">
        <f>IFERROR(-AS842/AS841*AU3/AS3,"n/a")</f>
        <v/>
      </c>
      <c r="AT848" s="1312">
        <f>IFERROR(-AT842/AT841*AU3/AT3,"n/a")</f>
        <v/>
      </c>
      <c r="AU848" s="1311">
        <f>IFERROR(-AU842/AU841,"n/a")</f>
        <v/>
      </c>
      <c r="AV848" s="1312">
        <f>IFERROR(-AV842/AV841*AZ3/AV3,"n/a")</f>
        <v/>
      </c>
      <c r="AW848" s="1312">
        <f>IFERROR(-AW842/AW841*AZ3/AW3,"n/a")</f>
        <v/>
      </c>
      <c r="AX848" s="1312">
        <f>IFERROR(-AX842/AX841*AZ3/AX3,"n/a")</f>
        <v/>
      </c>
      <c r="AY848" s="1312">
        <f>IFERROR(-AY842/AY841*AZ3/AY3,"n/a")</f>
        <v/>
      </c>
      <c r="AZ848" s="1311">
        <f>IFERROR(-AZ842/AZ841,"n/a")</f>
        <v/>
      </c>
      <c r="BA848" s="1312">
        <f>IFERROR(-BA842/BA841*BE3/BA3,"n/a")</f>
        <v/>
      </c>
      <c r="BB848" s="1312">
        <f>IFERROR(-BB842/BB841*BE3/BB3,"n/a")</f>
        <v/>
      </c>
      <c r="BC848" s="1312">
        <f>IFERROR(-BC842/BC841*BE3/BC3,"n/a")</f>
        <v/>
      </c>
      <c r="BD848" s="1312">
        <f>IFERROR(-BD842/BD841*BE3/BD3,"n/a")</f>
        <v/>
      </c>
      <c r="BE848" s="1311">
        <f>IFERROR(-BE842/BE841,"n/a")</f>
        <v/>
      </c>
      <c r="BF848" s="1312">
        <f>IFERROR(-BF842/BF841*BJ3/BF3,"n/a")</f>
        <v/>
      </c>
      <c r="BG848" s="1312">
        <f>IFERROR(-BG842/BG841*BJ3/BG3,"n/a")</f>
        <v/>
      </c>
      <c r="BH848" s="1312">
        <f>IFERROR(-BH842/BH841*BJ3/BH3,"n/a")</f>
        <v/>
      </c>
      <c r="BI848" s="1312">
        <f>IFERROR(-BI842/BI841*BJ3/BI3,"n/a")</f>
        <v/>
      </c>
      <c r="BJ848" s="1311">
        <f>IFERROR(-BJ842/BJ841,"n/a")</f>
        <v/>
      </c>
      <c r="BK848" s="1312">
        <f>IFERROR(-BK842/BK841*BO3/BK3,"n/a")</f>
        <v/>
      </c>
      <c r="BL848" s="1312">
        <f>IFERROR(-BL842/BL841*BO3/BL3,"n/a")</f>
        <v/>
      </c>
      <c r="BM848" s="1312">
        <f>IFERROR(-BM842/BM841*BO3/BM3,"n/a")</f>
        <v/>
      </c>
      <c r="BN848" s="1312">
        <f>IFERROR(-BN842/BN841*BO3/BN3,"n/a")</f>
        <v/>
      </c>
      <c r="BO848" s="1313">
        <f>IFERROR(-BO842/BO841,"n/a")</f>
        <v/>
      </c>
      <c r="BP848" s="1314" t="n">
        <v>0.41</v>
      </c>
      <c r="BQ848" s="1314" t="n">
        <v>0.41</v>
      </c>
      <c r="BR848" s="1314" t="n">
        <v>0.41</v>
      </c>
      <c r="BS848" s="1314" t="n">
        <v>0.41</v>
      </c>
      <c r="BT848" s="1311">
        <f>AVERAGE(BP848,BQ848,BR848,BS848)</f>
        <v/>
      </c>
      <c r="BU848" s="1314" t="n">
        <v>0.41</v>
      </c>
      <c r="BV848" s="1314" t="n">
        <v>0.41</v>
      </c>
      <c r="BW848" s="1314" t="n">
        <v>0.41</v>
      </c>
      <c r="BX848" s="1314" t="n">
        <v>0.41</v>
      </c>
      <c r="BY848" s="1311">
        <f>AVERAGE(BU848,BV848,BW848,BX848)</f>
        <v/>
      </c>
      <c r="BZ848" s="1315" t="n">
        <v>0.41</v>
      </c>
      <c r="CA848" s="1315" t="n">
        <v>0.41</v>
      </c>
      <c r="CB848" s="1315" t="n">
        <v>0.41</v>
      </c>
      <c r="CC848" s="1331" t="n"/>
    </row>
    <row r="849" ht="14.4" customFormat="1" customHeight="1" s="1323">
      <c r="A849" s="1344" t="inlineStr">
        <is>
          <t>Implied life of fixed assets, yr</t>
        </is>
      </c>
      <c r="B849" s="1394" t="n"/>
      <c r="C849" s="1504" t="n"/>
      <c r="D849" s="1504">
        <f>IFERROR(-D835/D836,"n/a")</f>
        <v/>
      </c>
      <c r="E849" s="1504">
        <f>IFERROR(-E835/E836,"n/a")</f>
        <v/>
      </c>
      <c r="F849" s="1504">
        <f>IFERROR(-F835/F836,"n/a")</f>
        <v/>
      </c>
      <c r="G849" s="1504">
        <f>IFERROR(-G835/G836,"n/a")</f>
        <v/>
      </c>
      <c r="H849" s="1806">
        <f>IFERROR(-H835/H836*H3/L3,"n/a")</f>
        <v/>
      </c>
      <c r="I849" s="1806">
        <f>IFERROR(-I835/I836*I3/L3,"n/a")</f>
        <v/>
      </c>
      <c r="J849" s="1806">
        <f>IFERROR(-J835/J836*J3/L3,"n/a")</f>
        <v/>
      </c>
      <c r="K849" s="1806">
        <f>IFERROR(-K835/K836*K3/L3,"n/a")</f>
        <v/>
      </c>
      <c r="L849" s="1504">
        <f>IFERROR(-L835/L836,"n/a")</f>
        <v/>
      </c>
      <c r="M849" s="1806">
        <f>IFERROR(-M835/M836*M3/Q3,"n/a")</f>
        <v/>
      </c>
      <c r="N849" s="1806">
        <f>IFERROR(-N835/N836*N3/Q3,"n/a")</f>
        <v/>
      </c>
      <c r="O849" s="1806">
        <f>IFERROR(-O835/O836*O3/Q3,"n/a")</f>
        <v/>
      </c>
      <c r="P849" s="1806">
        <f>IFERROR(-P835/P836*P3/Q3,"n/a")</f>
        <v/>
      </c>
      <c r="Q849" s="1504">
        <f>IFERROR(-Q835/Q836,"n/a")</f>
        <v/>
      </c>
      <c r="R849" s="1806">
        <f>IFERROR(-R835/R836*R3/V3,"n/a")</f>
        <v/>
      </c>
      <c r="S849" s="1806">
        <f>IFERROR(-S835/S836*S3/V3,"n/a")</f>
        <v/>
      </c>
      <c r="T849" s="1806">
        <f>IFERROR(-T835/T836*T3/V3,"n/a")</f>
        <v/>
      </c>
      <c r="U849" s="1806">
        <f>IFERROR(-U835/U836*U3/V3,"n/a")</f>
        <v/>
      </c>
      <c r="V849" s="1504">
        <f>IFERROR(-V835/V836,"n/a")</f>
        <v/>
      </c>
      <c r="W849" s="1806">
        <f>IFERROR(-W835/W836*W3/AA3,"n/a")</f>
        <v/>
      </c>
      <c r="X849" s="1806">
        <f>IFERROR(-X835/X836*X3/AA3,"n/a")</f>
        <v/>
      </c>
      <c r="Y849" s="1806">
        <f>IFERROR(-Y835/Y836*Y3/AA3,"n/a")</f>
        <v/>
      </c>
      <c r="Z849" s="1806">
        <f>IFERROR(-Z835/Z836*Z3/AA3,"n/a")</f>
        <v/>
      </c>
      <c r="AA849" s="1504">
        <f>IFERROR(-AA835/AA836,"n/a")</f>
        <v/>
      </c>
      <c r="AB849" s="1806">
        <f>IFERROR(-AB835/AB836*AB3/AF3,"n/a")</f>
        <v/>
      </c>
      <c r="AC849" s="1806">
        <f>IFERROR(-AC835/AC836*AC3/AF3,"n/a")</f>
        <v/>
      </c>
      <c r="AD849" s="1806">
        <f>IFERROR(-AD835/AD836*AD3/AF3,"n/a")</f>
        <v/>
      </c>
      <c r="AE849" s="1806">
        <f>IFERROR(-AE835/AE836*AE3/AF3,"n/a")</f>
        <v/>
      </c>
      <c r="AF849" s="1504">
        <f>IFERROR(-AF835/AF836,"n/a")</f>
        <v/>
      </c>
      <c r="AG849" s="1806">
        <f>IFERROR(-AG835/AG836*AG3/AK3,"n/a")</f>
        <v/>
      </c>
      <c r="AH849" s="1806">
        <f>IFERROR(-AH835/AH836*AH3/AK3,"n/a")</f>
        <v/>
      </c>
      <c r="AI849" s="1806">
        <f>IFERROR(-AI835/AI836*AI3/AK3,"n/a")</f>
        <v/>
      </c>
      <c r="AJ849" s="1806">
        <f>IFERROR(-AJ835/AJ836*AJ3/AK3,"n/a")</f>
        <v/>
      </c>
      <c r="AK849" s="1504">
        <f>IFERROR(-AK835/AK836,"n/a")</f>
        <v/>
      </c>
      <c r="AL849" s="1806">
        <f>IFERROR(-AL835/AL836*AL3/AP3,"n/a")</f>
        <v/>
      </c>
      <c r="AM849" s="1806">
        <f>IFERROR(-AM835/AM836*AM3/AP3,"n/a")</f>
        <v/>
      </c>
      <c r="AN849" s="1806">
        <f>IFERROR(-AN835/AN836*AN3/AP3,"n/a")</f>
        <v/>
      </c>
      <c r="AO849" s="1806">
        <f>IFERROR(-AO835/AO836*AO3/AP3,"n/a")</f>
        <v/>
      </c>
      <c r="AP849" s="1504">
        <f>IFERROR(-AP835/AP836,"n/a")</f>
        <v/>
      </c>
      <c r="AQ849" s="1806">
        <f>IFERROR(-AQ835/AQ836*AQ3/AU3,"n/a")</f>
        <v/>
      </c>
      <c r="AR849" s="1806">
        <f>IFERROR(-AR835/AR836*AR3/AU3,"n/a")</f>
        <v/>
      </c>
      <c r="AS849" s="1806">
        <f>IFERROR(-AS835/AS836*AS3/AU3,"n/a")</f>
        <v/>
      </c>
      <c r="AT849" s="1806">
        <f>IFERROR(-AT835/AT836*AT3/AU3,"n/a")</f>
        <v/>
      </c>
      <c r="AU849" s="1504">
        <f>IFERROR(-AU835/AU836,"n/a")</f>
        <v/>
      </c>
      <c r="AV849" s="1806">
        <f>IFERROR(-AV835/AV836*AV3/AZ3,"n/a")</f>
        <v/>
      </c>
      <c r="AW849" s="1806">
        <f>IFERROR(-AW835/AW836*AW3/AZ3,"n/a")</f>
        <v/>
      </c>
      <c r="AX849" s="1806">
        <f>IFERROR(-AX835/AX836*AX3/AZ3,"n/a")</f>
        <v/>
      </c>
      <c r="AY849" s="1806">
        <f>IFERROR(-AY835/AY836*AY3/AZ3,"n/a")</f>
        <v/>
      </c>
      <c r="AZ849" s="1504">
        <f>IFERROR(-AZ835/AZ836,"n/a")</f>
        <v/>
      </c>
      <c r="BA849" s="1806">
        <f>IFERROR(-BA835/BA836*BA3/BE3,"n/a")</f>
        <v/>
      </c>
      <c r="BB849" s="1806">
        <f>IFERROR(-BB835/BB836*BB3/BE3,"n/a")</f>
        <v/>
      </c>
      <c r="BC849" s="1806">
        <f>IFERROR(-BC835/BC836*BC3/BE3,"n/a")</f>
        <v/>
      </c>
      <c r="BD849" s="1806">
        <f>IFERROR(-BD835/BD836*BD3/BE3,"n/a")</f>
        <v/>
      </c>
      <c r="BE849" s="1504">
        <f>IFERROR(-BE835/BE836,"n/a")</f>
        <v/>
      </c>
      <c r="BF849" s="1806">
        <f>IFERROR(-BF835/BF836*BF3/BJ3,"n/a")</f>
        <v/>
      </c>
      <c r="BG849" s="1806">
        <f>IFERROR(-BG835/BG836*BG3/BJ3,"n/a")</f>
        <v/>
      </c>
      <c r="BH849" s="1806">
        <f>IFERROR(-BH835/BH836*BH3/BJ3,"n/a")</f>
        <v/>
      </c>
      <c r="BI849" s="1806">
        <f>IFERROR(-BI835/BI836*BI3/BJ3,"n/a")</f>
        <v/>
      </c>
      <c r="BJ849" s="1504">
        <f>IFERROR(-BJ835/BJ836,"n/a")</f>
        <v/>
      </c>
      <c r="BK849" s="1806">
        <f>IFERROR(-BK835/BK836*BK3/BO3,"n/a")</f>
        <v/>
      </c>
      <c r="BL849" s="1806">
        <f>IFERROR(-BL835/BL836*BL3/BO3,"n/a")</f>
        <v/>
      </c>
      <c r="BM849" s="1806">
        <f>IFERROR(-BM835/BM836*BM3/BO3,"n/a")</f>
        <v/>
      </c>
      <c r="BN849" s="1806">
        <f>IFERROR(-BN835/BN836*BN3/BO3,"n/a")</f>
        <v/>
      </c>
      <c r="BO849" s="1807">
        <f>IFERROR(-BO835/BO836,"n/a")</f>
        <v/>
      </c>
      <c r="BP849" s="1806">
        <f>IFERROR(-BP835/BP836*BP3/BT3,"n/a")</f>
        <v/>
      </c>
      <c r="BQ849" s="1806">
        <f>IFERROR(-BQ835/BQ836*BQ3/BT3,"n/a")</f>
        <v/>
      </c>
      <c r="BR849" s="1806">
        <f>IFERROR(-BR835/BR836*BR3/BT3,"n/a")</f>
        <v/>
      </c>
      <c r="BS849" s="1806">
        <f>IFERROR(-BS835/BS836*BS3/BT3,"n/a")</f>
        <v/>
      </c>
      <c r="BT849" s="1504">
        <f>AVERAGE(BP849,BQ849,BR849,BS849)</f>
        <v/>
      </c>
      <c r="BU849" s="1806">
        <f>IFERROR(-BU835/BU836*BU3/BY3,"n/a")</f>
        <v/>
      </c>
      <c r="BV849" s="1806">
        <f>IFERROR(-BV835/BV836*BV3/BY3,"n/a")</f>
        <v/>
      </c>
      <c r="BW849" s="1806">
        <f>IFERROR(-BW835/BW836*BW3/BY3,"n/a")</f>
        <v/>
      </c>
      <c r="BX849" s="1806">
        <f>IFERROR(-BX835/BX836*BX3/BY3,"n/a")</f>
        <v/>
      </c>
      <c r="BY849" s="1504">
        <f>AVERAGE(BU849,BV849,BW849,BX849)</f>
        <v/>
      </c>
      <c r="BZ849" s="1504">
        <f>IFERROR(-BZ835/BZ836,"n/a")</f>
        <v/>
      </c>
      <c r="CA849" s="1504">
        <f>IFERROR(-CA835/CA836,"n/a")</f>
        <v/>
      </c>
      <c r="CB849" s="1504">
        <f>IFERROR(-CB835/CB836,"n/a")</f>
        <v/>
      </c>
      <c r="CC849" s="1331" t="n"/>
    </row>
    <row r="850" ht="14.4" customFormat="1" customHeight="1" s="1323">
      <c r="A850" s="1344" t="inlineStr">
        <is>
          <t>Implied life of intangibles, yr</t>
        </is>
      </c>
      <c r="B850" s="1394" t="n"/>
      <c r="C850" s="1504" t="n"/>
      <c r="D850" s="1504">
        <f>IFERROR(-D841/D842,"n/a")</f>
        <v/>
      </c>
      <c r="E850" s="1504">
        <f>IFERROR(-E841/E842,"n/a")</f>
        <v/>
      </c>
      <c r="F850" s="1504">
        <f>IFERROR(-F841/F842,"n/a")</f>
        <v/>
      </c>
      <c r="G850" s="1504">
        <f>IFERROR(-G841/G842,"n/a")</f>
        <v/>
      </c>
      <c r="H850" s="1806">
        <f>IFERROR(-H841/H842*H3/L3,"n/a")</f>
        <v/>
      </c>
      <c r="I850" s="1806">
        <f>IFERROR(-I841/I842*I3/L3,"n/a")</f>
        <v/>
      </c>
      <c r="J850" s="1806">
        <f>IFERROR(-J841/J842*J3/L3,"n/a")</f>
        <v/>
      </c>
      <c r="K850" s="1806">
        <f>IFERROR(-K841/K842*K3/L3,"n/a")</f>
        <v/>
      </c>
      <c r="L850" s="1504">
        <f>IFERROR(-L841/L842,"n/a")</f>
        <v/>
      </c>
      <c r="M850" s="1806">
        <f>IFERROR(-M841/M842*M3/Q3,"n/a")</f>
        <v/>
      </c>
      <c r="N850" s="1806">
        <f>IFERROR(-N841/N842*N3/Q3,"n/a")</f>
        <v/>
      </c>
      <c r="O850" s="1806">
        <f>IFERROR(-O841/O842*O3/Q3,"n/a")</f>
        <v/>
      </c>
      <c r="P850" s="1806">
        <f>IFERROR(-P841/P842*P3/Q3,"n/a")</f>
        <v/>
      </c>
      <c r="Q850" s="1504">
        <f>IFERROR(-Q841/Q842,"n/a")</f>
        <v/>
      </c>
      <c r="R850" s="1806">
        <f>IFERROR(-R841/R842*R3/V3,"n/a")</f>
        <v/>
      </c>
      <c r="S850" s="1806">
        <f>IFERROR(-S841/S842*S3/V3,"n/a")</f>
        <v/>
      </c>
      <c r="T850" s="1806">
        <f>IFERROR(-T841/T842*T3/V3,"n/a")</f>
        <v/>
      </c>
      <c r="U850" s="1806">
        <f>IFERROR(-U841/U842*U3/V3,"n/a")</f>
        <v/>
      </c>
      <c r="V850" s="1504">
        <f>IFERROR(-V841/V842,"n/a")</f>
        <v/>
      </c>
      <c r="W850" s="1806">
        <f>IFERROR(-W841/W842*W3/AA3,"n/a")</f>
        <v/>
      </c>
      <c r="X850" s="1806">
        <f>IFERROR(-X841/X842*X3/AA3,"n/a")</f>
        <v/>
      </c>
      <c r="Y850" s="1806">
        <f>IFERROR(-Y841/Y842*Y3/AA3,"n/a")</f>
        <v/>
      </c>
      <c r="Z850" s="1806">
        <f>IFERROR(-Z841/Z842*Z3/AA3,"n/a")</f>
        <v/>
      </c>
      <c r="AA850" s="1504">
        <f>IFERROR(-AA841/AA842,"n/a")</f>
        <v/>
      </c>
      <c r="AB850" s="1806">
        <f>IFERROR(-AB841/AB842*AB3/AF3,"n/a")</f>
        <v/>
      </c>
      <c r="AC850" s="1806">
        <f>IFERROR(-AC841/AC842*AC3/AF3,"n/a")</f>
        <v/>
      </c>
      <c r="AD850" s="1806">
        <f>IFERROR(-AD841/AD842*AD3/AF3,"n/a")</f>
        <v/>
      </c>
      <c r="AE850" s="1806">
        <f>IFERROR(-AE841/AE842*AE3/AF3,"n/a")</f>
        <v/>
      </c>
      <c r="AF850" s="1504">
        <f>IFERROR(-AF841/AF842,"n/a")</f>
        <v/>
      </c>
      <c r="AG850" s="1806">
        <f>IFERROR(-AG841/AG842*AG3/AK3,"n/a")</f>
        <v/>
      </c>
      <c r="AH850" s="1806">
        <f>IFERROR(-AH841/AH842*AH3/AK3,"n/a")</f>
        <v/>
      </c>
      <c r="AI850" s="1806">
        <f>IFERROR(-AI841/AI842*AI3/AK3,"n/a")</f>
        <v/>
      </c>
      <c r="AJ850" s="1806">
        <f>IFERROR(-AJ841/AJ842*AJ3/AK3,"n/a")</f>
        <v/>
      </c>
      <c r="AK850" s="1504">
        <f>IFERROR(-AK841/AK842,"n/a")</f>
        <v/>
      </c>
      <c r="AL850" s="1806">
        <f>IFERROR(-AL841/AL842*AL3/AP3,"n/a")</f>
        <v/>
      </c>
      <c r="AM850" s="1806">
        <f>IFERROR(-AM841/AM842*AM3/AP3,"n/a")</f>
        <v/>
      </c>
      <c r="AN850" s="1806">
        <f>IFERROR(-AN841/AN842*AN3/AP3,"n/a")</f>
        <v/>
      </c>
      <c r="AO850" s="1806">
        <f>IFERROR(-AO841/AO842*AO3/AP3,"n/a")</f>
        <v/>
      </c>
      <c r="AP850" s="1504">
        <f>IFERROR(-AP841/AP842,"n/a")</f>
        <v/>
      </c>
      <c r="AQ850" s="1806">
        <f>IFERROR(-AQ841/AQ842*AQ3/AU3,"n/a")</f>
        <v/>
      </c>
      <c r="AR850" s="1806">
        <f>IFERROR(-AR841/AR842*AR3/AU3,"n/a")</f>
        <v/>
      </c>
      <c r="AS850" s="1806">
        <f>IFERROR(-AS841/AS842*AS3/AU3,"n/a")</f>
        <v/>
      </c>
      <c r="AT850" s="1806">
        <f>IFERROR(-AT841/AT842*AT3/AU3,"n/a")</f>
        <v/>
      </c>
      <c r="AU850" s="1504">
        <f>IFERROR(-AU841/AU842,"n/a")</f>
        <v/>
      </c>
      <c r="AV850" s="1806">
        <f>IFERROR(-AV841/AV842*AV3/AZ3,"n/a")</f>
        <v/>
      </c>
      <c r="AW850" s="1806">
        <f>IFERROR(-AW841/AW842*AW3/AZ3,"n/a")</f>
        <v/>
      </c>
      <c r="AX850" s="1806">
        <f>IFERROR(-AX841/AX842*AX3/AZ3,"n/a")</f>
        <v/>
      </c>
      <c r="AY850" s="1806">
        <f>IFERROR(-AY841/AY842*AY3/AZ3,"n/a")</f>
        <v/>
      </c>
      <c r="AZ850" s="1504">
        <f>IFERROR(-AZ841/AZ842,"n/a")</f>
        <v/>
      </c>
      <c r="BA850" s="1806">
        <f>IFERROR(-BA841/BA842*BA3/BE3,"n/a")</f>
        <v/>
      </c>
      <c r="BB850" s="1806">
        <f>IFERROR(-BB841/BB842*BB3/BE3,"n/a")</f>
        <v/>
      </c>
      <c r="BC850" s="1806">
        <f>IFERROR(-BC841/BC842*BC3/BE3,"n/a")</f>
        <v/>
      </c>
      <c r="BD850" s="1806">
        <f>IFERROR(-BD841/BD842*BD3/BE3,"n/a")</f>
        <v/>
      </c>
      <c r="BE850" s="1504">
        <f>IFERROR(-BE841/BE842,"n/a")</f>
        <v/>
      </c>
      <c r="BF850" s="1806">
        <f>IFERROR(-BF841/BF842*BF3/BJ3,"n/a")</f>
        <v/>
      </c>
      <c r="BG850" s="1806">
        <f>IFERROR(-BG841/BG842*BG3/BJ3,"n/a")</f>
        <v/>
      </c>
      <c r="BH850" s="1806">
        <f>IFERROR(-BH841/BH842*BH3/BJ3,"n/a")</f>
        <v/>
      </c>
      <c r="BI850" s="1806">
        <f>IFERROR(-BI841/BI842*BI3/BJ3,"n/a")</f>
        <v/>
      </c>
      <c r="BJ850" s="1504">
        <f>IFERROR(-BJ841/BJ842,"n/a")</f>
        <v/>
      </c>
      <c r="BK850" s="1806">
        <f>IFERROR(-BK841/BK842*BK3/BO3,"n/a")</f>
        <v/>
      </c>
      <c r="BL850" s="1806">
        <f>IFERROR(-BL841/BL842*BL3/BO3,"n/a")</f>
        <v/>
      </c>
      <c r="BM850" s="1806">
        <f>IFERROR(-BM841/BM842*BM3/BO3,"n/a")</f>
        <v/>
      </c>
      <c r="BN850" s="1806">
        <f>IFERROR(-BN841/BN842*BN3/BO3,"n/a")</f>
        <v/>
      </c>
      <c r="BO850" s="1807">
        <f>IFERROR(-BO841/BO842,"n/a")</f>
        <v/>
      </c>
      <c r="BP850" s="1806">
        <f>IFERROR(-BP841/BP842*BP3/BT3,"n/a")</f>
        <v/>
      </c>
      <c r="BQ850" s="1806">
        <f>IFERROR(-BQ841/BQ842*BQ3/BT3,"n/a")</f>
        <v/>
      </c>
      <c r="BR850" s="1806">
        <f>IFERROR(-BR841/BR842*BR3/BT3,"n/a")</f>
        <v/>
      </c>
      <c r="BS850" s="1806">
        <f>IFERROR(-BS841/BS842*BS3/BT3,"n/a")</f>
        <v/>
      </c>
      <c r="BT850" s="1504">
        <f>AVERAGE(BP850,BQ850,BR850,BS850)</f>
        <v/>
      </c>
      <c r="BU850" s="1806">
        <f>IFERROR(-BU841/BU842*BU3/BY3,"n/a")</f>
        <v/>
      </c>
      <c r="BV850" s="1806">
        <f>IFERROR(-BV841/BV842*BV3/BY3,"n/a")</f>
        <v/>
      </c>
      <c r="BW850" s="1806">
        <f>IFERROR(-BW841/BW842*BW3/BY3,"n/a")</f>
        <v/>
      </c>
      <c r="BX850" s="1806">
        <f>IFERROR(-BX841/BX842*BX3/BY3,"n/a")</f>
        <v/>
      </c>
      <c r="BY850" s="1504">
        <f>AVERAGE(BU850,BV850,BW850,BX850)</f>
        <v/>
      </c>
      <c r="BZ850" s="1504">
        <f>IFERROR(-BZ841/BZ842,"n/a")</f>
        <v/>
      </c>
      <c r="CA850" s="1504">
        <f>IFERROR(-CA841/CA842,"n/a")</f>
        <v/>
      </c>
      <c r="CB850" s="1504">
        <f>IFERROR(-CB841/CB842,"n/a")</f>
        <v/>
      </c>
      <c r="CC850" s="1331" t="n"/>
    </row>
    <row r="851" ht="14.4" customFormat="1" customHeight="1" s="1323">
      <c r="A851" s="1384" t="n"/>
      <c r="B851" s="1387" t="n"/>
      <c r="C851" s="1516" t="n"/>
      <c r="D851" s="1516" t="n"/>
      <c r="E851" s="1516" t="n"/>
      <c r="F851" s="1516" t="n"/>
      <c r="G851" s="1516" t="n"/>
      <c r="H851" s="1709" t="n"/>
      <c r="I851" s="1709" t="n"/>
      <c r="J851" s="1709" t="n"/>
      <c r="K851" s="1709" t="n"/>
      <c r="L851" s="1516" t="n"/>
      <c r="M851" s="1709" t="n"/>
      <c r="N851" s="1709" t="n"/>
      <c r="O851" s="1709" t="n"/>
      <c r="P851" s="1709" t="n"/>
      <c r="Q851" s="1516" t="n"/>
      <c r="R851" s="1709" t="n"/>
      <c r="S851" s="1709" t="n"/>
      <c r="T851" s="1709" t="n"/>
      <c r="U851" s="1709" t="n"/>
      <c r="V851" s="1516" t="n"/>
      <c r="W851" s="1709" t="n"/>
      <c r="X851" s="1709" t="n"/>
      <c r="Y851" s="1709" t="n"/>
      <c r="Z851" s="1709" t="n"/>
      <c r="AA851" s="1516" t="n"/>
      <c r="AB851" s="1709" t="n"/>
      <c r="AC851" s="1709" t="n"/>
      <c r="AD851" s="1709" t="n"/>
      <c r="AE851" s="1709" t="n"/>
      <c r="AF851" s="1516" t="n"/>
      <c r="AG851" s="1709" t="n"/>
      <c r="AH851" s="1709" t="n"/>
      <c r="AI851" s="1709" t="n"/>
      <c r="AJ851" s="1709" t="n"/>
      <c r="AK851" s="1516" t="n"/>
      <c r="AL851" s="1709" t="n"/>
      <c r="AM851" s="1709" t="n"/>
      <c r="AN851" s="1709" t="n"/>
      <c r="AO851" s="1709" t="n"/>
      <c r="AP851" s="1516" t="n"/>
      <c r="AQ851" s="1709" t="n"/>
      <c r="AR851" s="1709" t="n"/>
      <c r="AS851" s="1709" t="n"/>
      <c r="AT851" s="1709" t="n"/>
      <c r="AU851" s="1516" t="n"/>
      <c r="AV851" s="1709" t="n"/>
      <c r="AW851" s="1709" t="n"/>
      <c r="AX851" s="1709" t="n"/>
      <c r="AY851" s="1709" t="n"/>
      <c r="AZ851" s="1516" t="n"/>
      <c r="BA851" s="1709" t="n"/>
      <c r="BB851" s="1709" t="n"/>
      <c r="BC851" s="1709" t="n"/>
      <c r="BD851" s="1709" t="n"/>
      <c r="BE851" s="1516" t="n"/>
      <c r="BF851" s="1709" t="n"/>
      <c r="BG851" s="1709" t="n"/>
      <c r="BH851" s="1709" t="n"/>
      <c r="BI851" s="1709" t="n"/>
      <c r="BJ851" s="1516" t="n"/>
      <c r="BK851" s="1709" t="n"/>
      <c r="BL851" s="1709" t="n"/>
      <c r="BM851" s="1709" t="n"/>
      <c r="BN851" s="1709" t="n"/>
      <c r="BO851" s="1710" t="n"/>
      <c r="BP851" s="1709" t="n"/>
      <c r="BQ851" s="1709" t="n"/>
      <c r="BR851" s="1709" t="n"/>
      <c r="BS851" s="1709" t="n"/>
      <c r="BT851" s="1516" t="n"/>
      <c r="BU851" s="1709" t="n"/>
      <c r="BV851" s="1709" t="n"/>
      <c r="BW851" s="1709" t="n"/>
      <c r="BX851" s="1709" t="n"/>
      <c r="BY851" s="1516" t="n"/>
      <c r="BZ851" s="1516" t="n"/>
      <c r="CA851" s="1516" t="n"/>
      <c r="CB851" s="1516" t="n"/>
      <c r="CC851" s="1331" t="n"/>
    </row>
    <row r="852" ht="14.4" customFormat="1" customHeight="1" s="1323">
      <c r="A852" s="1344" t="inlineStr">
        <is>
          <t>Total D&amp;A, mm</t>
        </is>
      </c>
      <c r="B852" s="1394" t="n"/>
      <c r="C852" s="1797">
        <f>C384</f>
        <v/>
      </c>
      <c r="D852" s="1797">
        <f>D384</f>
        <v/>
      </c>
      <c r="E852" s="1797">
        <f>E384</f>
        <v/>
      </c>
      <c r="F852" s="1797">
        <f>F384</f>
        <v/>
      </c>
      <c r="G852" s="1797">
        <f>G384</f>
        <v/>
      </c>
      <c r="H852" s="1798">
        <f>H384</f>
        <v/>
      </c>
      <c r="I852" s="1798">
        <f>I384</f>
        <v/>
      </c>
      <c r="J852" s="1798">
        <f>J384</f>
        <v/>
      </c>
      <c r="K852" s="1798">
        <f>K384</f>
        <v/>
      </c>
      <c r="L852" s="1797">
        <f>L384</f>
        <v/>
      </c>
      <c r="M852" s="1798">
        <f>M384</f>
        <v/>
      </c>
      <c r="N852" s="1798">
        <f>N384</f>
        <v/>
      </c>
      <c r="O852" s="1798">
        <f>O384</f>
        <v/>
      </c>
      <c r="P852" s="1798">
        <f>P384</f>
        <v/>
      </c>
      <c r="Q852" s="1797">
        <f>Q384</f>
        <v/>
      </c>
      <c r="R852" s="1798">
        <f>R384</f>
        <v/>
      </c>
      <c r="S852" s="1798">
        <f>S384</f>
        <v/>
      </c>
      <c r="T852" s="1798">
        <f>T384</f>
        <v/>
      </c>
      <c r="U852" s="1798">
        <f>U384</f>
        <v/>
      </c>
      <c r="V852" s="1797">
        <f>V384</f>
        <v/>
      </c>
      <c r="W852" s="1798">
        <f>W384</f>
        <v/>
      </c>
      <c r="X852" s="1798">
        <f>X384</f>
        <v/>
      </c>
      <c r="Y852" s="1798">
        <f>Y384</f>
        <v/>
      </c>
      <c r="Z852" s="1798">
        <f>Z384</f>
        <v/>
      </c>
      <c r="AA852" s="1797">
        <f>AA384</f>
        <v/>
      </c>
      <c r="AB852" s="1798">
        <f>AB384</f>
        <v/>
      </c>
      <c r="AC852" s="1798">
        <f>AC384</f>
        <v/>
      </c>
      <c r="AD852" s="1798">
        <f>AD384</f>
        <v/>
      </c>
      <c r="AE852" s="1798">
        <f>AE384</f>
        <v/>
      </c>
      <c r="AF852" s="1797">
        <f>AF384</f>
        <v/>
      </c>
      <c r="AG852" s="1798">
        <f>AG384</f>
        <v/>
      </c>
      <c r="AH852" s="1798">
        <f>AH384</f>
        <v/>
      </c>
      <c r="AI852" s="1798">
        <f>AI384</f>
        <v/>
      </c>
      <c r="AJ852" s="1798">
        <f>AJ384</f>
        <v/>
      </c>
      <c r="AK852" s="1797">
        <f>AK384</f>
        <v/>
      </c>
      <c r="AL852" s="1798">
        <f>AL384</f>
        <v/>
      </c>
      <c r="AM852" s="1798">
        <f>AM384</f>
        <v/>
      </c>
      <c r="AN852" s="1798">
        <f>AN384</f>
        <v/>
      </c>
      <c r="AO852" s="1798">
        <f>AO384</f>
        <v/>
      </c>
      <c r="AP852" s="1797">
        <f>AP384</f>
        <v/>
      </c>
      <c r="AQ852" s="1798">
        <f>AQ384</f>
        <v/>
      </c>
      <c r="AR852" s="1798">
        <f>AR384</f>
        <v/>
      </c>
      <c r="AS852" s="1798">
        <f>AS384</f>
        <v/>
      </c>
      <c r="AT852" s="1798">
        <f>AT384</f>
        <v/>
      </c>
      <c r="AU852" s="1797">
        <f>AU384</f>
        <v/>
      </c>
      <c r="AV852" s="1798">
        <f>AV384</f>
        <v/>
      </c>
      <c r="AW852" s="1798">
        <f>AW384</f>
        <v/>
      </c>
      <c r="AX852" s="1798">
        <f>AX384</f>
        <v/>
      </c>
      <c r="AY852" s="1798">
        <f>AY384</f>
        <v/>
      </c>
      <c r="AZ852" s="1797">
        <f>AZ384</f>
        <v/>
      </c>
      <c r="BA852" s="1798">
        <f>BA384</f>
        <v/>
      </c>
      <c r="BB852" s="1798">
        <f>BB384</f>
        <v/>
      </c>
      <c r="BC852" s="1798">
        <f>BC384</f>
        <v/>
      </c>
      <c r="BD852" s="1798">
        <f>BD384</f>
        <v/>
      </c>
      <c r="BE852" s="1797">
        <f>BE384</f>
        <v/>
      </c>
      <c r="BF852" s="1798">
        <f>BF384</f>
        <v/>
      </c>
      <c r="BG852" s="1798">
        <f>BG384</f>
        <v/>
      </c>
      <c r="BH852" s="1798">
        <f>BH384</f>
        <v/>
      </c>
      <c r="BI852" s="1798">
        <f>BI384</f>
        <v/>
      </c>
      <c r="BJ852" s="1797">
        <f>BJ384</f>
        <v/>
      </c>
      <c r="BK852" s="1798">
        <f>BK384</f>
        <v/>
      </c>
      <c r="BL852" s="1798">
        <f>BL384</f>
        <v/>
      </c>
      <c r="BM852" s="1798">
        <f>BM384</f>
        <v/>
      </c>
      <c r="BN852" s="1798">
        <f>BN384</f>
        <v/>
      </c>
      <c r="BO852" s="1799">
        <f>BO384</f>
        <v/>
      </c>
      <c r="BP852" s="1798">
        <f>BP384</f>
        <v/>
      </c>
      <c r="BQ852" s="1798">
        <f>BQ384</f>
        <v/>
      </c>
      <c r="BR852" s="1798">
        <f>BR384</f>
        <v/>
      </c>
      <c r="BS852" s="1798">
        <f>BS384</f>
        <v/>
      </c>
      <c r="BT852" s="1797">
        <f>BT384</f>
        <v/>
      </c>
      <c r="BU852" s="1798">
        <f>BU384</f>
        <v/>
      </c>
      <c r="BV852" s="1798">
        <f>BV384</f>
        <v/>
      </c>
      <c r="BW852" s="1798">
        <f>BW384</f>
        <v/>
      </c>
      <c r="BX852" s="1798">
        <f>BX384</f>
        <v/>
      </c>
      <c r="BY852" s="1797">
        <f>BY384</f>
        <v/>
      </c>
      <c r="BZ852" s="1797">
        <f>BZ384</f>
        <v/>
      </c>
      <c r="CA852" s="1797">
        <f>CA384</f>
        <v/>
      </c>
      <c r="CB852" s="1797">
        <f>CB384</f>
        <v/>
      </c>
      <c r="CC852" s="1331" t="n"/>
    </row>
    <row r="853" ht="14.4" customFormat="1" customHeight="1" s="1323">
      <c r="A853" s="1344" t="inlineStr">
        <is>
          <t>Total Capex, mm</t>
        </is>
      </c>
      <c r="B853" s="1394" t="n"/>
      <c r="C853" s="1797">
        <f>-C457</f>
        <v/>
      </c>
      <c r="D853" s="1797">
        <f>-D457</f>
        <v/>
      </c>
      <c r="E853" s="1797">
        <f>-E457</f>
        <v/>
      </c>
      <c r="F853" s="1797">
        <f>-F457</f>
        <v/>
      </c>
      <c r="G853" s="1797">
        <f>-G457</f>
        <v/>
      </c>
      <c r="H853" s="1798">
        <f>-H457</f>
        <v/>
      </c>
      <c r="I853" s="1798">
        <f>-I457</f>
        <v/>
      </c>
      <c r="J853" s="1798">
        <f>-J457</f>
        <v/>
      </c>
      <c r="K853" s="1798">
        <f>-K457</f>
        <v/>
      </c>
      <c r="L853" s="1797">
        <f>-L457</f>
        <v/>
      </c>
      <c r="M853" s="1798">
        <f>-M457</f>
        <v/>
      </c>
      <c r="N853" s="1798">
        <f>-N457</f>
        <v/>
      </c>
      <c r="O853" s="1798">
        <f>-O457</f>
        <v/>
      </c>
      <c r="P853" s="1798">
        <f>-P457</f>
        <v/>
      </c>
      <c r="Q853" s="1797">
        <f>-Q457</f>
        <v/>
      </c>
      <c r="R853" s="1798">
        <f>-R457</f>
        <v/>
      </c>
      <c r="S853" s="1798">
        <f>-S457</f>
        <v/>
      </c>
      <c r="T853" s="1798">
        <f>-T457</f>
        <v/>
      </c>
      <c r="U853" s="1798">
        <f>-U457</f>
        <v/>
      </c>
      <c r="V853" s="1797">
        <f>-V457</f>
        <v/>
      </c>
      <c r="W853" s="1798">
        <f>-W457</f>
        <v/>
      </c>
      <c r="X853" s="1798">
        <f>-X457</f>
        <v/>
      </c>
      <c r="Y853" s="1798">
        <f>-Y457</f>
        <v/>
      </c>
      <c r="Z853" s="1798">
        <f>-Z457</f>
        <v/>
      </c>
      <c r="AA853" s="1797">
        <f>-AA457</f>
        <v/>
      </c>
      <c r="AB853" s="1798">
        <f>-AB457</f>
        <v/>
      </c>
      <c r="AC853" s="1798">
        <f>-AC457</f>
        <v/>
      </c>
      <c r="AD853" s="1798">
        <f>-AD457</f>
        <v/>
      </c>
      <c r="AE853" s="1798">
        <f>-AE457</f>
        <v/>
      </c>
      <c r="AF853" s="1797">
        <f>-AF457</f>
        <v/>
      </c>
      <c r="AG853" s="1798">
        <f>-AG457</f>
        <v/>
      </c>
      <c r="AH853" s="1798">
        <f>-AH457</f>
        <v/>
      </c>
      <c r="AI853" s="1798">
        <f>-AI457</f>
        <v/>
      </c>
      <c r="AJ853" s="1798">
        <f>-AJ457</f>
        <v/>
      </c>
      <c r="AK853" s="1797">
        <f>-AK457</f>
        <v/>
      </c>
      <c r="AL853" s="1798">
        <f>-AL457</f>
        <v/>
      </c>
      <c r="AM853" s="1798">
        <f>-AM457</f>
        <v/>
      </c>
      <c r="AN853" s="1798">
        <f>-AN457</f>
        <v/>
      </c>
      <c r="AO853" s="1798">
        <f>-AO457</f>
        <v/>
      </c>
      <c r="AP853" s="1797">
        <f>-AP457</f>
        <v/>
      </c>
      <c r="AQ853" s="1798">
        <f>-AQ457</f>
        <v/>
      </c>
      <c r="AR853" s="1798">
        <f>-AR457</f>
        <v/>
      </c>
      <c r="AS853" s="1798">
        <f>-AS457</f>
        <v/>
      </c>
      <c r="AT853" s="1798">
        <f>-AT457</f>
        <v/>
      </c>
      <c r="AU853" s="1797">
        <f>-AU457</f>
        <v/>
      </c>
      <c r="AV853" s="1798">
        <f>-AV457</f>
        <v/>
      </c>
      <c r="AW853" s="1798">
        <f>-AW457</f>
        <v/>
      </c>
      <c r="AX853" s="1798">
        <f>-AX457</f>
        <v/>
      </c>
      <c r="AY853" s="1798">
        <f>-AY457</f>
        <v/>
      </c>
      <c r="AZ853" s="1797">
        <f>-AZ457</f>
        <v/>
      </c>
      <c r="BA853" s="1798">
        <f>-BA457</f>
        <v/>
      </c>
      <c r="BB853" s="1798">
        <f>-BB457</f>
        <v/>
      </c>
      <c r="BC853" s="1798">
        <f>-BC457</f>
        <v/>
      </c>
      <c r="BD853" s="1798">
        <f>-BD457</f>
        <v/>
      </c>
      <c r="BE853" s="1797">
        <f>-BE457</f>
        <v/>
      </c>
      <c r="BF853" s="1798">
        <f>-BF457</f>
        <v/>
      </c>
      <c r="BG853" s="1798">
        <f>-BG457</f>
        <v/>
      </c>
      <c r="BH853" s="1798">
        <f>-BH457</f>
        <v/>
      </c>
      <c r="BI853" s="1798">
        <f>-BI457</f>
        <v/>
      </c>
      <c r="BJ853" s="1797">
        <f>-BJ457</f>
        <v/>
      </c>
      <c r="BK853" s="1798">
        <f>-BK457</f>
        <v/>
      </c>
      <c r="BL853" s="1798">
        <f>-BL457</f>
        <v/>
      </c>
      <c r="BM853" s="1798">
        <f>-BM457</f>
        <v/>
      </c>
      <c r="BN853" s="1798">
        <f>-BN457</f>
        <v/>
      </c>
      <c r="BO853" s="1799">
        <f>-BO457</f>
        <v/>
      </c>
      <c r="BP853" s="1798">
        <f>-BP457</f>
        <v/>
      </c>
      <c r="BQ853" s="1798">
        <f>-BQ457</f>
        <v/>
      </c>
      <c r="BR853" s="1798">
        <f>-BR457</f>
        <v/>
      </c>
      <c r="BS853" s="1798">
        <f>-BS457</f>
        <v/>
      </c>
      <c r="BT853" s="1797">
        <f>-BT457</f>
        <v/>
      </c>
      <c r="BU853" s="1798">
        <f>-BU457</f>
        <v/>
      </c>
      <c r="BV853" s="1798">
        <f>-BV457</f>
        <v/>
      </c>
      <c r="BW853" s="1798">
        <f>-BW457</f>
        <v/>
      </c>
      <c r="BX853" s="1798">
        <f>-BX457</f>
        <v/>
      </c>
      <c r="BY853" s="1797">
        <f>-BY457</f>
        <v/>
      </c>
      <c r="BZ853" s="1797">
        <f>-BZ457</f>
        <v/>
      </c>
      <c r="CA853" s="1797">
        <f>-CA457</f>
        <v/>
      </c>
      <c r="CB853" s="1797">
        <f>-CB457</f>
        <v/>
      </c>
      <c r="CC853" s="1331" t="n"/>
    </row>
    <row r="854" ht="14.4" customFormat="1" customHeight="1" s="1323">
      <c r="A854" s="1805" t="inlineStr">
        <is>
          <t>Percentage of capex allocated to intangible assets, %</t>
        </is>
      </c>
      <c r="B854" s="1610" t="n"/>
      <c r="C854" s="1311" t="n"/>
      <c r="D854" s="1311">
        <f>IFERROR(D843/D853,"n/a")</f>
        <v/>
      </c>
      <c r="E854" s="1311">
        <f>IFERROR(E843/E853,"n/a")</f>
        <v/>
      </c>
      <c r="F854" s="1311">
        <f>IFERROR(F843/F853,"n/a")</f>
        <v/>
      </c>
      <c r="G854" s="1311">
        <f>IFERROR(G843/G853,"n/a")</f>
        <v/>
      </c>
      <c r="H854" s="1312">
        <f>IFERROR(H843/H853,"n/a")</f>
        <v/>
      </c>
      <c r="I854" s="1312">
        <f>IFERROR(I843/I853,"n/a")</f>
        <v/>
      </c>
      <c r="J854" s="1312">
        <f>IFERROR(J843/J853,"n/a")</f>
        <v/>
      </c>
      <c r="K854" s="1312">
        <f>IFERROR(K843/K853,"n/a")</f>
        <v/>
      </c>
      <c r="L854" s="1311">
        <f>IFERROR(L843/L853,"n/a")</f>
        <v/>
      </c>
      <c r="M854" s="1312">
        <f>IFERROR(M843/M853,"n/a")</f>
        <v/>
      </c>
      <c r="N854" s="1312">
        <f>IFERROR(N843/N853,"n/a")</f>
        <v/>
      </c>
      <c r="O854" s="1312">
        <f>IFERROR(O843/O853,"n/a")</f>
        <v/>
      </c>
      <c r="P854" s="1312">
        <f>IFERROR(P843/P853,"n/a")</f>
        <v/>
      </c>
      <c r="Q854" s="1311">
        <f>IFERROR(Q843/Q853,"n/a")</f>
        <v/>
      </c>
      <c r="R854" s="1312">
        <f>IFERROR(R843/R853,"n/a")</f>
        <v/>
      </c>
      <c r="S854" s="1312">
        <f>IFERROR(S843/S853,"n/a")</f>
        <v/>
      </c>
      <c r="T854" s="1312">
        <f>IFERROR(T843/T853,"n/a")</f>
        <v/>
      </c>
      <c r="U854" s="1312">
        <f>IFERROR(U843/U853,"n/a")</f>
        <v/>
      </c>
      <c r="V854" s="1311">
        <f>IFERROR(V843/V853,"n/a")</f>
        <v/>
      </c>
      <c r="W854" s="1312">
        <f>IFERROR(W843/W853,"n/a")</f>
        <v/>
      </c>
      <c r="X854" s="1312">
        <f>IFERROR(X843/X853,"n/a")</f>
        <v/>
      </c>
      <c r="Y854" s="1312">
        <f>IFERROR(Y843/Y853,"n/a")</f>
        <v/>
      </c>
      <c r="Z854" s="1312">
        <f>IFERROR(Z843/Z853,"n/a")</f>
        <v/>
      </c>
      <c r="AA854" s="1311">
        <f>IFERROR(AA843/AA853,"n/a")</f>
        <v/>
      </c>
      <c r="AB854" s="1312">
        <f>IFERROR(AB843/AB853,"n/a")</f>
        <v/>
      </c>
      <c r="AC854" s="1312">
        <f>IFERROR(AC843/AC853,"n/a")</f>
        <v/>
      </c>
      <c r="AD854" s="1312">
        <f>IFERROR(AD843/AD853,"n/a")</f>
        <v/>
      </c>
      <c r="AE854" s="1312">
        <f>IFERROR(AE843/AE853,"n/a")</f>
        <v/>
      </c>
      <c r="AF854" s="1311">
        <f>IFERROR(AF843/AF853,"n/a")</f>
        <v/>
      </c>
      <c r="AG854" s="1312">
        <f>IFERROR(AG843/AG853,"n/a")</f>
        <v/>
      </c>
      <c r="AH854" s="1312">
        <f>IFERROR(AH843/AH853,"n/a")</f>
        <v/>
      </c>
      <c r="AI854" s="1312">
        <f>IFERROR(AI843/AI853,"n/a")</f>
        <v/>
      </c>
      <c r="AJ854" s="1312">
        <f>IFERROR(AJ843/AJ853,"n/a")</f>
        <v/>
      </c>
      <c r="AK854" s="1311">
        <f>IFERROR(AK843/AK853,"n/a")</f>
        <v/>
      </c>
      <c r="AL854" s="1312">
        <f>IFERROR(AL843/AL853,"n/a")</f>
        <v/>
      </c>
      <c r="AM854" s="1312">
        <f>IFERROR(AM843/AM853,"n/a")</f>
        <v/>
      </c>
      <c r="AN854" s="1312">
        <f>IFERROR(AN843/AN853,"n/a")</f>
        <v/>
      </c>
      <c r="AO854" s="1312">
        <f>IFERROR(AO843/AO853,"n/a")</f>
        <v/>
      </c>
      <c r="AP854" s="1311">
        <f>IFERROR(AP843/AP853,"n/a")</f>
        <v/>
      </c>
      <c r="AQ854" s="1312">
        <f>IFERROR(AQ843/AQ853,"n/a")</f>
        <v/>
      </c>
      <c r="AR854" s="1312">
        <f>IFERROR(AR843/AR853,"n/a")</f>
        <v/>
      </c>
      <c r="AS854" s="1312">
        <f>IFERROR(AS843/AS853,"n/a")</f>
        <v/>
      </c>
      <c r="AT854" s="1312">
        <f>IFERROR(AT843/AT853,"n/a")</f>
        <v/>
      </c>
      <c r="AU854" s="1311">
        <f>IFERROR(AU843/AU853,"n/a")</f>
        <v/>
      </c>
      <c r="AV854" s="1312">
        <f>IFERROR(AV843/AV853,"n/a")</f>
        <v/>
      </c>
      <c r="AW854" s="1312">
        <f>IFERROR(AW843/AW853,"n/a")</f>
        <v/>
      </c>
      <c r="AX854" s="1312">
        <f>IFERROR(AX843/AX853,"n/a")</f>
        <v/>
      </c>
      <c r="AY854" s="1312">
        <f>IFERROR(AY843/AY853,"n/a")</f>
        <v/>
      </c>
      <c r="AZ854" s="1311">
        <f>IFERROR(AZ843/AZ853,"n/a")</f>
        <v/>
      </c>
      <c r="BA854" s="1312">
        <f>IFERROR(BA843/BA853,"n/a")</f>
        <v/>
      </c>
      <c r="BB854" s="1312">
        <f>IFERROR(BB843/BB853,"n/a")</f>
        <v/>
      </c>
      <c r="BC854" s="1312">
        <f>IFERROR(BC843/BC853,"n/a")</f>
        <v/>
      </c>
      <c r="BD854" s="1312">
        <f>IFERROR(BD843/BD853,"n/a")</f>
        <v/>
      </c>
      <c r="BE854" s="1311">
        <f>IFERROR(BE843/BE853,"n/a")</f>
        <v/>
      </c>
      <c r="BF854" s="1312">
        <f>IFERROR(BF843/BF853,"n/a")</f>
        <v/>
      </c>
      <c r="BG854" s="1312">
        <f>IFERROR(BG843/BG853,"n/a")</f>
        <v/>
      </c>
      <c r="BH854" s="1312">
        <f>IFERROR(BH843/BH853,"n/a")</f>
        <v/>
      </c>
      <c r="BI854" s="1312">
        <f>IFERROR(BI843/BI853,"n/a")</f>
        <v/>
      </c>
      <c r="BJ854" s="1311">
        <f>IFERROR(BJ843/BJ853,"n/a")</f>
        <v/>
      </c>
      <c r="BK854" s="1312">
        <f>IFERROR(BK843/BK853,"n/a")</f>
        <v/>
      </c>
      <c r="BL854" s="1312">
        <f>IFERROR(BL843/BL853,"n/a")</f>
        <v/>
      </c>
      <c r="BM854" s="1312">
        <f>IFERROR(BM843/BM853,"n/a")</f>
        <v/>
      </c>
      <c r="BN854" s="1312">
        <f>IFERROR(BN843/BN853,"n/a")</f>
        <v/>
      </c>
      <c r="BO854" s="1313">
        <f>IFERROR(BO843/BO853,"n/a")</f>
        <v/>
      </c>
      <c r="BP854" s="1314" t="n">
        <v>0.004</v>
      </c>
      <c r="BQ854" s="1314" t="n">
        <v>0.004</v>
      </c>
      <c r="BR854" s="1314" t="n">
        <v>0.004</v>
      </c>
      <c r="BS854" s="1314" t="n">
        <v>0.004</v>
      </c>
      <c r="BT854" s="1311">
        <f>AVERAGE(BP854,BQ854,BR854,BS854)</f>
        <v/>
      </c>
      <c r="BU854" s="1314" t="n">
        <v>0.004</v>
      </c>
      <c r="BV854" s="1314" t="n">
        <v>0.004</v>
      </c>
      <c r="BW854" s="1314" t="n">
        <v>0.004</v>
      </c>
      <c r="BX854" s="1314" t="n">
        <v>0.004</v>
      </c>
      <c r="BY854" s="1311">
        <f>AVERAGE(BU854,BV854,BW854,BX854)</f>
        <v/>
      </c>
      <c r="BZ854" s="1315" t="n">
        <v>0.004</v>
      </c>
      <c r="CA854" s="1315" t="n">
        <v>0.004</v>
      </c>
      <c r="CB854" s="1315" t="n">
        <v>0.004</v>
      </c>
      <c r="CC854" s="1331" t="n"/>
    </row>
    <row r="855" ht="14.4" customFormat="1" customHeight="1" s="1323">
      <c r="A855" s="1384" t="n"/>
      <c r="B855" s="1387" t="n"/>
      <c r="C855" s="1516" t="n"/>
      <c r="D855" s="1516" t="n"/>
      <c r="E855" s="1516" t="n"/>
      <c r="F855" s="1516" t="n"/>
      <c r="G855" s="1516" t="n"/>
      <c r="H855" s="1709" t="n"/>
      <c r="I855" s="1709" t="n"/>
      <c r="J855" s="1709" t="n"/>
      <c r="K855" s="1709" t="n"/>
      <c r="L855" s="1516" t="n"/>
      <c r="M855" s="1709" t="n"/>
      <c r="N855" s="1709" t="n"/>
      <c r="O855" s="1709" t="n"/>
      <c r="P855" s="1709" t="n"/>
      <c r="Q855" s="1516" t="n"/>
      <c r="R855" s="1709" t="n"/>
      <c r="S855" s="1709" t="n"/>
      <c r="T855" s="1709" t="n"/>
      <c r="U855" s="1709" t="n"/>
      <c r="V855" s="1516" t="n"/>
      <c r="W855" s="1709" t="n"/>
      <c r="X855" s="1709" t="n"/>
      <c r="Y855" s="1709" t="n"/>
      <c r="Z855" s="1709" t="n"/>
      <c r="AA855" s="1516" t="n"/>
      <c r="AB855" s="1709" t="n"/>
      <c r="AC855" s="1709" t="n"/>
      <c r="AD855" s="1709" t="n"/>
      <c r="AE855" s="1709" t="n"/>
      <c r="AF855" s="1516" t="n"/>
      <c r="AG855" s="1709" t="n"/>
      <c r="AH855" s="1709" t="n"/>
      <c r="AI855" s="1709" t="n"/>
      <c r="AJ855" s="1709" t="n"/>
      <c r="AK855" s="1516" t="n"/>
      <c r="AL855" s="1709" t="n"/>
      <c r="AM855" s="1709" t="n"/>
      <c r="AN855" s="1709" t="n"/>
      <c r="AO855" s="1709" t="n"/>
      <c r="AP855" s="1516" t="n"/>
      <c r="AQ855" s="1709" t="n"/>
      <c r="AR855" s="1709" t="n"/>
      <c r="AS855" s="1709" t="n"/>
      <c r="AT855" s="1709" t="n"/>
      <c r="AU855" s="1516" t="n"/>
      <c r="AV855" s="1709" t="n"/>
      <c r="AW855" s="1709" t="n"/>
      <c r="AX855" s="1709" t="n"/>
      <c r="AY855" s="1709" t="n"/>
      <c r="AZ855" s="1516" t="n"/>
      <c r="BA855" s="1709" t="n"/>
      <c r="BB855" s="1709" t="n"/>
      <c r="BC855" s="1709" t="n"/>
      <c r="BD855" s="1709" t="n"/>
      <c r="BE855" s="1516" t="n"/>
      <c r="BF855" s="1709" t="n"/>
      <c r="BG855" s="1709" t="n"/>
      <c r="BH855" s="1709" t="n"/>
      <c r="BI855" s="1709" t="n"/>
      <c r="BJ855" s="1516" t="n"/>
      <c r="BK855" s="1709" t="n"/>
      <c r="BL855" s="1709" t="n"/>
      <c r="BM855" s="1709" t="n"/>
      <c r="BN855" s="1709" t="n"/>
      <c r="BO855" s="1710" t="n"/>
      <c r="BP855" s="1709" t="n"/>
      <c r="BQ855" s="1709" t="n"/>
      <c r="BR855" s="1709" t="n"/>
      <c r="BS855" s="1709" t="n"/>
      <c r="BT855" s="1516" t="n"/>
      <c r="BU855" s="1709" t="n"/>
      <c r="BV855" s="1709" t="n"/>
      <c r="BW855" s="1709" t="n"/>
      <c r="BX855" s="1709" t="n"/>
      <c r="BY855" s="1516" t="n"/>
      <c r="BZ855" s="1516" t="n"/>
      <c r="CA855" s="1516" t="n"/>
      <c r="CB855" s="1516" t="n"/>
      <c r="CC855" s="1331" t="n"/>
    </row>
    <row r="856" ht="14.4" customFormat="1" customHeight="1" s="1275">
      <c r="A856" s="1357" t="inlineStr">
        <is>
          <t>Balance Sheet</t>
        </is>
      </c>
      <c r="B856" s="1358" t="n"/>
      <c r="C856" s="1358" t="n"/>
      <c r="D856" s="1358" t="n"/>
      <c r="E856" s="1358" t="n"/>
      <c r="F856" s="1358" t="n"/>
      <c r="G856" s="1358" t="n"/>
      <c r="H856" s="1358" t="n"/>
      <c r="I856" s="1358" t="n"/>
      <c r="J856" s="1358" t="n"/>
      <c r="K856" s="1358" t="n"/>
      <c r="L856" s="1358" t="n"/>
      <c r="M856" s="1358" t="n"/>
      <c r="N856" s="1358" t="n"/>
      <c r="O856" s="1358" t="n"/>
      <c r="P856" s="1358" t="n"/>
      <c r="Q856" s="1358" t="n"/>
      <c r="R856" s="1358" t="n"/>
      <c r="S856" s="1358" t="n"/>
      <c r="T856" s="1358" t="n"/>
      <c r="U856" s="1358" t="n"/>
      <c r="V856" s="1358" t="n"/>
      <c r="W856" s="1358" t="n"/>
      <c r="X856" s="1358" t="n"/>
      <c r="Y856" s="1358" t="n"/>
      <c r="Z856" s="1358" t="n"/>
      <c r="AA856" s="1358" t="n"/>
      <c r="AB856" s="1358" t="n"/>
      <c r="AC856" s="1358" t="n"/>
      <c r="AD856" s="1358" t="n"/>
      <c r="AE856" s="1358" t="n"/>
      <c r="AF856" s="1358" t="n"/>
      <c r="AG856" s="1358" t="n"/>
      <c r="AH856" s="1358" t="n"/>
      <c r="AI856" s="1358" t="n"/>
      <c r="AJ856" s="1358" t="n"/>
      <c r="AK856" s="1358" t="n"/>
      <c r="AL856" s="1358" t="n"/>
      <c r="AM856" s="1358" t="n"/>
      <c r="AN856" s="1358" t="n"/>
      <c r="AO856" s="1358" t="n"/>
      <c r="AP856" s="1358" t="n"/>
      <c r="AQ856" s="1358" t="n"/>
      <c r="AR856" s="1358" t="n"/>
      <c r="AS856" s="1358" t="n"/>
      <c r="AT856" s="1358" t="n"/>
      <c r="AU856" s="1358" t="n"/>
      <c r="AV856" s="1358" t="n"/>
      <c r="AW856" s="1358" t="n"/>
      <c r="AX856" s="1358" t="n"/>
      <c r="AY856" s="1358" t="n"/>
      <c r="AZ856" s="1358" t="n"/>
      <c r="BA856" s="1358" t="n"/>
      <c r="BB856" s="1358" t="n"/>
      <c r="BC856" s="1358" t="n"/>
      <c r="BD856" s="1358" t="n"/>
      <c r="BE856" s="1358" t="n"/>
      <c r="BF856" s="1358" t="n"/>
      <c r="BG856" s="1358" t="n"/>
      <c r="BH856" s="1358" t="n"/>
      <c r="BI856" s="1358" t="n"/>
      <c r="BJ856" s="1358" t="n"/>
      <c r="BK856" s="1358" t="n"/>
      <c r="BL856" s="1358" t="n"/>
      <c r="BM856" s="1358" t="n"/>
      <c r="BN856" s="1358" t="n"/>
      <c r="BO856" s="1359" t="n"/>
      <c r="BP856" s="1358" t="n"/>
      <c r="BQ856" s="1358" t="n"/>
      <c r="BR856" s="1358" t="n"/>
      <c r="BS856" s="1358" t="n"/>
      <c r="BT856" s="1358" t="n"/>
      <c r="BU856" s="1358" t="n"/>
      <c r="BV856" s="1358" t="n"/>
      <c r="BW856" s="1358" t="n"/>
      <c r="BX856" s="1358" t="n"/>
      <c r="BY856" s="1358" t="n"/>
      <c r="BZ856" s="1358" t="n"/>
      <c r="CA856" s="1358" t="n"/>
      <c r="CB856" s="1358" t="n"/>
      <c r="CC856" s="1280" t="n"/>
    </row>
    <row r="857" ht="14.4" customFormat="1" customHeight="1" s="1275">
      <c r="A857" s="1577" t="inlineStr">
        <is>
          <t>Current Assets</t>
        </is>
      </c>
      <c r="B857" s="1387" t="n"/>
      <c r="C857" s="1297" t="n"/>
      <c r="D857" s="1297" t="n"/>
      <c r="E857" s="1297" t="n"/>
      <c r="F857" s="1297" t="n"/>
      <c r="G857" s="1297" t="n"/>
      <c r="H857" s="1277" t="n"/>
      <c r="I857" s="1277" t="n"/>
      <c r="J857" s="1277" t="n"/>
      <c r="K857" s="1277" t="n"/>
      <c r="L857" s="1297" t="n"/>
      <c r="M857" s="1277" t="n"/>
      <c r="N857" s="1277" t="n"/>
      <c r="O857" s="1277" t="n"/>
      <c r="P857" s="1277" t="n"/>
      <c r="Q857" s="1297" t="n"/>
      <c r="R857" s="1277" t="n"/>
      <c r="S857" s="1277" t="n"/>
      <c r="T857" s="1277" t="n"/>
      <c r="U857" s="1277" t="n"/>
      <c r="V857" s="1297" t="n"/>
      <c r="W857" s="1277" t="n"/>
      <c r="X857" s="1277" t="n"/>
      <c r="Y857" s="1277" t="n"/>
      <c r="Z857" s="1277" t="n"/>
      <c r="AA857" s="1297" t="n"/>
      <c r="AB857" s="1277" t="n"/>
      <c r="AC857" s="1277" t="n"/>
      <c r="AD857" s="1277" t="n"/>
      <c r="AE857" s="1277" t="n"/>
      <c r="AF857" s="1297" t="n"/>
      <c r="AG857" s="1277" t="n"/>
      <c r="AH857" s="1277" t="n"/>
      <c r="AI857" s="1277" t="n"/>
      <c r="AJ857" s="1277" t="n"/>
      <c r="AK857" s="1297" t="n"/>
      <c r="AL857" s="1277" t="n"/>
      <c r="AM857" s="1277" t="n"/>
      <c r="AN857" s="1277" t="n"/>
      <c r="AO857" s="1277" t="n"/>
      <c r="AP857" s="1297" t="n"/>
      <c r="AQ857" s="1277" t="n"/>
      <c r="AR857" s="1277" t="n"/>
      <c r="AS857" s="1277" t="n"/>
      <c r="AT857" s="1277" t="n"/>
      <c r="AU857" s="1297" t="n"/>
      <c r="AV857" s="1277" t="n"/>
      <c r="AW857" s="1277" t="n"/>
      <c r="AX857" s="1277" t="n"/>
      <c r="AY857" s="1277" t="n"/>
      <c r="AZ857" s="1297" t="n"/>
      <c r="BA857" s="1277" t="n"/>
      <c r="BB857" s="1277" t="n"/>
      <c r="BC857" s="1277" t="n"/>
      <c r="BD857" s="1277" t="n"/>
      <c r="BE857" s="1297" t="n"/>
      <c r="BF857" s="1277" t="n"/>
      <c r="BG857" s="1277" t="n"/>
      <c r="BH857" s="1277" t="n"/>
      <c r="BI857" s="1277" t="n"/>
      <c r="BJ857" s="1297" t="n"/>
      <c r="BK857" s="1277" t="n"/>
      <c r="BL857" s="1277" t="n"/>
      <c r="BM857" s="1277" t="n"/>
      <c r="BN857" s="1277" t="n"/>
      <c r="BO857" s="1382" t="n"/>
      <c r="BP857" s="1277" t="n"/>
      <c r="BQ857" s="1277" t="n"/>
      <c r="BR857" s="1277" t="n"/>
      <c r="BS857" s="1277" t="n"/>
      <c r="BT857" s="1297" t="n"/>
      <c r="BU857" s="1277" t="n"/>
      <c r="BV857" s="1277" t="n"/>
      <c r="BW857" s="1277" t="n"/>
      <c r="BX857" s="1277" t="n"/>
      <c r="BY857" s="1297" t="n"/>
      <c r="BZ857" s="1297" t="n"/>
      <c r="CA857" s="1297" t="n"/>
      <c r="CB857" s="1297" t="n"/>
      <c r="CC857" s="1280" t="n"/>
    </row>
    <row r="858" ht="14.4" customFormat="1" customHeight="1" s="1275">
      <c r="A858" s="1295" t="inlineStr">
        <is>
          <t>Cash and cash equivalents</t>
        </is>
      </c>
      <c r="B858" s="1387" t="n"/>
      <c r="C858" s="1299" t="n">
        <v>171276.341</v>
      </c>
      <c r="D858" s="1299" t="n">
        <v>147886.955</v>
      </c>
      <c r="E858" s="1299" t="n">
        <v>143472.277</v>
      </c>
      <c r="F858" s="1299" t="n">
        <v>143410.588</v>
      </c>
      <c r="G858" s="1299" t="n">
        <v>242695.447</v>
      </c>
      <c r="H858" s="1298" t="n">
        <v>231697.295</v>
      </c>
      <c r="I858" s="1298" t="n">
        <v>255053.573</v>
      </c>
      <c r="J858" s="1298" t="n">
        <v>225884.318</v>
      </c>
      <c r="K858" s="1280">
        <f>L858</f>
        <v/>
      </c>
      <c r="L858" s="1299" t="n">
        <v>358449.029</v>
      </c>
      <c r="M858" s="1298" t="n">
        <v>437412.411</v>
      </c>
      <c r="N858" s="1298" t="n">
        <v>528895.107</v>
      </c>
      <c r="O858" s="1298" t="n">
        <v>515731.398</v>
      </c>
      <c r="P858" s="1280">
        <f>Q858</f>
        <v/>
      </c>
      <c r="Q858" s="1299" t="n">
        <v>562688.9300000001</v>
      </c>
      <c r="R858" s="1298" t="n">
        <v>617984.318</v>
      </c>
      <c r="S858" s="1298" t="n">
        <v>622359.302</v>
      </c>
      <c r="T858" s="1298" t="n">
        <v>463971.657</v>
      </c>
      <c r="U858" s="1280">
        <f>V858</f>
        <v/>
      </c>
      <c r="V858" s="1299" t="n">
        <v>541253.833</v>
      </c>
      <c r="W858" s="1298" t="n">
        <v>564725.2659999999</v>
      </c>
      <c r="X858" s="1298" t="n">
        <v>570466.958</v>
      </c>
      <c r="Y858" s="1298" t="n">
        <v>408077.695</v>
      </c>
      <c r="Z858" s="1280">
        <f>AA858</f>
        <v/>
      </c>
      <c r="AA858" s="1299" t="n">
        <v>553391.696</v>
      </c>
      <c r="AB858" s="1298" t="n">
        <v>577782.963</v>
      </c>
      <c r="AC858" s="1298" t="n">
        <v>632229.88</v>
      </c>
      <c r="AD858" s="1298" t="n">
        <v>488732.121</v>
      </c>
      <c r="AE858" s="1280">
        <f>AF858</f>
        <v/>
      </c>
      <c r="AF858" s="1299" t="n">
        <v>577814.601</v>
      </c>
      <c r="AG858" s="1298" t="n">
        <v>645670.527</v>
      </c>
      <c r="AH858" s="1298" t="n">
        <v>649697.262</v>
      </c>
      <c r="AI858" s="1298" t="n">
        <v>452430.3</v>
      </c>
      <c r="AJ858" s="1280">
        <f>AK858</f>
        <v/>
      </c>
      <c r="AK858" s="1299" t="n">
        <v>455399.336</v>
      </c>
      <c r="AL858" s="1298" t="n">
        <v>430777.229</v>
      </c>
      <c r="AM858" s="1298" t="n">
        <v>467613.443</v>
      </c>
      <c r="AN858" s="1298" t="n">
        <v>604195.113</v>
      </c>
      <c r="AO858" s="1280">
        <f>AP858</f>
        <v/>
      </c>
      <c r="AP858" s="1299" t="n">
        <v>660170.647</v>
      </c>
      <c r="AQ858" s="1298" t="n">
        <v>664727.857</v>
      </c>
      <c r="AR858" s="1298" t="n">
        <v>747982.0820000001</v>
      </c>
      <c r="AS858" s="1298" t="n">
        <v>853811.966</v>
      </c>
      <c r="AT858" s="1280">
        <f>AU858</f>
        <v/>
      </c>
      <c r="AU858" s="1299" t="n">
        <v>1064990.192</v>
      </c>
      <c r="AV858" s="1298" t="n">
        <v>1151589.646</v>
      </c>
      <c r="AW858" s="1298" t="n">
        <v>1253189.197</v>
      </c>
      <c r="AX858" s="1298" t="n">
        <v>1296012.784</v>
      </c>
      <c r="AY858" s="1280">
        <f>AZ858</f>
        <v/>
      </c>
      <c r="AZ858" s="1299" t="n">
        <v>1342814.083</v>
      </c>
      <c r="BA858" s="1298" t="n">
        <v>1385232.81</v>
      </c>
      <c r="BB858" s="1298" t="n">
        <v>1276723.984</v>
      </c>
      <c r="BC858" s="1298" t="n">
        <v>1311806.535</v>
      </c>
      <c r="BD858" s="1280">
        <f>BE858</f>
        <v/>
      </c>
      <c r="BE858" s="1299" t="n">
        <v>1465427.753</v>
      </c>
      <c r="BF858" s="1298" t="n">
        <v>1698195.704</v>
      </c>
      <c r="BG858" s="1298" t="n">
        <v>1799127.351</v>
      </c>
      <c r="BH858" s="1298" t="n">
        <v>1886780.555</v>
      </c>
      <c r="BI858" s="1280">
        <f>BJ858</f>
        <v/>
      </c>
      <c r="BJ858" s="1299" t="n">
        <v>2127627.043</v>
      </c>
      <c r="BK858" s="1298" t="n">
        <v>2394804.25</v>
      </c>
      <c r="BL858" s="1298" t="n">
        <v>2364524.34</v>
      </c>
      <c r="BM858" s="1298" t="n">
        <v>2470759.384</v>
      </c>
      <c r="BN858" s="1280">
        <f>BO858</f>
        <v/>
      </c>
      <c r="BO858" s="1645" t="n">
        <v>2767856</v>
      </c>
      <c r="BP858" s="1277">
        <f>BO858+BP811</f>
        <v/>
      </c>
      <c r="BQ858" s="1277">
        <f>BP858+BQ811</f>
        <v/>
      </c>
      <c r="BR858" s="1277">
        <f>BQ858+BR811</f>
        <v/>
      </c>
      <c r="BS858" s="1277">
        <f>BR858+BS811</f>
        <v/>
      </c>
      <c r="BT858" s="1297">
        <f>BS858</f>
        <v/>
      </c>
      <c r="BU858" s="1277">
        <f>BT858+BU811</f>
        <v/>
      </c>
      <c r="BV858" s="1277">
        <f>BU858+BV811</f>
        <v/>
      </c>
      <c r="BW858" s="1277">
        <f>BV858+BW811</f>
        <v/>
      </c>
      <c r="BX858" s="1277">
        <f>BW858+BX811</f>
        <v/>
      </c>
      <c r="BY858" s="1297">
        <f>BX858</f>
        <v/>
      </c>
      <c r="BZ858" s="1297">
        <f>BY858+BZ811</f>
        <v/>
      </c>
      <c r="CA858" s="1297">
        <f>BZ858+CA811</f>
        <v/>
      </c>
      <c r="CB858" s="1297">
        <f>CA858+CB811</f>
        <v/>
      </c>
      <c r="CC858" s="1280" t="n"/>
    </row>
    <row r="859" ht="14.4" customFormat="1" customHeight="1" s="1275">
      <c r="A859" s="1425" t="inlineStr">
        <is>
          <t>Financial assets at fair value through profit or loss</t>
        </is>
      </c>
      <c r="B859" s="1387" t="n"/>
      <c r="C859" s="1299" t="n">
        <v>186.081</v>
      </c>
      <c r="D859" s="1299" t="n">
        <v>6.886</v>
      </c>
      <c r="E859" s="1299" t="n">
        <v>15.36</v>
      </c>
      <c r="F859" s="1299" t="n">
        <v>39.554</v>
      </c>
      <c r="G859" s="1299" t="n">
        <v>90.35299999999999</v>
      </c>
      <c r="H859" s="1298" t="n">
        <v>11.425</v>
      </c>
      <c r="I859" s="1298" t="n">
        <v>158.265</v>
      </c>
      <c r="J859" s="1298" t="n">
        <v>69.164</v>
      </c>
      <c r="K859" s="1277">
        <f>L859</f>
        <v/>
      </c>
      <c r="L859" s="1299" t="n">
        <v>192.045</v>
      </c>
      <c r="M859" s="1298" t="n">
        <v>297.698</v>
      </c>
      <c r="N859" s="1298" t="n">
        <v>58.535</v>
      </c>
      <c r="O859" s="1298" t="n">
        <v>98.83499999999999</v>
      </c>
      <c r="P859" s="1277">
        <f>Q859</f>
        <v/>
      </c>
      <c r="Q859" s="1299" t="n">
        <v>6.026</v>
      </c>
      <c r="R859" s="1298" t="n">
        <v>618.8099999999999</v>
      </c>
      <c r="S859" s="1298" t="n">
        <v>1820.907</v>
      </c>
      <c r="T859" s="1298" t="n">
        <v>1848.317</v>
      </c>
      <c r="U859" s="1277">
        <f>V859</f>
        <v/>
      </c>
      <c r="V859" s="1299" t="n">
        <v>6451.112</v>
      </c>
      <c r="W859" s="1298" t="n">
        <v>5374.003</v>
      </c>
      <c r="X859" s="1298" t="n">
        <v>4995.251</v>
      </c>
      <c r="Y859" s="1298" t="n">
        <v>1125.668</v>
      </c>
      <c r="Z859" s="1277">
        <f>AA859</f>
        <v/>
      </c>
      <c r="AA859" s="1299" t="n">
        <v>569.751</v>
      </c>
      <c r="AB859" s="1298" t="n">
        <v>963.915</v>
      </c>
      <c r="AC859" s="1298" t="n">
        <v>1205.036</v>
      </c>
      <c r="AD859" s="1298" t="n">
        <v>4057.24</v>
      </c>
      <c r="AE859" s="1277">
        <f>AF859</f>
        <v/>
      </c>
      <c r="AF859" s="1299" t="n">
        <v>3504.59</v>
      </c>
      <c r="AG859" s="1298" t="n">
        <v>3084.399</v>
      </c>
      <c r="AH859" s="1298" t="n">
        <v>1322.756</v>
      </c>
      <c r="AI859" s="1298" t="n">
        <v>322.089</v>
      </c>
      <c r="AJ859" s="1277">
        <f>AK859</f>
        <v/>
      </c>
      <c r="AK859" s="1299" t="n">
        <v>326.839</v>
      </c>
      <c r="AL859" s="1298" t="n">
        <v>1254.253</v>
      </c>
      <c r="AM859" s="1298" t="n">
        <v>788.526</v>
      </c>
      <c r="AN859" s="1298" t="n">
        <v>2526.481</v>
      </c>
      <c r="AO859" s="1277">
        <f>AP859</f>
        <v/>
      </c>
      <c r="AP859" s="1299" t="n">
        <v>2259.412</v>
      </c>
      <c r="AQ859" s="1298" t="n">
        <v>26.897</v>
      </c>
      <c r="AR859" s="1298" t="n">
        <v>58.325</v>
      </c>
      <c r="AS859" s="1298" t="n">
        <v>33.956</v>
      </c>
      <c r="AT859" s="1277">
        <f>AU859</f>
        <v/>
      </c>
      <c r="AU859" s="1299" t="n">
        <v>159.048</v>
      </c>
      <c r="AV859" s="1298" t="n">
        <v>758.452</v>
      </c>
      <c r="AW859" s="1298" t="n">
        <v>214.215</v>
      </c>
      <c r="AX859" s="1298" t="n">
        <v>4705.434</v>
      </c>
      <c r="AY859" s="1277">
        <f>AZ859</f>
        <v/>
      </c>
      <c r="AZ859" s="1299" t="n">
        <v>1070.398</v>
      </c>
      <c r="BA859" s="1298" t="n">
        <v>982.014</v>
      </c>
      <c r="BB859" s="1298" t="n">
        <v>975.5839999999999</v>
      </c>
      <c r="BC859" s="1298" t="n">
        <v>378.526</v>
      </c>
      <c r="BD859" s="1277">
        <f>BE859</f>
        <v/>
      </c>
      <c r="BE859" s="1299" t="n">
        <v>924.636</v>
      </c>
      <c r="BF859" s="1298" t="n">
        <v>253.275</v>
      </c>
      <c r="BG859" s="1298" t="n">
        <v>114.366</v>
      </c>
      <c r="BH859" s="1298" t="n">
        <v>971.386</v>
      </c>
      <c r="BI859" s="1277">
        <f>BJ859</f>
        <v/>
      </c>
      <c r="BJ859" s="1299" t="n">
        <v>207.7</v>
      </c>
      <c r="BK859" s="1298" t="n">
        <v>54.369</v>
      </c>
      <c r="BL859" s="1298" t="n">
        <v>1765.904</v>
      </c>
      <c r="BM859" s="1298" t="n">
        <v>20.955</v>
      </c>
      <c r="BN859" s="1277">
        <f>BO859</f>
        <v/>
      </c>
      <c r="BO859" s="1645" t="n">
        <v>20</v>
      </c>
      <c r="BP859" s="1277">
        <f>BO859</f>
        <v/>
      </c>
      <c r="BQ859" s="1277">
        <f>BP859</f>
        <v/>
      </c>
      <c r="BR859" s="1277">
        <f>BQ859</f>
        <v/>
      </c>
      <c r="BS859" s="1277">
        <f>BR859</f>
        <v/>
      </c>
      <c r="BT859" s="1297">
        <f>BS859</f>
        <v/>
      </c>
      <c r="BU859" s="1277">
        <f>BT859</f>
        <v/>
      </c>
      <c r="BV859" s="1277">
        <f>BU859</f>
        <v/>
      </c>
      <c r="BW859" s="1277">
        <f>BV859</f>
        <v/>
      </c>
      <c r="BX859" s="1277">
        <f>BW859</f>
        <v/>
      </c>
      <c r="BY859" s="1297">
        <f>BX859</f>
        <v/>
      </c>
      <c r="BZ859" s="1297">
        <f>BY859</f>
        <v/>
      </c>
      <c r="CA859" s="1297">
        <f>BZ859</f>
        <v/>
      </c>
      <c r="CB859" s="1297">
        <f>CA859</f>
        <v/>
      </c>
      <c r="CC859" s="1280" t="n"/>
    </row>
    <row r="860" ht="14.4" customFormat="1" customHeight="1" s="1275">
      <c r="A860" s="1590" t="inlineStr">
        <is>
          <t>Financial assets at fair value through other comprehensive income</t>
        </is>
      </c>
      <c r="B860" s="1387" t="n"/>
      <c r="C860" s="1297" t="n"/>
      <c r="D860" s="1297" t="n"/>
      <c r="E860" s="1297" t="n"/>
      <c r="F860" s="1297" t="n"/>
      <c r="G860" s="1297" t="n"/>
      <c r="H860" s="1277" t="n"/>
      <c r="I860" s="1277" t="n"/>
      <c r="J860" s="1277" t="n"/>
      <c r="K860" s="1277" t="n"/>
      <c r="L860" s="1297" t="n"/>
      <c r="M860" s="1277" t="n"/>
      <c r="N860" s="1277" t="n"/>
      <c r="O860" s="1277" t="n"/>
      <c r="P860" s="1277" t="n"/>
      <c r="Q860" s="1297" t="n"/>
      <c r="R860" s="1277" t="n"/>
      <c r="S860" s="1277" t="n"/>
      <c r="T860" s="1277" t="n"/>
      <c r="U860" s="1277" t="n"/>
      <c r="V860" s="1297" t="n"/>
      <c r="W860" s="1277" t="n"/>
      <c r="X860" s="1277" t="n"/>
      <c r="Y860" s="1277" t="n"/>
      <c r="Z860" s="1277" t="n"/>
      <c r="AA860" s="1297" t="n"/>
      <c r="AB860" s="1298" t="n">
        <v>95713.446</v>
      </c>
      <c r="AC860" s="1298" t="n">
        <v>102027.608</v>
      </c>
      <c r="AD860" s="1298" t="n">
        <v>99214.06600000001</v>
      </c>
      <c r="AE860" s="1280">
        <f>AF860</f>
        <v/>
      </c>
      <c r="AF860" s="1299" t="n">
        <v>99561.74000000001</v>
      </c>
      <c r="AG860" s="1298" t="n">
        <v>107313.205</v>
      </c>
      <c r="AH860" s="1298" t="n">
        <v>113594.232</v>
      </c>
      <c r="AI860" s="1298" t="n">
        <v>132133.452</v>
      </c>
      <c r="AJ860" s="1280">
        <f>AK860</f>
        <v/>
      </c>
      <c r="AK860" s="1299" t="n">
        <v>127396.577</v>
      </c>
      <c r="AL860" s="1298" t="n">
        <v>129219.277</v>
      </c>
      <c r="AM860" s="1298" t="n">
        <v>129403.588</v>
      </c>
      <c r="AN860" s="1298" t="n">
        <v>128608.752</v>
      </c>
      <c r="AO860" s="1280">
        <f>AP860</f>
        <v/>
      </c>
      <c r="AP860" s="1299" t="n">
        <v>122448.453</v>
      </c>
      <c r="AQ860" s="1298" t="n">
        <v>125208.307</v>
      </c>
      <c r="AR860" s="1298" t="n">
        <v>122794.529</v>
      </c>
      <c r="AS860" s="1298" t="n">
        <v>121935.878</v>
      </c>
      <c r="AT860" s="1280">
        <f>AU860</f>
        <v/>
      </c>
      <c r="AU860" s="1299" t="n">
        <v>119519.251</v>
      </c>
      <c r="AV860" s="1298" t="n">
        <v>120995.765</v>
      </c>
      <c r="AW860" s="1298" t="n">
        <v>120954.506</v>
      </c>
      <c r="AX860" s="1298" t="n">
        <v>126209.422</v>
      </c>
      <c r="AY860" s="1280">
        <f>AZ860</f>
        <v/>
      </c>
      <c r="AZ860" s="1299" t="n">
        <v>122998.543</v>
      </c>
      <c r="BA860" s="1298" t="n">
        <v>129541.034</v>
      </c>
      <c r="BB860" s="1298" t="n">
        <v>140774.929</v>
      </c>
      <c r="BC860" s="1298" t="n">
        <v>154838.39</v>
      </c>
      <c r="BD860" s="1280">
        <f>BE860</f>
        <v/>
      </c>
      <c r="BE860" s="1299" t="n">
        <v>154530.83</v>
      </c>
      <c r="BF860" s="1298" t="n">
        <v>175880.463</v>
      </c>
      <c r="BG860" s="1298" t="n">
        <v>185232.206</v>
      </c>
      <c r="BH860" s="1298" t="n">
        <v>189649.314</v>
      </c>
      <c r="BI860" s="1280">
        <f>BJ860</f>
        <v/>
      </c>
      <c r="BJ860" s="1299" t="n">
        <v>192202.657</v>
      </c>
      <c r="BK860" s="1298" t="n">
        <v>189928.311</v>
      </c>
      <c r="BL860" s="1298" t="n">
        <v>163637.74</v>
      </c>
      <c r="BM860" s="1298" t="n">
        <v>171753.602</v>
      </c>
      <c r="BN860" s="1280">
        <f>BO860</f>
        <v/>
      </c>
      <c r="BO860" s="1645" t="n">
        <v>180000</v>
      </c>
      <c r="BP860" s="1277">
        <f>(BP$369+BN$369+BM$369+BL$369)*BP827</f>
        <v/>
      </c>
      <c r="BQ860" s="1277">
        <f>(BQ$369+BP$369+BN$369+BM$369)*BQ827</f>
        <v/>
      </c>
      <c r="BR860" s="1277">
        <f>(BR$369+BQ$369+BP$369+BN$369)*BR827</f>
        <v/>
      </c>
      <c r="BS860" s="1277">
        <f>(BS$369+BR$369+BQ$369+BP$369)*BS827</f>
        <v/>
      </c>
      <c r="BT860" s="1297">
        <f>BS860</f>
        <v/>
      </c>
      <c r="BU860" s="1277">
        <f>(BU$369+BS$369+BR$369+BQ$369)*BU827</f>
        <v/>
      </c>
      <c r="BV860" s="1277">
        <f>(BV$369+BU$369+BS$369+BR$369)*BV827</f>
        <v/>
      </c>
      <c r="BW860" s="1277">
        <f>(BW$369+BV$369+BU$369+BS$369)*BW827</f>
        <v/>
      </c>
      <c r="BX860" s="1277">
        <f>(BX$369+BW$369+BV$369+BU$369)*BX827</f>
        <v/>
      </c>
      <c r="BY860" s="1297">
        <f>BX860</f>
        <v/>
      </c>
      <c r="BZ860" s="1297">
        <f>BZ369*BZ827</f>
        <v/>
      </c>
      <c r="CA860" s="1297">
        <f>CA369*CA827</f>
        <v/>
      </c>
      <c r="CB860" s="1297">
        <f>CB369*CB827</f>
        <v/>
      </c>
      <c r="CC860" s="1280" t="n"/>
    </row>
    <row r="861" ht="14.4" customFormat="1" customHeight="1" s="1275">
      <c r="A861" s="1590" t="inlineStr">
        <is>
          <t>Financial assets at amortized cost</t>
        </is>
      </c>
      <c r="B861" s="1387" t="n"/>
      <c r="C861" s="1297" t="n"/>
      <c r="D861" s="1297" t="n"/>
      <c r="E861" s="1297" t="n"/>
      <c r="F861" s="1297" t="n"/>
      <c r="G861" s="1297" t="n"/>
      <c r="H861" s="1277" t="n"/>
      <c r="I861" s="1277" t="n"/>
      <c r="J861" s="1277" t="n"/>
      <c r="K861" s="1277" t="n"/>
      <c r="L861" s="1297" t="n"/>
      <c r="M861" s="1277" t="n"/>
      <c r="N861" s="1277" t="n"/>
      <c r="O861" s="1277" t="n"/>
      <c r="P861" s="1277" t="n"/>
      <c r="Q861" s="1297" t="n"/>
      <c r="R861" s="1277" t="n"/>
      <c r="S861" s="1277" t="n"/>
      <c r="T861" s="1277" t="n"/>
      <c r="U861" s="1277" t="n"/>
      <c r="V861" s="1297" t="n"/>
      <c r="W861" s="1277" t="n"/>
      <c r="X861" s="1277" t="n"/>
      <c r="Y861" s="1277" t="n"/>
      <c r="Z861" s="1277" t="n"/>
      <c r="AA861" s="1297" t="n"/>
      <c r="AB861" s="1298" t="n">
        <v>9888.741</v>
      </c>
      <c r="AC861" s="1298" t="n">
        <v>13427.398</v>
      </c>
      <c r="AD861" s="1298" t="n">
        <v>11891.845</v>
      </c>
      <c r="AE861" s="1280">
        <f>AF861</f>
        <v/>
      </c>
      <c r="AF861" s="1299" t="n">
        <v>14277.615</v>
      </c>
      <c r="AG861" s="1298" t="n">
        <v>4179.386</v>
      </c>
      <c r="AH861" s="1277" t="n"/>
      <c r="AI861" s="1277" t="n"/>
      <c r="AJ861" s="1280">
        <f>AK861</f>
        <v/>
      </c>
      <c r="AK861" s="1299" t="n">
        <v>299.884</v>
      </c>
      <c r="AL861" s="1298" t="n">
        <v>302.393</v>
      </c>
      <c r="AM861" s="1298" t="n">
        <v>7210.148</v>
      </c>
      <c r="AN861" s="1298" t="n">
        <v>7090.162</v>
      </c>
      <c r="AO861" s="1280">
        <f>AP861</f>
        <v/>
      </c>
      <c r="AP861" s="1299" t="n">
        <v>6597.992</v>
      </c>
      <c r="AQ861" s="1298" t="n">
        <v>6694.422</v>
      </c>
      <c r="AR861" s="1298" t="n">
        <v>0</v>
      </c>
      <c r="AS861" s="1298" t="n">
        <v>0</v>
      </c>
      <c r="AT861" s="1280">
        <f>AU861</f>
        <v/>
      </c>
      <c r="AU861" s="1299" t="n">
        <v>3773.571</v>
      </c>
      <c r="AV861" s="1298" t="n">
        <v>8425.386</v>
      </c>
      <c r="AW861" s="1298" t="n">
        <v>51165.762</v>
      </c>
      <c r="AX861" s="1298" t="n">
        <v>71857.46799999999</v>
      </c>
      <c r="AY861" s="1280">
        <f>AZ861</f>
        <v/>
      </c>
      <c r="AZ861" s="1299" t="n">
        <v>94600.219</v>
      </c>
      <c r="BA861" s="1298" t="n">
        <v>73428.595</v>
      </c>
      <c r="BB861" s="1298" t="n">
        <v>71452.49400000001</v>
      </c>
      <c r="BC861" s="1298" t="n">
        <v>84261.08900000001</v>
      </c>
      <c r="BD861" s="1280">
        <f>BE861</f>
        <v/>
      </c>
      <c r="BE861" s="1299" t="n">
        <v>66761.22100000001</v>
      </c>
      <c r="BF861" s="1298" t="n">
        <v>48326.607</v>
      </c>
      <c r="BG861" s="1298" t="n">
        <v>64160.285</v>
      </c>
      <c r="BH861" s="1298" t="n">
        <v>90197.355</v>
      </c>
      <c r="BI861" s="1280">
        <f>BJ861</f>
        <v/>
      </c>
      <c r="BJ861" s="1299" t="n">
        <v>101971.322</v>
      </c>
      <c r="BK861" s="1298" t="n">
        <v>118298.376</v>
      </c>
      <c r="BL861" s="1298" t="n">
        <v>104501.262</v>
      </c>
      <c r="BM861" s="1298" t="n">
        <v>108521.394</v>
      </c>
      <c r="BN861" s="1280">
        <f>BO861</f>
        <v/>
      </c>
      <c r="BO861" s="1645" t="n">
        <v>120718</v>
      </c>
      <c r="BP861" s="1277">
        <f>BO861</f>
        <v/>
      </c>
      <c r="BQ861" s="1277">
        <f>BP861</f>
        <v/>
      </c>
      <c r="BR861" s="1277">
        <f>BQ861</f>
        <v/>
      </c>
      <c r="BS861" s="1277">
        <f>BR861</f>
        <v/>
      </c>
      <c r="BT861" s="1297">
        <f>BS861</f>
        <v/>
      </c>
      <c r="BU861" s="1277">
        <f>BT861</f>
        <v/>
      </c>
      <c r="BV861" s="1277">
        <f>BU861</f>
        <v/>
      </c>
      <c r="BW861" s="1277">
        <f>BV861</f>
        <v/>
      </c>
      <c r="BX861" s="1277">
        <f>BW861</f>
        <v/>
      </c>
      <c r="BY861" s="1297">
        <f>BX861</f>
        <v/>
      </c>
      <c r="BZ861" s="1297">
        <f>BY861</f>
        <v/>
      </c>
      <c r="CA861" s="1297">
        <f>BZ861</f>
        <v/>
      </c>
      <c r="CB861" s="1297">
        <f>CA861</f>
        <v/>
      </c>
      <c r="CC861" s="1280" t="n"/>
    </row>
    <row r="862" ht="14.4" customFormat="1" customHeight="1" s="1275">
      <c r="A862" s="1590" t="inlineStr">
        <is>
          <t>Available-for-sale financial assets</t>
        </is>
      </c>
      <c r="B862" s="1387" t="n"/>
      <c r="C862" s="1299" t="n">
        <v>14389.946</v>
      </c>
      <c r="D862" s="1299" t="n">
        <v>28883.728</v>
      </c>
      <c r="E862" s="1299" t="n">
        <v>3308.77</v>
      </c>
      <c r="F862" s="1299" t="n">
        <v>2410.635</v>
      </c>
      <c r="G862" s="1299" t="n">
        <v>760.793</v>
      </c>
      <c r="H862" s="1298" t="n">
        <v>845.002</v>
      </c>
      <c r="I862" s="1298" t="n">
        <v>59082.482</v>
      </c>
      <c r="J862" s="1298" t="n">
        <v>64391.337</v>
      </c>
      <c r="K862" s="1280">
        <f>L862</f>
        <v/>
      </c>
      <c r="L862" s="1299" t="n">
        <v>73797.476</v>
      </c>
      <c r="M862" s="1298" t="n">
        <v>68204.39</v>
      </c>
      <c r="N862" s="1298" t="n">
        <v>14216.874</v>
      </c>
      <c r="O862" s="1298" t="n">
        <v>1597.602</v>
      </c>
      <c r="P862" s="1280">
        <f>Q862</f>
        <v/>
      </c>
      <c r="Q862" s="1299" t="n">
        <v>14299.361</v>
      </c>
      <c r="R862" s="1298" t="n">
        <v>22232.905</v>
      </c>
      <c r="S862" s="1298" t="n">
        <v>36322.049</v>
      </c>
      <c r="T862" s="1298" t="n">
        <v>45815.003</v>
      </c>
      <c r="U862" s="1280">
        <f>V862</f>
        <v/>
      </c>
      <c r="V862" s="1299" t="n">
        <v>67788.76700000001</v>
      </c>
      <c r="W862" s="1298" t="n">
        <v>71083.79700000001</v>
      </c>
      <c r="X862" s="1298" t="n">
        <v>76252.652</v>
      </c>
      <c r="Y862" s="1298" t="n">
        <v>84953.011</v>
      </c>
      <c r="Z862" s="1280">
        <f>AA862</f>
        <v/>
      </c>
      <c r="AA862" s="1299" t="n">
        <v>93374.15300000001</v>
      </c>
      <c r="AB862" s="1277" t="n"/>
      <c r="AC862" s="1277" t="n"/>
      <c r="AD862" s="1277" t="n"/>
      <c r="AE862" s="1280">
        <f>AF862</f>
        <v/>
      </c>
      <c r="AF862" s="1297" t="n"/>
      <c r="AG862" s="1277" t="n"/>
      <c r="AH862" s="1277" t="n"/>
      <c r="AI862" s="1277" t="n"/>
      <c r="AJ862" s="1277" t="n"/>
      <c r="AK862" s="1297" t="n"/>
      <c r="AL862" s="1277" t="n"/>
      <c r="AM862" s="1277" t="n"/>
      <c r="AN862" s="1277" t="n"/>
      <c r="AO862" s="1277" t="n"/>
      <c r="AP862" s="1297" t="n"/>
      <c r="AQ862" s="1277" t="n"/>
      <c r="AR862" s="1277" t="n"/>
      <c r="AS862" s="1277" t="n"/>
      <c r="AT862" s="1277" t="n"/>
      <c r="AU862" s="1297" t="n"/>
      <c r="AV862" s="1277" t="n"/>
      <c r="AW862" s="1277" t="n"/>
      <c r="AX862" s="1277" t="n"/>
      <c r="AY862" s="1277" t="n"/>
      <c r="AZ862" s="1297" t="n"/>
      <c r="BA862" s="1277" t="n"/>
      <c r="BB862" s="1277" t="n"/>
      <c r="BC862" s="1277" t="n"/>
      <c r="BD862" s="1277" t="n"/>
      <c r="BE862" s="1297" t="n"/>
      <c r="BF862" s="1277" t="n"/>
      <c r="BG862" s="1277" t="n"/>
      <c r="BH862" s="1277" t="n"/>
      <c r="BI862" s="1277" t="n"/>
      <c r="BJ862" s="1297" t="n"/>
      <c r="BK862" s="1277" t="n"/>
      <c r="BL862" s="1277" t="n"/>
      <c r="BM862" s="1277" t="n"/>
      <c r="BN862" s="1277" t="n"/>
      <c r="BO862" s="1382" t="n"/>
      <c r="BP862" s="1277">
        <f>BO862</f>
        <v/>
      </c>
      <c r="BQ862" s="1277">
        <f>BP862</f>
        <v/>
      </c>
      <c r="BR862" s="1277">
        <f>BQ862</f>
        <v/>
      </c>
      <c r="BS862" s="1277">
        <f>BR862</f>
        <v/>
      </c>
      <c r="BT862" s="1297">
        <f>BS862</f>
        <v/>
      </c>
      <c r="BU862" s="1277">
        <f>BT862</f>
        <v/>
      </c>
      <c r="BV862" s="1277">
        <f>BU862</f>
        <v/>
      </c>
      <c r="BW862" s="1277">
        <f>BV862</f>
        <v/>
      </c>
      <c r="BX862" s="1277">
        <f>BW862</f>
        <v/>
      </c>
      <c r="BY862" s="1297">
        <f>BX862</f>
        <v/>
      </c>
      <c r="BZ862" s="1297">
        <f>BY862</f>
        <v/>
      </c>
      <c r="CA862" s="1297">
        <f>BZ862</f>
        <v/>
      </c>
      <c r="CB862" s="1297">
        <f>CA862</f>
        <v/>
      </c>
      <c r="CC862" s="1280" t="n"/>
    </row>
    <row r="863" ht="14.4" customFormat="1" customHeight="1" s="1275">
      <c r="A863" s="1590" t="inlineStr">
        <is>
          <t>Held-to-maturity financial assets</t>
        </is>
      </c>
      <c r="B863" s="1387" t="n"/>
      <c r="C863" s="1299" t="n">
        <v>9944.843000000001</v>
      </c>
      <c r="D863" s="1299" t="n">
        <v>4796.589</v>
      </c>
      <c r="E863" s="1299" t="n">
        <v>3825.68</v>
      </c>
      <c r="F863" s="1299" t="n">
        <v>5056.973</v>
      </c>
      <c r="G863" s="1299" t="n">
        <v>1795.949</v>
      </c>
      <c r="H863" s="1298" t="n">
        <v>2394.178</v>
      </c>
      <c r="I863" s="1298" t="n">
        <v>299.23</v>
      </c>
      <c r="J863" s="1298" t="n">
        <v>0</v>
      </c>
      <c r="K863" s="1280">
        <f>L863</f>
        <v/>
      </c>
      <c r="L863" s="1299" t="n">
        <v>4485.593</v>
      </c>
      <c r="M863" s="1298" t="n">
        <v>13060.038</v>
      </c>
      <c r="N863" s="1298" t="n">
        <v>7180.351</v>
      </c>
      <c r="O863" s="1298" t="n">
        <v>7362.003</v>
      </c>
      <c r="P863" s="1280">
        <f>Q863</f>
        <v/>
      </c>
      <c r="Q863" s="1299" t="n">
        <v>9166.522999999999</v>
      </c>
      <c r="R863" s="1298" t="n">
        <v>7561.182</v>
      </c>
      <c r="S863" s="1298" t="n">
        <v>7362.302</v>
      </c>
      <c r="T863" s="1298" t="n">
        <v>5320.041</v>
      </c>
      <c r="U863" s="1280">
        <f>V863</f>
        <v/>
      </c>
      <c r="V863" s="1299" t="n">
        <v>16610.116</v>
      </c>
      <c r="W863" s="1298" t="n">
        <v>18140.374</v>
      </c>
      <c r="X863" s="1298" t="n">
        <v>7210.38</v>
      </c>
      <c r="Y863" s="1298" t="n">
        <v>7521.216</v>
      </c>
      <c r="Z863" s="1280">
        <f>AA863</f>
        <v/>
      </c>
      <c r="AA863" s="1299" t="n">
        <v>1988.385</v>
      </c>
      <c r="AB863" s="1277" t="n"/>
      <c r="AC863" s="1277" t="n"/>
      <c r="AD863" s="1277" t="n"/>
      <c r="AE863" s="1280">
        <f>AF863</f>
        <v/>
      </c>
      <c r="AF863" s="1297" t="n"/>
      <c r="AG863" s="1277" t="n"/>
      <c r="AH863" s="1277" t="n"/>
      <c r="AI863" s="1277" t="n"/>
      <c r="AJ863" s="1277" t="n"/>
      <c r="AK863" s="1297" t="n"/>
      <c r="AL863" s="1277" t="n"/>
      <c r="AM863" s="1277" t="n"/>
      <c r="AN863" s="1277" t="n"/>
      <c r="AO863" s="1277" t="n"/>
      <c r="AP863" s="1297" t="n"/>
      <c r="AQ863" s="1277" t="n"/>
      <c r="AR863" s="1277" t="n"/>
      <c r="AS863" s="1277" t="n"/>
      <c r="AT863" s="1277" t="n"/>
      <c r="AU863" s="1297" t="n"/>
      <c r="AV863" s="1277" t="n"/>
      <c r="AW863" s="1277" t="n"/>
      <c r="AX863" s="1277" t="n"/>
      <c r="AY863" s="1277" t="n"/>
      <c r="AZ863" s="1297" t="n"/>
      <c r="BA863" s="1277" t="n"/>
      <c r="BB863" s="1277" t="n"/>
      <c r="BC863" s="1277" t="n"/>
      <c r="BD863" s="1277" t="n"/>
      <c r="BE863" s="1297" t="n"/>
      <c r="BF863" s="1277" t="n"/>
      <c r="BG863" s="1277" t="n"/>
      <c r="BH863" s="1277" t="n"/>
      <c r="BI863" s="1277" t="n"/>
      <c r="BJ863" s="1297" t="n"/>
      <c r="BK863" s="1277" t="n"/>
      <c r="BL863" s="1277" t="n"/>
      <c r="BM863" s="1277" t="n"/>
      <c r="BN863" s="1277" t="n"/>
      <c r="BO863" s="1382" t="n"/>
      <c r="BP863" s="1277">
        <f>BO863</f>
        <v/>
      </c>
      <c r="BQ863" s="1277">
        <f>BP863</f>
        <v/>
      </c>
      <c r="BR863" s="1277">
        <f>BQ863</f>
        <v/>
      </c>
      <c r="BS863" s="1277">
        <f>BR863</f>
        <v/>
      </c>
      <c r="BT863" s="1297">
        <f>BS863</f>
        <v/>
      </c>
      <c r="BU863" s="1277">
        <f>BT863</f>
        <v/>
      </c>
      <c r="BV863" s="1277">
        <f>BU863</f>
        <v/>
      </c>
      <c r="BW863" s="1277">
        <f>BV863</f>
        <v/>
      </c>
      <c r="BX863" s="1277">
        <f>BW863</f>
        <v/>
      </c>
      <c r="BY863" s="1297">
        <f>BX863</f>
        <v/>
      </c>
      <c r="BZ863" s="1297">
        <f>BY863</f>
        <v/>
      </c>
      <c r="CA863" s="1297">
        <f>BZ863</f>
        <v/>
      </c>
      <c r="CB863" s="1297">
        <f>CA863</f>
        <v/>
      </c>
      <c r="CC863" s="1280" t="n"/>
    </row>
    <row r="864" ht="14.4" customFormat="1" customHeight="1" s="1275">
      <c r="A864" s="1590" t="inlineStr">
        <is>
          <t>Hedging derivative financial assets</t>
        </is>
      </c>
      <c r="B864" s="1387" t="n"/>
      <c r="C864" s="1299" t="n">
        <v>0</v>
      </c>
      <c r="D864" s="1299" t="n">
        <v>0</v>
      </c>
      <c r="E864" s="1299" t="n">
        <v>0</v>
      </c>
      <c r="F864" s="1299" t="n">
        <v>0</v>
      </c>
      <c r="G864" s="1299" t="n">
        <v>0</v>
      </c>
      <c r="H864" s="1298" t="n">
        <v>0</v>
      </c>
      <c r="I864" s="1298" t="n">
        <v>0</v>
      </c>
      <c r="J864" s="1298" t="n">
        <v>0</v>
      </c>
      <c r="K864" s="1280">
        <f>L864</f>
        <v/>
      </c>
      <c r="L864" s="1299" t="n">
        <v>0</v>
      </c>
      <c r="M864" s="1298" t="n">
        <v>0</v>
      </c>
      <c r="N864" s="1298" t="n">
        <v>0</v>
      </c>
      <c r="O864" s="1298" t="n">
        <v>96.15300000000001</v>
      </c>
      <c r="P864" s="1280">
        <f>Q864</f>
        <v/>
      </c>
      <c r="Q864" s="1299" t="n">
        <v>1.739</v>
      </c>
      <c r="R864" s="1298" t="n">
        <v>0</v>
      </c>
      <c r="S864" s="1298" t="n">
        <v>0</v>
      </c>
      <c r="T864" s="1298" t="n">
        <v>0</v>
      </c>
      <c r="U864" s="1280">
        <f>V864</f>
        <v/>
      </c>
      <c r="V864" s="1299" t="n">
        <v>5.55</v>
      </c>
      <c r="W864" s="1298" t="n">
        <v>0</v>
      </c>
      <c r="X864" s="1298" t="n">
        <v>24.517</v>
      </c>
      <c r="Y864" s="1298" t="n">
        <v>98.879</v>
      </c>
      <c r="Z864" s="1280">
        <f>AA864</f>
        <v/>
      </c>
      <c r="AA864" s="1299" t="n">
        <v>34.394</v>
      </c>
      <c r="AB864" s="1277" t="n"/>
      <c r="AC864" s="1277" t="n"/>
      <c r="AD864" s="1277" t="n"/>
      <c r="AE864" s="1280">
        <f>AF864</f>
        <v/>
      </c>
      <c r="AF864" s="1297" t="n"/>
      <c r="AG864" s="1277" t="n"/>
      <c r="AH864" s="1277" t="n"/>
      <c r="AI864" s="1277" t="n"/>
      <c r="AJ864" s="1277" t="n"/>
      <c r="AK864" s="1297" t="n"/>
      <c r="AL864" s="1277" t="n"/>
      <c r="AM864" s="1277" t="n"/>
      <c r="AN864" s="1277" t="n"/>
      <c r="AO864" s="1277" t="n"/>
      <c r="AP864" s="1297" t="n"/>
      <c r="AQ864" s="1277" t="n"/>
      <c r="AR864" s="1277" t="n"/>
      <c r="AS864" s="1277" t="n"/>
      <c r="AT864" s="1277" t="n"/>
      <c r="AU864" s="1297" t="n"/>
      <c r="AV864" s="1277" t="n"/>
      <c r="AW864" s="1277" t="n"/>
      <c r="AX864" s="1277" t="n"/>
      <c r="AY864" s="1277" t="n"/>
      <c r="AZ864" s="1297" t="n"/>
      <c r="BA864" s="1277" t="n"/>
      <c r="BB864" s="1277" t="n"/>
      <c r="BC864" s="1277" t="n"/>
      <c r="BD864" s="1277" t="n"/>
      <c r="BE864" s="1297" t="n"/>
      <c r="BF864" s="1277" t="n"/>
      <c r="BG864" s="1277" t="n"/>
      <c r="BH864" s="1277" t="n"/>
      <c r="BI864" s="1277" t="n"/>
      <c r="BJ864" s="1297" t="n"/>
      <c r="BK864" s="1277" t="n"/>
      <c r="BL864" s="1277" t="n"/>
      <c r="BM864" s="1277" t="n"/>
      <c r="BN864" s="1277" t="n"/>
      <c r="BO864" s="1382" t="n"/>
      <c r="BP864" s="1277">
        <f>BO864</f>
        <v/>
      </c>
      <c r="BQ864" s="1277">
        <f>BP864</f>
        <v/>
      </c>
      <c r="BR864" s="1277">
        <f>BQ864</f>
        <v/>
      </c>
      <c r="BS864" s="1277">
        <f>BR864</f>
        <v/>
      </c>
      <c r="BT864" s="1297">
        <f>BS864</f>
        <v/>
      </c>
      <c r="BU864" s="1277">
        <f>BT864</f>
        <v/>
      </c>
      <c r="BV864" s="1277">
        <f>BU864</f>
        <v/>
      </c>
      <c r="BW864" s="1277">
        <f>BV864</f>
        <v/>
      </c>
      <c r="BX864" s="1277">
        <f>BW864</f>
        <v/>
      </c>
      <c r="BY864" s="1297">
        <f>BX864</f>
        <v/>
      </c>
      <c r="BZ864" s="1297">
        <f>BY864</f>
        <v/>
      </c>
      <c r="CA864" s="1297">
        <f>BZ864</f>
        <v/>
      </c>
      <c r="CB864" s="1297">
        <f>CA864</f>
        <v/>
      </c>
      <c r="CC864" s="1280" t="n"/>
    </row>
    <row r="865" ht="14.4" customFormat="1" customHeight="1" s="1275">
      <c r="A865" s="1431" t="inlineStr">
        <is>
          <t>Hedging financial assets</t>
        </is>
      </c>
      <c r="B865" s="1389" t="n"/>
      <c r="C865" s="1364" t="n"/>
      <c r="D865" s="1364" t="n"/>
      <c r="E865" s="1364" t="n"/>
      <c r="F865" s="1364" t="n"/>
      <c r="G865" s="1364" t="n"/>
      <c r="H865" s="1365" t="n"/>
      <c r="I865" s="1365" t="n"/>
      <c r="J865" s="1365" t="n"/>
      <c r="K865" s="1365" t="n"/>
      <c r="L865" s="1364" t="n"/>
      <c r="M865" s="1365" t="n"/>
      <c r="N865" s="1365" t="n"/>
      <c r="O865" s="1365" t="n"/>
      <c r="P865" s="1365" t="n"/>
      <c r="Q865" s="1364" t="n"/>
      <c r="R865" s="1365" t="n"/>
      <c r="S865" s="1365" t="n"/>
      <c r="T865" s="1365" t="n"/>
      <c r="U865" s="1365" t="n"/>
      <c r="V865" s="1364" t="n"/>
      <c r="W865" s="1365" t="n"/>
      <c r="X865" s="1365" t="n"/>
      <c r="Y865" s="1365" t="n"/>
      <c r="Z865" s="1365" t="n"/>
      <c r="AA865" s="1364" t="n"/>
      <c r="AB865" s="1391" t="n">
        <v>26.357</v>
      </c>
      <c r="AC865" s="1391" t="n">
        <v>31.692</v>
      </c>
      <c r="AD865" s="1391" t="n">
        <v>124.242</v>
      </c>
      <c r="AE865" s="1365">
        <f>AF865</f>
        <v/>
      </c>
      <c r="AF865" s="1390" t="n">
        <v>23.497</v>
      </c>
      <c r="AG865" s="1391" t="n">
        <v>0.969</v>
      </c>
      <c r="AH865" s="1391" t="n">
        <v>0.576</v>
      </c>
      <c r="AI865" s="1391" t="n">
        <v>37.003</v>
      </c>
      <c r="AJ865" s="1365">
        <f>AK865</f>
        <v/>
      </c>
      <c r="AK865" s="1390" t="n">
        <v>25.884</v>
      </c>
      <c r="AL865" s="1391" t="n">
        <v>0</v>
      </c>
      <c r="AM865" s="1365" t="n"/>
      <c r="AN865" s="1365" t="n"/>
      <c r="AO865" s="1365">
        <f>AP865</f>
        <v/>
      </c>
      <c r="AP865" s="1390" t="n">
        <v>0.047</v>
      </c>
      <c r="AQ865" s="1391" t="n">
        <v>64.349</v>
      </c>
      <c r="AR865" s="1391" t="n">
        <v>0.31</v>
      </c>
      <c r="AS865" s="1391" t="n">
        <v>37.769</v>
      </c>
      <c r="AT865" s="1365">
        <f>AU865</f>
        <v/>
      </c>
      <c r="AU865" s="1390" t="n">
        <v>13.468</v>
      </c>
      <c r="AV865" s="1391" t="n">
        <v>286.824</v>
      </c>
      <c r="AW865" s="1391" t="n">
        <v>44.686</v>
      </c>
      <c r="AX865" s="1391" t="n">
        <v>88.431</v>
      </c>
      <c r="AY865" s="1365">
        <f>AZ865</f>
        <v/>
      </c>
      <c r="AZ865" s="1390" t="n">
        <v>2.329</v>
      </c>
      <c r="BA865" s="1391" t="n">
        <v>0.07000000000000001</v>
      </c>
      <c r="BB865" s="1391" t="n">
        <v>29.704</v>
      </c>
      <c r="BC865" s="1391" t="n">
        <v>37.451</v>
      </c>
      <c r="BD865" s="1365">
        <f>BE865</f>
        <v/>
      </c>
      <c r="BE865" s="1390" t="n">
        <v>0</v>
      </c>
      <c r="BF865" s="1365" t="n"/>
      <c r="BG865" s="1391" t="n">
        <v>1.409</v>
      </c>
      <c r="BH865" s="1391" t="n">
        <v>1.079</v>
      </c>
      <c r="BI865" s="1365">
        <f>BJ865</f>
        <v/>
      </c>
      <c r="BJ865" s="1390" t="n">
        <v>10.959</v>
      </c>
      <c r="BK865" s="1391" t="n">
        <v>0</v>
      </c>
      <c r="BL865" s="1365" t="n"/>
      <c r="BM865" s="1391" t="n">
        <v>1.333</v>
      </c>
      <c r="BN865" s="1365">
        <f>BO865</f>
        <v/>
      </c>
      <c r="BO865" s="1366">
        <f>300738-BO859-BO860-BO861</f>
        <v/>
      </c>
      <c r="BP865" s="1365">
        <f>BO865</f>
        <v/>
      </c>
      <c r="BQ865" s="1365">
        <f>BP865</f>
        <v/>
      </c>
      <c r="BR865" s="1365">
        <f>BQ865</f>
        <v/>
      </c>
      <c r="BS865" s="1365">
        <f>BR865</f>
        <v/>
      </c>
      <c r="BT865" s="1364">
        <f>BS865</f>
        <v/>
      </c>
      <c r="BU865" s="1365">
        <f>BT865</f>
        <v/>
      </c>
      <c r="BV865" s="1365">
        <f>BU865</f>
        <v/>
      </c>
      <c r="BW865" s="1365">
        <f>BV865</f>
        <v/>
      </c>
      <c r="BX865" s="1365">
        <f>BW865</f>
        <v/>
      </c>
      <c r="BY865" s="1364">
        <f>BX865</f>
        <v/>
      </c>
      <c r="BZ865" s="1364">
        <f>BY865</f>
        <v/>
      </c>
      <c r="CA865" s="1364">
        <f>BZ865</f>
        <v/>
      </c>
      <c r="CB865" s="1364">
        <f>CA865</f>
        <v/>
      </c>
      <c r="CC865" s="1280" t="n"/>
    </row>
    <row r="866" ht="14.4" customFormat="1" customHeight="1" s="1275">
      <c r="A866" s="1384" t="inlineStr">
        <is>
          <t>Investments in Marketable Financial Instruments</t>
        </is>
      </c>
      <c r="B866" s="1387" t="n"/>
      <c r="C866" s="1297">
        <f>SUM(C859:C865)</f>
        <v/>
      </c>
      <c r="D866" s="1297">
        <f>SUM(D859:D865)</f>
        <v/>
      </c>
      <c r="E866" s="1297">
        <f>SUM(E859:E865)</f>
        <v/>
      </c>
      <c r="F866" s="1297">
        <f>SUM(F859:F865)</f>
        <v/>
      </c>
      <c r="G866" s="1297">
        <f>SUM(G859:G865)</f>
        <v/>
      </c>
      <c r="H866" s="1277">
        <f>SUM(H859:H865)</f>
        <v/>
      </c>
      <c r="I866" s="1277">
        <f>SUM(I859:I865)</f>
        <v/>
      </c>
      <c r="J866" s="1277">
        <f>SUM(J859:J865)</f>
        <v/>
      </c>
      <c r="K866" s="1277">
        <f>SUM(K859:K865)</f>
        <v/>
      </c>
      <c r="L866" s="1297">
        <f>SUM(L859:L865)</f>
        <v/>
      </c>
      <c r="M866" s="1277">
        <f>SUM(M859:M865)</f>
        <v/>
      </c>
      <c r="N866" s="1277">
        <f>SUM(N859:N865)</f>
        <v/>
      </c>
      <c r="O866" s="1277">
        <f>SUM(O859:O865)</f>
        <v/>
      </c>
      <c r="P866" s="1277">
        <f>SUM(P859:P865)</f>
        <v/>
      </c>
      <c r="Q866" s="1297">
        <f>SUM(Q859:Q865)</f>
        <v/>
      </c>
      <c r="R866" s="1277">
        <f>SUM(R859:R865)</f>
        <v/>
      </c>
      <c r="S866" s="1277">
        <f>SUM(S859:S865)</f>
        <v/>
      </c>
      <c r="T866" s="1277">
        <f>SUM(T859:T865)</f>
        <v/>
      </c>
      <c r="U866" s="1277">
        <f>SUM(U859:U865)</f>
        <v/>
      </c>
      <c r="V866" s="1297">
        <f>SUM(V859:V865)</f>
        <v/>
      </c>
      <c r="W866" s="1277">
        <f>SUM(W859:W865)</f>
        <v/>
      </c>
      <c r="X866" s="1277">
        <f>SUM(X859:X865)</f>
        <v/>
      </c>
      <c r="Y866" s="1277">
        <f>SUM(Y859:Y865)</f>
        <v/>
      </c>
      <c r="Z866" s="1277">
        <f>SUM(Z859:Z865)</f>
        <v/>
      </c>
      <c r="AA866" s="1297">
        <f>SUM(AA859:AA865)</f>
        <v/>
      </c>
      <c r="AB866" s="1277">
        <f>SUM(AB859:AB865)</f>
        <v/>
      </c>
      <c r="AC866" s="1277">
        <f>SUM(AC859:AC865)</f>
        <v/>
      </c>
      <c r="AD866" s="1277">
        <f>SUM(AD859:AD865)</f>
        <v/>
      </c>
      <c r="AE866" s="1277">
        <f>SUM(AE859:AE865)</f>
        <v/>
      </c>
      <c r="AF866" s="1297">
        <f>SUM(AF859:AF865)</f>
        <v/>
      </c>
      <c r="AG866" s="1277">
        <f>SUM(AG859:AG865)</f>
        <v/>
      </c>
      <c r="AH866" s="1277">
        <f>SUM(AH859:AH865)</f>
        <v/>
      </c>
      <c r="AI866" s="1277">
        <f>SUM(AI859:AI865)</f>
        <v/>
      </c>
      <c r="AJ866" s="1277">
        <f>SUM(AJ859:AJ865)</f>
        <v/>
      </c>
      <c r="AK866" s="1297">
        <f>SUM(AK859:AK865)</f>
        <v/>
      </c>
      <c r="AL866" s="1277">
        <f>SUM(AL859:AL865)</f>
        <v/>
      </c>
      <c r="AM866" s="1277">
        <f>SUM(AM859:AM865)</f>
        <v/>
      </c>
      <c r="AN866" s="1277">
        <f>SUM(AN859:AN865)</f>
        <v/>
      </c>
      <c r="AO866" s="1277">
        <f>SUM(AO859:AO865)</f>
        <v/>
      </c>
      <c r="AP866" s="1297">
        <f>SUM(AP859:AP865)</f>
        <v/>
      </c>
      <c r="AQ866" s="1277">
        <f>SUM(AQ859:AQ865)</f>
        <v/>
      </c>
      <c r="AR866" s="1277">
        <f>SUM(AR859:AR865)</f>
        <v/>
      </c>
      <c r="AS866" s="1277">
        <f>SUM(AS859:AS865)</f>
        <v/>
      </c>
      <c r="AT866" s="1277">
        <f>SUM(AT859:AT865)</f>
        <v/>
      </c>
      <c r="AU866" s="1297">
        <f>SUM(AU859:AU865)</f>
        <v/>
      </c>
      <c r="AV866" s="1277">
        <f>SUM(AV859:AV865)</f>
        <v/>
      </c>
      <c r="AW866" s="1277">
        <f>SUM(AW859:AW865)</f>
        <v/>
      </c>
      <c r="AX866" s="1277">
        <f>SUM(AX859:AX865)</f>
        <v/>
      </c>
      <c r="AY866" s="1277">
        <f>SUM(AY859:AY865)</f>
        <v/>
      </c>
      <c r="AZ866" s="1297">
        <f>SUM(AZ859:AZ865)</f>
        <v/>
      </c>
      <c r="BA866" s="1277">
        <f>SUM(BA859:BA865)</f>
        <v/>
      </c>
      <c r="BB866" s="1277">
        <f>SUM(BB859:BB865)</f>
        <v/>
      </c>
      <c r="BC866" s="1277">
        <f>SUM(BC859:BC865)</f>
        <v/>
      </c>
      <c r="BD866" s="1277">
        <f>SUM(BD859:BD865)</f>
        <v/>
      </c>
      <c r="BE866" s="1297">
        <f>SUM(BE859:BE865)</f>
        <v/>
      </c>
      <c r="BF866" s="1277">
        <f>SUM(BF859:BF865)</f>
        <v/>
      </c>
      <c r="BG866" s="1280">
        <f>SUM(BG859:BG865)</f>
        <v/>
      </c>
      <c r="BH866" s="1280">
        <f>SUM(BH859:BH865)</f>
        <v/>
      </c>
      <c r="BI866" s="1277">
        <f>SUM(BI859:BI865)</f>
        <v/>
      </c>
      <c r="BJ866" s="1297">
        <f>SUM(BJ859:BJ865)</f>
        <v/>
      </c>
      <c r="BK866" s="1277">
        <f>SUM(BK859:BK865)</f>
        <v/>
      </c>
      <c r="BL866" s="1277">
        <f>SUM(BL859:BL865)</f>
        <v/>
      </c>
      <c r="BM866" s="1280">
        <f>SUM(BM859:BM865)</f>
        <v/>
      </c>
      <c r="BN866" s="1277">
        <f>SUM(BN859:BN865)</f>
        <v/>
      </c>
      <c r="BO866" s="1382">
        <f>SUM(BO859:BO865)</f>
        <v/>
      </c>
      <c r="BP866" s="1277">
        <f>SUM(BP859:BP865)</f>
        <v/>
      </c>
      <c r="BQ866" s="1277">
        <f>SUM(BQ859:BQ865)</f>
        <v/>
      </c>
      <c r="BR866" s="1277">
        <f>SUM(BR859:BR865)</f>
        <v/>
      </c>
      <c r="BS866" s="1277">
        <f>SUM(BS859:BS865)</f>
        <v/>
      </c>
      <c r="BT866" s="1297">
        <f>SUM(BT859:BT865)</f>
        <v/>
      </c>
      <c r="BU866" s="1277">
        <f>SUM(BU859:BU865)</f>
        <v/>
      </c>
      <c r="BV866" s="1277">
        <f>SUM(BV859:BV865)</f>
        <v/>
      </c>
      <c r="BW866" s="1277">
        <f>SUM(BW859:BW865)</f>
        <v/>
      </c>
      <c r="BX866" s="1277">
        <f>SUM(BX859:BX865)</f>
        <v/>
      </c>
      <c r="BY866" s="1297">
        <f>SUM(BY859:BY865)</f>
        <v/>
      </c>
      <c r="BZ866" s="1297">
        <f>SUM(BZ859:BZ865)</f>
        <v/>
      </c>
      <c r="CA866" s="1297">
        <f>SUM(CA859:CA865)</f>
        <v/>
      </c>
      <c r="CB866" s="1297">
        <f>SUM(CB859:CB865)</f>
        <v/>
      </c>
      <c r="CC866" s="1280" t="n"/>
    </row>
    <row r="867" ht="14.4" customFormat="1" customHeight="1" s="1275">
      <c r="A867" s="1425" t="inlineStr">
        <is>
          <t>Notes and accounts receivable, net</t>
        </is>
      </c>
      <c r="B867" s="1387" t="n"/>
      <c r="C867" s="1299">
        <f>44637.642-543.325-8724.481</f>
        <v/>
      </c>
      <c r="D867" s="1299">
        <f>51029.885-504.029-7546.264</f>
        <v/>
      </c>
      <c r="E867" s="1299">
        <f>46321.24-490.952-5068.263</f>
        <v/>
      </c>
      <c r="F867" s="1299" t="n">
        <v>57777.586</v>
      </c>
      <c r="G867" s="1299" t="n">
        <v>71649.92600000001</v>
      </c>
      <c r="H867" s="1298" t="n">
        <v>73774.054</v>
      </c>
      <c r="I867" s="1298" t="n">
        <v>86424.428</v>
      </c>
      <c r="J867" s="1298" t="n">
        <v>113999.433</v>
      </c>
      <c r="K867" s="1277">
        <f>L867</f>
        <v/>
      </c>
      <c r="L867" s="1299" t="n">
        <v>114734.743</v>
      </c>
      <c r="M867" s="1298" t="n">
        <v>98529.745</v>
      </c>
      <c r="N867" s="1298" t="n">
        <v>98992.35400000001</v>
      </c>
      <c r="O867" s="1298" t="n">
        <v>96611.632</v>
      </c>
      <c r="P867" s="1277">
        <f>Q867</f>
        <v/>
      </c>
      <c r="Q867" s="1299" t="n">
        <v>85059.675</v>
      </c>
      <c r="R867" s="1298" t="n">
        <v>96273.27</v>
      </c>
      <c r="S867" s="1298" t="n">
        <v>111300.187</v>
      </c>
      <c r="T867" s="1298" t="n">
        <v>129118.058</v>
      </c>
      <c r="U867" s="1277">
        <f>V867</f>
        <v/>
      </c>
      <c r="V867" s="1299" t="n">
        <v>128335.271</v>
      </c>
      <c r="W867" s="1298" t="n">
        <v>108532.829</v>
      </c>
      <c r="X867" s="1298" t="n">
        <v>109893.282</v>
      </c>
      <c r="Y867" s="1298" t="n">
        <v>117649.258</v>
      </c>
      <c r="Z867" s="1277">
        <f>AA867</f>
        <v/>
      </c>
      <c r="AA867" s="1299" t="n">
        <v>121133.248</v>
      </c>
      <c r="AB867" s="1298" t="n">
        <v>106601.372</v>
      </c>
      <c r="AC867" s="1298" t="n">
        <v>87096.84699999999</v>
      </c>
      <c r="AD867" s="1298" t="n">
        <v>127782.905</v>
      </c>
      <c r="AE867" s="1277">
        <f>AF867</f>
        <v/>
      </c>
      <c r="AF867" s="1299" t="n">
        <v>128613.391</v>
      </c>
      <c r="AG867" s="1298" t="n">
        <v>106431.149</v>
      </c>
      <c r="AH867" s="1298" t="n">
        <v>115725.802</v>
      </c>
      <c r="AI867" s="1298" t="n">
        <v>144240.857</v>
      </c>
      <c r="AJ867" s="1277">
        <f>AK867</f>
        <v/>
      </c>
      <c r="AK867" s="1299" t="n">
        <v>138908.589</v>
      </c>
      <c r="AL867" s="1298" t="n">
        <v>145992.744</v>
      </c>
      <c r="AM867" s="1298" t="n">
        <v>148708.055</v>
      </c>
      <c r="AN867" s="1298" t="n">
        <v>161700.332</v>
      </c>
      <c r="AO867" s="1277">
        <f>AP867</f>
        <v/>
      </c>
      <c r="AP867" s="1299" t="n">
        <v>145480.272</v>
      </c>
      <c r="AQ867" s="1298" t="n">
        <v>167143.336</v>
      </c>
      <c r="AR867" s="1298" t="n">
        <v>177475.493</v>
      </c>
      <c r="AS867" s="1298" t="n">
        <v>186309.08</v>
      </c>
      <c r="AT867" s="1277">
        <f>AU867</f>
        <v/>
      </c>
      <c r="AU867" s="1299" t="n">
        <v>197586.109</v>
      </c>
      <c r="AV867" s="1298" t="n">
        <v>212846.891</v>
      </c>
      <c r="AW867" s="1298" t="n">
        <v>220996.537</v>
      </c>
      <c r="AX867" s="1298" t="n">
        <v>260447.134</v>
      </c>
      <c r="AY867" s="1277">
        <f>AZ867</f>
        <v/>
      </c>
      <c r="AZ867" s="1299" t="n">
        <v>229755.887</v>
      </c>
      <c r="BA867" s="1298" t="n">
        <v>147715.125</v>
      </c>
      <c r="BB867" s="1298" t="n">
        <v>190164.242</v>
      </c>
      <c r="BC867" s="1298" t="n">
        <v>222467.653</v>
      </c>
      <c r="BD867" s="1277">
        <f>BE867</f>
        <v/>
      </c>
      <c r="BE867" s="1299" t="n">
        <v>201313.914</v>
      </c>
      <c r="BF867" s="1298" t="n">
        <v>201500.334</v>
      </c>
      <c r="BG867" s="1298" t="n">
        <v>209120.757</v>
      </c>
      <c r="BH867" s="1298" t="n">
        <v>249570.573</v>
      </c>
      <c r="BI867" s="1277">
        <f>BJ867</f>
        <v/>
      </c>
      <c r="BJ867" s="1299" t="n">
        <v>270683.235</v>
      </c>
      <c r="BK867" s="1298" t="n">
        <v>241682.27</v>
      </c>
      <c r="BL867" s="1298" t="n">
        <v>233407.179</v>
      </c>
      <c r="BM867" s="1298" t="n">
        <v>305477.496</v>
      </c>
      <c r="BN867" s="1277">
        <f>BO867</f>
        <v/>
      </c>
      <c r="BO867" s="1382">
        <f>BO870-BO869-BO868</f>
        <v/>
      </c>
      <c r="BP867" s="1277">
        <f>(BP$369+BN$369+BM$369+BL$369)*BP824</f>
        <v/>
      </c>
      <c r="BQ867" s="1277">
        <f>(BQ$369+BP$369+BN$369+BM$369)*BQ824</f>
        <v/>
      </c>
      <c r="BR867" s="1277">
        <f>(BR$369+BQ$369+BP$369+BN$369)*BR824</f>
        <v/>
      </c>
      <c r="BS867" s="1277">
        <f>(BS$369+BR$369+BQ$369+BP$369)*BS824</f>
        <v/>
      </c>
      <c r="BT867" s="1297">
        <f>BS867</f>
        <v/>
      </c>
      <c r="BU867" s="1277">
        <f>(BU$369+BS$369+BR$369+BQ$369)*BU824</f>
        <v/>
      </c>
      <c r="BV867" s="1277">
        <f>(BV$369+BU$369+BS$369+BR$369)*BV824</f>
        <v/>
      </c>
      <c r="BW867" s="1277">
        <f>(BW$369+BV$369+BU$369+BS$369)*BW824</f>
        <v/>
      </c>
      <c r="BX867" s="1277">
        <f>(BX$369+BW$369+BV$369+BU$369)*BX824</f>
        <v/>
      </c>
      <c r="BY867" s="1297">
        <f>BX867</f>
        <v/>
      </c>
      <c r="BZ867" s="1297">
        <f>BZ369*BZ824</f>
        <v/>
      </c>
      <c r="CA867" s="1297">
        <f>CA369*CA824</f>
        <v/>
      </c>
      <c r="CB867" s="1297">
        <f>CB369*CB824</f>
        <v/>
      </c>
      <c r="CC867" s="1280" t="n"/>
    </row>
    <row r="868" ht="14.4" customFormat="1" customHeight="1" s="1275">
      <c r="A868" s="1425" t="inlineStr">
        <is>
          <t>Receivables from related parties</t>
        </is>
      </c>
      <c r="B868" s="1387" t="n"/>
      <c r="C868" s="1299" t="n">
        <v>12.524</v>
      </c>
      <c r="D868" s="1299" t="n">
        <v>2.722</v>
      </c>
      <c r="E868" s="1299" t="n">
        <v>185.764</v>
      </c>
      <c r="F868" s="1299" t="n">
        <v>353.811</v>
      </c>
      <c r="G868" s="1299" t="n">
        <v>291.708</v>
      </c>
      <c r="H868" s="1298" t="n">
        <v>558.97</v>
      </c>
      <c r="I868" s="1298" t="n">
        <v>462.732</v>
      </c>
      <c r="J868" s="1298" t="n">
        <v>532.7670000000001</v>
      </c>
      <c r="K868" s="1277">
        <f>L868</f>
        <v/>
      </c>
      <c r="L868" s="1299" t="n">
        <v>312.955</v>
      </c>
      <c r="M868" s="1298" t="n">
        <v>592.021</v>
      </c>
      <c r="N868" s="1298" t="n">
        <v>744.707</v>
      </c>
      <c r="O868" s="1298" t="n">
        <v>511.008</v>
      </c>
      <c r="P868" s="1277">
        <f>Q868</f>
        <v/>
      </c>
      <c r="Q868" s="1299" t="n">
        <v>505.722</v>
      </c>
      <c r="R868" s="1298" t="n">
        <v>683.818</v>
      </c>
      <c r="S868" s="1298" t="n">
        <v>424.21</v>
      </c>
      <c r="T868" s="1298" t="n">
        <v>170.704</v>
      </c>
      <c r="U868" s="1277">
        <f>V868</f>
        <v/>
      </c>
      <c r="V868" s="1299" t="n">
        <v>969.559</v>
      </c>
      <c r="W868" s="1298" t="n">
        <v>494.839</v>
      </c>
      <c r="X868" s="1298" t="n">
        <v>436.001</v>
      </c>
      <c r="Y868" s="1298" t="n">
        <v>1076.438</v>
      </c>
      <c r="Z868" s="1277">
        <f>AA868</f>
        <v/>
      </c>
      <c r="AA868" s="1299" t="n">
        <v>1184.124</v>
      </c>
      <c r="AB868" s="1298" t="n">
        <v>1179.312</v>
      </c>
      <c r="AC868" s="1298" t="n">
        <v>1099.472</v>
      </c>
      <c r="AD868" s="1298" t="n">
        <v>1757.073</v>
      </c>
      <c r="AE868" s="1277">
        <f>AF868</f>
        <v/>
      </c>
      <c r="AF868" s="1299" t="n">
        <v>584.412</v>
      </c>
      <c r="AG868" s="1298" t="n">
        <v>309.821</v>
      </c>
      <c r="AH868" s="1298" t="n">
        <v>404.906</v>
      </c>
      <c r="AI868" s="1298" t="n">
        <v>1180.78</v>
      </c>
      <c r="AJ868" s="1277">
        <f>AK868</f>
        <v/>
      </c>
      <c r="AK868" s="1299" t="n">
        <v>862.0700000000001</v>
      </c>
      <c r="AL868" s="1298" t="n">
        <v>427.888</v>
      </c>
      <c r="AM868" s="1298" t="n">
        <v>891.691</v>
      </c>
      <c r="AN868" s="1298" t="n">
        <v>877.765</v>
      </c>
      <c r="AO868" s="1277">
        <f>AP868</f>
        <v/>
      </c>
      <c r="AP868" s="1299" t="n">
        <v>558.131</v>
      </c>
      <c r="AQ868" s="1298" t="n">
        <v>335.572</v>
      </c>
      <c r="AR868" s="1298" t="n">
        <v>784.397</v>
      </c>
      <c r="AS868" s="1298" t="n">
        <v>859.144</v>
      </c>
      <c r="AT868" s="1277">
        <f>AU868</f>
        <v/>
      </c>
      <c r="AU868" s="1299" t="n">
        <v>715.324</v>
      </c>
      <c r="AV868" s="1298" t="n">
        <v>581.01</v>
      </c>
      <c r="AW868" s="1298" t="n">
        <v>1072.699</v>
      </c>
      <c r="AX868" s="1298" t="n">
        <v>1091.174</v>
      </c>
      <c r="AY868" s="1277">
        <f>AZ868</f>
        <v/>
      </c>
      <c r="AZ868" s="1299" t="n">
        <v>1583.958</v>
      </c>
      <c r="BA868" s="1298" t="n">
        <v>332.554</v>
      </c>
      <c r="BB868" s="1298" t="n">
        <v>862.572</v>
      </c>
      <c r="BC868" s="1298" t="n">
        <v>356.257</v>
      </c>
      <c r="BD868" s="1277">
        <f>BE868</f>
        <v/>
      </c>
      <c r="BE868" s="1299" t="n">
        <v>624.451</v>
      </c>
      <c r="BF868" s="1298" t="n">
        <v>479.363</v>
      </c>
      <c r="BG868" s="1298" t="n">
        <v>1089.662</v>
      </c>
      <c r="BH868" s="1298" t="n">
        <v>403.379</v>
      </c>
      <c r="BI868" s="1277">
        <f>BJ868</f>
        <v/>
      </c>
      <c r="BJ868" s="1299" t="n">
        <v>1404.473</v>
      </c>
      <c r="BK868" s="1298" t="n">
        <v>2267.052</v>
      </c>
      <c r="BL868" s="1298" t="n">
        <v>2277.792</v>
      </c>
      <c r="BM868" s="1298" t="n">
        <v>2336.343</v>
      </c>
      <c r="BN868" s="1277">
        <f>BO868</f>
        <v/>
      </c>
      <c r="BO868" s="1645" t="n">
        <v>2400</v>
      </c>
      <c r="BP868" s="1277">
        <f>BO868</f>
        <v/>
      </c>
      <c r="BQ868" s="1277">
        <f>BP868</f>
        <v/>
      </c>
      <c r="BR868" s="1277">
        <f>BQ868</f>
        <v/>
      </c>
      <c r="BS868" s="1277">
        <f>BR868</f>
        <v/>
      </c>
      <c r="BT868" s="1297">
        <f>BS868</f>
        <v/>
      </c>
      <c r="BU868" s="1277">
        <f>BT868</f>
        <v/>
      </c>
      <c r="BV868" s="1277">
        <f>BU868</f>
        <v/>
      </c>
      <c r="BW868" s="1277">
        <f>BV868</f>
        <v/>
      </c>
      <c r="BX868" s="1277">
        <f>BW868</f>
        <v/>
      </c>
      <c r="BY868" s="1297">
        <f>BX868</f>
        <v/>
      </c>
      <c r="BZ868" s="1297">
        <f>BY868</f>
        <v/>
      </c>
      <c r="CA868" s="1297">
        <f>BZ868</f>
        <v/>
      </c>
      <c r="CB868" s="1297">
        <f>CA868</f>
        <v/>
      </c>
      <c r="CC868" s="1280" t="n"/>
    </row>
    <row r="869" ht="14.4" customFormat="1" customHeight="1" s="1275">
      <c r="A869" s="1425" t="inlineStr">
        <is>
          <t>Other receivables from related parties</t>
        </is>
      </c>
      <c r="B869" s="1387" t="n"/>
      <c r="C869" s="1299" t="n">
        <v>121.292</v>
      </c>
      <c r="D869" s="1299" t="n">
        <v>124.586</v>
      </c>
      <c r="E869" s="1299" t="n">
        <v>122.292</v>
      </c>
      <c r="F869" s="1299" t="n">
        <v>185.55</v>
      </c>
      <c r="G869" s="1299" t="n">
        <v>221.576</v>
      </c>
      <c r="H869" s="1298" t="n">
        <v>162.444</v>
      </c>
      <c r="I869" s="1298" t="n">
        <v>2875.842</v>
      </c>
      <c r="J869" s="1298" t="n">
        <v>161.962</v>
      </c>
      <c r="K869" s="1277">
        <f>L869</f>
        <v/>
      </c>
      <c r="L869" s="1299" t="n">
        <v>178.625</v>
      </c>
      <c r="M869" s="1298" t="n">
        <v>162.908</v>
      </c>
      <c r="N869" s="1298" t="n">
        <v>3565.341</v>
      </c>
      <c r="O869" s="1298" t="n">
        <v>128.49</v>
      </c>
      <c r="P869" s="1277">
        <f>Q869</f>
        <v/>
      </c>
      <c r="Q869" s="1299" t="n">
        <v>125.018</v>
      </c>
      <c r="R869" s="1298" t="n">
        <v>141.009</v>
      </c>
      <c r="S869" s="1298" t="n">
        <v>1546.979</v>
      </c>
      <c r="T869" s="1298" t="n">
        <v>149.684</v>
      </c>
      <c r="U869" s="1277">
        <f>V869</f>
        <v/>
      </c>
      <c r="V869" s="1299" t="n">
        <v>146.788</v>
      </c>
      <c r="W869" s="1298" t="n">
        <v>135.051</v>
      </c>
      <c r="X869" s="1298" t="n">
        <v>1532.321</v>
      </c>
      <c r="Y869" s="1298" t="n">
        <v>165.929</v>
      </c>
      <c r="Z869" s="1277">
        <f>AA869</f>
        <v/>
      </c>
      <c r="AA869" s="1299" t="n">
        <v>171.058</v>
      </c>
      <c r="AB869" s="1298" t="n">
        <v>130.07</v>
      </c>
      <c r="AC869" s="1298" t="n">
        <v>3185.522</v>
      </c>
      <c r="AD869" s="1298" t="n">
        <v>64.38500000000001</v>
      </c>
      <c r="AE869" s="1277">
        <f>AF869</f>
        <v/>
      </c>
      <c r="AF869" s="1299" t="n">
        <v>65.02800000000001</v>
      </c>
      <c r="AG869" s="1298" t="n">
        <v>48.674</v>
      </c>
      <c r="AH869" s="1298" t="n">
        <v>1541.754</v>
      </c>
      <c r="AI869" s="1298" t="n">
        <v>56.581</v>
      </c>
      <c r="AJ869" s="1277">
        <f>AK869</f>
        <v/>
      </c>
      <c r="AK869" s="1299" t="n">
        <v>51.653</v>
      </c>
      <c r="AL869" s="1298" t="n">
        <v>60.17</v>
      </c>
      <c r="AM869" s="1298" t="n">
        <v>2581.07</v>
      </c>
      <c r="AN869" s="1298" t="n">
        <v>40.773</v>
      </c>
      <c r="AO869" s="1277">
        <f>AP869</f>
        <v/>
      </c>
      <c r="AP869" s="1299" t="n">
        <v>50.645</v>
      </c>
      <c r="AQ869" s="1298" t="n">
        <v>52.591</v>
      </c>
      <c r="AR869" s="1298" t="n">
        <v>1711.652</v>
      </c>
      <c r="AS869" s="1298" t="n">
        <v>73.09</v>
      </c>
      <c r="AT869" s="1277">
        <f>AU869</f>
        <v/>
      </c>
      <c r="AU869" s="1299" t="n">
        <v>61.531</v>
      </c>
      <c r="AV869" s="1298" t="n">
        <v>58.165</v>
      </c>
      <c r="AW869" s="1298" t="n">
        <v>2518.059</v>
      </c>
      <c r="AX869" s="1298" t="n">
        <v>76.143</v>
      </c>
      <c r="AY869" s="1277">
        <f>AZ869</f>
        <v/>
      </c>
      <c r="AZ869" s="1299" t="n">
        <v>68.97499999999999</v>
      </c>
      <c r="BA869" s="1298" t="n">
        <v>76.608</v>
      </c>
      <c r="BB869" s="1298" t="n">
        <v>2521.323</v>
      </c>
      <c r="BC869" s="1298" t="n">
        <v>82.363</v>
      </c>
      <c r="BD869" s="1277">
        <f>BE869</f>
        <v/>
      </c>
      <c r="BE869" s="1299" t="n">
        <v>71.871</v>
      </c>
      <c r="BF869" s="1298" t="n">
        <v>79.307</v>
      </c>
      <c r="BG869" s="1298" t="n">
        <v>2403.027</v>
      </c>
      <c r="BH869" s="1298" t="n">
        <v>74.477</v>
      </c>
      <c r="BI869" s="1277">
        <f>BJ869</f>
        <v/>
      </c>
      <c r="BJ869" s="1299" t="n">
        <v>0.251</v>
      </c>
      <c r="BK869" s="1298" t="n">
        <v>0.252</v>
      </c>
      <c r="BL869" s="1298" t="n">
        <v>2567.972</v>
      </c>
      <c r="BM869" s="1298" t="n">
        <v>57.595</v>
      </c>
      <c r="BN869" s="1277">
        <f>BO869</f>
        <v/>
      </c>
      <c r="BO869" s="1645" t="n">
        <v>50</v>
      </c>
      <c r="BP869" s="1277">
        <f>BO869</f>
        <v/>
      </c>
      <c r="BQ869" s="1277">
        <f>BP869</f>
        <v/>
      </c>
      <c r="BR869" s="1277">
        <f>BQ869</f>
        <v/>
      </c>
      <c r="BS869" s="1277">
        <f>BR869</f>
        <v/>
      </c>
      <c r="BT869" s="1297">
        <f>BS869</f>
        <v/>
      </c>
      <c r="BU869" s="1277">
        <f>BT869</f>
        <v/>
      </c>
      <c r="BV869" s="1277">
        <f>BU869</f>
        <v/>
      </c>
      <c r="BW869" s="1277">
        <f>BV869</f>
        <v/>
      </c>
      <c r="BX869" s="1277">
        <f>BW869</f>
        <v/>
      </c>
      <c r="BY869" s="1297">
        <f>BX869</f>
        <v/>
      </c>
      <c r="BZ869" s="1297">
        <f>BY869</f>
        <v/>
      </c>
      <c r="CA869" s="1297">
        <f>BZ869</f>
        <v/>
      </c>
      <c r="CB869" s="1297">
        <f>CA869</f>
        <v/>
      </c>
      <c r="CC869" s="1280" t="n"/>
    </row>
    <row r="870" ht="14.4" customFormat="1" customHeight="1" s="1275">
      <c r="A870" s="1602" t="inlineStr">
        <is>
          <t>Total accounts and notes receivable</t>
        </is>
      </c>
      <c r="B870" s="1613" t="n"/>
      <c r="C870" s="1603">
        <f>C867+C868+C869</f>
        <v/>
      </c>
      <c r="D870" s="1603">
        <f>D867+D868+D869</f>
        <v/>
      </c>
      <c r="E870" s="1603">
        <f>E867+E868+E869</f>
        <v/>
      </c>
      <c r="F870" s="1603">
        <f>F867+F868+F869</f>
        <v/>
      </c>
      <c r="G870" s="1603">
        <f>G867+G868+G869</f>
        <v/>
      </c>
      <c r="H870" s="1528">
        <f>H867+H868+H869</f>
        <v/>
      </c>
      <c r="I870" s="1528">
        <f>I867+I868+I869</f>
        <v/>
      </c>
      <c r="J870" s="1528">
        <f>J867+J868+J869</f>
        <v/>
      </c>
      <c r="K870" s="1528">
        <f>K867+K868+K869</f>
        <v/>
      </c>
      <c r="L870" s="1603">
        <f>L867+L868+L869</f>
        <v/>
      </c>
      <c r="M870" s="1528">
        <f>M867+M868+M869</f>
        <v/>
      </c>
      <c r="N870" s="1528">
        <f>N867+N868+N869</f>
        <v/>
      </c>
      <c r="O870" s="1528">
        <f>O867+O868+O869</f>
        <v/>
      </c>
      <c r="P870" s="1528">
        <f>P867+P868+P869</f>
        <v/>
      </c>
      <c r="Q870" s="1603">
        <f>Q867+Q868+Q869</f>
        <v/>
      </c>
      <c r="R870" s="1528">
        <f>R867+R868+R869</f>
        <v/>
      </c>
      <c r="S870" s="1528">
        <f>S867+S868+S869</f>
        <v/>
      </c>
      <c r="T870" s="1528">
        <f>T867+T868+T869</f>
        <v/>
      </c>
      <c r="U870" s="1528">
        <f>U867+U868+U869</f>
        <v/>
      </c>
      <c r="V870" s="1603">
        <f>V867+V868+V869</f>
        <v/>
      </c>
      <c r="W870" s="1528">
        <f>W867+W868+W869</f>
        <v/>
      </c>
      <c r="X870" s="1528">
        <f>X867+X868+X869</f>
        <v/>
      </c>
      <c r="Y870" s="1528">
        <f>Y867+Y868+Y869</f>
        <v/>
      </c>
      <c r="Z870" s="1528">
        <f>Z867+Z868+Z869</f>
        <v/>
      </c>
      <c r="AA870" s="1603">
        <f>AA867+AA868+AA869</f>
        <v/>
      </c>
      <c r="AB870" s="1528">
        <f>AB867+AB868+AB869</f>
        <v/>
      </c>
      <c r="AC870" s="1528">
        <f>AC867+AC868+AC869</f>
        <v/>
      </c>
      <c r="AD870" s="1528">
        <f>AD867+AD868+AD869</f>
        <v/>
      </c>
      <c r="AE870" s="1528">
        <f>AE867+AE868+AE869</f>
        <v/>
      </c>
      <c r="AF870" s="1603">
        <f>AF867+AF868+AF869</f>
        <v/>
      </c>
      <c r="AG870" s="1528">
        <f>AG867+AG868+AG869</f>
        <v/>
      </c>
      <c r="AH870" s="1528">
        <f>AH867+AH868+AH869</f>
        <v/>
      </c>
      <c r="AI870" s="1528">
        <f>AI867+AI868+AI869</f>
        <v/>
      </c>
      <c r="AJ870" s="1528">
        <f>AJ867+AJ868+AJ869</f>
        <v/>
      </c>
      <c r="AK870" s="1603">
        <f>AK867+AK868+AK869</f>
        <v/>
      </c>
      <c r="AL870" s="1528">
        <f>AL867+AL868+AL869</f>
        <v/>
      </c>
      <c r="AM870" s="1528">
        <f>AM867+AM868+AM869</f>
        <v/>
      </c>
      <c r="AN870" s="1528">
        <f>AN867+AN868+AN869</f>
        <v/>
      </c>
      <c r="AO870" s="1528">
        <f>AO867+AO868+AO869</f>
        <v/>
      </c>
      <c r="AP870" s="1603">
        <f>AP867+AP868+AP869</f>
        <v/>
      </c>
      <c r="AQ870" s="1528">
        <f>AQ867+AQ868+AQ869</f>
        <v/>
      </c>
      <c r="AR870" s="1528">
        <f>AR867+AR868+AR869</f>
        <v/>
      </c>
      <c r="AS870" s="1528">
        <f>AS867+AS868+AS869</f>
        <v/>
      </c>
      <c r="AT870" s="1528">
        <f>AT867+AT868+AT869</f>
        <v/>
      </c>
      <c r="AU870" s="1603">
        <f>AU867+AU868+AU869</f>
        <v/>
      </c>
      <c r="AV870" s="1528">
        <f>AV867+AV868+AV869</f>
        <v/>
      </c>
      <c r="AW870" s="1528">
        <f>AW867+AW868+AW869</f>
        <v/>
      </c>
      <c r="AX870" s="1528">
        <f>AX867+AX868+AX869</f>
        <v/>
      </c>
      <c r="AY870" s="1528">
        <f>AY867+AY868+AY869</f>
        <v/>
      </c>
      <c r="AZ870" s="1603">
        <f>AZ867+AZ868+AZ869</f>
        <v/>
      </c>
      <c r="BA870" s="1528">
        <f>BA867+BA868+BA869</f>
        <v/>
      </c>
      <c r="BB870" s="1528">
        <f>BB867+BB868+BB869</f>
        <v/>
      </c>
      <c r="BC870" s="1528">
        <f>BC867+BC868+BC869</f>
        <v/>
      </c>
      <c r="BD870" s="1528">
        <f>BD867+BD868+BD869</f>
        <v/>
      </c>
      <c r="BE870" s="1603">
        <f>BE867+BE868+BE869</f>
        <v/>
      </c>
      <c r="BF870" s="1528">
        <f>BF867+BF868+BF869</f>
        <v/>
      </c>
      <c r="BG870" s="1528">
        <f>BG867+BG868+BG869</f>
        <v/>
      </c>
      <c r="BH870" s="1528">
        <f>BH867+BH868+BH869</f>
        <v/>
      </c>
      <c r="BI870" s="1528">
        <f>BI867+BI868+BI869</f>
        <v/>
      </c>
      <c r="BJ870" s="1603">
        <f>BJ867+BJ868+BJ869</f>
        <v/>
      </c>
      <c r="BK870" s="1528">
        <f>BK867+BK868+BK869</f>
        <v/>
      </c>
      <c r="BL870" s="1615">
        <f>BL867+BL868+BL869</f>
        <v/>
      </c>
      <c r="BM870" s="1615">
        <f>BM867+BM868+BM869</f>
        <v/>
      </c>
      <c r="BN870" s="1528">
        <f>BN867+BN868+BN869</f>
        <v/>
      </c>
      <c r="BO870" s="1808" t="n">
        <v>281791</v>
      </c>
      <c r="BP870" s="1528">
        <f>BP867+BP868+BP869</f>
        <v/>
      </c>
      <c r="BQ870" s="1528">
        <f>BQ867+BQ868+BQ869</f>
        <v/>
      </c>
      <c r="BR870" s="1528">
        <f>BR867+BR868+BR869</f>
        <v/>
      </c>
      <c r="BS870" s="1528">
        <f>BS867+BS868+BS869</f>
        <v/>
      </c>
      <c r="BT870" s="1603">
        <f>BT867+BT868+BT869</f>
        <v/>
      </c>
      <c r="BU870" s="1528">
        <f>BU867+BU868+BU869</f>
        <v/>
      </c>
      <c r="BV870" s="1528">
        <f>BV867+BV868+BV869</f>
        <v/>
      </c>
      <c r="BW870" s="1528">
        <f>BW867+BW868+BW869</f>
        <v/>
      </c>
      <c r="BX870" s="1528">
        <f>BX867+BX868+BX869</f>
        <v/>
      </c>
      <c r="BY870" s="1603">
        <f>BY867+BY868+BY869</f>
        <v/>
      </c>
      <c r="BZ870" s="1603">
        <f>BZ867+BZ868+BZ869</f>
        <v/>
      </c>
      <c r="CA870" s="1603">
        <f>CA867+CA868+CA869</f>
        <v/>
      </c>
      <c r="CB870" s="1603">
        <f>CB867+CB868+CB869</f>
        <v/>
      </c>
      <c r="CC870" s="1280" t="n"/>
    </row>
    <row r="871" ht="14.4" customFormat="1" customHeight="1" s="1275">
      <c r="A871" s="1295" t="inlineStr">
        <is>
          <t>Inventories</t>
        </is>
      </c>
      <c r="B871" s="1387" t="n"/>
      <c r="C871" s="1299" t="n">
        <v>20913.751</v>
      </c>
      <c r="D871" s="1299" t="n">
        <v>28405.984</v>
      </c>
      <c r="E871" s="1299" t="n">
        <v>24840.582</v>
      </c>
      <c r="F871" s="1299" t="n">
        <v>37830.498</v>
      </c>
      <c r="G871" s="1299" t="n">
        <v>37494.893</v>
      </c>
      <c r="H871" s="1298" t="n">
        <v>43481.269</v>
      </c>
      <c r="I871" s="1298" t="n">
        <v>50954.265</v>
      </c>
      <c r="J871" s="1298" t="n">
        <v>65336.989</v>
      </c>
      <c r="K871" s="1280">
        <f>L871</f>
        <v/>
      </c>
      <c r="L871" s="1299" t="n">
        <v>66337.97100000001</v>
      </c>
      <c r="M871" s="1298" t="n">
        <v>64599.666</v>
      </c>
      <c r="N871" s="1298" t="n">
        <v>66278.59699999999</v>
      </c>
      <c r="O871" s="1298" t="n">
        <v>65066.214</v>
      </c>
      <c r="P871" s="1280">
        <f>Q871</f>
        <v/>
      </c>
      <c r="Q871" s="1299" t="n">
        <v>67052.27</v>
      </c>
      <c r="R871" s="1298" t="n">
        <v>57242.32</v>
      </c>
      <c r="S871" s="1298" t="n">
        <v>60705.814</v>
      </c>
      <c r="T871" s="1298" t="n">
        <v>53882.144</v>
      </c>
      <c r="U871" s="1280">
        <f>V871</f>
        <v/>
      </c>
      <c r="V871" s="1299" t="n">
        <v>48682.233</v>
      </c>
      <c r="W871" s="1298" t="n">
        <v>50389.022</v>
      </c>
      <c r="X871" s="1298" t="n">
        <v>61010.525</v>
      </c>
      <c r="Y871" s="1298" t="n">
        <v>73893.879</v>
      </c>
      <c r="Z871" s="1280">
        <f>AA871</f>
        <v/>
      </c>
      <c r="AA871" s="1299" t="n">
        <v>73880.747</v>
      </c>
      <c r="AB871" s="1298" t="n">
        <v>85215.899</v>
      </c>
      <c r="AC871" s="1298" t="n">
        <v>99032.077</v>
      </c>
      <c r="AD871" s="1298" t="n">
        <v>105336.576</v>
      </c>
      <c r="AE871" s="1280">
        <f>AF871</f>
        <v/>
      </c>
      <c r="AF871" s="1299" t="n">
        <v>103230.976</v>
      </c>
      <c r="AG871" s="1298" t="n">
        <v>108682.382</v>
      </c>
      <c r="AH871" s="1298" t="n">
        <v>108231.879</v>
      </c>
      <c r="AI871" s="1298" t="n">
        <v>96685.73</v>
      </c>
      <c r="AJ871" s="1280">
        <f>AK871</f>
        <v/>
      </c>
      <c r="AK871" s="1299" t="n">
        <v>82981.196</v>
      </c>
      <c r="AL871" s="1298" t="n">
        <v>78277.834</v>
      </c>
      <c r="AM871" s="1298" t="n">
        <v>85788.094</v>
      </c>
      <c r="AN871" s="1298" t="n">
        <v>109509.486</v>
      </c>
      <c r="AO871" s="1280">
        <f>AP871</f>
        <v/>
      </c>
      <c r="AP871" s="1299" t="n">
        <v>137353.407</v>
      </c>
      <c r="AQ871" s="1298" t="n">
        <v>154567.568</v>
      </c>
      <c r="AR871" s="1298" t="n">
        <v>170438.686</v>
      </c>
      <c r="AS871" s="1298" t="n">
        <v>182233.752</v>
      </c>
      <c r="AT871" s="1280">
        <f>AU871</f>
        <v/>
      </c>
      <c r="AU871" s="1299" t="n">
        <v>193102.321</v>
      </c>
      <c r="AV871" s="1298" t="n">
        <v>200118.682</v>
      </c>
      <c r="AW871" s="1298" t="n">
        <v>217438.091</v>
      </c>
      <c r="AX871" s="1298" t="n">
        <v>218335.874</v>
      </c>
      <c r="AY871" s="1280">
        <f>AZ871</f>
        <v/>
      </c>
      <c r="AZ871" s="1299" t="n">
        <v>221149.148</v>
      </c>
      <c r="BA871" s="1298" t="n">
        <v>216067.981</v>
      </c>
      <c r="BB871" s="1298" t="n">
        <v>234332.949</v>
      </c>
      <c r="BC871" s="1298" t="n">
        <v>262090.072</v>
      </c>
      <c r="BD871" s="1280">
        <f>BE871</f>
        <v/>
      </c>
      <c r="BE871" s="1299" t="n">
        <v>250997.088</v>
      </c>
      <c r="BF871" s="1298" t="n">
        <v>267123.339</v>
      </c>
      <c r="BG871" s="1298" t="n">
        <v>272490.587</v>
      </c>
      <c r="BH871" s="1298" t="n">
        <v>292883.93</v>
      </c>
      <c r="BI871" s="1280">
        <f>BJ871</f>
        <v/>
      </c>
      <c r="BJ871" s="1299" t="n">
        <v>287868.81</v>
      </c>
      <c r="BK871" s="1298" t="n">
        <v>293387.615</v>
      </c>
      <c r="BL871" s="1298" t="n">
        <v>304193.716</v>
      </c>
      <c r="BM871" s="1298" t="n">
        <v>288689.063</v>
      </c>
      <c r="BN871" s="1280">
        <f>BO871</f>
        <v/>
      </c>
      <c r="BO871" s="1645" t="n">
        <v>288110</v>
      </c>
      <c r="BP871" s="1277">
        <f>(BP$369+BN$369+BM$369+BL$369)*BP825</f>
        <v/>
      </c>
      <c r="BQ871" s="1277">
        <f>(BQ$369+BP$369+BN$369+BM$369)*BQ825</f>
        <v/>
      </c>
      <c r="BR871" s="1277">
        <f>(BR$369+BQ$369+BP$369+BN$369)*BR825</f>
        <v/>
      </c>
      <c r="BS871" s="1277">
        <f>(BS$369+BR$369+BQ$369+BP$369)*BS825</f>
        <v/>
      </c>
      <c r="BT871" s="1297">
        <f>BS871</f>
        <v/>
      </c>
      <c r="BU871" s="1277">
        <f>(BU$369+BS$369+BR$369+BQ$369)*BU825</f>
        <v/>
      </c>
      <c r="BV871" s="1277">
        <f>(BV$369+BU$369+BS$369+BR$369)*BV825</f>
        <v/>
      </c>
      <c r="BW871" s="1277">
        <f>(BW$369+BV$369+BU$369+BS$369)*BW825</f>
        <v/>
      </c>
      <c r="BX871" s="1277">
        <f>(BX$369+BW$369+BV$369+BU$369)*BX825</f>
        <v/>
      </c>
      <c r="BY871" s="1297">
        <f>BX871</f>
        <v/>
      </c>
      <c r="BZ871" s="1297">
        <f>BZ369*BZ825</f>
        <v/>
      </c>
      <c r="CA871" s="1297">
        <f>CA369*CA825</f>
        <v/>
      </c>
      <c r="CB871" s="1297">
        <f>CB369*CB825</f>
        <v/>
      </c>
      <c r="CC871" s="1280" t="n"/>
    </row>
    <row r="872" ht="14.4" customFormat="1" customHeight="1" s="1275">
      <c r="A872" s="1295" t="inlineStr">
        <is>
          <t>Noncurrent assets held for sale</t>
        </is>
      </c>
      <c r="B872" s="1387" t="n"/>
      <c r="C872" s="1297" t="n"/>
      <c r="D872" s="1299" t="n">
        <v>0</v>
      </c>
      <c r="E872" s="1299" t="n">
        <v>0</v>
      </c>
      <c r="F872" s="1299" t="n">
        <v>0</v>
      </c>
      <c r="G872" s="1299" t="n">
        <v>0</v>
      </c>
      <c r="H872" s="1298" t="n">
        <v>0</v>
      </c>
      <c r="I872" s="1298" t="n">
        <v>0</v>
      </c>
      <c r="J872" s="1298" t="n">
        <v>0</v>
      </c>
      <c r="K872" s="1280">
        <f>L872</f>
        <v/>
      </c>
      <c r="L872" s="1299" t="n">
        <v>944.208</v>
      </c>
      <c r="M872" s="1277" t="n"/>
      <c r="N872" s="1277" t="n"/>
      <c r="O872" s="1277" t="n"/>
      <c r="P872" s="1280">
        <f>Q872</f>
        <v/>
      </c>
      <c r="Q872" s="1297" t="n"/>
      <c r="R872" s="1277" t="n"/>
      <c r="S872" s="1277" t="n"/>
      <c r="T872" s="1277" t="n"/>
      <c r="U872" s="1280">
        <f>V872</f>
        <v/>
      </c>
      <c r="V872" s="1297" t="n"/>
      <c r="W872" s="1277" t="n"/>
      <c r="X872" s="1277" t="n"/>
      <c r="Y872" s="1277" t="n"/>
      <c r="Z872" s="1280">
        <f>AA872</f>
        <v/>
      </c>
      <c r="AA872" s="1297" t="n"/>
      <c r="AB872" s="1277" t="n"/>
      <c r="AC872" s="1277" t="n"/>
      <c r="AD872" s="1277" t="n"/>
      <c r="AE872" s="1280">
        <f>AF872</f>
        <v/>
      </c>
      <c r="AF872" s="1297" t="n"/>
      <c r="AG872" s="1277" t="n"/>
      <c r="AH872" s="1277" t="n"/>
      <c r="AI872" s="1277" t="n"/>
      <c r="AJ872" s="1277" t="n"/>
      <c r="AK872" s="1297" t="n"/>
      <c r="AL872" s="1277" t="n"/>
      <c r="AM872" s="1277" t="n"/>
      <c r="AN872" s="1277" t="n"/>
      <c r="AO872" s="1277" t="n"/>
      <c r="AP872" s="1297" t="n"/>
      <c r="AQ872" s="1277" t="n"/>
      <c r="AR872" s="1277" t="n"/>
      <c r="AS872" s="1277" t="n"/>
      <c r="AT872" s="1277" t="n"/>
      <c r="AU872" s="1297" t="n"/>
      <c r="AV872" s="1277" t="n"/>
      <c r="AW872" s="1277" t="n"/>
      <c r="AX872" s="1277" t="n"/>
      <c r="AY872" s="1277" t="n"/>
      <c r="AZ872" s="1297" t="n"/>
      <c r="BA872" s="1277" t="n"/>
      <c r="BB872" s="1277" t="n"/>
      <c r="BC872" s="1277" t="n"/>
      <c r="BD872" s="1277" t="n"/>
      <c r="BE872" s="1297" t="n"/>
      <c r="BF872" s="1277" t="n"/>
      <c r="BG872" s="1277" t="n"/>
      <c r="BH872" s="1277" t="n"/>
      <c r="BI872" s="1277" t="n"/>
      <c r="BJ872" s="1297" t="n"/>
      <c r="BK872" s="1277" t="n"/>
      <c r="BL872" s="1277" t="n"/>
      <c r="BM872" s="1277" t="n"/>
      <c r="BN872" s="1277" t="n"/>
      <c r="BO872" s="1382" t="n"/>
      <c r="BP872" s="1277">
        <f>BO872</f>
        <v/>
      </c>
      <c r="BQ872" s="1277">
        <f>BP872</f>
        <v/>
      </c>
      <c r="BR872" s="1277">
        <f>BQ872</f>
        <v/>
      </c>
      <c r="BS872" s="1277">
        <f>BR872</f>
        <v/>
      </c>
      <c r="BT872" s="1297">
        <f>BS872</f>
        <v/>
      </c>
      <c r="BU872" s="1277">
        <f>BT872</f>
        <v/>
      </c>
      <c r="BV872" s="1277">
        <f>BU872</f>
        <v/>
      </c>
      <c r="BW872" s="1277">
        <f>BV872</f>
        <v/>
      </c>
      <c r="BX872" s="1277">
        <f>BW872</f>
        <v/>
      </c>
      <c r="BY872" s="1297">
        <f>BX872</f>
        <v/>
      </c>
      <c r="BZ872" s="1297">
        <f>BY872</f>
        <v/>
      </c>
      <c r="CA872" s="1297">
        <f>BZ872</f>
        <v/>
      </c>
      <c r="CB872" s="1297">
        <f>CA872</f>
        <v/>
      </c>
      <c r="CC872" s="1280" t="n"/>
    </row>
    <row r="873" ht="14.4" customFormat="1" customHeight="1" s="1275">
      <c r="A873" s="1295" t="inlineStr">
        <is>
          <t>Other financial assets</t>
        </is>
      </c>
      <c r="B873" s="1387" t="n"/>
      <c r="C873" s="1299" t="n">
        <v>1849.987</v>
      </c>
      <c r="D873" s="1299" t="n">
        <v>1021.552</v>
      </c>
      <c r="E873" s="1299" t="n">
        <v>617.1420000000001</v>
      </c>
      <c r="F873" s="1299" t="n">
        <v>473.833</v>
      </c>
      <c r="G873" s="1299" t="n">
        <v>501.785</v>
      </c>
      <c r="H873" s="1298" t="n">
        <v>584.364</v>
      </c>
      <c r="I873" s="1298" t="n">
        <v>957.366</v>
      </c>
      <c r="J873" s="1298" t="n">
        <v>2989.824</v>
      </c>
      <c r="K873" s="1280">
        <f>L873</f>
        <v/>
      </c>
      <c r="L873" s="1299" t="n">
        <v>3476.884</v>
      </c>
      <c r="M873" s="1298" t="n">
        <v>3946.604</v>
      </c>
      <c r="N873" s="1298" t="n">
        <v>8408.233</v>
      </c>
      <c r="O873" s="1298" t="n">
        <v>3613.68</v>
      </c>
      <c r="P873" s="1280">
        <f>Q873</f>
        <v/>
      </c>
      <c r="Q873" s="1299" t="n">
        <v>4305.358</v>
      </c>
      <c r="R873" s="1298" t="n">
        <v>7057.944</v>
      </c>
      <c r="S873" s="1298" t="n">
        <v>7419.643</v>
      </c>
      <c r="T873" s="1298" t="n">
        <v>5866.961</v>
      </c>
      <c r="U873" s="1280">
        <f>V873</f>
        <v/>
      </c>
      <c r="V873" s="1299" t="n">
        <v>4100.475</v>
      </c>
      <c r="W873" s="1298" t="n">
        <v>3761.484</v>
      </c>
      <c r="X873" s="1298" t="n">
        <v>2450.135</v>
      </c>
      <c r="Y873" s="1298" t="n">
        <v>5209.635</v>
      </c>
      <c r="Z873" s="1280">
        <f>AA873</f>
        <v/>
      </c>
      <c r="AA873" s="1299" t="n">
        <v>7253.114</v>
      </c>
      <c r="AB873" s="1298" t="n">
        <v>11667.264</v>
      </c>
      <c r="AC873" s="1298" t="n">
        <v>13393.142</v>
      </c>
      <c r="AD873" s="1298" t="n">
        <v>15178.774</v>
      </c>
      <c r="AE873" s="1280">
        <f>AF873</f>
        <v/>
      </c>
      <c r="AF873" s="1299" t="n">
        <v>18597.448</v>
      </c>
      <c r="AG873" s="1298" t="n">
        <v>10521.565</v>
      </c>
      <c r="AH873" s="1298" t="n">
        <v>14934.531</v>
      </c>
      <c r="AI873" s="1298" t="n">
        <v>17714.646</v>
      </c>
      <c r="AJ873" s="1280">
        <f>AK873</f>
        <v/>
      </c>
      <c r="AK873" s="1299" t="n">
        <v>11041.091</v>
      </c>
      <c r="AL873" s="1298" t="n">
        <v>10696.893</v>
      </c>
      <c r="AM873" s="1298" t="n">
        <v>10436.627</v>
      </c>
      <c r="AN873" s="1298" t="n">
        <v>9647.119000000001</v>
      </c>
      <c r="AO873" s="1280">
        <f>AP873</f>
        <v/>
      </c>
      <c r="AP873" s="1299" t="n">
        <v>10676.111</v>
      </c>
      <c r="AQ873" s="1298" t="n">
        <v>15131.465</v>
      </c>
      <c r="AR873" s="1298" t="n">
        <v>12450.123</v>
      </c>
      <c r="AS873" s="1298" t="n">
        <v>14007.812</v>
      </c>
      <c r="AT873" s="1280">
        <f>AU873</f>
        <v/>
      </c>
      <c r="AU873" s="1299" t="n">
        <v>16630.611</v>
      </c>
      <c r="AV873" s="1298" t="n">
        <v>16243.656</v>
      </c>
      <c r="AW873" s="1298" t="n">
        <v>24931.373</v>
      </c>
      <c r="AX873" s="1298" t="n">
        <v>24855.999</v>
      </c>
      <c r="AY873" s="1280">
        <f>AZ873</f>
        <v/>
      </c>
      <c r="AZ873" s="1299" t="n">
        <v>25964.428</v>
      </c>
      <c r="BA873" s="1298" t="n">
        <v>26007.016</v>
      </c>
      <c r="BB873" s="1298" t="n">
        <v>25698.767</v>
      </c>
      <c r="BC873" s="1298" t="n">
        <v>26938.24</v>
      </c>
      <c r="BD873" s="1280">
        <f>BE873</f>
        <v/>
      </c>
      <c r="BE873" s="1299" t="n">
        <v>27158.766</v>
      </c>
      <c r="BF873" s="1298" t="n">
        <v>32728.476</v>
      </c>
      <c r="BG873" s="1298" t="n">
        <v>35624.485</v>
      </c>
      <c r="BH873" s="1298" t="n">
        <v>35301.765</v>
      </c>
      <c r="BI873" s="1280">
        <f>BJ873</f>
        <v/>
      </c>
      <c r="BJ873" s="1299" t="n">
        <v>63138.316</v>
      </c>
      <c r="BK873" s="1298" t="n">
        <v>59537.615</v>
      </c>
      <c r="BL873" s="1298" t="n">
        <v>49202.958</v>
      </c>
      <c r="BM873" s="1298" t="n">
        <v>54019.724</v>
      </c>
      <c r="BN873" s="1280">
        <f>BO873</f>
        <v/>
      </c>
      <c r="BO873" s="1645" t="n">
        <v>100000</v>
      </c>
      <c r="BP873" s="1277">
        <f>BO873</f>
        <v/>
      </c>
      <c r="BQ873" s="1277">
        <f>BP873</f>
        <v/>
      </c>
      <c r="BR873" s="1277">
        <f>BQ873</f>
        <v/>
      </c>
      <c r="BS873" s="1277">
        <f>BR873</f>
        <v/>
      </c>
      <c r="BT873" s="1297">
        <f>BS873</f>
        <v/>
      </c>
      <c r="BU873" s="1277">
        <f>BT873</f>
        <v/>
      </c>
      <c r="BV873" s="1277">
        <f>BU873</f>
        <v/>
      </c>
      <c r="BW873" s="1277">
        <f>BV873</f>
        <v/>
      </c>
      <c r="BX873" s="1277">
        <f>BW873</f>
        <v/>
      </c>
      <c r="BY873" s="1297">
        <f>BX873</f>
        <v/>
      </c>
      <c r="BZ873" s="1297">
        <f>BY873</f>
        <v/>
      </c>
      <c r="CA873" s="1297">
        <f>BZ873</f>
        <v/>
      </c>
      <c r="CB873" s="1297">
        <f>CA873</f>
        <v/>
      </c>
      <c r="CC873" s="1280" t="n"/>
    </row>
    <row r="874" ht="14.4" customFormat="1" customHeight="1" s="1275">
      <c r="A874" s="1295" t="inlineStr">
        <is>
          <t>Deferred income tax assets</t>
        </is>
      </c>
      <c r="B874" s="1387" t="n"/>
      <c r="C874" s="1299" t="n">
        <v>4370.309</v>
      </c>
      <c r="D874" s="1299" t="n">
        <v>5373.076</v>
      </c>
      <c r="E874" s="1299" t="n">
        <v>5936.49</v>
      </c>
      <c r="F874" s="1297" t="n"/>
      <c r="G874" s="1297" t="n"/>
      <c r="H874" s="1277" t="n"/>
      <c r="I874" s="1277" t="n"/>
      <c r="J874" s="1277" t="n"/>
      <c r="K874" s="1280">
        <f>L874</f>
        <v/>
      </c>
      <c r="L874" s="1297" t="n"/>
      <c r="M874" s="1277" t="n"/>
      <c r="N874" s="1277" t="n"/>
      <c r="O874" s="1277" t="n"/>
      <c r="P874" s="1280">
        <f>Q874</f>
        <v/>
      </c>
      <c r="Q874" s="1297" t="n"/>
      <c r="R874" s="1277" t="n"/>
      <c r="S874" s="1277" t="n"/>
      <c r="T874" s="1277" t="n"/>
      <c r="U874" s="1280">
        <f>V874</f>
        <v/>
      </c>
      <c r="V874" s="1297" t="n"/>
      <c r="W874" s="1277" t="n"/>
      <c r="X874" s="1277" t="n"/>
      <c r="Y874" s="1277" t="n"/>
      <c r="Z874" s="1280">
        <f>AA874</f>
        <v/>
      </c>
      <c r="AA874" s="1297" t="n"/>
      <c r="AB874" s="1277" t="n"/>
      <c r="AC874" s="1277" t="n"/>
      <c r="AD874" s="1277" t="n"/>
      <c r="AE874" s="1280">
        <f>AF874</f>
        <v/>
      </c>
      <c r="AF874" s="1297" t="n"/>
      <c r="AG874" s="1277" t="n"/>
      <c r="AH874" s="1277" t="n"/>
      <c r="AI874" s="1277" t="n"/>
      <c r="AJ874" s="1277" t="n"/>
      <c r="AK874" s="1297" t="n"/>
      <c r="AL874" s="1277" t="n"/>
      <c r="AM874" s="1277" t="n"/>
      <c r="AN874" s="1277" t="n"/>
      <c r="AO874" s="1277" t="n"/>
      <c r="AP874" s="1297" t="n"/>
      <c r="AQ874" s="1277" t="n"/>
      <c r="AR874" s="1277" t="n"/>
      <c r="AS874" s="1277" t="n"/>
      <c r="AT874" s="1277" t="n"/>
      <c r="AU874" s="1297" t="n"/>
      <c r="AV874" s="1277" t="n"/>
      <c r="AW874" s="1277" t="n"/>
      <c r="AX874" s="1277" t="n"/>
      <c r="AY874" s="1277" t="n"/>
      <c r="AZ874" s="1297" t="n"/>
      <c r="BA874" s="1277" t="n"/>
      <c r="BB874" s="1277" t="n"/>
      <c r="BC874" s="1277" t="n"/>
      <c r="BD874" s="1277" t="n"/>
      <c r="BE874" s="1297" t="n"/>
      <c r="BF874" s="1277" t="n"/>
      <c r="BG874" s="1277" t="n"/>
      <c r="BH874" s="1277" t="n"/>
      <c r="BI874" s="1277" t="n"/>
      <c r="BJ874" s="1297" t="n"/>
      <c r="BK874" s="1277" t="n"/>
      <c r="BL874" s="1277" t="n"/>
      <c r="BM874" s="1277" t="n"/>
      <c r="BN874" s="1277" t="n"/>
      <c r="BO874" s="1382" t="n"/>
      <c r="BP874" s="1277">
        <f>BO874</f>
        <v/>
      </c>
      <c r="BQ874" s="1277">
        <f>BP874</f>
        <v/>
      </c>
      <c r="BR874" s="1277">
        <f>BQ874</f>
        <v/>
      </c>
      <c r="BS874" s="1277">
        <f>BR874</f>
        <v/>
      </c>
      <c r="BT874" s="1297">
        <f>BS874</f>
        <v/>
      </c>
      <c r="BU874" s="1277">
        <f>BT874</f>
        <v/>
      </c>
      <c r="BV874" s="1277">
        <f>BU874</f>
        <v/>
      </c>
      <c r="BW874" s="1277">
        <f>BV874</f>
        <v/>
      </c>
      <c r="BX874" s="1277">
        <f>BW874</f>
        <v/>
      </c>
      <c r="BY874" s="1297">
        <f>BX874</f>
        <v/>
      </c>
      <c r="BZ874" s="1297">
        <f>BY874</f>
        <v/>
      </c>
      <c r="CA874" s="1297">
        <f>BZ874</f>
        <v/>
      </c>
      <c r="CB874" s="1297">
        <f>CA874</f>
        <v/>
      </c>
      <c r="CC874" s="1280" t="n"/>
    </row>
    <row r="875" ht="14.4" customFormat="1" customHeight="1" s="1275">
      <c r="A875" s="1460" t="inlineStr">
        <is>
          <t>Other current assets</t>
        </is>
      </c>
      <c r="B875" s="1389" t="n"/>
      <c r="C875" s="1390" t="n">
        <v>1368.838</v>
      </c>
      <c r="D875" s="1390" t="n">
        <v>2037.647</v>
      </c>
      <c r="E875" s="1390" t="n">
        <v>2174.014</v>
      </c>
      <c r="F875" s="1390" t="n">
        <v>2786.408</v>
      </c>
      <c r="G875" s="1390" t="n">
        <v>2984.224</v>
      </c>
      <c r="H875" s="1391" t="n">
        <v>2381.416</v>
      </c>
      <c r="I875" s="1391" t="n">
        <v>2931.372</v>
      </c>
      <c r="J875" s="1391" t="n">
        <v>2864.405</v>
      </c>
      <c r="K875" s="1464">
        <f>L875</f>
        <v/>
      </c>
      <c r="L875" s="1390" t="n">
        <v>3656.11</v>
      </c>
      <c r="M875" s="1391" t="n">
        <v>3688.211</v>
      </c>
      <c r="N875" s="1391" t="n">
        <v>3028.691</v>
      </c>
      <c r="O875" s="1391" t="n">
        <v>2844.481</v>
      </c>
      <c r="P875" s="1464">
        <f>Q875</f>
        <v/>
      </c>
      <c r="Q875" s="1390" t="n">
        <v>3533.369</v>
      </c>
      <c r="R875" s="1391" t="n">
        <v>2695.531</v>
      </c>
      <c r="S875" s="1391" t="n">
        <v>3263.678</v>
      </c>
      <c r="T875" s="1391" t="n">
        <v>3448.916</v>
      </c>
      <c r="U875" s="1464">
        <f>V875</f>
        <v/>
      </c>
      <c r="V875" s="1390" t="n">
        <v>3385.422</v>
      </c>
      <c r="W875" s="1391" t="n">
        <v>3025.168</v>
      </c>
      <c r="X875" s="1391" t="n">
        <v>3777.53</v>
      </c>
      <c r="Y875" s="1391" t="n">
        <v>5090.17</v>
      </c>
      <c r="Z875" s="1464">
        <f>AA875</f>
        <v/>
      </c>
      <c r="AA875" s="1390" t="n">
        <v>4222.44</v>
      </c>
      <c r="AB875" s="1391" t="n">
        <v>39947.321</v>
      </c>
      <c r="AC875" s="1391" t="n">
        <v>6314.005</v>
      </c>
      <c r="AD875" s="1391" t="n">
        <v>5084.478</v>
      </c>
      <c r="AE875" s="1464">
        <f>AF875</f>
        <v/>
      </c>
      <c r="AF875" s="1390" t="n">
        <v>5406.423</v>
      </c>
      <c r="AG875" s="1391" t="n">
        <v>5082.738</v>
      </c>
      <c r="AH875" s="1391" t="n">
        <v>4725.64</v>
      </c>
      <c r="AI875" s="1391" t="n">
        <v>4625.998</v>
      </c>
      <c r="AJ875" s="1464">
        <f>AK875</f>
        <v/>
      </c>
      <c r="AK875" s="1390" t="n">
        <v>5320.795</v>
      </c>
      <c r="AL875" s="1391" t="n">
        <v>5461.359</v>
      </c>
      <c r="AM875" s="1391" t="n">
        <v>6610.338</v>
      </c>
      <c r="AN875" s="1391" t="n">
        <v>5477.935</v>
      </c>
      <c r="AO875" s="1464">
        <f>AP875</f>
        <v/>
      </c>
      <c r="AP875" s="1390" t="n">
        <v>6590.191</v>
      </c>
      <c r="AQ875" s="1391" t="n">
        <v>5834.459</v>
      </c>
      <c r="AR875" s="1391" t="n">
        <v>7408.426</v>
      </c>
      <c r="AS875" s="1391" t="n">
        <v>11336.722</v>
      </c>
      <c r="AT875" s="1464">
        <f>AU875</f>
        <v/>
      </c>
      <c r="AU875" s="1390" t="n">
        <v>10521.481</v>
      </c>
      <c r="AV875" s="1391" t="n">
        <v>10333.155</v>
      </c>
      <c r="AW875" s="1391" t="n">
        <v>13341.271</v>
      </c>
      <c r="AX875" s="1391" t="n">
        <v>10552.495</v>
      </c>
      <c r="AY875" s="1464">
        <f>AZ875</f>
        <v/>
      </c>
      <c r="AZ875" s="1390" t="n">
        <v>12888.776</v>
      </c>
      <c r="BA875" s="1391" t="n">
        <v>16343.714</v>
      </c>
      <c r="BB875" s="1391" t="n">
        <v>16427.659</v>
      </c>
      <c r="BC875" s="1391" t="n">
        <v>19221.06</v>
      </c>
      <c r="BD875" s="1464">
        <f>BE875</f>
        <v/>
      </c>
      <c r="BE875" s="1390" t="n">
        <v>26222.38</v>
      </c>
      <c r="BF875" s="1391" t="n">
        <v>28200.526</v>
      </c>
      <c r="BG875" s="1391" t="n">
        <v>22293.958</v>
      </c>
      <c r="BH875" s="1391" t="n">
        <v>28080.05</v>
      </c>
      <c r="BI875" s="1464">
        <f>BJ875</f>
        <v/>
      </c>
      <c r="BJ875" s="1390" t="n">
        <v>43237.354</v>
      </c>
      <c r="BK875" s="1391" t="n">
        <v>45703.772</v>
      </c>
      <c r="BL875" s="1391" t="n">
        <v>38838.612</v>
      </c>
      <c r="BM875" s="1391" t="n">
        <v>34378.423</v>
      </c>
      <c r="BN875" s="1464">
        <f>BO875</f>
        <v/>
      </c>
      <c r="BO875" s="1465">
        <f>178636-BO873</f>
        <v/>
      </c>
      <c r="BP875" s="1365">
        <f>BO875</f>
        <v/>
      </c>
      <c r="BQ875" s="1365">
        <f>BP875</f>
        <v/>
      </c>
      <c r="BR875" s="1365">
        <f>BQ875</f>
        <v/>
      </c>
      <c r="BS875" s="1365">
        <f>BR875</f>
        <v/>
      </c>
      <c r="BT875" s="1364">
        <f>BS875</f>
        <v/>
      </c>
      <c r="BU875" s="1365">
        <f>BT875</f>
        <v/>
      </c>
      <c r="BV875" s="1365">
        <f>BU875</f>
        <v/>
      </c>
      <c r="BW875" s="1365">
        <f>BV875</f>
        <v/>
      </c>
      <c r="BX875" s="1365">
        <f>BW875</f>
        <v/>
      </c>
      <c r="BY875" s="1364">
        <f>BX875</f>
        <v/>
      </c>
      <c r="BZ875" s="1364">
        <f>BY875</f>
        <v/>
      </c>
      <c r="CA875" s="1364">
        <f>BZ875</f>
        <v/>
      </c>
      <c r="CB875" s="1364">
        <f>CA875</f>
        <v/>
      </c>
      <c r="CC875" s="1280" t="n"/>
    </row>
    <row r="876" ht="14.4" customFormat="1" customHeight="1" s="1323">
      <c r="A876" s="1324" t="inlineStr">
        <is>
          <t>Total Current Assets</t>
        </is>
      </c>
      <c r="B876" s="1393" t="n"/>
      <c r="C876" s="1329">
        <f>SUM(C858,C866,C870:C875)</f>
        <v/>
      </c>
      <c r="D876" s="1329">
        <f>SUM(D858,D866,D870:D875)</f>
        <v/>
      </c>
      <c r="E876" s="1329">
        <f>SUM(E858,E866,E870:E875)</f>
        <v/>
      </c>
      <c r="F876" s="1329">
        <f>SUM(F858,F866,F870:F875)</f>
        <v/>
      </c>
      <c r="G876" s="1329">
        <f>SUM(G858,G866,G870:G875)</f>
        <v/>
      </c>
      <c r="H876" s="1328">
        <f>SUM(H858,H866,H870:H875)</f>
        <v/>
      </c>
      <c r="I876" s="1328">
        <f>SUM(I858,I866,I870:I875)</f>
        <v/>
      </c>
      <c r="J876" s="1328">
        <f>SUM(J858,J866,J870:J875)</f>
        <v/>
      </c>
      <c r="K876" s="1328">
        <f>SUM(K858,K866,K870:K875)</f>
        <v/>
      </c>
      <c r="L876" s="1329">
        <f>SUM(L858,L866,L870:L875)</f>
        <v/>
      </c>
      <c r="M876" s="1328">
        <f>SUM(M858,M866,M870:M875)</f>
        <v/>
      </c>
      <c r="N876" s="1328">
        <f>SUM(N858,N866,N870:N875)</f>
        <v/>
      </c>
      <c r="O876" s="1328">
        <f>SUM(O858,O866,O870:O875)</f>
        <v/>
      </c>
      <c r="P876" s="1328">
        <f>SUM(P858,P866,P870:P875)</f>
        <v/>
      </c>
      <c r="Q876" s="1329">
        <f>SUM(Q858,Q866,Q870:Q875)</f>
        <v/>
      </c>
      <c r="R876" s="1328">
        <f>SUM(R858,R866,R870:R875)</f>
        <v/>
      </c>
      <c r="S876" s="1328">
        <f>SUM(S858,S866,S870:S875)</f>
        <v/>
      </c>
      <c r="T876" s="1328">
        <f>SUM(T858,T866,T870:T875)</f>
        <v/>
      </c>
      <c r="U876" s="1328">
        <f>SUM(U858,U866,U870:U875)</f>
        <v/>
      </c>
      <c r="V876" s="1329">
        <f>SUM(V858,V866,V870:V875)</f>
        <v/>
      </c>
      <c r="W876" s="1328">
        <f>SUM(W858,W866,W870:W875)</f>
        <v/>
      </c>
      <c r="X876" s="1328">
        <f>SUM(X858,X866,X870:X875)</f>
        <v/>
      </c>
      <c r="Y876" s="1328">
        <f>SUM(Y858,Y866,Y870:Y875)</f>
        <v/>
      </c>
      <c r="Z876" s="1328">
        <f>SUM(Z858,Z866,Z870:Z875)</f>
        <v/>
      </c>
      <c r="AA876" s="1329">
        <f>SUM(AA858,AA866,AA870:AA875)</f>
        <v/>
      </c>
      <c r="AB876" s="1328">
        <f>SUM(AB858,AB866,AB870:AB875)</f>
        <v/>
      </c>
      <c r="AC876" s="1328">
        <f>SUM(AC858,AC866,AC870:AC875)</f>
        <v/>
      </c>
      <c r="AD876" s="1328">
        <f>SUM(AD858,AD866,AD870:AD875)</f>
        <v/>
      </c>
      <c r="AE876" s="1328">
        <f>SUM(AE858,AE866,AE870:AE875)</f>
        <v/>
      </c>
      <c r="AF876" s="1329">
        <f>SUM(AF858,AF866,AF870:AF875)</f>
        <v/>
      </c>
      <c r="AG876" s="1328">
        <f>SUM(AG858,AG866,AG870:AG875)</f>
        <v/>
      </c>
      <c r="AH876" s="1328">
        <f>SUM(AH858,AH866,AH870:AH875)</f>
        <v/>
      </c>
      <c r="AI876" s="1328">
        <f>SUM(AI858,AI866,AI870:AI875)</f>
        <v/>
      </c>
      <c r="AJ876" s="1328">
        <f>SUM(AJ858,AJ866,AJ870:AJ875)</f>
        <v/>
      </c>
      <c r="AK876" s="1329">
        <f>SUM(AK858,AK866,AK870:AK875)</f>
        <v/>
      </c>
      <c r="AL876" s="1328">
        <f>SUM(AL858,AL866,AL870:AL875)</f>
        <v/>
      </c>
      <c r="AM876" s="1328">
        <f>SUM(AM858,AM866,AM870:AM875)</f>
        <v/>
      </c>
      <c r="AN876" s="1328">
        <f>SUM(AN858,AN866,AN870:AN875)</f>
        <v/>
      </c>
      <c r="AO876" s="1328">
        <f>SUM(AO858,AO866,AO870:AO875)</f>
        <v/>
      </c>
      <c r="AP876" s="1329">
        <f>SUM(AP858,AP866,AP870:AP875)</f>
        <v/>
      </c>
      <c r="AQ876" s="1328">
        <f>SUM(AQ858,AQ866,AQ870:AQ875)</f>
        <v/>
      </c>
      <c r="AR876" s="1328">
        <f>SUM(AR858,AR866,AR870:AR875)</f>
        <v/>
      </c>
      <c r="AS876" s="1328">
        <f>SUM(AS858,AS866,AS870:AS875)</f>
        <v/>
      </c>
      <c r="AT876" s="1328">
        <f>SUM(AT858,AT866,AT870:AT875)</f>
        <v/>
      </c>
      <c r="AU876" s="1329">
        <f>SUM(AU858,AU866,AU870:AU875)</f>
        <v/>
      </c>
      <c r="AV876" s="1328">
        <f>SUM(AV858,AV866,AV870:AV875)</f>
        <v/>
      </c>
      <c r="AW876" s="1328">
        <f>SUM(AW858,AW866,AW870:AW875)</f>
        <v/>
      </c>
      <c r="AX876" s="1328">
        <f>SUM(AX858,AX866,AX870:AX875)</f>
        <v/>
      </c>
      <c r="AY876" s="1328">
        <f>SUM(AY858,AY866,AY870:AY875)</f>
        <v/>
      </c>
      <c r="AZ876" s="1329">
        <f>SUM(AZ858,AZ866,AZ870:AZ875)</f>
        <v/>
      </c>
      <c r="BA876" s="1328">
        <f>SUM(BA858,BA866,BA870:BA875)</f>
        <v/>
      </c>
      <c r="BB876" s="1328">
        <f>SUM(BB858,BB866,BB870:BB875)</f>
        <v/>
      </c>
      <c r="BC876" s="1327">
        <f>SUM(BC858,BC866,BC870:BC875)</f>
        <v/>
      </c>
      <c r="BD876" s="1328">
        <f>SUM(BD858,BD866,BD870:BD875)</f>
        <v/>
      </c>
      <c r="BE876" s="1329">
        <f>SUM(BE858,BE866,BE870:BE875)</f>
        <v/>
      </c>
      <c r="BF876" s="1328">
        <f>SUM(BF858,BF866,BF870:BF875)</f>
        <v/>
      </c>
      <c r="BG876" s="1328">
        <f>SUM(BG858,BG866,BG870:BG875)</f>
        <v/>
      </c>
      <c r="BH876" s="1327">
        <f>SUM(BH858,BH866,BH870:BH875)</f>
        <v/>
      </c>
      <c r="BI876" s="1328">
        <f>SUM(BI858,BI866,BI870:BI875)</f>
        <v/>
      </c>
      <c r="BJ876" s="1329">
        <f>SUM(BJ858,BJ866,BJ870:BJ875)</f>
        <v/>
      </c>
      <c r="BK876" s="1328">
        <f>SUM(BK858,BK866,BK870:BK875)</f>
        <v/>
      </c>
      <c r="BL876" s="1328">
        <f>SUM(BL858,BL866,BL870:BL875)</f>
        <v/>
      </c>
      <c r="BM876" s="1328">
        <f>SUM(BM858,BM866,BM870:BM875)</f>
        <v/>
      </c>
      <c r="BN876" s="1328">
        <f>SUM(BN858,BN866,BN870:BN875)</f>
        <v/>
      </c>
      <c r="BO876" s="1330">
        <f>SUM(BO858,BO866,BO870:BO875)</f>
        <v/>
      </c>
      <c r="BP876" s="1327">
        <f>SUM(BP858,BP866,BP870:BP875)</f>
        <v/>
      </c>
      <c r="BQ876" s="1327">
        <f>SUM(BQ858,BQ866,BQ870:BQ875)</f>
        <v/>
      </c>
      <c r="BR876" s="1327">
        <f>SUM(BR858,BR866,BR870:BR875)</f>
        <v/>
      </c>
      <c r="BS876" s="1327">
        <f>SUM(BS858,BS866,BS870:BS875)</f>
        <v/>
      </c>
      <c r="BT876" s="1326">
        <f>SUM(BT858,BT866,BT870:BT875)</f>
        <v/>
      </c>
      <c r="BU876" s="1327">
        <f>SUM(BU858,BU866,BU870:BU875)</f>
        <v/>
      </c>
      <c r="BV876" s="1327">
        <f>SUM(BV858,BV866,BV870:BV875)</f>
        <v/>
      </c>
      <c r="BW876" s="1327">
        <f>SUM(BW858,BW866,BW870:BW875)</f>
        <v/>
      </c>
      <c r="BX876" s="1327">
        <f>SUM(BX858,BX866,BX870:BX875)</f>
        <v/>
      </c>
      <c r="BY876" s="1326">
        <f>SUM(BY858,BY866,BY870:BY875)</f>
        <v/>
      </c>
      <c r="BZ876" s="1326">
        <f>SUM(BZ858,BZ866,BZ870:BZ875)</f>
        <v/>
      </c>
      <c r="CA876" s="1326">
        <f>SUM(CA858,CA866,CA870:CA875)</f>
        <v/>
      </c>
      <c r="CB876" s="1326">
        <f>SUM(CB858,CB866,CB870:CB875)</f>
        <v/>
      </c>
      <c r="CC876" s="1331" t="n"/>
    </row>
    <row r="877" ht="14.4" customFormat="1" customHeight="1" s="1323">
      <c r="A877" s="1344" t="n"/>
      <c r="B877" s="1394" t="n"/>
      <c r="C877" s="1345" t="n"/>
      <c r="D877" s="1345" t="n"/>
      <c r="E877" s="1345" t="n"/>
      <c r="F877" s="1345" t="n"/>
      <c r="G877" s="1345" t="n"/>
      <c r="H877" s="1346" t="n"/>
      <c r="I877" s="1346" t="n"/>
      <c r="J877" s="1346" t="n"/>
      <c r="K877" s="1346" t="n"/>
      <c r="L877" s="1345" t="n"/>
      <c r="M877" s="1346" t="n"/>
      <c r="N877" s="1346" t="n"/>
      <c r="O877" s="1346" t="n"/>
      <c r="P877" s="1346" t="n"/>
      <c r="Q877" s="1345" t="n"/>
      <c r="R877" s="1346" t="n"/>
      <c r="S877" s="1346" t="n"/>
      <c r="T877" s="1346" t="n"/>
      <c r="U877" s="1346" t="n"/>
      <c r="V877" s="1345" t="n"/>
      <c r="W877" s="1346" t="n"/>
      <c r="X877" s="1346" t="n"/>
      <c r="Y877" s="1346" t="n"/>
      <c r="Z877" s="1346" t="n"/>
      <c r="AA877" s="1345" t="n"/>
      <c r="AB877" s="1346" t="n"/>
      <c r="AC877" s="1346" t="n"/>
      <c r="AD877" s="1346" t="n"/>
      <c r="AE877" s="1346" t="n"/>
      <c r="AF877" s="1345" t="n"/>
      <c r="AG877" s="1346" t="n"/>
      <c r="AH877" s="1346" t="n"/>
      <c r="AI877" s="1346" t="n"/>
      <c r="AJ877" s="1346" t="n"/>
      <c r="AK877" s="1345" t="n"/>
      <c r="AL877" s="1346" t="n"/>
      <c r="AM877" s="1346" t="n"/>
      <c r="AN877" s="1346" t="n"/>
      <c r="AO877" s="1346" t="n"/>
      <c r="AP877" s="1345" t="n"/>
      <c r="AQ877" s="1346" t="n"/>
      <c r="AR877" s="1346" t="n"/>
      <c r="AS877" s="1346" t="n"/>
      <c r="AT877" s="1346" t="n"/>
      <c r="AU877" s="1345" t="n"/>
      <c r="AV877" s="1346" t="n"/>
      <c r="AW877" s="1346" t="n"/>
      <c r="AX877" s="1346" t="n"/>
      <c r="AY877" s="1346" t="n"/>
      <c r="AZ877" s="1345" t="n"/>
      <c r="BA877" s="1346" t="n"/>
      <c r="BB877" s="1346" t="n"/>
      <c r="BC877" s="1346" t="n"/>
      <c r="BD877" s="1346" t="n"/>
      <c r="BE877" s="1345" t="n"/>
      <c r="BF877" s="1346" t="n"/>
      <c r="BG877" s="1346" t="n"/>
      <c r="BH877" s="1346" t="n"/>
      <c r="BI877" s="1346" t="n"/>
      <c r="BJ877" s="1345" t="n"/>
      <c r="BK877" s="1346" t="n"/>
      <c r="BL877" s="1346" t="n"/>
      <c r="BM877" s="1346" t="n"/>
      <c r="BN877" s="1346" t="n"/>
      <c r="BO877" s="1347" t="n"/>
      <c r="BP877" s="1346" t="n"/>
      <c r="BQ877" s="1346" t="n"/>
      <c r="BR877" s="1346" t="n"/>
      <c r="BS877" s="1346" t="n"/>
      <c r="BT877" s="1345" t="n"/>
      <c r="BU877" s="1346" t="n"/>
      <c r="BV877" s="1346" t="n"/>
      <c r="BW877" s="1346" t="n"/>
      <c r="BX877" s="1346" t="n"/>
      <c r="BY877" s="1345" t="n"/>
      <c r="BZ877" s="1345" t="n"/>
      <c r="CA877" s="1345" t="n"/>
      <c r="CB877" s="1345" t="n"/>
      <c r="CC877" s="1331" t="n"/>
    </row>
    <row r="878" ht="14.4" customFormat="1" customHeight="1" s="1323">
      <c r="A878" s="1679" t="inlineStr">
        <is>
          <t>Non-Current Assets</t>
        </is>
      </c>
      <c r="B878" s="1394" t="n"/>
      <c r="C878" s="1345" t="n"/>
      <c r="D878" s="1345" t="n"/>
      <c r="E878" s="1345" t="n"/>
      <c r="F878" s="1345" t="n"/>
      <c r="G878" s="1345" t="n"/>
      <c r="H878" s="1346" t="n"/>
      <c r="I878" s="1346" t="n"/>
      <c r="J878" s="1346" t="n"/>
      <c r="K878" s="1346" t="n"/>
      <c r="L878" s="1345" t="n"/>
      <c r="M878" s="1346" t="n"/>
      <c r="N878" s="1346" t="n"/>
      <c r="O878" s="1346" t="n"/>
      <c r="P878" s="1346" t="n"/>
      <c r="Q878" s="1345" t="n"/>
      <c r="R878" s="1346" t="n"/>
      <c r="S878" s="1346" t="n"/>
      <c r="T878" s="1346" t="n"/>
      <c r="U878" s="1346" t="n"/>
      <c r="V878" s="1345" t="n"/>
      <c r="W878" s="1346" t="n"/>
      <c r="X878" s="1346" t="n"/>
      <c r="Y878" s="1346" t="n"/>
      <c r="Z878" s="1346" t="n"/>
      <c r="AA878" s="1345" t="n"/>
      <c r="AB878" s="1346" t="n"/>
      <c r="AC878" s="1346" t="n"/>
      <c r="AD878" s="1346" t="n"/>
      <c r="AE878" s="1346" t="n"/>
      <c r="AF878" s="1345" t="n"/>
      <c r="AG878" s="1346" t="n"/>
      <c r="AH878" s="1346" t="n"/>
      <c r="AI878" s="1346" t="n"/>
      <c r="AJ878" s="1346" t="n"/>
      <c r="AK878" s="1345" t="n"/>
      <c r="AL878" s="1346" t="n"/>
      <c r="AM878" s="1346" t="n"/>
      <c r="AN878" s="1346" t="n"/>
      <c r="AO878" s="1346" t="n"/>
      <c r="AP878" s="1345" t="n"/>
      <c r="AQ878" s="1346" t="n"/>
      <c r="AR878" s="1346" t="n"/>
      <c r="AS878" s="1346" t="n"/>
      <c r="AT878" s="1346" t="n"/>
      <c r="AU878" s="1345" t="n"/>
      <c r="AV878" s="1346" t="n"/>
      <c r="AW878" s="1346" t="n"/>
      <c r="AX878" s="1346" t="n"/>
      <c r="AY878" s="1346" t="n"/>
      <c r="AZ878" s="1345" t="n"/>
      <c r="BA878" s="1346" t="n"/>
      <c r="BB878" s="1346" t="n"/>
      <c r="BC878" s="1346" t="n"/>
      <c r="BD878" s="1346" t="n"/>
      <c r="BE878" s="1345" t="n"/>
      <c r="BF878" s="1346" t="n"/>
      <c r="BG878" s="1346" t="n"/>
      <c r="BH878" s="1346" t="n"/>
      <c r="BI878" s="1346" t="n"/>
      <c r="BJ878" s="1345" t="n"/>
      <c r="BK878" s="1346" t="n"/>
      <c r="BL878" s="1346" t="n"/>
      <c r="BM878" s="1346" t="n"/>
      <c r="BN878" s="1346" t="n"/>
      <c r="BO878" s="1347" t="n"/>
      <c r="BP878" s="1346" t="n"/>
      <c r="BQ878" s="1346" t="n"/>
      <c r="BR878" s="1346" t="n"/>
      <c r="BS878" s="1346" t="n"/>
      <c r="BT878" s="1345" t="n"/>
      <c r="BU878" s="1346" t="n"/>
      <c r="BV878" s="1346" t="n"/>
      <c r="BW878" s="1346" t="n"/>
      <c r="BX878" s="1346" t="n"/>
      <c r="BY878" s="1345" t="n"/>
      <c r="BZ878" s="1345" t="n"/>
      <c r="CA878" s="1345" t="n"/>
      <c r="CB878" s="1345" t="n"/>
      <c r="CC878" s="1331" t="n"/>
    </row>
    <row r="879" ht="14.4" customFormat="1" customHeight="1" s="1275">
      <c r="A879" s="1384" t="inlineStr">
        <is>
          <t>Financial assets at fair value through other comprehensive income</t>
        </is>
      </c>
      <c r="B879" s="1387" t="n"/>
      <c r="C879" s="1297" t="n"/>
      <c r="D879" s="1297" t="n"/>
      <c r="E879" s="1297" t="n"/>
      <c r="F879" s="1297" t="n"/>
      <c r="G879" s="1297" t="n"/>
      <c r="H879" s="1277" t="n"/>
      <c r="I879" s="1277" t="n"/>
      <c r="J879" s="1277" t="n"/>
      <c r="K879" s="1277" t="n"/>
      <c r="L879" s="1297" t="n"/>
      <c r="M879" s="1277" t="n"/>
      <c r="N879" s="1277" t="n"/>
      <c r="O879" s="1277" t="n"/>
      <c r="P879" s="1277" t="n"/>
      <c r="Q879" s="1297" t="n"/>
      <c r="R879" s="1277" t="n"/>
      <c r="S879" s="1277" t="n"/>
      <c r="T879" s="1277" t="n"/>
      <c r="U879" s="1277" t="n"/>
      <c r="V879" s="1297" t="n"/>
      <c r="W879" s="1277" t="n"/>
      <c r="X879" s="1277" t="n"/>
      <c r="Y879" s="1277" t="n"/>
      <c r="Z879" s="1277" t="n"/>
      <c r="AA879" s="1297" t="n"/>
      <c r="AB879" s="1277" t="n"/>
      <c r="AC879" s="1298" t="n">
        <v>5694.784</v>
      </c>
      <c r="AD879" s="1298" t="n">
        <v>5701.354</v>
      </c>
      <c r="AE879" s="1277">
        <f>AF879</f>
        <v/>
      </c>
      <c r="AF879" s="1299" t="n">
        <v>3910.681</v>
      </c>
      <c r="AG879" s="1298" t="n">
        <v>3837.734</v>
      </c>
      <c r="AH879" s="1298" t="n">
        <v>4040.8</v>
      </c>
      <c r="AI879" s="1298" t="n">
        <v>4026.516</v>
      </c>
      <c r="AJ879" s="1277">
        <f>AK879</f>
        <v/>
      </c>
      <c r="AK879" s="1299" t="n">
        <v>4124.337</v>
      </c>
      <c r="AL879" s="1298" t="n">
        <v>4241.324</v>
      </c>
      <c r="AM879" s="1298" t="n">
        <v>4300.519</v>
      </c>
      <c r="AN879" s="1298" t="n">
        <v>4305.357</v>
      </c>
      <c r="AO879" s="1277">
        <f>AP879</f>
        <v/>
      </c>
      <c r="AP879" s="1299" t="n">
        <v>4514.94</v>
      </c>
      <c r="AQ879" s="1298" t="n">
        <v>4401.224</v>
      </c>
      <c r="AR879" s="1298" t="n">
        <v>5389.958</v>
      </c>
      <c r="AS879" s="1298" t="n">
        <v>5729.779</v>
      </c>
      <c r="AT879" s="1277">
        <f>AU879</f>
        <v/>
      </c>
      <c r="AU879" s="1299" t="n">
        <v>5887.892</v>
      </c>
      <c r="AV879" s="1298" t="n">
        <v>6011.937</v>
      </c>
      <c r="AW879" s="1298" t="n">
        <v>6503.252</v>
      </c>
      <c r="AX879" s="1298" t="n">
        <v>6784.978</v>
      </c>
      <c r="AY879" s="1277">
        <f>AZ879</f>
        <v/>
      </c>
      <c r="AZ879" s="1299" t="n">
        <v>6159.2</v>
      </c>
      <c r="BA879" s="1298" t="n">
        <v>6918.09</v>
      </c>
      <c r="BB879" s="1298" t="n">
        <v>7516.718</v>
      </c>
      <c r="BC879" s="1298" t="n">
        <v>7933.799</v>
      </c>
      <c r="BD879" s="1277">
        <f>BE879</f>
        <v/>
      </c>
      <c r="BE879" s="1299" t="n">
        <v>7208.655</v>
      </c>
      <c r="BF879" s="1298" t="n">
        <v>7428.408</v>
      </c>
      <c r="BG879" s="1298" t="n">
        <v>7223.448</v>
      </c>
      <c r="BH879" s="1298" t="n">
        <v>7502.973</v>
      </c>
      <c r="BI879" s="1277">
        <f>BJ879</f>
        <v/>
      </c>
      <c r="BJ879" s="1299" t="n">
        <v>7822.884</v>
      </c>
      <c r="BK879" s="1298" t="n">
        <v>8337.662</v>
      </c>
      <c r="BL879" s="1298" t="n">
        <v>7605.736</v>
      </c>
      <c r="BM879" s="1298" t="n">
        <v>8365.833000000001</v>
      </c>
      <c r="BN879" s="1277">
        <f>BO879</f>
        <v/>
      </c>
      <c r="BO879" s="1645" t="n">
        <v>8500</v>
      </c>
      <c r="BP879" s="1277">
        <f>BO879</f>
        <v/>
      </c>
      <c r="BQ879" s="1277">
        <f>BP879</f>
        <v/>
      </c>
      <c r="BR879" s="1277">
        <f>BQ879</f>
        <v/>
      </c>
      <c r="BS879" s="1277">
        <f>BR879</f>
        <v/>
      </c>
      <c r="BT879" s="1297">
        <f>BS879</f>
        <v/>
      </c>
      <c r="BU879" s="1277">
        <f>BT879</f>
        <v/>
      </c>
      <c r="BV879" s="1277">
        <f>BU879</f>
        <v/>
      </c>
      <c r="BW879" s="1277">
        <f>BV879</f>
        <v/>
      </c>
      <c r="BX879" s="1277">
        <f>BW879</f>
        <v/>
      </c>
      <c r="BY879" s="1297">
        <f>BX879</f>
        <v/>
      </c>
      <c r="BZ879" s="1297">
        <f>BY879</f>
        <v/>
      </c>
      <c r="CA879" s="1297">
        <f>BZ879</f>
        <v/>
      </c>
      <c r="CB879" s="1297">
        <f>CA879</f>
        <v/>
      </c>
      <c r="CC879" s="1280" t="n"/>
    </row>
    <row r="880" ht="14.4" customFormat="1" customHeight="1" s="1275">
      <c r="A880" s="1384" t="inlineStr">
        <is>
          <t>Financial assets at fair value through profit or loss</t>
        </is>
      </c>
      <c r="B880" s="1387" t="n"/>
      <c r="C880" s="1297" t="n"/>
      <c r="D880" s="1297" t="n"/>
      <c r="E880" s="1297" t="n"/>
      <c r="F880" s="1297" t="n"/>
      <c r="G880" s="1297" t="n"/>
      <c r="H880" s="1277" t="n"/>
      <c r="I880" s="1277" t="n"/>
      <c r="J880" s="1277" t="n"/>
      <c r="K880" s="1277" t="n"/>
      <c r="L880" s="1297" t="n"/>
      <c r="M880" s="1277" t="n"/>
      <c r="N880" s="1277" t="n"/>
      <c r="O880" s="1277" t="n"/>
      <c r="P880" s="1277" t="n"/>
      <c r="Q880" s="1297" t="n"/>
      <c r="R880" s="1277" t="n"/>
      <c r="S880" s="1277" t="n"/>
      <c r="T880" s="1277" t="n"/>
      <c r="U880" s="1277" t="n"/>
      <c r="V880" s="1297" t="n"/>
      <c r="W880" s="1277" t="n"/>
      <c r="X880" s="1277" t="n"/>
      <c r="Y880" s="1277" t="n"/>
      <c r="Z880" s="1277" t="n"/>
      <c r="AA880" s="1297" t="n"/>
      <c r="AB880" s="1277" t="n"/>
      <c r="AC880" s="1277" t="n"/>
      <c r="AD880" s="1277" t="n"/>
      <c r="AE880" s="1277" t="n"/>
      <c r="AF880" s="1297" t="n"/>
      <c r="AG880" s="1277" t="n"/>
      <c r="AH880" s="1277" t="n"/>
      <c r="AI880" s="1277" t="n"/>
      <c r="AJ880" s="1277" t="n"/>
      <c r="AK880" s="1297" t="n"/>
      <c r="AL880" s="1277" t="n"/>
      <c r="AM880" s="1277" t="n"/>
      <c r="AN880" s="1277" t="n"/>
      <c r="AO880" s="1277" t="n"/>
      <c r="AP880" s="1297" t="n"/>
      <c r="AQ880" s="1277" t="n"/>
      <c r="AR880" s="1277" t="n"/>
      <c r="AS880" s="1277" t="n"/>
      <c r="AT880" s="1277" t="n"/>
      <c r="AU880" s="1297" t="n"/>
      <c r="AV880" s="1277" t="n"/>
      <c r="AW880" s="1277" t="n"/>
      <c r="AX880" s="1277" t="n"/>
      <c r="AY880" s="1277" t="n"/>
      <c r="AZ880" s="1297" t="n"/>
      <c r="BA880" s="1277" t="n"/>
      <c r="BB880" s="1298" t="n">
        <v>108.955</v>
      </c>
      <c r="BC880" s="1298" t="n">
        <v>111.637</v>
      </c>
      <c r="BD880" s="1277">
        <f>BE880</f>
        <v/>
      </c>
      <c r="BE880" s="1299" t="n">
        <v>13417.457</v>
      </c>
      <c r="BF880" s="1298" t="n">
        <v>13958.669</v>
      </c>
      <c r="BG880" s="1298" t="n">
        <v>14714.867</v>
      </c>
      <c r="BH880" s="1298" t="n">
        <v>14594.649</v>
      </c>
      <c r="BI880" s="1277">
        <f>BJ880</f>
        <v/>
      </c>
      <c r="BJ880" s="1299" t="n">
        <v>15199.842</v>
      </c>
      <c r="BK880" s="1298" t="n">
        <v>15485.3</v>
      </c>
      <c r="BL880" s="1298" t="n">
        <v>13831.497</v>
      </c>
      <c r="BM880" s="1298" t="n">
        <v>14502.121</v>
      </c>
      <c r="BN880" s="1277">
        <f>BO880</f>
        <v/>
      </c>
      <c r="BO880" s="1645" t="n">
        <v>15000</v>
      </c>
      <c r="BP880" s="1277">
        <f>BO880</f>
        <v/>
      </c>
      <c r="BQ880" s="1277">
        <f>BP880</f>
        <v/>
      </c>
      <c r="BR880" s="1277">
        <f>BQ880</f>
        <v/>
      </c>
      <c r="BS880" s="1277">
        <f>BR880</f>
        <v/>
      </c>
      <c r="BT880" s="1297">
        <f>BS880</f>
        <v/>
      </c>
      <c r="BU880" s="1277">
        <f>BT880</f>
        <v/>
      </c>
      <c r="BV880" s="1277">
        <f>BU880</f>
        <v/>
      </c>
      <c r="BW880" s="1277">
        <f>BV880</f>
        <v/>
      </c>
      <c r="BX880" s="1277">
        <f>BW880</f>
        <v/>
      </c>
      <c r="BY880" s="1297">
        <f>BX880</f>
        <v/>
      </c>
      <c r="BZ880" s="1297">
        <f>BY880</f>
        <v/>
      </c>
      <c r="CA880" s="1297">
        <f>BZ880</f>
        <v/>
      </c>
      <c r="CB880" s="1297">
        <f>CA880</f>
        <v/>
      </c>
      <c r="CC880" s="1280" t="n"/>
    </row>
    <row r="881" ht="14.4" customFormat="1" customHeight="1" s="1275">
      <c r="A881" s="1384" t="inlineStr">
        <is>
          <t>Held-to-maturity financial assets</t>
        </is>
      </c>
      <c r="B881" s="1387" t="n"/>
      <c r="C881" s="1299" t="n">
        <v>15553.242</v>
      </c>
      <c r="D881" s="1299" t="n">
        <v>8502.887000000001</v>
      </c>
      <c r="E881" s="1299" t="n">
        <v>5243.167</v>
      </c>
      <c r="F881" s="1299" t="n">
        <v>0</v>
      </c>
      <c r="G881" s="1299" t="n">
        <v>0</v>
      </c>
      <c r="H881" s="1277" t="n"/>
      <c r="I881" s="1298" t="n">
        <v>0</v>
      </c>
      <c r="J881" s="1298" t="n">
        <v>0</v>
      </c>
      <c r="K881" s="1277">
        <f>L881</f>
        <v/>
      </c>
      <c r="L881" s="1299" t="n">
        <v>0</v>
      </c>
      <c r="M881" s="1298" t="n">
        <v>0</v>
      </c>
      <c r="N881" s="1298" t="n">
        <v>0</v>
      </c>
      <c r="O881" s="1298" t="n">
        <v>2571.357</v>
      </c>
      <c r="P881" s="1277">
        <f>Q881</f>
        <v/>
      </c>
      <c r="Q881" s="1299" t="n">
        <v>6910.873</v>
      </c>
      <c r="R881" s="1298" t="n">
        <v>17525.301</v>
      </c>
      <c r="S881" s="1298" t="n">
        <v>27266.867</v>
      </c>
      <c r="T881" s="1298" t="n">
        <v>27430.893</v>
      </c>
      <c r="U881" s="1277">
        <f>V881</f>
        <v/>
      </c>
      <c r="V881" s="1299" t="n">
        <v>22307.561</v>
      </c>
      <c r="W881" s="1298" t="n">
        <v>20499.458</v>
      </c>
      <c r="X881" s="1298" t="n">
        <v>20529.204</v>
      </c>
      <c r="Y881" s="1298" t="n">
        <v>18899.177</v>
      </c>
      <c r="Z881" s="1277">
        <f>AA881</f>
        <v/>
      </c>
      <c r="AA881" s="1299" t="n">
        <v>18833.329</v>
      </c>
      <c r="AB881" s="1298" t="n">
        <v>6035.904</v>
      </c>
      <c r="AC881" s="1298" t="n">
        <v>0</v>
      </c>
      <c r="AD881" s="1277" t="n"/>
      <c r="AE881" s="1277">
        <f>AF881</f>
        <v/>
      </c>
      <c r="AF881" s="1297" t="n"/>
      <c r="AG881" s="1277" t="n"/>
      <c r="AH881" s="1277" t="n"/>
      <c r="AI881" s="1277" t="n"/>
      <c r="AJ881" s="1277" t="n"/>
      <c r="AK881" s="1297" t="n"/>
      <c r="AL881" s="1277" t="n"/>
      <c r="AM881" s="1277" t="n"/>
      <c r="AN881" s="1277" t="n"/>
      <c r="AO881" s="1277" t="n"/>
      <c r="AP881" s="1297" t="n"/>
      <c r="AQ881" s="1277" t="n"/>
      <c r="AR881" s="1277" t="n"/>
      <c r="AS881" s="1277" t="n"/>
      <c r="AT881" s="1277" t="n"/>
      <c r="AU881" s="1297" t="n"/>
      <c r="AV881" s="1277" t="n"/>
      <c r="AW881" s="1277" t="n"/>
      <c r="AX881" s="1277" t="n"/>
      <c r="AY881" s="1277" t="n"/>
      <c r="AZ881" s="1297" t="n"/>
      <c r="BA881" s="1277" t="n"/>
      <c r="BB881" s="1277" t="n"/>
      <c r="BC881" s="1277" t="n"/>
      <c r="BD881" s="1277" t="n"/>
      <c r="BE881" s="1297" t="n"/>
      <c r="BF881" s="1277" t="n"/>
      <c r="BG881" s="1277" t="n"/>
      <c r="BH881" s="1277" t="n"/>
      <c r="BI881" s="1277" t="n"/>
      <c r="BJ881" s="1297" t="n"/>
      <c r="BK881" s="1277" t="n"/>
      <c r="BL881" s="1277" t="n"/>
      <c r="BM881" s="1277" t="n"/>
      <c r="BN881" s="1277" t="n"/>
      <c r="BO881" s="1382" t="n"/>
      <c r="BP881" s="1277">
        <f>BO881</f>
        <v/>
      </c>
      <c r="BQ881" s="1277">
        <f>BP881</f>
        <v/>
      </c>
      <c r="BR881" s="1277">
        <f>BQ881</f>
        <v/>
      </c>
      <c r="BS881" s="1277">
        <f>BR881</f>
        <v/>
      </c>
      <c r="BT881" s="1297">
        <f>BS881</f>
        <v/>
      </c>
      <c r="BU881" s="1277">
        <f>BT881</f>
        <v/>
      </c>
      <c r="BV881" s="1277">
        <f>BU881</f>
        <v/>
      </c>
      <c r="BW881" s="1277">
        <f>BV881</f>
        <v/>
      </c>
      <c r="BX881" s="1277">
        <f>BW881</f>
        <v/>
      </c>
      <c r="BY881" s="1297">
        <f>BX881</f>
        <v/>
      </c>
      <c r="BZ881" s="1297">
        <f>BY881</f>
        <v/>
      </c>
      <c r="CA881" s="1297">
        <f>BZ881</f>
        <v/>
      </c>
      <c r="CB881" s="1297">
        <f>CA881</f>
        <v/>
      </c>
      <c r="CC881" s="1280" t="n"/>
    </row>
    <row r="882" ht="14.4" customFormat="1" customHeight="1" s="1275">
      <c r="A882" s="1384" t="inlineStr">
        <is>
          <t>Available-for-sale financial assets</t>
        </is>
      </c>
      <c r="B882" s="1387" t="n"/>
      <c r="C882" s="1299" t="n">
        <v>1358.049</v>
      </c>
      <c r="D882" s="1299" t="n">
        <v>1033.049</v>
      </c>
      <c r="E882" s="1299" t="n">
        <v>0</v>
      </c>
      <c r="F882" s="1299" t="n">
        <v>38751.245</v>
      </c>
      <c r="G882" s="1299" t="n">
        <v>58721.959</v>
      </c>
      <c r="H882" s="1298" t="n">
        <v>59284.283</v>
      </c>
      <c r="I882" s="1277" t="n"/>
      <c r="J882" s="1277" t="n"/>
      <c r="K882" s="1277">
        <f>L882</f>
        <v/>
      </c>
      <c r="L882" s="1297" t="n"/>
      <c r="M882" s="1277" t="n"/>
      <c r="N882" s="1277" t="n"/>
      <c r="O882" s="1277" t="n"/>
      <c r="P882" s="1277">
        <f>Q882</f>
        <v/>
      </c>
      <c r="Q882" s="1297" t="n"/>
      <c r="R882" s="1277" t="n"/>
      <c r="S882" s="1277" t="n"/>
      <c r="T882" s="1277" t="n"/>
      <c r="U882" s="1277">
        <f>V882</f>
        <v/>
      </c>
      <c r="V882" s="1297" t="n"/>
      <c r="W882" s="1277" t="n"/>
      <c r="X882" s="1277" t="n"/>
      <c r="Y882" s="1277" t="n"/>
      <c r="Z882" s="1277">
        <f>AA882</f>
        <v/>
      </c>
      <c r="AA882" s="1297" t="n"/>
      <c r="AB882" s="1277" t="n"/>
      <c r="AC882" s="1277" t="n"/>
      <c r="AD882" s="1277" t="n"/>
      <c r="AE882" s="1277">
        <f>AF882</f>
        <v/>
      </c>
      <c r="AF882" s="1297" t="n"/>
      <c r="AG882" s="1277" t="n"/>
      <c r="AH882" s="1277" t="n"/>
      <c r="AI882" s="1277" t="n"/>
      <c r="AJ882" s="1277" t="n"/>
      <c r="AK882" s="1297" t="n"/>
      <c r="AL882" s="1277" t="n"/>
      <c r="AM882" s="1277" t="n"/>
      <c r="AN882" s="1277" t="n"/>
      <c r="AO882" s="1277" t="n"/>
      <c r="AP882" s="1297" t="n"/>
      <c r="AQ882" s="1277" t="n"/>
      <c r="AR882" s="1277" t="n"/>
      <c r="AS882" s="1277" t="n"/>
      <c r="AT882" s="1277" t="n"/>
      <c r="AU882" s="1297" t="n"/>
      <c r="AV882" s="1277" t="n"/>
      <c r="AW882" s="1277" t="n"/>
      <c r="AX882" s="1277" t="n"/>
      <c r="AY882" s="1277" t="n"/>
      <c r="AZ882" s="1297" t="n"/>
      <c r="BA882" s="1277" t="n"/>
      <c r="BB882" s="1277" t="n"/>
      <c r="BC882" s="1277" t="n"/>
      <c r="BD882" s="1277" t="n"/>
      <c r="BE882" s="1297" t="n"/>
      <c r="BF882" s="1277" t="n"/>
      <c r="BG882" s="1277" t="n"/>
      <c r="BH882" s="1277" t="n"/>
      <c r="BI882" s="1277" t="n"/>
      <c r="BJ882" s="1297" t="n"/>
      <c r="BK882" s="1277" t="n"/>
      <c r="BL882" s="1277" t="n"/>
      <c r="BM882" s="1277" t="n"/>
      <c r="BN882" s="1277" t="n"/>
      <c r="BO882" s="1382" t="n"/>
      <c r="BP882" s="1277">
        <f>BO882</f>
        <v/>
      </c>
      <c r="BQ882" s="1277">
        <f>BP882</f>
        <v/>
      </c>
      <c r="BR882" s="1277">
        <f>BQ882</f>
        <v/>
      </c>
      <c r="BS882" s="1277">
        <f>BR882</f>
        <v/>
      </c>
      <c r="BT882" s="1297">
        <f>BS882</f>
        <v/>
      </c>
      <c r="BU882" s="1277">
        <f>BT882</f>
        <v/>
      </c>
      <c r="BV882" s="1277">
        <f>BU882</f>
        <v/>
      </c>
      <c r="BW882" s="1277">
        <f>BV882</f>
        <v/>
      </c>
      <c r="BX882" s="1277">
        <f>BW882</f>
        <v/>
      </c>
      <c r="BY882" s="1297">
        <f>BX882</f>
        <v/>
      </c>
      <c r="BZ882" s="1297">
        <f>BY882</f>
        <v/>
      </c>
      <c r="CA882" s="1297">
        <f>BZ882</f>
        <v/>
      </c>
      <c r="CB882" s="1297">
        <f>CA882</f>
        <v/>
      </c>
      <c r="CC882" s="1280" t="n"/>
    </row>
    <row r="883" ht="14.4" customFormat="1" customHeight="1" s="1275">
      <c r="A883" s="1384" t="inlineStr">
        <is>
          <t>Financial assets carried at cost</t>
        </is>
      </c>
      <c r="B883" s="1387" t="n"/>
      <c r="C883" s="1299" t="n">
        <v>3063.004</v>
      </c>
      <c r="D883" s="1299" t="n">
        <v>4424.207</v>
      </c>
      <c r="E883" s="1299" t="n">
        <v>4315.005</v>
      </c>
      <c r="F883" s="1299" t="n">
        <v>3605.077</v>
      </c>
      <c r="G883" s="1299" t="n">
        <v>2145.591</v>
      </c>
      <c r="H883" s="1298" t="n">
        <v>2055.075</v>
      </c>
      <c r="I883" s="1298" t="n">
        <v>2017.528</v>
      </c>
      <c r="J883" s="1298" t="n">
        <v>1866.008</v>
      </c>
      <c r="K883" s="1277">
        <f>L883</f>
        <v/>
      </c>
      <c r="L883" s="1299" t="n">
        <v>1800.542</v>
      </c>
      <c r="M883" s="1298" t="n">
        <v>1817.677</v>
      </c>
      <c r="N883" s="1298" t="n">
        <v>1858.376</v>
      </c>
      <c r="O883" s="1298" t="n">
        <v>1507.749</v>
      </c>
      <c r="P883" s="1277">
        <f>Q883</f>
        <v/>
      </c>
      <c r="Q883" s="1299" t="n">
        <v>3990.882</v>
      </c>
      <c r="R883" s="1298" t="n">
        <v>4093.568</v>
      </c>
      <c r="S883" s="1298" t="n">
        <v>4066.621</v>
      </c>
      <c r="T883" s="1298" t="n">
        <v>3788.041</v>
      </c>
      <c r="U883" s="1277">
        <f>V883</f>
        <v/>
      </c>
      <c r="V883" s="1299" t="n">
        <v>4102.467</v>
      </c>
      <c r="W883" s="1298" t="n">
        <v>4079.292</v>
      </c>
      <c r="X883" s="1298" t="n">
        <v>4313.269</v>
      </c>
      <c r="Y883" s="1298" t="n">
        <v>4986.046</v>
      </c>
      <c r="Z883" s="1277">
        <f>AA883</f>
        <v/>
      </c>
      <c r="AA883" s="1299" t="n">
        <v>4874.257</v>
      </c>
      <c r="AB883" s="1277" t="n"/>
      <c r="AC883" s="1277" t="n"/>
      <c r="AD883" s="1277" t="n"/>
      <c r="AE883" s="1277">
        <f>AF883</f>
        <v/>
      </c>
      <c r="AF883" s="1297" t="n"/>
      <c r="AG883" s="1277" t="n"/>
      <c r="AH883" s="1277" t="n"/>
      <c r="AI883" s="1277" t="n"/>
      <c r="AJ883" s="1277" t="n"/>
      <c r="AK883" s="1297" t="n"/>
      <c r="AL883" s="1277" t="n"/>
      <c r="AM883" s="1277" t="n"/>
      <c r="AN883" s="1277" t="n"/>
      <c r="AO883" s="1277" t="n"/>
      <c r="AP883" s="1297" t="n"/>
      <c r="AQ883" s="1277" t="n"/>
      <c r="AR883" s="1277" t="n"/>
      <c r="AS883" s="1277" t="n"/>
      <c r="AT883" s="1277" t="n"/>
      <c r="AU883" s="1297" t="n"/>
      <c r="AV883" s="1277" t="n"/>
      <c r="AW883" s="1277" t="n"/>
      <c r="AX883" s="1277" t="n"/>
      <c r="AY883" s="1277" t="n"/>
      <c r="AZ883" s="1297" t="n"/>
      <c r="BA883" s="1277" t="n"/>
      <c r="BB883" s="1277" t="n"/>
      <c r="BC883" s="1277" t="n"/>
      <c r="BD883" s="1277" t="n"/>
      <c r="BE883" s="1297" t="n"/>
      <c r="BF883" s="1277" t="n"/>
      <c r="BG883" s="1277" t="n"/>
      <c r="BH883" s="1277" t="n"/>
      <c r="BI883" s="1277" t="n"/>
      <c r="BJ883" s="1297" t="n"/>
      <c r="BK883" s="1277" t="n"/>
      <c r="BL883" s="1277" t="n"/>
      <c r="BM883" s="1277" t="n"/>
      <c r="BN883" s="1277" t="n"/>
      <c r="BO883" s="1382" t="n"/>
      <c r="BP883" s="1277">
        <f>BO883</f>
        <v/>
      </c>
      <c r="BQ883" s="1277">
        <f>BP883</f>
        <v/>
      </c>
      <c r="BR883" s="1277">
        <f>BQ883</f>
        <v/>
      </c>
      <c r="BS883" s="1277">
        <f>BR883</f>
        <v/>
      </c>
      <c r="BT883" s="1297">
        <f>BS883</f>
        <v/>
      </c>
      <c r="BU883" s="1277">
        <f>BT883</f>
        <v/>
      </c>
      <c r="BV883" s="1277">
        <f>BU883</f>
        <v/>
      </c>
      <c r="BW883" s="1277">
        <f>BV883</f>
        <v/>
      </c>
      <c r="BX883" s="1277">
        <f>BW883</f>
        <v/>
      </c>
      <c r="BY883" s="1297">
        <f>BX883</f>
        <v/>
      </c>
      <c r="BZ883" s="1297">
        <f>BY883</f>
        <v/>
      </c>
      <c r="CA883" s="1297">
        <f>BZ883</f>
        <v/>
      </c>
      <c r="CB883" s="1297">
        <f>CA883</f>
        <v/>
      </c>
      <c r="CC883" s="1280" t="n"/>
    </row>
    <row r="884" ht="14.4" customFormat="1" customHeight="1" s="1275">
      <c r="A884" s="1384" t="inlineStr">
        <is>
          <t>Financial assets carried at amortized cost</t>
        </is>
      </c>
      <c r="B884" s="1387" t="n"/>
      <c r="C884" s="1297" t="n"/>
      <c r="D884" s="1297" t="n"/>
      <c r="E884" s="1297" t="n"/>
      <c r="F884" s="1297" t="n"/>
      <c r="G884" s="1297" t="n"/>
      <c r="H884" s="1277" t="n"/>
      <c r="I884" s="1277" t="n"/>
      <c r="J884" s="1277" t="n"/>
      <c r="K884" s="1277" t="n"/>
      <c r="L884" s="1297" t="n"/>
      <c r="M884" s="1277" t="n"/>
      <c r="N884" s="1277" t="n"/>
      <c r="O884" s="1277" t="n"/>
      <c r="P884" s="1277" t="n"/>
      <c r="Q884" s="1297" t="n"/>
      <c r="R884" s="1277" t="n"/>
      <c r="S884" s="1277" t="n"/>
      <c r="T884" s="1277" t="n"/>
      <c r="U884" s="1277" t="n"/>
      <c r="V884" s="1297" t="n"/>
      <c r="W884" s="1277" t="n"/>
      <c r="X884" s="1277" t="n"/>
      <c r="Y884" s="1277" t="n"/>
      <c r="Z884" s="1277" t="n"/>
      <c r="AA884" s="1297" t="n"/>
      <c r="AB884" s="1298" t="n">
        <v>10033.241</v>
      </c>
      <c r="AC884" s="1298" t="n">
        <v>7476.874</v>
      </c>
      <c r="AD884" s="1298" t="n">
        <v>7470.742</v>
      </c>
      <c r="AE884" s="1277">
        <f>AF884</f>
        <v/>
      </c>
      <c r="AF884" s="1299" t="n">
        <v>7528.277</v>
      </c>
      <c r="AG884" s="1298" t="n">
        <v>7864.421</v>
      </c>
      <c r="AH884" s="1298" t="n">
        <v>7921.781</v>
      </c>
      <c r="AI884" s="1298" t="n">
        <v>7914.087</v>
      </c>
      <c r="AJ884" s="1277">
        <f>AK884</f>
        <v/>
      </c>
      <c r="AK884" s="1299" t="n">
        <v>7348.914</v>
      </c>
      <c r="AL884" s="1298" t="n">
        <v>7410.133</v>
      </c>
      <c r="AM884" s="1298" t="n">
        <v>1640.558</v>
      </c>
      <c r="AN884" s="1298" t="n">
        <v>4508.201</v>
      </c>
      <c r="AO884" s="1277">
        <f>AP884</f>
        <v/>
      </c>
      <c r="AP884" s="1299" t="n">
        <v>4372.207</v>
      </c>
      <c r="AQ884" s="1298" t="n">
        <v>4434.41</v>
      </c>
      <c r="AR884" s="1298" t="n">
        <v>4336.636</v>
      </c>
      <c r="AS884" s="1298" t="n">
        <v>1545.597</v>
      </c>
      <c r="AT884" s="1277">
        <f>AU884</f>
        <v/>
      </c>
      <c r="AU884" s="1299" t="n">
        <v>1533.391</v>
      </c>
      <c r="AV884" s="1298" t="n">
        <v>15605.898</v>
      </c>
      <c r="AW884" s="1298" t="n">
        <v>34139.722</v>
      </c>
      <c r="AX884" s="1298" t="n">
        <v>42347.584</v>
      </c>
      <c r="AY884" s="1277">
        <f>AZ884</f>
        <v/>
      </c>
      <c r="AZ884" s="1299" t="n">
        <v>35127.215</v>
      </c>
      <c r="BA884" s="1298" t="n">
        <v>34512.468</v>
      </c>
      <c r="BB884" s="1298" t="n">
        <v>60139.036</v>
      </c>
      <c r="BC884" s="1298" t="n">
        <v>79379.651</v>
      </c>
      <c r="BD884" s="1277">
        <f>BE884</f>
        <v/>
      </c>
      <c r="BE884" s="1299" t="n">
        <v>79199.367</v>
      </c>
      <c r="BF884" s="1298" t="n">
        <v>85913.236</v>
      </c>
      <c r="BG884" s="1298" t="n">
        <v>88680.79399999999</v>
      </c>
      <c r="BH884" s="1298" t="n">
        <v>74266.804</v>
      </c>
      <c r="BI884" s="1277">
        <f>BJ884</f>
        <v/>
      </c>
      <c r="BJ884" s="1299" t="n">
        <v>88596.542</v>
      </c>
      <c r="BK884" s="1298" t="n">
        <v>98203.67600000001</v>
      </c>
      <c r="BL884" s="1298" t="n">
        <v>81827.49099999999</v>
      </c>
      <c r="BM884" s="1298" t="n">
        <v>90093.16499999999</v>
      </c>
      <c r="BN884" s="1277">
        <f>BO884</f>
        <v/>
      </c>
      <c r="BO884" s="1645" t="n">
        <v>90000</v>
      </c>
      <c r="BP884" s="1277">
        <f>BO884</f>
        <v/>
      </c>
      <c r="BQ884" s="1277">
        <f>BP884</f>
        <v/>
      </c>
      <c r="BR884" s="1277">
        <f>BQ884</f>
        <v/>
      </c>
      <c r="BS884" s="1277">
        <f>BR884</f>
        <v/>
      </c>
      <c r="BT884" s="1297">
        <f>BS884</f>
        <v/>
      </c>
      <c r="BU884" s="1277">
        <f>BT884</f>
        <v/>
      </c>
      <c r="BV884" s="1277">
        <f>BU884</f>
        <v/>
      </c>
      <c r="BW884" s="1277">
        <f>BV884</f>
        <v/>
      </c>
      <c r="BX884" s="1277">
        <f>BW884</f>
        <v/>
      </c>
      <c r="BY884" s="1297">
        <f>BX884</f>
        <v/>
      </c>
      <c r="BZ884" s="1297">
        <f>BY884</f>
        <v/>
      </c>
      <c r="CA884" s="1297">
        <f>BZ884</f>
        <v/>
      </c>
      <c r="CB884" s="1297">
        <f>CA884</f>
        <v/>
      </c>
      <c r="CC884" s="1280" t="n"/>
    </row>
    <row r="885" ht="14.4" customFormat="1" customHeight="1" s="1275">
      <c r="A885" s="1384" t="inlineStr">
        <is>
          <t>Investments accounted for using equity method</t>
        </is>
      </c>
      <c r="B885" s="1387" t="n"/>
      <c r="C885" s="1299" t="n">
        <v>17871.208</v>
      </c>
      <c r="D885" s="1299" t="n">
        <v>25815.385</v>
      </c>
      <c r="E885" s="1299" t="n">
        <v>24900.332</v>
      </c>
      <c r="F885" s="1299" t="n">
        <v>23360.918</v>
      </c>
      <c r="G885" s="1299" t="n">
        <v>28316.26</v>
      </c>
      <c r="H885" s="1298" t="n">
        <v>29512.938</v>
      </c>
      <c r="I885" s="1298" t="n">
        <v>26361.22</v>
      </c>
      <c r="J885" s="1298" t="n">
        <v>26985.165</v>
      </c>
      <c r="K885" s="1277">
        <f>L885</f>
        <v/>
      </c>
      <c r="L885" s="1299" t="n">
        <v>28255.737</v>
      </c>
      <c r="M885" s="1298" t="n">
        <v>30363.144</v>
      </c>
      <c r="N885" s="1298" t="n">
        <v>25915.208</v>
      </c>
      <c r="O885" s="1298" t="n">
        <v>26935.985</v>
      </c>
      <c r="P885" s="1277">
        <f>Q885</f>
        <v/>
      </c>
      <c r="Q885" s="1299" t="n">
        <v>24091.828</v>
      </c>
      <c r="R885" s="1298" t="n">
        <v>24715.683</v>
      </c>
      <c r="S885" s="1298" t="n">
        <v>22064.632</v>
      </c>
      <c r="T885" s="1298" t="n">
        <v>18691.554</v>
      </c>
      <c r="U885" s="1277">
        <f>V885</f>
        <v/>
      </c>
      <c r="V885" s="1299" t="n">
        <v>19743.888</v>
      </c>
      <c r="W885" s="1298" t="n">
        <v>19940.062</v>
      </c>
      <c r="X885" s="1298" t="n">
        <v>18976.025</v>
      </c>
      <c r="Y885" s="1298" t="n">
        <v>17018.5</v>
      </c>
      <c r="Z885" s="1277">
        <f>AA885</f>
        <v/>
      </c>
      <c r="AA885" s="1299" t="n">
        <v>17861.488</v>
      </c>
      <c r="AB885" s="1298" t="n">
        <v>18307.517</v>
      </c>
      <c r="AC885" s="1298" t="n">
        <v>15663.648</v>
      </c>
      <c r="AD885" s="1298" t="n">
        <v>16630.67</v>
      </c>
      <c r="AE885" s="1277">
        <f>AF885</f>
        <v/>
      </c>
      <c r="AF885" s="1299" t="n">
        <v>17865.838</v>
      </c>
      <c r="AG885" s="1298" t="n">
        <v>18336.458</v>
      </c>
      <c r="AH885" s="1298" t="n">
        <v>17352.733</v>
      </c>
      <c r="AI885" s="1298" t="n">
        <v>18193.969</v>
      </c>
      <c r="AJ885" s="1277">
        <f>AK885</f>
        <v/>
      </c>
      <c r="AK885" s="1299" t="n">
        <v>18698.788</v>
      </c>
      <c r="AL885" s="1298" t="n">
        <v>19381.76</v>
      </c>
      <c r="AM885" s="1298" t="n">
        <v>16975.748</v>
      </c>
      <c r="AN885" s="1298" t="n">
        <v>17701.081</v>
      </c>
      <c r="AO885" s="1277">
        <f>AP885</f>
        <v/>
      </c>
      <c r="AP885" s="1299" t="n">
        <v>18841.061</v>
      </c>
      <c r="AQ885" s="1298" t="n">
        <v>20294.816</v>
      </c>
      <c r="AR885" s="1298" t="n">
        <v>19336.878</v>
      </c>
      <c r="AS885" s="1298" t="n">
        <v>20455.175</v>
      </c>
      <c r="AT885" s="1277">
        <f>AU885</f>
        <v/>
      </c>
      <c r="AU885" s="1299" t="n">
        <v>21963.418</v>
      </c>
      <c r="AV885" s="1298" t="n">
        <v>24119.008</v>
      </c>
      <c r="AW885" s="1298" t="n">
        <v>23797.518</v>
      </c>
      <c r="AX885" s="1298" t="n">
        <v>26663.336</v>
      </c>
      <c r="AY885" s="1277">
        <f>AZ885</f>
        <v/>
      </c>
      <c r="AZ885" s="1299" t="n">
        <v>27641.505</v>
      </c>
      <c r="BA885" s="1298" t="n">
        <v>28483.064</v>
      </c>
      <c r="BB885" s="1298" t="n">
        <v>26845.396</v>
      </c>
      <c r="BC885" s="1298" t="n">
        <v>28921.558</v>
      </c>
      <c r="BD885" s="1277">
        <f>BE885</f>
        <v/>
      </c>
      <c r="BE885" s="1299" t="n">
        <v>29616.638</v>
      </c>
      <c r="BF885" s="1298" t="n">
        <v>31168.264</v>
      </c>
      <c r="BG885" s="1298" t="n">
        <v>29600.356</v>
      </c>
      <c r="BH885" s="1298" t="n">
        <v>30967.916</v>
      </c>
      <c r="BI885" s="1277">
        <f>BJ885</f>
        <v/>
      </c>
      <c r="BJ885" s="1299" t="n">
        <v>37421.105</v>
      </c>
      <c r="BK885" s="1298" t="n">
        <v>38766.658</v>
      </c>
      <c r="BL885" s="1298" t="n">
        <v>34162.043</v>
      </c>
      <c r="BM885" s="1298" t="n">
        <v>36016.415</v>
      </c>
      <c r="BN885" s="1277">
        <f>BO885</f>
        <v/>
      </c>
      <c r="BO885" s="1382">
        <f>172370-BO884-BO880-BO879</f>
        <v/>
      </c>
      <c r="BP885" s="1277">
        <f>BO885</f>
        <v/>
      </c>
      <c r="BQ885" s="1277">
        <f>BP885</f>
        <v/>
      </c>
      <c r="BR885" s="1277">
        <f>BQ885</f>
        <v/>
      </c>
      <c r="BS885" s="1277">
        <f>BR885</f>
        <v/>
      </c>
      <c r="BT885" s="1297">
        <f>BS885</f>
        <v/>
      </c>
      <c r="BU885" s="1277">
        <f>BT885</f>
        <v/>
      </c>
      <c r="BV885" s="1277">
        <f>BU885</f>
        <v/>
      </c>
      <c r="BW885" s="1277">
        <f>BV885</f>
        <v/>
      </c>
      <c r="BX885" s="1277">
        <f>BW885</f>
        <v/>
      </c>
      <c r="BY885" s="1297">
        <f>BX885</f>
        <v/>
      </c>
      <c r="BZ885" s="1297">
        <f>BY885</f>
        <v/>
      </c>
      <c r="CA885" s="1297">
        <f>BZ885</f>
        <v/>
      </c>
      <c r="CB885" s="1297">
        <f>CA885</f>
        <v/>
      </c>
      <c r="CC885" s="1280" t="n"/>
    </row>
    <row r="886" hidden="1" outlineLevel="1" ht="14.4" customFormat="1" customHeight="1" s="1275">
      <c r="A886" s="1425" t="inlineStr">
        <is>
          <t>Land and land improvements at cost</t>
        </is>
      </c>
      <c r="B886" s="1387" t="n"/>
      <c r="C886" s="1299" t="n">
        <v>934.09</v>
      </c>
      <c r="D886" s="1299" t="n">
        <v>891.197</v>
      </c>
      <c r="E886" s="1299" t="n">
        <v>1541.128</v>
      </c>
      <c r="F886" s="1299" t="n">
        <v>1527.124</v>
      </c>
      <c r="G886" s="1299" t="n">
        <v>3986.909</v>
      </c>
      <c r="H886" s="1298" t="n">
        <v>4004.67</v>
      </c>
      <c r="I886" s="1298" t="n">
        <v>3988.366</v>
      </c>
      <c r="J886" s="1298" t="n">
        <v>4004.332</v>
      </c>
      <c r="K886" s="1277">
        <f>L886</f>
        <v/>
      </c>
      <c r="L886" s="1299" t="n">
        <v>4036.785</v>
      </c>
      <c r="M886" s="1298" t="n">
        <v>4028.541</v>
      </c>
      <c r="N886" s="1298" t="n">
        <v>4019.936</v>
      </c>
      <c r="O886" s="1298" t="n">
        <v>4067.677</v>
      </c>
      <c r="P886" s="1277">
        <f>Q886</f>
        <v/>
      </c>
      <c r="Q886" s="1299" t="n">
        <v>4067.391</v>
      </c>
      <c r="R886" s="1298" t="n">
        <v>4048.798</v>
      </c>
      <c r="S886" s="1298" t="n">
        <v>4051.477</v>
      </c>
      <c r="T886" s="1298" t="n">
        <v>4027.839</v>
      </c>
      <c r="U886" s="1277">
        <f>V886</f>
        <v/>
      </c>
      <c r="V886" s="1299" t="n">
        <v>4049.292</v>
      </c>
      <c r="W886" s="1298" t="n">
        <v>4001.732</v>
      </c>
      <c r="X886" s="1298" t="n">
        <v>4002.875</v>
      </c>
      <c r="Y886" s="1298" t="n">
        <v>3998.325</v>
      </c>
      <c r="Z886" s="1277">
        <f>AA886</f>
        <v/>
      </c>
      <c r="AA886" s="1299" t="n">
        <v>3983.243</v>
      </c>
      <c r="AB886" s="1298" t="n">
        <v>3968.525</v>
      </c>
      <c r="AC886" s="1298" t="n">
        <v>4005.892</v>
      </c>
      <c r="AD886" s="1298" t="n">
        <v>4005.242</v>
      </c>
      <c r="AE886" s="1277">
        <f>AF886</f>
        <v/>
      </c>
      <c r="AF886" s="1299" t="n">
        <v>4011.353</v>
      </c>
      <c r="AG886" s="1298" t="n">
        <v>4013.693</v>
      </c>
      <c r="AH886" s="1298" t="n">
        <v>4019.57</v>
      </c>
      <c r="AI886" s="1298" t="n">
        <v>4018.816</v>
      </c>
      <c r="AJ886" s="1277">
        <f>AK886</f>
        <v/>
      </c>
      <c r="AK886" s="1299" t="n">
        <v>3991.798</v>
      </c>
      <c r="AL886" s="1298" t="n">
        <v>3998.325</v>
      </c>
      <c r="AM886" s="1298" t="n">
        <v>3977.262</v>
      </c>
      <c r="AN886" s="1298" t="n">
        <v>3965.066</v>
      </c>
      <c r="AO886" s="1277">
        <f>AP886</f>
        <v/>
      </c>
      <c r="AP886" s="1299" t="n">
        <v>3942.625</v>
      </c>
      <c r="AQ886" s="1277" t="n"/>
      <c r="AR886" s="1277" t="n"/>
      <c r="AS886" s="1277" t="n"/>
      <c r="AT886" s="1277">
        <f>AU886</f>
        <v/>
      </c>
      <c r="AU886" s="1297" t="n"/>
      <c r="AV886" s="1277" t="n"/>
      <c r="AW886" s="1277" t="n"/>
      <c r="AX886" s="1277" t="n"/>
      <c r="AY886" s="1277">
        <f>AZ886</f>
        <v/>
      </c>
      <c r="AZ886" s="1297" t="n"/>
      <c r="BA886" s="1277" t="n"/>
      <c r="BB886" s="1277" t="n"/>
      <c r="BC886" s="1277" t="n"/>
      <c r="BD886" s="1277">
        <f>BE886</f>
        <v/>
      </c>
      <c r="BE886" s="1297" t="n"/>
      <c r="BF886" s="1277" t="n"/>
      <c r="BG886" s="1277" t="n"/>
      <c r="BH886" s="1277" t="n"/>
      <c r="BI886" s="1277">
        <f>BJ886</f>
        <v/>
      </c>
      <c r="BJ886" s="1297" t="n"/>
      <c r="BK886" s="1277" t="n"/>
      <c r="BL886" s="1277" t="n"/>
      <c r="BM886" s="1277" t="n"/>
      <c r="BN886" s="1277">
        <f>BO886</f>
        <v/>
      </c>
      <c r="BO886" s="1382" t="n"/>
      <c r="BP886" s="1277" t="n"/>
      <c r="BQ886" s="1277" t="n"/>
      <c r="BR886" s="1277" t="n"/>
      <c r="BS886" s="1277" t="n"/>
      <c r="BT886" s="1297" t="n"/>
      <c r="BU886" s="1277" t="n"/>
      <c r="BV886" s="1277" t="n"/>
      <c r="BW886" s="1277" t="n"/>
      <c r="BX886" s="1277" t="n"/>
      <c r="BY886" s="1297" t="n"/>
      <c r="BZ886" s="1297" t="n"/>
      <c r="CA886" s="1297" t="n"/>
      <c r="CB886" s="1297" t="n"/>
      <c r="CC886" s="1280" t="n"/>
    </row>
    <row r="887" hidden="1" outlineLevel="1" ht="14.4" customFormat="1" customHeight="1" s="1275">
      <c r="A887" s="1425" t="inlineStr">
        <is>
          <t>Buildings at cost</t>
        </is>
      </c>
      <c r="B887" s="1387" t="n"/>
      <c r="C887" s="1299" t="n">
        <v>142294.558</v>
      </c>
      <c r="D887" s="1299" t="n">
        <v>145966.024</v>
      </c>
      <c r="E887" s="1299" t="n">
        <v>172872.55</v>
      </c>
      <c r="F887" s="1299" t="n">
        <v>197411.851</v>
      </c>
      <c r="G887" s="1299" t="n">
        <v>229182.736</v>
      </c>
      <c r="H887" s="1298" t="n">
        <v>231900.718</v>
      </c>
      <c r="I887" s="1298" t="n">
        <v>250948.656</v>
      </c>
      <c r="J887" s="1298" t="n">
        <v>266512.734</v>
      </c>
      <c r="K887" s="1277">
        <f>L887</f>
        <v/>
      </c>
      <c r="L887" s="1299" t="n">
        <v>269163.85</v>
      </c>
      <c r="M887" s="1298" t="n">
        <v>272507.799</v>
      </c>
      <c r="N887" s="1298" t="n">
        <v>273671.66</v>
      </c>
      <c r="O887" s="1298" t="n">
        <v>293779.378</v>
      </c>
      <c r="P887" s="1277">
        <f>Q887</f>
        <v/>
      </c>
      <c r="Q887" s="1299" t="n">
        <v>296801.864</v>
      </c>
      <c r="R887" s="1298" t="n">
        <v>298808.216</v>
      </c>
      <c r="S887" s="1298" t="n">
        <v>301568.405</v>
      </c>
      <c r="T887" s="1298" t="n">
        <v>302234.603</v>
      </c>
      <c r="U887" s="1277">
        <f>V887</f>
        <v/>
      </c>
      <c r="V887" s="1299" t="n">
        <v>304404.474</v>
      </c>
      <c r="W887" s="1298" t="n">
        <v>326105.752</v>
      </c>
      <c r="X887" s="1298" t="n">
        <v>368311.483</v>
      </c>
      <c r="Y887" s="1298" t="n">
        <v>374979.482</v>
      </c>
      <c r="Z887" s="1277">
        <f>AA887</f>
        <v/>
      </c>
      <c r="AA887" s="1299" t="n">
        <v>379134.613</v>
      </c>
      <c r="AB887" s="1298" t="n">
        <v>397550.672</v>
      </c>
      <c r="AC887" s="1298" t="n">
        <v>401520.062</v>
      </c>
      <c r="AD887" s="1298" t="n">
        <v>404878.582</v>
      </c>
      <c r="AE887" s="1277">
        <f>AF887</f>
        <v/>
      </c>
      <c r="AF887" s="1299" t="n">
        <v>418714.285</v>
      </c>
      <c r="AG887" s="1298" t="n">
        <v>430285.197</v>
      </c>
      <c r="AH887" s="1298" t="n">
        <v>432722.715</v>
      </c>
      <c r="AI887" s="1298" t="n">
        <v>434949.075</v>
      </c>
      <c r="AJ887" s="1277">
        <f>AK887</f>
        <v/>
      </c>
      <c r="AK887" s="1299" t="n">
        <v>438075.063</v>
      </c>
      <c r="AL887" s="1298" t="n">
        <v>443361.718</v>
      </c>
      <c r="AM887" s="1298" t="n">
        <v>503794.539</v>
      </c>
      <c r="AN887" s="1298" t="n">
        <v>515322.896</v>
      </c>
      <c r="AO887" s="1277">
        <f>AP887</f>
        <v/>
      </c>
      <c r="AP887" s="1299" t="n">
        <v>522447.474</v>
      </c>
      <c r="AQ887" s="1277" t="n"/>
      <c r="AR887" s="1277" t="n"/>
      <c r="AS887" s="1277" t="n"/>
      <c r="AT887" s="1277">
        <f>AU887</f>
        <v/>
      </c>
      <c r="AU887" s="1297" t="n"/>
      <c r="AV887" s="1277" t="n"/>
      <c r="AW887" s="1277" t="n"/>
      <c r="AX887" s="1277" t="n"/>
      <c r="AY887" s="1277">
        <f>AZ887</f>
        <v/>
      </c>
      <c r="AZ887" s="1297" t="n"/>
      <c r="BA887" s="1277" t="n"/>
      <c r="BB887" s="1277" t="n"/>
      <c r="BC887" s="1277" t="n"/>
      <c r="BD887" s="1277">
        <f>BE887</f>
        <v/>
      </c>
      <c r="BE887" s="1297" t="n"/>
      <c r="BF887" s="1277" t="n"/>
      <c r="BG887" s="1277" t="n"/>
      <c r="BH887" s="1277" t="n"/>
      <c r="BI887" s="1277">
        <f>BJ887</f>
        <v/>
      </c>
      <c r="BJ887" s="1297" t="n"/>
      <c r="BK887" s="1277" t="n"/>
      <c r="BL887" s="1277" t="n"/>
      <c r="BM887" s="1277" t="n"/>
      <c r="BN887" s="1277">
        <f>BO887</f>
        <v/>
      </c>
      <c r="BO887" s="1382" t="n"/>
      <c r="BP887" s="1277" t="n"/>
      <c r="BQ887" s="1277" t="n"/>
      <c r="BR887" s="1277" t="n"/>
      <c r="BS887" s="1277" t="n"/>
      <c r="BT887" s="1297" t="n"/>
      <c r="BU887" s="1277" t="n"/>
      <c r="BV887" s="1277" t="n"/>
      <c r="BW887" s="1277" t="n"/>
      <c r="BX887" s="1277" t="n"/>
      <c r="BY887" s="1297" t="n"/>
      <c r="BZ887" s="1297" t="n"/>
      <c r="CA887" s="1297" t="n"/>
      <c r="CB887" s="1297" t="n"/>
      <c r="CC887" s="1280" t="n"/>
    </row>
    <row r="888" hidden="1" outlineLevel="1" ht="14.4" customFormat="1" customHeight="1" s="1275">
      <c r="A888" s="1425" t="inlineStr">
        <is>
          <t>Machinery and equipment at cost</t>
        </is>
      </c>
      <c r="B888" s="1387" t="n"/>
      <c r="C888" s="1299" t="n">
        <v>775653.4889999999</v>
      </c>
      <c r="D888" s="1299" t="n">
        <v>913155.252</v>
      </c>
      <c r="E888" s="1299" t="n">
        <v>1057588.736</v>
      </c>
      <c r="F888" s="1299" t="n">
        <v>1279893.177</v>
      </c>
      <c r="G888" s="1299" t="n">
        <v>1413919.794</v>
      </c>
      <c r="H888" s="1298" t="n">
        <v>1423764.726</v>
      </c>
      <c r="I888" s="1298" t="n">
        <v>1656483.604</v>
      </c>
      <c r="J888" s="1298" t="n">
        <v>1729556.457</v>
      </c>
      <c r="K888" s="1277">
        <f>L888</f>
        <v/>
      </c>
      <c r="L888" s="1299" t="n">
        <v>1754170.227</v>
      </c>
      <c r="M888" s="1298" t="n">
        <v>1775823.82</v>
      </c>
      <c r="N888" s="1298" t="n">
        <v>1829489.252</v>
      </c>
      <c r="O888" s="1298" t="n">
        <v>1878847.08</v>
      </c>
      <c r="P888" s="1277">
        <f>Q888</f>
        <v/>
      </c>
      <c r="Q888" s="1299" t="n">
        <v>1893489.604</v>
      </c>
      <c r="R888" s="1298" t="n">
        <v>1907879.848</v>
      </c>
      <c r="S888" s="1298" t="n">
        <v>2007212.514</v>
      </c>
      <c r="T888" s="1298" t="n">
        <v>2014965.263</v>
      </c>
      <c r="U888" s="1277">
        <f>V888</f>
        <v/>
      </c>
      <c r="V888" s="1299" t="n">
        <v>2042867.744</v>
      </c>
      <c r="W888" s="1298" t="n">
        <v>2144978.83</v>
      </c>
      <c r="X888" s="1298" t="n">
        <v>2411157.857</v>
      </c>
      <c r="Y888" s="1298" t="n">
        <v>2464906.219</v>
      </c>
      <c r="Z888" s="1277">
        <f>AA888</f>
        <v/>
      </c>
      <c r="AA888" s="1299" t="n">
        <v>2487752.265</v>
      </c>
      <c r="AB888" s="1298" t="n">
        <v>2523427.787</v>
      </c>
      <c r="AC888" s="1298" t="n">
        <v>2618947.381</v>
      </c>
      <c r="AD888" s="1298" t="n">
        <v>2697543.751</v>
      </c>
      <c r="AE888" s="1277">
        <f>AF888</f>
        <v/>
      </c>
      <c r="AF888" s="1299" t="n">
        <v>2728760.127</v>
      </c>
      <c r="AG888" s="1298" t="n">
        <v>2757249.231</v>
      </c>
      <c r="AH888" s="1298" t="n">
        <v>2805547.529</v>
      </c>
      <c r="AI888" s="1298" t="n">
        <v>2851261.611</v>
      </c>
      <c r="AJ888" s="1277">
        <f>AK888</f>
        <v/>
      </c>
      <c r="AK888" s="1299" t="n">
        <v>2886622.968</v>
      </c>
      <c r="AL888" s="1298" t="n">
        <v>2952246.291</v>
      </c>
      <c r="AM888" s="1298" t="n">
        <v>3455524.438</v>
      </c>
      <c r="AN888" s="1298" t="n">
        <v>3540895.544</v>
      </c>
      <c r="AO888" s="1277">
        <f>AP888</f>
        <v/>
      </c>
      <c r="AP888" s="1299" t="n">
        <v>3607005.732</v>
      </c>
      <c r="AQ888" s="1277" t="n"/>
      <c r="AR888" s="1277" t="n"/>
      <c r="AS888" s="1277" t="n"/>
      <c r="AT888" s="1277">
        <f>AU888</f>
        <v/>
      </c>
      <c r="AU888" s="1297" t="n"/>
      <c r="AV888" s="1277" t="n"/>
      <c r="AW888" s="1277" t="n"/>
      <c r="AX888" s="1277" t="n"/>
      <c r="AY888" s="1277">
        <f>AZ888</f>
        <v/>
      </c>
      <c r="AZ888" s="1297" t="n"/>
      <c r="BA888" s="1277" t="n"/>
      <c r="BB888" s="1277" t="n"/>
      <c r="BC888" s="1277" t="n"/>
      <c r="BD888" s="1277">
        <f>BE888</f>
        <v/>
      </c>
      <c r="BE888" s="1297" t="n"/>
      <c r="BF888" s="1277" t="n"/>
      <c r="BG888" s="1277" t="n"/>
      <c r="BH888" s="1277" t="n"/>
      <c r="BI888" s="1277">
        <f>BJ888</f>
        <v/>
      </c>
      <c r="BJ888" s="1297" t="n"/>
      <c r="BK888" s="1277" t="n"/>
      <c r="BL888" s="1277" t="n"/>
      <c r="BM888" s="1277" t="n"/>
      <c r="BN888" s="1277">
        <f>BO888</f>
        <v/>
      </c>
      <c r="BO888" s="1382" t="n"/>
      <c r="BP888" s="1277" t="n"/>
      <c r="BQ888" s="1277" t="n"/>
      <c r="BR888" s="1277" t="n"/>
      <c r="BS888" s="1277" t="n"/>
      <c r="BT888" s="1297" t="n"/>
      <c r="BU888" s="1277" t="n"/>
      <c r="BV888" s="1277" t="n"/>
      <c r="BW888" s="1277" t="n"/>
      <c r="BX888" s="1277" t="n"/>
      <c r="BY888" s="1297" t="n"/>
      <c r="BZ888" s="1297" t="n"/>
      <c r="CA888" s="1297" t="n"/>
      <c r="CB888" s="1297" t="n"/>
      <c r="CC888" s="1280" t="n"/>
    </row>
    <row r="889" hidden="1" outlineLevel="1" ht="14.4" customFormat="1" customHeight="1" s="1275">
      <c r="A889" s="1425" t="inlineStr">
        <is>
          <t>Office equipment at cost</t>
        </is>
      </c>
      <c r="B889" s="1387" t="n"/>
      <c r="C889" s="1299" t="n">
        <v>13667.747</v>
      </c>
      <c r="D889" s="1299" t="n">
        <v>14856.582</v>
      </c>
      <c r="E889" s="1299" t="n">
        <v>16969.266</v>
      </c>
      <c r="F889" s="1299" t="n">
        <v>20067.943</v>
      </c>
      <c r="G889" s="1299" t="n">
        <v>22062.032</v>
      </c>
      <c r="H889" s="1298" t="n">
        <v>22381.689</v>
      </c>
      <c r="I889" s="1298" t="n">
        <v>25896.425</v>
      </c>
      <c r="J889" s="1298" t="n">
        <v>26811.177</v>
      </c>
      <c r="K889" s="1277">
        <f>L889</f>
        <v/>
      </c>
      <c r="L889" s="1299" t="n">
        <v>27960.835</v>
      </c>
      <c r="M889" s="1298" t="n">
        <v>28599.294</v>
      </c>
      <c r="N889" s="1298" t="n">
        <v>28821.03</v>
      </c>
      <c r="O889" s="1298" t="n">
        <v>29539.963</v>
      </c>
      <c r="P889" s="1277">
        <f>Q889</f>
        <v/>
      </c>
      <c r="Q889" s="1299" t="n">
        <v>30700.049</v>
      </c>
      <c r="R889" s="1298" t="n">
        <v>31489.022</v>
      </c>
      <c r="S889" s="1298" t="n">
        <v>33359.662</v>
      </c>
      <c r="T889" s="1298" t="n">
        <v>34038.464</v>
      </c>
      <c r="U889" s="1277">
        <f>V889</f>
        <v/>
      </c>
      <c r="V889" s="1299" t="n">
        <v>34729.64</v>
      </c>
      <c r="W889" s="1298" t="n">
        <v>36876.758</v>
      </c>
      <c r="X889" s="1298" t="n">
        <v>38975.403</v>
      </c>
      <c r="Y889" s="1298" t="n">
        <v>40775.232</v>
      </c>
      <c r="Z889" s="1277">
        <f>AA889</f>
        <v/>
      </c>
      <c r="AA889" s="1299" t="n">
        <v>42391.516</v>
      </c>
      <c r="AB889" s="1298" t="n">
        <v>44230.463</v>
      </c>
      <c r="AC889" s="1298" t="n">
        <v>46011.969</v>
      </c>
      <c r="AD889" s="1298" t="n">
        <v>47602.472</v>
      </c>
      <c r="AE889" s="1277">
        <f>AF889</f>
        <v/>
      </c>
      <c r="AF889" s="1299" t="n">
        <v>48382.279</v>
      </c>
      <c r="AG889" s="1298" t="n">
        <v>50505.219</v>
      </c>
      <c r="AH889" s="1298" t="n">
        <v>51781.721</v>
      </c>
      <c r="AI889" s="1298" t="n">
        <v>53595.099</v>
      </c>
      <c r="AJ889" s="1277">
        <f>AK889</f>
        <v/>
      </c>
      <c r="AK889" s="1299" t="n">
        <v>54611.364</v>
      </c>
      <c r="AL889" s="1298" t="n">
        <v>56466.726</v>
      </c>
      <c r="AM889" s="1298" t="n">
        <v>63639.899</v>
      </c>
      <c r="AN889" s="1298" t="n">
        <v>66080.008</v>
      </c>
      <c r="AO889" s="1277">
        <f>AP889</f>
        <v/>
      </c>
      <c r="AP889" s="1299" t="n">
        <v>68862.648</v>
      </c>
      <c r="AQ889" s="1277" t="n"/>
      <c r="AR889" s="1277" t="n"/>
      <c r="AS889" s="1277" t="n"/>
      <c r="AT889" s="1277">
        <f>AU889</f>
        <v/>
      </c>
      <c r="AU889" s="1297" t="n"/>
      <c r="AV889" s="1277" t="n"/>
      <c r="AW889" s="1277" t="n"/>
      <c r="AX889" s="1277" t="n"/>
      <c r="AY889" s="1277">
        <f>AZ889</f>
        <v/>
      </c>
      <c r="AZ889" s="1297" t="n"/>
      <c r="BA889" s="1277" t="n"/>
      <c r="BB889" s="1277" t="n"/>
      <c r="BC889" s="1277" t="n"/>
      <c r="BD889" s="1277">
        <f>BE889</f>
        <v/>
      </c>
      <c r="BE889" s="1297" t="n"/>
      <c r="BF889" s="1277" t="n"/>
      <c r="BG889" s="1277" t="n"/>
      <c r="BH889" s="1277" t="n"/>
      <c r="BI889" s="1277">
        <f>BJ889</f>
        <v/>
      </c>
      <c r="BJ889" s="1297" t="n"/>
      <c r="BK889" s="1277" t="n"/>
      <c r="BL889" s="1277" t="n"/>
      <c r="BM889" s="1277" t="n"/>
      <c r="BN889" s="1277">
        <f>BO889</f>
        <v/>
      </c>
      <c r="BO889" s="1382" t="n"/>
      <c r="BP889" s="1277" t="n"/>
      <c r="BQ889" s="1277" t="n"/>
      <c r="BR889" s="1277" t="n"/>
      <c r="BS889" s="1277" t="n"/>
      <c r="BT889" s="1297" t="n"/>
      <c r="BU889" s="1277" t="n"/>
      <c r="BV889" s="1277" t="n"/>
      <c r="BW889" s="1277" t="n"/>
      <c r="BX889" s="1277" t="n"/>
      <c r="BY889" s="1297" t="n"/>
      <c r="BZ889" s="1297" t="n"/>
      <c r="CA889" s="1297" t="n"/>
      <c r="CB889" s="1297" t="n"/>
      <c r="CC889" s="1280" t="n"/>
    </row>
    <row r="890" hidden="1" outlineLevel="1" ht="14.4" customFormat="1" customHeight="1" s="1275">
      <c r="A890" s="1425" t="inlineStr">
        <is>
          <t>Leased assets at cost</t>
        </is>
      </c>
      <c r="B890" s="1387" t="n"/>
      <c r="C890" s="1299" t="n">
        <v>714.424</v>
      </c>
      <c r="D890" s="1299" t="n">
        <v>701.552</v>
      </c>
      <c r="E890" s="1299" t="n">
        <v>791.48</v>
      </c>
      <c r="F890" s="1299" t="n">
        <v>766.732</v>
      </c>
      <c r="G890" s="1299" t="n">
        <v>804.4299999999999</v>
      </c>
      <c r="H890" s="1298" t="n">
        <v>806.83</v>
      </c>
      <c r="I890" s="1298" t="n">
        <v>791.648</v>
      </c>
      <c r="J890" s="1298" t="n">
        <v>816.471</v>
      </c>
      <c r="K890" s="1277">
        <f>L890</f>
        <v/>
      </c>
      <c r="L890" s="1299" t="n">
        <v>841.154</v>
      </c>
      <c r="M890" s="1298" t="n">
        <v>833.3339999999999</v>
      </c>
      <c r="N890" s="1298" t="n">
        <v>824.369</v>
      </c>
      <c r="O890" s="1298" t="n">
        <v>7.115</v>
      </c>
      <c r="P890" s="1277">
        <f>Q890</f>
        <v/>
      </c>
      <c r="Q890" s="1299" t="n">
        <v>7.113</v>
      </c>
      <c r="R890" s="1277" t="n"/>
      <c r="S890" s="1277" t="n"/>
      <c r="T890" s="1277" t="n"/>
      <c r="U890" s="1277">
        <f>V890</f>
        <v/>
      </c>
      <c r="V890" s="1297" t="n"/>
      <c r="W890" s="1277" t="n"/>
      <c r="X890" s="1277" t="n"/>
      <c r="Y890" s="1277" t="n"/>
      <c r="Z890" s="1277">
        <f>AA890</f>
        <v/>
      </c>
      <c r="AA890" s="1297" t="n"/>
      <c r="AB890" s="1277" t="n"/>
      <c r="AC890" s="1277" t="n"/>
      <c r="AD890" s="1277" t="n"/>
      <c r="AE890" s="1277">
        <f>AF890</f>
        <v/>
      </c>
      <c r="AF890" s="1297" t="n"/>
      <c r="AG890" s="1277" t="n"/>
      <c r="AH890" s="1277" t="n"/>
      <c r="AI890" s="1277" t="n"/>
      <c r="AJ890" s="1277" t="n"/>
      <c r="AK890" s="1297" t="n"/>
      <c r="AL890" s="1277" t="n"/>
      <c r="AM890" s="1277" t="n"/>
      <c r="AN890" s="1277" t="n"/>
      <c r="AO890" s="1277" t="n"/>
      <c r="AP890" s="1297" t="n"/>
      <c r="AQ890" s="1277" t="n"/>
      <c r="AR890" s="1277" t="n"/>
      <c r="AS890" s="1277" t="n"/>
      <c r="AT890" s="1277">
        <f>AU890</f>
        <v/>
      </c>
      <c r="AU890" s="1297" t="n"/>
      <c r="AV890" s="1277" t="n"/>
      <c r="AW890" s="1277" t="n"/>
      <c r="AX890" s="1277" t="n"/>
      <c r="AY890" s="1277">
        <f>AZ890</f>
        <v/>
      </c>
      <c r="AZ890" s="1297" t="n"/>
      <c r="BA890" s="1277" t="n"/>
      <c r="BB890" s="1277" t="n"/>
      <c r="BC890" s="1277" t="n"/>
      <c r="BD890" s="1277">
        <f>BE890</f>
        <v/>
      </c>
      <c r="BE890" s="1297" t="n"/>
      <c r="BF890" s="1277" t="n"/>
      <c r="BG890" s="1277" t="n"/>
      <c r="BH890" s="1277" t="n"/>
      <c r="BI890" s="1277">
        <f>BJ890</f>
        <v/>
      </c>
      <c r="BJ890" s="1297" t="n"/>
      <c r="BK890" s="1277" t="n"/>
      <c r="BL890" s="1277" t="n"/>
      <c r="BM890" s="1277" t="n"/>
      <c r="BN890" s="1277">
        <f>BO890</f>
        <v/>
      </c>
      <c r="BO890" s="1382" t="n"/>
      <c r="BP890" s="1277" t="n"/>
      <c r="BQ890" s="1277" t="n"/>
      <c r="BR890" s="1277" t="n"/>
      <c r="BS890" s="1277" t="n"/>
      <c r="BT890" s="1297" t="n"/>
      <c r="BU890" s="1277" t="n"/>
      <c r="BV890" s="1277" t="n"/>
      <c r="BW890" s="1277" t="n"/>
      <c r="BX890" s="1277" t="n"/>
      <c r="BY890" s="1297" t="n"/>
      <c r="BZ890" s="1297" t="n"/>
      <c r="CA890" s="1297" t="n"/>
      <c r="CB890" s="1297" t="n"/>
      <c r="CC890" s="1280" t="n"/>
    </row>
    <row r="891" hidden="1" outlineLevel="1" ht="14.4" customFormat="1" customHeight="1" s="1275">
      <c r="A891" s="1425" t="inlineStr">
        <is>
          <t>Advance payments and construction in progress</t>
        </is>
      </c>
      <c r="B891" s="1387" t="n"/>
      <c r="C891" s="1299" t="n">
        <v>34154.365</v>
      </c>
      <c r="D891" s="1299" t="n">
        <v>86151.573</v>
      </c>
      <c r="E891" s="1299" t="n">
        <v>116863.976</v>
      </c>
      <c r="F891" s="1299" t="n">
        <v>119063.976</v>
      </c>
      <c r="G891" s="1299" t="n">
        <v>272173.793</v>
      </c>
      <c r="H891" s="1298" t="n">
        <v>336151.226</v>
      </c>
      <c r="I891" s="1298" t="n">
        <v>133501.851</v>
      </c>
      <c r="J891" s="1298" t="n">
        <v>88323.374</v>
      </c>
      <c r="K891" s="1277">
        <f>L891</f>
        <v/>
      </c>
      <c r="L891" s="1299" t="n">
        <v>109334.736</v>
      </c>
      <c r="M891" s="1298" t="n">
        <v>131858.891</v>
      </c>
      <c r="N891" s="1298" t="n">
        <v>145833.602</v>
      </c>
      <c r="O891" s="1298" t="n">
        <v>137727.151</v>
      </c>
      <c r="P891" s="1277">
        <f>Q891</f>
        <v/>
      </c>
      <c r="Q891" s="1299" t="n">
        <v>192111.548</v>
      </c>
      <c r="R891" s="1298" t="n">
        <v>217929.938</v>
      </c>
      <c r="S891" s="1298" t="n">
        <v>197962.475</v>
      </c>
      <c r="T891" s="1298" t="n">
        <v>299592.577</v>
      </c>
      <c r="U891" s="1277">
        <f>V891</f>
        <v/>
      </c>
      <c r="V891" s="1299" t="n">
        <v>387199.675</v>
      </c>
      <c r="W891" s="1298" t="n">
        <v>353761.372</v>
      </c>
      <c r="X891" s="1298" t="n">
        <v>139019.828</v>
      </c>
      <c r="Y891" s="1298" t="n">
        <v>131847.098</v>
      </c>
      <c r="Z891" s="1277">
        <f>AA891</f>
        <v/>
      </c>
      <c r="AA891" s="1299" t="n">
        <v>167353.49</v>
      </c>
      <c r="AB891" s="1298" t="n">
        <v>174167.637</v>
      </c>
      <c r="AC891" s="1298" t="n">
        <v>123163.776</v>
      </c>
      <c r="AD891" s="1298" t="n">
        <v>122420.36</v>
      </c>
      <c r="AE891" s="1277">
        <f>AF891</f>
        <v/>
      </c>
      <c r="AF891" s="1299" t="n">
        <v>172910.989</v>
      </c>
      <c r="AG891" s="1298" t="n">
        <v>241720.164</v>
      </c>
      <c r="AH891" s="1298" t="n">
        <v>292085.214</v>
      </c>
      <c r="AI891" s="1298" t="n">
        <v>355923.427</v>
      </c>
      <c r="AJ891" s="1277">
        <f>AK891</f>
        <v/>
      </c>
      <c r="AK891" s="1299" t="n">
        <v>528295.086</v>
      </c>
      <c r="AL891" s="1298" t="n">
        <v>606544.121</v>
      </c>
      <c r="AM891" s="1298" t="n">
        <v>153558.882</v>
      </c>
      <c r="AN891" s="1298" t="n">
        <v>157153.896</v>
      </c>
      <c r="AO891" s="1277">
        <f>AP891</f>
        <v/>
      </c>
      <c r="AP891" s="1299" t="n">
        <v>223965.36</v>
      </c>
      <c r="AQ891" s="1277" t="n"/>
      <c r="AR891" s="1277" t="n"/>
      <c r="AS891" s="1277" t="n"/>
      <c r="AT891" s="1277">
        <f>AU891</f>
        <v/>
      </c>
      <c r="AU891" s="1297" t="n"/>
      <c r="AV891" s="1277" t="n"/>
      <c r="AW891" s="1277" t="n"/>
      <c r="AX891" s="1277" t="n"/>
      <c r="AY891" s="1277">
        <f>AZ891</f>
        <v/>
      </c>
      <c r="AZ891" s="1297" t="n"/>
      <c r="BA891" s="1277" t="n"/>
      <c r="BB891" s="1277" t="n"/>
      <c r="BC891" s="1277" t="n"/>
      <c r="BD891" s="1277">
        <f>BE891</f>
        <v/>
      </c>
      <c r="BE891" s="1297" t="n"/>
      <c r="BF891" s="1277" t="n"/>
      <c r="BG891" s="1277" t="n"/>
      <c r="BH891" s="1277" t="n"/>
      <c r="BI891" s="1277">
        <f>BJ891</f>
        <v/>
      </c>
      <c r="BJ891" s="1297" t="n"/>
      <c r="BK891" s="1277" t="n"/>
      <c r="BL891" s="1277" t="n"/>
      <c r="BM891" s="1277" t="n"/>
      <c r="BN891" s="1277">
        <f>BO891</f>
        <v/>
      </c>
      <c r="BO891" s="1382" t="n"/>
      <c r="BP891" s="1277" t="n"/>
      <c r="BQ891" s="1277" t="n"/>
      <c r="BR891" s="1277" t="n"/>
      <c r="BS891" s="1277" t="n"/>
      <c r="BT891" s="1297" t="n"/>
      <c r="BU891" s="1277" t="n"/>
      <c r="BV891" s="1277" t="n"/>
      <c r="BW891" s="1277" t="n"/>
      <c r="BX891" s="1277" t="n"/>
      <c r="BY891" s="1297" t="n"/>
      <c r="BZ891" s="1297" t="n"/>
      <c r="CA891" s="1297" t="n"/>
      <c r="CB891" s="1297" t="n"/>
      <c r="CC891" s="1280" t="n"/>
    </row>
    <row r="892" hidden="1" outlineLevel="1" ht="14.4" customFormat="1" customHeight="1" s="1275">
      <c r="A892" s="1425" t="inlineStr">
        <is>
          <t>less: Accumulated depreciation</t>
        </is>
      </c>
      <c r="B892" s="1387" t="n"/>
      <c r="C892" s="1299" t="n">
        <v>-693743.8860000001</v>
      </c>
      <c r="D892" s="1299" t="n">
        <v>-773278.157</v>
      </c>
      <c r="E892" s="1299" t="n">
        <v>-876252.22</v>
      </c>
      <c r="F892" s="1299" t="n">
        <v>-1001168.615</v>
      </c>
      <c r="G892" s="1299" t="n">
        <v>-1149463.781</v>
      </c>
      <c r="H892" s="1298" t="n">
        <v>-1190998.279</v>
      </c>
      <c r="I892" s="1298" t="n">
        <v>-1234443.124</v>
      </c>
      <c r="J892" s="1298" t="n">
        <v>-1291714.666</v>
      </c>
      <c r="K892" s="1277">
        <f>L892</f>
        <v/>
      </c>
      <c r="L892" s="1299" t="n">
        <v>-1347308.786</v>
      </c>
      <c r="M892" s="1298" t="n">
        <v>-1400431.795</v>
      </c>
      <c r="N892" s="1298" t="n">
        <v>-1452956.673</v>
      </c>
      <c r="O892" s="1298" t="n">
        <v>-1513143.255</v>
      </c>
      <c r="P892" s="1277">
        <f>Q892</f>
        <v/>
      </c>
      <c r="Q892" s="1299" t="n">
        <v>-1563707.177</v>
      </c>
      <c r="R892" s="1298" t="n">
        <v>-1615850.372</v>
      </c>
      <c r="S892" s="1298" t="n">
        <v>-1668284.328</v>
      </c>
      <c r="T892" s="1298" t="n">
        <v>-1719930.253</v>
      </c>
      <c r="U892" s="1277">
        <f>V892</f>
        <v/>
      </c>
      <c r="V892" s="1299" t="n">
        <v>-1775473.138</v>
      </c>
      <c r="W892" s="1298" t="n">
        <v>-1828360.301</v>
      </c>
      <c r="X892" s="1298" t="n">
        <v>-1883840.687</v>
      </c>
      <c r="Y892" s="1298" t="n">
        <v>-1950749.489</v>
      </c>
      <c r="Z892" s="1277">
        <f>AA892</f>
        <v/>
      </c>
      <c r="AA892" s="1299" t="n">
        <v>-2018072.805</v>
      </c>
      <c r="AB892" s="1298" t="n">
        <v>-2087978.877</v>
      </c>
      <c r="AC892" s="1298" t="n">
        <v>-2159381.018</v>
      </c>
      <c r="AD892" s="1298" t="n">
        <v>-2227933.572</v>
      </c>
      <c r="AE892" s="1277">
        <f>AF892</f>
        <v/>
      </c>
      <c r="AF892" s="1299" t="n">
        <v>-2300728.754</v>
      </c>
      <c r="AG892" s="1298" t="n">
        <v>-2376203.276</v>
      </c>
      <c r="AH892" s="1298" t="n">
        <v>-2443361.139</v>
      </c>
      <c r="AI892" s="1298" t="n">
        <v>-2501862.289</v>
      </c>
      <c r="AJ892" s="1277">
        <f>AK892</f>
        <v/>
      </c>
      <c r="AK892" s="1299" t="n">
        <v>-2559282.418</v>
      </c>
      <c r="AL892" s="1298" t="n">
        <v>-2624445.451</v>
      </c>
      <c r="AM892" s="1298" t="n">
        <v>-2686972.069</v>
      </c>
      <c r="AN892" s="1298" t="n">
        <v>-2779007.268</v>
      </c>
      <c r="AO892" s="1277">
        <f>AP892</f>
        <v/>
      </c>
      <c r="AP892" s="1299" t="n">
        <v>-2871637.901</v>
      </c>
      <c r="AQ892" s="1277" t="n"/>
      <c r="AR892" s="1277" t="n"/>
      <c r="AS892" s="1277" t="n"/>
      <c r="AT892" s="1277">
        <f>AU892</f>
        <v/>
      </c>
      <c r="AU892" s="1297" t="n"/>
      <c r="AV892" s="1277" t="n"/>
      <c r="AW892" s="1277" t="n"/>
      <c r="AX892" s="1277" t="n"/>
      <c r="AY892" s="1277">
        <f>AZ892</f>
        <v/>
      </c>
      <c r="AZ892" s="1297" t="n"/>
      <c r="BA892" s="1277" t="n"/>
      <c r="BB892" s="1277" t="n"/>
      <c r="BC892" s="1277" t="n"/>
      <c r="BD892" s="1277">
        <f>BE892</f>
        <v/>
      </c>
      <c r="BE892" s="1297" t="n"/>
      <c r="BF892" s="1277" t="n"/>
      <c r="BG892" s="1277" t="n"/>
      <c r="BH892" s="1277" t="n"/>
      <c r="BI892" s="1277">
        <f>BJ892</f>
        <v/>
      </c>
      <c r="BJ892" s="1297" t="n"/>
      <c r="BK892" s="1277" t="n"/>
      <c r="BL892" s="1277" t="n"/>
      <c r="BM892" s="1277" t="n"/>
      <c r="BN892" s="1277">
        <f>BO892</f>
        <v/>
      </c>
      <c r="BO892" s="1382" t="n"/>
      <c r="BP892" s="1277" t="n"/>
      <c r="BQ892" s="1277" t="n"/>
      <c r="BR892" s="1277" t="n"/>
      <c r="BS892" s="1277" t="n"/>
      <c r="BT892" s="1297" t="n"/>
      <c r="BU892" s="1277" t="n"/>
      <c r="BV892" s="1277" t="n"/>
      <c r="BW892" s="1277" t="n"/>
      <c r="BX892" s="1277" t="n"/>
      <c r="BY892" s="1297" t="n"/>
      <c r="BZ892" s="1297" t="n"/>
      <c r="CA892" s="1297" t="n"/>
      <c r="CB892" s="1297" t="n"/>
      <c r="CC892" s="1280" t="n"/>
    </row>
    <row r="893" hidden="1" outlineLevel="1" ht="14.4" customFormat="1" customHeight="1" s="1275">
      <c r="A893" s="1425" t="inlineStr">
        <is>
          <t>Assets used by the company</t>
        </is>
      </c>
      <c r="B893" s="1387" t="n"/>
      <c r="C893" s="1297" t="n"/>
      <c r="D893" s="1297" t="n"/>
      <c r="E893" s="1297" t="n"/>
      <c r="F893" s="1297" t="n"/>
      <c r="G893" s="1297" t="n"/>
      <c r="H893" s="1277" t="n"/>
      <c r="I893" s="1277" t="n"/>
      <c r="J893" s="1277" t="n"/>
      <c r="K893" s="1277" t="n"/>
      <c r="L893" s="1297" t="n"/>
      <c r="M893" s="1277" t="n"/>
      <c r="N893" s="1277" t="n"/>
      <c r="O893" s="1277" t="n"/>
      <c r="P893" s="1277" t="n"/>
      <c r="Q893" s="1297" t="n"/>
      <c r="R893" s="1277" t="n"/>
      <c r="S893" s="1277" t="n"/>
      <c r="T893" s="1277" t="n"/>
      <c r="U893" s="1277" t="n"/>
      <c r="V893" s="1297" t="n"/>
      <c r="W893" s="1277" t="n"/>
      <c r="X893" s="1277" t="n"/>
      <c r="Y893" s="1277" t="n"/>
      <c r="Z893" s="1277" t="n"/>
      <c r="AA893" s="1297" t="n"/>
      <c r="AB893" s="1277" t="n"/>
      <c r="AC893" s="1277" t="n"/>
      <c r="AD893" s="1277" t="n"/>
      <c r="AE893" s="1277" t="n"/>
      <c r="AF893" s="1297" t="n"/>
      <c r="AG893" s="1277" t="n"/>
      <c r="AH893" s="1277" t="n"/>
      <c r="AI893" s="1277" t="n"/>
      <c r="AJ893" s="1277" t="n"/>
      <c r="AK893" s="1297" t="n"/>
      <c r="AL893" s="1277" t="n"/>
      <c r="AM893" s="1277" t="n"/>
      <c r="AN893" s="1277" t="n"/>
      <c r="AO893" s="1277" t="n"/>
      <c r="AP893" s="1297" t="n"/>
      <c r="AQ893" s="1298" t="n">
        <v>1657464.257</v>
      </c>
      <c r="AR893" s="1298" t="n">
        <v>1722112.116</v>
      </c>
      <c r="AS893" s="1298" t="n">
        <v>1828889.64</v>
      </c>
      <c r="AT893" s="1277">
        <f>AU893</f>
        <v/>
      </c>
      <c r="AU893" s="1299" t="n">
        <v>1975113.974</v>
      </c>
      <c r="AV893" s="1298" t="n">
        <v>2104326.119</v>
      </c>
      <c r="AW893" s="1298" t="n">
        <v>2248294.45</v>
      </c>
      <c r="AX893" s="1298" t="n">
        <v>2411465.486</v>
      </c>
      <c r="AY893" s="1277">
        <f>AZ893</f>
        <v/>
      </c>
      <c r="AZ893" s="1299" t="n">
        <v>2693815.688</v>
      </c>
      <c r="BA893" s="1298" t="n">
        <v>2833378.579</v>
      </c>
      <c r="BB893" s="1298" t="n">
        <v>2947218.157</v>
      </c>
      <c r="BC893" s="1298" t="n">
        <v>3132660.998</v>
      </c>
      <c r="BD893" s="1277">
        <f>BE893</f>
        <v/>
      </c>
      <c r="BE893" s="1299" t="n">
        <v>3064424.259</v>
      </c>
      <c r="BF893" s="1298" t="n">
        <v>3051622.167</v>
      </c>
      <c r="BG893" s="1298" t="n">
        <v>3105642.523</v>
      </c>
      <c r="BH893" s="1298" t="n">
        <v>3071391.628</v>
      </c>
      <c r="BI893" s="1277">
        <f>BJ893</f>
        <v/>
      </c>
      <c r="BJ893" s="1299" t="n">
        <v>3234778.389</v>
      </c>
      <c r="BK893" s="1298" t="n">
        <v>3400609.937</v>
      </c>
      <c r="BL893" s="1298" t="n">
        <v>3384953.044</v>
      </c>
      <c r="BM893" s="1298" t="n">
        <v>3498121.683</v>
      </c>
      <c r="BN893" s="1277">
        <f>BO893</f>
        <v/>
      </c>
      <c r="BO893" s="1382" t="n"/>
      <c r="BP893" s="1277" t="n"/>
      <c r="BQ893" s="1277" t="n"/>
      <c r="BR893" s="1277" t="n"/>
      <c r="BS893" s="1277" t="n"/>
      <c r="BT893" s="1297" t="n"/>
      <c r="BU893" s="1277" t="n"/>
      <c r="BV893" s="1277" t="n"/>
      <c r="BW893" s="1277" t="n"/>
      <c r="BX893" s="1277" t="n"/>
      <c r="BY893" s="1297" t="n"/>
      <c r="BZ893" s="1297" t="n"/>
      <c r="CA893" s="1297" t="n"/>
      <c r="CB893" s="1297" t="n"/>
      <c r="CC893" s="1280" t="n"/>
    </row>
    <row r="894" hidden="1" outlineLevel="1" ht="14.4" customFormat="1" customHeight="1" s="1275">
      <c r="A894" s="1431" t="inlineStr">
        <is>
          <t>Operating lease, net</t>
        </is>
      </c>
      <c r="B894" s="1389" t="n"/>
      <c r="C894" s="1364" t="n"/>
      <c r="D894" s="1364" t="n"/>
      <c r="E894" s="1364" t="n"/>
      <c r="F894" s="1364" t="n"/>
      <c r="G894" s="1364" t="n"/>
      <c r="H894" s="1365" t="n"/>
      <c r="I894" s="1365" t="n"/>
      <c r="J894" s="1365" t="n"/>
      <c r="K894" s="1365" t="n"/>
      <c r="L894" s="1364" t="n"/>
      <c r="M894" s="1365" t="n"/>
      <c r="N894" s="1365" t="n"/>
      <c r="O894" s="1365" t="n"/>
      <c r="P894" s="1365" t="n"/>
      <c r="Q894" s="1364" t="n"/>
      <c r="R894" s="1365" t="n"/>
      <c r="S894" s="1365" t="n"/>
      <c r="T894" s="1365" t="n"/>
      <c r="U894" s="1365" t="n"/>
      <c r="V894" s="1364" t="n"/>
      <c r="W894" s="1365" t="n"/>
      <c r="X894" s="1365" t="n"/>
      <c r="Y894" s="1365" t="n"/>
      <c r="Z894" s="1365" t="n"/>
      <c r="AA894" s="1364" t="n"/>
      <c r="AB894" s="1365" t="n"/>
      <c r="AC894" s="1365" t="n"/>
      <c r="AD894" s="1365" t="n"/>
      <c r="AE894" s="1365" t="n"/>
      <c r="AF894" s="1364" t="n"/>
      <c r="AG894" s="1391" t="n">
        <v>81.58799999999999</v>
      </c>
      <c r="AH894" s="1391" t="n">
        <v>75.574</v>
      </c>
      <c r="AI894" s="1391" t="n">
        <v>69.559</v>
      </c>
      <c r="AJ894" s="1365">
        <f>AK894</f>
        <v/>
      </c>
      <c r="AK894" s="1390" t="n">
        <v>63.544</v>
      </c>
      <c r="AL894" s="1391" t="n">
        <v>43.555</v>
      </c>
      <c r="AM894" s="1391" t="n">
        <v>37.999</v>
      </c>
      <c r="AN894" s="1391" t="n">
        <v>27.977</v>
      </c>
      <c r="AO894" s="1365">
        <f>AP894</f>
        <v/>
      </c>
      <c r="AP894" s="1390" t="n">
        <v>1003.182</v>
      </c>
      <c r="AQ894" s="1391" t="n">
        <v>1087.033</v>
      </c>
      <c r="AR894" s="1391" t="n">
        <v>567.0170000000001</v>
      </c>
      <c r="AS894" s="1391" t="n">
        <v>4.925</v>
      </c>
      <c r="AT894" s="1277">
        <f>AU894</f>
        <v/>
      </c>
      <c r="AU894" s="1390" t="n">
        <v>4.73</v>
      </c>
      <c r="AV894" s="1391" t="n">
        <v>4.535</v>
      </c>
      <c r="AW894" s="1391" t="n">
        <v>24.337</v>
      </c>
      <c r="AX894" s="1391" t="n">
        <v>24.765</v>
      </c>
      <c r="AY894" s="1277">
        <f>AZ894</f>
        <v/>
      </c>
      <c r="AZ894" s="1299" t="n">
        <v>21.282</v>
      </c>
      <c r="BA894" s="1391" t="n">
        <v>18.313</v>
      </c>
      <c r="BB894" s="1391" t="n">
        <v>15.236</v>
      </c>
      <c r="BC894" s="1391" t="n">
        <v>3.369</v>
      </c>
      <c r="BD894" s="1277">
        <f>BE894</f>
        <v/>
      </c>
      <c r="BE894" s="1299" t="n">
        <v>50.725</v>
      </c>
      <c r="BF894" s="1391" t="n">
        <v>225.822</v>
      </c>
      <c r="BG894" s="1391" t="n">
        <v>217.534</v>
      </c>
      <c r="BH894" s="1391" t="n">
        <v>207.699</v>
      </c>
      <c r="BI894" s="1277">
        <f>BJ894</f>
        <v/>
      </c>
      <c r="BJ894" s="1299" t="n">
        <v>201.681</v>
      </c>
      <c r="BK894" s="1391" t="n">
        <v>196.217</v>
      </c>
      <c r="BL894" s="1391" t="n">
        <v>1253.308</v>
      </c>
      <c r="BM894" s="1391" t="n">
        <v>1219.078</v>
      </c>
      <c r="BN894" s="1277">
        <f>BO894</f>
        <v/>
      </c>
      <c r="BO894" s="1382" t="n"/>
      <c r="BP894" s="1365" t="n"/>
      <c r="BQ894" s="1365" t="n"/>
      <c r="BR894" s="1365" t="n"/>
      <c r="BS894" s="1365" t="n"/>
      <c r="BT894" s="1364" t="n"/>
      <c r="BU894" s="1365" t="n"/>
      <c r="BV894" s="1365" t="n"/>
      <c r="BW894" s="1365" t="n"/>
      <c r="BX894" s="1365" t="n"/>
      <c r="BY894" s="1364" t="n"/>
      <c r="BZ894" s="1364" t="n"/>
      <c r="CA894" s="1364" t="n"/>
      <c r="CB894" s="1364" t="n"/>
      <c r="CC894" s="1280" t="n"/>
    </row>
    <row r="895" collapsed="1" ht="14.4" customFormat="1" customHeight="1" s="1275">
      <c r="A895" s="1602" t="inlineStr">
        <is>
          <t>Property, plant and equipment</t>
        </is>
      </c>
      <c r="B895" s="1613" t="n"/>
      <c r="C895" s="1603">
        <f>SUM(C886:C894)</f>
        <v/>
      </c>
      <c r="D895" s="1603">
        <f>SUM(D886:D894)</f>
        <v/>
      </c>
      <c r="E895" s="1603">
        <f>SUM(E886:E894)</f>
        <v/>
      </c>
      <c r="F895" s="1603">
        <f>SUM(F886:F894)</f>
        <v/>
      </c>
      <c r="G895" s="1603">
        <f>SUM(G886:G894)</f>
        <v/>
      </c>
      <c r="H895" s="1528">
        <f>SUM(H886:H894)</f>
        <v/>
      </c>
      <c r="I895" s="1528">
        <f>SUM(I886:I894)</f>
        <v/>
      </c>
      <c r="J895" s="1528">
        <f>SUM(J886:J894)</f>
        <v/>
      </c>
      <c r="K895" s="1528">
        <f>SUM(K886:K894)</f>
        <v/>
      </c>
      <c r="L895" s="1603">
        <f>SUM(L886:L894)</f>
        <v/>
      </c>
      <c r="M895" s="1528">
        <f>SUM(M886:M894)</f>
        <v/>
      </c>
      <c r="N895" s="1528">
        <f>SUM(N886:N894)</f>
        <v/>
      </c>
      <c r="O895" s="1528">
        <f>SUM(O886:O894)</f>
        <v/>
      </c>
      <c r="P895" s="1528">
        <f>SUM(P886:P894)</f>
        <v/>
      </c>
      <c r="Q895" s="1603">
        <f>SUM(Q886:Q894)</f>
        <v/>
      </c>
      <c r="R895" s="1528">
        <f>SUM(R886:R894)</f>
        <v/>
      </c>
      <c r="S895" s="1528">
        <f>SUM(S886:S894)</f>
        <v/>
      </c>
      <c r="T895" s="1528">
        <f>SUM(T886:T894)</f>
        <v/>
      </c>
      <c r="U895" s="1528">
        <f>SUM(U886:U894)</f>
        <v/>
      </c>
      <c r="V895" s="1603">
        <f>SUM(V886:V894)</f>
        <v/>
      </c>
      <c r="W895" s="1528">
        <f>SUM(W886:W894)</f>
        <v/>
      </c>
      <c r="X895" s="1528">
        <f>SUM(X886:X894)</f>
        <v/>
      </c>
      <c r="Y895" s="1528">
        <f>SUM(Y886:Y894)</f>
        <v/>
      </c>
      <c r="Z895" s="1528">
        <f>SUM(Z886:Z894)</f>
        <v/>
      </c>
      <c r="AA895" s="1603">
        <f>SUM(AA886:AA894)</f>
        <v/>
      </c>
      <c r="AB895" s="1528">
        <f>SUM(AB886:AB894)</f>
        <v/>
      </c>
      <c r="AC895" s="1528">
        <f>SUM(AC886:AC894)</f>
        <v/>
      </c>
      <c r="AD895" s="1528">
        <f>SUM(AD886:AD894)</f>
        <v/>
      </c>
      <c r="AE895" s="1528">
        <f>SUM(AE886:AE894)</f>
        <v/>
      </c>
      <c r="AF895" s="1603">
        <f>SUM(AF886:AF894)</f>
        <v/>
      </c>
      <c r="AG895" s="1528">
        <f>SUM(AG886:AG894)</f>
        <v/>
      </c>
      <c r="AH895" s="1528">
        <f>SUM(AH886:AH894)</f>
        <v/>
      </c>
      <c r="AI895" s="1528">
        <f>SUM(AI886:AI894)</f>
        <v/>
      </c>
      <c r="AJ895" s="1528">
        <f>AK895</f>
        <v/>
      </c>
      <c r="AK895" s="1603">
        <f>SUM(AK886:AK894)</f>
        <v/>
      </c>
      <c r="AL895" s="1528">
        <f>SUM(AL886:AL894)</f>
        <v/>
      </c>
      <c r="AM895" s="1528">
        <f>SUM(AM886:AM894)</f>
        <v/>
      </c>
      <c r="AN895" s="1528">
        <f>SUM(AN886:AN894)</f>
        <v/>
      </c>
      <c r="AO895" s="1528">
        <f>AP895</f>
        <v/>
      </c>
      <c r="AP895" s="1603">
        <f>SUM(AP886:AP894)</f>
        <v/>
      </c>
      <c r="AQ895" s="1615">
        <f>SUM(AQ886:AQ894)</f>
        <v/>
      </c>
      <c r="AR895" s="1528">
        <f>SUM(AR886:AR894)</f>
        <v/>
      </c>
      <c r="AS895" s="1528">
        <f>SUM(AS886:AS894)</f>
        <v/>
      </c>
      <c r="AT895" s="1528">
        <f>AU895</f>
        <v/>
      </c>
      <c r="AU895" s="1614">
        <f>SUM(AU886:AU894)</f>
        <v/>
      </c>
      <c r="AV895" s="1615">
        <f>SUM(AV886:AV894)</f>
        <v/>
      </c>
      <c r="AW895" s="1615">
        <f>SUM(AW886:AW894)</f>
        <v/>
      </c>
      <c r="AX895" s="1615">
        <f>SUM(AX886:AX894)</f>
        <v/>
      </c>
      <c r="AY895" s="1528">
        <f>AZ895</f>
        <v/>
      </c>
      <c r="AZ895" s="1614">
        <f>SUM(AZ886:AZ894)</f>
        <v/>
      </c>
      <c r="BA895" s="1615">
        <f>SUM(BA886:BA894)</f>
        <v/>
      </c>
      <c r="BB895" s="1615">
        <f>SUM(BB886:BB894)</f>
        <v/>
      </c>
      <c r="BC895" s="1528">
        <f>SUM(BC886:BC894)</f>
        <v/>
      </c>
      <c r="BD895" s="1528">
        <f>BE895</f>
        <v/>
      </c>
      <c r="BE895" s="1614">
        <f>SUM(BE886:BE894)</f>
        <v/>
      </c>
      <c r="BF895" s="1528">
        <f>SUM(BF886:BF894)</f>
        <v/>
      </c>
      <c r="BG895" s="1615">
        <f>SUM(BG886:BG894)</f>
        <v/>
      </c>
      <c r="BH895" s="1615">
        <f>SUM(BH886:BH894)</f>
        <v/>
      </c>
      <c r="BI895" s="1528">
        <f>SUM(BI886:BI894)</f>
        <v/>
      </c>
      <c r="BJ895" s="1614">
        <f>SUM(BJ886:BJ894)</f>
        <v/>
      </c>
      <c r="BK895" s="1528">
        <f>SUM(BK886:BK894)</f>
        <v/>
      </c>
      <c r="BL895" s="1615">
        <f>SUM(BL886:BL894)</f>
        <v/>
      </c>
      <c r="BM895" s="1615">
        <f>SUM(BM886:BM894)</f>
        <v/>
      </c>
      <c r="BN895" s="1528">
        <f>BO895</f>
        <v/>
      </c>
      <c r="BO895" s="1808" t="n">
        <v>3691841</v>
      </c>
      <c r="BP895" s="1528">
        <f>BO895-BP756-BP778+BP837+BP836</f>
        <v/>
      </c>
      <c r="BQ895" s="1528">
        <f>BP895-BQ756-BQ778+BQ837+BQ836</f>
        <v/>
      </c>
      <c r="BR895" s="1528">
        <f>BQ895-BR756-BR778+BR837+BR836</f>
        <v/>
      </c>
      <c r="BS895" s="1528">
        <f>BR895-BS756-BS778+BS837+BS836</f>
        <v/>
      </c>
      <c r="BT895" s="1603">
        <f>BS895</f>
        <v/>
      </c>
      <c r="BU895" s="1528">
        <f>BT895-BU756-BU778+BU837+BU836</f>
        <v/>
      </c>
      <c r="BV895" s="1528">
        <f>BU895-BV756-BV778+BV837+BV836</f>
        <v/>
      </c>
      <c r="BW895" s="1528">
        <f>BV895-BW756-BW778+BW837+BW836</f>
        <v/>
      </c>
      <c r="BX895" s="1528">
        <f>BW895-BX756-BX778+BX837+BX836</f>
        <v/>
      </c>
      <c r="BY895" s="1603">
        <f>BX895</f>
        <v/>
      </c>
      <c r="BZ895" s="1603">
        <f>BY895-BZ756-BZ778+BZ837+BZ836</f>
        <v/>
      </c>
      <c r="CA895" s="1603">
        <f>BZ895-CA756-CA778+CA837+CA836</f>
        <v/>
      </c>
      <c r="CB895" s="1603">
        <f>CA895-CB756-CB778+CB837+CB836</f>
        <v/>
      </c>
      <c r="CC895" s="1280" t="n"/>
    </row>
    <row r="896" ht="14.4" customFormat="1" customHeight="1" s="1275">
      <c r="A896" s="1384" t="inlineStr">
        <is>
          <t>Right-of-use assets</t>
        </is>
      </c>
      <c r="B896" s="1387" t="n"/>
      <c r="C896" s="1297" t="n"/>
      <c r="D896" s="1297" t="n"/>
      <c r="E896" s="1297" t="n"/>
      <c r="F896" s="1297" t="n"/>
      <c r="G896" s="1297" t="n"/>
      <c r="H896" s="1277" t="n"/>
      <c r="I896" s="1277" t="n"/>
      <c r="J896" s="1277" t="n"/>
      <c r="K896" s="1277" t="n"/>
      <c r="L896" s="1297" t="n"/>
      <c r="M896" s="1277" t="n"/>
      <c r="N896" s="1277" t="n"/>
      <c r="O896" s="1277" t="n"/>
      <c r="P896" s="1277" t="n"/>
      <c r="Q896" s="1297" t="n"/>
      <c r="R896" s="1277" t="n"/>
      <c r="S896" s="1277" t="n"/>
      <c r="T896" s="1277" t="n"/>
      <c r="U896" s="1277" t="n"/>
      <c r="V896" s="1297" t="n"/>
      <c r="W896" s="1277" t="n"/>
      <c r="X896" s="1277" t="n"/>
      <c r="Y896" s="1277" t="n"/>
      <c r="Z896" s="1277" t="n"/>
      <c r="AA896" s="1297" t="n"/>
      <c r="AB896" s="1277" t="n"/>
      <c r="AC896" s="1277" t="n"/>
      <c r="AD896" s="1277" t="n"/>
      <c r="AE896" s="1277" t="n"/>
      <c r="AF896" s="1297" t="n"/>
      <c r="AG896" s="1298" t="n">
        <v>19043.554</v>
      </c>
      <c r="AH896" s="1298" t="n">
        <v>18042.308</v>
      </c>
      <c r="AI896" s="1298" t="n">
        <v>17506.826</v>
      </c>
      <c r="AJ896" s="1277">
        <f>AK896</f>
        <v/>
      </c>
      <c r="AK896" s="1299" t="n">
        <v>17232.402</v>
      </c>
      <c r="AL896" s="1298" t="n">
        <v>21720.648</v>
      </c>
      <c r="AM896" s="1298" t="n">
        <v>21036.894</v>
      </c>
      <c r="AN896" s="1298" t="n">
        <v>20824.081</v>
      </c>
      <c r="AO896" s="1277">
        <f>AP896</f>
        <v/>
      </c>
      <c r="AP896" s="1299" t="n">
        <v>27728.382</v>
      </c>
      <c r="AQ896" s="1298" t="n">
        <v>32282.312</v>
      </c>
      <c r="AR896" s="1298" t="n">
        <v>32619.272</v>
      </c>
      <c r="AS896" s="1298" t="n">
        <v>32961.097</v>
      </c>
      <c r="AT896" s="1277">
        <f>AU896</f>
        <v/>
      </c>
      <c r="AU896" s="1299" t="n">
        <v>32734.537</v>
      </c>
      <c r="AV896" s="1298" t="n">
        <v>32922.146</v>
      </c>
      <c r="AW896" s="1298" t="n">
        <v>34293.532</v>
      </c>
      <c r="AX896" s="1298" t="n">
        <v>42349.743</v>
      </c>
      <c r="AY896" s="1277">
        <f>AZ896</f>
        <v/>
      </c>
      <c r="AZ896" s="1299" t="n">
        <v>41914.136</v>
      </c>
      <c r="BA896" s="1298" t="n">
        <v>42018.656</v>
      </c>
      <c r="BB896" s="1298" t="n">
        <v>41595.01</v>
      </c>
      <c r="BC896" s="1298" t="n">
        <v>41254.711</v>
      </c>
      <c r="BD896" s="1277">
        <f>BE896</f>
        <v/>
      </c>
      <c r="BE896" s="1299" t="n">
        <v>40424.83</v>
      </c>
      <c r="BF896" s="1298" t="n">
        <v>40136.864</v>
      </c>
      <c r="BG896" s="1298" t="n">
        <v>39512.949</v>
      </c>
      <c r="BH896" s="1298" t="n">
        <v>39698.749</v>
      </c>
      <c r="BI896" s="1277">
        <f>BJ896</f>
        <v/>
      </c>
      <c r="BJ896" s="1299" t="n">
        <v>40128.391</v>
      </c>
      <c r="BK896" s="1298" t="n">
        <v>41303.416</v>
      </c>
      <c r="BL896" s="1298" t="n">
        <v>43857.918</v>
      </c>
      <c r="BM896" s="1298" t="n">
        <v>43268.856</v>
      </c>
      <c r="BN896" s="1277">
        <f>BO896</f>
        <v/>
      </c>
      <c r="BO896" s="1645" t="n">
        <v>43000</v>
      </c>
      <c r="BP896" s="1277">
        <f>BO896-BP70</f>
        <v/>
      </c>
      <c r="BQ896" s="1277">
        <f>BP896-BQ70</f>
        <v/>
      </c>
      <c r="BR896" s="1277">
        <f>BQ896-BR70</f>
        <v/>
      </c>
      <c r="BS896" s="1277">
        <f>BR896-BS70</f>
        <v/>
      </c>
      <c r="BT896" s="1297">
        <f>BS896</f>
        <v/>
      </c>
      <c r="BU896" s="1277">
        <f>BT896-BU70</f>
        <v/>
      </c>
      <c r="BV896" s="1277">
        <f>BU896-BV70</f>
        <v/>
      </c>
      <c r="BW896" s="1277">
        <f>BV896-BW70</f>
        <v/>
      </c>
      <c r="BX896" s="1277">
        <f>BW896-BX70</f>
        <v/>
      </c>
      <c r="BY896" s="1297">
        <f>BX896</f>
        <v/>
      </c>
      <c r="BZ896" s="1297">
        <f>BY896-BZ70</f>
        <v/>
      </c>
      <c r="CA896" s="1297">
        <f>BZ896-CA70</f>
        <v/>
      </c>
      <c r="CB896" s="1297">
        <f>CA896-CB70</f>
        <v/>
      </c>
      <c r="CC896" s="1280" t="n"/>
    </row>
    <row r="897" ht="14.4" customFormat="1" customHeight="1" s="1275">
      <c r="A897" s="1384" t="inlineStr">
        <is>
          <t>Intangible assets</t>
        </is>
      </c>
      <c r="B897" s="1387" t="n"/>
      <c r="C897" s="1299" t="n">
        <v>12389.872</v>
      </c>
      <c r="D897" s="1299" t="n">
        <v>11731.982</v>
      </c>
      <c r="E897" s="1299" t="n">
        <v>10861.563</v>
      </c>
      <c r="F897" s="1299" t="n">
        <v>10959.569</v>
      </c>
      <c r="G897" s="1299" t="n">
        <v>11490.383</v>
      </c>
      <c r="H897" s="1298" t="n">
        <v>12113.629</v>
      </c>
      <c r="I897" s="1298" t="n">
        <v>11433.307</v>
      </c>
      <c r="J897" s="1298" t="n">
        <v>11942.249</v>
      </c>
      <c r="K897" s="1277">
        <f>L897</f>
        <v/>
      </c>
      <c r="L897" s="1299" t="n">
        <v>13531.51</v>
      </c>
      <c r="M897" s="1298" t="n">
        <v>13138.963</v>
      </c>
      <c r="N897" s="1298" t="n">
        <v>12938.507</v>
      </c>
      <c r="O897" s="1298" t="n">
        <v>13196.292</v>
      </c>
      <c r="P897" s="1277">
        <f>Q897</f>
        <v/>
      </c>
      <c r="Q897" s="1299" t="n">
        <v>14065.88</v>
      </c>
      <c r="R897" s="1298" t="n">
        <v>13989.513</v>
      </c>
      <c r="S897" s="1298" t="n">
        <v>14066.562</v>
      </c>
      <c r="T897" s="1298" t="n">
        <v>14630.613</v>
      </c>
      <c r="U897" s="1277">
        <f>V897</f>
        <v/>
      </c>
      <c r="V897" s="1299" t="n">
        <v>14614.846</v>
      </c>
      <c r="W897" s="1298" t="n">
        <v>14278.436</v>
      </c>
      <c r="X897" s="1298" t="n">
        <v>14118.892</v>
      </c>
      <c r="Y897" s="1298" t="n">
        <v>14841.399</v>
      </c>
      <c r="Z897" s="1277">
        <f>AA897</f>
        <v/>
      </c>
      <c r="AA897" s="1299" t="n">
        <v>14175.14</v>
      </c>
      <c r="AB897" s="1298" t="n">
        <v>13674.295</v>
      </c>
      <c r="AC897" s="1298" t="n">
        <v>13792.211</v>
      </c>
      <c r="AD897" s="1298" t="n">
        <v>13989.184</v>
      </c>
      <c r="AE897" s="1277">
        <f>AF897</f>
        <v/>
      </c>
      <c r="AF897" s="1299" t="n">
        <v>17002.137</v>
      </c>
      <c r="AG897" s="1298" t="n">
        <v>17974.017</v>
      </c>
      <c r="AH897" s="1298" t="n">
        <v>17500.83</v>
      </c>
      <c r="AI897" s="1298" t="n">
        <v>18093.573</v>
      </c>
      <c r="AJ897" s="1277">
        <f>AK897</f>
        <v/>
      </c>
      <c r="AK897" s="1299" t="n">
        <v>20653.028</v>
      </c>
      <c r="AL897" s="1298" t="n">
        <v>27232.071</v>
      </c>
      <c r="AM897" s="1298" t="n">
        <v>27395.6</v>
      </c>
      <c r="AN897" s="1298" t="n">
        <v>26339.513</v>
      </c>
      <c r="AO897" s="1277">
        <f>AP897</f>
        <v/>
      </c>
      <c r="AP897" s="1299" t="n">
        <v>25768.179</v>
      </c>
      <c r="AQ897" s="1298" t="n">
        <v>25012.688</v>
      </c>
      <c r="AR897" s="1298" t="n">
        <v>26535.043</v>
      </c>
      <c r="AS897" s="1298" t="n">
        <v>25643.914</v>
      </c>
      <c r="AT897" s="1277">
        <f>AU897</f>
        <v/>
      </c>
      <c r="AU897" s="1299" t="n">
        <v>26821.697</v>
      </c>
      <c r="AV897" s="1298" t="n">
        <v>25620.051</v>
      </c>
      <c r="AW897" s="1298" t="n">
        <v>27208.993</v>
      </c>
      <c r="AX897" s="1298" t="n">
        <v>26706.552</v>
      </c>
      <c r="AY897" s="1277">
        <f>AZ897</f>
        <v/>
      </c>
      <c r="AZ897" s="1299" t="n">
        <v>25999.155</v>
      </c>
      <c r="BA897" s="1298" t="n">
        <v>24296.839</v>
      </c>
      <c r="BB897" s="1298" t="n">
        <v>23849.933</v>
      </c>
      <c r="BC897" s="1298" t="n">
        <v>23410.569</v>
      </c>
      <c r="BD897" s="1277">
        <f>BE897</f>
        <v/>
      </c>
      <c r="BE897" s="1299" t="n">
        <v>22766.744</v>
      </c>
      <c r="BF897" s="1298" t="n">
        <v>22238.925</v>
      </c>
      <c r="BG897" s="1298" t="n">
        <v>22430.599</v>
      </c>
      <c r="BH897" s="1298" t="n">
        <v>22083.031</v>
      </c>
      <c r="BI897" s="1277">
        <f>BJ897</f>
        <v/>
      </c>
      <c r="BJ897" s="1299" t="n">
        <v>26282.52</v>
      </c>
      <c r="BK897" s="1298" t="n">
        <v>25450.343</v>
      </c>
      <c r="BL897" s="1298" t="n">
        <v>24707.294</v>
      </c>
      <c r="BM897" s="1298" t="n">
        <v>25558.048</v>
      </c>
      <c r="BN897" s="1277">
        <f>BO897</f>
        <v/>
      </c>
      <c r="BO897" s="1645" t="n">
        <v>25000</v>
      </c>
      <c r="BP897" s="1277">
        <f>BO897+BP843+BP842</f>
        <v/>
      </c>
      <c r="BQ897" s="1277">
        <f>BP897+BQ843+BQ842</f>
        <v/>
      </c>
      <c r="BR897" s="1277">
        <f>BQ897+BR843+BR842</f>
        <v/>
      </c>
      <c r="BS897" s="1277">
        <f>BR897+BS843+BS842</f>
        <v/>
      </c>
      <c r="BT897" s="1297">
        <f>BS897</f>
        <v/>
      </c>
      <c r="BU897" s="1277">
        <f>BT897+BU843+BU842</f>
        <v/>
      </c>
      <c r="BV897" s="1277">
        <f>BU897+BV843+BV842</f>
        <v/>
      </c>
      <c r="BW897" s="1277">
        <f>BV897+BW843+BW842</f>
        <v/>
      </c>
      <c r="BX897" s="1277">
        <f>BW897+BX843+BX842</f>
        <v/>
      </c>
      <c r="BY897" s="1297">
        <f>BX897</f>
        <v/>
      </c>
      <c r="BZ897" s="1297">
        <f>BY897+BZ843+BZ842</f>
        <v/>
      </c>
      <c r="CA897" s="1297">
        <f>BZ897+CA843+CA842</f>
        <v/>
      </c>
      <c r="CB897" s="1297">
        <f>CA897+CB843+CB842</f>
        <v/>
      </c>
      <c r="CC897" s="1280" t="n"/>
    </row>
    <row r="898" ht="14.4" customFormat="1" customHeight="1" s="1275">
      <c r="A898" s="1384" t="inlineStr">
        <is>
          <t>Deferred income tax assets</t>
        </is>
      </c>
      <c r="B898" s="1387" t="n"/>
      <c r="C898" s="1299" t="n">
        <v>7988.303</v>
      </c>
      <c r="D898" s="1299" t="n">
        <v>7362.784</v>
      </c>
      <c r="E898" s="1299" t="n">
        <v>7436.717</v>
      </c>
      <c r="F898" s="1299" t="n">
        <v>13128.219</v>
      </c>
      <c r="G898" s="1299" t="n">
        <v>7239.609</v>
      </c>
      <c r="H898" s="1298" t="n">
        <v>7799.443</v>
      </c>
      <c r="I898" s="1298" t="n">
        <v>4915.991</v>
      </c>
      <c r="J898" s="1298" t="n">
        <v>4940.633</v>
      </c>
      <c r="K898" s="1277">
        <f>L898</f>
        <v/>
      </c>
      <c r="L898" s="1299" t="n">
        <v>5138.782</v>
      </c>
      <c r="M898" s="1298" t="n">
        <v>6246.031</v>
      </c>
      <c r="N898" s="1298" t="n">
        <v>5342.444</v>
      </c>
      <c r="O898" s="1298" t="n">
        <v>5743.803</v>
      </c>
      <c r="P898" s="1277">
        <f>Q898</f>
        <v/>
      </c>
      <c r="Q898" s="1299" t="n">
        <v>6384.974</v>
      </c>
      <c r="R898" s="1298" t="n">
        <v>7561.741</v>
      </c>
      <c r="S898" s="1298" t="n">
        <v>6643.607</v>
      </c>
      <c r="T898" s="1298" t="n">
        <v>7506.051</v>
      </c>
      <c r="U898" s="1277">
        <f>V898</f>
        <v/>
      </c>
      <c r="V898" s="1299" t="n">
        <v>8271.421</v>
      </c>
      <c r="W898" s="1298" t="n">
        <v>10644.401</v>
      </c>
      <c r="X898" s="1298" t="n">
        <v>10010.278</v>
      </c>
      <c r="Y898" s="1298" t="n">
        <v>11237.149</v>
      </c>
      <c r="Z898" s="1277">
        <f>AA898</f>
        <v/>
      </c>
      <c r="AA898" s="1299" t="n">
        <v>12105.463</v>
      </c>
      <c r="AB898" s="1298" t="n">
        <v>12987.042</v>
      </c>
      <c r="AC898" s="1298" t="n">
        <v>13632.059</v>
      </c>
      <c r="AD898" s="1298" t="n">
        <v>14697.325</v>
      </c>
      <c r="AE898" s="1277">
        <f>AF898</f>
        <v/>
      </c>
      <c r="AF898" s="1299" t="n">
        <v>16806.387</v>
      </c>
      <c r="AG898" s="1298" t="n">
        <v>16959.414</v>
      </c>
      <c r="AH898" s="1298" t="n">
        <v>17123.994</v>
      </c>
      <c r="AI898" s="1298" t="n">
        <v>17179.511</v>
      </c>
      <c r="AJ898" s="1277">
        <f>AK898</f>
        <v/>
      </c>
      <c r="AK898" s="1299" t="n">
        <v>17928.358</v>
      </c>
      <c r="AL898" s="1298" t="n">
        <v>19309.12</v>
      </c>
      <c r="AM898" s="1298" t="n">
        <v>20493.373</v>
      </c>
      <c r="AN898" s="1298" t="n">
        <v>22505.789</v>
      </c>
      <c r="AO898" s="1277">
        <f>AP898</f>
        <v/>
      </c>
      <c r="AP898" s="1299" t="n">
        <v>25958.184</v>
      </c>
      <c r="AQ898" s="1298" t="n">
        <v>31254.225</v>
      </c>
      <c r="AR898" s="1298" t="n">
        <v>36180.371</v>
      </c>
      <c r="AS898" s="1298" t="n">
        <v>41925.391</v>
      </c>
      <c r="AT898" s="1277">
        <f>AU898</f>
        <v/>
      </c>
      <c r="AU898" s="1299" t="n">
        <v>49153.886</v>
      </c>
      <c r="AV898" s="1298" t="n">
        <v>53903.541</v>
      </c>
      <c r="AW898" s="1298" t="n">
        <v>57848.313</v>
      </c>
      <c r="AX898" s="1298" t="n">
        <v>63058.097</v>
      </c>
      <c r="AY898" s="1277">
        <f>AZ898</f>
        <v/>
      </c>
      <c r="AZ898" s="1299" t="n">
        <v>69185.842</v>
      </c>
      <c r="BA898" s="1298" t="n">
        <v>68775.652</v>
      </c>
      <c r="BB898" s="1298" t="n">
        <v>68379.72100000001</v>
      </c>
      <c r="BC898" s="1298" t="n">
        <v>71030.144</v>
      </c>
      <c r="BD898" s="1277">
        <f>BE898</f>
        <v/>
      </c>
      <c r="BE898" s="1299" t="n">
        <v>64175.787</v>
      </c>
      <c r="BF898" s="1298" t="n">
        <v>63729.274</v>
      </c>
      <c r="BG898" s="1298" t="n">
        <v>65160.047</v>
      </c>
      <c r="BH898" s="1298" t="n">
        <v>65944.21400000001</v>
      </c>
      <c r="BI898" s="1277">
        <f>BJ898</f>
        <v/>
      </c>
      <c r="BJ898" s="1299" t="n">
        <v>65943.3</v>
      </c>
      <c r="BK898" s="1298" t="n">
        <v>66666.777</v>
      </c>
      <c r="BL898" s="1298" t="n">
        <v>64996.327</v>
      </c>
      <c r="BM898" s="1298" t="n">
        <v>62098.853</v>
      </c>
      <c r="BN898" s="1277">
        <f>BO898</f>
        <v/>
      </c>
      <c r="BO898" s="1645" t="n">
        <v>63000</v>
      </c>
      <c r="BP898" s="1277">
        <f>BO898</f>
        <v/>
      </c>
      <c r="BQ898" s="1277">
        <f>BP898</f>
        <v/>
      </c>
      <c r="BR898" s="1277">
        <f>BQ898</f>
        <v/>
      </c>
      <c r="BS898" s="1277">
        <f>BR898</f>
        <v/>
      </c>
      <c r="BT898" s="1297">
        <f>BS898</f>
        <v/>
      </c>
      <c r="BU898" s="1277">
        <f>BT898</f>
        <v/>
      </c>
      <c r="BV898" s="1277">
        <f>BU898</f>
        <v/>
      </c>
      <c r="BW898" s="1277">
        <f>BV898</f>
        <v/>
      </c>
      <c r="BX898" s="1277">
        <f>BW898</f>
        <v/>
      </c>
      <c r="BY898" s="1297">
        <f>BX898</f>
        <v/>
      </c>
      <c r="BZ898" s="1297">
        <f>BY898</f>
        <v/>
      </c>
      <c r="CA898" s="1297">
        <f>BZ898</f>
        <v/>
      </c>
      <c r="CB898" s="1297">
        <f>CA898</f>
        <v/>
      </c>
      <c r="CC898" s="1280" t="n"/>
    </row>
    <row r="899" ht="14.4" customFormat="1" customHeight="1" s="1275">
      <c r="A899" s="1384" t="inlineStr">
        <is>
          <t>Refundable deposits</t>
        </is>
      </c>
      <c r="B899" s="1387" t="n"/>
      <c r="C899" s="1299" t="n">
        <v>2733.143</v>
      </c>
      <c r="D899" s="1299" t="n">
        <v>8677.969999999999</v>
      </c>
      <c r="E899" s="1299" t="n">
        <v>4518.863</v>
      </c>
      <c r="F899" s="1299" t="n">
        <v>2426.712</v>
      </c>
      <c r="G899" s="1299" t="n">
        <v>2519.031</v>
      </c>
      <c r="H899" s="1298" t="n">
        <v>2560.988</v>
      </c>
      <c r="I899" s="1298" t="n">
        <v>2476.534</v>
      </c>
      <c r="J899" s="1298" t="n">
        <v>2359.756</v>
      </c>
      <c r="K899" s="1277">
        <f>L899</f>
        <v/>
      </c>
      <c r="L899" s="1299" t="n">
        <v>356.069</v>
      </c>
      <c r="M899" s="1298" t="n">
        <v>442.633</v>
      </c>
      <c r="N899" s="1298" t="n">
        <v>408.585</v>
      </c>
      <c r="O899" s="1298" t="n">
        <v>400.263</v>
      </c>
      <c r="P899" s="1277">
        <f>Q899</f>
        <v/>
      </c>
      <c r="Q899" s="1299" t="n">
        <v>430.802</v>
      </c>
      <c r="R899" s="1298" t="n">
        <v>443.337</v>
      </c>
      <c r="S899" s="1298" t="n">
        <v>441.447</v>
      </c>
      <c r="T899" s="1298" t="n">
        <v>509.564</v>
      </c>
      <c r="U899" s="1277">
        <f>V899</f>
        <v/>
      </c>
      <c r="V899" s="1299" t="n">
        <v>407.874</v>
      </c>
      <c r="W899" s="1298" t="n">
        <v>572.005</v>
      </c>
      <c r="X899" s="1298" t="n">
        <v>742.707</v>
      </c>
      <c r="Y899" s="1298" t="n">
        <v>1241.028</v>
      </c>
      <c r="Z899" s="1277">
        <f>AA899</f>
        <v/>
      </c>
      <c r="AA899" s="1299" t="n">
        <v>1283.414</v>
      </c>
      <c r="AB899" s="1298" t="n">
        <v>2121.209</v>
      </c>
      <c r="AC899" s="1298" t="n">
        <v>2110.444</v>
      </c>
      <c r="AD899" s="1298" t="n">
        <v>1968.751</v>
      </c>
      <c r="AE899" s="1277">
        <f>AF899</f>
        <v/>
      </c>
      <c r="AF899" s="1299" t="n">
        <v>1700.071</v>
      </c>
      <c r="AG899" s="1298" t="n">
        <v>2839.161</v>
      </c>
      <c r="AH899" s="1298" t="n">
        <v>2570.491</v>
      </c>
      <c r="AI899" s="1298" t="n">
        <v>2256.399</v>
      </c>
      <c r="AJ899" s="1277">
        <f>AK899</f>
        <v/>
      </c>
      <c r="AK899" s="1299" t="n">
        <v>2084.968</v>
      </c>
      <c r="AL899" s="1298" t="n">
        <v>1825.67</v>
      </c>
      <c r="AM899" s="1298" t="n">
        <v>1502.926</v>
      </c>
      <c r="AN899" s="1298" t="n">
        <v>1274.044</v>
      </c>
      <c r="AO899" s="1277">
        <f>AP899</f>
        <v/>
      </c>
      <c r="AP899" s="1299" t="n">
        <v>1343.001</v>
      </c>
      <c r="AQ899" s="1298" t="n">
        <v>1193.924</v>
      </c>
      <c r="AR899" s="1298" t="n">
        <v>2513.142</v>
      </c>
      <c r="AS899" s="1298" t="n">
        <v>2422.262</v>
      </c>
      <c r="AT899" s="1277">
        <f>AU899</f>
        <v/>
      </c>
      <c r="AU899" s="1299" t="n">
        <v>2624.854</v>
      </c>
      <c r="AV899" s="1298" t="n">
        <v>4073.354</v>
      </c>
      <c r="AW899" s="1298" t="n">
        <v>4125.907</v>
      </c>
      <c r="AX899" s="1298" t="n">
        <v>4451.49</v>
      </c>
      <c r="AY899" s="1277">
        <f>AZ899</f>
        <v/>
      </c>
      <c r="AZ899" s="1299" t="n">
        <v>4467.022</v>
      </c>
      <c r="BA899" s="1298" t="n">
        <v>4218.206</v>
      </c>
      <c r="BB899" s="1298" t="n">
        <v>5814.759</v>
      </c>
      <c r="BC899" s="1298" t="n">
        <v>8388.839</v>
      </c>
      <c r="BD899" s="1277">
        <f>BE899</f>
        <v/>
      </c>
      <c r="BE899" s="1299" t="n">
        <v>7044.42</v>
      </c>
      <c r="BF899" s="1298" t="n">
        <v>6124.127</v>
      </c>
      <c r="BG899" s="1298" t="n">
        <v>4473.796</v>
      </c>
      <c r="BH899" s="1298" t="n">
        <v>4483.344</v>
      </c>
      <c r="BI899" s="1277">
        <f>BJ899</f>
        <v/>
      </c>
      <c r="BJ899" s="1299" t="n">
        <v>5495.862</v>
      </c>
      <c r="BK899" s="1298" t="n">
        <v>5583.601</v>
      </c>
      <c r="BL899" s="1298" t="n">
        <v>4854.963</v>
      </c>
      <c r="BM899" s="1298" t="n">
        <v>5092.503</v>
      </c>
      <c r="BN899" s="1277">
        <f>BO899</f>
        <v/>
      </c>
      <c r="BO899" s="1645" t="n">
        <v>5000</v>
      </c>
      <c r="BP899" s="1277">
        <f>BO899</f>
        <v/>
      </c>
      <c r="BQ899" s="1277">
        <f>BP899</f>
        <v/>
      </c>
      <c r="BR899" s="1277">
        <f>BQ899</f>
        <v/>
      </c>
      <c r="BS899" s="1277">
        <f>BR899</f>
        <v/>
      </c>
      <c r="BT899" s="1297">
        <f>BS899</f>
        <v/>
      </c>
      <c r="BU899" s="1277">
        <f>BT899</f>
        <v/>
      </c>
      <c r="BV899" s="1277">
        <f>BU899</f>
        <v/>
      </c>
      <c r="BW899" s="1277">
        <f>BV899</f>
        <v/>
      </c>
      <c r="BX899" s="1277">
        <f>BW899</f>
        <v/>
      </c>
      <c r="BY899" s="1297">
        <f>BX899</f>
        <v/>
      </c>
      <c r="BZ899" s="1297">
        <f>BY899</f>
        <v/>
      </c>
      <c r="CA899" s="1297">
        <f>BZ899</f>
        <v/>
      </c>
      <c r="CB899" s="1297">
        <f>CA899</f>
        <v/>
      </c>
      <c r="CC899" s="1280" t="n"/>
    </row>
    <row r="900" ht="14.4" customFormat="1" customHeight="1" s="1275">
      <c r="A900" s="1388" t="inlineStr">
        <is>
          <t>Other noncurrent assets</t>
        </is>
      </c>
      <c r="B900" s="1389" t="n"/>
      <c r="C900" s="1390" t="n">
        <v>260.864</v>
      </c>
      <c r="D900" s="1390" t="n">
        <v>1417.3</v>
      </c>
      <c r="E900" s="1390" t="n">
        <v>1353.983</v>
      </c>
      <c r="F900" s="1390" t="n">
        <v>1235.144</v>
      </c>
      <c r="G900" s="1390" t="n">
        <v>1469.577</v>
      </c>
      <c r="H900" s="1391" t="n">
        <v>1422.102</v>
      </c>
      <c r="I900" s="1391" t="n">
        <v>1385.149</v>
      </c>
      <c r="J900" s="1391" t="n">
        <v>1273.661</v>
      </c>
      <c r="K900" s="1365">
        <f>L900</f>
        <v/>
      </c>
      <c r="L900" s="1390" t="n">
        <v>1202.006</v>
      </c>
      <c r="M900" s="1391" t="n">
        <v>1173.031</v>
      </c>
      <c r="N900" s="1391" t="n">
        <v>1317.98</v>
      </c>
      <c r="O900" s="1391" t="n">
        <v>1376.756</v>
      </c>
      <c r="P900" s="1365">
        <f>Q900</f>
        <v/>
      </c>
      <c r="Q900" s="1390" t="n">
        <v>1428.676</v>
      </c>
      <c r="R900" s="1391" t="n">
        <v>1399.936</v>
      </c>
      <c r="S900" s="1391" t="n">
        <v>1546.548</v>
      </c>
      <c r="T900" s="1391" t="n">
        <v>1610.069</v>
      </c>
      <c r="U900" s="1365">
        <f>V900</f>
        <v/>
      </c>
      <c r="V900" s="1390" t="n">
        <v>1500.432</v>
      </c>
      <c r="W900" s="1391" t="n">
        <v>1624.131</v>
      </c>
      <c r="X900" s="1391" t="n">
        <v>2067.091</v>
      </c>
      <c r="Y900" s="1391" t="n">
        <v>2582.438</v>
      </c>
      <c r="Z900" s="1365">
        <f>AA900</f>
        <v/>
      </c>
      <c r="AA900" s="1390" t="n">
        <v>2983.12</v>
      </c>
      <c r="AB900" s="1391" t="n">
        <v>1513.731</v>
      </c>
      <c r="AC900" s="1391" t="n">
        <v>1732.193</v>
      </c>
      <c r="AD900" s="1391" t="n">
        <v>1690.222</v>
      </c>
      <c r="AE900" s="1365">
        <f>AF900</f>
        <v/>
      </c>
      <c r="AF900" s="1390" t="n">
        <v>1584.647</v>
      </c>
      <c r="AG900" s="1391" t="n">
        <v>1605.395</v>
      </c>
      <c r="AH900" s="1391" t="n">
        <v>1740.212</v>
      </c>
      <c r="AI900" s="1391" t="n">
        <v>1680.835</v>
      </c>
      <c r="AJ900" s="1365">
        <f>AK900</f>
        <v/>
      </c>
      <c r="AK900" s="1390" t="n">
        <v>1742.918</v>
      </c>
      <c r="AL900" s="1391" t="n">
        <v>1489.645</v>
      </c>
      <c r="AM900" s="1391" t="n">
        <v>1726.374</v>
      </c>
      <c r="AN900" s="1391" t="n">
        <v>4002.111</v>
      </c>
      <c r="AO900" s="1365">
        <f>AP900</f>
        <v/>
      </c>
      <c r="AP900" s="1390" t="n">
        <v>4411.023</v>
      </c>
      <c r="AQ900" s="1391" t="n">
        <v>1919.749</v>
      </c>
      <c r="AR900" s="1391" t="n">
        <v>2120.733</v>
      </c>
      <c r="AS900" s="1391" t="n">
        <v>2094.935</v>
      </c>
      <c r="AT900" s="1365">
        <f>AU900</f>
        <v/>
      </c>
      <c r="AU900" s="1390" t="n">
        <v>2592.169</v>
      </c>
      <c r="AV900" s="1391" t="n">
        <v>3852.446</v>
      </c>
      <c r="AW900" s="1391" t="n">
        <v>3838.915</v>
      </c>
      <c r="AX900" s="1391" t="n">
        <v>5217.377</v>
      </c>
      <c r="AY900" s="1365">
        <f>AZ900</f>
        <v/>
      </c>
      <c r="AZ900" s="1299" t="n">
        <v>7551.089</v>
      </c>
      <c r="BA900" s="1391" t="n">
        <v>7496.96</v>
      </c>
      <c r="BB900" s="1391" t="n">
        <v>8017.917</v>
      </c>
      <c r="BC900" s="1391" t="n">
        <v>8983.469999999999</v>
      </c>
      <c r="BD900" s="1365">
        <f>BE900</f>
        <v/>
      </c>
      <c r="BE900" s="1299" t="n">
        <v>10009.423</v>
      </c>
      <c r="BF900" s="1391" t="n">
        <v>12577.932</v>
      </c>
      <c r="BG900" s="1391" t="n">
        <v>13049.008</v>
      </c>
      <c r="BH900" s="1391" t="n">
        <v>60603.306</v>
      </c>
      <c r="BI900" s="1365">
        <f>BJ900</f>
        <v/>
      </c>
      <c r="BJ900" s="1299" t="n">
        <v>81715.364</v>
      </c>
      <c r="BK900" s="1391" t="n">
        <v>87019.951</v>
      </c>
      <c r="BL900" s="1391" t="n">
        <v>79382.45299999999</v>
      </c>
      <c r="BM900" s="1391" t="n">
        <v>133755.209</v>
      </c>
      <c r="BN900" s="1365">
        <f>BO900</f>
        <v/>
      </c>
      <c r="BO900" s="1382">
        <f>251682-BO899-BO898-BO897-BO896</f>
        <v/>
      </c>
      <c r="BP900" s="1365">
        <f>BO900</f>
        <v/>
      </c>
      <c r="BQ900" s="1365">
        <f>BP900</f>
        <v/>
      </c>
      <c r="BR900" s="1365">
        <f>BQ900</f>
        <v/>
      </c>
      <c r="BS900" s="1365">
        <f>BR900</f>
        <v/>
      </c>
      <c r="BT900" s="1364">
        <f>BS900</f>
        <v/>
      </c>
      <c r="BU900" s="1365">
        <f>BT900</f>
        <v/>
      </c>
      <c r="BV900" s="1365">
        <f>BU900</f>
        <v/>
      </c>
      <c r="BW900" s="1365">
        <f>BV900</f>
        <v/>
      </c>
      <c r="BX900" s="1365">
        <f>BW900</f>
        <v/>
      </c>
      <c r="BY900" s="1364">
        <f>BX900</f>
        <v/>
      </c>
      <c r="BZ900" s="1364">
        <f>BY900</f>
        <v/>
      </c>
      <c r="CA900" s="1364">
        <f>BZ900</f>
        <v/>
      </c>
      <c r="CB900" s="1364">
        <f>CA900</f>
        <v/>
      </c>
      <c r="CC900" s="1280" t="n"/>
    </row>
    <row r="901" ht="14.4" customFormat="1" customHeight="1" s="1323">
      <c r="A901" s="1324" t="inlineStr">
        <is>
          <t>Total Non-Current Assets</t>
        </is>
      </c>
      <c r="B901" s="1393" t="n"/>
      <c r="C901" s="1329">
        <f>SUM(C879:C885,C895:C900)</f>
        <v/>
      </c>
      <c r="D901" s="1329">
        <f>SUM(D879:D885,D895:D900)</f>
        <v/>
      </c>
      <c r="E901" s="1329">
        <f>SUM(E879:E885,E895:E900)</f>
        <v/>
      </c>
      <c r="F901" s="1329">
        <f>SUM(F879:F885,F895:F900)</f>
        <v/>
      </c>
      <c r="G901" s="1329">
        <f>SUM(G879:G885,G895:G900)</f>
        <v/>
      </c>
      <c r="H901" s="1328">
        <f>SUM(H879:H885,H895:H900)</f>
        <v/>
      </c>
      <c r="I901" s="1328">
        <f>SUM(I879:I885,I895:I900)</f>
        <v/>
      </c>
      <c r="J901" s="1328">
        <f>SUM(J879:J885,J895:J900)</f>
        <v/>
      </c>
      <c r="K901" s="1328">
        <f>SUM(K879:K885,K895:K900)</f>
        <v/>
      </c>
      <c r="L901" s="1329">
        <f>SUM(L879:L885,L895:L900)</f>
        <v/>
      </c>
      <c r="M901" s="1328">
        <f>SUM(M879:M885,M895:M900)</f>
        <v/>
      </c>
      <c r="N901" s="1328">
        <f>SUM(N879:N885,N895:N900)</f>
        <v/>
      </c>
      <c r="O901" s="1328">
        <f>SUM(O879:O885,O895:O900)</f>
        <v/>
      </c>
      <c r="P901" s="1328">
        <f>SUM(P879:P885,P895:P900)</f>
        <v/>
      </c>
      <c r="Q901" s="1329">
        <f>SUM(Q879:Q885,Q895:Q900)</f>
        <v/>
      </c>
      <c r="R901" s="1328">
        <f>SUM(R879:R885,R895:R900)</f>
        <v/>
      </c>
      <c r="S901" s="1328">
        <f>SUM(S879:S885,S895:S900)</f>
        <v/>
      </c>
      <c r="T901" s="1328">
        <f>SUM(T879:T885,T895:T900)</f>
        <v/>
      </c>
      <c r="U901" s="1328">
        <f>SUM(U879:U885,U895:U900)</f>
        <v/>
      </c>
      <c r="V901" s="1329">
        <f>SUM(V879:V885,V895:V900)</f>
        <v/>
      </c>
      <c r="W901" s="1328">
        <f>SUM(W879:W885,W895:W900)</f>
        <v/>
      </c>
      <c r="X901" s="1328">
        <f>SUM(X879:X885,X895:X900)</f>
        <v/>
      </c>
      <c r="Y901" s="1328">
        <f>SUM(Y879:Y885,Y895:Y900)</f>
        <v/>
      </c>
      <c r="Z901" s="1328">
        <f>SUM(Z879:Z885,Z895:Z900)</f>
        <v/>
      </c>
      <c r="AA901" s="1329">
        <f>SUM(AA879:AA885,AA895:AA900)</f>
        <v/>
      </c>
      <c r="AB901" s="1328">
        <f>SUM(AB879:AB885,AB895:AB900)</f>
        <v/>
      </c>
      <c r="AC901" s="1328">
        <f>SUM(AC879:AC885,AC895:AC900)</f>
        <v/>
      </c>
      <c r="AD901" s="1328">
        <f>SUM(AD879:AD885,AD895:AD900)</f>
        <v/>
      </c>
      <c r="AE901" s="1328">
        <f>SUM(AE879:AE885,AE895:AE900)</f>
        <v/>
      </c>
      <c r="AF901" s="1329">
        <f>SUM(AF879:AF885,AF895:AF900)</f>
        <v/>
      </c>
      <c r="AG901" s="1328">
        <f>SUM(AG879:AG885,AG895:AG900)</f>
        <v/>
      </c>
      <c r="AH901" s="1328">
        <f>SUM(AH879:AH885,AH895:AH900)</f>
        <v/>
      </c>
      <c r="AI901" s="1328">
        <f>SUM(AI879:AI885,AI895:AI900)</f>
        <v/>
      </c>
      <c r="AJ901" s="1328">
        <f>SUM(AJ879:AJ885,AJ895:AJ900)</f>
        <v/>
      </c>
      <c r="AK901" s="1329">
        <f>SUM(AK879:AK885,AK895:AK900)</f>
        <v/>
      </c>
      <c r="AL901" s="1328">
        <f>SUM(AL879:AL885,AL895:AL900)</f>
        <v/>
      </c>
      <c r="AM901" s="1328">
        <f>SUM(AM879:AM885,AM895:AM900)</f>
        <v/>
      </c>
      <c r="AN901" s="1328">
        <f>SUM(AN879:AN885,AN895:AN900)</f>
        <v/>
      </c>
      <c r="AO901" s="1328">
        <f>SUM(AO879:AO885,AO895:AO900)</f>
        <v/>
      </c>
      <c r="AP901" s="1329">
        <f>SUM(AP879:AP885,AP895:AP900)</f>
        <v/>
      </c>
      <c r="AQ901" s="1328">
        <f>SUM(AQ879:AQ885,AQ895:AQ900)</f>
        <v/>
      </c>
      <c r="AR901" s="1328">
        <f>SUM(AR879:AR885,AR895:AR900)</f>
        <v/>
      </c>
      <c r="AS901" s="1328">
        <f>SUM(AS879:AS885,AS895:AS900)</f>
        <v/>
      </c>
      <c r="AT901" s="1328">
        <f>SUM(AT879:AT885,AT895:AT900)</f>
        <v/>
      </c>
      <c r="AU901" s="1329">
        <f>SUM(AU879:AU885,AU895:AU900)</f>
        <v/>
      </c>
      <c r="AV901" s="1328">
        <f>SUM(AV879:AV885,AV895:AV900)</f>
        <v/>
      </c>
      <c r="AW901" s="1328">
        <f>SUM(AW879:AW885,AW895:AW900)</f>
        <v/>
      </c>
      <c r="AX901" s="1328">
        <f>SUM(AX879:AX885,AX895:AX900)</f>
        <v/>
      </c>
      <c r="AY901" s="1328">
        <f>SUM(AY879:AY885,AY895:AY900)</f>
        <v/>
      </c>
      <c r="AZ901" s="1329">
        <f>SUM(AZ879:AZ885,AZ895:AZ900)</f>
        <v/>
      </c>
      <c r="BA901" s="1328">
        <f>SUM(BA879:BA885,BA895:BA900)</f>
        <v/>
      </c>
      <c r="BB901" s="1328">
        <f>SUM(BB879:BB885,BB895:BB900)</f>
        <v/>
      </c>
      <c r="BC901" s="1327">
        <f>SUM(BC879:BC885,BC895:BC900)</f>
        <v/>
      </c>
      <c r="BD901" s="1328">
        <f>SUM(BD879:BD885,BD895:BD900)</f>
        <v/>
      </c>
      <c r="BE901" s="1329">
        <f>SUM(BE879:BE885,BE895:BE900)</f>
        <v/>
      </c>
      <c r="BF901" s="1328">
        <f>SUM(BF879:BF885,BF895:BF900)</f>
        <v/>
      </c>
      <c r="BG901" s="1328">
        <f>SUM(BG879:BG885,BG895:BG900)</f>
        <v/>
      </c>
      <c r="BH901" s="1327">
        <f>SUM(BH879:BH885,BH895:BH900)</f>
        <v/>
      </c>
      <c r="BI901" s="1328">
        <f>SUM(BI879:BI885,BI895:BI900)</f>
        <v/>
      </c>
      <c r="BJ901" s="1329">
        <f>SUM(BJ879:BJ885,BJ895:BJ900)</f>
        <v/>
      </c>
      <c r="BK901" s="1328">
        <f>SUM(BK879:BK885,BK895:BK900)</f>
        <v/>
      </c>
      <c r="BL901" s="1328">
        <f>SUM(BL879:BL885,BL895:BL900)</f>
        <v/>
      </c>
      <c r="BM901" s="1327">
        <f>SUM(BM879:BM885,BM895:BM900)</f>
        <v/>
      </c>
      <c r="BN901" s="1328">
        <f>SUM(BN879:BN885,BN895:BN900)</f>
        <v/>
      </c>
      <c r="BO901" s="1330">
        <f>SUM(BO879:BO885,BO895:BO900)</f>
        <v/>
      </c>
      <c r="BP901" s="1327">
        <f>SUM(BP879:BP885,BP895:BP900)</f>
        <v/>
      </c>
      <c r="BQ901" s="1327">
        <f>SUM(BQ879:BQ885,BQ895:BQ900)</f>
        <v/>
      </c>
      <c r="BR901" s="1327">
        <f>SUM(BR879:BR885,BR895:BR900)</f>
        <v/>
      </c>
      <c r="BS901" s="1327">
        <f>SUM(BS879:BS885,BS895:BS900)</f>
        <v/>
      </c>
      <c r="BT901" s="1326">
        <f>SUM(BT879:BT885,BT895:BT900)</f>
        <v/>
      </c>
      <c r="BU901" s="1327">
        <f>SUM(BU879:BU885,BU895:BU900)</f>
        <v/>
      </c>
      <c r="BV901" s="1327">
        <f>SUM(BV879:BV885,BV895:BV900)</f>
        <v/>
      </c>
      <c r="BW901" s="1327">
        <f>SUM(BW879:BW885,BW895:BW900)</f>
        <v/>
      </c>
      <c r="BX901" s="1327">
        <f>SUM(BX879:BX885,BX895:BX900)</f>
        <v/>
      </c>
      <c r="BY901" s="1326">
        <f>SUM(BY879:BY885,BY895:BY900)</f>
        <v/>
      </c>
      <c r="BZ901" s="1326">
        <f>SUM(BZ879:BZ885,BZ895:BZ900)</f>
        <v/>
      </c>
      <c r="CA901" s="1326">
        <f>SUM(CA879:CA885,CA895:CA900)</f>
        <v/>
      </c>
      <c r="CB901" s="1326">
        <f>SUM(CB879:CB885,CB895:CB900)</f>
        <v/>
      </c>
      <c r="CC901" s="1331" t="n"/>
    </row>
    <row r="902" ht="14.4" customFormat="1" customHeight="1" s="1323">
      <c r="A902" s="1577" t="inlineStr">
        <is>
          <t>Total Assets</t>
        </is>
      </c>
      <c r="B902" s="1394" t="n"/>
      <c r="C902" s="1593">
        <f>C876+C901</f>
        <v/>
      </c>
      <c r="D902" s="1593">
        <f>D876+D901</f>
        <v/>
      </c>
      <c r="E902" s="1593">
        <f>E876+E901</f>
        <v/>
      </c>
      <c r="F902" s="1593">
        <f>F876+F901</f>
        <v/>
      </c>
      <c r="G902" s="1593">
        <f>G876+G901</f>
        <v/>
      </c>
      <c r="H902" s="1331">
        <f>H876+H901</f>
        <v/>
      </c>
      <c r="I902" s="1331">
        <f>I876+I901</f>
        <v/>
      </c>
      <c r="J902" s="1331">
        <f>J876+J901</f>
        <v/>
      </c>
      <c r="K902" s="1331">
        <f>K876+K901</f>
        <v/>
      </c>
      <c r="L902" s="1593">
        <f>L876+L901</f>
        <v/>
      </c>
      <c r="M902" s="1331">
        <f>M876+M901</f>
        <v/>
      </c>
      <c r="N902" s="1331">
        <f>N876+N901</f>
        <v/>
      </c>
      <c r="O902" s="1331">
        <f>O876+O901</f>
        <v/>
      </c>
      <c r="P902" s="1331">
        <f>P876+P901</f>
        <v/>
      </c>
      <c r="Q902" s="1593">
        <f>Q876+Q901</f>
        <v/>
      </c>
      <c r="R902" s="1331">
        <f>R876+R901</f>
        <v/>
      </c>
      <c r="S902" s="1331">
        <f>S876+S901</f>
        <v/>
      </c>
      <c r="T902" s="1331">
        <f>T876+T901</f>
        <v/>
      </c>
      <c r="U902" s="1331">
        <f>U876+U901</f>
        <v/>
      </c>
      <c r="V902" s="1593">
        <f>V876+V901</f>
        <v/>
      </c>
      <c r="W902" s="1331">
        <f>W876+W901</f>
        <v/>
      </c>
      <c r="X902" s="1331">
        <f>X876+X901</f>
        <v/>
      </c>
      <c r="Y902" s="1331">
        <f>Y876+Y901</f>
        <v/>
      </c>
      <c r="Z902" s="1331">
        <f>Z876+Z901</f>
        <v/>
      </c>
      <c r="AA902" s="1593">
        <f>AA876+AA901</f>
        <v/>
      </c>
      <c r="AB902" s="1331">
        <f>AB876+AB901</f>
        <v/>
      </c>
      <c r="AC902" s="1331">
        <f>AC876+AC901</f>
        <v/>
      </c>
      <c r="AD902" s="1331">
        <f>AD876+AD901</f>
        <v/>
      </c>
      <c r="AE902" s="1331">
        <f>AE876+AE901</f>
        <v/>
      </c>
      <c r="AF902" s="1593">
        <f>AF876+AF901</f>
        <v/>
      </c>
      <c r="AG902" s="1331">
        <f>AG876+AG901</f>
        <v/>
      </c>
      <c r="AH902" s="1331">
        <f>AH876+AH901</f>
        <v/>
      </c>
      <c r="AI902" s="1331">
        <f>AI876+AI901</f>
        <v/>
      </c>
      <c r="AJ902" s="1331">
        <f>AJ876+AJ901</f>
        <v/>
      </c>
      <c r="AK902" s="1593">
        <f>AK876+AK901</f>
        <v/>
      </c>
      <c r="AL902" s="1331">
        <f>AL876+AL901</f>
        <v/>
      </c>
      <c r="AM902" s="1331">
        <f>AM876+AM901</f>
        <v/>
      </c>
      <c r="AN902" s="1331">
        <f>AN876+AN901</f>
        <v/>
      </c>
      <c r="AO902" s="1331">
        <f>AO876+AO901</f>
        <v/>
      </c>
      <c r="AP902" s="1593">
        <f>AP876+AP901</f>
        <v/>
      </c>
      <c r="AQ902" s="1331">
        <f>AQ876+AQ901</f>
        <v/>
      </c>
      <c r="AR902" s="1331">
        <f>AR876+AR901</f>
        <v/>
      </c>
      <c r="AS902" s="1331">
        <f>AS876+AS901</f>
        <v/>
      </c>
      <c r="AT902" s="1331">
        <f>AT876+AT901</f>
        <v/>
      </c>
      <c r="AU902" s="1593">
        <f>AU876+AU901</f>
        <v/>
      </c>
      <c r="AV902" s="1331">
        <f>AV876+AV901</f>
        <v/>
      </c>
      <c r="AW902" s="1331">
        <f>AW876+AW901</f>
        <v/>
      </c>
      <c r="AX902" s="1331">
        <f>AX876+AX901</f>
        <v/>
      </c>
      <c r="AY902" s="1331">
        <f>AY876+AY901</f>
        <v/>
      </c>
      <c r="AZ902" s="1593">
        <f>AZ876+AZ901</f>
        <v/>
      </c>
      <c r="BA902" s="1331">
        <f>BA876+BA901</f>
        <v/>
      </c>
      <c r="BB902" s="1331">
        <f>BB876+BB901</f>
        <v/>
      </c>
      <c r="BC902" s="1346">
        <f>BC876+BC901</f>
        <v/>
      </c>
      <c r="BD902" s="1331">
        <f>BD876+BD901</f>
        <v/>
      </c>
      <c r="BE902" s="1593">
        <f>BE876+BE901</f>
        <v/>
      </c>
      <c r="BF902" s="1331">
        <f>BF876+BF901</f>
        <v/>
      </c>
      <c r="BG902" s="1331">
        <f>BG876+BG901</f>
        <v/>
      </c>
      <c r="BH902" s="1346">
        <f>BH876+BH901</f>
        <v/>
      </c>
      <c r="BI902" s="1331">
        <f>BI876+BI901</f>
        <v/>
      </c>
      <c r="BJ902" s="1593">
        <f>BJ876+BJ901</f>
        <v/>
      </c>
      <c r="BK902" s="1331">
        <f>BK876+BK901</f>
        <v/>
      </c>
      <c r="BL902" s="1331">
        <f>BL876+BL901</f>
        <v/>
      </c>
      <c r="BM902" s="1346">
        <f>BM876+BM901</f>
        <v/>
      </c>
      <c r="BN902" s="1331">
        <f>BN876+BN901</f>
        <v/>
      </c>
      <c r="BO902" s="1578">
        <f>BO876+BO901</f>
        <v/>
      </c>
      <c r="BP902" s="1346">
        <f>BP876+BP901</f>
        <v/>
      </c>
      <c r="BQ902" s="1346">
        <f>BQ876+BQ901</f>
        <v/>
      </c>
      <c r="BR902" s="1346">
        <f>BR876+BR901</f>
        <v/>
      </c>
      <c r="BS902" s="1346">
        <f>BS876+BS901</f>
        <v/>
      </c>
      <c r="BT902" s="1345">
        <f>BT876+BT901</f>
        <v/>
      </c>
      <c r="BU902" s="1346">
        <f>BU876+BU901</f>
        <v/>
      </c>
      <c r="BV902" s="1346">
        <f>BV876+BV901</f>
        <v/>
      </c>
      <c r="BW902" s="1346">
        <f>BW876+BW901</f>
        <v/>
      </c>
      <c r="BX902" s="1346">
        <f>BX876+BX901</f>
        <v/>
      </c>
      <c r="BY902" s="1345">
        <f>BY876+BY901</f>
        <v/>
      </c>
      <c r="BZ902" s="1345">
        <f>BZ876+BZ901</f>
        <v/>
      </c>
      <c r="CA902" s="1345">
        <f>CA876+CA901</f>
        <v/>
      </c>
      <c r="CB902" s="1345">
        <f>CB876+CB901</f>
        <v/>
      </c>
      <c r="CC902" s="1331" t="n"/>
    </row>
    <row r="903" ht="14.4" customFormat="1" customHeight="1" s="1323">
      <c r="A903" s="1344" t="n"/>
      <c r="B903" s="1394" t="n"/>
      <c r="C903" s="1345" t="n"/>
      <c r="D903" s="1345" t="n"/>
      <c r="E903" s="1345" t="n"/>
      <c r="F903" s="1345" t="n"/>
      <c r="G903" s="1345" t="n"/>
      <c r="H903" s="1346" t="n"/>
      <c r="I903" s="1346" t="n"/>
      <c r="J903" s="1346" t="n"/>
      <c r="K903" s="1346" t="n"/>
      <c r="L903" s="1345" t="n"/>
      <c r="M903" s="1346" t="n"/>
      <c r="N903" s="1346" t="n"/>
      <c r="O903" s="1346" t="n"/>
      <c r="P903" s="1346" t="n"/>
      <c r="Q903" s="1345" t="n"/>
      <c r="R903" s="1346" t="n"/>
      <c r="S903" s="1346" t="n"/>
      <c r="T903" s="1346" t="n"/>
      <c r="U903" s="1346" t="n"/>
      <c r="V903" s="1345" t="n"/>
      <c r="W903" s="1346" t="n"/>
      <c r="X903" s="1346" t="n"/>
      <c r="Y903" s="1346" t="n"/>
      <c r="Z903" s="1346" t="n"/>
      <c r="AA903" s="1345" t="n"/>
      <c r="AB903" s="1346" t="n"/>
      <c r="AC903" s="1346" t="n"/>
      <c r="AD903" s="1346" t="n"/>
      <c r="AE903" s="1346" t="n"/>
      <c r="AF903" s="1345" t="n"/>
      <c r="AG903" s="1346" t="n"/>
      <c r="AH903" s="1346" t="n"/>
      <c r="AI903" s="1346" t="n"/>
      <c r="AJ903" s="1346" t="n"/>
      <c r="AK903" s="1345" t="n"/>
      <c r="AL903" s="1346" t="n"/>
      <c r="AM903" s="1346" t="n"/>
      <c r="AN903" s="1346" t="n"/>
      <c r="AO903" s="1346" t="n"/>
      <c r="AP903" s="1345" t="n"/>
      <c r="AQ903" s="1346" t="n"/>
      <c r="AR903" s="1346" t="n"/>
      <c r="AS903" s="1346" t="n"/>
      <c r="AT903" s="1346" t="n"/>
      <c r="AU903" s="1345" t="n"/>
      <c r="AV903" s="1346" t="n"/>
      <c r="AW903" s="1346" t="n"/>
      <c r="AX903" s="1346" t="n"/>
      <c r="AY903" s="1346" t="n"/>
      <c r="AZ903" s="1345" t="n"/>
      <c r="BA903" s="1346" t="n"/>
      <c r="BB903" s="1346" t="n"/>
      <c r="BC903" s="1346" t="n"/>
      <c r="BD903" s="1346" t="n"/>
      <c r="BE903" s="1345" t="n"/>
      <c r="BF903" s="1346" t="n"/>
      <c r="BG903" s="1346" t="n"/>
      <c r="BH903" s="1346" t="n"/>
      <c r="BI903" s="1346" t="n"/>
      <c r="BJ903" s="1345" t="n"/>
      <c r="BK903" s="1346" t="n"/>
      <c r="BL903" s="1346" t="n"/>
      <c r="BM903" s="1346" t="n"/>
      <c r="BN903" s="1346" t="n"/>
      <c r="BO903" s="1347" t="n"/>
      <c r="BP903" s="1346" t="n"/>
      <c r="BQ903" s="1346" t="n"/>
      <c r="BR903" s="1346" t="n"/>
      <c r="BS903" s="1346" t="n"/>
      <c r="BT903" s="1345" t="n"/>
      <c r="BU903" s="1346" t="n"/>
      <c r="BV903" s="1346" t="n"/>
      <c r="BW903" s="1346" t="n"/>
      <c r="BX903" s="1346" t="n"/>
      <c r="BY903" s="1345" t="n"/>
      <c r="BZ903" s="1345" t="n"/>
      <c r="CA903" s="1345" t="n"/>
      <c r="CB903" s="1345" t="n"/>
      <c r="CC903" s="1331" t="n"/>
    </row>
    <row r="904" ht="14.4" customFormat="1" customHeight="1" s="1275">
      <c r="A904" s="1577" t="inlineStr">
        <is>
          <t>Current Liabilities</t>
        </is>
      </c>
      <c r="B904" s="1387" t="n"/>
      <c r="C904" s="1297" t="n"/>
      <c r="D904" s="1297" t="n"/>
      <c r="E904" s="1297" t="n"/>
      <c r="F904" s="1297" t="n"/>
      <c r="G904" s="1297" t="n"/>
      <c r="H904" s="1277" t="n"/>
      <c r="I904" s="1277" t="n"/>
      <c r="J904" s="1277" t="n"/>
      <c r="K904" s="1277" t="n"/>
      <c r="L904" s="1297" t="n"/>
      <c r="M904" s="1277" t="n"/>
      <c r="N904" s="1277" t="n"/>
      <c r="O904" s="1277" t="n"/>
      <c r="P904" s="1277" t="n"/>
      <c r="Q904" s="1297" t="n"/>
      <c r="R904" s="1277" t="n"/>
      <c r="S904" s="1277" t="n"/>
      <c r="T904" s="1277" t="n"/>
      <c r="U904" s="1277" t="n"/>
      <c r="V904" s="1297" t="n"/>
      <c r="W904" s="1277" t="n"/>
      <c r="X904" s="1277" t="n"/>
      <c r="Y904" s="1277" t="n"/>
      <c r="Z904" s="1277" t="n"/>
      <c r="AA904" s="1297" t="n"/>
      <c r="AB904" s="1277" t="n"/>
      <c r="AC904" s="1277" t="n"/>
      <c r="AD904" s="1277" t="n"/>
      <c r="AE904" s="1277" t="n"/>
      <c r="AF904" s="1297" t="n"/>
      <c r="AG904" s="1277" t="n"/>
      <c r="AH904" s="1277" t="n"/>
      <c r="AI904" s="1277" t="n"/>
      <c r="AJ904" s="1277" t="n"/>
      <c r="AK904" s="1297" t="n"/>
      <c r="AL904" s="1277" t="n"/>
      <c r="AM904" s="1277" t="n"/>
      <c r="AN904" s="1277" t="n"/>
      <c r="AO904" s="1277" t="n"/>
      <c r="AP904" s="1297" t="n"/>
      <c r="AQ904" s="1277" t="n"/>
      <c r="AR904" s="1277" t="n"/>
      <c r="AS904" s="1277" t="n"/>
      <c r="AT904" s="1277" t="n"/>
      <c r="AU904" s="1297" t="n"/>
      <c r="AV904" s="1277" t="n"/>
      <c r="AW904" s="1277" t="n"/>
      <c r="AX904" s="1277" t="n"/>
      <c r="AY904" s="1277" t="n"/>
      <c r="AZ904" s="1297" t="n"/>
      <c r="BA904" s="1277" t="n"/>
      <c r="BB904" s="1277" t="n"/>
      <c r="BC904" s="1277" t="n"/>
      <c r="BD904" s="1277" t="n"/>
      <c r="BE904" s="1297" t="n"/>
      <c r="BF904" s="1277" t="n"/>
      <c r="BG904" s="1277" t="n"/>
      <c r="BH904" s="1277" t="n"/>
      <c r="BI904" s="1277" t="n"/>
      <c r="BJ904" s="1297" t="n"/>
      <c r="BK904" s="1277" t="n"/>
      <c r="BL904" s="1277" t="n"/>
      <c r="BM904" s="1277" t="n"/>
      <c r="BN904" s="1277" t="n"/>
      <c r="BO904" s="1382" t="n"/>
      <c r="BP904" s="1277" t="n"/>
      <c r="BQ904" s="1277" t="n"/>
      <c r="BR904" s="1277" t="n"/>
      <c r="BS904" s="1277" t="n"/>
      <c r="BT904" s="1297" t="n"/>
      <c r="BU904" s="1277" t="n"/>
      <c r="BV904" s="1277" t="n"/>
      <c r="BW904" s="1277" t="n"/>
      <c r="BX904" s="1277" t="n"/>
      <c r="BY904" s="1297" t="n"/>
      <c r="BZ904" s="1297" t="n"/>
      <c r="CA904" s="1297" t="n"/>
      <c r="CB904" s="1297" t="n"/>
      <c r="CC904" s="1280" t="n"/>
    </row>
    <row r="905" ht="14.4" customFormat="1" customHeight="1" s="1275">
      <c r="A905" s="1295" t="inlineStr">
        <is>
          <t>Short-term loans</t>
        </is>
      </c>
      <c r="B905" s="1387" t="n"/>
      <c r="C905" s="1297" t="n"/>
      <c r="D905" s="1299" t="n">
        <v>31213.944</v>
      </c>
      <c r="E905" s="1299" t="n">
        <v>25926.528</v>
      </c>
      <c r="F905" s="1299" t="n">
        <v>34714.929</v>
      </c>
      <c r="G905" s="1299" t="n">
        <v>15645</v>
      </c>
      <c r="H905" s="1298" t="n">
        <v>24843.645</v>
      </c>
      <c r="I905" s="1298" t="n">
        <v>34705.206</v>
      </c>
      <c r="J905" s="1298" t="n">
        <v>35883.358</v>
      </c>
      <c r="K905" s="1280">
        <f>L905</f>
        <v/>
      </c>
      <c r="L905" s="1299" t="n">
        <v>36158.52</v>
      </c>
      <c r="M905" s="1298" t="n">
        <v>18683.595</v>
      </c>
      <c r="N905" s="1298" t="n">
        <v>5592.6</v>
      </c>
      <c r="O905" s="1298" t="n">
        <v>33564.12</v>
      </c>
      <c r="P905" s="1280">
        <f>Q905</f>
        <v/>
      </c>
      <c r="Q905" s="1299" t="n">
        <v>39474</v>
      </c>
      <c r="R905" s="1298" t="n">
        <v>34690.04</v>
      </c>
      <c r="S905" s="1298" t="n">
        <v>38739.6</v>
      </c>
      <c r="T905" s="1298" t="n">
        <v>37648.8</v>
      </c>
      <c r="U905" s="1280">
        <f>V905</f>
        <v/>
      </c>
      <c r="V905" s="1299" t="n">
        <v>57958.2</v>
      </c>
      <c r="W905" s="1298" t="n">
        <v>54666</v>
      </c>
      <c r="X905" s="1298" t="n">
        <v>54745.2</v>
      </c>
      <c r="Y905" s="1298" t="n">
        <v>54430.2</v>
      </c>
      <c r="Z905" s="1280">
        <f>AA905</f>
        <v/>
      </c>
      <c r="AA905" s="1299" t="n">
        <v>63766.85</v>
      </c>
      <c r="AB905" s="1298" t="n">
        <v>56731.35</v>
      </c>
      <c r="AC905" s="1298" t="n">
        <v>30835.3</v>
      </c>
      <c r="AD905" s="1298" t="n">
        <v>73974.625</v>
      </c>
      <c r="AE905" s="1280">
        <f>AF905</f>
        <v/>
      </c>
      <c r="AF905" s="1299" t="n">
        <v>88754.64</v>
      </c>
      <c r="AG905" s="1298" t="n">
        <v>76592.55</v>
      </c>
      <c r="AH905" s="1298" t="n">
        <v>78261.12</v>
      </c>
      <c r="AI905" s="1298" t="n">
        <v>85573.71000000001</v>
      </c>
      <c r="AJ905" s="1280">
        <f>AK905</f>
        <v/>
      </c>
      <c r="AK905" s="1299" t="n">
        <v>118522.29</v>
      </c>
      <c r="AL905" s="1298" t="n">
        <v>139310.384</v>
      </c>
      <c r="AM905" s="1298" t="n">
        <v>169546.95</v>
      </c>
      <c r="AN905" s="1298" t="n">
        <v>155377.63</v>
      </c>
      <c r="AO905" s="1280">
        <f>AP905</f>
        <v/>
      </c>
      <c r="AP905" s="1299" t="n">
        <v>88559.026</v>
      </c>
      <c r="AQ905" s="1298" t="n">
        <v>137123.748</v>
      </c>
      <c r="AR905" s="1298" t="n">
        <v>139380.91</v>
      </c>
      <c r="AS905" s="1298" t="n">
        <v>118844.065</v>
      </c>
      <c r="AT905" s="1280">
        <f>AU905</f>
        <v/>
      </c>
      <c r="AU905" s="1299" t="n">
        <v>114921.333</v>
      </c>
      <c r="AV905" s="1298" t="n">
        <v>144550.897</v>
      </c>
      <c r="AW905" s="1298" t="n">
        <v>115584.794</v>
      </c>
      <c r="AX905" s="1277" t="n"/>
      <c r="AY905" s="1280">
        <f>AZ905</f>
        <v/>
      </c>
      <c r="AZ905" s="1297" t="n"/>
      <c r="BA905" s="1277" t="n"/>
      <c r="BB905" s="1277" t="n"/>
      <c r="BC905" s="1277" t="n"/>
      <c r="BD905" s="1280">
        <f>BE905</f>
        <v/>
      </c>
      <c r="BE905" s="1297" t="n"/>
      <c r="BF905" s="1277" t="n"/>
      <c r="BG905" s="1277" t="n"/>
      <c r="BH905" s="1277" t="n"/>
      <c r="BI905" s="1277" t="n"/>
      <c r="BJ905" s="1297" t="n"/>
      <c r="BK905" s="1277" t="n"/>
      <c r="BL905" s="1277" t="n"/>
      <c r="BM905" s="1277" t="n"/>
      <c r="BN905" s="1277" t="n"/>
      <c r="BO905" s="1382" t="n"/>
      <c r="BP905" s="1277">
        <f>BO905</f>
        <v/>
      </c>
      <c r="BQ905" s="1277">
        <f>BP905</f>
        <v/>
      </c>
      <c r="BR905" s="1277">
        <f>BQ905</f>
        <v/>
      </c>
      <c r="BS905" s="1277">
        <f>BR905</f>
        <v/>
      </c>
      <c r="BT905" s="1297">
        <f>BS905</f>
        <v/>
      </c>
      <c r="BU905" s="1277">
        <f>BT905</f>
        <v/>
      </c>
      <c r="BV905" s="1277">
        <f>BU905</f>
        <v/>
      </c>
      <c r="BW905" s="1277">
        <f>BV905</f>
        <v/>
      </c>
      <c r="BX905" s="1277">
        <f>BW905</f>
        <v/>
      </c>
      <c r="BY905" s="1297">
        <f>BX905</f>
        <v/>
      </c>
      <c r="BZ905" s="1297">
        <f>BY905</f>
        <v/>
      </c>
      <c r="CA905" s="1297">
        <f>BZ905</f>
        <v/>
      </c>
      <c r="CB905" s="1297">
        <f>CA905</f>
        <v/>
      </c>
      <c r="CC905" s="1280" t="n"/>
    </row>
    <row r="906" ht="14.4" customFormat="1" customHeight="1" s="1275">
      <c r="A906" s="1295" t="inlineStr">
        <is>
          <t>Short-term bills payable</t>
        </is>
      </c>
      <c r="B906" s="1387" t="n"/>
      <c r="C906" s="1297" t="n"/>
      <c r="D906" s="1297" t="n"/>
      <c r="E906" s="1297" t="n"/>
      <c r="F906" s="1297" t="n"/>
      <c r="G906" s="1297" t="n"/>
      <c r="H906" s="1277" t="n"/>
      <c r="I906" s="1277" t="n"/>
      <c r="J906" s="1277" t="n"/>
      <c r="K906" s="1277" t="n"/>
      <c r="L906" s="1297" t="n"/>
      <c r="M906" s="1277" t="n"/>
      <c r="N906" s="1277" t="n"/>
      <c r="O906" s="1277" t="n"/>
      <c r="P906" s="1277" t="n"/>
      <c r="Q906" s="1297" t="n"/>
      <c r="R906" s="1277" t="n"/>
      <c r="S906" s="1277" t="n"/>
      <c r="T906" s="1277" t="n"/>
      <c r="U906" s="1277" t="n"/>
      <c r="V906" s="1297" t="n"/>
      <c r="W906" s="1277" t="n"/>
      <c r="X906" s="1277" t="n"/>
      <c r="Y906" s="1277" t="n"/>
      <c r="Z906" s="1277" t="n"/>
      <c r="AA906" s="1297" t="n"/>
      <c r="AB906" s="1277" t="n"/>
      <c r="AC906" s="1277" t="n"/>
      <c r="AD906" s="1277" t="n"/>
      <c r="AE906" s="1277" t="n"/>
      <c r="AF906" s="1297" t="n"/>
      <c r="AG906" s="1277" t="n"/>
      <c r="AH906" s="1277" t="n"/>
      <c r="AI906" s="1277" t="n"/>
      <c r="AJ906" s="1277" t="n"/>
      <c r="AK906" s="1297" t="n"/>
      <c r="AL906" s="1298" t="n">
        <v>2992.858</v>
      </c>
      <c r="AM906" s="1298" t="n">
        <v>6493.398</v>
      </c>
      <c r="AN906" s="1277" t="n"/>
      <c r="AO906" s="1277" t="n"/>
      <c r="AP906" s="1297" t="n"/>
      <c r="AQ906" s="1277" t="n"/>
      <c r="AR906" s="1277" t="n"/>
      <c r="AS906" s="1277" t="n"/>
      <c r="AT906" s="1280">
        <f>AU906</f>
        <v/>
      </c>
      <c r="AU906" s="1297" t="n"/>
      <c r="AV906" s="1277" t="n"/>
      <c r="AW906" s="1277" t="n"/>
      <c r="AX906" s="1277" t="n"/>
      <c r="AY906" s="1280">
        <f>AZ906</f>
        <v/>
      </c>
      <c r="AZ906" s="1297" t="n"/>
      <c r="BA906" s="1277" t="n"/>
      <c r="BB906" s="1277" t="n"/>
      <c r="BC906" s="1277" t="n"/>
      <c r="BD906" s="1280">
        <f>BE906</f>
        <v/>
      </c>
      <c r="BE906" s="1297" t="n"/>
      <c r="BF906" s="1277" t="n"/>
      <c r="BG906" s="1277" t="n"/>
      <c r="BH906" s="1277" t="n"/>
      <c r="BI906" s="1277" t="n"/>
      <c r="BJ906" s="1297" t="n"/>
      <c r="BK906" s="1277" t="n"/>
      <c r="BL906" s="1277" t="n"/>
      <c r="BM906" s="1277" t="n"/>
      <c r="BN906" s="1277" t="n"/>
      <c r="BO906" s="1382" t="n"/>
      <c r="BP906" s="1277" t="n"/>
      <c r="BQ906" s="1277" t="n"/>
      <c r="BR906" s="1277" t="n"/>
      <c r="BS906" s="1277" t="n"/>
      <c r="BT906" s="1297" t="n"/>
      <c r="BU906" s="1277" t="n"/>
      <c r="BV906" s="1277" t="n"/>
      <c r="BW906" s="1277" t="n"/>
      <c r="BX906" s="1277" t="n"/>
      <c r="BY906" s="1297" t="n"/>
      <c r="BZ906" s="1297" t="n"/>
      <c r="CA906" s="1297" t="n"/>
      <c r="CB906" s="1297" t="n"/>
      <c r="CC906" s="1280" t="n"/>
    </row>
    <row r="907" ht="14.4" customFormat="1" customHeight="1" s="1275">
      <c r="A907" s="1295" t="inlineStr">
        <is>
          <t>Financial liabilities at fair value through profit or loss</t>
        </is>
      </c>
      <c r="B907" s="1387" t="n"/>
      <c r="C907" s="1299" t="n">
        <v>0.025</v>
      </c>
      <c r="D907" s="1299" t="n">
        <v>19.002</v>
      </c>
      <c r="E907" s="1299" t="n">
        <v>13.742</v>
      </c>
      <c r="F907" s="1299" t="n">
        <v>15.625</v>
      </c>
      <c r="G907" s="1299" t="n">
        <v>33.75</v>
      </c>
      <c r="H907" s="1298" t="n">
        <v>188.535</v>
      </c>
      <c r="I907" s="1298" t="n">
        <v>19.418</v>
      </c>
      <c r="J907" s="1298" t="n">
        <v>691.062</v>
      </c>
      <c r="K907" s="1280">
        <f>L907</f>
        <v/>
      </c>
      <c r="L907" s="1299" t="n">
        <v>486.214</v>
      </c>
      <c r="M907" s="1298" t="n">
        <v>64.929</v>
      </c>
      <c r="N907" s="1298" t="n">
        <v>780.721</v>
      </c>
      <c r="O907" s="1298" t="n">
        <v>179.363</v>
      </c>
      <c r="P907" s="1280">
        <f>Q907</f>
        <v/>
      </c>
      <c r="Q907" s="1299" t="n">
        <v>72.61</v>
      </c>
      <c r="R907" s="1298" t="n">
        <v>0.016</v>
      </c>
      <c r="S907" s="1298" t="n">
        <v>178.704</v>
      </c>
      <c r="T907" s="1298" t="n">
        <v>224.525</v>
      </c>
      <c r="U907" s="1280">
        <f>V907</f>
        <v/>
      </c>
      <c r="V907" s="1299" t="n">
        <v>191.135</v>
      </c>
      <c r="W907" s="1298" t="n">
        <v>124.935</v>
      </c>
      <c r="X907" s="1298" t="n">
        <v>82.55200000000001</v>
      </c>
      <c r="Y907" s="1298" t="n">
        <v>251.212</v>
      </c>
      <c r="Z907" s="1280">
        <f>AA907</f>
        <v/>
      </c>
      <c r="AA907" s="1299" t="n">
        <v>26.709</v>
      </c>
      <c r="AB907" s="1298" t="n">
        <v>170.673</v>
      </c>
      <c r="AC907" s="1298" t="n">
        <v>1057.719</v>
      </c>
      <c r="AD907" s="1298" t="n">
        <v>240.62</v>
      </c>
      <c r="AE907" s="1280">
        <f>AF907</f>
        <v/>
      </c>
      <c r="AF907" s="1299" t="n">
        <v>40.825</v>
      </c>
      <c r="AG907" s="1298" t="n">
        <v>151.079</v>
      </c>
      <c r="AH907" s="1298" t="n">
        <v>30.767</v>
      </c>
      <c r="AI907" s="1298" t="n">
        <v>497.911</v>
      </c>
      <c r="AJ907" s="1280">
        <f>AK907</f>
        <v/>
      </c>
      <c r="AK907" s="1299" t="n">
        <v>982.349</v>
      </c>
      <c r="AL907" s="1298" t="n">
        <v>980.241</v>
      </c>
      <c r="AM907" s="1298" t="n">
        <v>1543.265</v>
      </c>
      <c r="AN907" s="1298" t="n">
        <v>1445.911</v>
      </c>
      <c r="AO907" s="1280">
        <f>AP907</f>
        <v/>
      </c>
      <c r="AP907" s="1299" t="n">
        <v>94.128</v>
      </c>
      <c r="AQ907" s="1298" t="n">
        <v>1958.208</v>
      </c>
      <c r="AR907" s="1298" t="n">
        <v>1828.338</v>
      </c>
      <c r="AS907" s="1298" t="n">
        <v>1405.47</v>
      </c>
      <c r="AT907" s="1280">
        <f>AU907</f>
        <v/>
      </c>
      <c r="AU907" s="1299" t="n">
        <v>681.914</v>
      </c>
      <c r="AV907" s="1298" t="n">
        <v>2203.138</v>
      </c>
      <c r="AW907" s="1298" t="n">
        <v>716.981</v>
      </c>
      <c r="AX907" s="1298" t="n">
        <v>611.01</v>
      </c>
      <c r="AY907" s="1280">
        <f>AZ907</f>
        <v/>
      </c>
      <c r="AZ907" s="1299" t="n">
        <v>116.215</v>
      </c>
      <c r="BA907" s="1298" t="n">
        <v>620.967</v>
      </c>
      <c r="BB907" s="1298" t="n">
        <v>195.001</v>
      </c>
      <c r="BC907" s="1298" t="n">
        <v>132.768</v>
      </c>
      <c r="BD907" s="1280">
        <f>BE907</f>
        <v/>
      </c>
      <c r="BE907" s="1299" t="n">
        <v>121.412</v>
      </c>
      <c r="BF907" s="1298" t="n">
        <v>941.396</v>
      </c>
      <c r="BG907" s="1298" t="n">
        <v>509.21</v>
      </c>
      <c r="BH907" s="1298" t="n">
        <v>34.277</v>
      </c>
      <c r="BI907" s="1280">
        <f>BJ907</f>
        <v/>
      </c>
      <c r="BJ907" s="1299" t="n">
        <v>466.539</v>
      </c>
      <c r="BK907" s="1298" t="n">
        <v>2069.289</v>
      </c>
      <c r="BL907" s="1298" t="n">
        <v>220.702</v>
      </c>
      <c r="BM907" s="1298" t="n">
        <v>1184.622</v>
      </c>
      <c r="BN907" s="1280">
        <f>BO907</f>
        <v/>
      </c>
      <c r="BO907" s="1645" t="n">
        <v>1000</v>
      </c>
      <c r="BP907" s="1277">
        <f>BO907</f>
        <v/>
      </c>
      <c r="BQ907" s="1277">
        <f>BP907</f>
        <v/>
      </c>
      <c r="BR907" s="1277">
        <f>BQ907</f>
        <v/>
      </c>
      <c r="BS907" s="1277">
        <f>BR907</f>
        <v/>
      </c>
      <c r="BT907" s="1297">
        <f>BS907</f>
        <v/>
      </c>
      <c r="BU907" s="1277">
        <f>BT907</f>
        <v/>
      </c>
      <c r="BV907" s="1277">
        <f>BU907</f>
        <v/>
      </c>
      <c r="BW907" s="1277">
        <f>BV907</f>
        <v/>
      </c>
      <c r="BX907" s="1277">
        <f>BW907</f>
        <v/>
      </c>
      <c r="BY907" s="1297">
        <f>BX907</f>
        <v/>
      </c>
      <c r="BZ907" s="1297">
        <f>BY907</f>
        <v/>
      </c>
      <c r="CA907" s="1297">
        <f>BZ907</f>
        <v/>
      </c>
      <c r="CB907" s="1297">
        <f>CA907</f>
        <v/>
      </c>
      <c r="CC907" s="1280" t="n"/>
    </row>
    <row r="908" ht="14.4" customFormat="1" customHeight="1" s="1275">
      <c r="A908" s="1295" t="inlineStr">
        <is>
          <t>Hedging derivative financial liabilities</t>
        </is>
      </c>
      <c r="B908" s="1387" t="n"/>
      <c r="C908" s="1297" t="n"/>
      <c r="D908" s="1299" t="n">
        <v>0.8139999999999999</v>
      </c>
      <c r="E908" s="1299" t="n">
        <v>0.232</v>
      </c>
      <c r="F908" s="1299" t="n">
        <v>0</v>
      </c>
      <c r="G908" s="1299" t="n">
        <v>0</v>
      </c>
      <c r="H908" s="1298" t="n">
        <v>0</v>
      </c>
      <c r="I908" s="1298" t="n">
        <v>4282.501</v>
      </c>
      <c r="J908" s="1298" t="n">
        <v>9769.897000000001</v>
      </c>
      <c r="K908" s="1280">
        <f>L908</f>
        <v/>
      </c>
      <c r="L908" s="1299" t="n">
        <v>16364.241</v>
      </c>
      <c r="M908" s="1298" t="n">
        <v>11627.838</v>
      </c>
      <c r="N908" s="1298" t="n">
        <v>2625.763</v>
      </c>
      <c r="O908" s="1298" t="n">
        <v>0</v>
      </c>
      <c r="P908" s="1280">
        <f>Q908</f>
        <v/>
      </c>
      <c r="Q908" s="1299" t="n">
        <v>0</v>
      </c>
      <c r="R908" s="1298" t="n">
        <v>0.458</v>
      </c>
      <c r="S908" s="1298" t="n">
        <v>4.217</v>
      </c>
      <c r="T908" s="1298" t="n">
        <v>1.039</v>
      </c>
      <c r="U908" s="1280">
        <f>V908</f>
        <v/>
      </c>
      <c r="V908" s="1299" t="n">
        <v>0</v>
      </c>
      <c r="W908" s="1298" t="n">
        <v>3.908</v>
      </c>
      <c r="X908" s="1298" t="n">
        <v>0.019</v>
      </c>
      <c r="Y908" s="1298" t="n">
        <v>7.545</v>
      </c>
      <c r="Z908" s="1280">
        <f>AA908</f>
        <v/>
      </c>
      <c r="AA908" s="1299" t="n">
        <v>15.562</v>
      </c>
      <c r="AB908" s="1277" t="n"/>
      <c r="AC908" s="1277" t="n"/>
      <c r="AD908" s="1277" t="n"/>
      <c r="AE908" s="1280">
        <f>AF908</f>
        <v/>
      </c>
      <c r="AF908" s="1297" t="n"/>
      <c r="AG908" s="1277" t="n"/>
      <c r="AH908" s="1277" t="n"/>
      <c r="AI908" s="1277" t="n"/>
      <c r="AJ908" s="1277" t="n"/>
      <c r="AK908" s="1297" t="n"/>
      <c r="AL908" s="1277" t="n"/>
      <c r="AM908" s="1277" t="n"/>
      <c r="AN908" s="1277" t="n"/>
      <c r="AO908" s="1277" t="n"/>
      <c r="AP908" s="1297" t="n"/>
      <c r="AQ908" s="1277" t="n"/>
      <c r="AR908" s="1277" t="n"/>
      <c r="AS908" s="1277" t="n"/>
      <c r="AT908" s="1280">
        <f>AU908</f>
        <v/>
      </c>
      <c r="AU908" s="1297" t="n"/>
      <c r="AV908" s="1277" t="n"/>
      <c r="AW908" s="1277" t="n"/>
      <c r="AX908" s="1277" t="n"/>
      <c r="AY908" s="1280">
        <f>AZ908</f>
        <v/>
      </c>
      <c r="AZ908" s="1297" t="n"/>
      <c r="BA908" s="1277" t="n"/>
      <c r="BB908" s="1277" t="n"/>
      <c r="BC908" s="1277" t="n"/>
      <c r="BD908" s="1280">
        <f>BE908</f>
        <v/>
      </c>
      <c r="BE908" s="1297" t="n"/>
      <c r="BF908" s="1277" t="n"/>
      <c r="BG908" s="1277" t="n"/>
      <c r="BH908" s="1277" t="n"/>
      <c r="BI908" s="1277" t="n"/>
      <c r="BJ908" s="1297" t="n"/>
      <c r="BK908" s="1277" t="n"/>
      <c r="BL908" s="1277" t="n"/>
      <c r="BM908" s="1277" t="n"/>
      <c r="BN908" s="1277" t="n"/>
      <c r="BO908" s="1382" t="n"/>
      <c r="BP908" s="1277">
        <f>BO908</f>
        <v/>
      </c>
      <c r="BQ908" s="1277">
        <f>BP908</f>
        <v/>
      </c>
      <c r="BR908" s="1277">
        <f>BQ908</f>
        <v/>
      </c>
      <c r="BS908" s="1277">
        <f>BR908</f>
        <v/>
      </c>
      <c r="BT908" s="1297">
        <f>BS908</f>
        <v/>
      </c>
      <c r="BU908" s="1277">
        <f>BT908</f>
        <v/>
      </c>
      <c r="BV908" s="1277">
        <f>BU908</f>
        <v/>
      </c>
      <c r="BW908" s="1277">
        <f>BV908</f>
        <v/>
      </c>
      <c r="BX908" s="1277">
        <f>BW908</f>
        <v/>
      </c>
      <c r="BY908" s="1297">
        <f>BX908</f>
        <v/>
      </c>
      <c r="BZ908" s="1297">
        <f>BY908</f>
        <v/>
      </c>
      <c r="CA908" s="1297">
        <f>BZ908</f>
        <v/>
      </c>
      <c r="CB908" s="1297">
        <f>CA908</f>
        <v/>
      </c>
      <c r="CC908" s="1280" t="n"/>
    </row>
    <row r="909" ht="14.4" customFormat="1" customHeight="1" s="1275">
      <c r="A909" s="1295" t="inlineStr">
        <is>
          <t>Hedging financial liabilities</t>
        </is>
      </c>
      <c r="B909" s="1387" t="n"/>
      <c r="C909" s="1297" t="n"/>
      <c r="D909" s="1297" t="n"/>
      <c r="E909" s="1297" t="n"/>
      <c r="F909" s="1297" t="n"/>
      <c r="G909" s="1297" t="n"/>
      <c r="H909" s="1277" t="n"/>
      <c r="I909" s="1277" t="n"/>
      <c r="J909" s="1277" t="n"/>
      <c r="K909" s="1277" t="n"/>
      <c r="L909" s="1297" t="n"/>
      <c r="M909" s="1277" t="n"/>
      <c r="N909" s="1277" t="n"/>
      <c r="O909" s="1277" t="n"/>
      <c r="P909" s="1277" t="n"/>
      <c r="Q909" s="1297" t="n"/>
      <c r="R909" s="1277" t="n"/>
      <c r="S909" s="1277" t="n"/>
      <c r="T909" s="1277" t="n"/>
      <c r="U909" s="1277" t="n"/>
      <c r="V909" s="1297" t="n"/>
      <c r="W909" s="1277" t="n"/>
      <c r="X909" s="1277" t="n"/>
      <c r="Y909" s="1277" t="n"/>
      <c r="Z909" s="1277" t="n"/>
      <c r="AA909" s="1297" t="n"/>
      <c r="AB909" s="1298" t="n">
        <v>79.182</v>
      </c>
      <c r="AC909" s="1298" t="n">
        <v>30.718</v>
      </c>
      <c r="AD909" s="1298" t="n">
        <v>3.75</v>
      </c>
      <c r="AE909" s="1280">
        <f>AF909</f>
        <v/>
      </c>
      <c r="AF909" s="1299" t="n">
        <v>155.832</v>
      </c>
      <c r="AG909" s="1298" t="n">
        <v>111.374</v>
      </c>
      <c r="AH909" s="1298" t="n">
        <v>34.542</v>
      </c>
      <c r="AI909" s="1298" t="n">
        <v>23.852</v>
      </c>
      <c r="AJ909" s="1280">
        <f>AK909</f>
        <v/>
      </c>
      <c r="AK909" s="1299" t="n">
        <v>1.798</v>
      </c>
      <c r="AL909" s="1298" t="n">
        <v>109.826</v>
      </c>
      <c r="AM909" s="1298" t="n">
        <v>14.839</v>
      </c>
      <c r="AN909" s="1298" t="n">
        <v>11.839</v>
      </c>
      <c r="AO909" s="1280">
        <f>AP909</f>
        <v/>
      </c>
      <c r="AP909" s="1299" t="n">
        <v>1.169</v>
      </c>
      <c r="AQ909" s="1277" t="n"/>
      <c r="AR909" s="1298" t="n">
        <v>10.216</v>
      </c>
      <c r="AS909" s="1298" t="n">
        <v>0</v>
      </c>
      <c r="AT909" s="1280">
        <f>AU909</f>
        <v/>
      </c>
      <c r="AU909" s="1299" t="n">
        <v>9.641999999999999</v>
      </c>
      <c r="AV909" s="1277" t="n"/>
      <c r="AW909" s="1277" t="n"/>
      <c r="AX909" s="1277" t="n"/>
      <c r="AY909" s="1280">
        <f>AZ909</f>
        <v/>
      </c>
      <c r="AZ909" s="1299" t="n">
        <v>0.8129999999999999</v>
      </c>
      <c r="BA909" s="1298" t="n">
        <v>39.108</v>
      </c>
      <c r="BB909" s="1298" t="n">
        <v>7237.44</v>
      </c>
      <c r="BC909" s="1298" t="n">
        <v>26879.55</v>
      </c>
      <c r="BD909" s="1280">
        <f>BE909</f>
        <v/>
      </c>
      <c r="BE909" s="1299" t="n">
        <v>27334.164</v>
      </c>
      <c r="BF909" s="1298" t="n">
        <v>10.525</v>
      </c>
      <c r="BG909" s="1298" t="n">
        <v>3.524</v>
      </c>
      <c r="BH909" s="1298" t="n">
        <v>1.875</v>
      </c>
      <c r="BI909" s="1280">
        <f>BJ909</f>
        <v/>
      </c>
      <c r="BJ909" s="1299" t="n">
        <v>0</v>
      </c>
      <c r="BK909" s="1298" t="n">
        <v>3.462</v>
      </c>
      <c r="BL909" s="1298" t="n">
        <v>2.384</v>
      </c>
      <c r="BM909" s="1298" t="n">
        <v>2.868</v>
      </c>
      <c r="BN909" s="1280">
        <f>BO909</f>
        <v/>
      </c>
      <c r="BO909" s="1645" t="n">
        <v>3</v>
      </c>
      <c r="BP909" s="1277">
        <f>BO909</f>
        <v/>
      </c>
      <c r="BQ909" s="1277">
        <f>BP909</f>
        <v/>
      </c>
      <c r="BR909" s="1277">
        <f>BQ909</f>
        <v/>
      </c>
      <c r="BS909" s="1277">
        <f>BR909</f>
        <v/>
      </c>
      <c r="BT909" s="1297">
        <f>BS909</f>
        <v/>
      </c>
      <c r="BU909" s="1277">
        <f>BT909</f>
        <v/>
      </c>
      <c r="BV909" s="1277">
        <f>BU909</f>
        <v/>
      </c>
      <c r="BW909" s="1277">
        <f>BV909</f>
        <v/>
      </c>
      <c r="BX909" s="1277">
        <f>BW909</f>
        <v/>
      </c>
      <c r="BY909" s="1297">
        <f>BX909</f>
        <v/>
      </c>
      <c r="BZ909" s="1297">
        <f>BY909</f>
        <v/>
      </c>
      <c r="CA909" s="1297">
        <f>BZ909</f>
        <v/>
      </c>
      <c r="CB909" s="1297">
        <f>CA909</f>
        <v/>
      </c>
      <c r="CC909" s="1280" t="n"/>
    </row>
    <row r="910" ht="14.4" customFormat="1" customHeight="1" s="1275">
      <c r="A910" s="1425" t="inlineStr">
        <is>
          <t>Accounts payable</t>
        </is>
      </c>
      <c r="B910" s="1387" t="n"/>
      <c r="C910" s="1299" t="n">
        <v>10905.884</v>
      </c>
      <c r="D910" s="1299" t="n">
        <v>12104.173</v>
      </c>
      <c r="E910" s="1299" t="n">
        <v>10530.487</v>
      </c>
      <c r="F910" s="1299" t="n">
        <v>14490.429</v>
      </c>
      <c r="G910" s="1299" t="n">
        <v>14670.26</v>
      </c>
      <c r="H910" s="1298" t="n">
        <v>15380.651</v>
      </c>
      <c r="I910" s="1298" t="n">
        <v>20015.515</v>
      </c>
      <c r="J910" s="1298" t="n">
        <v>20418.733</v>
      </c>
      <c r="K910" s="1277">
        <f>L910</f>
        <v/>
      </c>
      <c r="L910" s="1299" t="n">
        <v>21878.934</v>
      </c>
      <c r="M910" s="1298" t="n">
        <v>18595.31</v>
      </c>
      <c r="N910" s="1298" t="n">
        <v>19773.55</v>
      </c>
      <c r="O910" s="1298" t="n">
        <v>18057.75</v>
      </c>
      <c r="P910" s="1277">
        <f>Q910</f>
        <v/>
      </c>
      <c r="Q910" s="1299" t="n">
        <v>18575.286</v>
      </c>
      <c r="R910" s="1298" t="n">
        <v>18513.952</v>
      </c>
      <c r="S910" s="1298" t="n">
        <v>22117.148</v>
      </c>
      <c r="T910" s="1298" t="n">
        <v>24936.79</v>
      </c>
      <c r="U910" s="1277">
        <f>V910</f>
        <v/>
      </c>
      <c r="V910" s="1299" t="n">
        <v>26062.351</v>
      </c>
      <c r="W910" s="1298" t="n">
        <v>23081.567</v>
      </c>
      <c r="X910" s="1298" t="n">
        <v>24509.899</v>
      </c>
      <c r="Y910" s="1298" t="n">
        <v>27545.477</v>
      </c>
      <c r="Z910" s="1277">
        <f>AA910</f>
        <v/>
      </c>
      <c r="AA910" s="1299" t="n">
        <v>28412.807</v>
      </c>
      <c r="AB910" s="1298" t="n">
        <v>27817.67</v>
      </c>
      <c r="AC910" s="1298" t="n">
        <v>29711.846</v>
      </c>
      <c r="AD910" s="1298" t="n">
        <v>28733.773</v>
      </c>
      <c r="AE910" s="1277">
        <f>AF910</f>
        <v/>
      </c>
      <c r="AF910" s="1299" t="n">
        <v>32980.933</v>
      </c>
      <c r="AG910" s="1298" t="n">
        <v>27100.909</v>
      </c>
      <c r="AH910" s="1298" t="n">
        <v>31802.685</v>
      </c>
      <c r="AI910" s="1298" t="n">
        <v>35320.208</v>
      </c>
      <c r="AJ910" s="1277">
        <f>AK910</f>
        <v/>
      </c>
      <c r="AK910" s="1299" t="n">
        <v>38771.066</v>
      </c>
      <c r="AL910" s="1298" t="n">
        <v>38283.035</v>
      </c>
      <c r="AM910" s="1298" t="n">
        <v>38100.739</v>
      </c>
      <c r="AN910" s="1298" t="n">
        <v>38909.171</v>
      </c>
      <c r="AO910" s="1277">
        <f>AP910</f>
        <v/>
      </c>
      <c r="AP910" s="1299" t="n">
        <v>38987.284</v>
      </c>
      <c r="AQ910" s="1298" t="n">
        <v>36653.115</v>
      </c>
      <c r="AR910" s="1298" t="n">
        <v>39725.757</v>
      </c>
      <c r="AS910" s="1298" t="n">
        <v>41733.233</v>
      </c>
      <c r="AT910" s="1277">
        <f>AU910</f>
        <v/>
      </c>
      <c r="AU910" s="1299" t="n">
        <v>47285.603</v>
      </c>
      <c r="AV910" s="1298" t="n">
        <v>48653.183</v>
      </c>
      <c r="AW910" s="1298" t="n">
        <v>58024.952</v>
      </c>
      <c r="AX910" s="1298" t="n">
        <v>60147.405</v>
      </c>
      <c r="AY910" s="1277">
        <f>AZ910</f>
        <v/>
      </c>
      <c r="AZ910" s="1299" t="n">
        <v>54879.708</v>
      </c>
      <c r="BA910" s="1298" t="n">
        <v>46302.185</v>
      </c>
      <c r="BB910" s="1298" t="n">
        <v>47794.115</v>
      </c>
      <c r="BC910" s="1298" t="n">
        <v>52150.883</v>
      </c>
      <c r="BD910" s="1277">
        <f>BE910</f>
        <v/>
      </c>
      <c r="BE910" s="1299" t="n">
        <v>55726.757</v>
      </c>
      <c r="BF910" s="1298" t="n">
        <v>56424.812</v>
      </c>
      <c r="BG910" s="1298" t="n">
        <v>62763.059</v>
      </c>
      <c r="BH910" s="1298" t="n">
        <v>69134.197</v>
      </c>
      <c r="BI910" s="1277">
        <f>BJ910</f>
        <v/>
      </c>
      <c r="BJ910" s="1299" t="n">
        <v>72800.558</v>
      </c>
      <c r="BK910" s="1298" t="n">
        <v>75637.284</v>
      </c>
      <c r="BL910" s="1298" t="n">
        <v>83495.17200000001</v>
      </c>
      <c r="BM910" s="1298" t="n">
        <v>84425.148</v>
      </c>
      <c r="BN910" s="1277">
        <f>BO910</f>
        <v/>
      </c>
      <c r="BO910" s="1645" t="n">
        <v>83000</v>
      </c>
      <c r="BP910" s="1277">
        <f>BO910</f>
        <v/>
      </c>
      <c r="BQ910" s="1277">
        <f>BP910</f>
        <v/>
      </c>
      <c r="BR910" s="1277">
        <f>BQ910</f>
        <v/>
      </c>
      <c r="BS910" s="1277">
        <f>BR910</f>
        <v/>
      </c>
      <c r="BT910" s="1297">
        <f>BS910</f>
        <v/>
      </c>
      <c r="BU910" s="1277">
        <f>BT910</f>
        <v/>
      </c>
      <c r="BV910" s="1277">
        <f>BU910</f>
        <v/>
      </c>
      <c r="BW910" s="1277">
        <f>BV910</f>
        <v/>
      </c>
      <c r="BX910" s="1277">
        <f>BW910</f>
        <v/>
      </c>
      <c r="BY910" s="1297">
        <f>BX910</f>
        <v/>
      </c>
      <c r="BZ910" s="1297">
        <f>BY910</f>
        <v/>
      </c>
      <c r="CA910" s="1297">
        <f>BZ910</f>
        <v/>
      </c>
      <c r="CB910" s="1297">
        <f>CA910</f>
        <v/>
      </c>
      <c r="CC910" s="1280" t="n"/>
    </row>
    <row r="911" ht="14.4" customFormat="1" customHeight="1" s="1275">
      <c r="A911" s="1431" t="inlineStr">
        <is>
          <t>Payables to related parties</t>
        </is>
      </c>
      <c r="B911" s="1389" t="n"/>
      <c r="C911" s="1390" t="n">
        <v>783.0069999999999</v>
      </c>
      <c r="D911" s="1390" t="n">
        <v>867.085</v>
      </c>
      <c r="E911" s="1390" t="n">
        <v>1328.521</v>
      </c>
      <c r="F911" s="1390" t="n">
        <v>748.6130000000001</v>
      </c>
      <c r="G911" s="1390" t="n">
        <v>1688.456</v>
      </c>
      <c r="H911" s="1391" t="n">
        <v>1330.05</v>
      </c>
      <c r="I911" s="1391" t="n">
        <v>1681.781</v>
      </c>
      <c r="J911" s="1391" t="n">
        <v>1290.677</v>
      </c>
      <c r="K911" s="1365">
        <f>L911</f>
        <v/>
      </c>
      <c r="L911" s="1390" t="n">
        <v>1491.49</v>
      </c>
      <c r="M911" s="1391" t="n">
        <v>1609.613</v>
      </c>
      <c r="N911" s="1391" t="n">
        <v>1327.345</v>
      </c>
      <c r="O911" s="1391" t="n">
        <v>1128.121</v>
      </c>
      <c r="P911" s="1365">
        <f>Q911</f>
        <v/>
      </c>
      <c r="Q911" s="1390" t="n">
        <v>1149.988</v>
      </c>
      <c r="R911" s="1391" t="n">
        <v>1115.073</v>
      </c>
      <c r="S911" s="1391" t="n">
        <v>1037.116</v>
      </c>
      <c r="T911" s="1391" t="n">
        <v>1039.778</v>
      </c>
      <c r="U911" s="1365">
        <f>V911</f>
        <v/>
      </c>
      <c r="V911" s="1390" t="n">
        <v>1262.174</v>
      </c>
      <c r="W911" s="1391" t="n">
        <v>1171.195</v>
      </c>
      <c r="X911" s="1391" t="n">
        <v>1101.776</v>
      </c>
      <c r="Y911" s="1391" t="n">
        <v>1442.029</v>
      </c>
      <c r="Z911" s="1365">
        <f>AA911</f>
        <v/>
      </c>
      <c r="AA911" s="1390" t="n">
        <v>1656.356</v>
      </c>
      <c r="AB911" s="1391" t="n">
        <v>1224.307</v>
      </c>
      <c r="AC911" s="1391" t="n">
        <v>951.332</v>
      </c>
      <c r="AD911" s="1391" t="n">
        <v>1571.303</v>
      </c>
      <c r="AE911" s="1365">
        <f>AF911</f>
        <v/>
      </c>
      <c r="AF911" s="1390" t="n">
        <v>1376.499</v>
      </c>
      <c r="AG911" s="1391" t="n">
        <v>560.941</v>
      </c>
      <c r="AH911" s="1391" t="n">
        <v>767.451</v>
      </c>
      <c r="AI911" s="1391" t="n">
        <v>1638.009</v>
      </c>
      <c r="AJ911" s="1365">
        <f>AK911</f>
        <v/>
      </c>
      <c r="AK911" s="1390" t="n">
        <v>1434.9</v>
      </c>
      <c r="AL911" s="1391" t="n">
        <v>1491.179</v>
      </c>
      <c r="AM911" s="1391" t="n">
        <v>1433.005</v>
      </c>
      <c r="AN911" s="1391" t="n">
        <v>1983.175</v>
      </c>
      <c r="AO911" s="1365">
        <f>AP911</f>
        <v/>
      </c>
      <c r="AP911" s="1390" t="n">
        <v>2107.718</v>
      </c>
      <c r="AQ911" s="1391" t="n">
        <v>1944.99</v>
      </c>
      <c r="AR911" s="1391" t="n">
        <v>1504.156</v>
      </c>
      <c r="AS911" s="1391" t="n">
        <v>2155.628</v>
      </c>
      <c r="AT911" s="1365">
        <f>AU911</f>
        <v/>
      </c>
      <c r="AU911" s="1390" t="n">
        <v>1437.186</v>
      </c>
      <c r="AV911" s="1391" t="n">
        <v>1450.896</v>
      </c>
      <c r="AW911" s="1391" t="n">
        <v>1793.114</v>
      </c>
      <c r="AX911" s="1391" t="n">
        <v>1870.819</v>
      </c>
      <c r="AY911" s="1365">
        <f>AZ911</f>
        <v/>
      </c>
      <c r="AZ911" s="1390" t="n">
        <v>1642.637</v>
      </c>
      <c r="BA911" s="1391" t="n">
        <v>1079.764</v>
      </c>
      <c r="BB911" s="1391" t="n">
        <v>1178.664</v>
      </c>
      <c r="BC911" s="1391" t="n">
        <v>1621.423</v>
      </c>
      <c r="BD911" s="1365">
        <f>BE911</f>
        <v/>
      </c>
      <c r="BE911" s="1390" t="n">
        <v>1566.3</v>
      </c>
      <c r="BF911" s="1391" t="n">
        <v>1185.196</v>
      </c>
      <c r="BG911" s="1298" t="n">
        <v>1184.013</v>
      </c>
      <c r="BH911" s="1298" t="n">
        <v>1685.85</v>
      </c>
      <c r="BI911" s="1365">
        <f>BJ911</f>
        <v/>
      </c>
      <c r="BJ911" s="1390" t="n">
        <v>1426.001</v>
      </c>
      <c r="BK911" s="1391" t="n">
        <v>1216.344</v>
      </c>
      <c r="BL911" s="1298" t="n">
        <v>1276.538</v>
      </c>
      <c r="BM911" s="1298" t="n">
        <v>1961.26</v>
      </c>
      <c r="BN911" s="1365">
        <f>BO911</f>
        <v/>
      </c>
      <c r="BO911" s="1366">
        <f>84330-BO910</f>
        <v/>
      </c>
      <c r="BP911" s="1365">
        <f>BO911</f>
        <v/>
      </c>
      <c r="BQ911" s="1365">
        <f>BP911</f>
        <v/>
      </c>
      <c r="BR911" s="1365">
        <f>BQ911</f>
        <v/>
      </c>
      <c r="BS911" s="1365">
        <f>BR911</f>
        <v/>
      </c>
      <c r="BT911" s="1364">
        <f>BS911</f>
        <v/>
      </c>
      <c r="BU911" s="1365">
        <f>BT911</f>
        <v/>
      </c>
      <c r="BV911" s="1365">
        <f>BU911</f>
        <v/>
      </c>
      <c r="BW911" s="1365">
        <f>BV911</f>
        <v/>
      </c>
      <c r="BX911" s="1365">
        <f>BW911</f>
        <v/>
      </c>
      <c r="BY911" s="1364">
        <f>BX911</f>
        <v/>
      </c>
      <c r="BZ911" s="1364">
        <f>BY911</f>
        <v/>
      </c>
      <c r="CA911" s="1364">
        <f>BZ911</f>
        <v/>
      </c>
      <c r="CB911" s="1364">
        <f>CA911</f>
        <v/>
      </c>
      <c r="CC911" s="1280" t="n"/>
    </row>
    <row r="912" ht="14.4" customFormat="1" customHeight="1" s="1275">
      <c r="A912" s="1295" t="inlineStr">
        <is>
          <t>Total accounts payable</t>
        </is>
      </c>
      <c r="B912" s="1387" t="n"/>
      <c r="C912" s="1446">
        <f>C910+C911</f>
        <v/>
      </c>
      <c r="D912" s="1446">
        <f>D910+D911</f>
        <v/>
      </c>
      <c r="E912" s="1446">
        <f>E910+E911</f>
        <v/>
      </c>
      <c r="F912" s="1446">
        <f>F910+F911</f>
        <v/>
      </c>
      <c r="G912" s="1446">
        <f>G910+G911</f>
        <v/>
      </c>
      <c r="H912" s="1280">
        <f>H910+H911</f>
        <v/>
      </c>
      <c r="I912" s="1280">
        <f>I910+I911</f>
        <v/>
      </c>
      <c r="J912" s="1280">
        <f>J910+J911</f>
        <v/>
      </c>
      <c r="K912" s="1280">
        <f>K910+K911</f>
        <v/>
      </c>
      <c r="L912" s="1446">
        <f>L910+L911</f>
        <v/>
      </c>
      <c r="M912" s="1280">
        <f>M910+M911</f>
        <v/>
      </c>
      <c r="N912" s="1280">
        <f>N910+N911</f>
        <v/>
      </c>
      <c r="O912" s="1280">
        <f>O910+O911</f>
        <v/>
      </c>
      <c r="P912" s="1280">
        <f>P910+P911</f>
        <v/>
      </c>
      <c r="Q912" s="1446">
        <f>Q910+Q911</f>
        <v/>
      </c>
      <c r="R912" s="1280">
        <f>R910+R911</f>
        <v/>
      </c>
      <c r="S912" s="1280">
        <f>S910+S911</f>
        <v/>
      </c>
      <c r="T912" s="1280">
        <f>T910+T911</f>
        <v/>
      </c>
      <c r="U912" s="1280">
        <f>U910+U911</f>
        <v/>
      </c>
      <c r="V912" s="1446">
        <f>V910+V911</f>
        <v/>
      </c>
      <c r="W912" s="1280">
        <f>W910+W911</f>
        <v/>
      </c>
      <c r="X912" s="1280">
        <f>X910+X911</f>
        <v/>
      </c>
      <c r="Y912" s="1280">
        <f>Y910+Y911</f>
        <v/>
      </c>
      <c r="Z912" s="1280">
        <f>Z910+Z911</f>
        <v/>
      </c>
      <c r="AA912" s="1446">
        <f>AA910+AA911</f>
        <v/>
      </c>
      <c r="AB912" s="1280">
        <f>AB910+AB911</f>
        <v/>
      </c>
      <c r="AC912" s="1280">
        <f>AC910+AC911</f>
        <v/>
      </c>
      <c r="AD912" s="1280">
        <f>AD910+AD911</f>
        <v/>
      </c>
      <c r="AE912" s="1280">
        <f>AE910+AE911</f>
        <v/>
      </c>
      <c r="AF912" s="1446">
        <f>AF910+AF911</f>
        <v/>
      </c>
      <c r="AG912" s="1280">
        <f>AG910+AG911</f>
        <v/>
      </c>
      <c r="AH912" s="1280">
        <f>AH910+AH911</f>
        <v/>
      </c>
      <c r="AI912" s="1280">
        <f>AI910+AI911</f>
        <v/>
      </c>
      <c r="AJ912" s="1280">
        <f>AJ910+AJ911</f>
        <v/>
      </c>
      <c r="AK912" s="1446">
        <f>AK910+AK911</f>
        <v/>
      </c>
      <c r="AL912" s="1280">
        <f>AL910+AL911</f>
        <v/>
      </c>
      <c r="AM912" s="1280">
        <f>AM910+AM911</f>
        <v/>
      </c>
      <c r="AN912" s="1280">
        <f>AN910+AN911</f>
        <v/>
      </c>
      <c r="AO912" s="1280">
        <f>AO910+AO911</f>
        <v/>
      </c>
      <c r="AP912" s="1297">
        <f>AP910+AP911</f>
        <v/>
      </c>
      <c r="AQ912" s="1280">
        <f>AQ910+AQ911</f>
        <v/>
      </c>
      <c r="AR912" s="1277">
        <f>AR910+AR911</f>
        <v/>
      </c>
      <c r="AS912" s="1277">
        <f>AS910+AS911</f>
        <v/>
      </c>
      <c r="AT912" s="1280">
        <f>AT910+AT911</f>
        <v/>
      </c>
      <c r="AU912" s="1446">
        <f>AU910+AU911</f>
        <v/>
      </c>
      <c r="AV912" s="1280">
        <f>AV910+AV911</f>
        <v/>
      </c>
      <c r="AW912" s="1277">
        <f>AW910+AW911</f>
        <v/>
      </c>
      <c r="AX912" s="1280">
        <f>AX910+AX911</f>
        <v/>
      </c>
      <c r="AY912" s="1280">
        <f>AY910+AY911</f>
        <v/>
      </c>
      <c r="AZ912" s="1446">
        <f>AZ910+AZ911</f>
        <v/>
      </c>
      <c r="BA912" s="1280">
        <f>BA910+BA911</f>
        <v/>
      </c>
      <c r="BB912" s="1277">
        <f>BB910+BB911</f>
        <v/>
      </c>
      <c r="BC912" s="1277">
        <f>BC910+BC911</f>
        <v/>
      </c>
      <c r="BD912" s="1280">
        <f>BD910+BD911</f>
        <v/>
      </c>
      <c r="BE912" s="1446">
        <f>BE910+BE911</f>
        <v/>
      </c>
      <c r="BF912" s="1277">
        <f>BF910+BF911</f>
        <v/>
      </c>
      <c r="BG912" s="1615">
        <f>BG910+BG911</f>
        <v/>
      </c>
      <c r="BH912" s="1615">
        <f>BH910+BH911</f>
        <v/>
      </c>
      <c r="BI912" s="1280">
        <f>BI910+BI911</f>
        <v/>
      </c>
      <c r="BJ912" s="1446">
        <f>BJ910+BJ911</f>
        <v/>
      </c>
      <c r="BK912" s="1277">
        <f>BK910+BK911</f>
        <v/>
      </c>
      <c r="BL912" s="1615">
        <f>BL910+BL911</f>
        <v/>
      </c>
      <c r="BM912" s="1615">
        <f>BM910+BM911</f>
        <v/>
      </c>
      <c r="BN912" s="1280">
        <f>BN910+BN911</f>
        <v/>
      </c>
      <c r="BO912" s="1300">
        <f>BO910+BO911</f>
        <v/>
      </c>
      <c r="BP912" s="1277">
        <f>BP910+BP911</f>
        <v/>
      </c>
      <c r="BQ912" s="1277">
        <f>BQ910+BQ911</f>
        <v/>
      </c>
      <c r="BR912" s="1277">
        <f>BR910+BR911</f>
        <v/>
      </c>
      <c r="BS912" s="1277">
        <f>BS910+BS911</f>
        <v/>
      </c>
      <c r="BT912" s="1297">
        <f>BT910+BT911</f>
        <v/>
      </c>
      <c r="BU912" s="1277">
        <f>BU910+BU911</f>
        <v/>
      </c>
      <c r="BV912" s="1277">
        <f>BV910+BV911</f>
        <v/>
      </c>
      <c r="BW912" s="1277">
        <f>BW910+BW911</f>
        <v/>
      </c>
      <c r="BX912" s="1277">
        <f>BX910+BX911</f>
        <v/>
      </c>
      <c r="BY912" s="1297">
        <f>BY910+BY911</f>
        <v/>
      </c>
      <c r="BZ912" s="1297">
        <f>BZ910+BZ911</f>
        <v/>
      </c>
      <c r="CA912" s="1297">
        <f>CA910+CA911</f>
        <v/>
      </c>
      <c r="CB912" s="1297">
        <f>CB910+CB911</f>
        <v/>
      </c>
      <c r="CC912" s="1280" t="n"/>
    </row>
    <row r="913" ht="14.4" customFormat="1" customHeight="1" s="1275">
      <c r="A913" s="1295" t="inlineStr">
        <is>
          <t>Salary and bonus payable</t>
        </is>
      </c>
      <c r="B913" s="1387" t="n"/>
      <c r="C913" s="1299" t="n">
        <v>9317.035</v>
      </c>
      <c r="D913" s="1299" t="n">
        <v>6424.064</v>
      </c>
      <c r="E913" s="1299" t="n">
        <v>6148.499</v>
      </c>
      <c r="F913" s="1299" t="n">
        <v>7535.296</v>
      </c>
      <c r="G913" s="1299" t="n">
        <v>8330.956</v>
      </c>
      <c r="H913" s="1298" t="n">
        <v>6107.014</v>
      </c>
      <c r="I913" s="1298" t="n">
        <v>7806.935</v>
      </c>
      <c r="J913" s="1298" t="n">
        <v>9505.689</v>
      </c>
      <c r="K913" s="1280">
        <f>L913</f>
        <v/>
      </c>
      <c r="L913" s="1299" t="n">
        <v>10573.922</v>
      </c>
      <c r="M913" s="1298" t="n">
        <v>8032.667</v>
      </c>
      <c r="N913" s="1298" t="n">
        <v>9116.648999999999</v>
      </c>
      <c r="O913" s="1298" t="n">
        <v>10428.126</v>
      </c>
      <c r="P913" s="1280">
        <f>Q913</f>
        <v/>
      </c>
      <c r="Q913" s="1299" t="n">
        <v>11702.042</v>
      </c>
      <c r="R913" s="1298" t="n">
        <v>8580.299999999999</v>
      </c>
      <c r="S913" s="1298" t="n">
        <v>9843.554</v>
      </c>
      <c r="T913" s="1298" t="n">
        <v>12183.218</v>
      </c>
      <c r="U913" s="1280">
        <f>V913</f>
        <v/>
      </c>
      <c r="V913" s="1299" t="n">
        <v>13681.817</v>
      </c>
      <c r="W913" s="1298" t="n">
        <v>10703.656</v>
      </c>
      <c r="X913" s="1298" t="n">
        <v>10042.918</v>
      </c>
      <c r="Y913" s="1298" t="n">
        <v>12304.052</v>
      </c>
      <c r="Z913" s="1280">
        <f>AA913</f>
        <v/>
      </c>
      <c r="AA913" s="1299" t="n">
        <v>14254.871</v>
      </c>
      <c r="AB913" s="1298" t="n">
        <v>10201.325</v>
      </c>
      <c r="AC913" s="1298" t="n">
        <v>10047.025</v>
      </c>
      <c r="AD913" s="1298" t="n">
        <v>11937.583</v>
      </c>
      <c r="AE913" s="1280">
        <f>AF913</f>
        <v/>
      </c>
      <c r="AF913" s="1299" t="n">
        <v>14471.372</v>
      </c>
      <c r="AG913" s="1298" t="n">
        <v>8896.829</v>
      </c>
      <c r="AH913" s="1298" t="n">
        <v>10130.299</v>
      </c>
      <c r="AI913" s="1298" t="n">
        <v>13573.62</v>
      </c>
      <c r="AJ913" s="1280">
        <f>AK913</f>
        <v/>
      </c>
      <c r="AK913" s="1299" t="n">
        <v>16272.353</v>
      </c>
      <c r="AL913" s="1298" t="n">
        <v>13282.444</v>
      </c>
      <c r="AM913" s="1298" t="n">
        <v>14747.716</v>
      </c>
      <c r="AN913" s="1298" t="n">
        <v>17511.612</v>
      </c>
      <c r="AO913" s="1280">
        <f>AP913</f>
        <v/>
      </c>
      <c r="AP913" s="1299" t="n">
        <v>20071.241</v>
      </c>
      <c r="AQ913" s="1298" t="n">
        <v>15696.178</v>
      </c>
      <c r="AR913" s="1298" t="n">
        <v>17148.913</v>
      </c>
      <c r="AS913" s="1298" t="n">
        <v>20422.409</v>
      </c>
      <c r="AT913" s="1280">
        <f>AU913</f>
        <v/>
      </c>
      <c r="AU913" s="1299" t="n">
        <v>23802.1</v>
      </c>
      <c r="AV913" s="1298" t="n">
        <v>21077.111</v>
      </c>
      <c r="AW913" s="1298" t="n">
        <v>25716.367</v>
      </c>
      <c r="AX913" s="1298" t="n">
        <v>31380.029</v>
      </c>
      <c r="AY913" s="1280">
        <f>AZ913</f>
        <v/>
      </c>
      <c r="AZ913" s="1299" t="n">
        <v>36435.509</v>
      </c>
      <c r="BA913" s="1298" t="n">
        <v>24518.981</v>
      </c>
      <c r="BB913" s="1298" t="n">
        <v>24704.515</v>
      </c>
      <c r="BC913" s="1298" t="n">
        <v>28657.288</v>
      </c>
      <c r="BD913" s="1280">
        <f>BE913</f>
        <v/>
      </c>
      <c r="BE913" s="1299" t="n">
        <v>33200.563</v>
      </c>
      <c r="BF913" s="1298" t="n">
        <v>25281.769</v>
      </c>
      <c r="BG913" s="1298" t="n">
        <v>29412.298</v>
      </c>
      <c r="BH913" s="1298" t="n">
        <v>37714.425</v>
      </c>
      <c r="BI913" s="1280">
        <f>BJ913</f>
        <v/>
      </c>
      <c r="BJ913" s="1299" t="n">
        <v>47451.509</v>
      </c>
      <c r="BK913" s="1298" t="n">
        <v>40951.448</v>
      </c>
      <c r="BL913" s="1298" t="n">
        <v>46014.993</v>
      </c>
      <c r="BM913" s="1298" t="n">
        <v>54129.62</v>
      </c>
      <c r="BN913" s="1280">
        <f>BO913</f>
        <v/>
      </c>
      <c r="BO913" s="1645" t="n">
        <v>50000</v>
      </c>
      <c r="BP913" s="1277">
        <f>BO913</f>
        <v/>
      </c>
      <c r="BQ913" s="1277">
        <f>BP913</f>
        <v/>
      </c>
      <c r="BR913" s="1277">
        <f>BQ913</f>
        <v/>
      </c>
      <c r="BS913" s="1277">
        <f>BR913</f>
        <v/>
      </c>
      <c r="BT913" s="1297">
        <f>BS913</f>
        <v/>
      </c>
      <c r="BU913" s="1277">
        <f>BT913</f>
        <v/>
      </c>
      <c r="BV913" s="1277">
        <f>BU913</f>
        <v/>
      </c>
      <c r="BW913" s="1277">
        <f>BV913</f>
        <v/>
      </c>
      <c r="BX913" s="1277">
        <f>BW913</f>
        <v/>
      </c>
      <c r="BY913" s="1297">
        <f>BX913</f>
        <v/>
      </c>
      <c r="BZ913" s="1297">
        <f>BY913</f>
        <v/>
      </c>
      <c r="CA913" s="1297">
        <f>BZ913</f>
        <v/>
      </c>
      <c r="CB913" s="1297">
        <f>CA913</f>
        <v/>
      </c>
      <c r="CC913" s="1280" t="n"/>
    </row>
    <row r="914" ht="14.4" customFormat="1" customHeight="1" s="1275">
      <c r="A914" s="1295" t="inlineStr">
        <is>
          <t>Accrued profit sharing bonus to employees and compensation to directors and supervisors</t>
        </is>
      </c>
      <c r="B914" s="1387" t="n"/>
      <c r="C914" s="1299" t="n">
        <v>6818.343</v>
      </c>
      <c r="D914" s="1299" t="n">
        <v>11096.147</v>
      </c>
      <c r="E914" s="1299" t="n">
        <v>9081.293</v>
      </c>
      <c r="F914" s="1299" t="n">
        <v>11186.591</v>
      </c>
      <c r="G914" s="1299" t="n">
        <v>12738.801</v>
      </c>
      <c r="H914" s="1298" t="n">
        <v>16018.761</v>
      </c>
      <c r="I914" s="1298" t="n">
        <v>20100.855</v>
      </c>
      <c r="J914" s="1298" t="n">
        <v>12959.725</v>
      </c>
      <c r="K914" s="1280">
        <f>L914</f>
        <v/>
      </c>
      <c r="L914" s="1299" t="n">
        <v>18052.82</v>
      </c>
      <c r="M914" s="1298" t="n">
        <v>23436.465</v>
      </c>
      <c r="N914" s="1298" t="n">
        <v>28834.956</v>
      </c>
      <c r="O914" s="1298" t="n">
        <v>16105.423</v>
      </c>
      <c r="P914" s="1280">
        <f>Q914</f>
        <v/>
      </c>
      <c r="Q914" s="1299" t="n">
        <v>20958.893</v>
      </c>
      <c r="R914" s="1298" t="n">
        <v>25395.073</v>
      </c>
      <c r="S914" s="1298" t="n">
        <v>30365.818</v>
      </c>
      <c r="T914" s="1298" t="n">
        <v>16252.681</v>
      </c>
      <c r="U914" s="1280">
        <f>V914</f>
        <v/>
      </c>
      <c r="V914" s="1299" t="n">
        <v>22894.006</v>
      </c>
      <c r="W914" s="1298" t="n">
        <v>28857.625</v>
      </c>
      <c r="X914" s="1298" t="n">
        <v>33376.142</v>
      </c>
      <c r="Y914" s="1298" t="n">
        <v>17067.133</v>
      </c>
      <c r="Z914" s="1280">
        <f>AA914</f>
        <v/>
      </c>
      <c r="AA914" s="1299" t="n">
        <v>23419.135</v>
      </c>
      <c r="AB914" s="1298" t="n">
        <v>29529.009</v>
      </c>
      <c r="AC914" s="1298" t="n">
        <v>34462.523</v>
      </c>
      <c r="AD914" s="1298" t="n">
        <v>17789.768</v>
      </c>
      <c r="AE914" s="1280">
        <f>AF914</f>
        <v/>
      </c>
      <c r="AF914" s="1299" t="n">
        <v>23981.154</v>
      </c>
      <c r="AG914" s="1298" t="n">
        <v>28088.332</v>
      </c>
      <c r="AH914" s="1298" t="n">
        <v>32638.05</v>
      </c>
      <c r="AI914" s="1298" t="n">
        <v>16271.091</v>
      </c>
      <c r="AJ914" s="1280">
        <f>AK914</f>
        <v/>
      </c>
      <c r="AK914" s="1299" t="n">
        <v>23648.903</v>
      </c>
      <c r="AL914" s="1298" t="n">
        <v>31720.142</v>
      </c>
      <c r="AM914" s="1298" t="n">
        <v>40028.506</v>
      </c>
      <c r="AN914" s="1298" t="n">
        <v>26584.817</v>
      </c>
      <c r="AO914" s="1280">
        <f>AP914</f>
        <v/>
      </c>
      <c r="AP914" s="1299" t="n">
        <v>35681.046</v>
      </c>
      <c r="AQ914" s="1298" t="n">
        <v>44149.585</v>
      </c>
      <c r="AR914" s="1298" t="n">
        <v>52328.94</v>
      </c>
      <c r="AS914" s="1298" t="n">
        <v>27219.784</v>
      </c>
      <c r="AT914" s="1280">
        <f>AU914</f>
        <v/>
      </c>
      <c r="AU914" s="1299" t="n">
        <v>36524.741</v>
      </c>
      <c r="AV914" s="1298" t="n">
        <v>48766.534</v>
      </c>
      <c r="AW914" s="1298" t="n">
        <v>63171.737</v>
      </c>
      <c r="AX914" s="1298" t="n">
        <v>45041.965</v>
      </c>
      <c r="AY914" s="1280">
        <f>AZ914</f>
        <v/>
      </c>
      <c r="AZ914" s="1299" t="n">
        <v>61748.574</v>
      </c>
      <c r="BA914" s="1298" t="n">
        <v>74158.512</v>
      </c>
      <c r="BB914" s="1298" t="n">
        <v>85142.595</v>
      </c>
      <c r="BC914" s="1298" t="n">
        <v>37708.203</v>
      </c>
      <c r="BD914" s="1280">
        <f>BE914</f>
        <v/>
      </c>
      <c r="BE914" s="1299" t="n">
        <v>50716.944</v>
      </c>
      <c r="BF914" s="1298" t="n">
        <v>64246.239</v>
      </c>
      <c r="BG914" s="1298" t="n">
        <v>79199.148</v>
      </c>
      <c r="BH914" s="1298" t="n">
        <v>49399.323</v>
      </c>
      <c r="BI914" s="1280">
        <f>BJ914</f>
        <v/>
      </c>
      <c r="BJ914" s="1299" t="n">
        <v>70871.14999999999</v>
      </c>
      <c r="BK914" s="1298" t="n">
        <v>92607.25</v>
      </c>
      <c r="BL914" s="1298" t="n">
        <v>116534.813</v>
      </c>
      <c r="BM914" s="1298" t="n">
        <v>74537.336</v>
      </c>
      <c r="BN914" s="1280">
        <f>BO914</f>
        <v/>
      </c>
      <c r="BO914" s="1645" t="n">
        <v>80000</v>
      </c>
      <c r="BP914" s="1277">
        <f>BO914</f>
        <v/>
      </c>
      <c r="BQ914" s="1277">
        <f>BP914</f>
        <v/>
      </c>
      <c r="BR914" s="1277">
        <f>BQ914</f>
        <v/>
      </c>
      <c r="BS914" s="1277">
        <f>BR914</f>
        <v/>
      </c>
      <c r="BT914" s="1297">
        <f>BS914</f>
        <v/>
      </c>
      <c r="BU914" s="1277">
        <f>BT914</f>
        <v/>
      </c>
      <c r="BV914" s="1277">
        <f>BU914</f>
        <v/>
      </c>
      <c r="BW914" s="1277">
        <f>BV914</f>
        <v/>
      </c>
      <c r="BX914" s="1277">
        <f>BW914</f>
        <v/>
      </c>
      <c r="BY914" s="1297">
        <f>BX914</f>
        <v/>
      </c>
      <c r="BZ914" s="1297">
        <f>BY914</f>
        <v/>
      </c>
      <c r="CA914" s="1297">
        <f>BZ914</f>
        <v/>
      </c>
      <c r="CB914" s="1297">
        <f>CA914</f>
        <v/>
      </c>
      <c r="CC914" s="1280" t="n"/>
    </row>
    <row r="915" ht="14.4" customFormat="1" customHeight="1" s="1275">
      <c r="A915" s="1295" t="inlineStr">
        <is>
          <t>Payables to contractors and equipment suppliers</t>
        </is>
      </c>
      <c r="B915" s="1387" t="n"/>
      <c r="C915" s="1299" t="n">
        <v>28924.265</v>
      </c>
      <c r="D915" s="1299" t="n">
        <v>43259.857</v>
      </c>
      <c r="E915" s="1299" t="n">
        <v>35540.526</v>
      </c>
      <c r="F915" s="1299" t="n">
        <v>44831.798</v>
      </c>
      <c r="G915" s="1299" t="n">
        <v>89810.16</v>
      </c>
      <c r="H915" s="1298" t="n">
        <v>53461.455</v>
      </c>
      <c r="I915" s="1298" t="n">
        <v>34657.746</v>
      </c>
      <c r="J915" s="1298" t="n">
        <v>28683.936</v>
      </c>
      <c r="K915" s="1280">
        <f>L915</f>
        <v/>
      </c>
      <c r="L915" s="1299" t="n">
        <v>26980.408</v>
      </c>
      <c r="M915" s="1298" t="n">
        <v>27372.814</v>
      </c>
      <c r="N915" s="1298" t="n">
        <v>43610.962</v>
      </c>
      <c r="O915" s="1298" t="n">
        <v>34338.079</v>
      </c>
      <c r="P915" s="1280">
        <f>Q915</f>
        <v/>
      </c>
      <c r="Q915" s="1299" t="n">
        <v>26012.192</v>
      </c>
      <c r="R915" s="1298" t="n">
        <v>33953.061</v>
      </c>
      <c r="S915" s="1298" t="n">
        <v>48102.264</v>
      </c>
      <c r="T915" s="1298" t="n">
        <v>58789.579</v>
      </c>
      <c r="U915" s="1280">
        <f>V915</f>
        <v/>
      </c>
      <c r="V915" s="1299" t="n">
        <v>63154.514</v>
      </c>
      <c r="W915" s="1298" t="n">
        <v>57671.953</v>
      </c>
      <c r="X915" s="1298" t="n">
        <v>50376.846</v>
      </c>
      <c r="Y915" s="1298" t="n">
        <v>47975.461</v>
      </c>
      <c r="Z915" s="1280">
        <f>AA915</f>
        <v/>
      </c>
      <c r="AA915" s="1299" t="n">
        <v>55723.774</v>
      </c>
      <c r="AB915" s="1298" t="n">
        <v>47828.289</v>
      </c>
      <c r="AC915" s="1298" t="n">
        <v>39602.732</v>
      </c>
      <c r="AD915" s="1298" t="n">
        <v>58590.057</v>
      </c>
      <c r="AE915" s="1280">
        <f>AF915</f>
        <v/>
      </c>
      <c r="AF915" s="1299" t="n">
        <v>43133.659</v>
      </c>
      <c r="AG915" s="1298" t="n">
        <v>76970.966</v>
      </c>
      <c r="AH915" s="1298" t="n">
        <v>71028.923</v>
      </c>
      <c r="AI915" s="1298" t="n">
        <v>93441.774</v>
      </c>
      <c r="AJ915" s="1280">
        <f>AK915</f>
        <v/>
      </c>
      <c r="AK915" s="1299" t="n">
        <v>140810.703</v>
      </c>
      <c r="AL915" s="1298" t="n">
        <v>101466.057</v>
      </c>
      <c r="AM915" s="1298" t="n">
        <v>97739.201</v>
      </c>
      <c r="AN915" s="1298" t="n">
        <v>100637.031</v>
      </c>
      <c r="AO915" s="1280">
        <f>AP915</f>
        <v/>
      </c>
      <c r="AP915" s="1299" t="n">
        <v>157804.961</v>
      </c>
      <c r="AQ915" s="1298" t="n">
        <v>109037.744</v>
      </c>
      <c r="AR915" s="1298" t="n">
        <v>107146.153</v>
      </c>
      <c r="AS915" s="1298" t="n">
        <v>128367.724</v>
      </c>
      <c r="AT915" s="1280">
        <f>AU915</f>
        <v/>
      </c>
      <c r="AU915" s="1299" t="n">
        <v>145742.148</v>
      </c>
      <c r="AV915" s="1298" t="n">
        <v>122915.512</v>
      </c>
      <c r="AW915" s="1298" t="n">
        <v>160489.081</v>
      </c>
      <c r="AX915" s="1298" t="n">
        <v>159780.369</v>
      </c>
      <c r="AY915" s="1280">
        <f>AZ915</f>
        <v/>
      </c>
      <c r="AZ915" s="1299" t="n">
        <v>213499.613</v>
      </c>
      <c r="BA915" s="1298" t="n">
        <v>157374.807</v>
      </c>
      <c r="BB915" s="1298" t="n">
        <v>140753.488</v>
      </c>
      <c r="BC915" s="1298" t="n">
        <v>230848.866</v>
      </c>
      <c r="BD915" s="1280">
        <f>BE915</f>
        <v/>
      </c>
      <c r="BE915" s="1299" t="n">
        <v>171484.616</v>
      </c>
      <c r="BF915" s="1298" t="n">
        <v>127179.414</v>
      </c>
      <c r="BG915" s="1298" t="n">
        <v>136744.351</v>
      </c>
      <c r="BH915" s="1298" t="n">
        <v>125132.085</v>
      </c>
      <c r="BI915" s="1280">
        <f>BJ915</f>
        <v/>
      </c>
      <c r="BJ915" s="1299" t="n">
        <v>192635.173</v>
      </c>
      <c r="BK915" s="1298" t="n">
        <v>199087.045</v>
      </c>
      <c r="BL915" s="1298" t="n">
        <v>161416.417</v>
      </c>
      <c r="BM915" s="1298" t="n">
        <v>175430.503</v>
      </c>
      <c r="BN915" s="1280">
        <f>BO915</f>
        <v/>
      </c>
      <c r="BO915" s="1645" t="n">
        <v>177730</v>
      </c>
      <c r="BP915" s="1277">
        <f>(BP$369+BN$369+BM$369+BL$369)*BP826</f>
        <v/>
      </c>
      <c r="BQ915" s="1277">
        <f>(BQ$369+BP$369+BN$369+BM$369)*BQ826</f>
        <v/>
      </c>
      <c r="BR915" s="1277">
        <f>(BR$369+BQ$369+BP$369+BN$369)*BR826</f>
        <v/>
      </c>
      <c r="BS915" s="1277">
        <f>(BS$369+BR$369+BQ$369+BP$369)*BS826</f>
        <v/>
      </c>
      <c r="BT915" s="1297">
        <f>BS915</f>
        <v/>
      </c>
      <c r="BU915" s="1277">
        <f>(BU$369+BS$369+BR$369+BQ$369)*BU826</f>
        <v/>
      </c>
      <c r="BV915" s="1277">
        <f>(BV$369+BU$369+BS$369+BR$369)*BV826</f>
        <v/>
      </c>
      <c r="BW915" s="1277">
        <f>(BW$369+BV$369+BU$369+BS$369)*BW826</f>
        <v/>
      </c>
      <c r="BX915" s="1277">
        <f>(BX$369+BW$369+BV$369+BU$369)*BX826</f>
        <v/>
      </c>
      <c r="BY915" s="1297">
        <f>BX915</f>
        <v/>
      </c>
      <c r="BZ915" s="1297">
        <f>BZ369*BZ826</f>
        <v/>
      </c>
      <c r="CA915" s="1297">
        <f>CA369*CA826</f>
        <v/>
      </c>
      <c r="CB915" s="1297">
        <f>CB369*CB826</f>
        <v/>
      </c>
      <c r="CC915" s="1280" t="n"/>
    </row>
    <row r="916" ht="14.4" customFormat="1" customHeight="1" s="1275">
      <c r="A916" s="1295" t="inlineStr">
        <is>
          <t>Cash dividends payable</t>
        </is>
      </c>
      <c r="B916" s="1387" t="n"/>
      <c r="C916" s="1297" t="n"/>
      <c r="D916" s="1299" t="n">
        <v>0</v>
      </c>
      <c r="E916" s="1299" t="n">
        <v>0</v>
      </c>
      <c r="F916" s="1299" t="n">
        <v>0</v>
      </c>
      <c r="G916" s="1297" t="n"/>
      <c r="H916" s="1277" t="n"/>
      <c r="I916" s="1298" t="n">
        <v>77785.851</v>
      </c>
      <c r="J916" s="1277" t="n"/>
      <c r="K916" s="1280">
        <f>L916</f>
        <v/>
      </c>
      <c r="L916" s="1297" t="n"/>
      <c r="M916" s="1277" t="n"/>
      <c r="N916" s="1298" t="n">
        <v>116683.481</v>
      </c>
      <c r="O916" s="1277" t="n"/>
      <c r="P916" s="1280">
        <f>Q916</f>
        <v/>
      </c>
      <c r="Q916" s="1297" t="n"/>
      <c r="R916" s="1277" t="n"/>
      <c r="S916" s="1298" t="n">
        <v>155696.382</v>
      </c>
      <c r="T916" s="1277" t="n"/>
      <c r="U916" s="1280">
        <f>V916</f>
        <v/>
      </c>
      <c r="V916" s="1297" t="n"/>
      <c r="W916" s="1277" t="n"/>
      <c r="X916" s="1298" t="n">
        <v>181626.763</v>
      </c>
      <c r="Y916" s="1277" t="n"/>
      <c r="Z916" s="1280">
        <f>AA916</f>
        <v/>
      </c>
      <c r="AA916" s="1297" t="n"/>
      <c r="AB916" s="1277" t="n"/>
      <c r="AC916" s="1298" t="n">
        <v>207519.11</v>
      </c>
      <c r="AD916" s="1277" t="n"/>
      <c r="AE916" s="1280">
        <f>AF916</f>
        <v/>
      </c>
      <c r="AF916" s="1297" t="n"/>
      <c r="AG916" s="1277" t="n"/>
      <c r="AH916" s="1298" t="n">
        <v>259379.871</v>
      </c>
      <c r="AI916" s="1298" t="n">
        <v>116686.712</v>
      </c>
      <c r="AJ916" s="1280">
        <f>AK916</f>
        <v/>
      </c>
      <c r="AK916" s="1299" t="n">
        <v>129651.902</v>
      </c>
      <c r="AL916" s="1298" t="n">
        <v>129651.902</v>
      </c>
      <c r="AM916" s="1298" t="n">
        <v>129651.902</v>
      </c>
      <c r="AN916" s="1298" t="n">
        <v>129651.902</v>
      </c>
      <c r="AO916" s="1280">
        <f>AP916</f>
        <v/>
      </c>
      <c r="AP916" s="1299" t="n">
        <v>129651.902</v>
      </c>
      <c r="AQ916" s="1298" t="n">
        <v>129651.902</v>
      </c>
      <c r="AR916" s="1298" t="n">
        <v>136134.497</v>
      </c>
      <c r="AS916" s="1298" t="n">
        <v>142617.092</v>
      </c>
      <c r="AT916" s="1280">
        <f>AU916</f>
        <v/>
      </c>
      <c r="AU916" s="1299" t="n">
        <v>142617.093</v>
      </c>
      <c r="AV916" s="1298" t="n">
        <v>142617.093</v>
      </c>
      <c r="AW916" s="1298" t="n">
        <v>142805.49</v>
      </c>
      <c r="AX916" s="1298" t="n">
        <v>142617.093</v>
      </c>
      <c r="AY916" s="1280">
        <f>AZ916</f>
        <v/>
      </c>
      <c r="AZ916" s="1299" t="n">
        <v>142617.093</v>
      </c>
      <c r="BA916" s="1298" t="n">
        <v>142617.093</v>
      </c>
      <c r="BB916" s="1298" t="n">
        <v>149309</v>
      </c>
      <c r="BC916" s="1298" t="n">
        <v>155592.426</v>
      </c>
      <c r="BD916" s="1280">
        <f>BE916</f>
        <v/>
      </c>
      <c r="BE916" s="1299" t="n">
        <v>168558.461</v>
      </c>
      <c r="BF916" s="1298" t="n">
        <v>181524.496</v>
      </c>
      <c r="BG916" s="1298" t="n">
        <v>194600.069</v>
      </c>
      <c r="BH916" s="1298" t="n">
        <v>207456.038</v>
      </c>
      <c r="BI916" s="1280">
        <f>BJ916</f>
        <v/>
      </c>
      <c r="BJ916" s="1299" t="n">
        <v>220418.821</v>
      </c>
      <c r="BK916" s="1298" t="n">
        <v>233394.6</v>
      </c>
      <c r="BL916" s="1298" t="n">
        <v>246672.182</v>
      </c>
      <c r="BM916" s="1298" t="n">
        <v>259325.99</v>
      </c>
      <c r="BN916" s="1280">
        <f>BO916</f>
        <v/>
      </c>
      <c r="BO916" s="1645" t="n">
        <v>285258</v>
      </c>
      <c r="BP916" s="1277">
        <f>BO916</f>
        <v/>
      </c>
      <c r="BQ916" s="1277">
        <f>BP916</f>
        <v/>
      </c>
      <c r="BR916" s="1277">
        <f>BQ916</f>
        <v/>
      </c>
      <c r="BS916" s="1277">
        <f>BR916</f>
        <v/>
      </c>
      <c r="BT916" s="1297">
        <f>BS916</f>
        <v/>
      </c>
      <c r="BU916" s="1277">
        <f>BT916</f>
        <v/>
      </c>
      <c r="BV916" s="1277">
        <f>BU916</f>
        <v/>
      </c>
      <c r="BW916" s="1277">
        <f>BV916</f>
        <v/>
      </c>
      <c r="BX916" s="1277">
        <f>BW916</f>
        <v/>
      </c>
      <c r="BY916" s="1297">
        <f>BX916</f>
        <v/>
      </c>
      <c r="BZ916" s="1297">
        <f>BY916</f>
        <v/>
      </c>
      <c r="CA916" s="1297">
        <f>BZ916</f>
        <v/>
      </c>
      <c r="CB916" s="1297">
        <f>CA916</f>
        <v/>
      </c>
      <c r="CC916" s="1280" t="n"/>
    </row>
    <row r="917" ht="14.4" customFormat="1" customHeight="1" s="1275">
      <c r="A917" s="1295" t="inlineStr">
        <is>
          <t>Income tax payable</t>
        </is>
      </c>
      <c r="B917" s="1387" t="n"/>
      <c r="C917" s="1299" t="n">
        <v>8800.249</v>
      </c>
      <c r="D917" s="1299" t="n">
        <v>7184.697</v>
      </c>
      <c r="E917" s="1299" t="n">
        <v>10656.124</v>
      </c>
      <c r="F917" s="1299" t="n">
        <v>15635.594</v>
      </c>
      <c r="G917" s="1299" t="n">
        <v>22563.286</v>
      </c>
      <c r="H917" s="1298" t="n">
        <v>28433.542</v>
      </c>
      <c r="I917" s="1298" t="n">
        <v>17585.111</v>
      </c>
      <c r="J917" s="1298" t="n">
        <v>19412.953</v>
      </c>
      <c r="K917" s="1280">
        <f>L917</f>
        <v/>
      </c>
      <c r="L917" s="1299" t="n">
        <v>28616.574</v>
      </c>
      <c r="M917" s="1298" t="n">
        <v>38954.401</v>
      </c>
      <c r="N917" s="1298" t="n">
        <v>30335.34</v>
      </c>
      <c r="O917" s="1298" t="n">
        <v>24464.158</v>
      </c>
      <c r="P917" s="1280">
        <f>Q917</f>
        <v/>
      </c>
      <c r="Q917" s="1299" t="n">
        <v>32901.106</v>
      </c>
      <c r="R917" s="1298" t="n">
        <v>41474.426</v>
      </c>
      <c r="S917" s="1298" t="n">
        <v>31168.78</v>
      </c>
      <c r="T917" s="1298" t="n">
        <v>27970.532</v>
      </c>
      <c r="U917" s="1280">
        <f>V917</f>
        <v/>
      </c>
      <c r="V917" s="1299" t="n">
        <v>40306.054</v>
      </c>
      <c r="W917" s="1298" t="n">
        <v>52874.433</v>
      </c>
      <c r="X917" s="1298" t="n">
        <v>33463.459</v>
      </c>
      <c r="Y917" s="1298" t="n">
        <v>20663.395</v>
      </c>
      <c r="Z917" s="1280">
        <f>AA917</f>
        <v/>
      </c>
      <c r="AA917" s="1299" t="n">
        <v>33479.311</v>
      </c>
      <c r="AB917" s="1298" t="n">
        <v>44096.8</v>
      </c>
      <c r="AC917" s="1298" t="n">
        <v>28789.175</v>
      </c>
      <c r="AD917" s="1298" t="n">
        <v>39157.673</v>
      </c>
      <c r="AE917" s="1280">
        <f>AF917</f>
        <v/>
      </c>
      <c r="AF917" s="1299" t="n">
        <v>38987.053</v>
      </c>
      <c r="AG917" s="1298" t="n">
        <v>45719.763</v>
      </c>
      <c r="AH917" s="1298" t="n">
        <v>22068.494</v>
      </c>
      <c r="AI917" s="1298" t="n">
        <v>33205.431</v>
      </c>
      <c r="AJ917" s="1280">
        <f>AK917</f>
        <v/>
      </c>
      <c r="AK917" s="1299" t="n">
        <v>32466.156</v>
      </c>
      <c r="AL917" s="1298" t="n">
        <v>47565.681</v>
      </c>
      <c r="AM917" s="1298" t="n">
        <v>33020.177</v>
      </c>
      <c r="AN917" s="1298" t="n">
        <v>33705.272</v>
      </c>
      <c r="AO917" s="1280">
        <f>AP917</f>
        <v/>
      </c>
      <c r="AP917" s="1299" t="n">
        <v>53909.313</v>
      </c>
      <c r="AQ917" s="1298" t="n">
        <v>74018.602</v>
      </c>
      <c r="AR917" s="1298" t="n">
        <v>40022.662</v>
      </c>
      <c r="AS917" s="1298" t="n">
        <v>33614.402</v>
      </c>
      <c r="AT917" s="1280">
        <f>AU917</f>
        <v/>
      </c>
      <c r="AU917" s="1299" t="n">
        <v>59647.152</v>
      </c>
      <c r="AV917" s="1298" t="n">
        <v>87693.132</v>
      </c>
      <c r="AW917" s="1298" t="n">
        <v>62063.783</v>
      </c>
      <c r="AX917" s="1298" t="n">
        <v>76005.32399999999</v>
      </c>
      <c r="AY917" s="1280">
        <f>AZ917</f>
        <v/>
      </c>
      <c r="AZ917" s="1299" t="n">
        <v>120801.814</v>
      </c>
      <c r="BA917" s="1298" t="n">
        <v>157215.093</v>
      </c>
      <c r="BB917" s="1298" t="n">
        <v>70060.25900000001</v>
      </c>
      <c r="BC917" s="1298" t="n">
        <v>102953.391</v>
      </c>
      <c r="BD917" s="1280">
        <f>BE917</f>
        <v/>
      </c>
      <c r="BE917" s="1299" t="n">
        <v>98912.902</v>
      </c>
      <c r="BF917" s="1298" t="n">
        <v>139222.213</v>
      </c>
      <c r="BG917" s="1298" t="n">
        <v>110302.021</v>
      </c>
      <c r="BH917" s="1298" t="n">
        <v>77422.72900000001</v>
      </c>
      <c r="BI917" s="1280">
        <f>BJ917</f>
        <v/>
      </c>
      <c r="BJ917" s="1299" t="n">
        <v>147438.423</v>
      </c>
      <c r="BK917" s="1298" t="n">
        <v>217332.999</v>
      </c>
      <c r="BL917" s="1298" t="n">
        <v>182884.38</v>
      </c>
      <c r="BM917" s="1298" t="n">
        <v>116731.894</v>
      </c>
      <c r="BN917" s="1280">
        <f>BO917</f>
        <v/>
      </c>
      <c r="BO917" s="1645" t="n">
        <v>115000</v>
      </c>
      <c r="BP917" s="1277">
        <f>BO917</f>
        <v/>
      </c>
      <c r="BQ917" s="1277">
        <f>BP917</f>
        <v/>
      </c>
      <c r="BR917" s="1277">
        <f>BQ917</f>
        <v/>
      </c>
      <c r="BS917" s="1277">
        <f>BR917</f>
        <v/>
      </c>
      <c r="BT917" s="1297">
        <f>BS917</f>
        <v/>
      </c>
      <c r="BU917" s="1277">
        <f>BT917</f>
        <v/>
      </c>
      <c r="BV917" s="1277">
        <f>BU917</f>
        <v/>
      </c>
      <c r="BW917" s="1277">
        <f>BV917</f>
        <v/>
      </c>
      <c r="BX917" s="1277">
        <f>BW917</f>
        <v/>
      </c>
      <c r="BY917" s="1297">
        <f>BX917</f>
        <v/>
      </c>
      <c r="BZ917" s="1297">
        <f>BY917</f>
        <v/>
      </c>
      <c r="CA917" s="1297">
        <f>BZ917</f>
        <v/>
      </c>
      <c r="CB917" s="1297">
        <f>CA917</f>
        <v/>
      </c>
      <c r="CC917" s="1280" t="n"/>
    </row>
    <row r="918" ht="14.4" customFormat="1" customHeight="1" s="1275">
      <c r="A918" s="1295" t="inlineStr">
        <is>
          <t>Provisions</t>
        </is>
      </c>
      <c r="B918" s="1387" t="n"/>
      <c r="C918" s="1297" t="n"/>
      <c r="D918" s="1297" t="n"/>
      <c r="E918" s="1297" t="n"/>
      <c r="F918" s="1299" t="n">
        <v>6038.003</v>
      </c>
      <c r="G918" s="1299" t="n">
        <v>7603.781</v>
      </c>
      <c r="H918" s="1298" t="n">
        <v>9964.996999999999</v>
      </c>
      <c r="I918" s="1298" t="n">
        <v>7709.195</v>
      </c>
      <c r="J918" s="1298" t="n">
        <v>7677.524</v>
      </c>
      <c r="K918" s="1280">
        <f>L918</f>
        <v/>
      </c>
      <c r="L918" s="1299" t="n">
        <v>10445.452</v>
      </c>
      <c r="M918" s="1298" t="n">
        <v>8130.817</v>
      </c>
      <c r="N918" s="1298" t="n">
        <v>8593.075000000001</v>
      </c>
      <c r="O918" s="1298" t="n">
        <v>9898.27</v>
      </c>
      <c r="P918" s="1280">
        <f>Q918</f>
        <v/>
      </c>
      <c r="Q918" s="1299" t="n">
        <v>10163.536</v>
      </c>
      <c r="R918" s="1298" t="n">
        <v>10090.163</v>
      </c>
      <c r="S918" s="1298" t="n">
        <v>9495.888999999999</v>
      </c>
      <c r="T918" s="1298" t="n">
        <v>11512.994</v>
      </c>
      <c r="U918" s="1280">
        <f>V918</f>
        <v/>
      </c>
      <c r="V918" s="1299" t="n">
        <v>18037.789</v>
      </c>
      <c r="W918" s="1298" t="n">
        <v>11298.32</v>
      </c>
      <c r="X918" s="1298" t="n">
        <v>13818.216</v>
      </c>
      <c r="Y918" s="1298" t="n">
        <v>14123.509</v>
      </c>
      <c r="Z918" s="1280">
        <f>AA918</f>
        <v/>
      </c>
      <c r="AA918" s="1299" t="n">
        <v>13961.787</v>
      </c>
      <c r="AB918" s="1277" t="n"/>
      <c r="AC918" s="1277" t="n"/>
      <c r="AD918" s="1277" t="n"/>
      <c r="AE918" s="1280">
        <f>AF918</f>
        <v/>
      </c>
      <c r="AF918" s="1297" t="n"/>
      <c r="AG918" s="1277" t="n"/>
      <c r="AH918" s="1277" t="n"/>
      <c r="AI918" s="1277" t="n"/>
      <c r="AJ918" s="1277" t="n"/>
      <c r="AK918" s="1297" t="n"/>
      <c r="AL918" s="1277" t="n"/>
      <c r="AM918" s="1277" t="n"/>
      <c r="AN918" s="1277" t="n"/>
      <c r="AO918" s="1277" t="n"/>
      <c r="AP918" s="1297" t="n"/>
      <c r="AQ918" s="1277" t="n"/>
      <c r="AR918" s="1277" t="n"/>
      <c r="AS918" s="1277" t="n"/>
      <c r="AT918" s="1280">
        <f>AU918</f>
        <v/>
      </c>
      <c r="AU918" s="1297" t="n"/>
      <c r="AV918" s="1277" t="n"/>
      <c r="AW918" s="1277" t="n"/>
      <c r="AX918" s="1277" t="n"/>
      <c r="AY918" s="1280">
        <f>AZ918</f>
        <v/>
      </c>
      <c r="AZ918" s="1297" t="n"/>
      <c r="BA918" s="1277" t="n"/>
      <c r="BB918" s="1277" t="n"/>
      <c r="BC918" s="1277" t="n"/>
      <c r="BD918" s="1280">
        <f>BE918</f>
        <v/>
      </c>
      <c r="BE918" s="1297" t="n"/>
      <c r="BF918" s="1277" t="n"/>
      <c r="BG918" s="1277" t="n"/>
      <c r="BH918" s="1277" t="n"/>
      <c r="BI918" s="1280">
        <f>BJ918</f>
        <v/>
      </c>
      <c r="BJ918" s="1297" t="n"/>
      <c r="BK918" s="1277" t="n"/>
      <c r="BL918" s="1277" t="n"/>
      <c r="BM918" s="1277" t="n"/>
      <c r="BN918" s="1280">
        <f>BO918</f>
        <v/>
      </c>
      <c r="BO918" s="1382" t="n"/>
      <c r="BP918" s="1277">
        <f>BO918</f>
        <v/>
      </c>
      <c r="BQ918" s="1277">
        <f>BP918</f>
        <v/>
      </c>
      <c r="BR918" s="1277">
        <f>BQ918</f>
        <v/>
      </c>
      <c r="BS918" s="1277">
        <f>BR918</f>
        <v/>
      </c>
      <c r="BT918" s="1297">
        <f>BS918</f>
        <v/>
      </c>
      <c r="BU918" s="1277">
        <f>BT918</f>
        <v/>
      </c>
      <c r="BV918" s="1277">
        <f>BU918</f>
        <v/>
      </c>
      <c r="BW918" s="1277">
        <f>BV918</f>
        <v/>
      </c>
      <c r="BX918" s="1277">
        <f>BW918</f>
        <v/>
      </c>
      <c r="BY918" s="1297">
        <f>BX918</f>
        <v/>
      </c>
      <c r="BZ918" s="1297">
        <f>BY918</f>
        <v/>
      </c>
      <c r="CA918" s="1297">
        <f>BZ918</f>
        <v/>
      </c>
      <c r="CB918" s="1297">
        <f>CA918</f>
        <v/>
      </c>
      <c r="CC918" s="1280" t="n"/>
    </row>
    <row r="919" ht="14.4" customFormat="1" customHeight="1" s="1275">
      <c r="A919" s="1295" t="inlineStr">
        <is>
          <t>Liabilities directly associated with noncurrent assets held for sale</t>
        </is>
      </c>
      <c r="B919" s="1387" t="n"/>
      <c r="C919" s="1297" t="n"/>
      <c r="D919" s="1297" t="n"/>
      <c r="E919" s="1297" t="n"/>
      <c r="F919" s="1299" t="n">
        <v>0</v>
      </c>
      <c r="G919" s="1299" t="n">
        <v>0</v>
      </c>
      <c r="H919" s="1298" t="n">
        <v>0</v>
      </c>
      <c r="I919" s="1298" t="n">
        <v>0</v>
      </c>
      <c r="J919" s="1298" t="n">
        <v>0</v>
      </c>
      <c r="K919" s="1280">
        <f>L919</f>
        <v/>
      </c>
      <c r="L919" s="1299" t="n">
        <v>219.043</v>
      </c>
      <c r="M919" s="1277" t="n"/>
      <c r="N919" s="1277" t="n"/>
      <c r="O919" s="1277" t="n"/>
      <c r="P919" s="1280">
        <f>Q919</f>
        <v/>
      </c>
      <c r="Q919" s="1297" t="n"/>
      <c r="R919" s="1277" t="n"/>
      <c r="S919" s="1277" t="n"/>
      <c r="T919" s="1277" t="n"/>
      <c r="U919" s="1280">
        <f>V919</f>
        <v/>
      </c>
      <c r="V919" s="1297" t="n"/>
      <c r="W919" s="1277" t="n"/>
      <c r="X919" s="1277" t="n"/>
      <c r="Y919" s="1277" t="n"/>
      <c r="Z919" s="1280">
        <f>AA919</f>
        <v/>
      </c>
      <c r="AA919" s="1297" t="n"/>
      <c r="AB919" s="1277" t="n"/>
      <c r="AC919" s="1277" t="n"/>
      <c r="AD919" s="1277" t="n"/>
      <c r="AE919" s="1280">
        <f>AF919</f>
        <v/>
      </c>
      <c r="AF919" s="1297" t="n"/>
      <c r="AG919" s="1277" t="n"/>
      <c r="AH919" s="1277" t="n"/>
      <c r="AI919" s="1277" t="n"/>
      <c r="AJ919" s="1277" t="n"/>
      <c r="AK919" s="1297" t="n"/>
      <c r="AL919" s="1277" t="n"/>
      <c r="AM919" s="1277" t="n"/>
      <c r="AN919" s="1277" t="n"/>
      <c r="AO919" s="1277" t="n"/>
      <c r="AP919" s="1297" t="n"/>
      <c r="AQ919" s="1277" t="n"/>
      <c r="AR919" s="1277" t="n"/>
      <c r="AS919" s="1277" t="n"/>
      <c r="AT919" s="1280">
        <f>AU919</f>
        <v/>
      </c>
      <c r="AU919" s="1297" t="n"/>
      <c r="AV919" s="1277" t="n"/>
      <c r="AW919" s="1277" t="n"/>
      <c r="AX919" s="1277" t="n"/>
      <c r="AY919" s="1280">
        <f>AZ919</f>
        <v/>
      </c>
      <c r="AZ919" s="1297" t="n"/>
      <c r="BA919" s="1277" t="n"/>
      <c r="BB919" s="1277" t="n"/>
      <c r="BC919" s="1277" t="n"/>
      <c r="BD919" s="1280">
        <f>BE919</f>
        <v/>
      </c>
      <c r="BE919" s="1297" t="n"/>
      <c r="BF919" s="1277" t="n"/>
      <c r="BG919" s="1277" t="n"/>
      <c r="BH919" s="1277" t="n"/>
      <c r="BI919" s="1280">
        <f>BJ919</f>
        <v/>
      </c>
      <c r="BJ919" s="1297" t="n"/>
      <c r="BK919" s="1277" t="n"/>
      <c r="BL919" s="1277" t="n"/>
      <c r="BM919" s="1277" t="n"/>
      <c r="BN919" s="1280">
        <f>BO919</f>
        <v/>
      </c>
      <c r="BO919" s="1382" t="n"/>
      <c r="BP919" s="1277">
        <f>BO919</f>
        <v/>
      </c>
      <c r="BQ919" s="1277">
        <f>BP919</f>
        <v/>
      </c>
      <c r="BR919" s="1277">
        <f>BQ919</f>
        <v/>
      </c>
      <c r="BS919" s="1277">
        <f>BR919</f>
        <v/>
      </c>
      <c r="BT919" s="1297">
        <f>BS919</f>
        <v/>
      </c>
      <c r="BU919" s="1277">
        <f>BT919</f>
        <v/>
      </c>
      <c r="BV919" s="1277">
        <f>BU919</f>
        <v/>
      </c>
      <c r="BW919" s="1277">
        <f>BV919</f>
        <v/>
      </c>
      <c r="BX919" s="1277">
        <f>BW919</f>
        <v/>
      </c>
      <c r="BY919" s="1297">
        <f>BX919</f>
        <v/>
      </c>
      <c r="BZ919" s="1297">
        <f>BY919</f>
        <v/>
      </c>
      <c r="CA919" s="1297">
        <f>BZ919</f>
        <v/>
      </c>
      <c r="CB919" s="1297">
        <f>CA919</f>
        <v/>
      </c>
      <c r="CC919" s="1280" t="n"/>
    </row>
    <row r="920" ht="14.4" customFormat="1" customHeight="1" s="1275">
      <c r="A920" s="1384" t="inlineStr">
        <is>
          <t>Long-term liabilities - current portion</t>
        </is>
      </c>
      <c r="B920" s="1387" t="n"/>
      <c r="C920" s="1299" t="n">
        <v>949.298</v>
      </c>
      <c r="D920" s="1299" t="n">
        <v>241.407</v>
      </c>
      <c r="E920" s="1299" t="n">
        <v>4562.5</v>
      </c>
      <c r="F920" s="1299" t="n">
        <v>128.125</v>
      </c>
      <c r="G920" s="1299" t="n">
        <v>0</v>
      </c>
      <c r="H920" s="1277" t="n"/>
      <c r="I920" s="1298" t="n">
        <v>0</v>
      </c>
      <c r="J920" s="1298" t="n">
        <v>0</v>
      </c>
      <c r="K920" s="1277">
        <f>L920</f>
        <v/>
      </c>
      <c r="L920" s="1299" t="n">
        <v>0</v>
      </c>
      <c r="M920" s="1298" t="n">
        <v>0</v>
      </c>
      <c r="N920" s="1298" t="n">
        <v>10868.322</v>
      </c>
      <c r="O920" s="1298" t="n">
        <v>23515.931</v>
      </c>
      <c r="P920" s="1277">
        <f>Q920</f>
        <v/>
      </c>
      <c r="Q920" s="1299" t="n">
        <v>23517.612</v>
      </c>
      <c r="R920" s="1298" t="n">
        <v>33272.901</v>
      </c>
      <c r="S920" s="1298" t="n">
        <v>22010</v>
      </c>
      <c r="T920" s="1298" t="n">
        <v>38109.68</v>
      </c>
      <c r="U920" s="1277">
        <f>V920</f>
        <v/>
      </c>
      <c r="V920" s="1299" t="n">
        <v>38109.68</v>
      </c>
      <c r="W920" s="1298" t="n">
        <v>44909.68</v>
      </c>
      <c r="X920" s="1298" t="n">
        <v>79865.605</v>
      </c>
      <c r="Y920" s="1298" t="n">
        <v>59071.057</v>
      </c>
      <c r="Z920" s="1277">
        <f>AA920</f>
        <v/>
      </c>
      <c r="AA920" s="1299" t="n">
        <v>58401.122</v>
      </c>
      <c r="AB920" s="1298" t="n">
        <v>49356.74</v>
      </c>
      <c r="AC920" s="1298" t="n">
        <v>15900</v>
      </c>
      <c r="AD920" s="1298" t="n">
        <v>34900</v>
      </c>
      <c r="AE920" s="1277">
        <f>AF920</f>
        <v/>
      </c>
      <c r="AF920" s="1299" t="n">
        <v>34900</v>
      </c>
      <c r="AG920" s="1298" t="n">
        <v>48100</v>
      </c>
      <c r="AH920" s="1298" t="n">
        <v>48100</v>
      </c>
      <c r="AI920" s="1298" t="n">
        <v>31800</v>
      </c>
      <c r="AJ920" s="1277">
        <f>AK920</f>
        <v/>
      </c>
      <c r="AK920" s="1299" t="n">
        <v>31800</v>
      </c>
      <c r="AL920" s="1298" t="n">
        <v>12800</v>
      </c>
      <c r="AM920" s="1298" t="n">
        <v>12800</v>
      </c>
      <c r="AN920" s="1298" t="n">
        <v>2600</v>
      </c>
      <c r="AO920" s="1277">
        <f>AP920</f>
        <v/>
      </c>
      <c r="AP920" s="1299" t="n">
        <v>2600</v>
      </c>
      <c r="AQ920" s="1298" t="n">
        <v>0</v>
      </c>
      <c r="AR920" s="1298" t="n">
        <v>0</v>
      </c>
      <c r="AS920" s="1298" t="n">
        <v>0</v>
      </c>
      <c r="AT920" s="1277">
        <f>AU920</f>
        <v/>
      </c>
      <c r="AU920" s="1299" t="n">
        <v>4566.667</v>
      </c>
      <c r="AV920" s="1298" t="n">
        <v>16791.667</v>
      </c>
      <c r="AW920" s="1298" t="n">
        <v>17059.167</v>
      </c>
      <c r="AX920" s="1298" t="n">
        <v>23426.667</v>
      </c>
      <c r="AY920" s="1277">
        <f>AZ920</f>
        <v/>
      </c>
      <c r="AZ920" s="1299" t="n">
        <v>19313.889</v>
      </c>
      <c r="BA920" s="1298" t="n">
        <v>8040</v>
      </c>
      <c r="BB920" s="1298" t="n">
        <v>8125.556</v>
      </c>
      <c r="BC920" s="1298" t="n">
        <v>7420.132</v>
      </c>
      <c r="BD920" s="1277">
        <f>BE920</f>
        <v/>
      </c>
      <c r="BE920" s="1299" t="n">
        <v>9293.266</v>
      </c>
      <c r="BF920" s="1298" t="n">
        <v>12500.151</v>
      </c>
      <c r="BG920" s="1298" t="n">
        <v>23075.426</v>
      </c>
      <c r="BH920" s="1298" t="n">
        <v>58804.983</v>
      </c>
      <c r="BI920" s="1277">
        <f>BJ920</f>
        <v/>
      </c>
      <c r="BJ920" s="1299" t="n">
        <v>59857.879</v>
      </c>
      <c r="BK920" s="1298" t="n">
        <v>61771.648</v>
      </c>
      <c r="BL920" s="1298" t="n">
        <v>94213.641</v>
      </c>
      <c r="BM920" s="1298" t="n">
        <v>76225.613</v>
      </c>
      <c r="BN920" s="1277">
        <f>BO920</f>
        <v/>
      </c>
      <c r="BO920" s="1645" t="n">
        <v>136926</v>
      </c>
      <c r="BP920" s="1277">
        <f>BP479-BP905-BP907-BP908-BP909</f>
        <v/>
      </c>
      <c r="BQ920" s="1277">
        <f>BQ479-BQ905-BQ907-BQ908-BQ909</f>
        <v/>
      </c>
      <c r="BR920" s="1277">
        <f>BR479-BR905-BR907-BR908-BR909</f>
        <v/>
      </c>
      <c r="BS920" s="1277">
        <f>BS479-BS905-BS907-BS908-BS909</f>
        <v/>
      </c>
      <c r="BT920" s="1297">
        <f>BS920</f>
        <v/>
      </c>
      <c r="BU920" s="1277">
        <f>BU479-BU905-BU907-BU908-BU909</f>
        <v/>
      </c>
      <c r="BV920" s="1277">
        <f>BV479-BV905-BV907-BV908-BV909</f>
        <v/>
      </c>
      <c r="BW920" s="1277">
        <f>BW479-BW905-BW907-BW908-BW909</f>
        <v/>
      </c>
      <c r="BX920" s="1277">
        <f>BX479-BX905-BX907-BX908-BX909</f>
        <v/>
      </c>
      <c r="BY920" s="1297">
        <f>BX920</f>
        <v/>
      </c>
      <c r="BZ920" s="1297">
        <f>BZ479-BZ905-BZ907-BZ908-BZ909</f>
        <v/>
      </c>
      <c r="CA920" s="1297">
        <f>CA479-CA905-CA907-CA908-CA909</f>
        <v/>
      </c>
      <c r="CB920" s="1297">
        <f>CB479-CB905-CB907-CB908-CB909</f>
        <v/>
      </c>
      <c r="CC920" s="1280" t="n"/>
    </row>
    <row r="921" ht="14.4" customFormat="1" customHeight="1" s="1275">
      <c r="A921" s="1425" t="inlineStr">
        <is>
          <t>Current portion of lease liability</t>
        </is>
      </c>
      <c r="B921" s="1387" t="n"/>
      <c r="C921" s="1297" t="n"/>
      <c r="D921" s="1297" t="n"/>
      <c r="E921" s="1297" t="n"/>
      <c r="F921" s="1297" t="n"/>
      <c r="G921" s="1297" t="n"/>
      <c r="H921" s="1277" t="n"/>
      <c r="I921" s="1277" t="n"/>
      <c r="J921" s="1277" t="n"/>
      <c r="K921" s="1277" t="n"/>
      <c r="L921" s="1297" t="n"/>
      <c r="M921" s="1277" t="n"/>
      <c r="N921" s="1277" t="n"/>
      <c r="O921" s="1277" t="n"/>
      <c r="P921" s="1277" t="n"/>
      <c r="Q921" s="1297" t="n"/>
      <c r="R921" s="1277" t="n"/>
      <c r="S921" s="1277" t="n"/>
      <c r="T921" s="1277" t="n"/>
      <c r="U921" s="1277" t="n"/>
      <c r="V921" s="1297" t="n"/>
      <c r="W921" s="1277" t="n"/>
      <c r="X921" s="1277" t="n"/>
      <c r="Y921" s="1277" t="n"/>
      <c r="Z921" s="1277" t="n"/>
      <c r="AA921" s="1297" t="n"/>
      <c r="AB921" s="1277" t="n"/>
      <c r="AC921" s="1277" t="n"/>
      <c r="AD921" s="1277" t="n"/>
      <c r="AE921" s="1277" t="n"/>
      <c r="AF921" s="1297" t="n"/>
      <c r="AG921" s="1298" t="n">
        <v>2699.608</v>
      </c>
      <c r="AH921" s="1298" t="n">
        <v>2685.318</v>
      </c>
      <c r="AI921" s="1298" t="n">
        <v>2580.646</v>
      </c>
      <c r="AJ921" s="1277">
        <f>AK921</f>
        <v/>
      </c>
      <c r="AK921" s="1299" t="n">
        <v>2275.084</v>
      </c>
      <c r="AL921" s="1298" t="n">
        <v>2321.413</v>
      </c>
      <c r="AM921" s="1298" t="n">
        <v>1984.818</v>
      </c>
      <c r="AN921" s="1298" t="n">
        <v>1720.886</v>
      </c>
      <c r="AO921" s="1277">
        <f>AP921</f>
        <v/>
      </c>
      <c r="AP921" s="1299" t="n">
        <v>1828.025</v>
      </c>
      <c r="AQ921" s="1298" t="n">
        <v>1897.567</v>
      </c>
      <c r="AR921" s="1298" t="n">
        <v>1861.281</v>
      </c>
      <c r="AS921" s="1298" t="n">
        <v>2075.629</v>
      </c>
      <c r="AT921" s="1277">
        <f>AU921</f>
        <v/>
      </c>
      <c r="AU921" s="1299" t="n">
        <v>2176.451</v>
      </c>
      <c r="AV921" s="1298" t="n">
        <v>2186.386</v>
      </c>
      <c r="AW921" s="1298" t="n">
        <v>2240.263</v>
      </c>
      <c r="AX921" s="1298" t="n">
        <v>2564.228</v>
      </c>
      <c r="AY921" s="1277">
        <f>AZ921</f>
        <v/>
      </c>
      <c r="AZ921" s="1299" t="n">
        <v>2603.504</v>
      </c>
      <c r="BA921" s="1298" t="n">
        <v>2647.402</v>
      </c>
      <c r="BB921" s="1298" t="n">
        <v>2638.203</v>
      </c>
      <c r="BC921" s="1298" t="n">
        <v>2775.196</v>
      </c>
      <c r="BD921" s="1277">
        <f>BE921</f>
        <v/>
      </c>
      <c r="BE921" s="1299" t="n">
        <v>2810.551</v>
      </c>
      <c r="BF921" s="1298" t="n">
        <v>2934.686</v>
      </c>
      <c r="BG921" s="1298" t="n">
        <v>2620.895</v>
      </c>
      <c r="BH921" s="1298" t="n">
        <v>2899.784</v>
      </c>
      <c r="BI921" s="1277">
        <f>BJ921</f>
        <v/>
      </c>
      <c r="BJ921" s="1299" t="n">
        <v>3049.032</v>
      </c>
      <c r="BK921" s="1298" t="n">
        <v>3147.525</v>
      </c>
      <c r="BL921" s="1298" t="n">
        <v>3723.801</v>
      </c>
      <c r="BM921" s="1298" t="n">
        <v>3651.294</v>
      </c>
      <c r="BN921" s="1277">
        <f>BO921</f>
        <v/>
      </c>
      <c r="BO921" s="1645" t="n">
        <v>3500</v>
      </c>
      <c r="BP921" s="1277">
        <f>BO921</f>
        <v/>
      </c>
      <c r="BQ921" s="1277">
        <f>BP921</f>
        <v/>
      </c>
      <c r="BR921" s="1277">
        <f>BQ921</f>
        <v/>
      </c>
      <c r="BS921" s="1277">
        <f>BR921</f>
        <v/>
      </c>
      <c r="BT921" s="1297">
        <f>BS921</f>
        <v/>
      </c>
      <c r="BU921" s="1277">
        <f>BT921</f>
        <v/>
      </c>
      <c r="BV921" s="1277">
        <f>BU921</f>
        <v/>
      </c>
      <c r="BW921" s="1277">
        <f>BV921</f>
        <v/>
      </c>
      <c r="BX921" s="1277">
        <f>BW921</f>
        <v/>
      </c>
      <c r="BY921" s="1297">
        <f>BX921</f>
        <v/>
      </c>
      <c r="BZ921" s="1297">
        <f>BY921</f>
        <v/>
      </c>
      <c r="CA921" s="1297">
        <f>BZ921</f>
        <v/>
      </c>
      <c r="CB921" s="1297">
        <f>CA921</f>
        <v/>
      </c>
      <c r="CC921" s="1280" t="n"/>
    </row>
    <row r="922" ht="14.4" customFormat="1" customHeight="1" s="1275">
      <c r="A922" s="1431" t="inlineStr">
        <is>
          <t>Accrued expenses and other current liabilities excl. lease</t>
        </is>
      </c>
      <c r="B922" s="1389" t="n"/>
      <c r="C922" s="1364" t="n"/>
      <c r="D922" s="1364" t="n"/>
      <c r="E922" s="1364" t="n"/>
      <c r="F922" s="1364" t="n"/>
      <c r="G922" s="1364" t="n"/>
      <c r="H922" s="1365" t="n"/>
      <c r="I922" s="1365" t="n"/>
      <c r="J922" s="1365" t="n"/>
      <c r="K922" s="1365" t="n"/>
      <c r="L922" s="1364" t="n"/>
      <c r="M922" s="1365" t="n"/>
      <c r="N922" s="1365" t="n"/>
      <c r="O922" s="1365" t="n"/>
      <c r="P922" s="1365" t="n"/>
      <c r="Q922" s="1364" t="n"/>
      <c r="R922" s="1365" t="n"/>
      <c r="S922" s="1365" t="n"/>
      <c r="T922" s="1365" t="n"/>
      <c r="U922" s="1365" t="n"/>
      <c r="V922" s="1364" t="n"/>
      <c r="W922" s="1365" t="n"/>
      <c r="X922" s="1365" t="n"/>
      <c r="Y922" s="1365" t="n"/>
      <c r="Z922" s="1365" t="n"/>
      <c r="AA922" s="1364" t="n"/>
      <c r="AB922" s="1365" t="n"/>
      <c r="AC922" s="1365" t="n"/>
      <c r="AD922" s="1365" t="n"/>
      <c r="AE922" s="1365" t="n"/>
      <c r="AF922" s="1364" t="n"/>
      <c r="AG922" s="1365">
        <f>AG923-AG921</f>
        <v/>
      </c>
      <c r="AH922" s="1365">
        <f>AH923-AH921</f>
        <v/>
      </c>
      <c r="AI922" s="1365">
        <f>AI923-AI921</f>
        <v/>
      </c>
      <c r="AJ922" s="1365">
        <f>AK922</f>
        <v/>
      </c>
      <c r="AK922" s="1364">
        <f>AK923-AK921</f>
        <v/>
      </c>
      <c r="AL922" s="1365">
        <f>AL923-AL921</f>
        <v/>
      </c>
      <c r="AM922" s="1365">
        <f>AM923-AM921</f>
        <v/>
      </c>
      <c r="AN922" s="1365">
        <f>AN923-AN921</f>
        <v/>
      </c>
      <c r="AO922" s="1365">
        <f>AP922</f>
        <v/>
      </c>
      <c r="AP922" s="1364">
        <f>AP923-AP921</f>
        <v/>
      </c>
      <c r="AQ922" s="1464">
        <f>AQ923-AQ921</f>
        <v/>
      </c>
      <c r="AR922" s="1365">
        <f>AR923-AR921</f>
        <v/>
      </c>
      <c r="AS922" s="1365">
        <f>AS923-AS921</f>
        <v/>
      </c>
      <c r="AT922" s="1365">
        <f>AU922</f>
        <v/>
      </c>
      <c r="AU922" s="1463">
        <f>AU923-AU921</f>
        <v/>
      </c>
      <c r="AV922" s="1464">
        <f>AV923-AV921</f>
        <v/>
      </c>
      <c r="AW922" s="1365">
        <f>AW923-AW921</f>
        <v/>
      </c>
      <c r="AX922" s="1464">
        <f>AX923-AX921</f>
        <v/>
      </c>
      <c r="AY922" s="1365">
        <f>AZ922</f>
        <v/>
      </c>
      <c r="AZ922" s="1364">
        <f>AZ923-AZ921</f>
        <v/>
      </c>
      <c r="BA922" s="1464">
        <f>BA923-BA921</f>
        <v/>
      </c>
      <c r="BB922" s="1365">
        <f>BB923-BB921</f>
        <v/>
      </c>
      <c r="BC922" s="1365">
        <f>BC923-BC921</f>
        <v/>
      </c>
      <c r="BD922" s="1365">
        <f>BE922</f>
        <v/>
      </c>
      <c r="BE922" s="1364">
        <f>BE923-BE921</f>
        <v/>
      </c>
      <c r="BF922" s="1365">
        <f>BF923-BF921</f>
        <v/>
      </c>
      <c r="BG922" s="1464">
        <f>BG923-BG921</f>
        <v/>
      </c>
      <c r="BH922" s="1464">
        <f>BH923-BH921</f>
        <v/>
      </c>
      <c r="BI922" s="1365">
        <f>BJ922</f>
        <v/>
      </c>
      <c r="BJ922" s="1364">
        <f>BJ923-BJ921</f>
        <v/>
      </c>
      <c r="BK922" s="1365">
        <f>BK923-BK921</f>
        <v/>
      </c>
      <c r="BL922" s="1464">
        <f>BL923-BL921</f>
        <v/>
      </c>
      <c r="BM922" s="1464">
        <f>BM923-BM921</f>
        <v/>
      </c>
      <c r="BN922" s="1365">
        <f>BO922</f>
        <v/>
      </c>
      <c r="BO922" s="1366">
        <f>BO923-BO921</f>
        <v/>
      </c>
      <c r="BP922" s="1365">
        <f>BO922</f>
        <v/>
      </c>
      <c r="BQ922" s="1365">
        <f>BP922</f>
        <v/>
      </c>
      <c r="BR922" s="1365">
        <f>BQ922</f>
        <v/>
      </c>
      <c r="BS922" s="1365">
        <f>BR922</f>
        <v/>
      </c>
      <c r="BT922" s="1364">
        <f>BS922</f>
        <v/>
      </c>
      <c r="BU922" s="1365">
        <f>BT922</f>
        <v/>
      </c>
      <c r="BV922" s="1365">
        <f>BU922</f>
        <v/>
      </c>
      <c r="BW922" s="1365">
        <f>BV922</f>
        <v/>
      </c>
      <c r="BX922" s="1365">
        <f>BW922</f>
        <v/>
      </c>
      <c r="BY922" s="1364">
        <f>BX922</f>
        <v/>
      </c>
      <c r="BZ922" s="1364">
        <f>BY922</f>
        <v/>
      </c>
      <c r="CA922" s="1364">
        <f>BZ922</f>
        <v/>
      </c>
      <c r="CB922" s="1364">
        <f>CA922</f>
        <v/>
      </c>
      <c r="CC922" s="1280" t="n"/>
    </row>
    <row r="923" ht="14.4" customFormat="1" customHeight="1" s="1275">
      <c r="A923" s="1460" t="inlineStr">
        <is>
          <t>Accrued expenses and other current liabilities</t>
        </is>
      </c>
      <c r="B923" s="1389" t="n"/>
      <c r="C923" s="1390" t="n">
        <v>12635.182</v>
      </c>
      <c r="D923" s="1390" t="n">
        <v>10779.923</v>
      </c>
      <c r="E923" s="1390" t="n">
        <v>13218.235</v>
      </c>
      <c r="F923" s="1390" t="n">
        <v>13148.944</v>
      </c>
      <c r="G923" s="1390" t="n">
        <v>16693.484</v>
      </c>
      <c r="H923" s="1391" t="n">
        <v>18668.514</v>
      </c>
      <c r="I923" s="1391" t="n">
        <v>20284.963</v>
      </c>
      <c r="J923" s="1391" t="n">
        <v>25954.613</v>
      </c>
      <c r="K923" s="1464">
        <f>L923</f>
        <v/>
      </c>
      <c r="L923" s="1390" t="n">
        <v>29746.011</v>
      </c>
      <c r="M923" s="1391" t="n">
        <v>31056.696</v>
      </c>
      <c r="N923" s="1391" t="n">
        <v>31236.977</v>
      </c>
      <c r="O923" s="1391" t="n">
        <v>30010.029</v>
      </c>
      <c r="P923" s="1464">
        <f>Q923</f>
        <v/>
      </c>
      <c r="Q923" s="1390" t="n">
        <v>27701.329</v>
      </c>
      <c r="R923" s="1391" t="n">
        <v>28807.76</v>
      </c>
      <c r="S923" s="1391" t="n">
        <v>29979.582</v>
      </c>
      <c r="T923" s="1391" t="n">
        <v>28885.496</v>
      </c>
      <c r="U923" s="1464">
        <f>V923</f>
        <v/>
      </c>
      <c r="V923" s="1390" t="n">
        <v>36581.553</v>
      </c>
      <c r="W923" s="1391" t="n">
        <v>36217.252</v>
      </c>
      <c r="X923" s="1391" t="n">
        <v>40497.75</v>
      </c>
      <c r="Y923" s="1391" t="n">
        <v>43641.234</v>
      </c>
      <c r="Z923" s="1464">
        <f>AA923</f>
        <v/>
      </c>
      <c r="AA923" s="1390" t="n">
        <v>65588.39599999999</v>
      </c>
      <c r="AB923" s="1391" t="n">
        <v>75199.897</v>
      </c>
      <c r="AC923" s="1391" t="n">
        <v>64089.684</v>
      </c>
      <c r="AD923" s="1391" t="n">
        <v>54731.05</v>
      </c>
      <c r="AE923" s="1464">
        <f>AF923</f>
        <v/>
      </c>
      <c r="AF923" s="1390" t="n">
        <v>61760.619</v>
      </c>
      <c r="AG923" s="1391" t="n">
        <v>65974.891</v>
      </c>
      <c r="AH923" s="1391" t="n">
        <v>68014.17600000001</v>
      </c>
      <c r="AI923" s="1391" t="n">
        <v>66748.807</v>
      </c>
      <c r="AJ923" s="1464">
        <f>AK923</f>
        <v/>
      </c>
      <c r="AK923" s="1390" t="n">
        <v>56373.281</v>
      </c>
      <c r="AL923" s="1391" t="n">
        <v>69814.31</v>
      </c>
      <c r="AM923" s="1391" t="n">
        <v>69676.03</v>
      </c>
      <c r="AN923" s="1391" t="n">
        <v>79823.363</v>
      </c>
      <c r="AO923" s="1464">
        <f>AP923</f>
        <v/>
      </c>
      <c r="AP923" s="1390" t="n">
        <v>87683.25999999999</v>
      </c>
      <c r="AQ923" s="1391" t="n">
        <v>111414.54</v>
      </c>
      <c r="AR923" s="1391" t="n">
        <v>112518.405</v>
      </c>
      <c r="AS923" s="1391" t="n">
        <v>139241.643</v>
      </c>
      <c r="AT923" s="1464">
        <f>AU923</f>
        <v/>
      </c>
      <c r="AU923" s="1390" t="n">
        <v>162267.779</v>
      </c>
      <c r="AV923" s="1391" t="n">
        <v>186148.544</v>
      </c>
      <c r="AW923" s="1391" t="n">
        <v>197815.515</v>
      </c>
      <c r="AX923" s="1391" t="n">
        <v>266550.606</v>
      </c>
      <c r="AY923" s="1464">
        <f>AZ923</f>
        <v/>
      </c>
      <c r="AZ923" s="1390" t="n">
        <v>293170.952</v>
      </c>
      <c r="BA923" s="1391" t="n">
        <v>261123.411</v>
      </c>
      <c r="BB923" s="1391" t="n">
        <v>276328.374</v>
      </c>
      <c r="BC923" s="1391" t="n">
        <v>326069.886</v>
      </c>
      <c r="BD923" s="1464">
        <f>BE923</f>
        <v/>
      </c>
      <c r="BE923" s="1390" t="n">
        <v>296667.931</v>
      </c>
      <c r="BF923" s="1391" t="n">
        <v>417663.868</v>
      </c>
      <c r="BG923" s="1391" t="n">
        <v>411122.561</v>
      </c>
      <c r="BH923" s="1298" t="n">
        <v>453613.317</v>
      </c>
      <c r="BI923" s="1464">
        <f>BJ923</f>
        <v/>
      </c>
      <c r="BJ923" s="1390" t="n">
        <v>451158.911</v>
      </c>
      <c r="BK923" s="1391" t="n">
        <v>475731.629</v>
      </c>
      <c r="BL923" s="1391" t="n">
        <v>444583.112</v>
      </c>
      <c r="BM923" s="1298" t="n">
        <v>431951.77</v>
      </c>
      <c r="BN923" s="1464">
        <f>BO923</f>
        <v/>
      </c>
      <c r="BO923" s="1465">
        <f>773775-BO913-BO914-BO917-BO907-BO909</f>
        <v/>
      </c>
      <c r="BP923" s="1365">
        <f>BP922+BP921</f>
        <v/>
      </c>
      <c r="BQ923" s="1365">
        <f>BQ922+BQ921</f>
        <v/>
      </c>
      <c r="BR923" s="1365">
        <f>BR922+BR921</f>
        <v/>
      </c>
      <c r="BS923" s="1365">
        <f>BS922+BS921</f>
        <v/>
      </c>
      <c r="BT923" s="1364">
        <f>BT922+BT921</f>
        <v/>
      </c>
      <c r="BU923" s="1365">
        <f>BU922+BU921</f>
        <v/>
      </c>
      <c r="BV923" s="1365">
        <f>BV922+BV921</f>
        <v/>
      </c>
      <c r="BW923" s="1365">
        <f>BW922+BW921</f>
        <v/>
      </c>
      <c r="BX923" s="1365">
        <f>BX922+BX921</f>
        <v/>
      </c>
      <c r="BY923" s="1364">
        <f>BY922+BY921</f>
        <v/>
      </c>
      <c r="BZ923" s="1364">
        <f>BZ922+BZ921</f>
        <v/>
      </c>
      <c r="CA923" s="1364">
        <f>CA922+CA921</f>
        <v/>
      </c>
      <c r="CB923" s="1364">
        <f>CB922+CB921</f>
        <v/>
      </c>
      <c r="CC923" s="1280" t="n"/>
    </row>
    <row r="924" ht="14.4" customFormat="1" customHeight="1" s="1323">
      <c r="A924" s="1324" t="inlineStr">
        <is>
          <t>Total Current Liabilities</t>
        </is>
      </c>
      <c r="B924" s="1393" t="n"/>
      <c r="C924" s="1329">
        <f>SUM(C905:C909,C912:C920,C923)</f>
        <v/>
      </c>
      <c r="D924" s="1329">
        <f>SUM(D905:D909,D912:D920,D923)</f>
        <v/>
      </c>
      <c r="E924" s="1329">
        <f>SUM(E905:E909,E912:E920,E923)</f>
        <v/>
      </c>
      <c r="F924" s="1329">
        <f>SUM(F905:F909,F912:F920,F923)</f>
        <v/>
      </c>
      <c r="G924" s="1329">
        <f>SUM(G905:G909,G912:G920,G923)</f>
        <v/>
      </c>
      <c r="H924" s="1328">
        <f>SUM(H905:H909,H912:H920,H923)</f>
        <v/>
      </c>
      <c r="I924" s="1328">
        <f>SUM(I905:I909,I912:I920,I923)</f>
        <v/>
      </c>
      <c r="J924" s="1328">
        <f>SUM(J905:J909,J912:J920,J923)</f>
        <v/>
      </c>
      <c r="K924" s="1328">
        <f>SUM(K905:K909,K912:K920,K923)</f>
        <v/>
      </c>
      <c r="L924" s="1329">
        <f>SUM(L905:L909,L912:L920,L923)</f>
        <v/>
      </c>
      <c r="M924" s="1328">
        <f>SUM(M905:M909,M912:M920,M923)</f>
        <v/>
      </c>
      <c r="N924" s="1328">
        <f>SUM(N905:N909,N912:N920,N923)</f>
        <v/>
      </c>
      <c r="O924" s="1328">
        <f>SUM(O905:O909,O912:O920,O923)</f>
        <v/>
      </c>
      <c r="P924" s="1328">
        <f>SUM(P905:P909,P912:P920,P923)</f>
        <v/>
      </c>
      <c r="Q924" s="1329">
        <f>SUM(Q905:Q909,Q912:Q920,Q923)</f>
        <v/>
      </c>
      <c r="R924" s="1328">
        <f>SUM(R905:R909,R912:R920,R923)</f>
        <v/>
      </c>
      <c r="S924" s="1328">
        <f>SUM(S905:S909,S912:S920,S923)</f>
        <v/>
      </c>
      <c r="T924" s="1328">
        <f>SUM(T905:T909,T912:T920,T923)</f>
        <v/>
      </c>
      <c r="U924" s="1328">
        <f>SUM(U905:U909,U912:U920,U923)</f>
        <v/>
      </c>
      <c r="V924" s="1329">
        <f>SUM(V905:V909,V912:V920,V923)</f>
        <v/>
      </c>
      <c r="W924" s="1328">
        <f>SUM(W905:W909,W912:W920,W923)</f>
        <v/>
      </c>
      <c r="X924" s="1328">
        <f>SUM(X905:X909,X912:X920,X923)</f>
        <v/>
      </c>
      <c r="Y924" s="1328">
        <f>SUM(Y905:Y909,Y912:Y920,Y923)</f>
        <v/>
      </c>
      <c r="Z924" s="1328">
        <f>SUM(Z905:Z909,Z912:Z920,Z923)</f>
        <v/>
      </c>
      <c r="AA924" s="1329">
        <f>SUM(AA905:AA909,AA912:AA920,AA923)</f>
        <v/>
      </c>
      <c r="AB924" s="1328">
        <f>SUM(AB905:AB909,AB912:AB920,AB923)</f>
        <v/>
      </c>
      <c r="AC924" s="1328">
        <f>SUM(AC905:AC909,AC912:AC920,AC923)</f>
        <v/>
      </c>
      <c r="AD924" s="1328">
        <f>SUM(AD905:AD909,AD912:AD920,AD923)</f>
        <v/>
      </c>
      <c r="AE924" s="1328">
        <f>SUM(AE905:AE909,AE912:AE920,AE923)</f>
        <v/>
      </c>
      <c r="AF924" s="1329">
        <f>SUM(AF905:AF909,AF912:AF920,AF923)</f>
        <v/>
      </c>
      <c r="AG924" s="1328">
        <f>SUM(AG905:AG909,AG912:AG920,AG923)</f>
        <v/>
      </c>
      <c r="AH924" s="1328">
        <f>SUM(AH905:AH909,AH912:AH920,AH923)</f>
        <v/>
      </c>
      <c r="AI924" s="1328">
        <f>SUM(AI905:AI909,AI912:AI920,AI923)</f>
        <v/>
      </c>
      <c r="AJ924" s="1328">
        <f>SUM(AJ905:AJ909,AJ912:AJ920,AJ923)</f>
        <v/>
      </c>
      <c r="AK924" s="1329">
        <f>SUM(AK905:AK909,AK912:AK920,AK923)</f>
        <v/>
      </c>
      <c r="AL924" s="1328">
        <f>SUM(AL905:AL909,AL912:AL920,AL923)</f>
        <v/>
      </c>
      <c r="AM924" s="1328">
        <f>SUM(AM905:AM909,AM912:AM920,AM923)</f>
        <v/>
      </c>
      <c r="AN924" s="1328">
        <f>SUM(AN905:AN909,AN912:AN920,AN923)</f>
        <v/>
      </c>
      <c r="AO924" s="1328">
        <f>SUM(AO905:AO909,AO912:AO920,AO923)</f>
        <v/>
      </c>
      <c r="AP924" s="1329">
        <f>SUM(AP905:AP909,AP912:AP920,AP923)</f>
        <v/>
      </c>
      <c r="AQ924" s="1328">
        <f>SUM(AQ905:AQ909,AQ912:AQ920,AQ923)</f>
        <v/>
      </c>
      <c r="AR924" s="1328">
        <f>SUM(AR905:AR909,AR912:AR920,AR923)</f>
        <v/>
      </c>
      <c r="AS924" s="1328">
        <f>SUM(AS905:AS909,AS912:AS920,AS923)</f>
        <v/>
      </c>
      <c r="AT924" s="1328">
        <f>SUM(AT905:AT909,AT912:AT920,AT923)</f>
        <v/>
      </c>
      <c r="AU924" s="1329">
        <f>SUM(AU905:AU909,AU912:AU920,AU923)</f>
        <v/>
      </c>
      <c r="AV924" s="1328">
        <f>SUM(AV905:AV909,AV912:AV920,AV923)</f>
        <v/>
      </c>
      <c r="AW924" s="1328">
        <f>SUM(AW905:AW909,AW912:AW920,AW923)</f>
        <v/>
      </c>
      <c r="AX924" s="1328">
        <f>SUM(AX905:AX909,AX912:AX920,AX923)</f>
        <v/>
      </c>
      <c r="AY924" s="1328">
        <f>SUM(AY905:AY909,AY912:AY920,AY923)</f>
        <v/>
      </c>
      <c r="AZ924" s="1329">
        <f>SUM(AZ905:AZ909,AZ912:AZ920,AZ923)</f>
        <v/>
      </c>
      <c r="BA924" s="1328">
        <f>SUM(BA905:BA909,BA912:BA920,BA923)</f>
        <v/>
      </c>
      <c r="BB924" s="1328">
        <f>SUM(BB905:BB909,BB912:BB920,BB923)</f>
        <v/>
      </c>
      <c r="BC924" s="1327">
        <f>SUM(BC905:BC909,BC912:BC920,BC923)</f>
        <v/>
      </c>
      <c r="BD924" s="1328">
        <f>SUM(BD905:BD909,BD912:BD920,BD923)</f>
        <v/>
      </c>
      <c r="BE924" s="1329">
        <f>SUM(BE905:BE909,BE912:BE920,BE923)</f>
        <v/>
      </c>
      <c r="BF924" s="1328">
        <f>SUM(BF905:BF909,BF912:BF920,BF923)</f>
        <v/>
      </c>
      <c r="BG924" s="1328">
        <f>SUM(BG905:BG909,BG912:BG920,BG923)</f>
        <v/>
      </c>
      <c r="BH924" s="1327">
        <f>SUM(BH905:BH909,BH912:BH920,BH923)</f>
        <v/>
      </c>
      <c r="BI924" s="1328">
        <f>SUM(BI905:BI909,BI912:BI920,BI923)</f>
        <v/>
      </c>
      <c r="BJ924" s="1329">
        <f>SUM(BJ905:BJ909,BJ912:BJ920,BJ923)</f>
        <v/>
      </c>
      <c r="BK924" s="1328">
        <f>SUM(BK905:BK909,BK912:BK920,BK923)</f>
        <v/>
      </c>
      <c r="BL924" s="1328">
        <f>SUM(BL905:BL909,BL912:BL920,BL923)</f>
        <v/>
      </c>
      <c r="BM924" s="1328">
        <f>SUM(BM905:BM909,BM912:BM920,BM923)</f>
        <v/>
      </c>
      <c r="BN924" s="1328">
        <f>SUM(BN905:BN909,BN912:BN920,BN923)</f>
        <v/>
      </c>
      <c r="BO924" s="1330">
        <f>SUM(BO905:BO909,BO912:BO920,BO923)</f>
        <v/>
      </c>
      <c r="BP924" s="1327">
        <f>SUM(BP905:BP909,BP912:BP920,BP923)</f>
        <v/>
      </c>
      <c r="BQ924" s="1327">
        <f>SUM(BQ905:BQ909,BQ912:BQ920,BQ923)</f>
        <v/>
      </c>
      <c r="BR924" s="1327">
        <f>SUM(BR905:BR909,BR912:BR920,BR923)</f>
        <v/>
      </c>
      <c r="BS924" s="1327">
        <f>SUM(BS905:BS909,BS912:BS920,BS923)</f>
        <v/>
      </c>
      <c r="BT924" s="1326">
        <f>SUM(BT905:BT909,BT912:BT920,BT923)</f>
        <v/>
      </c>
      <c r="BU924" s="1327">
        <f>SUM(BU905:BU909,BU912:BU920,BU923)</f>
        <v/>
      </c>
      <c r="BV924" s="1327">
        <f>SUM(BV905:BV909,BV912:BV920,BV923)</f>
        <v/>
      </c>
      <c r="BW924" s="1327">
        <f>SUM(BW905:BW909,BW912:BW920,BW923)</f>
        <v/>
      </c>
      <c r="BX924" s="1327">
        <f>SUM(BX905:BX909,BX912:BX920,BX923)</f>
        <v/>
      </c>
      <c r="BY924" s="1326">
        <f>SUM(BY905:BY909,BY912:BY920,BY923)</f>
        <v/>
      </c>
      <c r="BZ924" s="1326">
        <f>SUM(BZ905:BZ909,BZ912:BZ920,BZ923)</f>
        <v/>
      </c>
      <c r="CA924" s="1326">
        <f>SUM(CA905:CA909,CA912:CA920,CA923)</f>
        <v/>
      </c>
      <c r="CB924" s="1326">
        <f>SUM(CB905:CB909,CB912:CB920,CB923)</f>
        <v/>
      </c>
      <c r="CC924" s="1331" t="n"/>
    </row>
    <row r="925" ht="14.4" customFormat="1" customHeight="1" s="1323">
      <c r="A925" s="1344" t="n"/>
      <c r="B925" s="1394" t="n"/>
      <c r="C925" s="1345" t="n"/>
      <c r="D925" s="1345" t="n"/>
      <c r="E925" s="1345" t="n"/>
      <c r="F925" s="1345" t="n"/>
      <c r="G925" s="1345" t="n"/>
      <c r="H925" s="1346" t="n"/>
      <c r="I925" s="1346" t="n"/>
      <c r="J925" s="1346" t="n"/>
      <c r="K925" s="1346" t="n"/>
      <c r="L925" s="1345" t="n"/>
      <c r="M925" s="1346" t="n"/>
      <c r="N925" s="1346" t="n"/>
      <c r="O925" s="1346" t="n"/>
      <c r="P925" s="1346" t="n"/>
      <c r="Q925" s="1345" t="n"/>
      <c r="R925" s="1346" t="n"/>
      <c r="S925" s="1346" t="n"/>
      <c r="T925" s="1346" t="n"/>
      <c r="U925" s="1346" t="n"/>
      <c r="V925" s="1345" t="n"/>
      <c r="W925" s="1346" t="n"/>
      <c r="X925" s="1346" t="n"/>
      <c r="Y925" s="1346" t="n"/>
      <c r="Z925" s="1346" t="n"/>
      <c r="AA925" s="1345" t="n"/>
      <c r="AB925" s="1346" t="n"/>
      <c r="AC925" s="1346" t="n"/>
      <c r="AD925" s="1346" t="n"/>
      <c r="AE925" s="1346" t="n"/>
      <c r="AF925" s="1345" t="n"/>
      <c r="AG925" s="1346" t="n"/>
      <c r="AH925" s="1346" t="n"/>
      <c r="AI925" s="1346" t="n"/>
      <c r="AJ925" s="1346" t="n"/>
      <c r="AK925" s="1345" t="n"/>
      <c r="AL925" s="1346" t="n"/>
      <c r="AM925" s="1346" t="n"/>
      <c r="AN925" s="1346" t="n"/>
      <c r="AO925" s="1346" t="n"/>
      <c r="AP925" s="1345" t="n"/>
      <c r="AQ925" s="1346" t="n"/>
      <c r="AR925" s="1346" t="n"/>
      <c r="AS925" s="1346" t="n"/>
      <c r="AT925" s="1346" t="n"/>
      <c r="AU925" s="1345" t="n"/>
      <c r="AV925" s="1346" t="n"/>
      <c r="AW925" s="1346" t="n"/>
      <c r="AX925" s="1346" t="n"/>
      <c r="AY925" s="1346" t="n"/>
      <c r="AZ925" s="1345" t="n"/>
      <c r="BA925" s="1346" t="n"/>
      <c r="BB925" s="1346" t="n"/>
      <c r="BC925" s="1346" t="n"/>
      <c r="BD925" s="1346" t="n"/>
      <c r="BE925" s="1345" t="n"/>
      <c r="BF925" s="1346" t="n"/>
      <c r="BG925" s="1346" t="n"/>
      <c r="BH925" s="1346" t="n"/>
      <c r="BI925" s="1346" t="n"/>
      <c r="BJ925" s="1345" t="n"/>
      <c r="BK925" s="1346" t="n"/>
      <c r="BL925" s="1346" t="n"/>
      <c r="BM925" s="1346" t="n"/>
      <c r="BN925" s="1346" t="n"/>
      <c r="BO925" s="1347" t="n"/>
      <c r="BP925" s="1346" t="n"/>
      <c r="BQ925" s="1346" t="n"/>
      <c r="BR925" s="1346" t="n"/>
      <c r="BS925" s="1346" t="n"/>
      <c r="BT925" s="1345" t="n"/>
      <c r="BU925" s="1346" t="n"/>
      <c r="BV925" s="1346" t="n"/>
      <c r="BW925" s="1346" t="n"/>
      <c r="BX925" s="1346" t="n"/>
      <c r="BY925" s="1345" t="n"/>
      <c r="BZ925" s="1345" t="n"/>
      <c r="CA925" s="1345" t="n"/>
      <c r="CB925" s="1345" t="n"/>
      <c r="CC925" s="1331" t="n"/>
    </row>
    <row r="926" ht="14.4" customFormat="1" customHeight="1" s="1323">
      <c r="A926" s="1679" t="inlineStr">
        <is>
          <t>Non-Current Liabilities</t>
        </is>
      </c>
      <c r="B926" s="1394" t="n"/>
      <c r="C926" s="1345" t="n"/>
      <c r="D926" s="1345" t="n"/>
      <c r="E926" s="1345" t="n"/>
      <c r="F926" s="1345" t="n"/>
      <c r="G926" s="1345" t="n"/>
      <c r="H926" s="1346" t="n"/>
      <c r="I926" s="1346" t="n"/>
      <c r="J926" s="1346" t="n"/>
      <c r="K926" s="1346" t="n"/>
      <c r="L926" s="1345" t="n"/>
      <c r="M926" s="1346" t="n"/>
      <c r="N926" s="1346" t="n"/>
      <c r="O926" s="1346" t="n"/>
      <c r="P926" s="1346" t="n"/>
      <c r="Q926" s="1345" t="n"/>
      <c r="R926" s="1346" t="n"/>
      <c r="S926" s="1346" t="n"/>
      <c r="T926" s="1346" t="n"/>
      <c r="U926" s="1346" t="n"/>
      <c r="V926" s="1345" t="n"/>
      <c r="W926" s="1346" t="n"/>
      <c r="X926" s="1346" t="n"/>
      <c r="Y926" s="1346" t="n"/>
      <c r="Z926" s="1346" t="n"/>
      <c r="AA926" s="1345" t="n"/>
      <c r="AB926" s="1346" t="n"/>
      <c r="AC926" s="1346" t="n"/>
      <c r="AD926" s="1346" t="n"/>
      <c r="AE926" s="1346" t="n"/>
      <c r="AF926" s="1345" t="n"/>
      <c r="AG926" s="1346" t="n"/>
      <c r="AH926" s="1346" t="n"/>
      <c r="AI926" s="1346" t="n"/>
      <c r="AJ926" s="1346" t="n"/>
      <c r="AK926" s="1345" t="n"/>
      <c r="AL926" s="1346" t="n"/>
      <c r="AM926" s="1346" t="n"/>
      <c r="AN926" s="1346" t="n"/>
      <c r="AO926" s="1346" t="n"/>
      <c r="AP926" s="1345" t="n"/>
      <c r="AQ926" s="1346" t="n"/>
      <c r="AR926" s="1346" t="n"/>
      <c r="AS926" s="1346" t="n"/>
      <c r="AT926" s="1346" t="n"/>
      <c r="AU926" s="1345" t="n"/>
      <c r="AV926" s="1346" t="n"/>
      <c r="AW926" s="1346" t="n"/>
      <c r="AX926" s="1346" t="n"/>
      <c r="AY926" s="1346" t="n"/>
      <c r="AZ926" s="1345" t="n"/>
      <c r="BA926" s="1346" t="n"/>
      <c r="BB926" s="1346" t="n"/>
      <c r="BC926" s="1346" t="n"/>
      <c r="BD926" s="1346" t="n"/>
      <c r="BE926" s="1345" t="n"/>
      <c r="BF926" s="1346" t="n"/>
      <c r="BG926" s="1346" t="n"/>
      <c r="BH926" s="1346" t="n"/>
      <c r="BI926" s="1346" t="n"/>
      <c r="BJ926" s="1345" t="n"/>
      <c r="BK926" s="1346" t="n"/>
      <c r="BL926" s="1346" t="n"/>
      <c r="BM926" s="1346" t="n"/>
      <c r="BN926" s="1346" t="n"/>
      <c r="BO926" s="1347" t="n"/>
      <c r="BP926" s="1346" t="n"/>
      <c r="BQ926" s="1346" t="n"/>
      <c r="BR926" s="1346" t="n"/>
      <c r="BS926" s="1346" t="n"/>
      <c r="BT926" s="1345" t="n"/>
      <c r="BU926" s="1346" t="n"/>
      <c r="BV926" s="1346" t="n"/>
      <c r="BW926" s="1346" t="n"/>
      <c r="BX926" s="1346" t="n"/>
      <c r="BY926" s="1345" t="n"/>
      <c r="BZ926" s="1345" t="n"/>
      <c r="CA926" s="1345" t="n"/>
      <c r="CB926" s="1345" t="n"/>
      <c r="CC926" s="1331" t="n"/>
    </row>
    <row r="927" ht="14.4" customFormat="1" customHeight="1" s="1275">
      <c r="A927" s="1295" t="inlineStr">
        <is>
          <t>Hedging derivative financial liabilities</t>
        </is>
      </c>
      <c r="B927" s="1387" t="n"/>
      <c r="C927" s="1299" t="n">
        <v>0</v>
      </c>
      <c r="D927" s="1299" t="n">
        <v>0</v>
      </c>
      <c r="E927" s="1299" t="n">
        <v>0</v>
      </c>
      <c r="F927" s="1299" t="n">
        <v>0</v>
      </c>
      <c r="G927" s="1299" t="n">
        <v>5481.616</v>
      </c>
      <c r="H927" s="1298" t="n">
        <v>5279.032</v>
      </c>
      <c r="I927" s="1298" t="n">
        <v>1277.058</v>
      </c>
      <c r="J927" s="1298" t="n">
        <v>5.821</v>
      </c>
      <c r="K927" s="1280">
        <f>L927</f>
        <v/>
      </c>
      <c r="L927" s="1297" t="n"/>
      <c r="M927" s="1277" t="n"/>
      <c r="N927" s="1277" t="n"/>
      <c r="O927" s="1277" t="n"/>
      <c r="P927" s="1280">
        <f>Q927</f>
        <v/>
      </c>
      <c r="Q927" s="1297" t="n"/>
      <c r="R927" s="1277" t="n"/>
      <c r="S927" s="1277" t="n"/>
      <c r="T927" s="1277" t="n"/>
      <c r="U927" s="1280">
        <f>V927</f>
        <v/>
      </c>
      <c r="V927" s="1297" t="n"/>
      <c r="W927" s="1277" t="n"/>
      <c r="X927" s="1277" t="n"/>
      <c r="Y927" s="1277" t="n"/>
      <c r="Z927" s="1280">
        <f>AA927</f>
        <v/>
      </c>
      <c r="AA927" s="1297" t="n"/>
      <c r="AB927" s="1277" t="n"/>
      <c r="AC927" s="1277" t="n"/>
      <c r="AD927" s="1277" t="n"/>
      <c r="AE927" s="1280">
        <f>AF927</f>
        <v/>
      </c>
      <c r="AF927" s="1297" t="n"/>
      <c r="AG927" s="1277" t="n"/>
      <c r="AH927" s="1277" t="n"/>
      <c r="AI927" s="1277" t="n"/>
      <c r="AJ927" s="1277" t="n"/>
      <c r="AK927" s="1297" t="n"/>
      <c r="AL927" s="1277" t="n"/>
      <c r="AM927" s="1277" t="n"/>
      <c r="AN927" s="1277" t="n"/>
      <c r="AO927" s="1277" t="n"/>
      <c r="AP927" s="1297" t="n"/>
      <c r="AQ927" s="1277" t="n"/>
      <c r="AR927" s="1277" t="n"/>
      <c r="AS927" s="1277" t="n"/>
      <c r="AT927" s="1277" t="n"/>
      <c r="AU927" s="1297" t="n"/>
      <c r="AV927" s="1277" t="n"/>
      <c r="AW927" s="1277" t="n"/>
      <c r="AX927" s="1277" t="n"/>
      <c r="AY927" s="1277" t="n"/>
      <c r="AZ927" s="1297" t="n"/>
      <c r="BA927" s="1277" t="n"/>
      <c r="BB927" s="1277" t="n"/>
      <c r="BC927" s="1277" t="n"/>
      <c r="BD927" s="1277" t="n"/>
      <c r="BE927" s="1297" t="n"/>
      <c r="BF927" s="1277" t="n"/>
      <c r="BG927" s="1277" t="n"/>
      <c r="BH927" s="1277" t="n"/>
      <c r="BI927" s="1277" t="n"/>
      <c r="BJ927" s="1297" t="n"/>
      <c r="BK927" s="1277" t="n"/>
      <c r="BL927" s="1277" t="n"/>
      <c r="BM927" s="1277" t="n"/>
      <c r="BN927" s="1277" t="n"/>
      <c r="BO927" s="1382" t="n"/>
      <c r="BP927" s="1277">
        <f>BO927</f>
        <v/>
      </c>
      <c r="BQ927" s="1277">
        <f>BP927</f>
        <v/>
      </c>
      <c r="BR927" s="1277">
        <f>BQ927</f>
        <v/>
      </c>
      <c r="BS927" s="1277">
        <f>BR927</f>
        <v/>
      </c>
      <c r="BT927" s="1297">
        <f>BS927</f>
        <v/>
      </c>
      <c r="BU927" s="1277">
        <f>BT927</f>
        <v/>
      </c>
      <c r="BV927" s="1277">
        <f>BU927</f>
        <v/>
      </c>
      <c r="BW927" s="1277">
        <f>BV927</f>
        <v/>
      </c>
      <c r="BX927" s="1277">
        <f>BW927</f>
        <v/>
      </c>
      <c r="BY927" s="1297">
        <f>BX927</f>
        <v/>
      </c>
      <c r="BZ927" s="1297">
        <f>BY927</f>
        <v/>
      </c>
      <c r="CA927" s="1297">
        <f>BZ927</f>
        <v/>
      </c>
      <c r="CB927" s="1297">
        <f>CA927</f>
        <v/>
      </c>
      <c r="CC927" s="1280" t="n"/>
    </row>
    <row r="928" ht="14.4" customFormat="1" customHeight="1" s="1275">
      <c r="A928" s="1295" t="inlineStr">
        <is>
          <t>Bonds payable</t>
        </is>
      </c>
      <c r="B928" s="1387" t="n"/>
      <c r="C928" s="1299" t="n">
        <v>4500</v>
      </c>
      <c r="D928" s="1299" t="n">
        <v>4500</v>
      </c>
      <c r="E928" s="1299" t="n">
        <v>18000</v>
      </c>
      <c r="F928" s="1299" t="n">
        <v>80000</v>
      </c>
      <c r="G928" s="1299" t="n">
        <v>210767.625</v>
      </c>
      <c r="H928" s="1298" t="n">
        <v>211798.101</v>
      </c>
      <c r="I928" s="1298" t="n">
        <v>210869.059</v>
      </c>
      <c r="J928" s="1298" t="n">
        <v>211796.805</v>
      </c>
      <c r="K928" s="1280">
        <f>L928</f>
        <v/>
      </c>
      <c r="L928" s="1299" t="n">
        <v>213673.818</v>
      </c>
      <c r="M928" s="1298" t="n">
        <v>213208.771</v>
      </c>
      <c r="N928" s="1298" t="n">
        <v>201856.784</v>
      </c>
      <c r="O928" s="1298" t="n">
        <v>191970.754</v>
      </c>
      <c r="P928" s="1280">
        <f>Q928</f>
        <v/>
      </c>
      <c r="Q928" s="1299" t="n">
        <v>191965.082</v>
      </c>
      <c r="R928" s="1298" t="n">
        <v>181151.058</v>
      </c>
      <c r="S928" s="1298" t="n">
        <v>181276.211</v>
      </c>
      <c r="T928" s="1298" t="n">
        <v>152138.965</v>
      </c>
      <c r="U928" s="1280">
        <f>V928</f>
        <v/>
      </c>
      <c r="V928" s="1299" t="n">
        <v>153093.557</v>
      </c>
      <c r="W928" s="1298" t="n">
        <v>134198.769</v>
      </c>
      <c r="X928" s="1298" t="n">
        <v>99300</v>
      </c>
      <c r="Y928" s="1298" t="n">
        <v>91800</v>
      </c>
      <c r="Z928" s="1280">
        <f>AA928</f>
        <v/>
      </c>
      <c r="AA928" s="1299" t="n">
        <v>91800</v>
      </c>
      <c r="AB928" s="1298" t="n">
        <v>83400</v>
      </c>
      <c r="AC928" s="1298" t="n">
        <v>83400</v>
      </c>
      <c r="AD928" s="1298" t="n">
        <v>56900</v>
      </c>
      <c r="AE928" s="1280">
        <f>AF928</f>
        <v/>
      </c>
      <c r="AF928" s="1299" t="n">
        <v>56900</v>
      </c>
      <c r="AG928" s="1298" t="n">
        <v>35300</v>
      </c>
      <c r="AH928" s="1298" t="n">
        <v>35300</v>
      </c>
      <c r="AI928" s="1298" t="n">
        <v>25100</v>
      </c>
      <c r="AJ928" s="1280">
        <f>AK928</f>
        <v/>
      </c>
      <c r="AK928" s="1299" t="n">
        <v>25100</v>
      </c>
      <c r="AL928" s="1298" t="n">
        <v>46475.148</v>
      </c>
      <c r="AM928" s="1298" t="n">
        <v>82439.681</v>
      </c>
      <c r="AN928" s="1298" t="n">
        <v>227045.434</v>
      </c>
      <c r="AO928" s="1280">
        <f>AP928</f>
        <v/>
      </c>
      <c r="AP928" s="1299" t="n">
        <v>254105.084</v>
      </c>
      <c r="AQ928" s="1298" t="n">
        <v>276838.303</v>
      </c>
      <c r="AR928" s="1298" t="n">
        <v>410464.857</v>
      </c>
      <c r="AS928" s="1298" t="n">
        <v>459733.448</v>
      </c>
      <c r="AT928" s="1280">
        <f>AU928</f>
        <v/>
      </c>
      <c r="AU928" s="1299" t="n">
        <v>610070.652</v>
      </c>
      <c r="AV928" s="1298" t="n">
        <v>629650.221</v>
      </c>
      <c r="AW928" s="1298" t="n">
        <v>753889.823</v>
      </c>
      <c r="AX928" s="1298" t="n">
        <v>842386.471</v>
      </c>
      <c r="AY928" s="1280">
        <f>AZ928</f>
        <v/>
      </c>
      <c r="AZ928" s="1299" t="n">
        <v>834336.439</v>
      </c>
      <c r="BA928" s="1298" t="n">
        <v>848637.481</v>
      </c>
      <c r="BB928" s="1298" t="n">
        <v>901710.299</v>
      </c>
      <c r="BC928" s="1298" t="n">
        <v>932479.423</v>
      </c>
      <c r="BD928" s="1280">
        <f>BE928</f>
        <v/>
      </c>
      <c r="BE928" s="1299" t="n">
        <v>913899.843</v>
      </c>
      <c r="BF928" s="1298" t="n">
        <v>955540.142</v>
      </c>
      <c r="BG928" s="1298" t="n">
        <v>965313.898</v>
      </c>
      <c r="BH928" s="1298" t="n">
        <v>909703.588</v>
      </c>
      <c r="BI928" s="1280">
        <f>BJ928</f>
        <v/>
      </c>
      <c r="BJ928" s="1299" t="n">
        <v>926604.5060000001</v>
      </c>
      <c r="BK928" s="1298" t="n">
        <v>948256.974</v>
      </c>
      <c r="BL928" s="1298" t="n">
        <v>848534.856</v>
      </c>
      <c r="BM928" s="1298" t="n">
        <v>880432.755</v>
      </c>
      <c r="BN928" s="1280">
        <f>BO928</f>
        <v/>
      </c>
      <c r="BO928" s="1645" t="n">
        <v>856228</v>
      </c>
      <c r="BP928" s="1277">
        <f>BP480-BP929-BP927</f>
        <v/>
      </c>
      <c r="BQ928" s="1277">
        <f>BQ480-BQ929-BQ927</f>
        <v/>
      </c>
      <c r="BR928" s="1277">
        <f>BR480-BR929-BR927</f>
        <v/>
      </c>
      <c r="BS928" s="1277">
        <f>BS480-BS929-BS927</f>
        <v/>
      </c>
      <c r="BT928" s="1297">
        <f>BS928</f>
        <v/>
      </c>
      <c r="BU928" s="1277">
        <f>BU480-BU929-BU927</f>
        <v/>
      </c>
      <c r="BV928" s="1277">
        <f>BV480-BV929-BV927</f>
        <v/>
      </c>
      <c r="BW928" s="1277">
        <f>BW480-BW929-BW927</f>
        <v/>
      </c>
      <c r="BX928" s="1277">
        <f>BX480-BX929-BX927</f>
        <v/>
      </c>
      <c r="BY928" s="1297">
        <f>BX928</f>
        <v/>
      </c>
      <c r="BZ928" s="1297">
        <f>BZ480-BZ929-BZ927</f>
        <v/>
      </c>
      <c r="CA928" s="1297">
        <f>CA480-CA929-CA927</f>
        <v/>
      </c>
      <c r="CB928" s="1297">
        <f>CB480-CB929-CB927</f>
        <v/>
      </c>
      <c r="CC928" s="1280" t="n"/>
    </row>
    <row r="929" ht="14.4" customFormat="1" customHeight="1" s="1275">
      <c r="A929" s="1384" t="inlineStr">
        <is>
          <t>Long-term bank loans</t>
        </is>
      </c>
      <c r="B929" s="1387" t="n"/>
      <c r="C929" s="1299" t="n">
        <v>578.5599999999999</v>
      </c>
      <c r="D929" s="1299" t="n">
        <v>301.561</v>
      </c>
      <c r="E929" s="1299" t="n">
        <v>1587.5</v>
      </c>
      <c r="F929" s="1299" t="n">
        <v>1359.375</v>
      </c>
      <c r="G929" s="1299" t="n">
        <v>40</v>
      </c>
      <c r="H929" s="1298" t="n">
        <v>40</v>
      </c>
      <c r="I929" s="1298" t="n">
        <v>40</v>
      </c>
      <c r="J929" s="1298" t="n">
        <v>40</v>
      </c>
      <c r="K929" s="1277">
        <f>L929</f>
        <v/>
      </c>
      <c r="L929" s="1299" t="n">
        <v>40</v>
      </c>
      <c r="M929" s="1298" t="n">
        <v>40</v>
      </c>
      <c r="N929" s="1298" t="n">
        <v>37.5</v>
      </c>
      <c r="O929" s="1298" t="n">
        <v>35</v>
      </c>
      <c r="P929" s="1277">
        <f>Q929</f>
        <v/>
      </c>
      <c r="Q929" s="1299" t="n">
        <v>32.5</v>
      </c>
      <c r="R929" s="1298" t="n">
        <v>30</v>
      </c>
      <c r="S929" s="1298" t="n">
        <v>26.3</v>
      </c>
      <c r="T929" s="1298" t="n">
        <v>24.2</v>
      </c>
      <c r="U929" s="1277">
        <f>V929</f>
        <v/>
      </c>
      <c r="V929" s="1299" t="n">
        <v>21.78</v>
      </c>
      <c r="W929" s="1298" t="n">
        <v>19.36</v>
      </c>
      <c r="X929" s="1298" t="n">
        <v>16.94</v>
      </c>
      <c r="Y929" s="1298" t="n">
        <v>14.52</v>
      </c>
      <c r="Z929" s="1277">
        <f>AA929</f>
        <v/>
      </c>
      <c r="AA929" s="1297" t="n"/>
      <c r="AB929" s="1277" t="n"/>
      <c r="AC929" s="1277" t="n"/>
      <c r="AD929" s="1277" t="n"/>
      <c r="AE929" s="1277">
        <f>AF929</f>
        <v/>
      </c>
      <c r="AF929" s="1297" t="n"/>
      <c r="AG929" s="1277" t="n"/>
      <c r="AH929" s="1277" t="n"/>
      <c r="AI929" s="1277" t="n"/>
      <c r="AJ929" s="1277" t="n"/>
      <c r="AK929" s="1297" t="n"/>
      <c r="AL929" s="1277" t="n"/>
      <c r="AM929" s="1277" t="n"/>
      <c r="AN929" s="1298" t="n">
        <v>982.449</v>
      </c>
      <c r="AO929" s="1277">
        <f>AP929</f>
        <v/>
      </c>
      <c r="AP929" s="1299" t="n">
        <v>1967.611</v>
      </c>
      <c r="AQ929" s="1298" t="n">
        <v>2623.824</v>
      </c>
      <c r="AR929" s="1298" t="n">
        <v>3171.331</v>
      </c>
      <c r="AS929" s="1298" t="n">
        <v>3472.19</v>
      </c>
      <c r="AT929" s="1277">
        <f>AU929</f>
        <v/>
      </c>
      <c r="AU929" s="1299" t="n">
        <v>3309.131</v>
      </c>
      <c r="AV929" s="1298" t="n">
        <v>3087.714</v>
      </c>
      <c r="AW929" s="1298" t="n">
        <v>3318.773</v>
      </c>
      <c r="AX929" s="1298" t="n">
        <v>3055.178</v>
      </c>
      <c r="AY929" s="1277">
        <f>AZ929</f>
        <v/>
      </c>
      <c r="AZ929" s="1299" t="n">
        <v>4760.047</v>
      </c>
      <c r="BA929" s="1298" t="n">
        <v>6147.668</v>
      </c>
      <c r="BB929" s="1298" t="n">
        <v>5611.138</v>
      </c>
      <c r="BC929" s="1298" t="n">
        <v>5013.05</v>
      </c>
      <c r="BD929" s="1277">
        <f>BE929</f>
        <v/>
      </c>
      <c r="BE929" s="1299" t="n">
        <v>4382.965</v>
      </c>
      <c r="BF929" s="1298" t="n">
        <v>10020.132</v>
      </c>
      <c r="BG929" s="1298" t="n">
        <v>9029.764999999999</v>
      </c>
      <c r="BH929" s="1298" t="n">
        <v>26459.677</v>
      </c>
      <c r="BI929" s="1277">
        <f>BJ929</f>
        <v/>
      </c>
      <c r="BJ929" s="1299" t="n">
        <v>31824.386</v>
      </c>
      <c r="BK929" s="1298" t="n">
        <v>38726.925</v>
      </c>
      <c r="BL929" s="1298" t="n">
        <v>35136.246</v>
      </c>
      <c r="BM929" s="1298" t="n">
        <v>37795.501</v>
      </c>
      <c r="BN929" s="1277">
        <f>BO929</f>
        <v/>
      </c>
      <c r="BO929" s="1645" t="n">
        <v>38000</v>
      </c>
      <c r="BP929" s="1277">
        <f>BO929</f>
        <v/>
      </c>
      <c r="BQ929" s="1277">
        <f>BP929</f>
        <v/>
      </c>
      <c r="BR929" s="1277">
        <f>BQ929</f>
        <v/>
      </c>
      <c r="BS929" s="1277">
        <f>BR929</f>
        <v/>
      </c>
      <c r="BT929" s="1297">
        <f>BS929</f>
        <v/>
      </c>
      <c r="BU929" s="1277">
        <f>BT929</f>
        <v/>
      </c>
      <c r="BV929" s="1277">
        <f>BU929</f>
        <v/>
      </c>
      <c r="BW929" s="1277">
        <f>BV929</f>
        <v/>
      </c>
      <c r="BX929" s="1277">
        <f>BW929</f>
        <v/>
      </c>
      <c r="BY929" s="1297">
        <f>BX929</f>
        <v/>
      </c>
      <c r="BZ929" s="1297">
        <f>BY929</f>
        <v/>
      </c>
      <c r="CA929" s="1297">
        <f>BZ929</f>
        <v/>
      </c>
      <c r="CB929" s="1297">
        <f>CA929</f>
        <v/>
      </c>
      <c r="CC929" s="1280" t="n"/>
    </row>
    <row r="930" ht="14.4" customFormat="1" customHeight="1" s="1275">
      <c r="A930" s="1295" t="inlineStr">
        <is>
          <t>Provisions</t>
        </is>
      </c>
      <c r="B930" s="1387" t="n"/>
      <c r="C930" s="1297" t="n"/>
      <c r="D930" s="1297" t="n"/>
      <c r="E930" s="1297" t="n"/>
      <c r="F930" s="1299" t="n">
        <v>4.891</v>
      </c>
      <c r="G930" s="1297" t="n"/>
      <c r="H930" s="1277" t="n"/>
      <c r="I930" s="1277" t="n"/>
      <c r="J930" s="1277" t="n"/>
      <c r="K930" s="1280">
        <f>L930</f>
        <v/>
      </c>
      <c r="L930" s="1297" t="n"/>
      <c r="M930" s="1277" t="n"/>
      <c r="N930" s="1277" t="n"/>
      <c r="O930" s="1277" t="n"/>
      <c r="P930" s="1280">
        <f>Q930</f>
        <v/>
      </c>
      <c r="Q930" s="1297" t="n"/>
      <c r="R930" s="1277" t="n"/>
      <c r="S930" s="1277" t="n"/>
      <c r="T930" s="1277" t="n"/>
      <c r="U930" s="1280">
        <f>V930</f>
        <v/>
      </c>
      <c r="V930" s="1297" t="n"/>
      <c r="W930" s="1277" t="n"/>
      <c r="X930" s="1277" t="n"/>
      <c r="Y930" s="1277" t="n"/>
      <c r="Z930" s="1280">
        <f>AA930</f>
        <v/>
      </c>
      <c r="AA930" s="1297" t="n"/>
      <c r="AB930" s="1277" t="n"/>
      <c r="AC930" s="1277" t="n"/>
      <c r="AD930" s="1277" t="n"/>
      <c r="AE930" s="1280">
        <f>AF930</f>
        <v/>
      </c>
      <c r="AF930" s="1297" t="n"/>
      <c r="AG930" s="1277" t="n"/>
      <c r="AH930" s="1277" t="n"/>
      <c r="AI930" s="1277" t="n"/>
      <c r="AJ930" s="1277" t="n"/>
      <c r="AK930" s="1297" t="n"/>
      <c r="AL930" s="1277" t="n"/>
      <c r="AM930" s="1277" t="n"/>
      <c r="AN930" s="1277" t="n"/>
      <c r="AO930" s="1280">
        <f>AP930</f>
        <v/>
      </c>
      <c r="AP930" s="1297" t="n"/>
      <c r="AQ930" s="1277" t="n"/>
      <c r="AR930" s="1277" t="n"/>
      <c r="AS930" s="1277" t="n"/>
      <c r="AT930" s="1280">
        <f>AU930</f>
        <v/>
      </c>
      <c r="AU930" s="1297" t="n"/>
      <c r="AV930" s="1277" t="n"/>
      <c r="AW930" s="1277" t="n"/>
      <c r="AX930" s="1277" t="n"/>
      <c r="AY930" s="1280">
        <f>AZ930</f>
        <v/>
      </c>
      <c r="AZ930" s="1297" t="n"/>
      <c r="BA930" s="1277" t="n"/>
      <c r="BB930" s="1277" t="n"/>
      <c r="BC930" s="1277" t="n"/>
      <c r="BD930" s="1280">
        <f>BE930</f>
        <v/>
      </c>
      <c r="BE930" s="1297" t="n"/>
      <c r="BF930" s="1277" t="n"/>
      <c r="BG930" s="1277" t="n"/>
      <c r="BH930" s="1277" t="n"/>
      <c r="BI930" s="1280">
        <f>BJ930</f>
        <v/>
      </c>
      <c r="BJ930" s="1297" t="n"/>
      <c r="BK930" s="1277" t="n"/>
      <c r="BL930" s="1277" t="n"/>
      <c r="BM930" s="1277" t="n"/>
      <c r="BN930" s="1280">
        <f>BO930</f>
        <v/>
      </c>
      <c r="BO930" s="1382" t="n"/>
      <c r="BP930" s="1277">
        <f>BO930</f>
        <v/>
      </c>
      <c r="BQ930" s="1277">
        <f>BP930</f>
        <v/>
      </c>
      <c r="BR930" s="1277">
        <f>BQ930</f>
        <v/>
      </c>
      <c r="BS930" s="1277">
        <f>BR930</f>
        <v/>
      </c>
      <c r="BT930" s="1297">
        <f>BS930</f>
        <v/>
      </c>
      <c r="BU930" s="1277">
        <f>BT930</f>
        <v/>
      </c>
      <c r="BV930" s="1277">
        <f>BU930</f>
        <v/>
      </c>
      <c r="BW930" s="1277">
        <f>BV930</f>
        <v/>
      </c>
      <c r="BX930" s="1277">
        <f>BW930</f>
        <v/>
      </c>
      <c r="BY930" s="1297">
        <f>BX930</f>
        <v/>
      </c>
      <c r="BZ930" s="1297">
        <f>BY930</f>
        <v/>
      </c>
      <c r="CA930" s="1297">
        <f>BZ930</f>
        <v/>
      </c>
      <c r="CB930" s="1297">
        <f>CA930</f>
        <v/>
      </c>
      <c r="CC930" s="1280" t="n"/>
    </row>
    <row r="931" ht="14.4" customFormat="1" customHeight="1" s="1275">
      <c r="A931" s="1295" t="inlineStr">
        <is>
          <t>Other long-term payables</t>
        </is>
      </c>
      <c r="B931" s="1387" t="n"/>
      <c r="C931" s="1299" t="n">
        <v>5602.42</v>
      </c>
      <c r="D931" s="1299" t="n">
        <v>6554.208</v>
      </c>
      <c r="E931" s="1299" t="n">
        <v>0</v>
      </c>
      <c r="F931" s="1299" t="n">
        <v>54</v>
      </c>
      <c r="G931" s="1297" t="n"/>
      <c r="H931" s="1277" t="n"/>
      <c r="I931" s="1277" t="n"/>
      <c r="J931" s="1277" t="n"/>
      <c r="K931" s="1280">
        <f>L931</f>
        <v/>
      </c>
      <c r="L931" s="1297" t="n"/>
      <c r="M931" s="1277" t="n"/>
      <c r="N931" s="1277" t="n"/>
      <c r="O931" s="1277" t="n"/>
      <c r="P931" s="1280">
        <f>Q931</f>
        <v/>
      </c>
      <c r="Q931" s="1297" t="n"/>
      <c r="R931" s="1277" t="n"/>
      <c r="S931" s="1277" t="n"/>
      <c r="T931" s="1277" t="n"/>
      <c r="U931" s="1280">
        <f>V931</f>
        <v/>
      </c>
      <c r="V931" s="1297" t="n"/>
      <c r="W931" s="1277" t="n"/>
      <c r="X931" s="1277" t="n"/>
      <c r="Y931" s="1277" t="n"/>
      <c r="Z931" s="1280">
        <f>AA931</f>
        <v/>
      </c>
      <c r="AA931" s="1297" t="n"/>
      <c r="AB931" s="1277" t="n"/>
      <c r="AC931" s="1277" t="n"/>
      <c r="AD931" s="1277" t="n"/>
      <c r="AE931" s="1280">
        <f>AF931</f>
        <v/>
      </c>
      <c r="AF931" s="1297" t="n"/>
      <c r="AG931" s="1277" t="n"/>
      <c r="AH931" s="1277" t="n"/>
      <c r="AI931" s="1277" t="n"/>
      <c r="AJ931" s="1277" t="n"/>
      <c r="AK931" s="1297" t="n"/>
      <c r="AL931" s="1277" t="n"/>
      <c r="AM931" s="1277" t="n"/>
      <c r="AN931" s="1277" t="n"/>
      <c r="AO931" s="1280">
        <f>AP931</f>
        <v/>
      </c>
      <c r="AP931" s="1297" t="n"/>
      <c r="AQ931" s="1277" t="n"/>
      <c r="AR931" s="1277" t="n"/>
      <c r="AS931" s="1277" t="n"/>
      <c r="AT931" s="1280">
        <f>AU931</f>
        <v/>
      </c>
      <c r="AU931" s="1297" t="n"/>
      <c r="AV931" s="1277" t="n"/>
      <c r="AW931" s="1277" t="n"/>
      <c r="AX931" s="1277" t="n"/>
      <c r="AY931" s="1280">
        <f>AZ931</f>
        <v/>
      </c>
      <c r="AZ931" s="1297" t="n"/>
      <c r="BA931" s="1277" t="n"/>
      <c r="BB931" s="1277" t="n"/>
      <c r="BC931" s="1277" t="n"/>
      <c r="BD931" s="1280">
        <f>BE931</f>
        <v/>
      </c>
      <c r="BE931" s="1297" t="n"/>
      <c r="BF931" s="1277" t="n"/>
      <c r="BG931" s="1277" t="n"/>
      <c r="BH931" s="1277" t="n"/>
      <c r="BI931" s="1280">
        <f>BJ931</f>
        <v/>
      </c>
      <c r="BJ931" s="1297" t="n"/>
      <c r="BK931" s="1277" t="n"/>
      <c r="BL931" s="1277" t="n"/>
      <c r="BM931" s="1277" t="n"/>
      <c r="BN931" s="1280">
        <f>BO931</f>
        <v/>
      </c>
      <c r="BO931" s="1382" t="n"/>
      <c r="BP931" s="1277">
        <f>BO931</f>
        <v/>
      </c>
      <c r="BQ931" s="1277">
        <f>BP931</f>
        <v/>
      </c>
      <c r="BR931" s="1277">
        <f>BQ931</f>
        <v/>
      </c>
      <c r="BS931" s="1277">
        <f>BR931</f>
        <v/>
      </c>
      <c r="BT931" s="1297">
        <f>BS931</f>
        <v/>
      </c>
      <c r="BU931" s="1277">
        <f>BT931</f>
        <v/>
      </c>
      <c r="BV931" s="1277">
        <f>BU931</f>
        <v/>
      </c>
      <c r="BW931" s="1277">
        <f>BV931</f>
        <v/>
      </c>
      <c r="BX931" s="1277">
        <f>BW931</f>
        <v/>
      </c>
      <c r="BY931" s="1297">
        <f>BX931</f>
        <v/>
      </c>
      <c r="BZ931" s="1297">
        <f>BY931</f>
        <v/>
      </c>
      <c r="CA931" s="1297">
        <f>BZ931</f>
        <v/>
      </c>
      <c r="CB931" s="1297">
        <f>CA931</f>
        <v/>
      </c>
      <c r="CC931" s="1280" t="n"/>
    </row>
    <row r="932" ht="14.4" customFormat="1" customHeight="1" s="1275">
      <c r="A932" s="1384" t="inlineStr">
        <is>
          <t>Deferred income tax liabilities</t>
        </is>
      </c>
      <c r="B932" s="1387" t="n"/>
      <c r="C932" s="1297" t="n"/>
      <c r="D932" s="1297" t="n"/>
      <c r="E932" s="1297" t="n"/>
      <c r="F932" s="1299" t="n">
        <v>0</v>
      </c>
      <c r="G932" s="1299" t="n">
        <v>0</v>
      </c>
      <c r="H932" s="1298" t="n">
        <v>0</v>
      </c>
      <c r="I932" s="1298" t="n">
        <v>0</v>
      </c>
      <c r="J932" s="1298" t="n">
        <v>0</v>
      </c>
      <c r="K932" s="1277">
        <f>L932</f>
        <v/>
      </c>
      <c r="L932" s="1299" t="n">
        <v>199.75</v>
      </c>
      <c r="M932" s="1298" t="n">
        <v>159.538</v>
      </c>
      <c r="N932" s="1298" t="n">
        <v>232.34</v>
      </c>
      <c r="O932" s="1298" t="n">
        <v>153.932</v>
      </c>
      <c r="P932" s="1277">
        <f>Q932</f>
        <v/>
      </c>
      <c r="Q932" s="1299" t="n">
        <v>31.271</v>
      </c>
      <c r="R932" s="1298" t="n">
        <v>13.831</v>
      </c>
      <c r="S932" s="1298" t="n">
        <v>3.631</v>
      </c>
      <c r="T932" s="1298" t="n">
        <v>37.51</v>
      </c>
      <c r="U932" s="1277">
        <f>V932</f>
        <v/>
      </c>
      <c r="V932" s="1299" t="n">
        <v>141.183</v>
      </c>
      <c r="W932" s="1298" t="n">
        <v>90.944</v>
      </c>
      <c r="X932" s="1298" t="n">
        <v>160.709</v>
      </c>
      <c r="Y932" s="1298" t="n">
        <v>120.36</v>
      </c>
      <c r="Z932" s="1277">
        <f>AA932</f>
        <v/>
      </c>
      <c r="AA932" s="1299" t="n">
        <v>302.205</v>
      </c>
      <c r="AB932" s="1298" t="n">
        <v>285.644</v>
      </c>
      <c r="AC932" s="1298" t="n">
        <v>242.158</v>
      </c>
      <c r="AD932" s="1298" t="n">
        <v>254.887</v>
      </c>
      <c r="AE932" s="1277">
        <f>AF932</f>
        <v/>
      </c>
      <c r="AF932" s="1299" t="n">
        <v>233.284</v>
      </c>
      <c r="AG932" s="1298" t="n">
        <v>204.933</v>
      </c>
      <c r="AH932" s="1298" t="n">
        <v>147.176</v>
      </c>
      <c r="AI932" s="1298" t="n">
        <v>115.856</v>
      </c>
      <c r="AJ932" s="1277">
        <f>AK932</f>
        <v/>
      </c>
      <c r="AK932" s="1299" t="n">
        <v>344.393</v>
      </c>
      <c r="AL932" s="1298" t="n">
        <v>356.609</v>
      </c>
      <c r="AM932" s="1298" t="n">
        <v>354.306</v>
      </c>
      <c r="AN932" s="1298" t="n">
        <v>1022.263</v>
      </c>
      <c r="AO932" s="1277">
        <f>AP932</f>
        <v/>
      </c>
      <c r="AP932" s="1299" t="n">
        <v>1729.941</v>
      </c>
      <c r="AQ932" s="1298" t="n">
        <v>1895.572</v>
      </c>
      <c r="AR932" s="1298" t="n">
        <v>2142.797</v>
      </c>
      <c r="AS932" s="1298" t="n">
        <v>2306.909</v>
      </c>
      <c r="AT932" s="1277">
        <f>AU932</f>
        <v/>
      </c>
      <c r="AU932" s="1299" t="n">
        <v>1873.877</v>
      </c>
      <c r="AV932" s="1298" t="n">
        <v>1899.315</v>
      </c>
      <c r="AW932" s="1298" t="n">
        <v>940.675</v>
      </c>
      <c r="AX932" s="1298" t="n">
        <v>1466.389</v>
      </c>
      <c r="AY932" s="1277">
        <f>AZ932</f>
        <v/>
      </c>
      <c r="AZ932" s="1299" t="n">
        <v>1031.383</v>
      </c>
      <c r="BA932" s="1298" t="n">
        <v>726.005</v>
      </c>
      <c r="BB932" s="1298" t="n">
        <v>373.563</v>
      </c>
      <c r="BC932" s="1298" t="n">
        <v>212.549</v>
      </c>
      <c r="BD932" s="1277">
        <f>BE932</f>
        <v/>
      </c>
      <c r="BE932" s="1299" t="n">
        <v>53.856</v>
      </c>
      <c r="BF932" s="1298" t="n">
        <v>42.863</v>
      </c>
      <c r="BG932" s="1298" t="n">
        <v>57.243</v>
      </c>
      <c r="BH932" s="1298" t="n">
        <v>61.376</v>
      </c>
      <c r="BI932" s="1277">
        <f>BJ932</f>
        <v/>
      </c>
      <c r="BJ932" s="1299" t="n">
        <v>3988.482</v>
      </c>
      <c r="BK932" s="1298" t="n">
        <v>3968.524</v>
      </c>
      <c r="BL932" s="1298" t="n">
        <v>3954.595</v>
      </c>
      <c r="BM932" s="1298" t="n">
        <v>3961.495</v>
      </c>
      <c r="BN932" s="1277">
        <f>BO932</f>
        <v/>
      </c>
      <c r="BO932" s="1645" t="n">
        <v>3950</v>
      </c>
      <c r="BP932" s="1277">
        <f>BO932+BP712</f>
        <v/>
      </c>
      <c r="BQ932" s="1277">
        <f>BP932+BQ712</f>
        <v/>
      </c>
      <c r="BR932" s="1277">
        <f>BQ932+BR712</f>
        <v/>
      </c>
      <c r="BS932" s="1277">
        <f>BR932+BS712</f>
        <v/>
      </c>
      <c r="BT932" s="1297">
        <f>BS932</f>
        <v/>
      </c>
      <c r="BU932" s="1277">
        <f>BT932+BU712</f>
        <v/>
      </c>
      <c r="BV932" s="1277">
        <f>BU932+BV712</f>
        <v/>
      </c>
      <c r="BW932" s="1277">
        <f>BV932+BW712</f>
        <v/>
      </c>
      <c r="BX932" s="1277">
        <f>BW932+BX712</f>
        <v/>
      </c>
      <c r="BY932" s="1297">
        <f>BX932</f>
        <v/>
      </c>
      <c r="BZ932" s="1297">
        <f>BY932+BZ712</f>
        <v/>
      </c>
      <c r="CA932" s="1297">
        <f>BZ932+CA712</f>
        <v/>
      </c>
      <c r="CB932" s="1297">
        <f>CA932+CB712</f>
        <v/>
      </c>
      <c r="CC932" s="1280" t="n"/>
    </row>
    <row r="933" ht="14.4" customFormat="1" customHeight="1" s="1275">
      <c r="A933" s="1384" t="inlineStr">
        <is>
          <t>Lease liabilities</t>
        </is>
      </c>
      <c r="B933" s="1387" t="n"/>
      <c r="C933" s="1297" t="n"/>
      <c r="D933" s="1297" t="n"/>
      <c r="E933" s="1297" t="n"/>
      <c r="F933" s="1297" t="n"/>
      <c r="G933" s="1297" t="n"/>
      <c r="H933" s="1277" t="n"/>
      <c r="I933" s="1277" t="n"/>
      <c r="J933" s="1277" t="n"/>
      <c r="K933" s="1277" t="n"/>
      <c r="L933" s="1297" t="n"/>
      <c r="M933" s="1277" t="n"/>
      <c r="N933" s="1277" t="n"/>
      <c r="O933" s="1277" t="n"/>
      <c r="P933" s="1277" t="n"/>
      <c r="Q933" s="1297" t="n"/>
      <c r="R933" s="1277" t="n"/>
      <c r="S933" s="1277" t="n"/>
      <c r="T933" s="1277" t="n"/>
      <c r="U933" s="1277" t="n"/>
      <c r="V933" s="1297" t="n"/>
      <c r="W933" s="1277" t="n"/>
      <c r="X933" s="1277" t="n"/>
      <c r="Y933" s="1277" t="n"/>
      <c r="Z933" s="1277" t="n"/>
      <c r="AA933" s="1297" t="n"/>
      <c r="AB933" s="1277" t="n"/>
      <c r="AC933" s="1277" t="n"/>
      <c r="AD933" s="1277" t="n"/>
      <c r="AE933" s="1277" t="n"/>
      <c r="AF933" s="1297" t="n"/>
      <c r="AG933" s="1298" t="n">
        <v>16907.533</v>
      </c>
      <c r="AH933" s="1298" t="n">
        <v>15405.489</v>
      </c>
      <c r="AI933" s="1298" t="n">
        <v>15031.539</v>
      </c>
      <c r="AJ933" s="1277">
        <f>AK933</f>
        <v/>
      </c>
      <c r="AK933" s="1299" t="n">
        <v>15041.833</v>
      </c>
      <c r="AL933" s="1298" t="n">
        <v>19490.665</v>
      </c>
      <c r="AM933" s="1298" t="n">
        <v>19164.873</v>
      </c>
      <c r="AN933" s="1298" t="n">
        <v>19180.809</v>
      </c>
      <c r="AO933" s="1277">
        <f>AP933</f>
        <v/>
      </c>
      <c r="AP933" s="1299" t="n">
        <v>20560.649</v>
      </c>
      <c r="AQ933" s="1298" t="n">
        <v>21074.764</v>
      </c>
      <c r="AR933" s="1298" t="n">
        <v>21030.441</v>
      </c>
      <c r="AS933" s="1298" t="n">
        <v>21052.983</v>
      </c>
      <c r="AT933" s="1277">
        <f>AU933</f>
        <v/>
      </c>
      <c r="AU933" s="1299" t="n">
        <v>20764.214</v>
      </c>
      <c r="AV933" s="1298" t="n">
        <v>21065.933</v>
      </c>
      <c r="AW933" s="1298" t="n">
        <v>22510.412</v>
      </c>
      <c r="AX933" s="1298" t="n">
        <v>30182.353</v>
      </c>
      <c r="AY933" s="1277">
        <f>AZ933</f>
        <v/>
      </c>
      <c r="AZ933" s="1299" t="n">
        <v>29764.097</v>
      </c>
      <c r="BA933" s="1298" t="n">
        <v>29984.875</v>
      </c>
      <c r="BB933" s="1298" t="n">
        <v>29734.633</v>
      </c>
      <c r="BC933" s="1298" t="n">
        <v>29415.325</v>
      </c>
      <c r="BD933" s="1277">
        <f>BE933</f>
        <v/>
      </c>
      <c r="BE933" s="1299" t="n">
        <v>28681.835</v>
      </c>
      <c r="BF933" s="1298" t="n">
        <v>28467.31</v>
      </c>
      <c r="BG933" s="1298" t="n">
        <v>28221.881</v>
      </c>
      <c r="BH933" s="1298" t="n">
        <v>28208.721</v>
      </c>
      <c r="BI933" s="1277">
        <f>BJ933</f>
        <v/>
      </c>
      <c r="BJ933" s="1299" t="n">
        <v>28755.342</v>
      </c>
      <c r="BK933" s="1298" t="n">
        <v>29121.821</v>
      </c>
      <c r="BL933" s="1298" t="n">
        <v>31363.997</v>
      </c>
      <c r="BM933" s="1298" t="n">
        <v>30978.996</v>
      </c>
      <c r="BN933" s="1277">
        <f>BO933</f>
        <v/>
      </c>
      <c r="BO933" s="1645" t="n">
        <v>31000</v>
      </c>
      <c r="BP933" s="1277">
        <f>BO933</f>
        <v/>
      </c>
      <c r="BQ933" s="1277">
        <f>BP933</f>
        <v/>
      </c>
      <c r="BR933" s="1277">
        <f>BQ933</f>
        <v/>
      </c>
      <c r="BS933" s="1277">
        <f>BR933</f>
        <v/>
      </c>
      <c r="BT933" s="1297">
        <f>BS933</f>
        <v/>
      </c>
      <c r="BU933" s="1277">
        <f>BT933</f>
        <v/>
      </c>
      <c r="BV933" s="1277">
        <f>BU933</f>
        <v/>
      </c>
      <c r="BW933" s="1277">
        <f>BV933</f>
        <v/>
      </c>
      <c r="BX933" s="1277">
        <f>BW933</f>
        <v/>
      </c>
      <c r="BY933" s="1297">
        <f>BX933</f>
        <v/>
      </c>
      <c r="BZ933" s="1297">
        <f>BY933</f>
        <v/>
      </c>
      <c r="CA933" s="1297">
        <f>BZ933</f>
        <v/>
      </c>
      <c r="CB933" s="1297">
        <f>CA933</f>
        <v/>
      </c>
      <c r="CC933" s="1280" t="n"/>
    </row>
    <row r="934" ht="14.4" customFormat="1" customHeight="1" s="1275">
      <c r="A934" s="1384" t="inlineStr">
        <is>
          <t>Obligations under finance leases</t>
        </is>
      </c>
      <c r="B934" s="1387" t="n"/>
      <c r="C934" s="1299" t="n">
        <v>707.499</v>
      </c>
      <c r="D934" s="1299" t="n">
        <v>694.986</v>
      </c>
      <c r="E934" s="1299" t="n">
        <v>870.9930000000001</v>
      </c>
      <c r="F934" s="1299" t="n">
        <v>748.115</v>
      </c>
      <c r="G934" s="1299" t="n">
        <v>776.23</v>
      </c>
      <c r="H934" s="1298" t="n">
        <v>783.275</v>
      </c>
      <c r="I934" s="1298" t="n">
        <v>745.391</v>
      </c>
      <c r="J934" s="1298" t="n">
        <v>773.7430000000001</v>
      </c>
      <c r="K934" s="1277">
        <f>L934</f>
        <v/>
      </c>
      <c r="L934" s="1299" t="n">
        <v>802.1079999999999</v>
      </c>
      <c r="M934" s="1298" t="n">
        <v>799.612</v>
      </c>
      <c r="N934" s="1298" t="n">
        <v>766.836</v>
      </c>
      <c r="O934" s="1277" t="n"/>
      <c r="P934" s="1277">
        <f>Q934</f>
        <v/>
      </c>
      <c r="Q934" s="1297" t="n"/>
      <c r="R934" s="1277" t="n"/>
      <c r="S934" s="1277" t="n"/>
      <c r="T934" s="1277" t="n"/>
      <c r="U934" s="1277">
        <f>V934</f>
        <v/>
      </c>
      <c r="V934" s="1297" t="n"/>
      <c r="W934" s="1277" t="n"/>
      <c r="X934" s="1277" t="n"/>
      <c r="Y934" s="1277" t="n"/>
      <c r="Z934" s="1277">
        <f>AA934</f>
        <v/>
      </c>
      <c r="AA934" s="1297" t="n"/>
      <c r="AB934" s="1277" t="n"/>
      <c r="AC934" s="1277" t="n"/>
      <c r="AD934" s="1277" t="n"/>
      <c r="AE934" s="1277">
        <f>AF934</f>
        <v/>
      </c>
      <c r="AF934" s="1297" t="n"/>
      <c r="AG934" s="1277" t="n"/>
      <c r="AH934" s="1277" t="n"/>
      <c r="AI934" s="1277" t="n"/>
      <c r="AJ934" s="1277" t="n"/>
      <c r="AK934" s="1297" t="n"/>
      <c r="AL934" s="1277" t="n"/>
      <c r="AM934" s="1277" t="n"/>
      <c r="AN934" s="1277" t="n"/>
      <c r="AO934" s="1277">
        <f>AP934</f>
        <v/>
      </c>
      <c r="AP934" s="1297" t="n"/>
      <c r="AQ934" s="1277" t="n"/>
      <c r="AR934" s="1277" t="n"/>
      <c r="AS934" s="1277" t="n"/>
      <c r="AT934" s="1277">
        <f>AU934</f>
        <v/>
      </c>
      <c r="AU934" s="1297" t="n"/>
      <c r="AV934" s="1277" t="n"/>
      <c r="AW934" s="1277" t="n"/>
      <c r="AX934" s="1277" t="n"/>
      <c r="AY934" s="1277">
        <f>AZ934</f>
        <v/>
      </c>
      <c r="AZ934" s="1297" t="n"/>
      <c r="BA934" s="1277" t="n"/>
      <c r="BB934" s="1277" t="n"/>
      <c r="BC934" s="1277" t="n"/>
      <c r="BD934" s="1277">
        <f>BE934</f>
        <v/>
      </c>
      <c r="BE934" s="1297" t="n"/>
      <c r="BF934" s="1277" t="n"/>
      <c r="BG934" s="1277" t="n"/>
      <c r="BH934" s="1277" t="n"/>
      <c r="BI934" s="1277">
        <f>BJ934</f>
        <v/>
      </c>
      <c r="BJ934" s="1297" t="n"/>
      <c r="BK934" s="1277" t="n"/>
      <c r="BL934" s="1277" t="n"/>
      <c r="BM934" s="1277" t="n"/>
      <c r="BN934" s="1277">
        <f>BO934</f>
        <v/>
      </c>
      <c r="BO934" s="1382" t="n"/>
      <c r="BP934" s="1277">
        <f>BO934</f>
        <v/>
      </c>
      <c r="BQ934" s="1277">
        <f>BP934</f>
        <v/>
      </c>
      <c r="BR934" s="1277">
        <f>BQ934</f>
        <v/>
      </c>
      <c r="BS934" s="1277">
        <f>BR934</f>
        <v/>
      </c>
      <c r="BT934" s="1297">
        <f>BS934</f>
        <v/>
      </c>
      <c r="BU934" s="1277">
        <f>BT934</f>
        <v/>
      </c>
      <c r="BV934" s="1277">
        <f>BU934</f>
        <v/>
      </c>
      <c r="BW934" s="1277">
        <f>BV934</f>
        <v/>
      </c>
      <c r="BX934" s="1277">
        <f>BW934</f>
        <v/>
      </c>
      <c r="BY934" s="1297">
        <f>BX934</f>
        <v/>
      </c>
      <c r="BZ934" s="1297">
        <f>BY934</f>
        <v/>
      </c>
      <c r="CA934" s="1297">
        <f>BZ934</f>
        <v/>
      </c>
      <c r="CB934" s="1297">
        <f>CA934</f>
        <v/>
      </c>
      <c r="CC934" s="1280" t="n"/>
    </row>
    <row r="935" ht="14.4" customFormat="1" customHeight="1" s="1275">
      <c r="A935" s="1384" t="inlineStr">
        <is>
          <t>Net defined benefit liability</t>
        </is>
      </c>
      <c r="B935" s="1387" t="n"/>
      <c r="C935" s="1299" t="n">
        <v>3797.032</v>
      </c>
      <c r="D935" s="1299" t="n">
        <v>3812.351</v>
      </c>
      <c r="E935" s="1299" t="n">
        <v>3908.508</v>
      </c>
      <c r="F935" s="1299" t="n">
        <v>6921.234</v>
      </c>
      <c r="G935" s="1299" t="n">
        <v>7589.926</v>
      </c>
      <c r="H935" s="1298" t="n">
        <v>6793.685</v>
      </c>
      <c r="I935" s="1298" t="n">
        <v>6810.773</v>
      </c>
      <c r="J935" s="1298" t="n">
        <v>6838.838</v>
      </c>
      <c r="K935" s="1277">
        <f>L935</f>
        <v/>
      </c>
      <c r="L935" s="1299" t="n">
        <v>6567.782</v>
      </c>
      <c r="M935" s="1298" t="n">
        <v>6553.652</v>
      </c>
      <c r="N935" s="1298" t="n">
        <v>6585.747</v>
      </c>
      <c r="O935" s="1298" t="n">
        <v>6611.531</v>
      </c>
      <c r="P935" s="1277">
        <f>Q935</f>
        <v/>
      </c>
      <c r="Q935" s="1299" t="n">
        <v>7448.026</v>
      </c>
      <c r="R935" s="1298" t="n">
        <v>7437.455</v>
      </c>
      <c r="S935" s="1298" t="n">
        <v>7456.666</v>
      </c>
      <c r="T935" s="1298" t="n">
        <v>7475.381</v>
      </c>
      <c r="U935" s="1277">
        <f>V935</f>
        <v/>
      </c>
      <c r="V935" s="1299" t="n">
        <v>8551.407999999999</v>
      </c>
      <c r="W935" s="1298" t="n">
        <v>8537.369000000001</v>
      </c>
      <c r="X935" s="1298" t="n">
        <v>8556.639999999999</v>
      </c>
      <c r="Y935" s="1298" t="n">
        <v>8574.626</v>
      </c>
      <c r="Z935" s="1277">
        <f>AA935</f>
        <v/>
      </c>
      <c r="AA935" s="1299" t="n">
        <v>8850.704</v>
      </c>
      <c r="AB935" s="1298" t="n">
        <v>8818.705</v>
      </c>
      <c r="AC935" s="1298" t="n">
        <v>8765.705</v>
      </c>
      <c r="AD935" s="1298" t="n">
        <v>8788.142</v>
      </c>
      <c r="AE935" s="1277">
        <f>AF935</f>
        <v/>
      </c>
      <c r="AF935" s="1299" t="n">
        <v>9651.405000000001</v>
      </c>
      <c r="AG935" s="1298" t="n">
        <v>9389.23</v>
      </c>
      <c r="AH935" s="1298" t="n">
        <v>9400.58</v>
      </c>
      <c r="AI935" s="1298" t="n">
        <v>9417.475</v>
      </c>
      <c r="AJ935" s="1277">
        <f>AK935</f>
        <v/>
      </c>
      <c r="AK935" s="1299" t="n">
        <v>9182.495999999999</v>
      </c>
      <c r="AL935" s="1298" t="n">
        <v>8377.553</v>
      </c>
      <c r="AM935" s="1298" t="n">
        <v>8381.191999999999</v>
      </c>
      <c r="AN935" s="1298" t="n">
        <v>8384.974</v>
      </c>
      <c r="AO935" s="1277">
        <f>AP935</f>
        <v/>
      </c>
      <c r="AP935" s="1299" t="n">
        <v>11914.074</v>
      </c>
      <c r="AQ935" s="1298" t="n">
        <v>11294.513</v>
      </c>
      <c r="AR935" s="1298" t="n">
        <v>11285.52</v>
      </c>
      <c r="AS935" s="1298" t="n">
        <v>11276.177</v>
      </c>
      <c r="AT935" s="1277">
        <f>AU935</f>
        <v/>
      </c>
      <c r="AU935" s="1299" t="n">
        <v>11036.879</v>
      </c>
      <c r="AV935" s="1298" t="n">
        <v>8533.290000000001</v>
      </c>
      <c r="AW935" s="1298" t="n">
        <v>8513.26</v>
      </c>
      <c r="AX935" s="1298" t="n">
        <v>8503.262000000001</v>
      </c>
      <c r="AY935" s="1277">
        <f>AZ935</f>
        <v/>
      </c>
      <c r="AZ935" s="1299" t="n">
        <v>9321.091</v>
      </c>
      <c r="BA935" s="1298" t="n">
        <v>8602.302</v>
      </c>
      <c r="BB935" s="1298" t="n">
        <v>8604.642</v>
      </c>
      <c r="BC935" s="1298" t="n">
        <v>8615.678</v>
      </c>
      <c r="BD935" s="1277">
        <f>BE935</f>
        <v/>
      </c>
      <c r="BE935" s="1299" t="n">
        <v>9257.224</v>
      </c>
      <c r="BF935" s="1298" t="n">
        <v>7700.892</v>
      </c>
      <c r="BG935" s="1298" t="n">
        <v>7702.315</v>
      </c>
      <c r="BH935" s="1298" t="n">
        <v>7704.373</v>
      </c>
      <c r="BI935" s="1277">
        <f>BJ935</f>
        <v/>
      </c>
      <c r="BJ935" s="1299" t="n">
        <v>7580.657</v>
      </c>
      <c r="BK935" s="1298" t="n">
        <v>5378.586</v>
      </c>
      <c r="BL935" s="1298" t="n">
        <v>5355.403</v>
      </c>
      <c r="BM935" s="1298" t="n">
        <v>5306.777</v>
      </c>
      <c r="BN935" s="1277">
        <f>BO935</f>
        <v/>
      </c>
      <c r="BO935" s="1645" t="n">
        <v>5350</v>
      </c>
      <c r="BP935" s="1277">
        <f>BO935</f>
        <v/>
      </c>
      <c r="BQ935" s="1277">
        <f>BP935</f>
        <v/>
      </c>
      <c r="BR935" s="1277">
        <f>BQ935</f>
        <v/>
      </c>
      <c r="BS935" s="1277">
        <f>BR935</f>
        <v/>
      </c>
      <c r="BT935" s="1297">
        <f>BS935</f>
        <v/>
      </c>
      <c r="BU935" s="1277">
        <f>BT935</f>
        <v/>
      </c>
      <c r="BV935" s="1277">
        <f>BU935</f>
        <v/>
      </c>
      <c r="BW935" s="1277">
        <f>BV935</f>
        <v/>
      </c>
      <c r="BX935" s="1277">
        <f>BW935</f>
        <v/>
      </c>
      <c r="BY935" s="1297">
        <f>BX935</f>
        <v/>
      </c>
      <c r="BZ935" s="1297">
        <f>BY935</f>
        <v/>
      </c>
      <c r="CA935" s="1297">
        <f>BZ935</f>
        <v/>
      </c>
      <c r="CB935" s="1297">
        <f>CA935</f>
        <v/>
      </c>
      <c r="CC935" s="1280" t="n"/>
    </row>
    <row r="936" ht="14.4" customFormat="1" customHeight="1" s="1275">
      <c r="A936" s="1384" t="inlineStr">
        <is>
          <t>Guarantee deposits</t>
        </is>
      </c>
      <c r="B936" s="1387" t="n"/>
      <c r="C936" s="1299" t="n">
        <v>1006.023</v>
      </c>
      <c r="D936" s="1299" t="n">
        <v>789.098</v>
      </c>
      <c r="E936" s="1299" t="n">
        <v>443.983</v>
      </c>
      <c r="F936" s="1299" t="n">
        <v>203.89</v>
      </c>
      <c r="G936" s="1299" t="n">
        <v>151.66</v>
      </c>
      <c r="H936" s="1298" t="n">
        <v>154.505</v>
      </c>
      <c r="I936" s="1298" t="n">
        <v>157.011</v>
      </c>
      <c r="J936" s="1298" t="n">
        <v>160.419</v>
      </c>
      <c r="K936" s="1277">
        <f>L936</f>
        <v/>
      </c>
      <c r="L936" s="1299" t="n">
        <v>25538.475</v>
      </c>
      <c r="M936" s="1298" t="n">
        <v>23715.049</v>
      </c>
      <c r="N936" s="1298" t="n">
        <v>21916.587</v>
      </c>
      <c r="O936" s="1298" t="n">
        <v>23208.034</v>
      </c>
      <c r="P936" s="1277">
        <f>Q936</f>
        <v/>
      </c>
      <c r="Q936" s="1299" t="n">
        <v>21564.801</v>
      </c>
      <c r="R936" s="1298" t="n">
        <v>19492.28</v>
      </c>
      <c r="S936" s="1298" t="n">
        <v>17950.414</v>
      </c>
      <c r="T936" s="1298" t="n">
        <v>15872.972</v>
      </c>
      <c r="U936" s="1277">
        <f>V936</f>
        <v/>
      </c>
      <c r="V936" s="1299" t="n">
        <v>14670.433</v>
      </c>
      <c r="W936" s="1298" t="n">
        <v>12321.468</v>
      </c>
      <c r="X936" s="1298" t="n">
        <v>10818.377</v>
      </c>
      <c r="Y936" s="1298" t="n">
        <v>9243.25</v>
      </c>
      <c r="Z936" s="1277">
        <f>AA936</f>
        <v/>
      </c>
      <c r="AA936" s="1299" t="n">
        <v>7586.79</v>
      </c>
      <c r="AB936" s="1298" t="n">
        <v>5991.361</v>
      </c>
      <c r="AC936" s="1298" t="n">
        <v>5365.159</v>
      </c>
      <c r="AD936" s="1298" t="n">
        <v>4445.58</v>
      </c>
      <c r="AE936" s="1277">
        <f>AF936</f>
        <v/>
      </c>
      <c r="AF936" s="1299" t="n">
        <v>3353.378</v>
      </c>
      <c r="AG936" s="1298" t="n">
        <v>1820.748</v>
      </c>
      <c r="AH936" s="1298" t="n">
        <v>210.97</v>
      </c>
      <c r="AI936" s="1298" t="n">
        <v>210.198</v>
      </c>
      <c r="AJ936" s="1277">
        <f>AK936</f>
        <v/>
      </c>
      <c r="AK936" s="1299" t="n">
        <v>176.904</v>
      </c>
      <c r="AL936" s="1298" t="n">
        <v>176.664</v>
      </c>
      <c r="AM936" s="1298" t="n">
        <v>171.622</v>
      </c>
      <c r="AN936" s="1298" t="n">
        <v>167.727</v>
      </c>
      <c r="AO936" s="1277">
        <f>AP936</f>
        <v/>
      </c>
      <c r="AP936" s="1299" t="n">
        <v>265.599</v>
      </c>
      <c r="AQ936" s="1298" t="n">
        <v>349.5</v>
      </c>
      <c r="AR936" s="1298" t="n">
        <v>392.398</v>
      </c>
      <c r="AS936" s="1298" t="n">
        <v>641.546</v>
      </c>
      <c r="AT936" s="1277">
        <f>AU936</f>
        <v/>
      </c>
      <c r="AU936" s="1299" t="n">
        <v>686.7619999999999</v>
      </c>
      <c r="AV936" s="1298" t="n">
        <v>706.708</v>
      </c>
      <c r="AW936" s="1298" t="n">
        <v>834.17</v>
      </c>
      <c r="AX936" s="1298" t="n">
        <v>907.991</v>
      </c>
      <c r="AY936" s="1277">
        <f>AZ936</f>
        <v/>
      </c>
      <c r="AZ936" s="1299" t="n">
        <v>892.021</v>
      </c>
      <c r="BA936" s="1298" t="n">
        <v>915.592</v>
      </c>
      <c r="BB936" s="1298" t="n">
        <v>953.163</v>
      </c>
      <c r="BC936" s="1298" t="n">
        <v>983.928</v>
      </c>
      <c r="BD936" s="1277">
        <f>BE936</f>
        <v/>
      </c>
      <c r="BE936" s="1299" t="n">
        <v>923.164</v>
      </c>
      <c r="BF936" s="1298" t="n">
        <v>940.585</v>
      </c>
      <c r="BG936" s="1298" t="n">
        <v>953.045</v>
      </c>
      <c r="BH936" s="1298" t="n">
        <v>914.462</v>
      </c>
      <c r="BI936" s="1277">
        <f>BJ936</f>
        <v/>
      </c>
      <c r="BJ936" s="1299" t="n">
        <v>845.581</v>
      </c>
      <c r="BK936" s="1298" t="n">
        <v>854.533</v>
      </c>
      <c r="BL936" s="1298" t="n">
        <v>714.229</v>
      </c>
      <c r="BM936" s="1298" t="n">
        <v>746.634</v>
      </c>
      <c r="BN936" s="1277">
        <f>BO936</f>
        <v/>
      </c>
      <c r="BO936" s="1645" t="n">
        <v>750</v>
      </c>
      <c r="BP936" s="1277">
        <f>BO936</f>
        <v/>
      </c>
      <c r="BQ936" s="1277">
        <f>BP936</f>
        <v/>
      </c>
      <c r="BR936" s="1277">
        <f>BQ936</f>
        <v/>
      </c>
      <c r="BS936" s="1277">
        <f>BR936</f>
        <v/>
      </c>
      <c r="BT936" s="1297">
        <f>BS936</f>
        <v/>
      </c>
      <c r="BU936" s="1277">
        <f>BT936</f>
        <v/>
      </c>
      <c r="BV936" s="1277">
        <f>BU936</f>
        <v/>
      </c>
      <c r="BW936" s="1277">
        <f>BV936</f>
        <v/>
      </c>
      <c r="BX936" s="1277">
        <f>BW936</f>
        <v/>
      </c>
      <c r="BY936" s="1297">
        <f>BX936</f>
        <v/>
      </c>
      <c r="BZ936" s="1297">
        <f>BY936</f>
        <v/>
      </c>
      <c r="CA936" s="1297">
        <f>BZ936</f>
        <v/>
      </c>
      <c r="CB936" s="1297">
        <f>CA936</f>
        <v/>
      </c>
      <c r="CC936" s="1280" t="n"/>
    </row>
    <row r="937" ht="14.4" customFormat="1" customHeight="1" s="1275">
      <c r="A937" s="1388" t="inlineStr">
        <is>
          <t>Others</t>
        </is>
      </c>
      <c r="B937" s="1389" t="n"/>
      <c r="C937" s="1390">
        <f>185.689+137.161</f>
        <v/>
      </c>
      <c r="D937" s="1390">
        <f>254.643+126.539</f>
        <v/>
      </c>
      <c r="E937" s="1390" t="n">
        <v>403.72</v>
      </c>
      <c r="F937" s="1390" t="n">
        <v>495.15</v>
      </c>
      <c r="G937" s="1390" t="n">
        <v>694.901</v>
      </c>
      <c r="H937" s="1391" t="n">
        <v>711.901</v>
      </c>
      <c r="I937" s="1391" t="n">
        <v>771.3339999999999</v>
      </c>
      <c r="J937" s="1391" t="n">
        <v>798.772</v>
      </c>
      <c r="K937" s="1365">
        <f>L937</f>
        <v/>
      </c>
      <c r="L937" s="1390" t="n">
        <v>885.192</v>
      </c>
      <c r="M937" s="1391" t="n">
        <v>937.535</v>
      </c>
      <c r="N937" s="1391" t="n">
        <v>1449.976</v>
      </c>
      <c r="O937" s="1391" t="n">
        <v>1555.245</v>
      </c>
      <c r="P937" s="1365">
        <f>Q937</f>
        <v/>
      </c>
      <c r="Q937" s="1390" t="n">
        <v>1613.545</v>
      </c>
      <c r="R937" s="1391" t="n">
        <v>1561.713</v>
      </c>
      <c r="S937" s="1391" t="n">
        <v>1708.306</v>
      </c>
      <c r="T937" s="1391" t="n">
        <v>1689.974</v>
      </c>
      <c r="U937" s="1365">
        <f>V937</f>
        <v/>
      </c>
      <c r="V937" s="1390" t="n">
        <v>1686.542</v>
      </c>
      <c r="W937" s="1391" t="n">
        <v>1605.302</v>
      </c>
      <c r="X937" s="1391" t="n">
        <v>1708.321</v>
      </c>
      <c r="Y937" s="1391" t="n">
        <v>1736.633</v>
      </c>
      <c r="Z937" s="1365">
        <f>AA937</f>
        <v/>
      </c>
      <c r="AA937" s="1390" t="n">
        <v>1855.621</v>
      </c>
      <c r="AB937" s="1391" t="n">
        <v>1819.825</v>
      </c>
      <c r="AC937" s="1391" t="n">
        <v>2007.483</v>
      </c>
      <c r="AD937" s="1391" t="n">
        <v>2039.976</v>
      </c>
      <c r="AE937" s="1365">
        <f>AF937</f>
        <v/>
      </c>
      <c r="AF937" s="1390" t="n">
        <v>1950.989</v>
      </c>
      <c r="AG937" s="1391" t="n">
        <v>2029.105</v>
      </c>
      <c r="AH937" s="1391" t="n">
        <v>2201.551</v>
      </c>
      <c r="AI937" s="1391" t="n">
        <v>2081.256</v>
      </c>
      <c r="AJ937" s="1365">
        <f>AK937</f>
        <v/>
      </c>
      <c r="AK937" s="1390" t="n">
        <v>2128.279</v>
      </c>
      <c r="AL937" s="1391" t="n">
        <v>1922.467</v>
      </c>
      <c r="AM937" s="1391" t="n">
        <v>2143.738</v>
      </c>
      <c r="AN937" s="1391" t="n">
        <v>2280.46</v>
      </c>
      <c r="AO937" s="1365">
        <f>AP937</f>
        <v/>
      </c>
      <c r="AP937" s="1390" t="n">
        <v>2395.4</v>
      </c>
      <c r="AQ937" s="1391" t="n">
        <v>2409.411</v>
      </c>
      <c r="AR937" s="1391" t="n">
        <v>2608.325</v>
      </c>
      <c r="AS937" s="1391" t="n">
        <v>99886.871</v>
      </c>
      <c r="AT937" s="1365">
        <f>AU937</f>
        <v/>
      </c>
      <c r="AU937" s="1390" t="n">
        <v>167525.377</v>
      </c>
      <c r="AV937" s="1391" t="n">
        <v>183397.025</v>
      </c>
      <c r="AW937" s="1391" t="n">
        <v>200231.116</v>
      </c>
      <c r="AX937" s="1391" t="n">
        <v>197052.676</v>
      </c>
      <c r="AY937" s="1365">
        <f>AZ937</f>
        <v/>
      </c>
      <c r="AZ937" s="1390" t="n">
        <v>179958.116</v>
      </c>
      <c r="BA937" s="1391" t="n">
        <v>184842.906</v>
      </c>
      <c r="BB937" s="1391" t="n">
        <v>186180.401</v>
      </c>
      <c r="BC937" s="1391" t="n">
        <v>164983.505</v>
      </c>
      <c r="BD937" s="1365">
        <f>BE937</f>
        <v/>
      </c>
      <c r="BE937" s="1390" t="n">
        <v>178326.165</v>
      </c>
      <c r="BF937" s="1391" t="n">
        <v>93282.825</v>
      </c>
      <c r="BG937" s="1391" t="n">
        <v>102021.982</v>
      </c>
      <c r="BH937" s="1391" t="n">
        <v>90284.58900000001</v>
      </c>
      <c r="BI937" s="1365">
        <f>BJ937</f>
        <v/>
      </c>
      <c r="BJ937" s="1390" t="n">
        <v>104238.217</v>
      </c>
      <c r="BK937" s="1391" t="n">
        <v>105552.602</v>
      </c>
      <c r="BL937" s="1391" t="n">
        <v>87344.039</v>
      </c>
      <c r="BM937" s="1391" t="n">
        <v>83400.492</v>
      </c>
      <c r="BN937" s="1365">
        <f>BO937</f>
        <v/>
      </c>
      <c r="BO937" s="1366">
        <f>157982-SUM(BO929:BO936)</f>
        <v/>
      </c>
      <c r="BP937" s="1365">
        <f>BO937</f>
        <v/>
      </c>
      <c r="BQ937" s="1365">
        <f>BP937</f>
        <v/>
      </c>
      <c r="BR937" s="1365">
        <f>BQ937</f>
        <v/>
      </c>
      <c r="BS937" s="1365">
        <f>BR937</f>
        <v/>
      </c>
      <c r="BT937" s="1364">
        <f>BS937</f>
        <v/>
      </c>
      <c r="BU937" s="1365">
        <f>BT937</f>
        <v/>
      </c>
      <c r="BV937" s="1365">
        <f>BU937</f>
        <v/>
      </c>
      <c r="BW937" s="1365">
        <f>BV937</f>
        <v/>
      </c>
      <c r="BX937" s="1365">
        <f>BW937</f>
        <v/>
      </c>
      <c r="BY937" s="1364">
        <f>BX937</f>
        <v/>
      </c>
      <c r="BZ937" s="1364">
        <f>BY937</f>
        <v/>
      </c>
      <c r="CA937" s="1364">
        <f>BZ937</f>
        <v/>
      </c>
      <c r="CB937" s="1364">
        <f>CA937</f>
        <v/>
      </c>
      <c r="CC937" s="1280" t="n"/>
    </row>
    <row r="938" ht="14.4" customFormat="1" customHeight="1" s="1323">
      <c r="A938" s="1324" t="inlineStr">
        <is>
          <t>Total Non-Current liabilities</t>
        </is>
      </c>
      <c r="B938" s="1393" t="n"/>
      <c r="C938" s="1329">
        <f>SUM(C927:C937)</f>
        <v/>
      </c>
      <c r="D938" s="1329">
        <f>SUM(D927:D937)</f>
        <v/>
      </c>
      <c r="E938" s="1329">
        <f>SUM(E927:E937)</f>
        <v/>
      </c>
      <c r="F938" s="1329">
        <f>SUM(F927:F937)</f>
        <v/>
      </c>
      <c r="G938" s="1329">
        <f>SUM(G927:G937)</f>
        <v/>
      </c>
      <c r="H938" s="1328">
        <f>SUM(H927:H937)</f>
        <v/>
      </c>
      <c r="I938" s="1328">
        <f>SUM(I927:I937)</f>
        <v/>
      </c>
      <c r="J938" s="1328">
        <f>SUM(J927:J937)</f>
        <v/>
      </c>
      <c r="K938" s="1328">
        <f>SUM(K927:K937)</f>
        <v/>
      </c>
      <c r="L938" s="1329">
        <f>SUM(L927:L937)</f>
        <v/>
      </c>
      <c r="M938" s="1328">
        <f>SUM(M927:M937)</f>
        <v/>
      </c>
      <c r="N938" s="1328">
        <f>SUM(N927:N937)</f>
        <v/>
      </c>
      <c r="O938" s="1328">
        <f>SUM(O927:O937)</f>
        <v/>
      </c>
      <c r="P938" s="1328">
        <f>SUM(P927:P937)</f>
        <v/>
      </c>
      <c r="Q938" s="1329">
        <f>SUM(Q927:Q937)</f>
        <v/>
      </c>
      <c r="R938" s="1328">
        <f>SUM(R927:R937)</f>
        <v/>
      </c>
      <c r="S938" s="1328">
        <f>SUM(S927:S937)</f>
        <v/>
      </c>
      <c r="T938" s="1328">
        <f>SUM(T927:T937)</f>
        <v/>
      </c>
      <c r="U938" s="1328">
        <f>SUM(U927:U937)</f>
        <v/>
      </c>
      <c r="V938" s="1329">
        <f>SUM(V927:V937)</f>
        <v/>
      </c>
      <c r="W938" s="1328">
        <f>SUM(W927:W937)</f>
        <v/>
      </c>
      <c r="X938" s="1328">
        <f>SUM(X927:X937)</f>
        <v/>
      </c>
      <c r="Y938" s="1328">
        <f>SUM(Y927:Y937)</f>
        <v/>
      </c>
      <c r="Z938" s="1328">
        <f>SUM(Z927:Z937)</f>
        <v/>
      </c>
      <c r="AA938" s="1329">
        <f>SUM(AA927:AA937)</f>
        <v/>
      </c>
      <c r="AB938" s="1328">
        <f>SUM(AB927:AB937)</f>
        <v/>
      </c>
      <c r="AC938" s="1328">
        <f>SUM(AC927:AC937)</f>
        <v/>
      </c>
      <c r="AD938" s="1328">
        <f>SUM(AD927:AD937)</f>
        <v/>
      </c>
      <c r="AE938" s="1328">
        <f>SUM(AE927:AE937)</f>
        <v/>
      </c>
      <c r="AF938" s="1329">
        <f>SUM(AF927:AF937)</f>
        <v/>
      </c>
      <c r="AG938" s="1328">
        <f>SUM(AG927:AG937)</f>
        <v/>
      </c>
      <c r="AH938" s="1328">
        <f>SUM(AH927:AH937)</f>
        <v/>
      </c>
      <c r="AI938" s="1328">
        <f>SUM(AI927:AI937)</f>
        <v/>
      </c>
      <c r="AJ938" s="1328">
        <f>SUM(AJ927:AJ937)</f>
        <v/>
      </c>
      <c r="AK938" s="1329">
        <f>SUM(AK927:AK937)</f>
        <v/>
      </c>
      <c r="AL938" s="1328">
        <f>SUM(AL927:AL937)</f>
        <v/>
      </c>
      <c r="AM938" s="1328">
        <f>SUM(AM927:AM937)</f>
        <v/>
      </c>
      <c r="AN938" s="1328">
        <f>SUM(AN927:AN937)</f>
        <v/>
      </c>
      <c r="AO938" s="1328">
        <f>SUM(AO927:AO937)</f>
        <v/>
      </c>
      <c r="AP938" s="1329">
        <f>SUM(AP927:AP937)</f>
        <v/>
      </c>
      <c r="AQ938" s="1328">
        <f>SUM(AQ927:AQ937)</f>
        <v/>
      </c>
      <c r="AR938" s="1328">
        <f>SUM(AR927:AR937)</f>
        <v/>
      </c>
      <c r="AS938" s="1328">
        <f>SUM(AS927:AS937)</f>
        <v/>
      </c>
      <c r="AT938" s="1328">
        <f>SUM(AT927:AT937)</f>
        <v/>
      </c>
      <c r="AU938" s="1329">
        <f>SUM(AU927:AU937)</f>
        <v/>
      </c>
      <c r="AV938" s="1328">
        <f>SUM(AV927:AV937)</f>
        <v/>
      </c>
      <c r="AW938" s="1328">
        <f>SUM(AW927:AW937)</f>
        <v/>
      </c>
      <c r="AX938" s="1328">
        <f>SUM(AX927:AX937)</f>
        <v/>
      </c>
      <c r="AY938" s="1328">
        <f>SUM(AY927:AY937)</f>
        <v/>
      </c>
      <c r="AZ938" s="1329">
        <f>SUM(AZ927:AZ937)</f>
        <v/>
      </c>
      <c r="BA938" s="1328">
        <f>SUM(BA927:BA937)</f>
        <v/>
      </c>
      <c r="BB938" s="1328">
        <f>SUM(BB927:BB937)</f>
        <v/>
      </c>
      <c r="BC938" s="1327">
        <f>SUM(BC927:BC937)</f>
        <v/>
      </c>
      <c r="BD938" s="1328">
        <f>SUM(BD927:BD937)</f>
        <v/>
      </c>
      <c r="BE938" s="1329">
        <f>SUM(BE927:BE937)</f>
        <v/>
      </c>
      <c r="BF938" s="1328">
        <f>SUM(BF927:BF937)</f>
        <v/>
      </c>
      <c r="BG938" s="1328">
        <f>SUM(BG927:BG937)</f>
        <v/>
      </c>
      <c r="BH938" s="1327">
        <f>SUM(BH927:BH937)</f>
        <v/>
      </c>
      <c r="BI938" s="1328">
        <f>SUM(BI927:BI937)</f>
        <v/>
      </c>
      <c r="BJ938" s="1329">
        <f>SUM(BJ927:BJ937)</f>
        <v/>
      </c>
      <c r="BK938" s="1328">
        <f>SUM(BK927:BK937)</f>
        <v/>
      </c>
      <c r="BL938" s="1328">
        <f>SUM(BL927:BL937)</f>
        <v/>
      </c>
      <c r="BM938" s="1327">
        <f>SUM(BM927:BM937)</f>
        <v/>
      </c>
      <c r="BN938" s="1328">
        <f>SUM(BN927:BN937)</f>
        <v/>
      </c>
      <c r="BO938" s="1330">
        <f>SUM(BO927:BO937)</f>
        <v/>
      </c>
      <c r="BP938" s="1327">
        <f>SUM(BP927:BP937)</f>
        <v/>
      </c>
      <c r="BQ938" s="1327">
        <f>SUM(BQ927:BQ937)</f>
        <v/>
      </c>
      <c r="BR938" s="1327">
        <f>SUM(BR927:BR937)</f>
        <v/>
      </c>
      <c r="BS938" s="1327">
        <f>SUM(BS927:BS937)</f>
        <v/>
      </c>
      <c r="BT938" s="1326">
        <f>SUM(BT927:BT937)</f>
        <v/>
      </c>
      <c r="BU938" s="1327">
        <f>SUM(BU927:BU937)</f>
        <v/>
      </c>
      <c r="BV938" s="1327">
        <f>SUM(BV927:BV937)</f>
        <v/>
      </c>
      <c r="BW938" s="1327">
        <f>SUM(BW927:BW937)</f>
        <v/>
      </c>
      <c r="BX938" s="1327">
        <f>SUM(BX927:BX937)</f>
        <v/>
      </c>
      <c r="BY938" s="1326">
        <f>SUM(BY927:BY937)</f>
        <v/>
      </c>
      <c r="BZ938" s="1326">
        <f>SUM(BZ927:BZ937)</f>
        <v/>
      </c>
      <c r="CA938" s="1326">
        <f>SUM(CA927:CA937)</f>
        <v/>
      </c>
      <c r="CB938" s="1326">
        <f>SUM(CB927:CB937)</f>
        <v/>
      </c>
      <c r="CC938" s="1331" t="n"/>
    </row>
    <row r="939" ht="14.4" customFormat="1" customHeight="1" s="1323">
      <c r="A939" s="1577" t="inlineStr">
        <is>
          <t>Total Liabilities</t>
        </is>
      </c>
      <c r="B939" s="1394" t="n"/>
      <c r="C939" s="1593">
        <f>C924+C938</f>
        <v/>
      </c>
      <c r="D939" s="1593">
        <f>D924+D938</f>
        <v/>
      </c>
      <c r="E939" s="1593">
        <f>E924+E938</f>
        <v/>
      </c>
      <c r="F939" s="1593">
        <f>F924+F938</f>
        <v/>
      </c>
      <c r="G939" s="1593">
        <f>G924+G938</f>
        <v/>
      </c>
      <c r="H939" s="1331">
        <f>H924+H938</f>
        <v/>
      </c>
      <c r="I939" s="1331">
        <f>I924+I938</f>
        <v/>
      </c>
      <c r="J939" s="1331">
        <f>J924+J938</f>
        <v/>
      </c>
      <c r="K939" s="1331">
        <f>K924+K938</f>
        <v/>
      </c>
      <c r="L939" s="1593">
        <f>L924+L938</f>
        <v/>
      </c>
      <c r="M939" s="1331">
        <f>M924+M938</f>
        <v/>
      </c>
      <c r="N939" s="1331">
        <f>N924+N938</f>
        <v/>
      </c>
      <c r="O939" s="1331">
        <f>O924+O938</f>
        <v/>
      </c>
      <c r="P939" s="1331">
        <f>P924+P938</f>
        <v/>
      </c>
      <c r="Q939" s="1593">
        <f>Q924+Q938</f>
        <v/>
      </c>
      <c r="R939" s="1331">
        <f>R924+R938</f>
        <v/>
      </c>
      <c r="S939" s="1331">
        <f>S924+S938</f>
        <v/>
      </c>
      <c r="T939" s="1331">
        <f>T924+T938</f>
        <v/>
      </c>
      <c r="U939" s="1331">
        <f>U924+U938</f>
        <v/>
      </c>
      <c r="V939" s="1593">
        <f>V924+V938</f>
        <v/>
      </c>
      <c r="W939" s="1331">
        <f>W924+W938</f>
        <v/>
      </c>
      <c r="X939" s="1331">
        <f>X924+X938</f>
        <v/>
      </c>
      <c r="Y939" s="1331">
        <f>Y924+Y938</f>
        <v/>
      </c>
      <c r="Z939" s="1331">
        <f>Z924+Z938</f>
        <v/>
      </c>
      <c r="AA939" s="1593">
        <f>AA924+AA938</f>
        <v/>
      </c>
      <c r="AB939" s="1331">
        <f>AB924+AB938</f>
        <v/>
      </c>
      <c r="AC939" s="1331">
        <f>AC924+AC938</f>
        <v/>
      </c>
      <c r="AD939" s="1331">
        <f>AD924+AD938</f>
        <v/>
      </c>
      <c r="AE939" s="1331">
        <f>AE924+AE938</f>
        <v/>
      </c>
      <c r="AF939" s="1593">
        <f>AF924+AF938</f>
        <v/>
      </c>
      <c r="AG939" s="1331">
        <f>AG924+AG938</f>
        <v/>
      </c>
      <c r="AH939" s="1331">
        <f>AH924+AH938</f>
        <v/>
      </c>
      <c r="AI939" s="1331">
        <f>AI924+AI938</f>
        <v/>
      </c>
      <c r="AJ939" s="1331">
        <f>AJ924+AJ938</f>
        <v/>
      </c>
      <c r="AK939" s="1593">
        <f>AK924+AK938</f>
        <v/>
      </c>
      <c r="AL939" s="1331">
        <f>AL924+AL938</f>
        <v/>
      </c>
      <c r="AM939" s="1331">
        <f>AM924+AM938</f>
        <v/>
      </c>
      <c r="AN939" s="1331">
        <f>AN924+AN938</f>
        <v/>
      </c>
      <c r="AO939" s="1331">
        <f>AO924+AO938</f>
        <v/>
      </c>
      <c r="AP939" s="1593">
        <f>AP924+AP938</f>
        <v/>
      </c>
      <c r="AQ939" s="1331">
        <f>AQ924+AQ938</f>
        <v/>
      </c>
      <c r="AR939" s="1331">
        <f>AR924+AR938</f>
        <v/>
      </c>
      <c r="AS939" s="1331">
        <f>AS924+AS938</f>
        <v/>
      </c>
      <c r="AT939" s="1331">
        <f>AT924+AT938</f>
        <v/>
      </c>
      <c r="AU939" s="1593">
        <f>AU924+AU938</f>
        <v/>
      </c>
      <c r="AV939" s="1331">
        <f>AV924+AV938</f>
        <v/>
      </c>
      <c r="AW939" s="1331">
        <f>AW924+AW938</f>
        <v/>
      </c>
      <c r="AX939" s="1331">
        <f>AX924+AX938</f>
        <v/>
      </c>
      <c r="AY939" s="1331">
        <f>AY924+AY938</f>
        <v/>
      </c>
      <c r="AZ939" s="1593">
        <f>AZ924+AZ938</f>
        <v/>
      </c>
      <c r="BA939" s="1331">
        <f>BA924+BA938</f>
        <v/>
      </c>
      <c r="BB939" s="1331">
        <f>BB924+BB938</f>
        <v/>
      </c>
      <c r="BC939" s="1346">
        <f>BC924+BC938</f>
        <v/>
      </c>
      <c r="BD939" s="1331">
        <f>BD924+BD938</f>
        <v/>
      </c>
      <c r="BE939" s="1593">
        <f>BE924+BE938</f>
        <v/>
      </c>
      <c r="BF939" s="1331">
        <f>BF924+BF938</f>
        <v/>
      </c>
      <c r="BG939" s="1331">
        <f>BG924+BG938</f>
        <v/>
      </c>
      <c r="BH939" s="1346">
        <f>BH924+BH938</f>
        <v/>
      </c>
      <c r="BI939" s="1331">
        <f>BI924+BI938</f>
        <v/>
      </c>
      <c r="BJ939" s="1593">
        <f>BJ924+BJ938</f>
        <v/>
      </c>
      <c r="BK939" s="1331">
        <f>BK924+BK938</f>
        <v/>
      </c>
      <c r="BL939" s="1331">
        <f>BL924+BL938</f>
        <v/>
      </c>
      <c r="BM939" s="1346">
        <f>BM924+BM938</f>
        <v/>
      </c>
      <c r="BN939" s="1331">
        <f>BN924+BN938</f>
        <v/>
      </c>
      <c r="BO939" s="1578">
        <f>BO924+BO938</f>
        <v/>
      </c>
      <c r="BP939" s="1346">
        <f>BP924+BP938</f>
        <v/>
      </c>
      <c r="BQ939" s="1346">
        <f>BQ924+BQ938</f>
        <v/>
      </c>
      <c r="BR939" s="1346">
        <f>BR924+BR938</f>
        <v/>
      </c>
      <c r="BS939" s="1346">
        <f>BS924+BS938</f>
        <v/>
      </c>
      <c r="BT939" s="1345">
        <f>BT924+BT938</f>
        <v/>
      </c>
      <c r="BU939" s="1346">
        <f>BU924+BU938</f>
        <v/>
      </c>
      <c r="BV939" s="1346">
        <f>BV924+BV938</f>
        <v/>
      </c>
      <c r="BW939" s="1346">
        <f>BW924+BW938</f>
        <v/>
      </c>
      <c r="BX939" s="1346">
        <f>BX924+BX938</f>
        <v/>
      </c>
      <c r="BY939" s="1345">
        <f>BY924+BY938</f>
        <v/>
      </c>
      <c r="BZ939" s="1345">
        <f>BZ924+BZ938</f>
        <v/>
      </c>
      <c r="CA939" s="1345">
        <f>CA924+CA938</f>
        <v/>
      </c>
      <c r="CB939" s="1345">
        <f>CB924+CB938</f>
        <v/>
      </c>
      <c r="CC939" s="1331" t="n"/>
    </row>
    <row r="940" ht="14.4" customFormat="1" customHeight="1" s="1275">
      <c r="A940" s="1344" t="n"/>
      <c r="B940" s="1387" t="n"/>
      <c r="C940" s="1297" t="n"/>
      <c r="D940" s="1297" t="n"/>
      <c r="E940" s="1297" t="n"/>
      <c r="F940" s="1297" t="n"/>
      <c r="G940" s="1297" t="n"/>
      <c r="H940" s="1277" t="n"/>
      <c r="I940" s="1277" t="n"/>
      <c r="J940" s="1277" t="n"/>
      <c r="K940" s="1277" t="n"/>
      <c r="L940" s="1297" t="n"/>
      <c r="M940" s="1277" t="n"/>
      <c r="N940" s="1277" t="n"/>
      <c r="O940" s="1277" t="n"/>
      <c r="P940" s="1277" t="n"/>
      <c r="Q940" s="1297" t="n"/>
      <c r="R940" s="1277" t="n"/>
      <c r="S940" s="1277" t="n"/>
      <c r="T940" s="1277" t="n"/>
      <c r="U940" s="1277" t="n"/>
      <c r="V940" s="1297" t="n"/>
      <c r="W940" s="1277" t="n"/>
      <c r="X940" s="1277" t="n"/>
      <c r="Y940" s="1277" t="n"/>
      <c r="Z940" s="1277" t="n"/>
      <c r="AA940" s="1297" t="n"/>
      <c r="AB940" s="1277" t="n"/>
      <c r="AC940" s="1277" t="n"/>
      <c r="AD940" s="1277" t="n"/>
      <c r="AE940" s="1277" t="n"/>
      <c r="AF940" s="1297" t="n"/>
      <c r="AG940" s="1277" t="n"/>
      <c r="AH940" s="1277" t="n"/>
      <c r="AI940" s="1277" t="n"/>
      <c r="AJ940" s="1277" t="n"/>
      <c r="AK940" s="1297" t="n"/>
      <c r="AL940" s="1277" t="n"/>
      <c r="AM940" s="1277" t="n"/>
      <c r="AN940" s="1277" t="n"/>
      <c r="AO940" s="1277" t="n"/>
      <c r="AP940" s="1297" t="n"/>
      <c r="AQ940" s="1277" t="n"/>
      <c r="AR940" s="1277" t="n"/>
      <c r="AS940" s="1277" t="n"/>
      <c r="AT940" s="1277" t="n"/>
      <c r="AU940" s="1297" t="n"/>
      <c r="AV940" s="1277" t="n"/>
      <c r="AW940" s="1277" t="n"/>
      <c r="AX940" s="1277" t="n"/>
      <c r="AY940" s="1277" t="n"/>
      <c r="AZ940" s="1297" t="n"/>
      <c r="BA940" s="1277" t="n"/>
      <c r="BB940" s="1277" t="n"/>
      <c r="BC940" s="1277" t="n"/>
      <c r="BD940" s="1277" t="n"/>
      <c r="BE940" s="1297" t="n"/>
      <c r="BF940" s="1277" t="n"/>
      <c r="BG940" s="1277" t="n"/>
      <c r="BH940" s="1277" t="n"/>
      <c r="BI940" s="1277" t="n"/>
      <c r="BJ940" s="1297" t="n"/>
      <c r="BK940" s="1277" t="n"/>
      <c r="BL940" s="1277" t="n"/>
      <c r="BM940" s="1277" t="n"/>
      <c r="BN940" s="1277" t="n"/>
      <c r="BO940" s="1382" t="n"/>
      <c r="BP940" s="1277" t="n"/>
      <c r="BQ940" s="1277" t="n"/>
      <c r="BR940" s="1277" t="n"/>
      <c r="BS940" s="1277" t="n"/>
      <c r="BT940" s="1297" t="n"/>
      <c r="BU940" s="1277" t="n"/>
      <c r="BV940" s="1277" t="n"/>
      <c r="BW940" s="1277" t="n"/>
      <c r="BX940" s="1277" t="n"/>
      <c r="BY940" s="1297" t="n"/>
      <c r="BZ940" s="1297" t="n"/>
      <c r="CA940" s="1297" t="n"/>
      <c r="CB940" s="1297" t="n"/>
      <c r="CC940" s="1280" t="n"/>
    </row>
    <row r="941" ht="14.4" customFormat="1" customHeight="1" s="1275">
      <c r="A941" s="1679" t="inlineStr">
        <is>
          <t>Shareholders' Equity</t>
        </is>
      </c>
      <c r="B941" s="1387" t="n"/>
      <c r="C941" s="1297" t="n"/>
      <c r="D941" s="1297" t="n"/>
      <c r="E941" s="1297" t="n"/>
      <c r="F941" s="1297" t="n"/>
      <c r="G941" s="1297" t="n"/>
      <c r="H941" s="1277" t="n"/>
      <c r="I941" s="1277" t="n"/>
      <c r="J941" s="1277" t="n"/>
      <c r="K941" s="1277" t="n"/>
      <c r="L941" s="1297" t="n"/>
      <c r="M941" s="1277" t="n"/>
      <c r="N941" s="1277" t="n"/>
      <c r="O941" s="1277" t="n"/>
      <c r="P941" s="1277" t="n"/>
      <c r="Q941" s="1297" t="n"/>
      <c r="R941" s="1277" t="n"/>
      <c r="S941" s="1277" t="n"/>
      <c r="T941" s="1277" t="n"/>
      <c r="U941" s="1277" t="n"/>
      <c r="V941" s="1297" t="n"/>
      <c r="W941" s="1277" t="n"/>
      <c r="X941" s="1277" t="n"/>
      <c r="Y941" s="1277" t="n"/>
      <c r="Z941" s="1277" t="n"/>
      <c r="AA941" s="1297" t="n"/>
      <c r="AB941" s="1277" t="n"/>
      <c r="AC941" s="1277" t="n"/>
      <c r="AD941" s="1277" t="n"/>
      <c r="AE941" s="1277" t="n"/>
      <c r="AF941" s="1297" t="n"/>
      <c r="AG941" s="1277" t="n"/>
      <c r="AH941" s="1277" t="n"/>
      <c r="AI941" s="1277" t="n"/>
      <c r="AJ941" s="1277" t="n"/>
      <c r="AK941" s="1297" t="n"/>
      <c r="AL941" s="1277" t="n"/>
      <c r="AM941" s="1277" t="n"/>
      <c r="AN941" s="1277" t="n"/>
      <c r="AO941" s="1277" t="n"/>
      <c r="AP941" s="1297" t="n"/>
      <c r="AQ941" s="1277" t="n"/>
      <c r="AR941" s="1277" t="n"/>
      <c r="AS941" s="1277" t="n"/>
      <c r="AT941" s="1277" t="n"/>
      <c r="AU941" s="1297" t="n"/>
      <c r="AV941" s="1277" t="n"/>
      <c r="AW941" s="1277" t="n"/>
      <c r="AX941" s="1277" t="n"/>
      <c r="AY941" s="1277" t="n"/>
      <c r="AZ941" s="1297" t="n"/>
      <c r="BA941" s="1277" t="n"/>
      <c r="BB941" s="1277" t="n"/>
      <c r="BC941" s="1277" t="n"/>
      <c r="BD941" s="1277" t="n"/>
      <c r="BE941" s="1297" t="n"/>
      <c r="BF941" s="1277" t="n"/>
      <c r="BG941" s="1277" t="n"/>
      <c r="BH941" s="1277" t="n"/>
      <c r="BI941" s="1277" t="n"/>
      <c r="BJ941" s="1297" t="n"/>
      <c r="BK941" s="1277" t="n"/>
      <c r="BL941" s="1277" t="n"/>
      <c r="BM941" s="1277" t="n"/>
      <c r="BN941" s="1277" t="n"/>
      <c r="BO941" s="1382" t="n"/>
      <c r="BP941" s="1277" t="n"/>
      <c r="BQ941" s="1277" t="n"/>
      <c r="BR941" s="1277" t="n"/>
      <c r="BS941" s="1277" t="n"/>
      <c r="BT941" s="1297" t="n"/>
      <c r="BU941" s="1277" t="n"/>
      <c r="BV941" s="1277" t="n"/>
      <c r="BW941" s="1277" t="n"/>
      <c r="BX941" s="1277" t="n"/>
      <c r="BY941" s="1297" t="n"/>
      <c r="BZ941" s="1297" t="n"/>
      <c r="CA941" s="1297" t="n"/>
      <c r="CB941" s="1297" t="n"/>
      <c r="CC941" s="1280" t="n"/>
    </row>
    <row r="942" ht="14.4" customFormat="1" customHeight="1" s="1275">
      <c r="A942" s="1295" t="inlineStr">
        <is>
          <t>Capital stock</t>
        </is>
      </c>
      <c r="B942" s="1387" t="n"/>
      <c r="C942" s="1299" t="n">
        <v>259027.066</v>
      </c>
      <c r="D942" s="1299" t="n">
        <v>259100.787</v>
      </c>
      <c r="E942" s="1299" t="n">
        <v>259162.226</v>
      </c>
      <c r="F942" s="1299" t="n">
        <v>259244.357</v>
      </c>
      <c r="G942" s="1299" t="n">
        <v>259286.171</v>
      </c>
      <c r="H942" s="1298" t="n">
        <v>259291.239</v>
      </c>
      <c r="I942" s="1298" t="n">
        <v>259293.75</v>
      </c>
      <c r="J942" s="1298" t="n">
        <v>259293.75</v>
      </c>
      <c r="K942" s="1280">
        <f>L942</f>
        <v/>
      </c>
      <c r="L942" s="1299" t="n">
        <v>259296.624</v>
      </c>
      <c r="M942" s="1298" t="n">
        <v>259303.02</v>
      </c>
      <c r="N942" s="1298" t="n">
        <v>259303.805</v>
      </c>
      <c r="O942" s="1298" t="n">
        <v>259303.805</v>
      </c>
      <c r="P942" s="1280">
        <f>Q942</f>
        <v/>
      </c>
      <c r="Q942" s="1299" t="n">
        <v>259303.805</v>
      </c>
      <c r="R942" s="1298" t="n">
        <v>259303.805</v>
      </c>
      <c r="S942" s="1298" t="n">
        <v>259303.805</v>
      </c>
      <c r="T942" s="1298" t="n">
        <v>259303.805</v>
      </c>
      <c r="U942" s="1280">
        <f>V942</f>
        <v/>
      </c>
      <c r="V942" s="1299" t="n">
        <v>259303.805</v>
      </c>
      <c r="W942" s="1298" t="n">
        <v>259303.805</v>
      </c>
      <c r="X942" s="1298" t="n">
        <v>259303.805</v>
      </c>
      <c r="Y942" s="1298" t="n">
        <v>259303.805</v>
      </c>
      <c r="Z942" s="1280">
        <f>AA942</f>
        <v/>
      </c>
      <c r="AA942" s="1299" t="n">
        <v>259303.805</v>
      </c>
      <c r="AB942" s="1298" t="n">
        <v>259303.805</v>
      </c>
      <c r="AC942" s="1298" t="n">
        <v>259303.805</v>
      </c>
      <c r="AD942" s="1298" t="n">
        <v>259303.805</v>
      </c>
      <c r="AE942" s="1280">
        <f>AF942</f>
        <v/>
      </c>
      <c r="AF942" s="1299" t="n">
        <v>259303.805</v>
      </c>
      <c r="AG942" s="1298" t="n">
        <v>259303.805</v>
      </c>
      <c r="AH942" s="1298" t="n">
        <v>259303.805</v>
      </c>
      <c r="AI942" s="1298" t="n">
        <v>259303.805</v>
      </c>
      <c r="AJ942" s="1280">
        <f>AK942</f>
        <v/>
      </c>
      <c r="AK942" s="1299" t="n">
        <v>259303.805</v>
      </c>
      <c r="AL942" s="1298" t="n">
        <v>259303.805</v>
      </c>
      <c r="AM942" s="1298" t="n">
        <v>259303.805</v>
      </c>
      <c r="AN942" s="1298" t="n">
        <v>259303.805</v>
      </c>
      <c r="AO942" s="1280">
        <f>AP942</f>
        <v/>
      </c>
      <c r="AP942" s="1299" t="n">
        <v>259303.805</v>
      </c>
      <c r="AQ942" s="1298" t="n">
        <v>259303.805</v>
      </c>
      <c r="AR942" s="1298" t="n">
        <v>259303.805</v>
      </c>
      <c r="AS942" s="1298" t="n">
        <v>259303.805</v>
      </c>
      <c r="AT942" s="1280">
        <f>AU942</f>
        <v/>
      </c>
      <c r="AU942" s="1299" t="n">
        <v>259303.805</v>
      </c>
      <c r="AV942" s="1298" t="n">
        <v>259317.675</v>
      </c>
      <c r="AW942" s="1298" t="n">
        <v>259303.805</v>
      </c>
      <c r="AX942" s="1298" t="n">
        <v>259303.805</v>
      </c>
      <c r="AY942" s="1280">
        <f>AZ942</f>
        <v/>
      </c>
      <c r="AZ942" s="1299" t="n">
        <v>259303.805</v>
      </c>
      <c r="BA942" s="1298" t="n">
        <v>259320.71</v>
      </c>
      <c r="BB942" s="1298" t="n">
        <v>259320.71</v>
      </c>
      <c r="BC942" s="1298" t="n">
        <v>259320.71</v>
      </c>
      <c r="BD942" s="1280">
        <f>BE942</f>
        <v/>
      </c>
      <c r="BE942" s="1299" t="n">
        <v>259320.71</v>
      </c>
      <c r="BF942" s="1298" t="n">
        <v>259336.292</v>
      </c>
      <c r="BG942" s="1298" t="n">
        <v>259336.292</v>
      </c>
      <c r="BH942" s="1298" t="n">
        <v>259327.332</v>
      </c>
      <c r="BI942" s="1280">
        <f>BJ942</f>
        <v/>
      </c>
      <c r="BJ942" s="1299" t="n">
        <v>259327.332</v>
      </c>
      <c r="BK942" s="1298" t="n">
        <v>259326.155</v>
      </c>
      <c r="BL942" s="1298" t="n">
        <v>259326.155</v>
      </c>
      <c r="BM942" s="1298" t="n">
        <v>259325.245</v>
      </c>
      <c r="BN942" s="1280">
        <f>BO942</f>
        <v/>
      </c>
      <c r="BO942" s="1645" t="n">
        <v>259325</v>
      </c>
      <c r="BP942" s="1277">
        <f>BO942+BP803</f>
        <v/>
      </c>
      <c r="BQ942" s="1277">
        <f>BP942+BQ803</f>
        <v/>
      </c>
      <c r="BR942" s="1277">
        <f>BQ942+BR803</f>
        <v/>
      </c>
      <c r="BS942" s="1277">
        <f>BR942+BS803</f>
        <v/>
      </c>
      <c r="BT942" s="1297">
        <f>BS942</f>
        <v/>
      </c>
      <c r="BU942" s="1277">
        <f>BT942+BU803</f>
        <v/>
      </c>
      <c r="BV942" s="1277">
        <f>BU942+BV803</f>
        <v/>
      </c>
      <c r="BW942" s="1277">
        <f>BV942+BW803</f>
        <v/>
      </c>
      <c r="BX942" s="1277">
        <f>BW942+BX803</f>
        <v/>
      </c>
      <c r="BY942" s="1297">
        <f>BX942</f>
        <v/>
      </c>
      <c r="BZ942" s="1297">
        <f>BY942+BZ803</f>
        <v/>
      </c>
      <c r="CA942" s="1297">
        <f>BZ942+CA803</f>
        <v/>
      </c>
      <c r="CB942" s="1297">
        <f>CA942+CB803</f>
        <v/>
      </c>
      <c r="CC942" s="1280" t="n"/>
    </row>
    <row r="943" ht="14.4" customFormat="1" customHeight="1" s="1275">
      <c r="A943" s="1295" t="inlineStr">
        <is>
          <t>Capital surplus</t>
        </is>
      </c>
      <c r="B943" s="1387" t="n"/>
      <c r="C943" s="1299" t="n">
        <v>55486.01</v>
      </c>
      <c r="D943" s="1299" t="n">
        <v>55698.434</v>
      </c>
      <c r="E943" s="1299" t="n">
        <v>55846.357</v>
      </c>
      <c r="F943" s="1299" t="n">
        <v>55675.34</v>
      </c>
      <c r="G943" s="1299" t="n">
        <v>55858.626</v>
      </c>
      <c r="H943" s="1298" t="n">
        <v>55835.28</v>
      </c>
      <c r="I943" s="1298" t="n">
        <v>56026.837</v>
      </c>
      <c r="J943" s="1298" t="n">
        <v>55944.799</v>
      </c>
      <c r="K943" s="1280">
        <f>L943</f>
        <v/>
      </c>
      <c r="L943" s="1299" t="n">
        <v>55989.922</v>
      </c>
      <c r="M943" s="1298" t="n">
        <v>56274.436</v>
      </c>
      <c r="N943" s="1298" t="n">
        <v>56532.959</v>
      </c>
      <c r="O943" s="1298" t="n">
        <v>56298.728</v>
      </c>
      <c r="P943" s="1280">
        <f>Q943</f>
        <v/>
      </c>
      <c r="Q943" s="1299" t="n">
        <v>56300.215</v>
      </c>
      <c r="R943" s="1298" t="n">
        <v>56317.375</v>
      </c>
      <c r="S943" s="1298" t="n">
        <v>56263.141</v>
      </c>
      <c r="T943" s="1298" t="n">
        <v>56269.958</v>
      </c>
      <c r="U943" s="1280">
        <f>V943</f>
        <v/>
      </c>
      <c r="V943" s="1299" t="n">
        <v>56272.304</v>
      </c>
      <c r="W943" s="1298" t="n">
        <v>56282.118</v>
      </c>
      <c r="X943" s="1298" t="n">
        <v>56282.78</v>
      </c>
      <c r="Y943" s="1298" t="n">
        <v>56281.271</v>
      </c>
      <c r="Z943" s="1280">
        <f>AA943</f>
        <v/>
      </c>
      <c r="AA943" s="1299" t="n">
        <v>56309.536</v>
      </c>
      <c r="AB943" s="1298" t="n">
        <v>56305.751</v>
      </c>
      <c r="AC943" s="1298" t="n">
        <v>56307.72</v>
      </c>
      <c r="AD943" s="1298" t="n">
        <v>56311.659</v>
      </c>
      <c r="AE943" s="1280">
        <f>AF943</f>
        <v/>
      </c>
      <c r="AF943" s="1299" t="n">
        <v>56315.932</v>
      </c>
      <c r="AG943" s="1298" t="n">
        <v>56320.688</v>
      </c>
      <c r="AH943" s="1298" t="n">
        <v>56320.929</v>
      </c>
      <c r="AI943" s="1298" t="n">
        <v>56320.929</v>
      </c>
      <c r="AJ943" s="1280">
        <f>AK943</f>
        <v/>
      </c>
      <c r="AK943" s="1299" t="n">
        <v>56339.709</v>
      </c>
      <c r="AL943" s="1298" t="n">
        <v>56339.785</v>
      </c>
      <c r="AM943" s="1298" t="n">
        <v>56339.981</v>
      </c>
      <c r="AN943" s="1298" t="n">
        <v>56339.982</v>
      </c>
      <c r="AO943" s="1280">
        <f>AP943</f>
        <v/>
      </c>
      <c r="AP943" s="1299" t="n">
        <v>56347.243</v>
      </c>
      <c r="AQ943" s="1298" t="n">
        <v>64753.607</v>
      </c>
      <c r="AR943" s="1298" t="n">
        <v>64753.836</v>
      </c>
      <c r="AS943" s="1298" t="n">
        <v>64746.864</v>
      </c>
      <c r="AT943" s="1280">
        <f>AU943</f>
        <v/>
      </c>
      <c r="AU943" s="1299" t="n">
        <v>64761.602</v>
      </c>
      <c r="AV943" s="1298" t="n">
        <v>65215.135</v>
      </c>
      <c r="AW943" s="1298" t="n">
        <v>69333.64999999999</v>
      </c>
      <c r="AX943" s="1298" t="n">
        <v>69316.391</v>
      </c>
      <c r="AY943" s="1280">
        <f>AZ943</f>
        <v/>
      </c>
      <c r="AZ943" s="1299" t="n">
        <v>69330.32799999999</v>
      </c>
      <c r="BA943" s="1298" t="n">
        <v>69894.44100000001</v>
      </c>
      <c r="BB943" s="1298" t="n">
        <v>69895.542</v>
      </c>
      <c r="BC943" s="1298" t="n">
        <v>69879.21799999999</v>
      </c>
      <c r="BD943" s="1280">
        <f>BE943</f>
        <v/>
      </c>
      <c r="BE943" s="1299" t="n">
        <v>69876.38099999999</v>
      </c>
      <c r="BF943" s="1298" t="n">
        <v>70940.489</v>
      </c>
      <c r="BG943" s="1298" t="n">
        <v>70940.67600000001</v>
      </c>
      <c r="BH943" s="1298" t="n">
        <v>72390.17200000001</v>
      </c>
      <c r="BI943" s="1280">
        <f>BJ943</f>
        <v/>
      </c>
      <c r="BJ943" s="1299" t="n">
        <v>73260.765</v>
      </c>
      <c r="BK943" s="1298" t="n">
        <v>73307.18700000001</v>
      </c>
      <c r="BL943" s="1298" t="n">
        <v>73326.265</v>
      </c>
      <c r="BM943" s="1298" t="n">
        <v>73361.113</v>
      </c>
      <c r="BN943" s="1280">
        <f>BO943</f>
        <v/>
      </c>
      <c r="BO943" s="1645" t="n">
        <v>73446</v>
      </c>
      <c r="BP943" s="1277">
        <f>BO943+BP687</f>
        <v/>
      </c>
      <c r="BQ943" s="1277">
        <f>BP943+BQ687</f>
        <v/>
      </c>
      <c r="BR943" s="1277">
        <f>BQ943+BR687</f>
        <v/>
      </c>
      <c r="BS943" s="1277">
        <f>BR943+BS687</f>
        <v/>
      </c>
      <c r="BT943" s="1297">
        <f>BS943</f>
        <v/>
      </c>
      <c r="BU943" s="1277">
        <f>BT943+BU687</f>
        <v/>
      </c>
      <c r="BV943" s="1277">
        <f>BU943+BV687</f>
        <v/>
      </c>
      <c r="BW943" s="1277">
        <f>BV943+BW687</f>
        <v/>
      </c>
      <c r="BX943" s="1277">
        <f>BW943+BX687</f>
        <v/>
      </c>
      <c r="BY943" s="1297">
        <f>BX943</f>
        <v/>
      </c>
      <c r="BZ943" s="1297">
        <f>BY943+BZ687</f>
        <v/>
      </c>
      <c r="CA943" s="1297">
        <f>BZ943+CA687</f>
        <v/>
      </c>
      <c r="CB943" s="1297">
        <f>CA943+CB687</f>
        <v/>
      </c>
      <c r="CC943" s="1280" t="n"/>
    </row>
    <row r="944" hidden="1" outlineLevel="1" ht="14.4" customFormat="1" customHeight="1" s="1275">
      <c r="A944" s="1590" t="inlineStr">
        <is>
          <t>Appropriated as legal capital reserve</t>
        </is>
      </c>
      <c r="B944" s="1387" t="n"/>
      <c r="C944" s="1299" t="n">
        <v>77317.71000000001</v>
      </c>
      <c r="D944" s="1299" t="n">
        <v>86239.49400000001</v>
      </c>
      <c r="E944" s="1299" t="n">
        <v>102399.995</v>
      </c>
      <c r="F944" s="1299" t="n">
        <v>115820.123</v>
      </c>
      <c r="G944" s="1299" t="n">
        <v>132436.003</v>
      </c>
      <c r="H944" s="1298" t="n">
        <v>132436.003</v>
      </c>
      <c r="I944" s="1298" t="n">
        <v>151250.682</v>
      </c>
      <c r="J944" s="1298" t="n">
        <v>151250.682</v>
      </c>
      <c r="K944" s="1280">
        <f>L944</f>
        <v/>
      </c>
      <c r="L944" s="1299" t="n">
        <v>151250.682</v>
      </c>
      <c r="M944" s="1298" t="n">
        <v>151250.682</v>
      </c>
      <c r="N944" s="1298" t="n">
        <v>177640.561</v>
      </c>
      <c r="O944" s="1298" t="n">
        <v>177640.561</v>
      </c>
      <c r="P944" s="1280">
        <f>Q944</f>
        <v/>
      </c>
      <c r="Q944" s="1299" t="n">
        <v>177640.561</v>
      </c>
      <c r="R944" s="1298" t="n">
        <v>177640.561</v>
      </c>
      <c r="S944" s="1298" t="n">
        <v>208297.945</v>
      </c>
      <c r="T944" s="1298" t="n">
        <v>208297.945</v>
      </c>
      <c r="U944" s="1280">
        <f>V944</f>
        <v/>
      </c>
      <c r="V944" s="1299" t="n">
        <v>208297.945</v>
      </c>
      <c r="W944" s="1298" t="n">
        <v>208297.945</v>
      </c>
      <c r="X944" s="1298" t="n">
        <v>241722.663</v>
      </c>
      <c r="Y944" s="1298" t="n">
        <v>241722.663</v>
      </c>
      <c r="Z944" s="1280">
        <f>AA944</f>
        <v/>
      </c>
      <c r="AA944" s="1299" t="n">
        <v>241722.663</v>
      </c>
      <c r="AB944" s="1298" t="n">
        <v>241722.663</v>
      </c>
      <c r="AC944" s="1298" t="n">
        <v>276033.811</v>
      </c>
      <c r="AD944" s="1298" t="n">
        <v>276033.811</v>
      </c>
      <c r="AE944" s="1280">
        <f>AF944</f>
        <v/>
      </c>
      <c r="AF944" s="1299" t="n">
        <v>276033.811</v>
      </c>
      <c r="AG944" s="1298" t="n">
        <v>276033.811</v>
      </c>
      <c r="AH944" s="1298" t="n">
        <v>311146.899</v>
      </c>
      <c r="AI944" s="1298" t="n">
        <v>311146.899</v>
      </c>
      <c r="AJ944" s="1280">
        <f>AK944</f>
        <v/>
      </c>
      <c r="AK944" s="1299" t="n">
        <v>311146.899</v>
      </c>
      <c r="AL944" s="1298" t="n">
        <v>311146.899</v>
      </c>
      <c r="AM944" s="1298" t="n">
        <v>311146.899</v>
      </c>
      <c r="AN944" s="1298" t="n">
        <v>311146.899</v>
      </c>
      <c r="AO944" s="1280">
        <f>AP944</f>
        <v/>
      </c>
      <c r="AP944" s="1299" t="n">
        <v>311146.899</v>
      </c>
      <c r="AQ944" s="1298" t="n">
        <v>311146.899</v>
      </c>
      <c r="AR944" s="1298" t="n">
        <v>311146.899</v>
      </c>
      <c r="AS944" s="1298" t="n">
        <v>311146.899</v>
      </c>
      <c r="AT944" s="1280">
        <f>AU944</f>
        <v/>
      </c>
      <c r="AU944" s="1299" t="n">
        <v>311146.899</v>
      </c>
      <c r="AV944" s="1298" t="n">
        <v>311146.899</v>
      </c>
      <c r="AW944" s="1298" t="n">
        <v>311146.899</v>
      </c>
      <c r="AX944" s="1298" t="n">
        <v>311146.899</v>
      </c>
      <c r="AY944" s="1280">
        <f>AZ944</f>
        <v/>
      </c>
      <c r="AZ944" s="1299" t="n">
        <v>311146.899</v>
      </c>
      <c r="BA944" s="1298" t="n">
        <v>311146.899</v>
      </c>
      <c r="BB944" s="1298" t="n">
        <v>311146.899</v>
      </c>
      <c r="BC944" s="1298" t="n">
        <v>311146.899</v>
      </c>
      <c r="BD944" s="1280">
        <f>BE944</f>
        <v/>
      </c>
      <c r="BE944" s="1299" t="n">
        <v>311146.899</v>
      </c>
      <c r="BF944" s="1298" t="n">
        <v>311146.899</v>
      </c>
      <c r="BG944" s="1298" t="n">
        <v>311146.899</v>
      </c>
      <c r="BH944" s="1298" t="n">
        <v>311146.899</v>
      </c>
      <c r="BI944" s="1280">
        <f>BJ944</f>
        <v/>
      </c>
      <c r="BJ944" s="1299" t="n">
        <v>311146.899</v>
      </c>
      <c r="BK944" s="1298" t="n">
        <v>311146.899</v>
      </c>
      <c r="BL944" s="1298" t="n">
        <v>311146.899</v>
      </c>
      <c r="BM944" s="1298" t="n">
        <v>311146.899</v>
      </c>
      <c r="BN944" s="1280">
        <f>BO944</f>
        <v/>
      </c>
      <c r="BO944" s="1645" t="n">
        <v>311147</v>
      </c>
      <c r="BP944" s="1277">
        <f>BO944+BP682</f>
        <v/>
      </c>
      <c r="BQ944" s="1277">
        <f>BP944+BQ682</f>
        <v/>
      </c>
      <c r="BR944" s="1277">
        <f>BQ944+BR682</f>
        <v/>
      </c>
      <c r="BS944" s="1277">
        <f>BR944+BS682</f>
        <v/>
      </c>
      <c r="BT944" s="1297">
        <f>BS944</f>
        <v/>
      </c>
      <c r="BU944" s="1277">
        <f>BT944+BU682</f>
        <v/>
      </c>
      <c r="BV944" s="1277">
        <f>BU944+BV682</f>
        <v/>
      </c>
      <c r="BW944" s="1277">
        <f>BV944+BW682</f>
        <v/>
      </c>
      <c r="BX944" s="1277">
        <f>BW944+BX682</f>
        <v/>
      </c>
      <c r="BY944" s="1297">
        <f>BX944</f>
        <v/>
      </c>
      <c r="BZ944" s="1297">
        <f>BY944+BZ682</f>
        <v/>
      </c>
      <c r="CA944" s="1297">
        <f>BZ944+CA682</f>
        <v/>
      </c>
      <c r="CB944" s="1297">
        <f>CA944+CB682</f>
        <v/>
      </c>
      <c r="CC944" s="1280" t="n"/>
    </row>
    <row r="945" hidden="1" outlineLevel="1" ht="14.4" customFormat="1" customHeight="1" s="1275">
      <c r="A945" s="1590" t="inlineStr">
        <is>
          <t>Appropriated as special capital reserve</t>
        </is>
      </c>
      <c r="B945" s="1387" t="n"/>
      <c r="C945" s="1297" t="n"/>
      <c r="D945" s="1299" t="n">
        <v>1313.047</v>
      </c>
      <c r="E945" s="1299" t="n">
        <v>6433.874</v>
      </c>
      <c r="F945" s="1299" t="n">
        <v>7606.224</v>
      </c>
      <c r="G945" s="1299" t="n">
        <v>2785.741</v>
      </c>
      <c r="H945" s="1298" t="n">
        <v>2785.741</v>
      </c>
      <c r="I945" s="1277" t="n"/>
      <c r="J945" s="1277" t="n"/>
      <c r="K945" s="1280">
        <f>L945</f>
        <v/>
      </c>
      <c r="L945" s="1297" t="n"/>
      <c r="M945" s="1277" t="n"/>
      <c r="N945" s="1277" t="n"/>
      <c r="O945" s="1277" t="n"/>
      <c r="P945" s="1280">
        <f>Q945</f>
        <v/>
      </c>
      <c r="Q945" s="1297" t="n"/>
      <c r="R945" s="1277" t="n"/>
      <c r="S945" s="1277" t="n"/>
      <c r="T945" s="1277" t="n"/>
      <c r="U945" s="1280">
        <f>V945</f>
        <v/>
      </c>
      <c r="V945" s="1297" t="n"/>
      <c r="W945" s="1277" t="n"/>
      <c r="X945" s="1277" t="n"/>
      <c r="Y945" s="1277" t="n"/>
      <c r="Z945" s="1280">
        <f>AA945</f>
        <v/>
      </c>
      <c r="AA945" s="1297" t="n"/>
      <c r="AB945" s="1277" t="n"/>
      <c r="AC945" s="1298" t="n">
        <v>26907.527</v>
      </c>
      <c r="AD945" s="1298" t="n">
        <v>26907.527</v>
      </c>
      <c r="AE945" s="1280">
        <f>AF945</f>
        <v/>
      </c>
      <c r="AF945" s="1299" t="n">
        <v>26907.527</v>
      </c>
      <c r="AG945" s="1298" t="n">
        <v>26907.527</v>
      </c>
      <c r="AH945" s="1298" t="n">
        <v>10724.13</v>
      </c>
      <c r="AI945" s="1298" t="n">
        <v>7385.94</v>
      </c>
      <c r="AJ945" s="1280">
        <f>AK945</f>
        <v/>
      </c>
      <c r="AK945" s="1299" t="n">
        <v>10675.106</v>
      </c>
      <c r="AL945" s="1298" t="n">
        <v>27568.179</v>
      </c>
      <c r="AM945" s="1298" t="n">
        <v>24873.338</v>
      </c>
      <c r="AN945" s="1298" t="n">
        <v>36757.795</v>
      </c>
      <c r="AO945" s="1280">
        <f>AP945</f>
        <v/>
      </c>
      <c r="AP945" s="1299" t="n">
        <v>42259.146</v>
      </c>
      <c r="AQ945" s="1298" t="n">
        <v>54679.873</v>
      </c>
      <c r="AR945" s="1298" t="n">
        <v>48392.823</v>
      </c>
      <c r="AS945" s="1298" t="n">
        <v>58594.043</v>
      </c>
      <c r="AT945" s="1280">
        <f>AU945</f>
        <v/>
      </c>
      <c r="AU945" s="1299" t="n">
        <v>59304.212</v>
      </c>
      <c r="AV945" s="1298" t="n">
        <v>62608.515</v>
      </c>
      <c r="AW945" s="1298" t="n">
        <v>47067.461</v>
      </c>
      <c r="AX945" s="1298" t="n">
        <v>35064.663</v>
      </c>
      <c r="AY945" s="1280">
        <f>AZ945</f>
        <v/>
      </c>
      <c r="AZ945" s="1299" t="n">
        <v>3154.31</v>
      </c>
      <c r="BA945" s="1298" t="n">
        <v>20320.473</v>
      </c>
      <c r="BB945" s="1298" t="n">
        <v>23593.925</v>
      </c>
      <c r="BC945" s="1298" t="n">
        <v>17228.363</v>
      </c>
      <c r="BD945" s="1280">
        <f>BE945</f>
        <v/>
      </c>
      <c r="BE945" s="1299" t="n">
        <v>0</v>
      </c>
      <c r="BF945" s="1298" t="n">
        <v>28020.822</v>
      </c>
      <c r="BG945" s="1298" t="n">
        <v>0</v>
      </c>
      <c r="BH945" s="1277" t="n"/>
      <c r="BI945" s="1280">
        <f>BJ945</f>
        <v/>
      </c>
      <c r="BJ945" s="1297" t="n"/>
      <c r="BK945" s="1277" t="n"/>
      <c r="BL945" s="1277" t="n"/>
      <c r="BM945" s="1298" t="n">
        <v>181554.848</v>
      </c>
      <c r="BN945" s="1280">
        <f>BO945</f>
        <v/>
      </c>
      <c r="BO945" s="1645" t="n">
        <v>87284</v>
      </c>
      <c r="BP945" s="1277">
        <f>BO945</f>
        <v/>
      </c>
      <c r="BQ945" s="1277">
        <f>BP945</f>
        <v/>
      </c>
      <c r="BR945" s="1277">
        <f>BQ945</f>
        <v/>
      </c>
      <c r="BS945" s="1277">
        <f>BR945</f>
        <v/>
      </c>
      <c r="BT945" s="1297">
        <f>BS945</f>
        <v/>
      </c>
      <c r="BU945" s="1277">
        <f>BT945</f>
        <v/>
      </c>
      <c r="BV945" s="1277">
        <f>BU945</f>
        <v/>
      </c>
      <c r="BW945" s="1277">
        <f>BV945</f>
        <v/>
      </c>
      <c r="BX945" s="1277">
        <f>BW945</f>
        <v/>
      </c>
      <c r="BY945" s="1297">
        <f>BX945</f>
        <v/>
      </c>
      <c r="BZ945" s="1297">
        <f>BY945</f>
        <v/>
      </c>
      <c r="CA945" s="1297">
        <f>BZ945</f>
        <v/>
      </c>
      <c r="CB945" s="1297">
        <f>CA945</f>
        <v/>
      </c>
      <c r="CC945" s="1280" t="n"/>
    </row>
    <row r="946" hidden="1" outlineLevel="1" ht="14.4" customFormat="1" customHeight="1" s="1275">
      <c r="A946" s="1591" t="inlineStr">
        <is>
          <t>Unappropriated earnings</t>
        </is>
      </c>
      <c r="B946" s="1389" t="n"/>
      <c r="C946" s="1390" t="n">
        <v>104564.972</v>
      </c>
      <c r="D946" s="1390" t="n">
        <v>178227.03</v>
      </c>
      <c r="E946" s="1390" t="n">
        <v>213357.286</v>
      </c>
      <c r="F946" s="1390" t="n">
        <v>284985.121</v>
      </c>
      <c r="G946" s="1390" t="n">
        <v>382971.408</v>
      </c>
      <c r="H946" s="1391" t="n">
        <v>431536.961</v>
      </c>
      <c r="I946" s="1391" t="n">
        <v>397420.475</v>
      </c>
      <c r="J946" s="1391" t="n">
        <v>473751.73</v>
      </c>
      <c r="K946" s="1464">
        <f>L946</f>
        <v/>
      </c>
      <c r="L946" s="1390" t="n">
        <v>553914.5919999999</v>
      </c>
      <c r="M946" s="1391" t="n">
        <v>632904.503</v>
      </c>
      <c r="N946" s="1391" t="n">
        <v>569248.657</v>
      </c>
      <c r="O946" s="1391" t="n">
        <v>644577.8810000001</v>
      </c>
      <c r="P946" s="1464">
        <f>Q946</f>
        <v/>
      </c>
      <c r="Q946" s="1390" t="n">
        <v>716653.025</v>
      </c>
      <c r="R946" s="1391" t="n">
        <v>781434.518</v>
      </c>
      <c r="S946" s="1391" t="n">
        <v>667701.172</v>
      </c>
      <c r="T946" s="1391" t="n">
        <v>764460.228</v>
      </c>
      <c r="U946" s="1464">
        <f>V946</f>
        <v/>
      </c>
      <c r="V946" s="1390" t="n">
        <v>863710.224</v>
      </c>
      <c r="W946" s="1391" t="n">
        <v>951339.122</v>
      </c>
      <c r="X946" s="1391" t="n">
        <v>802672.76</v>
      </c>
      <c r="Y946" s="1391" t="n">
        <v>892598.197</v>
      </c>
      <c r="Z946" s="1464">
        <f>AA946</f>
        <v/>
      </c>
      <c r="AA946" s="1390" t="n">
        <v>991639.347</v>
      </c>
      <c r="AB946" s="1391" t="n">
        <v>1082967.237</v>
      </c>
      <c r="AC946" s="1391" t="n">
        <v>886529.173</v>
      </c>
      <c r="AD946" s="1391" t="n">
        <v>974796.321</v>
      </c>
      <c r="AE946" s="1464">
        <f>AF946</f>
        <v/>
      </c>
      <c r="AF946" s="1390" t="n">
        <v>1073706.503</v>
      </c>
      <c r="AG946" s="1391" t="n">
        <v>1135004.816</v>
      </c>
      <c r="AH946" s="1391" t="n">
        <v>923704.7560000001</v>
      </c>
      <c r="AI946" s="1391" t="n">
        <v>963373.599</v>
      </c>
      <c r="AJ946" s="1464">
        <f>AK946</f>
        <v/>
      </c>
      <c r="AK946" s="1390" t="n">
        <v>1011512.974</v>
      </c>
      <c r="AL946" s="1391" t="n">
        <v>1046780.67</v>
      </c>
      <c r="AM946" s="1391" t="n">
        <v>1105471.753</v>
      </c>
      <c r="AN946" s="1391" t="n">
        <v>1166071.694</v>
      </c>
      <c r="AO946" s="1464">
        <f>AP946</f>
        <v/>
      </c>
      <c r="AP946" s="1390" t="n">
        <v>1235280.036</v>
      </c>
      <c r="AQ946" s="1391" t="n">
        <v>1297445.035</v>
      </c>
      <c r="AR946" s="1391" t="n">
        <v>1366782.481</v>
      </c>
      <c r="AS946" s="1391" t="n">
        <v>1441532.663</v>
      </c>
      <c r="AT946" s="1464">
        <f>AU946</f>
        <v/>
      </c>
      <c r="AU946" s="1390" t="n">
        <v>1536378.55</v>
      </c>
      <c r="AV946" s="1391" t="n">
        <v>1664506.123</v>
      </c>
      <c r="AW946" s="1391" t="n">
        <v>1844911.241</v>
      </c>
      <c r="AX946" s="1391" t="n">
        <v>2066562.035</v>
      </c>
      <c r="AY946" s="1464">
        <f>AZ946</f>
        <v/>
      </c>
      <c r="AZ946" s="1390" t="n">
        <v>2323223.479</v>
      </c>
      <c r="BA946" s="1391" t="n">
        <v>2441820.698</v>
      </c>
      <c r="BB946" s="1391" t="n">
        <v>2542569.779</v>
      </c>
      <c r="BC946" s="1391" t="n">
        <v>2682157.537</v>
      </c>
      <c r="BD946" s="1464">
        <f>BE946</f>
        <v/>
      </c>
      <c r="BE946" s="1390" t="n">
        <v>2846883.893</v>
      </c>
      <c r="BF946" s="1391" t="n">
        <v>2955395.983</v>
      </c>
      <c r="BG946" s="1391" t="n">
        <v>3127527.816</v>
      </c>
      <c r="BH946" s="1391" t="n">
        <v>3346232.342</v>
      </c>
      <c r="BI946" s="1464">
        <f>BJ946</f>
        <v/>
      </c>
      <c r="BJ946" s="1390" t="n">
        <v>3606105.124</v>
      </c>
      <c r="BK946" s="1391" t="n">
        <v>3851130.37</v>
      </c>
      <c r="BL946" s="1391" t="n">
        <v>4119740.394</v>
      </c>
      <c r="BM946" s="1391" t="n">
        <v>4260828.797</v>
      </c>
      <c r="BN946" s="1464">
        <f>BO946</f>
        <v/>
      </c>
      <c r="BO946" s="1579" t="n">
        <v>4705070</v>
      </c>
      <c r="BP946" s="1365">
        <f>BO946+BP684</f>
        <v/>
      </c>
      <c r="BQ946" s="1365">
        <f>BP946+BQ684</f>
        <v/>
      </c>
      <c r="BR946" s="1365">
        <f>BQ946+BR684</f>
        <v/>
      </c>
      <c r="BS946" s="1365">
        <f>BR946+BS684</f>
        <v/>
      </c>
      <c r="BT946" s="1364">
        <f>BS946</f>
        <v/>
      </c>
      <c r="BU946" s="1365">
        <f>BT946+BU684</f>
        <v/>
      </c>
      <c r="BV946" s="1365">
        <f>BU946+BV684</f>
        <v/>
      </c>
      <c r="BW946" s="1365">
        <f>BV946+BW684</f>
        <v/>
      </c>
      <c r="BX946" s="1365">
        <f>BW946+BX684</f>
        <v/>
      </c>
      <c r="BY946" s="1364">
        <f>BX946</f>
        <v/>
      </c>
      <c r="BZ946" s="1364">
        <f>BY946+BZ684</f>
        <v/>
      </c>
      <c r="CA946" s="1364">
        <f>BZ946+CA684</f>
        <v/>
      </c>
      <c r="CB946" s="1364">
        <f>CA946+CB684</f>
        <v/>
      </c>
      <c r="CC946" s="1280" t="n"/>
    </row>
    <row r="947" collapsed="1" ht="14.4" customFormat="1" customHeight="1" s="1275">
      <c r="A947" s="1612" t="inlineStr">
        <is>
          <t>Retained earnings</t>
        </is>
      </c>
      <c r="B947" s="1613" t="n"/>
      <c r="C947" s="1614">
        <f>SUM(C944:C946)</f>
        <v/>
      </c>
      <c r="D947" s="1614">
        <f>SUM(D944:D946)</f>
        <v/>
      </c>
      <c r="E947" s="1614">
        <f>SUM(E944:E946)</f>
        <v/>
      </c>
      <c r="F947" s="1614">
        <f>SUM(F944:F946)</f>
        <v/>
      </c>
      <c r="G947" s="1614">
        <f>SUM(G944:G946)</f>
        <v/>
      </c>
      <c r="H947" s="1615">
        <f>SUM(H944:H946)</f>
        <v/>
      </c>
      <c r="I947" s="1615">
        <f>SUM(I944:I946)</f>
        <v/>
      </c>
      <c r="J947" s="1615">
        <f>SUM(J944:J946)</f>
        <v/>
      </c>
      <c r="K947" s="1615">
        <f>SUM(K944:K946)</f>
        <v/>
      </c>
      <c r="L947" s="1614">
        <f>SUM(L944:L946)</f>
        <v/>
      </c>
      <c r="M947" s="1615">
        <f>SUM(M944:M946)</f>
        <v/>
      </c>
      <c r="N947" s="1615">
        <f>SUM(N944:N946)</f>
        <v/>
      </c>
      <c r="O947" s="1615">
        <f>SUM(O944:O946)</f>
        <v/>
      </c>
      <c r="P947" s="1615">
        <f>SUM(P944:P946)</f>
        <v/>
      </c>
      <c r="Q947" s="1614">
        <f>SUM(Q944:Q946)</f>
        <v/>
      </c>
      <c r="R947" s="1615">
        <f>SUM(R944:R946)</f>
        <v/>
      </c>
      <c r="S947" s="1615">
        <f>SUM(S944:S946)</f>
        <v/>
      </c>
      <c r="T947" s="1615">
        <f>SUM(T944:T946)</f>
        <v/>
      </c>
      <c r="U947" s="1615">
        <f>SUM(U944:U946)</f>
        <v/>
      </c>
      <c r="V947" s="1614">
        <f>SUM(V944:V946)</f>
        <v/>
      </c>
      <c r="W947" s="1615">
        <f>SUM(W944:W946)</f>
        <v/>
      </c>
      <c r="X947" s="1615">
        <f>SUM(X944:X946)</f>
        <v/>
      </c>
      <c r="Y947" s="1615">
        <f>SUM(Y944:Y946)</f>
        <v/>
      </c>
      <c r="Z947" s="1615">
        <f>SUM(Z944:Z946)</f>
        <v/>
      </c>
      <c r="AA947" s="1614">
        <f>SUM(AA944:AA946)</f>
        <v/>
      </c>
      <c r="AB947" s="1615">
        <f>SUM(AB944:AB946)</f>
        <v/>
      </c>
      <c r="AC947" s="1615">
        <f>SUM(AC944:AC946)</f>
        <v/>
      </c>
      <c r="AD947" s="1615">
        <f>SUM(AD944:AD946)</f>
        <v/>
      </c>
      <c r="AE947" s="1615">
        <f>SUM(AE944:AE946)</f>
        <v/>
      </c>
      <c r="AF947" s="1614">
        <f>SUM(AF944:AF946)</f>
        <v/>
      </c>
      <c r="AG947" s="1615">
        <f>SUM(AG944:AG946)</f>
        <v/>
      </c>
      <c r="AH947" s="1615">
        <f>SUM(AH944:AH946)</f>
        <v/>
      </c>
      <c r="AI947" s="1615">
        <f>SUM(AI944:AI946)</f>
        <v/>
      </c>
      <c r="AJ947" s="1615">
        <f>SUM(AJ944:AJ946)</f>
        <v/>
      </c>
      <c r="AK947" s="1614">
        <f>SUM(AK944:AK946)</f>
        <v/>
      </c>
      <c r="AL947" s="1615">
        <f>SUM(AL944:AL946)</f>
        <v/>
      </c>
      <c r="AM947" s="1615">
        <f>SUM(AM944:AM946)</f>
        <v/>
      </c>
      <c r="AN947" s="1615">
        <f>SUM(AN944:AN946)</f>
        <v/>
      </c>
      <c r="AO947" s="1615">
        <f>SUM(AO944:AO946)</f>
        <v/>
      </c>
      <c r="AP947" s="1614">
        <f>SUM(AP944:AP946)</f>
        <v/>
      </c>
      <c r="AQ947" s="1615">
        <f>SUM(AQ944:AQ946)</f>
        <v/>
      </c>
      <c r="AR947" s="1615">
        <f>SUM(AR944:AR946)</f>
        <v/>
      </c>
      <c r="AS947" s="1615">
        <f>SUM(AS944:AS946)</f>
        <v/>
      </c>
      <c r="AT947" s="1615">
        <f>SUM(AT944:AT946)</f>
        <v/>
      </c>
      <c r="AU947" s="1614">
        <f>SUM(AU944:AU946)</f>
        <v/>
      </c>
      <c r="AV947" s="1615">
        <f>SUM(AV944:AV946)</f>
        <v/>
      </c>
      <c r="AW947" s="1615">
        <f>SUM(AW944:AW946)</f>
        <v/>
      </c>
      <c r="AX947" s="1615">
        <f>SUM(AX944:AX946)</f>
        <v/>
      </c>
      <c r="AY947" s="1615">
        <f>SUM(AY944:AY946)</f>
        <v/>
      </c>
      <c r="AZ947" s="1614">
        <f>SUM(AZ944:AZ946)</f>
        <v/>
      </c>
      <c r="BA947" s="1615">
        <f>SUM(BA944:BA946)</f>
        <v/>
      </c>
      <c r="BB947" s="1615">
        <f>SUM(BB944:BB946)</f>
        <v/>
      </c>
      <c r="BC947" s="1528">
        <f>SUM(BC944:BC946)</f>
        <v/>
      </c>
      <c r="BD947" s="1615">
        <f>SUM(BD944:BD946)</f>
        <v/>
      </c>
      <c r="BE947" s="1614">
        <f>SUM(BE944:BE946)</f>
        <v/>
      </c>
      <c r="BF947" s="1615">
        <f>SUM(BF944:BF946)</f>
        <v/>
      </c>
      <c r="BG947" s="1615">
        <f>SUM(BG944:BG946)</f>
        <v/>
      </c>
      <c r="BH947" s="1528">
        <f>SUM(BH944:BH946)</f>
        <v/>
      </c>
      <c r="BI947" s="1615">
        <f>SUM(BI944:BI946)</f>
        <v/>
      </c>
      <c r="BJ947" s="1614">
        <f>SUM(BJ944:BJ946)</f>
        <v/>
      </c>
      <c r="BK947" s="1615">
        <f>SUM(BK944:BK946)</f>
        <v/>
      </c>
      <c r="BL947" s="1615">
        <f>SUM(BL944:BL946)</f>
        <v/>
      </c>
      <c r="BM947" s="1528">
        <f>SUM(BM944:BM946)</f>
        <v/>
      </c>
      <c r="BN947" s="1615">
        <f>SUM(BN944:BN946)</f>
        <v/>
      </c>
      <c r="BO947" s="1616">
        <f>SUM(BO944:BO946)</f>
        <v/>
      </c>
      <c r="BP947" s="1528">
        <f>BO947+BP674+BP801-BP400</f>
        <v/>
      </c>
      <c r="BQ947" s="1528">
        <f>BP947+BQ674+BQ801-BQ400</f>
        <v/>
      </c>
      <c r="BR947" s="1528">
        <f>BQ947+BR674+BR801-BR400</f>
        <v/>
      </c>
      <c r="BS947" s="1528">
        <f>BR947+BS674+BS801-BS400</f>
        <v/>
      </c>
      <c r="BT947" s="1603">
        <f>BS947</f>
        <v/>
      </c>
      <c r="BU947" s="1528">
        <f>BT947+BU674+BU801-BU400</f>
        <v/>
      </c>
      <c r="BV947" s="1528">
        <f>BU947+BV674+BV801-BV400</f>
        <v/>
      </c>
      <c r="BW947" s="1528">
        <f>BV947+BW674+BW801-BW400</f>
        <v/>
      </c>
      <c r="BX947" s="1528">
        <f>BW947+BX674+BX801-BX400</f>
        <v/>
      </c>
      <c r="BY947" s="1603">
        <f>BX947</f>
        <v/>
      </c>
      <c r="BZ947" s="1603">
        <f>BY947+BZ674+BZ801-BZ400</f>
        <v/>
      </c>
      <c r="CA947" s="1603">
        <f>BZ947+CA674+CA801-CA400</f>
        <v/>
      </c>
      <c r="CB947" s="1603">
        <f>CA947+CB674+CB801-CB400</f>
        <v/>
      </c>
      <c r="CC947" s="1280" t="n"/>
    </row>
    <row r="948" ht="14.4" customFormat="1" customHeight="1" s="1275">
      <c r="A948" s="1295" t="inlineStr">
        <is>
          <t>Treasury shares</t>
        </is>
      </c>
      <c r="B948" s="1387" t="n"/>
      <c r="C948" s="1297" t="n"/>
      <c r="D948" s="1297" t="n"/>
      <c r="E948" s="1297" t="n"/>
      <c r="F948" s="1297" t="n"/>
      <c r="G948" s="1297" t="n"/>
      <c r="H948" s="1277" t="n"/>
      <c r="I948" s="1277" t="n"/>
      <c r="J948" s="1277" t="n"/>
      <c r="K948" s="1277" t="n"/>
      <c r="L948" s="1297" t="n"/>
      <c r="M948" s="1277" t="n"/>
      <c r="N948" s="1277" t="n"/>
      <c r="O948" s="1277" t="n"/>
      <c r="P948" s="1277" t="n"/>
      <c r="Q948" s="1297" t="n"/>
      <c r="R948" s="1277" t="n"/>
      <c r="S948" s="1277" t="n"/>
      <c r="T948" s="1277" t="n"/>
      <c r="U948" s="1277" t="n"/>
      <c r="V948" s="1297" t="n"/>
      <c r="W948" s="1277" t="n"/>
      <c r="X948" s="1277" t="n"/>
      <c r="Y948" s="1277" t="n"/>
      <c r="Z948" s="1277" t="n"/>
      <c r="AA948" s="1297" t="n"/>
      <c r="AB948" s="1277" t="n"/>
      <c r="AC948" s="1277" t="n"/>
      <c r="AD948" s="1277" t="n"/>
      <c r="AE948" s="1277" t="n"/>
      <c r="AF948" s="1297" t="n"/>
      <c r="AG948" s="1277" t="n"/>
      <c r="AH948" s="1277" t="n"/>
      <c r="AI948" s="1277" t="n"/>
      <c r="AJ948" s="1277" t="n"/>
      <c r="AK948" s="1297" t="n"/>
      <c r="AL948" s="1277" t="n"/>
      <c r="AM948" s="1277" t="n"/>
      <c r="AN948" s="1277" t="n"/>
      <c r="AO948" s="1277" t="n"/>
      <c r="AP948" s="1297" t="n"/>
      <c r="AQ948" s="1277" t="n"/>
      <c r="AR948" s="1277" t="n"/>
      <c r="AS948" s="1277" t="n"/>
      <c r="AT948" s="1277" t="n"/>
      <c r="AU948" s="1297" t="n"/>
      <c r="AV948" s="1298" t="n">
        <v>-871.566</v>
      </c>
      <c r="AW948" s="1298" t="n">
        <v>0</v>
      </c>
      <c r="AX948" s="1277" t="n"/>
      <c r="AY948" s="1277" t="n"/>
      <c r="AZ948" s="1297" t="n"/>
      <c r="BA948" s="1277" t="n"/>
      <c r="BB948" s="1277" t="n"/>
      <c r="BC948" s="1277" t="n"/>
      <c r="BD948" s="1277" t="n"/>
      <c r="BE948" s="1297" t="n"/>
      <c r="BF948" s="1277" t="n"/>
      <c r="BG948" s="1298" t="n">
        <v>-3089.177</v>
      </c>
      <c r="BH948" s="1277" t="n"/>
      <c r="BI948" s="1277" t="n"/>
      <c r="BJ948" s="1297" t="n"/>
      <c r="BK948" s="1277" t="n"/>
      <c r="BL948" s="1277" t="n"/>
      <c r="BM948" s="1277" t="n"/>
      <c r="BN948" s="1277" t="n"/>
      <c r="BO948" s="1382" t="n"/>
      <c r="BP948" s="1277">
        <f>BO948</f>
        <v/>
      </c>
      <c r="BQ948" s="1277">
        <f>BP948</f>
        <v/>
      </c>
      <c r="BR948" s="1277">
        <f>BQ948</f>
        <v/>
      </c>
      <c r="BS948" s="1277">
        <f>BR948</f>
        <v/>
      </c>
      <c r="BT948" s="1297">
        <f>BS948</f>
        <v/>
      </c>
      <c r="BU948" s="1277">
        <f>BT948</f>
        <v/>
      </c>
      <c r="BV948" s="1277">
        <f>BU948</f>
        <v/>
      </c>
      <c r="BW948" s="1277">
        <f>BV948</f>
        <v/>
      </c>
      <c r="BX948" s="1277">
        <f>BW948</f>
        <v/>
      </c>
      <c r="BY948" s="1297">
        <f>BX948</f>
        <v/>
      </c>
      <c r="BZ948" s="1297">
        <f>BY948</f>
        <v/>
      </c>
      <c r="CA948" s="1297">
        <f>BZ948</f>
        <v/>
      </c>
      <c r="CB948" s="1297">
        <f>CA948</f>
        <v/>
      </c>
      <c r="CC948" s="1280" t="n"/>
    </row>
    <row r="949" ht="14.4" customFormat="1" customHeight="1" s="1275">
      <c r="A949" s="1460" t="inlineStr">
        <is>
          <t>Others</t>
        </is>
      </c>
      <c r="B949" s="1389" t="n"/>
      <c r="C949" s="1390" t="n">
        <v>-1313.046</v>
      </c>
      <c r="D949" s="1390" t="n">
        <v>-6433.874</v>
      </c>
      <c r="E949" s="1390" t="n">
        <v>-7606.224</v>
      </c>
      <c r="F949" s="1390" t="n">
        <v>-2780.485</v>
      </c>
      <c r="G949" s="1390" t="n">
        <v>14170.306</v>
      </c>
      <c r="H949" s="1391" t="n">
        <v>16583.227</v>
      </c>
      <c r="I949" s="1391" t="n">
        <v>13485.597</v>
      </c>
      <c r="J949" s="1391" t="n">
        <v>16865.491</v>
      </c>
      <c r="K949" s="1464">
        <f>L949</f>
        <v/>
      </c>
      <c r="L949" s="1390" t="n">
        <v>25749.291</v>
      </c>
      <c r="M949" s="1391" t="n">
        <v>24110.858</v>
      </c>
      <c r="N949" s="1391" t="n">
        <v>3854.399</v>
      </c>
      <c r="O949" s="1391" t="n">
        <v>13138.191</v>
      </c>
      <c r="P949" s="1464">
        <f>Q949</f>
        <v/>
      </c>
      <c r="Q949" s="1390" t="n">
        <v>11774.113</v>
      </c>
      <c r="R949" s="1391" t="n">
        <v>5276.848</v>
      </c>
      <c r="S949" s="1391" t="n">
        <v>4888.074</v>
      </c>
      <c r="T949" s="1391" t="n">
        <v>-5218.902</v>
      </c>
      <c r="U949" s="1464">
        <f>V949</f>
        <v/>
      </c>
      <c r="V949" s="1390" t="n">
        <v>1663.983</v>
      </c>
      <c r="W949" s="1391" t="n">
        <v>-19709.627</v>
      </c>
      <c r="X949" s="1391" t="n">
        <v>-18296.511</v>
      </c>
      <c r="Y949" s="1391" t="n">
        <v>-19189.089</v>
      </c>
      <c r="Z949" s="1464">
        <f>AA949</f>
        <v/>
      </c>
      <c r="AA949" s="1390" t="n">
        <v>-26917.818</v>
      </c>
      <c r="AB949" s="1391" t="n">
        <v>-34401.067</v>
      </c>
      <c r="AC949" s="1391" t="n">
        <v>-15080.494</v>
      </c>
      <c r="AD949" s="1391" t="n">
        <v>-18181.209</v>
      </c>
      <c r="AE949" s="1464">
        <f>AF949</f>
        <v/>
      </c>
      <c r="AF949" s="1390" t="n">
        <v>-15449.913</v>
      </c>
      <c r="AG949" s="1391" t="n">
        <v>-10725.023</v>
      </c>
      <c r="AH949" s="1391" t="n">
        <v>-7385.94</v>
      </c>
      <c r="AI949" s="1391" t="n">
        <v>-10675.106</v>
      </c>
      <c r="AJ949" s="1464">
        <f>AK949</f>
        <v/>
      </c>
      <c r="AK949" s="1390" t="n">
        <v>-27568.369</v>
      </c>
      <c r="AL949" s="1391" t="n">
        <v>-24873.338</v>
      </c>
      <c r="AM949" s="1391" t="n">
        <v>-36757.795</v>
      </c>
      <c r="AN949" s="1391" t="n">
        <v>-42259.146</v>
      </c>
      <c r="AO949" s="1464">
        <f>AP949</f>
        <v/>
      </c>
      <c r="AP949" s="1390" t="n">
        <v>-54679.873</v>
      </c>
      <c r="AQ949" s="1391" t="n">
        <v>-48392.823</v>
      </c>
      <c r="AR949" s="1391" t="n">
        <v>-58594.043</v>
      </c>
      <c r="AS949" s="1391" t="n">
        <v>-59304.212</v>
      </c>
      <c r="AT949" s="1464">
        <f>AU949</f>
        <v/>
      </c>
      <c r="AU949" s="1390" t="n">
        <v>-62608.515</v>
      </c>
      <c r="AV949" s="1391" t="n">
        <v>-47492.685</v>
      </c>
      <c r="AW949" s="1391" t="n">
        <v>-35409.864</v>
      </c>
      <c r="AX949" s="1391" t="n">
        <v>-3419.487</v>
      </c>
      <c r="AY949" s="1464">
        <f>AZ949</f>
        <v/>
      </c>
      <c r="AZ949" s="1390" t="n">
        <v>-20505.626</v>
      </c>
      <c r="BA949" s="1391" t="n">
        <v>-24269.263</v>
      </c>
      <c r="BB949" s="1391" t="n">
        <v>-17776.4</v>
      </c>
      <c r="BC949" s="1391" t="n">
        <v>8616.93</v>
      </c>
      <c r="BD949" s="1464">
        <f>BE949</f>
        <v/>
      </c>
      <c r="BE949" s="1390" t="n">
        <v>-28314.256</v>
      </c>
      <c r="BF949" s="1391" t="n">
        <v>10891.445</v>
      </c>
      <c r="BG949" s="1391" t="n">
        <v>25540.368</v>
      </c>
      <c r="BH949" s="1391" t="n">
        <v>922.408</v>
      </c>
      <c r="BI949" s="1464">
        <f>BJ949</f>
        <v/>
      </c>
      <c r="BJ949" s="1390" t="n">
        <v>38705.047</v>
      </c>
      <c r="BK949" s="1391" t="n">
        <v>69251.969</v>
      </c>
      <c r="BL949" s="1391" t="n">
        <v>-182465.738</v>
      </c>
      <c r="BM949" s="1391" t="n">
        <v>-87909.92999999999</v>
      </c>
      <c r="BN949" s="1464">
        <f>BO949</f>
        <v/>
      </c>
      <c r="BO949" s="1579" t="n">
        <v>-16676</v>
      </c>
      <c r="BP949" s="1365">
        <f>BO949</f>
        <v/>
      </c>
      <c r="BQ949" s="1365">
        <f>BP949</f>
        <v/>
      </c>
      <c r="BR949" s="1365">
        <f>BQ949</f>
        <v/>
      </c>
      <c r="BS949" s="1365">
        <f>BR949</f>
        <v/>
      </c>
      <c r="BT949" s="1364">
        <f>BS949</f>
        <v/>
      </c>
      <c r="BU949" s="1365">
        <f>BT949</f>
        <v/>
      </c>
      <c r="BV949" s="1365">
        <f>BU949</f>
        <v/>
      </c>
      <c r="BW949" s="1365">
        <f>BV949</f>
        <v/>
      </c>
      <c r="BX949" s="1365">
        <f>BW949</f>
        <v/>
      </c>
      <c r="BY949" s="1364">
        <f>BX949</f>
        <v/>
      </c>
      <c r="BZ949" s="1364">
        <f>BY949</f>
        <v/>
      </c>
      <c r="CA949" s="1364">
        <f>BZ949</f>
        <v/>
      </c>
      <c r="CB949" s="1364">
        <f>CA949</f>
        <v/>
      </c>
      <c r="CC949" s="1280" t="n"/>
    </row>
    <row r="950" ht="14.4" customFormat="1" customHeight="1" s="1323">
      <c r="A950" s="1324" t="inlineStr">
        <is>
          <t>Total SE</t>
        </is>
      </c>
      <c r="B950" s="1393" t="n"/>
      <c r="C950" s="1329">
        <f>C942+C943+C947+C949</f>
        <v/>
      </c>
      <c r="D950" s="1329">
        <f>D942+D943+D947+D949</f>
        <v/>
      </c>
      <c r="E950" s="1329">
        <f>E942+E943+E947+E949</f>
        <v/>
      </c>
      <c r="F950" s="1329">
        <f>F942+F943+F947+F949</f>
        <v/>
      </c>
      <c r="G950" s="1329">
        <f>G942+G943+G947+G949</f>
        <v/>
      </c>
      <c r="H950" s="1328">
        <f>H942+H943+H947+H949</f>
        <v/>
      </c>
      <c r="I950" s="1328">
        <f>I942+I943+I947+I949</f>
        <v/>
      </c>
      <c r="J950" s="1328">
        <f>J942+J943+J947+J949</f>
        <v/>
      </c>
      <c r="K950" s="1328">
        <f>K942+K943+K947+K949</f>
        <v/>
      </c>
      <c r="L950" s="1329">
        <f>L942+L943+L947+L949</f>
        <v/>
      </c>
      <c r="M950" s="1328">
        <f>M942+M943+M947+M949</f>
        <v/>
      </c>
      <c r="N950" s="1328">
        <f>N942+N943+N947+N949</f>
        <v/>
      </c>
      <c r="O950" s="1328">
        <f>O942+O943+O947+O949</f>
        <v/>
      </c>
      <c r="P950" s="1328">
        <f>P942+P943+P947+P949</f>
        <v/>
      </c>
      <c r="Q950" s="1329">
        <f>Q942+Q943+Q947+Q949</f>
        <v/>
      </c>
      <c r="R950" s="1328">
        <f>R942+R943+R947+R949</f>
        <v/>
      </c>
      <c r="S950" s="1328">
        <f>S942+S943+S947+S949</f>
        <v/>
      </c>
      <c r="T950" s="1328">
        <f>T942+T943+T947+T949</f>
        <v/>
      </c>
      <c r="U950" s="1328">
        <f>U942+U943+U947+U949</f>
        <v/>
      </c>
      <c r="V950" s="1329">
        <f>V942+V943+V947+V949</f>
        <v/>
      </c>
      <c r="W950" s="1328">
        <f>W942+W943+W947+W949</f>
        <v/>
      </c>
      <c r="X950" s="1328">
        <f>X942+X943+X947+X949</f>
        <v/>
      </c>
      <c r="Y950" s="1328">
        <f>Y942+Y943+Y947+Y949</f>
        <v/>
      </c>
      <c r="Z950" s="1328">
        <f>Z942+Z943+Z947+Z949</f>
        <v/>
      </c>
      <c r="AA950" s="1329">
        <f>AA942+AA943+AA947+AA949</f>
        <v/>
      </c>
      <c r="AB950" s="1328">
        <f>AB942+AB943+AB947+AB949</f>
        <v/>
      </c>
      <c r="AC950" s="1328">
        <f>AC942+AC943+AC947+AC949</f>
        <v/>
      </c>
      <c r="AD950" s="1328">
        <f>AD942+AD943+AD947+AD949</f>
        <v/>
      </c>
      <c r="AE950" s="1328">
        <f>AE942+AE943+AE947+AE949</f>
        <v/>
      </c>
      <c r="AF950" s="1329">
        <f>AF942+AF943+AF947+AF949</f>
        <v/>
      </c>
      <c r="AG950" s="1328">
        <f>AG942+AG943+AG947+AG949</f>
        <v/>
      </c>
      <c r="AH950" s="1328">
        <f>AH942+AH943+AH947+AH949</f>
        <v/>
      </c>
      <c r="AI950" s="1328">
        <f>AI942+AI943+AI947+AI949</f>
        <v/>
      </c>
      <c r="AJ950" s="1328">
        <f>AJ942+AJ943+AJ947+AJ949</f>
        <v/>
      </c>
      <c r="AK950" s="1329">
        <f>AK942+AK943+AK947+AK949</f>
        <v/>
      </c>
      <c r="AL950" s="1328">
        <f>AL942+AL943+AL947+AL949</f>
        <v/>
      </c>
      <c r="AM950" s="1328">
        <f>AM942+AM943+AM947+AM949</f>
        <v/>
      </c>
      <c r="AN950" s="1328">
        <f>AN942+AN943+AN947+AN949</f>
        <v/>
      </c>
      <c r="AO950" s="1328">
        <f>AO942+AO943+AO947+AO949</f>
        <v/>
      </c>
      <c r="AP950" s="1329">
        <f>AP942+AP943+AP947+AP949</f>
        <v/>
      </c>
      <c r="AQ950" s="1328">
        <f>AQ942+AQ943+AQ947+AQ949</f>
        <v/>
      </c>
      <c r="AR950" s="1328">
        <f>AR942+AR943+AR947+AR949</f>
        <v/>
      </c>
      <c r="AS950" s="1328">
        <f>AS942+AS943+AS947+AS949</f>
        <v/>
      </c>
      <c r="AT950" s="1328">
        <f>AT942+AT943+AT947+AT949</f>
        <v/>
      </c>
      <c r="AU950" s="1329">
        <f>AU942+AU943+AU947+AU949</f>
        <v/>
      </c>
      <c r="AV950" s="1328">
        <f>AV942+AV943+AV947+AV949+AV948</f>
        <v/>
      </c>
      <c r="AW950" s="1328">
        <f>AW942+AW943+AW947+AW949</f>
        <v/>
      </c>
      <c r="AX950" s="1328">
        <f>AX942+AX943+AX947+AX949</f>
        <v/>
      </c>
      <c r="AY950" s="1328">
        <f>AY942+AY943+AY947+AY949</f>
        <v/>
      </c>
      <c r="AZ950" s="1329">
        <f>AZ942+AZ943+AZ947+AZ949</f>
        <v/>
      </c>
      <c r="BA950" s="1328">
        <f>BA942+BA943+BA947+BA949+BA948</f>
        <v/>
      </c>
      <c r="BB950" s="1328">
        <f>BB942+BB943+BB947+BB949+BB948</f>
        <v/>
      </c>
      <c r="BC950" s="1327">
        <f>BC942+BC943+BC947+BC949+BC948</f>
        <v/>
      </c>
      <c r="BD950" s="1328">
        <f>BD942+BD943+BD947+BD949+BD948</f>
        <v/>
      </c>
      <c r="BE950" s="1329">
        <f>BE942+BE943+BE947+BE949+BE948</f>
        <v/>
      </c>
      <c r="BF950" s="1328">
        <f>BF942+BF943+BF947+BF949+BF948</f>
        <v/>
      </c>
      <c r="BG950" s="1328">
        <f>BG942+BG943+BG947+BG949+BG948</f>
        <v/>
      </c>
      <c r="BH950" s="1327">
        <f>BH942+BH943+BH947+BH949+BH948</f>
        <v/>
      </c>
      <c r="BI950" s="1328">
        <f>BI942+BI943+BI947+BI949+BI948</f>
        <v/>
      </c>
      <c r="BJ950" s="1329">
        <f>BJ942+BJ943+BJ947+BJ949+BJ948</f>
        <v/>
      </c>
      <c r="BK950" s="1328">
        <f>BK942+BK943+BK947+BK949+BK948</f>
        <v/>
      </c>
      <c r="BL950" s="1328">
        <f>BL942+BL943+BL947+BL949+BL948</f>
        <v/>
      </c>
      <c r="BM950" s="1327">
        <f>BM942+BM943+BM947+BM949+BM948</f>
        <v/>
      </c>
      <c r="BN950" s="1328">
        <f>BN942+BN943+BN947+BN949+BN948</f>
        <v/>
      </c>
      <c r="BO950" s="1330">
        <f>BO942+BO943+BO947+BO949+BO948</f>
        <v/>
      </c>
      <c r="BP950" s="1327">
        <f>BP942+BP943+BP947+BP949+BP948</f>
        <v/>
      </c>
      <c r="BQ950" s="1327">
        <f>BQ942+BQ943+BQ947+BQ949+BQ948</f>
        <v/>
      </c>
      <c r="BR950" s="1327">
        <f>BR942+BR943+BR947+BR949+BR948</f>
        <v/>
      </c>
      <c r="BS950" s="1327">
        <f>BS942+BS943+BS947+BS949+BS948</f>
        <v/>
      </c>
      <c r="BT950" s="1326">
        <f>BT942+BT943+BT947+BT949+BT948</f>
        <v/>
      </c>
      <c r="BU950" s="1327">
        <f>BU942+BU943+BU947+BU949+BU948</f>
        <v/>
      </c>
      <c r="BV950" s="1327">
        <f>BV942+BV943+BV947+BV949+BV948</f>
        <v/>
      </c>
      <c r="BW950" s="1327">
        <f>BW942+BW943+BW947+BW949+BW948</f>
        <v/>
      </c>
      <c r="BX950" s="1327">
        <f>BX942+BX943+BX947+BX949+BX948</f>
        <v/>
      </c>
      <c r="BY950" s="1326">
        <f>BY942+BY943+BY947+BY949+BY948</f>
        <v/>
      </c>
      <c r="BZ950" s="1326">
        <f>BZ942+BZ943+BZ947+BZ949+BZ948</f>
        <v/>
      </c>
      <c r="CA950" s="1326">
        <f>CA942+CA943+CA947+CA949+CA948</f>
        <v/>
      </c>
      <c r="CB950" s="1326">
        <f>CB942+CB943+CB947+CB949+CB948</f>
        <v/>
      </c>
      <c r="CC950" s="1331" t="n"/>
    </row>
    <row r="951" ht="14.4" customFormat="1" customHeight="1" s="1275">
      <c r="A951" s="1295" t="inlineStr">
        <is>
          <t>NCI</t>
        </is>
      </c>
      <c r="B951" s="1387" t="n"/>
      <c r="C951" s="1299" t="n">
        <v>3965.836</v>
      </c>
      <c r="D951" s="1299" t="n">
        <v>4559.487</v>
      </c>
      <c r="E951" s="1299" t="n">
        <v>2450.037</v>
      </c>
      <c r="F951" s="1299" t="n">
        <v>2543.226</v>
      </c>
      <c r="G951" s="1299" t="n">
        <v>266.83</v>
      </c>
      <c r="H951" s="1298" t="n">
        <v>224.341</v>
      </c>
      <c r="I951" s="1298" t="n">
        <v>173.666</v>
      </c>
      <c r="J951" s="1298" t="n">
        <v>138.533</v>
      </c>
      <c r="K951" s="1280">
        <f>L951</f>
        <v/>
      </c>
      <c r="L951" s="1299" t="n">
        <v>127.221</v>
      </c>
      <c r="M951" s="1298" t="n">
        <v>72.254</v>
      </c>
      <c r="N951" s="1298" t="n">
        <v>47.174</v>
      </c>
      <c r="O951" s="1298" t="n">
        <v>35.778</v>
      </c>
      <c r="P951" s="1280">
        <f>Q951</f>
        <v/>
      </c>
      <c r="Q951" s="1299" t="n">
        <v>962.76</v>
      </c>
      <c r="R951" s="1298" t="n">
        <v>972.9690000000001</v>
      </c>
      <c r="S951" s="1298" t="n">
        <v>876.841</v>
      </c>
      <c r="T951" s="1298" t="n">
        <v>779.615</v>
      </c>
      <c r="U951" s="1280">
        <f>V951</f>
        <v/>
      </c>
      <c r="V951" s="1299" t="n">
        <v>802.865</v>
      </c>
      <c r="W951" s="1298" t="n">
        <v>796.662</v>
      </c>
      <c r="X951" s="1298" t="n">
        <v>680.148</v>
      </c>
      <c r="Y951" s="1298" t="n">
        <v>695.842</v>
      </c>
      <c r="Z951" s="1280">
        <f>AA951</f>
        <v/>
      </c>
      <c r="AA951" s="1299" t="n">
        <v>702.11</v>
      </c>
      <c r="AB951" s="1298" t="n">
        <v>706.64</v>
      </c>
      <c r="AC951" s="1298" t="n">
        <v>633.7430000000001</v>
      </c>
      <c r="AD951" s="1298" t="n">
        <v>658.087</v>
      </c>
      <c r="AE951" s="1280">
        <f>AF951</f>
        <v/>
      </c>
      <c r="AF951" s="1299" t="n">
        <v>678.731</v>
      </c>
      <c r="AG951" s="1298" t="n">
        <v>671.978</v>
      </c>
      <c r="AH951" s="1298" t="n">
        <v>606.948</v>
      </c>
      <c r="AI951" s="1298" t="n">
        <v>640.9349999999999</v>
      </c>
      <c r="AJ951" s="1280">
        <f>AK951</f>
        <v/>
      </c>
      <c r="AK951" s="1299" t="n">
        <v>685.302</v>
      </c>
      <c r="AL951" s="1298" t="n">
        <v>762.5309999999999</v>
      </c>
      <c r="AM951" s="1298" t="n">
        <v>835.401</v>
      </c>
      <c r="AN951" s="1298" t="n">
        <v>905.346</v>
      </c>
      <c r="AO951" s="1280">
        <f>AP951</f>
        <v/>
      </c>
      <c r="AP951" s="1299" t="n">
        <v>964.7430000000001</v>
      </c>
      <c r="AQ951" s="1298" t="n">
        <v>2060.566</v>
      </c>
      <c r="AR951" s="1298" t="n">
        <v>2184.772</v>
      </c>
      <c r="AS951" s="1298" t="n">
        <v>2300.248</v>
      </c>
      <c r="AT951" s="1280">
        <f>AU951</f>
        <v/>
      </c>
      <c r="AU951" s="1299" t="n">
        <v>2446.652</v>
      </c>
      <c r="AV951" s="1298" t="n">
        <v>7038.658</v>
      </c>
      <c r="AW951" s="1298" t="n">
        <v>14108.933</v>
      </c>
      <c r="AX951" s="1298" t="n">
        <v>14341.853</v>
      </c>
      <c r="AY951" s="1280">
        <f>AZ951</f>
        <v/>
      </c>
      <c r="AZ951" s="1299" t="n">
        <v>14835.672</v>
      </c>
      <c r="BA951" s="1298" t="n">
        <v>14663.64</v>
      </c>
      <c r="BB951" s="1298" t="n">
        <v>16717.744</v>
      </c>
      <c r="BC951" s="1298" t="n">
        <v>24468.45</v>
      </c>
      <c r="BD951" s="1280">
        <f>BE951</f>
        <v/>
      </c>
      <c r="BE951" s="1299" t="n">
        <v>24349.22</v>
      </c>
      <c r="BF951" s="1298" t="n">
        <v>29984.324</v>
      </c>
      <c r="BG951" s="1298" t="n">
        <v>28745.331</v>
      </c>
      <c r="BH951" s="1298" t="n">
        <v>31903.138</v>
      </c>
      <c r="BI951" s="1280">
        <f>BJ951</f>
        <v/>
      </c>
      <c r="BJ951" s="1299" t="n">
        <v>35030.698</v>
      </c>
      <c r="BK951" s="1298" t="n">
        <v>37461.877</v>
      </c>
      <c r="BL951" s="1298" t="n">
        <v>35557.875</v>
      </c>
      <c r="BM951" s="1298" t="n">
        <v>37270.83</v>
      </c>
      <c r="BN951" s="1280">
        <f>BO951</f>
        <v/>
      </c>
      <c r="BO951" s="1645" t="n">
        <v>41199</v>
      </c>
      <c r="BP951" s="1277">
        <f>BO951+BP400</f>
        <v/>
      </c>
      <c r="BQ951" s="1277">
        <f>BP951+BQ400</f>
        <v/>
      </c>
      <c r="BR951" s="1277">
        <f>BQ951+BR400</f>
        <v/>
      </c>
      <c r="BS951" s="1277">
        <f>BR951+BS400</f>
        <v/>
      </c>
      <c r="BT951" s="1297">
        <f>BS951</f>
        <v/>
      </c>
      <c r="BU951" s="1277">
        <f>BT951+BU400</f>
        <v/>
      </c>
      <c r="BV951" s="1277">
        <f>BU951+BV400</f>
        <v/>
      </c>
      <c r="BW951" s="1277">
        <f>BV951+BW400</f>
        <v/>
      </c>
      <c r="BX951" s="1277">
        <f>BW951+BX400</f>
        <v/>
      </c>
      <c r="BY951" s="1297">
        <f>BX951</f>
        <v/>
      </c>
      <c r="BZ951" s="1297">
        <f>BY951+BZ400</f>
        <v/>
      </c>
      <c r="CA951" s="1297">
        <f>BZ951+CA400</f>
        <v/>
      </c>
      <c r="CB951" s="1297">
        <f>CA951+CB400</f>
        <v/>
      </c>
      <c r="CC951" s="1280" t="n"/>
    </row>
    <row r="952" ht="14.4" customFormat="1" customHeight="1" s="1323">
      <c r="A952" s="1577" t="inlineStr">
        <is>
          <t>Total Liabilities &amp; SE</t>
        </is>
      </c>
      <c r="B952" s="1394" t="n"/>
      <c r="C952" s="1593">
        <f>C950+C939+C951</f>
        <v/>
      </c>
      <c r="D952" s="1593">
        <f>D950+D939+D951</f>
        <v/>
      </c>
      <c r="E952" s="1593">
        <f>E950+E939+E951</f>
        <v/>
      </c>
      <c r="F952" s="1593">
        <f>F950+F939+F951</f>
        <v/>
      </c>
      <c r="G952" s="1593">
        <f>G950+G939+G951</f>
        <v/>
      </c>
      <c r="H952" s="1331">
        <f>H950+H939+H951</f>
        <v/>
      </c>
      <c r="I952" s="1331">
        <f>I950+I939+I951</f>
        <v/>
      </c>
      <c r="J952" s="1331">
        <f>J950+J939+J951</f>
        <v/>
      </c>
      <c r="K952" s="1331">
        <f>K950+K939+K951</f>
        <v/>
      </c>
      <c r="L952" s="1593">
        <f>L950+L939+L951</f>
        <v/>
      </c>
      <c r="M952" s="1331">
        <f>M950+M939+M951</f>
        <v/>
      </c>
      <c r="N952" s="1331">
        <f>N950+N939+N951</f>
        <v/>
      </c>
      <c r="O952" s="1331">
        <f>O950+O939+O951</f>
        <v/>
      </c>
      <c r="P952" s="1331">
        <f>P950+P939+P951</f>
        <v/>
      </c>
      <c r="Q952" s="1593">
        <f>Q950+Q939+Q951</f>
        <v/>
      </c>
      <c r="R952" s="1331">
        <f>R950+R939+R951</f>
        <v/>
      </c>
      <c r="S952" s="1331">
        <f>S950+S939+S951</f>
        <v/>
      </c>
      <c r="T952" s="1331">
        <f>T950+T939+T951</f>
        <v/>
      </c>
      <c r="U952" s="1331">
        <f>U950+U939+U951</f>
        <v/>
      </c>
      <c r="V952" s="1593">
        <f>V950+V939+V951</f>
        <v/>
      </c>
      <c r="W952" s="1331">
        <f>W950+W939+W951</f>
        <v/>
      </c>
      <c r="X952" s="1331">
        <f>X950+X939+X951</f>
        <v/>
      </c>
      <c r="Y952" s="1331">
        <f>Y950+Y939+Y951</f>
        <v/>
      </c>
      <c r="Z952" s="1331">
        <f>Z950+Z939+Z951</f>
        <v/>
      </c>
      <c r="AA952" s="1593">
        <f>AA950+AA939+AA951</f>
        <v/>
      </c>
      <c r="AB952" s="1331">
        <f>AB950+AB939+AB951</f>
        <v/>
      </c>
      <c r="AC952" s="1331">
        <f>AC950+AC939+AC951</f>
        <v/>
      </c>
      <c r="AD952" s="1331">
        <f>AD950+AD939+AD951</f>
        <v/>
      </c>
      <c r="AE952" s="1331">
        <f>AE950+AE939+AE951</f>
        <v/>
      </c>
      <c r="AF952" s="1593">
        <f>AF950+AF939+AF951</f>
        <v/>
      </c>
      <c r="AG952" s="1331">
        <f>AG950+AG939+AG951</f>
        <v/>
      </c>
      <c r="AH952" s="1331">
        <f>AH950+AH939+AH951</f>
        <v/>
      </c>
      <c r="AI952" s="1331">
        <f>AI950+AI939+AI951</f>
        <v/>
      </c>
      <c r="AJ952" s="1331">
        <f>AJ950+AJ939+AJ951</f>
        <v/>
      </c>
      <c r="AK952" s="1593">
        <f>AK950+AK939+AK951</f>
        <v/>
      </c>
      <c r="AL952" s="1331">
        <f>AL950+AL939+AL951</f>
        <v/>
      </c>
      <c r="AM952" s="1331">
        <f>AM950+AM939+AM951</f>
        <v/>
      </c>
      <c r="AN952" s="1331">
        <f>AN950+AN939+AN951</f>
        <v/>
      </c>
      <c r="AO952" s="1331">
        <f>AO950+AO939+AO951</f>
        <v/>
      </c>
      <c r="AP952" s="1593">
        <f>AP950+AP939+AP951</f>
        <v/>
      </c>
      <c r="AQ952" s="1331">
        <f>AQ950+AQ939+AQ951</f>
        <v/>
      </c>
      <c r="AR952" s="1331">
        <f>AR950+AR939+AR951</f>
        <v/>
      </c>
      <c r="AS952" s="1331">
        <f>AS950+AS939+AS951</f>
        <v/>
      </c>
      <c r="AT952" s="1331">
        <f>AT950+AT939+AT951</f>
        <v/>
      </c>
      <c r="AU952" s="1593">
        <f>AU950+AU939+AU951</f>
        <v/>
      </c>
      <c r="AV952" s="1331">
        <f>AV950+AV939+AV951</f>
        <v/>
      </c>
      <c r="AW952" s="1331">
        <f>AW950+AW939+AW951</f>
        <v/>
      </c>
      <c r="AX952" s="1331">
        <f>AX950+AX939+AX951</f>
        <v/>
      </c>
      <c r="AY952" s="1331">
        <f>AY950+AY939+AY951</f>
        <v/>
      </c>
      <c r="AZ952" s="1593">
        <f>AZ950+AZ939+AZ951</f>
        <v/>
      </c>
      <c r="BA952" s="1331">
        <f>BA950+BA939+BA951</f>
        <v/>
      </c>
      <c r="BB952" s="1331">
        <f>BB950+BB939+BB951</f>
        <v/>
      </c>
      <c r="BC952" s="1346">
        <f>BC950+BC939+BC951</f>
        <v/>
      </c>
      <c r="BD952" s="1331">
        <f>BD950+BD939+BD951</f>
        <v/>
      </c>
      <c r="BE952" s="1593">
        <f>BE950+BE939+BE951</f>
        <v/>
      </c>
      <c r="BF952" s="1331">
        <f>BF950+BF939+BF951</f>
        <v/>
      </c>
      <c r="BG952" s="1331">
        <f>BG950+BG939+BG951</f>
        <v/>
      </c>
      <c r="BH952" s="1346">
        <f>BH950+BH939+BH951</f>
        <v/>
      </c>
      <c r="BI952" s="1331">
        <f>BI950+BI939+BI951</f>
        <v/>
      </c>
      <c r="BJ952" s="1593">
        <f>BJ950+BJ939+BJ951</f>
        <v/>
      </c>
      <c r="BK952" s="1331">
        <f>BK950+BK939+BK951</f>
        <v/>
      </c>
      <c r="BL952" s="1331">
        <f>BL950+BL939+BL951</f>
        <v/>
      </c>
      <c r="BM952" s="1346">
        <f>BM950+BM939+BM951</f>
        <v/>
      </c>
      <c r="BN952" s="1331">
        <f>BN950+BN939+BN951</f>
        <v/>
      </c>
      <c r="BO952" s="1578">
        <f>BO950+BO939+BO951</f>
        <v/>
      </c>
      <c r="BP952" s="1346">
        <f>BP950+BP939+BP951</f>
        <v/>
      </c>
      <c r="BQ952" s="1346">
        <f>BQ950+BQ939+BQ951</f>
        <v/>
      </c>
      <c r="BR952" s="1346">
        <f>BR950+BR939+BR951</f>
        <v/>
      </c>
      <c r="BS952" s="1346">
        <f>BS950+BS939+BS951</f>
        <v/>
      </c>
      <c r="BT952" s="1345">
        <f>BT950+BT939+BT951</f>
        <v/>
      </c>
      <c r="BU952" s="1346">
        <f>BU950+BU939+BU951</f>
        <v/>
      </c>
      <c r="BV952" s="1346">
        <f>BV950+BV939+BV951</f>
        <v/>
      </c>
      <c r="BW952" s="1346">
        <f>BW950+BW939+BW951</f>
        <v/>
      </c>
      <c r="BX952" s="1346">
        <f>BX950+BX939+BX951</f>
        <v/>
      </c>
      <c r="BY952" s="1345">
        <f>BY950+BY939+BY951</f>
        <v/>
      </c>
      <c r="BZ952" s="1345">
        <f>BZ950+BZ939+BZ951</f>
        <v/>
      </c>
      <c r="CA952" s="1345">
        <f>CA950+CA939+CA951</f>
        <v/>
      </c>
      <c r="CB952" s="1345">
        <f>CB950+CB939+CB951</f>
        <v/>
      </c>
      <c r="CC952" s="1331" t="n"/>
    </row>
    <row r="953" ht="14.4" customFormat="1" customHeight="1" s="1275">
      <c r="A953" s="1277" t="n"/>
      <c r="B953" s="1277" t="n"/>
      <c r="C953" s="1277" t="n"/>
      <c r="D953" s="1277" t="n"/>
      <c r="E953" s="1277" t="n"/>
      <c r="F953" s="1277" t="n"/>
      <c r="G953" s="1277" t="n"/>
      <c r="H953" s="1277" t="n"/>
      <c r="I953" s="1277" t="n"/>
      <c r="J953" s="1277" t="n"/>
      <c r="K953" s="1277" t="n"/>
      <c r="L953" s="1277" t="n"/>
      <c r="M953" s="1277" t="n"/>
      <c r="N953" s="1277" t="n"/>
      <c r="O953" s="1277" t="n"/>
      <c r="P953" s="1277" t="n"/>
      <c r="Q953" s="1277" t="n"/>
      <c r="R953" s="1277" t="n"/>
      <c r="S953" s="1277" t="n"/>
      <c r="T953" s="1277" t="n"/>
      <c r="U953" s="1277" t="n"/>
      <c r="V953" s="1277" t="n"/>
      <c r="W953" s="1277" t="n"/>
      <c r="X953" s="1277" t="n"/>
      <c r="Y953" s="1277" t="n"/>
      <c r="Z953" s="1277" t="n"/>
      <c r="AA953" s="1277" t="n"/>
      <c r="AB953" s="1277" t="n"/>
      <c r="AC953" s="1277" t="n"/>
      <c r="AD953" s="1277" t="n"/>
      <c r="AE953" s="1277" t="n"/>
      <c r="AF953" s="1277" t="n"/>
      <c r="AG953" s="1277" t="n"/>
      <c r="AH953" s="1277" t="n"/>
      <c r="AI953" s="1277" t="n"/>
      <c r="AJ953" s="1277" t="n"/>
      <c r="AK953" s="1277" t="n"/>
      <c r="AL953" s="1277" t="n"/>
      <c r="AM953" s="1277" t="n"/>
      <c r="AN953" s="1277" t="n"/>
      <c r="AO953" s="1277" t="n"/>
      <c r="AP953" s="1277" t="n"/>
      <c r="AQ953" s="1277" t="n"/>
      <c r="AR953" s="1277" t="n"/>
      <c r="AS953" s="1277" t="n"/>
      <c r="AT953" s="1277" t="n"/>
      <c r="AU953" s="1277" t="n"/>
      <c r="AV953" s="1277" t="n"/>
      <c r="AW953" s="1277" t="n"/>
      <c r="AX953" s="1277" t="n"/>
      <c r="AY953" s="1277" t="n"/>
      <c r="AZ953" s="1277" t="n"/>
      <c r="BA953" s="1277" t="n"/>
      <c r="BB953" s="1277" t="n"/>
      <c r="BC953" s="1277" t="n"/>
      <c r="BD953" s="1277" t="n"/>
      <c r="BE953" s="1277" t="n"/>
      <c r="BF953" s="1277" t="n"/>
      <c r="BG953" s="1277" t="n"/>
      <c r="BH953" s="1277" t="n"/>
      <c r="BI953" s="1277" t="n"/>
      <c r="BJ953" s="1277" t="n"/>
      <c r="BK953" s="1277" t="n"/>
      <c r="BL953" s="1277" t="n"/>
      <c r="BM953" s="1277" t="n"/>
      <c r="BN953" s="1277" t="n"/>
      <c r="BO953" s="1809" t="n"/>
      <c r="BP953" s="1277" t="n"/>
      <c r="BQ953" s="1277" t="n"/>
      <c r="BR953" s="1277" t="n"/>
      <c r="BS953" s="1277" t="n"/>
      <c r="BT953" s="1277" t="n"/>
      <c r="BU953" s="1277" t="n"/>
      <c r="BV953" s="1277" t="n"/>
      <c r="BW953" s="1277" t="n"/>
      <c r="BX953" s="1277" t="n"/>
      <c r="BY953" s="1277" t="n"/>
      <c r="BZ953" s="1277" t="n"/>
      <c r="CA953" s="1277" t="n"/>
      <c r="CB953" s="1277" t="n"/>
      <c r="CC953" s="1280" t="n"/>
    </row>
    <row r="954" ht="14.4" customFormat="1" customHeight="1" s="1275">
      <c r="A954" s="1605" t="inlineStr">
        <is>
          <t>BS Check</t>
        </is>
      </c>
      <c r="B954" s="1605" t="n"/>
      <c r="C954" s="1606">
        <f>ROUND(C902-C952,6)</f>
        <v/>
      </c>
      <c r="D954" s="1606">
        <f>ROUND(D902-D952,6)</f>
        <v/>
      </c>
      <c r="E954" s="1606">
        <f>ROUND(E902-E952,6)</f>
        <v/>
      </c>
      <c r="F954" s="1606">
        <f>ROUND(F902-F952,6)</f>
        <v/>
      </c>
      <c r="G954" s="1606">
        <f>ROUND(G902-G952,6)</f>
        <v/>
      </c>
      <c r="H954" s="1606">
        <f>ROUND(H902-H952,6)</f>
        <v/>
      </c>
      <c r="I954" s="1606">
        <f>ROUND(I902-I952,6)</f>
        <v/>
      </c>
      <c r="J954" s="1606">
        <f>ROUND(J902-J952,6)</f>
        <v/>
      </c>
      <c r="K954" s="1606">
        <f>ROUND(K902-K952,6)</f>
        <v/>
      </c>
      <c r="L954" s="1606">
        <f>ROUND(L902-L952,6)</f>
        <v/>
      </c>
      <c r="M954" s="1606">
        <f>ROUND(M902-M952,6)</f>
        <v/>
      </c>
      <c r="N954" s="1606">
        <f>ROUND(N902-N952,6)</f>
        <v/>
      </c>
      <c r="O954" s="1606">
        <f>ROUND(O902-O952,6)</f>
        <v/>
      </c>
      <c r="P954" s="1606">
        <f>ROUND(P902-P952,6)</f>
        <v/>
      </c>
      <c r="Q954" s="1606">
        <f>ROUND(Q902-Q952,6)</f>
        <v/>
      </c>
      <c r="R954" s="1606">
        <f>ROUND(R902-R952,6)</f>
        <v/>
      </c>
      <c r="S954" s="1606">
        <f>ROUND(S902-S952,6)</f>
        <v/>
      </c>
      <c r="T954" s="1606">
        <f>ROUND(T902-T952,6)</f>
        <v/>
      </c>
      <c r="U954" s="1606">
        <f>ROUND(U902-U952,6)</f>
        <v/>
      </c>
      <c r="V954" s="1606">
        <f>ROUND(V902-V952,6)</f>
        <v/>
      </c>
      <c r="W954" s="1606">
        <f>ROUND(W902-W952,6)</f>
        <v/>
      </c>
      <c r="X954" s="1606">
        <f>ROUND(X902-X952,6)</f>
        <v/>
      </c>
      <c r="Y954" s="1606">
        <f>ROUND(Y902-Y952,6)</f>
        <v/>
      </c>
      <c r="Z954" s="1606">
        <f>ROUND(Z902-Z952,6)</f>
        <v/>
      </c>
      <c r="AA954" s="1606">
        <f>ROUND(AA902-AA952,6)</f>
        <v/>
      </c>
      <c r="AB954" s="1606">
        <f>ROUND(AB902-AB952,6)</f>
        <v/>
      </c>
      <c r="AC954" s="1606">
        <f>ROUND(AC902-AC952,6)</f>
        <v/>
      </c>
      <c r="AD954" s="1606">
        <f>ROUND(AD902-AD952,6)</f>
        <v/>
      </c>
      <c r="AE954" s="1606">
        <f>ROUND(AE902-AE952,6)</f>
        <v/>
      </c>
      <c r="AF954" s="1606">
        <f>ROUND(AF902-AF952,6)</f>
        <v/>
      </c>
      <c r="AG954" s="1606">
        <f>ROUND(AG902-AG952,6)</f>
        <v/>
      </c>
      <c r="AH954" s="1606">
        <f>ROUND(AH902-AH952,6)</f>
        <v/>
      </c>
      <c r="AI954" s="1606">
        <f>ROUND(AI902-AI952,6)</f>
        <v/>
      </c>
      <c r="AJ954" s="1606">
        <f>ROUND(AJ902-AJ952,6)</f>
        <v/>
      </c>
      <c r="AK954" s="1606">
        <f>ROUND(AK902-AK952,6)</f>
        <v/>
      </c>
      <c r="AL954" s="1606">
        <f>ROUND(AL902-AL952,6)</f>
        <v/>
      </c>
      <c r="AM954" s="1606">
        <f>ROUND(AM902-AM952,6)</f>
        <v/>
      </c>
      <c r="AN954" s="1606">
        <f>ROUND(AN902-AN952,6)</f>
        <v/>
      </c>
      <c r="AO954" s="1606">
        <f>ROUND(AO902-AO952,6)</f>
        <v/>
      </c>
      <c r="AP954" s="1606">
        <f>ROUND(AP902-AP952,6)</f>
        <v/>
      </c>
      <c r="AQ954" s="1606">
        <f>ROUND(AQ902-AQ952,6)</f>
        <v/>
      </c>
      <c r="AR954" s="1606">
        <f>ROUND(AR902-AR952,6)</f>
        <v/>
      </c>
      <c r="AS954" s="1606">
        <f>ROUND(AS902-AS952,6)</f>
        <v/>
      </c>
      <c r="AT954" s="1606">
        <f>ROUND(AT902-AT952,6)</f>
        <v/>
      </c>
      <c r="AU954" s="1606">
        <f>ROUND(AU902-AU952,6)</f>
        <v/>
      </c>
      <c r="AV954" s="1606">
        <f>ROUND(AV902-AV952,6)</f>
        <v/>
      </c>
      <c r="AW954" s="1606">
        <f>ROUND(AW902-AW952,6)</f>
        <v/>
      </c>
      <c r="AX954" s="1606">
        <f>ROUND(AX902-AX952,6)</f>
        <v/>
      </c>
      <c r="AY954" s="1606">
        <f>ROUND(AY902-AY952,6)</f>
        <v/>
      </c>
      <c r="AZ954" s="1606">
        <f>ROUND(AZ902-AZ952,6)</f>
        <v/>
      </c>
      <c r="BA954" s="1606">
        <f>ROUND(BA902-BA952,6)</f>
        <v/>
      </c>
      <c r="BB954" s="1606">
        <f>ROUND(BB902-BB952,6)</f>
        <v/>
      </c>
      <c r="BC954" s="1606">
        <f>ROUND(BC902-BC952,6)</f>
        <v/>
      </c>
      <c r="BD954" s="1606">
        <f>ROUND(BD902-BD952,6)</f>
        <v/>
      </c>
      <c r="BE954" s="1606">
        <f>ROUND(BE902-BE952,6)</f>
        <v/>
      </c>
      <c r="BF954" s="1606">
        <f>ROUND(BF902-BF952,6)</f>
        <v/>
      </c>
      <c r="BG954" s="1606">
        <f>ROUND(BG902-BG952,6)</f>
        <v/>
      </c>
      <c r="BH954" s="1606">
        <f>ROUND(BH902-BH952,6)</f>
        <v/>
      </c>
      <c r="BI954" s="1606">
        <f>ROUND(BI902-BI952,6)</f>
        <v/>
      </c>
      <c r="BJ954" s="1606">
        <f>ROUND(BJ902-BJ952,6)</f>
        <v/>
      </c>
      <c r="BK954" s="1606">
        <f>ROUND(BK902-BK952,6)</f>
        <v/>
      </c>
      <c r="BL954" s="1606">
        <f>ROUND(BL902-BL952,6)</f>
        <v/>
      </c>
      <c r="BM954" s="1606">
        <f>ROUND(BM902-BM952,6)</f>
        <v/>
      </c>
      <c r="BN954" s="1606">
        <f>ROUND(BN902-BN952,6)</f>
        <v/>
      </c>
      <c r="BO954" s="1607">
        <f>ROUND(BO902-BO952,6)</f>
        <v/>
      </c>
      <c r="BP954" s="1606">
        <f>ROUND(BP902-BP952,6)</f>
        <v/>
      </c>
      <c r="BQ954" s="1606">
        <f>ROUND(BQ902-BQ952,6)</f>
        <v/>
      </c>
      <c r="BR954" s="1606">
        <f>ROUND(BR902-BR952,6)</f>
        <v/>
      </c>
      <c r="BS954" s="1606">
        <f>ROUND(BS902-BS952,6)</f>
        <v/>
      </c>
      <c r="BT954" s="1606">
        <f>ROUND(BT902-BT952,6)</f>
        <v/>
      </c>
      <c r="BU954" s="1606">
        <f>ROUND(BU902-BU952,6)</f>
        <v/>
      </c>
      <c r="BV954" s="1606">
        <f>ROUND(BV902-BV952,6)</f>
        <v/>
      </c>
      <c r="BW954" s="1606">
        <f>ROUND(BW902-BW952,6)</f>
        <v/>
      </c>
      <c r="BX954" s="1606">
        <f>ROUND(BX902-BX952,6)</f>
        <v/>
      </c>
      <c r="BY954" s="1606">
        <f>ROUND(BY902-BY952,6)</f>
        <v/>
      </c>
      <c r="BZ954" s="1606">
        <f>ROUND(BZ902-BZ952,6)</f>
        <v/>
      </c>
      <c r="CA954" s="1606">
        <f>ROUND(CA902-CA952,6)</f>
        <v/>
      </c>
      <c r="CB954" s="1606">
        <f>ROUND(CB902-CB952,6)</f>
        <v/>
      </c>
      <c r="CC954" s="1280" t="n"/>
    </row>
    <row r="955" ht="14.4" customFormat="1" customHeight="1" s="1275">
      <c r="A955" s="1277" t="n"/>
      <c r="B955" s="1277" t="n"/>
      <c r="C955" s="1277" t="n"/>
      <c r="D955" s="1277" t="n"/>
      <c r="E955" s="1277" t="n"/>
      <c r="F955" s="1277" t="n"/>
      <c r="G955" s="1277" t="n"/>
      <c r="H955" s="1277" t="n"/>
      <c r="I955" s="1277" t="n"/>
      <c r="J955" s="1277" t="n"/>
      <c r="K955" s="1277" t="n"/>
      <c r="L955" s="1277" t="n"/>
      <c r="M955" s="1277" t="n"/>
      <c r="N955" s="1277" t="n"/>
      <c r="O955" s="1277" t="n"/>
      <c r="P955" s="1277" t="n"/>
      <c r="Q955" s="1277" t="n"/>
      <c r="R955" s="1277" t="n"/>
      <c r="S955" s="1277" t="n"/>
      <c r="T955" s="1277" t="n"/>
      <c r="U955" s="1277" t="n"/>
      <c r="V955" s="1277" t="n"/>
      <c r="W955" s="1277" t="n"/>
      <c r="X955" s="1277" t="n"/>
      <c r="Y955" s="1277" t="n"/>
      <c r="Z955" s="1277" t="n"/>
      <c r="AA955" s="1277" t="n"/>
      <c r="AB955" s="1277" t="n"/>
      <c r="AC955" s="1277" t="n"/>
      <c r="AD955" s="1277" t="n"/>
      <c r="AE955" s="1277" t="n"/>
      <c r="AF955" s="1277" t="n"/>
      <c r="AG955" s="1277" t="n"/>
      <c r="AH955" s="1277" t="n"/>
      <c r="AI955" s="1277" t="n"/>
      <c r="AJ955" s="1277" t="n"/>
      <c r="AK955" s="1277" t="n"/>
      <c r="AL955" s="1277" t="n"/>
      <c r="AM955" s="1277" t="n"/>
      <c r="AN955" s="1277" t="n"/>
      <c r="AO955" s="1277" t="n"/>
      <c r="AP955" s="1277" t="n"/>
      <c r="AQ955" s="1277" t="n"/>
      <c r="AR955" s="1277" t="n"/>
      <c r="AS955" s="1277" t="n"/>
      <c r="AT955" s="1277" t="n"/>
      <c r="AU955" s="1277" t="n"/>
      <c r="AV955" s="1277" t="n"/>
      <c r="AW955" s="1277" t="n"/>
      <c r="AX955" s="1277" t="n"/>
      <c r="AY955" s="1277" t="n"/>
      <c r="AZ955" s="1277" t="n"/>
      <c r="BA955" s="1277" t="n"/>
      <c r="BB955" s="1277" t="n"/>
      <c r="BC955" s="1277" t="n"/>
      <c r="BD955" s="1277" t="n"/>
      <c r="BE955" s="1277" t="n"/>
      <c r="BF955" s="1277" t="n"/>
      <c r="BG955" s="1277" t="n"/>
      <c r="BH955" s="1277" t="n"/>
      <c r="BI955" s="1277" t="n"/>
      <c r="BJ955" s="1277" t="n"/>
      <c r="BK955" s="1277" t="n"/>
      <c r="BL955" s="1277" t="n"/>
      <c r="BM955" s="1277" t="n"/>
      <c r="BN955" s="1277" t="n"/>
      <c r="BO955" s="1809" t="n"/>
      <c r="BP955" s="1277" t="n"/>
      <c r="BQ955" s="1277" t="n"/>
      <c r="BR955" s="1277" t="n"/>
      <c r="BS955" s="1277" t="n"/>
      <c r="BT955" s="1277" t="n"/>
      <c r="BU955" s="1277" t="n"/>
      <c r="BV955" s="1277" t="n"/>
      <c r="BW955" s="1277" t="n"/>
      <c r="BX955" s="1277" t="n"/>
      <c r="BY955" s="1277" t="n"/>
      <c r="BZ955" s="1277" t="n"/>
      <c r="CA955" s="1277" t="n"/>
      <c r="CB955" s="1277" t="n"/>
      <c r="CC955" s="1280" t="n"/>
    </row>
    <row r="956" ht="14.4" customFormat="1" customHeight="1" s="1275">
      <c r="A956" s="1810" t="inlineStr">
        <is>
          <t>Model Checks</t>
        </is>
      </c>
      <c r="B956" s="1810" t="n"/>
      <c r="C956" s="1810" t="n"/>
      <c r="D956" s="1810" t="n"/>
      <c r="E956" s="1810" t="n"/>
      <c r="F956" s="1810" t="n"/>
      <c r="G956" s="1810" t="n"/>
      <c r="H956" s="1810" t="n"/>
      <c r="I956" s="1810" t="n"/>
      <c r="J956" s="1810" t="n"/>
      <c r="K956" s="1810" t="n"/>
      <c r="L956" s="1810" t="n"/>
      <c r="M956" s="1810" t="n"/>
      <c r="N956" s="1810" t="n"/>
      <c r="O956" s="1810" t="n"/>
      <c r="P956" s="1810" t="n"/>
      <c r="Q956" s="1810" t="n"/>
      <c r="R956" s="1810" t="n"/>
      <c r="S956" s="1810" t="n"/>
      <c r="T956" s="1810" t="n"/>
      <c r="U956" s="1810" t="n"/>
      <c r="V956" s="1810" t="n"/>
      <c r="W956" s="1810" t="n"/>
      <c r="X956" s="1810" t="n"/>
      <c r="Y956" s="1810" t="n"/>
      <c r="Z956" s="1810" t="n"/>
      <c r="AA956" s="1810" t="n"/>
      <c r="AB956" s="1810" t="n"/>
      <c r="AC956" s="1810" t="n"/>
      <c r="AD956" s="1810" t="n"/>
      <c r="AE956" s="1810" t="n"/>
      <c r="AF956" s="1810" t="n"/>
      <c r="AG956" s="1810" t="n"/>
      <c r="AH956" s="1810" t="n"/>
      <c r="AI956" s="1810" t="n"/>
      <c r="AJ956" s="1810" t="n"/>
      <c r="AK956" s="1810" t="n"/>
      <c r="AL956" s="1810" t="n"/>
      <c r="AM956" s="1810" t="n"/>
      <c r="AN956" s="1810" t="n"/>
      <c r="AO956" s="1810" t="n"/>
      <c r="AP956" s="1810" t="n"/>
      <c r="AQ956" s="1810" t="n"/>
      <c r="AR956" s="1810" t="n"/>
      <c r="AS956" s="1810" t="n"/>
      <c r="AT956" s="1810" t="n"/>
      <c r="AU956" s="1810" t="n"/>
      <c r="AV956" s="1810" t="n"/>
      <c r="AW956" s="1810" t="n"/>
      <c r="AX956" s="1810" t="n"/>
      <c r="AY956" s="1810" t="n"/>
      <c r="AZ956" s="1810" t="n"/>
      <c r="BA956" s="1810" t="n"/>
      <c r="BB956" s="1810" t="n"/>
      <c r="BC956" s="1810" t="n"/>
      <c r="BD956" s="1810" t="n"/>
      <c r="BE956" s="1810" t="n"/>
      <c r="BF956" s="1810" t="n"/>
      <c r="BG956" s="1810" t="n"/>
      <c r="BH956" s="1810" t="n"/>
      <c r="BI956" s="1810" t="n"/>
      <c r="BJ956" s="1810" t="n"/>
      <c r="BK956" s="1810" t="n"/>
      <c r="BL956" s="1810" t="n"/>
      <c r="BM956" s="1810" t="n"/>
      <c r="BN956" s="1810" t="n"/>
      <c r="BO956" s="1811" t="n"/>
      <c r="BP956" s="1810" t="n"/>
      <c r="BQ956" s="1810" t="n"/>
      <c r="BR956" s="1810" t="n"/>
      <c r="BS956" s="1810" t="n"/>
      <c r="BT956" s="1810" t="n"/>
      <c r="BU956" s="1810" t="n"/>
      <c r="BV956" s="1810" t="n"/>
      <c r="BW956" s="1810" t="n"/>
      <c r="BX956" s="1810" t="n"/>
      <c r="BY956" s="1810" t="n"/>
      <c r="BZ956" s="1810" t="n"/>
      <c r="CA956" s="1810" t="n"/>
      <c r="CB956" s="1810" t="n"/>
      <c r="CC956" s="1280" t="n"/>
    </row>
    <row r="957" ht="14.4" customFormat="1" customHeight="1" s="1275">
      <c r="A957" s="1280" t="inlineStr">
        <is>
          <t>Net Income on Revised IS = NI on CF statement</t>
        </is>
      </c>
      <c r="B957" s="1709" t="n"/>
      <c r="C957" s="1606">
        <f>IF(ISBLANK(INDEX(MO_IS_FirstRow,0,COLUMN())),0,ROUND(C675+C676-C398,6))</f>
        <v/>
      </c>
      <c r="D957" s="1606">
        <f>IF(ISBLANK(INDEX(MO_IS_FirstRow,0,COLUMN())),0,ROUND(D675+D676-D398,6))</f>
        <v/>
      </c>
      <c r="E957" s="1606">
        <f>IF(ISBLANK(INDEX(MO_IS_FirstRow,0,COLUMN())),0,ROUND(E675+E676-E398,6))</f>
        <v/>
      </c>
      <c r="F957" s="1606">
        <f>IF(ISBLANK(INDEX(MO_IS_FirstRow,0,COLUMN())),0,ROUND(F674-F394,6))</f>
        <v/>
      </c>
      <c r="G957" s="1606">
        <f>IF(ISBLANK(INDEX(MO_IS_FirstRow,0,COLUMN())),0,ROUND(G674-G394,6))</f>
        <v/>
      </c>
      <c r="H957" s="1606">
        <f>IF(ISBLANK(INDEX(MO_IS_FirstRow,0,COLUMN())),0,ROUND(H674-H394,6))</f>
        <v/>
      </c>
      <c r="I957" s="1606">
        <f>IF(ISBLANK(INDEX(MO_IS_FirstRow,0,COLUMN())),0,ROUND(I674-I394,6))</f>
        <v/>
      </c>
      <c r="J957" s="1606">
        <f>IF(ISBLANK(INDEX(MO_IS_FirstRow,0,COLUMN())),0,ROUND(J674-J394,6))</f>
        <v/>
      </c>
      <c r="K957" s="1606">
        <f>IF(ISBLANK(INDEX(MO_IS_FirstRow,0,COLUMN())),0,ROUND(K674-K394,6))</f>
        <v/>
      </c>
      <c r="L957" s="1606">
        <f>IF(ISBLANK(INDEX(MO_IS_FirstRow,0,COLUMN())),0,ROUND(L674-L394,6))</f>
        <v/>
      </c>
      <c r="M957" s="1606">
        <f>IF(ISBLANK(INDEX(MO_IS_FirstRow,0,COLUMN())),0,ROUND(M674-M394,6))</f>
        <v/>
      </c>
      <c r="N957" s="1606">
        <f>IF(ISBLANK(INDEX(MO_IS_FirstRow,0,COLUMN())),0,ROUND(N674-N394,6))</f>
        <v/>
      </c>
      <c r="O957" s="1606">
        <f>IF(ISBLANK(INDEX(MO_IS_FirstRow,0,COLUMN())),0,ROUND(O674-O394,6))</f>
        <v/>
      </c>
      <c r="P957" s="1606">
        <f>IF(ISBLANK(INDEX(MO_IS_FirstRow,0,COLUMN())),0,ROUND(P674-P394,6))</f>
        <v/>
      </c>
      <c r="Q957" s="1606">
        <f>IF(ISBLANK(INDEX(MO_IS_FirstRow,0,COLUMN())),0,ROUND(Q674-Q394,6))</f>
        <v/>
      </c>
      <c r="R957" s="1606">
        <f>IF(ISBLANK(INDEX(MO_IS_FirstRow,0,COLUMN())),0,ROUND(R674-R394,6))</f>
        <v/>
      </c>
      <c r="S957" s="1606">
        <f>IF(ISBLANK(INDEX(MO_IS_FirstRow,0,COLUMN())),0,ROUND(S674-S394,6))</f>
        <v/>
      </c>
      <c r="T957" s="1606">
        <f>IF(ISBLANK(INDEX(MO_IS_FirstRow,0,COLUMN())),0,ROUND(T674-T394,6))</f>
        <v/>
      </c>
      <c r="U957" s="1606">
        <f>IF(ISBLANK(INDEX(MO_IS_FirstRow,0,COLUMN())),0,ROUND(U674-U394,6))</f>
        <v/>
      </c>
      <c r="V957" s="1606">
        <f>IF(ISBLANK(INDEX(MO_IS_FirstRow,0,COLUMN())),0,ROUND(V674-V394,6))</f>
        <v/>
      </c>
      <c r="W957" s="1606">
        <f>IF(ISBLANK(INDEX(MO_IS_FirstRow,0,COLUMN())),0,ROUND(W674-W394,6))</f>
        <v/>
      </c>
      <c r="X957" s="1606">
        <f>IF(ISBLANK(INDEX(MO_IS_FirstRow,0,COLUMN())),0,ROUND(X674-X394,6))</f>
        <v/>
      </c>
      <c r="Y957" s="1606">
        <f>IF(ISBLANK(INDEX(MO_IS_FirstRow,0,COLUMN())),0,ROUND(Y674-Y394,6))</f>
        <v/>
      </c>
      <c r="Z957" s="1606">
        <f>IF(ISBLANK(INDEX(MO_IS_FirstRow,0,COLUMN())),0,ROUND(Z674-Z394,6))</f>
        <v/>
      </c>
      <c r="AA957" s="1606">
        <f>IF(ISBLANK(INDEX(MO_IS_FirstRow,0,COLUMN())),0,ROUND(AA674-AA394,6))</f>
        <v/>
      </c>
      <c r="AB957" s="1606">
        <f>IF(ISBLANK(INDEX(MO_IS_FirstRow,0,COLUMN())),0,ROUND(AB674-AB394,6))</f>
        <v/>
      </c>
      <c r="AC957" s="1606">
        <f>IF(ISBLANK(INDEX(MO_IS_FirstRow,0,COLUMN())),0,ROUND(AC674-AC394,6))</f>
        <v/>
      </c>
      <c r="AD957" s="1606">
        <f>IF(ISBLANK(INDEX(MO_IS_FirstRow,0,COLUMN())),0,ROUND(AD674-AD394,6))</f>
        <v/>
      </c>
      <c r="AE957" s="1606">
        <f>IF(ISBLANK(INDEX(MO_IS_FirstRow,0,COLUMN())),0,ROUND(AE674-AE394,6))</f>
        <v/>
      </c>
      <c r="AF957" s="1606">
        <f>IF(ISBLANK(INDEX(MO_IS_FirstRow,0,COLUMN())),0,ROUND(AF674-AF394,6))</f>
        <v/>
      </c>
      <c r="AG957" s="1606">
        <f>IF(ISBLANK(INDEX(MO_IS_FirstRow,0,COLUMN())),0,ROUND(AG674-AG394,6))</f>
        <v/>
      </c>
      <c r="AH957" s="1606">
        <f>IF(ISBLANK(INDEX(MO_IS_FirstRow,0,COLUMN())),0,ROUND(AH674-AH394,6))</f>
        <v/>
      </c>
      <c r="AI957" s="1606">
        <f>IF(ISBLANK(INDEX(MO_IS_FirstRow,0,COLUMN())),0,ROUND(AI674-AI394,6))</f>
        <v/>
      </c>
      <c r="AJ957" s="1606">
        <f>IF(ISBLANK(INDEX(MO_IS_FirstRow,0,COLUMN())),0,ROUND(AJ674-AJ394,6))</f>
        <v/>
      </c>
      <c r="AK957" s="1606">
        <f>IF(ISBLANK(INDEX(MO_IS_FirstRow,0,COLUMN())),0,ROUND(AK674-AK394,6))</f>
        <v/>
      </c>
      <c r="AL957" s="1606">
        <f>IF(ISBLANK(INDEX(MO_IS_FirstRow,0,COLUMN())),0,ROUND(AL674-AL394,6))</f>
        <v/>
      </c>
      <c r="AM957" s="1606">
        <f>IF(ISBLANK(INDEX(MO_IS_FirstRow,0,COLUMN())),0,ROUND(AM674-AM394,6))</f>
        <v/>
      </c>
      <c r="AN957" s="1606">
        <f>IF(ISBLANK(INDEX(MO_IS_FirstRow,0,COLUMN())),0,ROUND(AN674-AN394,6))</f>
        <v/>
      </c>
      <c r="AO957" s="1606">
        <f>IF(ISBLANK(INDEX(MO_IS_FirstRow,0,COLUMN())),0,ROUND(AO674-AO394,6))</f>
        <v/>
      </c>
      <c r="AP957" s="1606">
        <f>IF(ISBLANK(INDEX(MO_IS_FirstRow,0,COLUMN())),0,ROUND(AP674-AP394,6))</f>
        <v/>
      </c>
      <c r="AQ957" s="1606">
        <f>IF(ISBLANK(INDEX(MO_IS_FirstRow,0,COLUMN())),0,ROUND(AQ674-AQ394,6))</f>
        <v/>
      </c>
      <c r="AR957" s="1606">
        <f>IF(ISBLANK(INDEX(MO_IS_FirstRow,0,COLUMN())),0,ROUND(AR674-AR394,6))</f>
        <v/>
      </c>
      <c r="AS957" s="1606">
        <f>IF(ISBLANK(INDEX(MO_IS_FirstRow,0,COLUMN())),0,ROUND(AS674-AS394,6))</f>
        <v/>
      </c>
      <c r="AT957" s="1606">
        <f>IF(ISBLANK(INDEX(MO_IS_FirstRow,0,COLUMN())),0,ROUND(AT674-AT394,6))</f>
        <v/>
      </c>
      <c r="AU957" s="1606">
        <f>IF(ISBLANK(INDEX(MO_IS_FirstRow,0,COLUMN())),0,ROUND(AU674-AU394,6))</f>
        <v/>
      </c>
      <c r="AV957" s="1606">
        <f>IF(ISBLANK(INDEX(MO_IS_FirstRow,0,COLUMN())),0,ROUND(AV674-AV394,6))</f>
        <v/>
      </c>
      <c r="AW957" s="1606">
        <f>IF(ISBLANK(INDEX(MO_IS_FirstRow,0,COLUMN())),0,ROUND(AW674-AW394,6))</f>
        <v/>
      </c>
      <c r="AX957" s="1606">
        <f>IF(ISBLANK(INDEX(MO_IS_FirstRow,0,COLUMN())),0,ROUND(AX674-AX394,6))</f>
        <v/>
      </c>
      <c r="AY957" s="1606">
        <f>IF(ISBLANK(INDEX(MO_IS_FirstRow,0,COLUMN())),0,ROUND(AY674-AY394,6))</f>
        <v/>
      </c>
      <c r="AZ957" s="1606">
        <f>IF(ISBLANK(INDEX(MO_IS_FirstRow,0,COLUMN())),0,ROUND(AZ674-AZ394,6))</f>
        <v/>
      </c>
      <c r="BA957" s="1606">
        <f>IF(ISBLANK(INDEX(MO_IS_FirstRow,0,COLUMN())),0,ROUND(BA674-BA394,6))</f>
        <v/>
      </c>
      <c r="BB957" s="1606">
        <f>IF(ISBLANK(INDEX(MO_IS_FirstRow,0,COLUMN())),0,ROUND(BB674-BB394,6))</f>
        <v/>
      </c>
      <c r="BC957" s="1606">
        <f>IF(ISBLANK(INDEX(MO_IS_FirstRow,0,COLUMN())),0,ROUND(BC674-BC394,6))</f>
        <v/>
      </c>
      <c r="BD957" s="1606">
        <f>IF(ISBLANK(INDEX(MO_IS_FirstRow,0,COLUMN())),0,ROUND(BD674-BD394,6))</f>
        <v/>
      </c>
      <c r="BE957" s="1606">
        <f>IF(ISBLANK(INDEX(MO_IS_FirstRow,0,COLUMN())),0,ROUND(BE674-BE394,6))</f>
        <v/>
      </c>
      <c r="BF957" s="1606">
        <f>IF(ISBLANK(INDEX(MO_IS_FirstRow,0,COLUMN())),0,ROUND(BF674-BF394,6))</f>
        <v/>
      </c>
      <c r="BG957" s="1606">
        <f>IF(ISBLANK(INDEX(MO_IS_FirstRow,0,COLUMN())),0,ROUND(BG674-BG394,6))</f>
        <v/>
      </c>
      <c r="BH957" s="1606">
        <f>IF(ISBLANK(INDEX(MO_IS_FirstRow,0,COLUMN())),0,ROUND(BH674-BH394,6))</f>
        <v/>
      </c>
      <c r="BI957" s="1606">
        <f>IF(ISBLANK(INDEX(MO_IS_FirstRow,0,COLUMN())),0,ROUND(BI674-BI394,6))</f>
        <v/>
      </c>
      <c r="BJ957" s="1606">
        <f>IF(ISBLANK(INDEX(MO_IS_FirstRow,0,COLUMN())),0,ROUND(BJ674-BJ394,6))</f>
        <v/>
      </c>
      <c r="BK957" s="1606">
        <f>IF(ISBLANK(INDEX(MO_IS_FirstRow,0,COLUMN())),0,ROUND(BK674-BK394,6))</f>
        <v/>
      </c>
      <c r="BL957" s="1606">
        <f>IF(ISBLANK(INDEX(MO_IS_FirstRow,0,COLUMN())),0,ROUND(BL674-BL394,6))</f>
        <v/>
      </c>
      <c r="BM957" s="1606">
        <f>IF(ISBLANK(INDEX(MO_IS_FirstRow,0,COLUMN())),0,ROUND(BM674-BM394,6))</f>
        <v/>
      </c>
      <c r="BN957" s="1606">
        <f>IF(ISBLANK(INDEX(MO_IS_FirstRow,0,COLUMN())),0,ROUND(BN674-BN394,6))</f>
        <v/>
      </c>
      <c r="BO957" s="1607">
        <f>IF(ISBLANK(INDEX(MO_IS_FirstRow,0,COLUMN())),0,ROUND(BO674-BO394,6))</f>
        <v/>
      </c>
      <c r="BP957" s="1606">
        <f>IF(ISBLANK(INDEX(MO_IS_FirstRow,0,COLUMN())),0,ROUND(BP674-BP394,6))</f>
        <v/>
      </c>
      <c r="BQ957" s="1606">
        <f>IF(ISBLANK(INDEX(MO_IS_FirstRow,0,COLUMN())),0,ROUND(BQ674-BQ394,6))</f>
        <v/>
      </c>
      <c r="BR957" s="1606">
        <f>IF(ISBLANK(INDEX(MO_IS_FirstRow,0,COLUMN())),0,ROUND(BR674-BR394,6))</f>
        <v/>
      </c>
      <c r="BS957" s="1606">
        <f>IF(ISBLANK(INDEX(MO_IS_FirstRow,0,COLUMN())),0,ROUND(BS674-BS394,6))</f>
        <v/>
      </c>
      <c r="BT957" s="1606">
        <f>IF(ISBLANK(INDEX(MO_IS_FirstRow,0,COLUMN())),0,ROUND(BT674-BT394,6))</f>
        <v/>
      </c>
      <c r="BU957" s="1606">
        <f>IF(ISBLANK(INDEX(MO_IS_FirstRow,0,COLUMN())),0,ROUND(BU674-BU394,6))</f>
        <v/>
      </c>
      <c r="BV957" s="1606">
        <f>IF(ISBLANK(INDEX(MO_IS_FirstRow,0,COLUMN())),0,ROUND(BV674-BV394,6))</f>
        <v/>
      </c>
      <c r="BW957" s="1606">
        <f>IF(ISBLANK(INDEX(MO_IS_FirstRow,0,COLUMN())),0,ROUND(BW674-BW394,6))</f>
        <v/>
      </c>
      <c r="BX957" s="1606">
        <f>IF(ISBLANK(INDEX(MO_IS_FirstRow,0,COLUMN())),0,ROUND(BX674-BX394,6))</f>
        <v/>
      </c>
      <c r="BY957" s="1606">
        <f>IF(ISBLANK(INDEX(MO_IS_FirstRow,0,COLUMN())),0,ROUND(BY674-BY394,6))</f>
        <v/>
      </c>
      <c r="BZ957" s="1606">
        <f>IF(ISBLANK(INDEX(MO_IS_FirstRow,0,COLUMN())),0,ROUND(BZ674-BZ394,6))</f>
        <v/>
      </c>
      <c r="CA957" s="1606">
        <f>IF(ISBLANK(INDEX(MO_IS_FirstRow,0,COLUMN())),0,ROUND(CA674-CA394,6))</f>
        <v/>
      </c>
      <c r="CB957" s="1606">
        <f>IF(ISBLANK(INDEX(MO_IS_FirstRow,0,COLUMN())),0,ROUND(CB674-CB394,6))</f>
        <v/>
      </c>
      <c r="CC957" s="1280" t="n"/>
    </row>
    <row r="958" ht="14.4" customFormat="1" customHeight="1" s="1275">
      <c r="A958" s="1280" t="inlineStr">
        <is>
          <t>Net Income on Reported IS = NI on Revised</t>
        </is>
      </c>
      <c r="B958" s="1709" t="n"/>
      <c r="C958" s="1606">
        <f>IF(ISBLANK(INDEX(MO_IS_FirstRow,0,COLUMN())),0,ROUND(C362-C398,6))</f>
        <v/>
      </c>
      <c r="D958" s="1606">
        <f>IF(ISBLANK(INDEX(MO_IS_FirstRow,0,COLUMN())),0,ROUND(D362-D398,6))</f>
        <v/>
      </c>
      <c r="E958" s="1606">
        <f>IF(ISBLANK(INDEX(MO_IS_FirstRow,0,COLUMN())),0,ROUND(E362-E398,6))</f>
        <v/>
      </c>
      <c r="F958" s="1606">
        <f>IF(ISBLANK(INDEX(MO_IS_FirstRow,0,COLUMN())),0,ROUND(F362-F398,6))</f>
        <v/>
      </c>
      <c r="G958" s="1606">
        <f>IF(ISBLANK(INDEX(MO_IS_FirstRow,0,COLUMN())),0,ROUND(G362-G398,6))</f>
        <v/>
      </c>
      <c r="H958" s="1606">
        <f>IF(ISBLANK(INDEX(MO_IS_FirstRow,0,COLUMN())),0,ROUND(H362-H398,6))</f>
        <v/>
      </c>
      <c r="I958" s="1606">
        <f>IF(ISBLANK(INDEX(MO_IS_FirstRow,0,COLUMN())),0,ROUND(I362-I398,6))</f>
        <v/>
      </c>
      <c r="J958" s="1606">
        <f>IF(ISBLANK(INDEX(MO_IS_FirstRow,0,COLUMN())),0,ROUND(J362-J398,6))</f>
        <v/>
      </c>
      <c r="K958" s="1606">
        <f>IF(ISBLANK(INDEX(MO_IS_FirstRow,0,COLUMN())),0,ROUND(K362-K398,6))</f>
        <v/>
      </c>
      <c r="L958" s="1606">
        <f>IF(ISBLANK(INDEX(MO_IS_FirstRow,0,COLUMN())),0,ROUND(L362-L398,6))</f>
        <v/>
      </c>
      <c r="M958" s="1606">
        <f>IF(ISBLANK(INDEX(MO_IS_FirstRow,0,COLUMN())),0,ROUND(M362-M398,6))</f>
        <v/>
      </c>
      <c r="N958" s="1606">
        <f>IF(ISBLANK(INDEX(MO_IS_FirstRow,0,COLUMN())),0,ROUND(N362-N398,6))</f>
        <v/>
      </c>
      <c r="O958" s="1606">
        <f>IF(ISBLANK(INDEX(MO_IS_FirstRow,0,COLUMN())),0,ROUND(O362-O398,6))</f>
        <v/>
      </c>
      <c r="P958" s="1606">
        <f>IF(ISBLANK(INDEX(MO_IS_FirstRow,0,COLUMN())),0,ROUND(P362-P398,6))</f>
        <v/>
      </c>
      <c r="Q958" s="1606">
        <f>IF(ISBLANK(INDEX(MO_IS_FirstRow,0,COLUMN())),0,ROUND(Q362-Q398,6))</f>
        <v/>
      </c>
      <c r="R958" s="1606">
        <f>IF(ISBLANK(INDEX(MO_IS_FirstRow,0,COLUMN())),0,ROUND(R362-R398,6))</f>
        <v/>
      </c>
      <c r="S958" s="1606">
        <f>IF(ISBLANK(INDEX(MO_IS_FirstRow,0,COLUMN())),0,ROUND(S362-S398,6))</f>
        <v/>
      </c>
      <c r="T958" s="1606">
        <f>IF(ISBLANK(INDEX(MO_IS_FirstRow,0,COLUMN())),0,ROUND(T362-T398,6))</f>
        <v/>
      </c>
      <c r="U958" s="1606">
        <f>IF(ISBLANK(INDEX(MO_IS_FirstRow,0,COLUMN())),0,ROUND(U362-U398,6))</f>
        <v/>
      </c>
      <c r="V958" s="1606">
        <f>IF(ISBLANK(INDEX(MO_IS_FirstRow,0,COLUMN())),0,ROUND(V362-V398,6))</f>
        <v/>
      </c>
      <c r="W958" s="1606">
        <f>IF(ISBLANK(INDEX(MO_IS_FirstRow,0,COLUMN())),0,ROUND(W362-W398,6))</f>
        <v/>
      </c>
      <c r="X958" s="1606">
        <f>IF(ISBLANK(INDEX(MO_IS_FirstRow,0,COLUMN())),0,ROUND(X362-X398,6))</f>
        <v/>
      </c>
      <c r="Y958" s="1606">
        <f>IF(ISBLANK(INDEX(MO_IS_FirstRow,0,COLUMN())),0,ROUND(Y362-Y398,6))</f>
        <v/>
      </c>
      <c r="Z958" s="1606">
        <f>IF(ISBLANK(INDEX(MO_IS_FirstRow,0,COLUMN())),0,ROUND(Z362-Z398,6))</f>
        <v/>
      </c>
      <c r="AA958" s="1606">
        <f>IF(ISBLANK(INDEX(MO_IS_FirstRow,0,COLUMN())),0,ROUND(AA362-AA398,6))</f>
        <v/>
      </c>
      <c r="AB958" s="1606">
        <f>IF(ISBLANK(INDEX(MO_IS_FirstRow,0,COLUMN())),0,ROUND(AB362-AB398,6))</f>
        <v/>
      </c>
      <c r="AC958" s="1606">
        <f>IF(ISBLANK(INDEX(MO_IS_FirstRow,0,COLUMN())),0,ROUND(AC362-AC398,6))</f>
        <v/>
      </c>
      <c r="AD958" s="1606">
        <f>IF(ISBLANK(INDEX(MO_IS_FirstRow,0,COLUMN())),0,ROUND(AD362-AD398,6))</f>
        <v/>
      </c>
      <c r="AE958" s="1606">
        <f>IF(ISBLANK(INDEX(MO_IS_FirstRow,0,COLUMN())),0,ROUND(AE362-AE398,6))</f>
        <v/>
      </c>
      <c r="AF958" s="1606">
        <f>IF(ISBLANK(INDEX(MO_IS_FirstRow,0,COLUMN())),0,ROUND(AF362-AF398,6))</f>
        <v/>
      </c>
      <c r="AG958" s="1606">
        <f>IF(ISBLANK(INDEX(MO_IS_FirstRow,0,COLUMN())),0,ROUND(AG362-AG398,6))</f>
        <v/>
      </c>
      <c r="AH958" s="1606">
        <f>IF(ISBLANK(INDEX(MO_IS_FirstRow,0,COLUMN())),0,ROUND(AH362-AH398,6))</f>
        <v/>
      </c>
      <c r="AI958" s="1606">
        <f>IF(ISBLANK(INDEX(MO_IS_FirstRow,0,COLUMN())),0,ROUND(AI362-AI398,6))</f>
        <v/>
      </c>
      <c r="AJ958" s="1606">
        <f>IF(ISBLANK(INDEX(MO_IS_FirstRow,0,COLUMN())),0,ROUND(AJ362-AJ398,6))</f>
        <v/>
      </c>
      <c r="AK958" s="1606">
        <f>IF(ISBLANK(INDEX(MO_IS_FirstRow,0,COLUMN())),0,ROUND(AK362-AK398,6))</f>
        <v/>
      </c>
      <c r="AL958" s="1606">
        <f>IF(ISBLANK(INDEX(MO_IS_FirstRow,0,COLUMN())),0,ROUND(AL362-AL398,6))</f>
        <v/>
      </c>
      <c r="AM958" s="1606">
        <f>IF(ISBLANK(INDEX(MO_IS_FirstRow,0,COLUMN())),0,ROUND(AM362-AM398,6))</f>
        <v/>
      </c>
      <c r="AN958" s="1606">
        <f>IF(ISBLANK(INDEX(MO_IS_FirstRow,0,COLUMN())),0,ROUND(AN362-AN398,6))</f>
        <v/>
      </c>
      <c r="AO958" s="1606">
        <f>IF(ISBLANK(INDEX(MO_IS_FirstRow,0,COLUMN())),0,ROUND(AO362-AO398,6))</f>
        <v/>
      </c>
      <c r="AP958" s="1606">
        <f>IF(ISBLANK(INDEX(MO_IS_FirstRow,0,COLUMN())),0,ROUND(AP362-AP398,6))</f>
        <v/>
      </c>
      <c r="AQ958" s="1606">
        <f>IF(ISBLANK(INDEX(MO_IS_FirstRow,0,COLUMN())),0,ROUND(AQ362-AQ398,6))</f>
        <v/>
      </c>
      <c r="AR958" s="1606">
        <f>IF(ISBLANK(INDEX(MO_IS_FirstRow,0,COLUMN())),0,ROUND(AR362-AR398,6))</f>
        <v/>
      </c>
      <c r="AS958" s="1606">
        <f>IF(ISBLANK(INDEX(MO_IS_FirstRow,0,COLUMN())),0,ROUND(AS362-AS398,6))</f>
        <v/>
      </c>
      <c r="AT958" s="1606">
        <f>IF(ISBLANK(INDEX(MO_IS_FirstRow,0,COLUMN())),0,ROUND(AT362-AT398,6))</f>
        <v/>
      </c>
      <c r="AU958" s="1606">
        <f>IF(ISBLANK(INDEX(MO_IS_FirstRow,0,COLUMN())),0,ROUND(AU362-AU398,6))</f>
        <v/>
      </c>
      <c r="AV958" s="1606">
        <f>IF(ISBLANK(INDEX(MO_IS_FirstRow,0,COLUMN())),0,ROUND(AV362-AV398,6))</f>
        <v/>
      </c>
      <c r="AW958" s="1606">
        <f>IF(ISBLANK(INDEX(MO_IS_FirstRow,0,COLUMN())),0,ROUND(AW362-AW398,6))</f>
        <v/>
      </c>
      <c r="AX958" s="1606">
        <f>IF(ISBLANK(INDEX(MO_IS_FirstRow,0,COLUMN())),0,ROUND(AX362-AX398,6))</f>
        <v/>
      </c>
      <c r="AY958" s="1606">
        <f>IF(ISBLANK(INDEX(MO_IS_FirstRow,0,COLUMN())),0,ROUND(AY362-AY398,6))</f>
        <v/>
      </c>
      <c r="AZ958" s="1606">
        <f>IF(ISBLANK(INDEX(MO_IS_FirstRow,0,COLUMN())),0,ROUND(AZ362-AZ398,6))</f>
        <v/>
      </c>
      <c r="BA958" s="1606">
        <f>IF(ISBLANK(INDEX(MO_IS_FirstRow,0,COLUMN())),0,ROUND(BA362-BA398,6))</f>
        <v/>
      </c>
      <c r="BB958" s="1606">
        <f>IF(ISBLANK(INDEX(MO_IS_FirstRow,0,COLUMN())),0,ROUND(BB362-BB398,6))</f>
        <v/>
      </c>
      <c r="BC958" s="1606">
        <f>IF(ISBLANK(INDEX(MO_IS_FirstRow,0,COLUMN())),0,ROUND(BC362-BC398,6))</f>
        <v/>
      </c>
      <c r="BD958" s="1606">
        <f>IF(ISBLANK(INDEX(MO_IS_FirstRow,0,COLUMN())),0,ROUND(BD362-BD398,6))</f>
        <v/>
      </c>
      <c r="BE958" s="1606">
        <f>IF(ISBLANK(INDEX(MO_IS_FirstRow,0,COLUMN())),0,ROUND(BE362-BE398,6))</f>
        <v/>
      </c>
      <c r="BF958" s="1606">
        <f>IF(ISBLANK(INDEX(MO_IS_FirstRow,0,COLUMN())),0,ROUND(BF362-BF398,6))</f>
        <v/>
      </c>
      <c r="BG958" s="1606">
        <f>IF(ISBLANK(INDEX(MO_IS_FirstRow,0,COLUMN())),0,ROUND(BG362-BG398,6))</f>
        <v/>
      </c>
      <c r="BH958" s="1606">
        <f>IF(ISBLANK(INDEX(MO_IS_FirstRow,0,COLUMN())),0,ROUND(BH362-BH398,6))</f>
        <v/>
      </c>
      <c r="BI958" s="1606">
        <f>IF(ISBLANK(INDEX(MO_IS_FirstRow,0,COLUMN())),0,ROUND(BI362-BI398,6))</f>
        <v/>
      </c>
      <c r="BJ958" s="1606">
        <f>IF(ISBLANK(INDEX(MO_IS_FirstRow,0,COLUMN())),0,ROUND(BJ362-BJ398,6))</f>
        <v/>
      </c>
      <c r="BK958" s="1606">
        <f>IF(ISBLANK(INDEX(MO_IS_FirstRow,0,COLUMN())),0,ROUND(BK362-BK398,6))</f>
        <v/>
      </c>
      <c r="BL958" s="1606">
        <f>IF(ISBLANK(INDEX(MO_IS_FirstRow,0,COLUMN())),0,ROUND(BL362-BL398,6))</f>
        <v/>
      </c>
      <c r="BM958" s="1606">
        <f>IF(ISBLANK(INDEX(MO_IS_FirstRow,0,COLUMN())),0,ROUND(BM362-BM398,6))</f>
        <v/>
      </c>
      <c r="BN958" s="1606">
        <f>IF(ISBLANK(INDEX(MO_IS_FirstRow,0,COLUMN())),0,ROUND(BN362-BN398,6))</f>
        <v/>
      </c>
      <c r="BO958" s="1607">
        <f>IF(ISBLANK(INDEX(MO_IS_FirstRow,0,COLUMN())),0,ROUND(BO362-BO398,6))</f>
        <v/>
      </c>
      <c r="BP958" s="1606">
        <f>IF(ISBLANK(INDEX(MO_IS_FirstRow,0,COLUMN())),0,ROUND(BP362-BP398,6))</f>
        <v/>
      </c>
      <c r="BQ958" s="1606">
        <f>IF(ISBLANK(INDEX(MO_IS_FirstRow,0,COLUMN())),0,ROUND(BQ362-BQ398,6))</f>
        <v/>
      </c>
      <c r="BR958" s="1606">
        <f>IF(ISBLANK(INDEX(MO_IS_FirstRow,0,COLUMN())),0,ROUND(BR362-BR398,6))</f>
        <v/>
      </c>
      <c r="BS958" s="1606">
        <f>IF(ISBLANK(INDEX(MO_IS_FirstRow,0,COLUMN())),0,ROUND(BS362-BS398,6))</f>
        <v/>
      </c>
      <c r="BT958" s="1606">
        <f>IF(ISBLANK(INDEX(MO_IS_FirstRow,0,COLUMN())),0,ROUND(BT362-BT398,6))</f>
        <v/>
      </c>
      <c r="BU958" s="1606">
        <f>IF(ISBLANK(INDEX(MO_IS_FirstRow,0,COLUMN())),0,ROUND(BU362-BU398,6))</f>
        <v/>
      </c>
      <c r="BV958" s="1606">
        <f>IF(ISBLANK(INDEX(MO_IS_FirstRow,0,COLUMN())),0,ROUND(BV362-BV398,6))</f>
        <v/>
      </c>
      <c r="BW958" s="1606">
        <f>IF(ISBLANK(INDEX(MO_IS_FirstRow,0,COLUMN())),0,ROUND(BW362-BW398,6))</f>
        <v/>
      </c>
      <c r="BX958" s="1606">
        <f>IF(ISBLANK(INDEX(MO_IS_FirstRow,0,COLUMN())),0,ROUND(BX362-BX398,6))</f>
        <v/>
      </c>
      <c r="BY958" s="1606">
        <f>IF(ISBLANK(INDEX(MO_IS_FirstRow,0,COLUMN())),0,ROUND(BY362-BY398,6))</f>
        <v/>
      </c>
      <c r="BZ958" s="1606">
        <f>IF(ISBLANK(INDEX(MO_IS_FirstRow,0,COLUMN())),0,ROUND(BZ362-BZ398,6))</f>
        <v/>
      </c>
      <c r="CA958" s="1606">
        <f>IF(ISBLANK(INDEX(MO_IS_FirstRow,0,COLUMN())),0,ROUND(CA362-CA398,6))</f>
        <v/>
      </c>
      <c r="CB958" s="1606">
        <f>IF(ISBLANK(INDEX(MO_IS_FirstRow,0,COLUMN())),0,ROUND(CB362-CB398,6))</f>
        <v/>
      </c>
      <c r="CC958" s="1280" t="n"/>
    </row>
    <row r="959" ht="14.4" customFormat="1" customHeight="1" s="1275">
      <c r="A959" s="1280" t="inlineStr">
        <is>
          <t>Cash is Positive</t>
        </is>
      </c>
      <c r="B959" s="1709" t="n"/>
      <c r="C959" s="1606">
        <f>IF(C478&lt;0,C478,0)</f>
        <v/>
      </c>
      <c r="D959" s="1606">
        <f>IF(D478&lt;0,D478,0)</f>
        <v/>
      </c>
      <c r="E959" s="1606">
        <f>IF(E478&lt;0,E478,0)</f>
        <v/>
      </c>
      <c r="F959" s="1606">
        <f>IF(F478&lt;0,F478,0)</f>
        <v/>
      </c>
      <c r="G959" s="1606">
        <f>IF(G478&lt;0,G478,0)</f>
        <v/>
      </c>
      <c r="H959" s="1606">
        <f>IF(H478&lt;0,H478,0)</f>
        <v/>
      </c>
      <c r="I959" s="1606">
        <f>IF(I478&lt;0,I478,0)</f>
        <v/>
      </c>
      <c r="J959" s="1606">
        <f>IF(J478&lt;0,J478,0)</f>
        <v/>
      </c>
      <c r="K959" s="1606">
        <f>IF(K478&lt;0,K478,0)</f>
        <v/>
      </c>
      <c r="L959" s="1606">
        <f>IF(L478&lt;0,L478,0)</f>
        <v/>
      </c>
      <c r="M959" s="1606">
        <f>IF(M478&lt;0,M478,0)</f>
        <v/>
      </c>
      <c r="N959" s="1606">
        <f>IF(N478&lt;0,N478,0)</f>
        <v/>
      </c>
      <c r="O959" s="1606">
        <f>IF(O478&lt;0,O478,0)</f>
        <v/>
      </c>
      <c r="P959" s="1606">
        <f>IF(P478&lt;0,P478,0)</f>
        <v/>
      </c>
      <c r="Q959" s="1606">
        <f>IF(Q478&lt;0,Q478,0)</f>
        <v/>
      </c>
      <c r="R959" s="1606">
        <f>IF(R478&lt;0,R478,0)</f>
        <v/>
      </c>
      <c r="S959" s="1606">
        <f>IF(S478&lt;0,S478,0)</f>
        <v/>
      </c>
      <c r="T959" s="1606">
        <f>IF(T478&lt;0,T478,0)</f>
        <v/>
      </c>
      <c r="U959" s="1606">
        <f>IF(U478&lt;0,U478,0)</f>
        <v/>
      </c>
      <c r="V959" s="1606">
        <f>IF(V478&lt;0,V478,0)</f>
        <v/>
      </c>
      <c r="W959" s="1606">
        <f>IF(W478&lt;0,W478,0)</f>
        <v/>
      </c>
      <c r="X959" s="1606">
        <f>IF(X478&lt;0,X478,0)</f>
        <v/>
      </c>
      <c r="Y959" s="1606">
        <f>IF(Y478&lt;0,Y478,0)</f>
        <v/>
      </c>
      <c r="Z959" s="1606">
        <f>IF(Z478&lt;0,Z478,0)</f>
        <v/>
      </c>
      <c r="AA959" s="1606">
        <f>IF(AA478&lt;0,AA478,0)</f>
        <v/>
      </c>
      <c r="AB959" s="1606">
        <f>IF(AB478&lt;0,AB478,0)</f>
        <v/>
      </c>
      <c r="AC959" s="1606">
        <f>IF(AC478&lt;0,AC478,0)</f>
        <v/>
      </c>
      <c r="AD959" s="1606">
        <f>IF(AD478&lt;0,AD478,0)</f>
        <v/>
      </c>
      <c r="AE959" s="1606">
        <f>IF(AE478&lt;0,AE478,0)</f>
        <v/>
      </c>
      <c r="AF959" s="1606">
        <f>IF(AF478&lt;0,AF478,0)</f>
        <v/>
      </c>
      <c r="AG959" s="1606">
        <f>IF(AG478&lt;0,AG478,0)</f>
        <v/>
      </c>
      <c r="AH959" s="1606">
        <f>IF(AH478&lt;0,AH478,0)</f>
        <v/>
      </c>
      <c r="AI959" s="1606">
        <f>IF(AI478&lt;0,AI478,0)</f>
        <v/>
      </c>
      <c r="AJ959" s="1606">
        <f>IF(AJ478&lt;0,AJ478,0)</f>
        <v/>
      </c>
      <c r="AK959" s="1606">
        <f>IF(AK478&lt;0,AK478,0)</f>
        <v/>
      </c>
      <c r="AL959" s="1606">
        <f>IF(AL478&lt;0,AL478,0)</f>
        <v/>
      </c>
      <c r="AM959" s="1606">
        <f>IF(AM478&lt;0,AM478,0)</f>
        <v/>
      </c>
      <c r="AN959" s="1606">
        <f>IF(AN478&lt;0,AN478,0)</f>
        <v/>
      </c>
      <c r="AO959" s="1606">
        <f>IF(AO478&lt;0,AO478,0)</f>
        <v/>
      </c>
      <c r="AP959" s="1606">
        <f>IF(AP478&lt;0,AP478,0)</f>
        <v/>
      </c>
      <c r="AQ959" s="1606">
        <f>IF(AQ478&lt;0,AQ478,0)</f>
        <v/>
      </c>
      <c r="AR959" s="1606">
        <f>IF(AR478&lt;0,AR478,0)</f>
        <v/>
      </c>
      <c r="AS959" s="1606">
        <f>IF(AS478&lt;0,AS478,0)</f>
        <v/>
      </c>
      <c r="AT959" s="1606">
        <f>IF(AT478&lt;0,AT478,0)</f>
        <v/>
      </c>
      <c r="AU959" s="1606">
        <f>IF(AU478&lt;0,AU478,0)</f>
        <v/>
      </c>
      <c r="AV959" s="1606">
        <f>IF(AV478&lt;0,AV478,0)</f>
        <v/>
      </c>
      <c r="AW959" s="1606">
        <f>IF(AW478&lt;0,AW478,0)</f>
        <v/>
      </c>
      <c r="AX959" s="1606">
        <f>IF(AX478&lt;0,AX478,0)</f>
        <v/>
      </c>
      <c r="AY959" s="1606">
        <f>IF(AY478&lt;0,AY478,0)</f>
        <v/>
      </c>
      <c r="AZ959" s="1606">
        <f>IF(AZ478&lt;0,AZ478,0)</f>
        <v/>
      </c>
      <c r="BA959" s="1606">
        <f>IF(BA478&lt;0,BA478,0)</f>
        <v/>
      </c>
      <c r="BB959" s="1606">
        <f>IF(BB478&lt;0,BB478,0)</f>
        <v/>
      </c>
      <c r="BC959" s="1606">
        <f>IF(BC478&lt;0,BC478,0)</f>
        <v/>
      </c>
      <c r="BD959" s="1606">
        <f>IF(BD478&lt;0,BD478,0)</f>
        <v/>
      </c>
      <c r="BE959" s="1606">
        <f>IF(BE478&lt;0,BE478,0)</f>
        <v/>
      </c>
      <c r="BF959" s="1606">
        <f>IF(BF478&lt;0,BF478,0)</f>
        <v/>
      </c>
      <c r="BG959" s="1606">
        <f>IF(BG478&lt;0,BG478,0)</f>
        <v/>
      </c>
      <c r="BH959" s="1606">
        <f>IF(BH478&lt;0,BH478,0)</f>
        <v/>
      </c>
      <c r="BI959" s="1606">
        <f>IF(BI478&lt;0,BI478,0)</f>
        <v/>
      </c>
      <c r="BJ959" s="1606">
        <f>IF(BJ478&lt;0,BJ478,0)</f>
        <v/>
      </c>
      <c r="BK959" s="1606">
        <f>IF(BK478&lt;0,BK478,0)</f>
        <v/>
      </c>
      <c r="BL959" s="1606">
        <f>IF(BL478&lt;0,BL478,0)</f>
        <v/>
      </c>
      <c r="BM959" s="1606">
        <f>IF(BM478&lt;0,BM478,0)</f>
        <v/>
      </c>
      <c r="BN959" s="1606">
        <f>IF(BN478&lt;0,BN478,0)</f>
        <v/>
      </c>
      <c r="BO959" s="1607">
        <f>IF(BO478&lt;0,BO478,0)</f>
        <v/>
      </c>
      <c r="BP959" s="1606">
        <f>IF(BP478&lt;0,BP478,0)</f>
        <v/>
      </c>
      <c r="BQ959" s="1606">
        <f>IF(BQ478&lt;0,BQ478,0)</f>
        <v/>
      </c>
      <c r="BR959" s="1606">
        <f>IF(BR478&lt;0,BR478,0)</f>
        <v/>
      </c>
      <c r="BS959" s="1606">
        <f>IF(BS478&lt;0,BS478,0)</f>
        <v/>
      </c>
      <c r="BT959" s="1606">
        <f>IF(BT478&lt;0,BT478,0)</f>
        <v/>
      </c>
      <c r="BU959" s="1606">
        <f>IF(BU478&lt;0,BU478,0)</f>
        <v/>
      </c>
      <c r="BV959" s="1606">
        <f>IF(BV478&lt;0,BV478,0)</f>
        <v/>
      </c>
      <c r="BW959" s="1606">
        <f>IF(BW478&lt;0,BW478,0)</f>
        <v/>
      </c>
      <c r="BX959" s="1606">
        <f>IF(BX478&lt;0,BX478,0)</f>
        <v/>
      </c>
      <c r="BY959" s="1606">
        <f>IF(BY478&lt;0,BY478,0)</f>
        <v/>
      </c>
      <c r="BZ959" s="1606">
        <f>IF(BZ478&lt;0,BZ478,0)</f>
        <v/>
      </c>
      <c r="CA959" s="1606">
        <f>IF(CA478&lt;0,CA478,0)</f>
        <v/>
      </c>
      <c r="CB959" s="1606">
        <f>IF(CB478&lt;0,CB478,0)</f>
        <v/>
      </c>
      <c r="CC959" s="1280" t="n"/>
    </row>
    <row r="960" ht="14.4" customFormat="1" customHeight="1" s="1275">
      <c r="A960" s="1280" t="inlineStr">
        <is>
          <t>Debt is Positive</t>
        </is>
      </c>
      <c r="B960" s="1709" t="n"/>
      <c r="C960" s="1606">
        <f>IF(C481&lt;0,C481,0)</f>
        <v/>
      </c>
      <c r="D960" s="1606">
        <f>IF(D481&lt;0,D481,0)</f>
        <v/>
      </c>
      <c r="E960" s="1606">
        <f>IF(E481&lt;0,E481,0)</f>
        <v/>
      </c>
      <c r="F960" s="1606">
        <f>IF(F481&lt;0,F481,0)</f>
        <v/>
      </c>
      <c r="G960" s="1606">
        <f>IF(G481&lt;0,G481,0)</f>
        <v/>
      </c>
      <c r="H960" s="1606">
        <f>IF(H481&lt;0,H481,0)</f>
        <v/>
      </c>
      <c r="I960" s="1606">
        <f>IF(I481&lt;0,I481,0)</f>
        <v/>
      </c>
      <c r="J960" s="1606">
        <f>IF(J481&lt;0,J481,0)</f>
        <v/>
      </c>
      <c r="K960" s="1606">
        <f>IF(K481&lt;0,K481,0)</f>
        <v/>
      </c>
      <c r="L960" s="1606">
        <f>IF(L481&lt;0,L481,0)</f>
        <v/>
      </c>
      <c r="M960" s="1606">
        <f>IF(M481&lt;0,M481,0)</f>
        <v/>
      </c>
      <c r="N960" s="1606">
        <f>IF(N481&lt;0,N481,0)</f>
        <v/>
      </c>
      <c r="O960" s="1606">
        <f>IF(O481&lt;0,O481,0)</f>
        <v/>
      </c>
      <c r="P960" s="1606">
        <f>IF(P481&lt;0,P481,0)</f>
        <v/>
      </c>
      <c r="Q960" s="1606">
        <f>IF(Q481&lt;0,Q481,0)</f>
        <v/>
      </c>
      <c r="R960" s="1606">
        <f>IF(R481&lt;0,R481,0)</f>
        <v/>
      </c>
      <c r="S960" s="1606">
        <f>IF(S481&lt;0,S481,0)</f>
        <v/>
      </c>
      <c r="T960" s="1606">
        <f>IF(T481&lt;0,T481,0)</f>
        <v/>
      </c>
      <c r="U960" s="1606">
        <f>IF(U481&lt;0,U481,0)</f>
        <v/>
      </c>
      <c r="V960" s="1606">
        <f>IF(V481&lt;0,V481,0)</f>
        <v/>
      </c>
      <c r="W960" s="1606">
        <f>IF(W481&lt;0,W481,0)</f>
        <v/>
      </c>
      <c r="X960" s="1606">
        <f>IF(X481&lt;0,X481,0)</f>
        <v/>
      </c>
      <c r="Y960" s="1606">
        <f>IF(Y481&lt;0,Y481,0)</f>
        <v/>
      </c>
      <c r="Z960" s="1606">
        <f>IF(Z481&lt;0,Z481,0)</f>
        <v/>
      </c>
      <c r="AA960" s="1606">
        <f>IF(AA481&lt;0,AA481,0)</f>
        <v/>
      </c>
      <c r="AB960" s="1606">
        <f>IF(AB481&lt;0,AB481,0)</f>
        <v/>
      </c>
      <c r="AC960" s="1606">
        <f>IF(AC481&lt;0,AC481,0)</f>
        <v/>
      </c>
      <c r="AD960" s="1606">
        <f>IF(AD481&lt;0,AD481,0)</f>
        <v/>
      </c>
      <c r="AE960" s="1606">
        <f>IF(AE481&lt;0,AE481,0)</f>
        <v/>
      </c>
      <c r="AF960" s="1606">
        <f>IF(AF481&lt;0,AF481,0)</f>
        <v/>
      </c>
      <c r="AG960" s="1606">
        <f>IF(AG481&lt;0,AG481,0)</f>
        <v/>
      </c>
      <c r="AH960" s="1606">
        <f>IF(AH481&lt;0,AH481,0)</f>
        <v/>
      </c>
      <c r="AI960" s="1606">
        <f>IF(AI481&lt;0,AI481,0)</f>
        <v/>
      </c>
      <c r="AJ960" s="1606">
        <f>IF(AJ481&lt;0,AJ481,0)</f>
        <v/>
      </c>
      <c r="AK960" s="1606">
        <f>IF(AK481&lt;0,AK481,0)</f>
        <v/>
      </c>
      <c r="AL960" s="1606">
        <f>IF(AL481&lt;0,AL481,0)</f>
        <v/>
      </c>
      <c r="AM960" s="1606">
        <f>IF(AM481&lt;0,AM481,0)</f>
        <v/>
      </c>
      <c r="AN960" s="1606">
        <f>IF(AN481&lt;0,AN481,0)</f>
        <v/>
      </c>
      <c r="AO960" s="1606">
        <f>IF(AO481&lt;0,AO481,0)</f>
        <v/>
      </c>
      <c r="AP960" s="1606">
        <f>IF(AP481&lt;0,AP481,0)</f>
        <v/>
      </c>
      <c r="AQ960" s="1606">
        <f>IF(AQ481&lt;0,AQ481,0)</f>
        <v/>
      </c>
      <c r="AR960" s="1606">
        <f>IF(AR481&lt;0,AR481,0)</f>
        <v/>
      </c>
      <c r="AS960" s="1606">
        <f>IF(AS481&lt;0,AS481,0)</f>
        <v/>
      </c>
      <c r="AT960" s="1606">
        <f>IF(AT481&lt;0,AT481,0)</f>
        <v/>
      </c>
      <c r="AU960" s="1606">
        <f>IF(AU481&lt;0,AU481,0)</f>
        <v/>
      </c>
      <c r="AV960" s="1606">
        <f>IF(AV481&lt;0,AV481,0)</f>
        <v/>
      </c>
      <c r="AW960" s="1606">
        <f>IF(AW481&lt;0,AW481,0)</f>
        <v/>
      </c>
      <c r="AX960" s="1606">
        <f>IF(AX481&lt;0,AX481,0)</f>
        <v/>
      </c>
      <c r="AY960" s="1606">
        <f>IF(AY481&lt;0,AY481,0)</f>
        <v/>
      </c>
      <c r="AZ960" s="1606">
        <f>IF(AZ481&lt;0,AZ481,0)</f>
        <v/>
      </c>
      <c r="BA960" s="1606">
        <f>IF(BA481&lt;0,BA481,0)</f>
        <v/>
      </c>
      <c r="BB960" s="1606">
        <f>IF(BB481&lt;0,BB481,0)</f>
        <v/>
      </c>
      <c r="BC960" s="1606">
        <f>IF(BC481&lt;0,BC481,0)</f>
        <v/>
      </c>
      <c r="BD960" s="1606">
        <f>IF(BD481&lt;0,BD481,0)</f>
        <v/>
      </c>
      <c r="BE960" s="1606">
        <f>IF(BE481&lt;0,BE481,0)</f>
        <v/>
      </c>
      <c r="BF960" s="1606">
        <f>IF(BF481&lt;0,BF481,0)</f>
        <v/>
      </c>
      <c r="BG960" s="1606">
        <f>IF(BG481&lt;0,BG481,0)</f>
        <v/>
      </c>
      <c r="BH960" s="1606">
        <f>IF(BH481&lt;0,BH481,0)</f>
        <v/>
      </c>
      <c r="BI960" s="1606">
        <f>IF(BI481&lt;0,BI481,0)</f>
        <v/>
      </c>
      <c r="BJ960" s="1606">
        <f>IF(BJ481&lt;0,BJ481,0)</f>
        <v/>
      </c>
      <c r="BK960" s="1606">
        <f>IF(BK481&lt;0,BK481,0)</f>
        <v/>
      </c>
      <c r="BL960" s="1606">
        <f>IF(BL481&lt;0,BL481,0)</f>
        <v/>
      </c>
      <c r="BM960" s="1606">
        <f>IF(BM481&lt;0,BM481,0)</f>
        <v/>
      </c>
      <c r="BN960" s="1606">
        <f>IF(BN481&lt;0,BN481,0)</f>
        <v/>
      </c>
      <c r="BO960" s="1607">
        <f>IF(BO481&lt;0,BO481,0)</f>
        <v/>
      </c>
      <c r="BP960" s="1606">
        <f>IF(BP481&lt;0,BP481,0)</f>
        <v/>
      </c>
      <c r="BQ960" s="1606">
        <f>IF(BQ481&lt;0,BQ481,0)</f>
        <v/>
      </c>
      <c r="BR960" s="1606">
        <f>IF(BR481&lt;0,BR481,0)</f>
        <v/>
      </c>
      <c r="BS960" s="1606">
        <f>IF(BS481&lt;0,BS481,0)</f>
        <v/>
      </c>
      <c r="BT960" s="1606">
        <f>IF(BT481&lt;0,BT481,0)</f>
        <v/>
      </c>
      <c r="BU960" s="1606">
        <f>IF(BU481&lt;0,BU481,0)</f>
        <v/>
      </c>
      <c r="BV960" s="1606">
        <f>IF(BV481&lt;0,BV481,0)</f>
        <v/>
      </c>
      <c r="BW960" s="1606">
        <f>IF(BW481&lt;0,BW481,0)</f>
        <v/>
      </c>
      <c r="BX960" s="1606">
        <f>IF(BX481&lt;0,BX481,0)</f>
        <v/>
      </c>
      <c r="BY960" s="1606">
        <f>IF(BY481&lt;0,BY481,0)</f>
        <v/>
      </c>
      <c r="BZ960" s="1606">
        <f>IF(BZ481&lt;0,BZ481,0)</f>
        <v/>
      </c>
      <c r="CA960" s="1606">
        <f>IF(CA481&lt;0,CA481,0)</f>
        <v/>
      </c>
      <c r="CB960" s="1606">
        <f>IF(CB481&lt;0,CB481,0)</f>
        <v/>
      </c>
      <c r="CC960" s="1280" t="n"/>
    </row>
    <row r="961" ht="14.4" customFormat="1" customHeight="1" s="1275">
      <c r="A961" s="1280" t="inlineStr">
        <is>
          <t>Segmented Revenue = Revenue</t>
        </is>
      </c>
      <c r="B961" s="1709" t="n"/>
      <c r="C961" s="1606">
        <f>IF(AND(ISBLANK(C299)),0,ROUND(C369-C299,6))</f>
        <v/>
      </c>
      <c r="D961" s="1606">
        <f>IF(AND(ISBLANK(D299)),0,ROUND(D369-D299,6))</f>
        <v/>
      </c>
      <c r="E961" s="1606">
        <f>IF(AND(ISBLANK(E299)),0,ROUND(E369-E299,6))</f>
        <v/>
      </c>
      <c r="F961" s="1606">
        <f>IF(AND(ISBLANK(F299)),0,ROUND(F369-F299,6))</f>
        <v/>
      </c>
      <c r="G961" s="1606">
        <f>IF(AND(ISBLANK(G299)),0,ROUND(G369-G299,6))</f>
        <v/>
      </c>
      <c r="H961" s="1606">
        <f>IF(AND(ISBLANK(H299)),0,ROUND(H369-H299,6))</f>
        <v/>
      </c>
      <c r="I961" s="1606">
        <f>IF(AND(ISBLANK(I299)),0,ROUND(I369-I299,6))</f>
        <v/>
      </c>
      <c r="J961" s="1606">
        <f>IF(AND(ISBLANK(J299)),0,ROUND(J369-J299,6))</f>
        <v/>
      </c>
      <c r="K961" s="1606">
        <f>IF(AND(ISBLANK(K299)),0,ROUND(K369-K299,6))</f>
        <v/>
      </c>
      <c r="L961" s="1606">
        <f>IF(AND(ISBLANK(L299)),0,ROUND(L369-L299,6))</f>
        <v/>
      </c>
      <c r="M961" s="1606">
        <f>IF(AND(ISBLANK(M299)),0,ROUND(M369-M299,6))</f>
        <v/>
      </c>
      <c r="N961" s="1606">
        <f>IF(AND(ISBLANK(N299)),0,ROUND(N369-N299,6))</f>
        <v/>
      </c>
      <c r="O961" s="1606">
        <f>IF(AND(ISBLANK(O299)),0,ROUND(O369-O299,6))</f>
        <v/>
      </c>
      <c r="P961" s="1606">
        <f>IF(AND(ISBLANK(P299)),0,ROUND(P369-P299,6))</f>
        <v/>
      </c>
      <c r="Q961" s="1606">
        <f>IF(AND(ISBLANK(Q299)),0,ROUND(Q369-Q299,6))</f>
        <v/>
      </c>
      <c r="R961" s="1606">
        <f>IF(AND(ISBLANK(R299)),0,ROUND(R369-R299,6))</f>
        <v/>
      </c>
      <c r="S961" s="1606">
        <f>IF(AND(ISBLANK(S299)),0,ROUND(S369-S299,6))</f>
        <v/>
      </c>
      <c r="T961" s="1606">
        <f>IF(AND(ISBLANK(T299)),0,ROUND(T369-T299,6))</f>
        <v/>
      </c>
      <c r="U961" s="1606">
        <f>IF(AND(ISBLANK(U299)),0,ROUND(U369-U299,6))</f>
        <v/>
      </c>
      <c r="V961" s="1606">
        <f>IF(AND(ISBLANK(V299)),0,ROUND(V369-V299,6))</f>
        <v/>
      </c>
      <c r="W961" s="1606">
        <f>IF(AND(ISBLANK(W299)),0,ROUND(W369-W299,6))</f>
        <v/>
      </c>
      <c r="X961" s="1606">
        <f>IF(AND(ISBLANK(X299)),0,ROUND(X369-X299,6))</f>
        <v/>
      </c>
      <c r="Y961" s="1606">
        <f>IF(AND(ISBLANK(Y299)),0,ROUND(Y369-Y299,6))</f>
        <v/>
      </c>
      <c r="Z961" s="1606">
        <f>IF(AND(ISBLANK(Z299)),0,ROUND(Z369-Z299,6))</f>
        <v/>
      </c>
      <c r="AA961" s="1606">
        <f>IF(AND(ISBLANK(AA272)),0,ROUND(AA369-AA272,6)+ROUND(AA369-AA142,6))</f>
        <v/>
      </c>
      <c r="AB961" s="1606">
        <f>IF(AND(ISBLANK(AB272)),0,ROUND(AB369-AB272,6)+ROUND(AB369-AB142,6))</f>
        <v/>
      </c>
      <c r="AC961" s="1606">
        <f>IF(AND(ISBLANK(AC272)),0,ROUND(AC369-AC272,6)+ROUND(AC369-AC142,6))</f>
        <v/>
      </c>
      <c r="AD961" s="1606">
        <f>IF(AND(ISBLANK(AD272)),0,ROUND(AD369-AD272,6)+ROUND(AD369-AD142,6))</f>
        <v/>
      </c>
      <c r="AE961" s="1606">
        <f>IF(AND(ISBLANK(AE272)),0,ROUND(AE369-AE272,6)+ROUND(AE369-AE142,6))</f>
        <v/>
      </c>
      <c r="AF961" s="1606">
        <f>IF(AND(ISBLANK(AF272)),0,ROUND(AF369-AF272,6)+ROUND(AF369-AF142,6))</f>
        <v/>
      </c>
      <c r="AG961" s="1606">
        <f>IF(AND(ISBLANK(AG272)),0,ROUND(AG369-AG272,6)+ROUND(AG369-AG142,6))</f>
        <v/>
      </c>
      <c r="AH961" s="1606">
        <f>IF(AND(ISBLANK(AH272)),0,ROUND(AH369-AH272,6)+ROUND(AH369-AH142,6))</f>
        <v/>
      </c>
      <c r="AI961" s="1606">
        <f>IF(AND(ISBLANK(AI272)),0,ROUND(AI369-AI272,6)+ROUND(AI369-AI142,6))</f>
        <v/>
      </c>
      <c r="AJ961" s="1606">
        <f>IF(AND(ISBLANK(AJ272)),0,ROUND(AJ369-AJ272,6)+ROUND(AJ369-AJ142,6))</f>
        <v/>
      </c>
      <c r="AK961" s="1606">
        <f>IF(AND(ISBLANK(AK272)),0,ROUND(AK369-AK272,6)+ROUND(AK369-AK142,6))</f>
        <v/>
      </c>
      <c r="AL961" s="1606">
        <f>IF(AND(ISBLANK(AL272)),0,ROUND(AL369-AL272,6)+ROUND(AL369-AL142,6))</f>
        <v/>
      </c>
      <c r="AM961" s="1606">
        <f>IF(AND(ISBLANK(AM272)),0,ROUND(AM369-AM272,6)+ROUND(AM369-AM142,6))</f>
        <v/>
      </c>
      <c r="AN961" s="1606">
        <f>IF(AND(ISBLANK(AN272)),0,ROUND(AN369-AN272,6)+ROUND(AN369-AN142,6))</f>
        <v/>
      </c>
      <c r="AO961" s="1606">
        <f>IF(AND(ISBLANK(AO272)),0,ROUND(AO369-AO272,6)+ROUND(AO369-AO142,6))</f>
        <v/>
      </c>
      <c r="AP961" s="1606">
        <f>IF(AND(ISBLANK(AP272)),0,ROUND(AP369-AP272,6)+ROUND(AP369-AP142,6))</f>
        <v/>
      </c>
      <c r="AQ961" s="1606">
        <f>IF(AND(ISBLANK(AQ272)),0,ROUND(AQ369-AQ272,6)+ROUND(AQ369-AQ142,6))</f>
        <v/>
      </c>
      <c r="AR961" s="1606">
        <f>IF(AND(ISBLANK(AR272)),0,ROUND(AR369-AR272,6)+ROUND(AR369-AR142,6))</f>
        <v/>
      </c>
      <c r="AS961" s="1606">
        <f>IF(AND(ISBLANK(AS272)),0,ROUND(AS369-AS272,6)+ROUND(AS369-AS142,6))</f>
        <v/>
      </c>
      <c r="AT961" s="1606">
        <f>IF(AND(ISBLANK(AT272)),0,ROUND(AT369-AT272,6)+ROUND(AT369-AT142,6))</f>
        <v/>
      </c>
      <c r="AU961" s="1606">
        <f>IF(AND(ISBLANK(AU272)),0,ROUND(AU369-AU272,6)+ROUND(AU369-AU142,6))</f>
        <v/>
      </c>
      <c r="AV961" s="1606">
        <f>IF(AND(ISBLANK(AV272)),0,ROUND(AV369-AV272,6)+ROUND(AV369-AV142,6))</f>
        <v/>
      </c>
      <c r="AW961" s="1606">
        <f>IF(AND(ISBLANK(AW272)),0,ROUND(AW369-AW272,6)+ROUND(AW369-AW142,6))</f>
        <v/>
      </c>
      <c r="AX961" s="1606">
        <f>IF(AND(ISBLANK(AX272)),0,ROUND(AX369-AX272,6)+ROUND(AX369-AX142,6))</f>
        <v/>
      </c>
      <c r="AY961" s="1606">
        <f>IF(AND(ISBLANK(AY272)),0,ROUND(AY369-AY272,6)+ROUND(AY369-AY142,6))</f>
        <v/>
      </c>
      <c r="AZ961" s="1606">
        <f>IF(AND(ISBLANK(AZ272)),0,ROUND(AZ369-AZ272,6)+ROUND(AZ369-AZ142,6))</f>
        <v/>
      </c>
      <c r="BA961" s="1606">
        <f>IF(AND(ISBLANK(BA272)),0,ROUND(BA369-BA272,6)+ROUND(BA369-BA142,6))</f>
        <v/>
      </c>
      <c r="BB961" s="1606">
        <f>IF(AND(ISBLANK(BB272)),0,ROUND(BB369-BB272,6)+ROUND(BB369-BB142,6))</f>
        <v/>
      </c>
      <c r="BC961" s="1606">
        <f>IF(AND(ISBLANK(BC272)),0,ROUND(BC369-BC272,6)+ROUND(BC369-BC142,6))</f>
        <v/>
      </c>
      <c r="BD961" s="1606">
        <f>IF(AND(ISBLANK(BD272)),0,ROUND(BD369-BD272,6)+ROUND(BD369-BD142,6))</f>
        <v/>
      </c>
      <c r="BE961" s="1606">
        <f>IF(AND(ISBLANK(BE272)),0,ROUND(BE369-BE272,6)+ROUND(BE369-BE142,6))</f>
        <v/>
      </c>
      <c r="BF961" s="1606">
        <f>IF(AND(ISBLANK(BF272)),0,ROUND(BF369-BF272,6)+ROUND(BF369-BF142,6))</f>
        <v/>
      </c>
      <c r="BG961" s="1606">
        <f>IF(AND(ISBLANK(BG272)),0,ROUND(BG369-BG272,6)+ROUND(BG369-BG142,6))</f>
        <v/>
      </c>
      <c r="BH961" s="1606">
        <f>IF(AND(ISBLANK(BH272)),0,ROUND(BH369-BH272,6)+ROUND(BH369-BH142,6))</f>
        <v/>
      </c>
      <c r="BI961" s="1606">
        <f>IF(AND(ISBLANK(BI272)),0,ROUND(BI369-BI272,6)+ROUND(BI369-BI142,6))</f>
        <v/>
      </c>
      <c r="BJ961" s="1606">
        <f>IF(AND(ISBLANK(BJ272)),0,ROUND(BJ369-BJ272,6)+ROUND(BJ369-BJ142,6))</f>
        <v/>
      </c>
      <c r="BK961" s="1606">
        <f>IF(AND(ISBLANK(BK272)),0,ROUND(BK369-BK272,6)+ROUND(BK369-BK142,6))</f>
        <v/>
      </c>
      <c r="BL961" s="1606">
        <f>IF(AND(ISBLANK(BL272)),0,ROUND(BL369-BL272,6)+ROUND(BL369-BL142,6))</f>
        <v/>
      </c>
      <c r="BM961" s="1606">
        <f>IF(AND(ISBLANK(BM272)),0,ROUND(BM369-BM272,6)+ROUND(BM369-BM142,6))</f>
        <v/>
      </c>
      <c r="BN961" s="1606">
        <f>IF(AND(ISBLANK(BN272)),0,ROUND(BN369-BN272,6)+ROUND(BN369-BN142,6))</f>
        <v/>
      </c>
      <c r="BO961" s="1607">
        <f>IF(AND(ISBLANK(BO272)),0,ROUND(BO369-BO272,6)+ROUND(BO369-BO142,6))</f>
        <v/>
      </c>
      <c r="BP961" s="1606">
        <f>IF(AND(ISBLANK(BP272)),0,ROUND(BP369-BP272,6)+ROUND(BP369-BP142,6))</f>
        <v/>
      </c>
      <c r="BQ961" s="1606">
        <f>IF(AND(ISBLANK(BQ272)),0,ROUND(BQ369-BQ272,6)+ROUND(BQ369-BQ142,6))</f>
        <v/>
      </c>
      <c r="BR961" s="1606">
        <f>IF(AND(ISBLANK(BR272)),0,ROUND(BR369-BR272,6)+ROUND(BR369-BR142,6))</f>
        <v/>
      </c>
      <c r="BS961" s="1606">
        <f>IF(AND(ISBLANK(BS272)),0,ROUND(BS369-BS272,6)+ROUND(BS369-BS142,6))</f>
        <v/>
      </c>
      <c r="BT961" s="1606">
        <f>IF(AND(ISBLANK(BT272)),0,ROUND(BT369-BT272,6)+ROUND(BT369-BT142,6))</f>
        <v/>
      </c>
      <c r="BU961" s="1606">
        <f>IF(AND(ISBLANK(BU272)),0,ROUND(BU369-BU272,6)+ROUND(BU369-BU142,6))</f>
        <v/>
      </c>
      <c r="BV961" s="1606">
        <f>IF(AND(ISBLANK(BV272)),0,ROUND(BV369-BV272,6)+ROUND(BV369-BV142,6))</f>
        <v/>
      </c>
      <c r="BW961" s="1606">
        <f>IF(AND(ISBLANK(BW272)),0,ROUND(BW369-BW272,6)+ROUND(BW369-BW142,6))</f>
        <v/>
      </c>
      <c r="BX961" s="1606">
        <f>IF(AND(ISBLANK(BX272)),0,ROUND(BX369-BX272,6)+ROUND(BX369-BX142,6))</f>
        <v/>
      </c>
      <c r="BY961" s="1606">
        <f>IF(AND(ISBLANK(BY272)),0,ROUND(BY369-BY272,6)+ROUND(BY369-BY142,6))</f>
        <v/>
      </c>
      <c r="BZ961" s="1606">
        <f>IF(AND(ISBLANK(BZ272)),0,ROUND(BZ369-BZ272,6)+ROUND(BZ369-BZ142,6))</f>
        <v/>
      </c>
      <c r="CA961" s="1606">
        <f>IF(AND(ISBLANK(CA272)),0,ROUND(CA369-CA272,6)+ROUND(CA369-CA142,6))</f>
        <v/>
      </c>
      <c r="CB961" s="1606">
        <f>IF(AND(ISBLANK(CB272)),0,ROUND(CB369-CB272,6)+ROUND(CB369-CB142,6))</f>
        <v/>
      </c>
      <c r="CC961" s="1280" t="n"/>
    </row>
    <row r="962" ht="14.4" customFormat="1" customHeight="1" s="1275">
      <c r="A962" s="1280" t="inlineStr">
        <is>
          <t>Cash Flow is not Repeated</t>
        </is>
      </c>
      <c r="B962" s="1709" t="n"/>
      <c r="C962" s="1606">
        <f>IF(ISBLANK(INDEX(MO_IS_FirstRow,0,COLUMN())),0,IF(OR(C811=B811,C811=D811),"CHECK",0))</f>
        <v/>
      </c>
      <c r="D962" s="1606">
        <f>IF(ISBLANK(INDEX(MO_IS_FirstRow,0,COLUMN())),0,IF(OR(D811=C811,D811=F811),"CHECK",0))</f>
        <v/>
      </c>
      <c r="E962" s="1606">
        <f>IF(ISBLANK(INDEX(MO_IS_FirstRow,0,COLUMN())),0,IF(OR(E811=D811,E811=J811),"CHECK",0))</f>
        <v/>
      </c>
      <c r="F962" s="1606">
        <f>IF(ISBLANK(INDEX(MO_IS_FirstRow,0,COLUMN())),0,IF(OR(F811=E811,F811=K811),"CHECK",0))</f>
        <v/>
      </c>
      <c r="G962" s="1606">
        <f>IF(ISBLANK(INDEX(MO_IS_FirstRow,0,COLUMN())),0,IF(OR(G811=F811,G811=L811),"CHECK",0))</f>
        <v/>
      </c>
      <c r="H962" s="1606">
        <f>IF(ISBLANK(INDEX(MO_IS_FirstRow,0,COLUMN())),0,IF(OR(H811=B811,H811=I811,H811=F811),"CHECK",0))</f>
        <v/>
      </c>
      <c r="I962" s="1606">
        <f>IF(ISBLANK(INDEX(MO_IS_FirstRow,0,COLUMN())),0,IF(OR(I811=C811,I811=J811,I811=H811),"CHECK",0))</f>
        <v/>
      </c>
      <c r="J962" s="1606">
        <f>IF(ISBLANK(INDEX(MO_IS_FirstRow,0,COLUMN())),0,IF(OR(J811=D811,J811=K811,J811=I811),"CHECK",0))</f>
        <v/>
      </c>
      <c r="K962" s="1606">
        <f>IF(ISBLANK(INDEX(MO_IS_FirstRow,0,COLUMN())),0,IF(OR(K811=F811,K811=L811,K811=J811),"CHECK",0))</f>
        <v/>
      </c>
      <c r="L962" s="1606">
        <f>IF(ISBLANK(INDEX(MO_IS_FirstRow,0,COLUMN())),0,IF(L811=G811,"CHECK",0))</f>
        <v/>
      </c>
      <c r="M962" s="1606">
        <f>IF(ISBLANK(INDEX(MO_IS_FirstRow,0,COLUMN())),0,IF(OR(M811=H811,M811=N811,M811=K811),"CHECK",0))</f>
        <v/>
      </c>
      <c r="N962" s="1606">
        <f>IF(ISBLANK(INDEX(MO_IS_FirstRow,0,COLUMN())),0,IF(OR(N811=I811,N811=O811,N811=M811),"CHECK",0))</f>
        <v/>
      </c>
      <c r="O962" s="1606">
        <f>IF(ISBLANK(INDEX(MO_IS_FirstRow,0,COLUMN())),0,IF(OR(O811=J811,O811=P811,O811=N811),"CHECK",0))</f>
        <v/>
      </c>
      <c r="P962" s="1606">
        <f>IF(ISBLANK(INDEX(MO_IS_FirstRow,0,COLUMN())),0,IF(OR(P811=K811,P811=Q811,P811=O811),"CHECK",0))</f>
        <v/>
      </c>
      <c r="Q962" s="1606">
        <f>IF(ISBLANK(INDEX(MO_IS_FirstRow,0,COLUMN())),0,IF(Q811=L811,"CHECK",0))</f>
        <v/>
      </c>
      <c r="R962" s="1606">
        <f>IF(ISBLANK(INDEX(MO_IS_FirstRow,0,COLUMN())),0,IF(OR(R811=M811,R811=S811,R811=P811),"CHECK",0))</f>
        <v/>
      </c>
      <c r="S962" s="1606">
        <f>IF(ISBLANK(INDEX(MO_IS_FirstRow,0,COLUMN())),0,IF(OR(S811=N811,S811=T811,S811=R811),"CHECK",0))</f>
        <v/>
      </c>
      <c r="T962" s="1606">
        <f>IF(ISBLANK(INDEX(MO_IS_FirstRow,0,COLUMN())),0,IF(OR(T811=O811,T811=U811,T811=S811),"CHECK",0))</f>
        <v/>
      </c>
      <c r="U962" s="1606">
        <f>IF(ISBLANK(INDEX(MO_IS_FirstRow,0,COLUMN())),0,IF(OR(U811=P811,U811=V811,U811=T811),"CHECK",0))</f>
        <v/>
      </c>
      <c r="V962" s="1606">
        <f>IF(ISBLANK(INDEX(MO_IS_FirstRow,0,COLUMN())),0,IF(V811=Q811,"CHECK",0))</f>
        <v/>
      </c>
      <c r="W962" s="1606">
        <f>IF(ISBLANK(INDEX(MO_IS_FirstRow,0,COLUMN())),0,IF(OR(W811=R811,W811=X811,W811=U811),"CHECK",0))</f>
        <v/>
      </c>
      <c r="X962" s="1606">
        <f>IF(ISBLANK(INDEX(MO_IS_FirstRow,0,COLUMN())),0,IF(OR(X811=S811,X811=Y811,X811=W811),"CHECK",0))</f>
        <v/>
      </c>
      <c r="Y962" s="1606">
        <f>IF(ISBLANK(INDEX(MO_IS_FirstRow,0,COLUMN())),0,IF(OR(Y811=T811,Y811=Z811,Y811=X811),"CHECK",0))</f>
        <v/>
      </c>
      <c r="Z962" s="1606">
        <f>IF(ISBLANK(INDEX(MO_IS_FirstRow,0,COLUMN())),0,IF(OR(Z811=U811,Z811=AA811,Z811=Y811),"CHECK",0))</f>
        <v/>
      </c>
      <c r="AA962" s="1606">
        <f>IF(ISBLANK(INDEX(MO_IS_FirstRow,0,COLUMN())),0,IF(AA811=V811,"CHECK",0))</f>
        <v/>
      </c>
      <c r="AB962" s="1606">
        <f>IF(ISBLANK(INDEX(MO_IS_FirstRow,0,COLUMN())),0,IF(OR(AB811=W811,AB811=AC811,AB811=Z811),"CHECK",0))</f>
        <v/>
      </c>
      <c r="AC962" s="1606">
        <f>IF(ISBLANK(INDEX(MO_IS_FirstRow,0,COLUMN())),0,IF(OR(AC811=X811,AC811=AD811,AC811=AB811),"CHECK",0))</f>
        <v/>
      </c>
      <c r="AD962" s="1606">
        <f>IF(ISBLANK(INDEX(MO_IS_FirstRow,0,COLUMN())),0,IF(OR(AD811=Y811,AD811=AE811,AD811=AC811),"CHECK",0))</f>
        <v/>
      </c>
      <c r="AE962" s="1606">
        <f>IF(ISBLANK(INDEX(MO_IS_FirstRow,0,COLUMN())),0,IF(OR(AE811=Z811,AE811=AF811,AE811=AD811),"CHECK",0))</f>
        <v/>
      </c>
      <c r="AF962" s="1606">
        <f>IF(ISBLANK(INDEX(MO_IS_FirstRow,0,COLUMN())),0,IF(AF811=AA811,"CHECK",0))</f>
        <v/>
      </c>
      <c r="AG962" s="1606">
        <f>IF(ISBLANK(INDEX(MO_IS_FirstRow,0,COLUMN())),0,IF(OR(AG811=AB811,AG811=AH811,AG811=AE811),"CHECK",0))</f>
        <v/>
      </c>
      <c r="AH962" s="1606">
        <f>IF(ISBLANK(INDEX(MO_IS_FirstRow,0,COLUMN())),0,IF(OR(AH811=AC811,AH811=AI811,AH811=AG811),"CHECK",0))</f>
        <v/>
      </c>
      <c r="AI962" s="1606">
        <f>IF(ISBLANK(INDEX(MO_IS_FirstRow,0,COLUMN())),0,IF(OR(AI811=AD811,AI811=AJ811,AI811=AH811),"CHECK",0))</f>
        <v/>
      </c>
      <c r="AJ962" s="1606">
        <f>IF(ISBLANK(INDEX(MO_IS_FirstRow,0,COLUMN())),0,IF(OR(AJ811=AE811,AJ811=AK811,AJ811=AI811),"CHECK",0))</f>
        <v/>
      </c>
      <c r="AK962" s="1606">
        <f>IF(ISBLANK(INDEX(MO_IS_FirstRow,0,COLUMN())),0,IF(AK811=AF811,"CHECK",0))</f>
        <v/>
      </c>
      <c r="AL962" s="1606">
        <f>IF(ISBLANK(INDEX(MO_IS_FirstRow,0,COLUMN())),0,IF(OR(AL811=AG811,AL811=AM811,AL811=AJ811),"CHECK",0))</f>
        <v/>
      </c>
      <c r="AM962" s="1606">
        <f>IF(ISBLANK(INDEX(MO_IS_FirstRow,0,COLUMN())),0,IF(OR(AM811=AH811,AM811=AN811,AM811=AL811),"CHECK",0))</f>
        <v/>
      </c>
      <c r="AN962" s="1606">
        <f>IF(ISBLANK(INDEX(MO_IS_FirstRow,0,COLUMN())),0,IF(OR(AN811=AI811,AN811=AO811,AN811=AM811),"CHECK",0))</f>
        <v/>
      </c>
      <c r="AO962" s="1606">
        <f>IF(ISBLANK(INDEX(MO_IS_FirstRow,0,COLUMN())),0,IF(OR(AO811=AJ811,AO811=AP811,AO811=AN811),"CHECK",0))</f>
        <v/>
      </c>
      <c r="AP962" s="1606">
        <f>IF(ISBLANK(INDEX(MO_IS_FirstRow,0,COLUMN())),0,IF(AP811=AK811,"CHECK",0))</f>
        <v/>
      </c>
      <c r="AQ962" s="1606">
        <f>IF(ISBLANK(INDEX(MO_IS_FirstRow,0,COLUMN())),0,IF(OR(AQ811=AL811,AQ811=AR811,AQ811=AO811),"CHECK",0))</f>
        <v/>
      </c>
      <c r="AR962" s="1606">
        <f>IF(ISBLANK(INDEX(MO_IS_FirstRow,0,COLUMN())),0,IF(OR(AR811=AM811,AR811=AS811,AR811=AQ811),"CHECK",0))</f>
        <v/>
      </c>
      <c r="AS962" s="1606">
        <f>IF(ISBLANK(INDEX(MO_IS_FirstRow,0,COLUMN())),0,IF(OR(AS811=AN811,AS811=AT811,AS811=AR811),"CHECK",0))</f>
        <v/>
      </c>
      <c r="AT962" s="1606">
        <f>IF(ISBLANK(INDEX(MO_IS_FirstRow,0,COLUMN())),0,IF(OR(AT811=AO811,AT811=AU811,AT811=AS811),"CHECK",0))</f>
        <v/>
      </c>
      <c r="AU962" s="1606">
        <f>IF(ISBLANK(INDEX(MO_IS_FirstRow,0,COLUMN())),0,IF(AU811=AP811,"CHECK",0))</f>
        <v/>
      </c>
      <c r="AV962" s="1606">
        <f>IF(ISBLANK(INDEX(MO_IS_FirstRow,0,COLUMN())),0,IF(OR(AV811=AQ811,AV811=AW811,AV811=AT811),"CHECK",0))</f>
        <v/>
      </c>
      <c r="AW962" s="1606">
        <f>IF(ISBLANK(INDEX(MO_IS_FirstRow,0,COLUMN())),0,IF(OR(AW811=AR811,AW811=AX811,AW811=AV811),"CHECK",0))</f>
        <v/>
      </c>
      <c r="AX962" s="1606">
        <f>IF(ISBLANK(INDEX(MO_IS_FirstRow,0,COLUMN())),0,IF(OR(AX811=AS811,AX811=AY811,AX811=AW811),"CHECK",0))</f>
        <v/>
      </c>
      <c r="AY962" s="1606">
        <f>IF(ISBLANK(INDEX(MO_IS_FirstRow,0,COLUMN())),0,IF(OR(AY811=AT811,AY811=AZ811,AY811=AX811),"CHECK",0))</f>
        <v/>
      </c>
      <c r="AZ962" s="1606">
        <f>IF(ISBLANK(INDEX(MO_IS_FirstRow,0,COLUMN())),0,IF(AZ811=AU811,"CHECK",0))</f>
        <v/>
      </c>
      <c r="BA962" s="1606">
        <f>IF(ISBLANK(INDEX(MO_IS_FirstRow,0,COLUMN())),0,IF(OR(BA811=AV811,BA811=BB811,BA811=AY811),"CHECK",0))</f>
        <v/>
      </c>
      <c r="BB962" s="1606">
        <f>IF(ISBLANK(INDEX(MO_IS_FirstRow,0,COLUMN())),0,IF(OR(BB811=AW811,BB811=BC811,BB811=BA811),"CHECK",0))</f>
        <v/>
      </c>
      <c r="BC962" s="1606">
        <f>IF(ISBLANK(INDEX(MO_IS_FirstRow,0,COLUMN())),0,IF(OR(BC811=AX811,BC811=BD811,BC811=BB811),"CHECK",0))</f>
        <v/>
      </c>
      <c r="BD962" s="1606">
        <f>IF(ISBLANK(INDEX(MO_IS_FirstRow,0,COLUMN())),0,IF(OR(BD811=AY811,BD811=BE811,BD811=BC811),"CHECK",0))</f>
        <v/>
      </c>
      <c r="BE962" s="1606">
        <f>IF(ISBLANK(INDEX(MO_IS_FirstRow,0,COLUMN())),0,IF(BE811=AZ811,"CHECK",0))</f>
        <v/>
      </c>
      <c r="BF962" s="1606">
        <f>IF(ISBLANK(INDEX(MO_IS_FirstRow,0,COLUMN())),0,IF(OR(BF811=BA811,BF811=BG811,BF811=BD811),"CHECK",0))</f>
        <v/>
      </c>
      <c r="BG962" s="1606">
        <f>IF(ISBLANK(INDEX(MO_IS_FirstRow,0,COLUMN())),0,IF(OR(BG811=BB811,BG811=BH811,BG811=BF811),"CHECK",0))</f>
        <v/>
      </c>
      <c r="BH962" s="1606">
        <f>IF(ISBLANK(INDEX(MO_IS_FirstRow,0,COLUMN())),0,IF(OR(BH811=BC811,BH811=BI811,BH811=BG811),"CHECK",0))</f>
        <v/>
      </c>
      <c r="BI962" s="1606">
        <f>IF(ISBLANK(INDEX(MO_IS_FirstRow,0,COLUMN())),0,IF(OR(BI811=BD811,BI811=BJ811,BI811=BH811),"CHECK",0))</f>
        <v/>
      </c>
      <c r="BJ962" s="1606">
        <f>IF(ISBLANK(INDEX(MO_IS_FirstRow,0,COLUMN())),0,IF(BJ811=BE811,"CHECK",0))</f>
        <v/>
      </c>
      <c r="BK962" s="1606">
        <f>IF(ISBLANK(INDEX(MO_IS_FirstRow,0,COLUMN())),0,IF(OR(BK811=BF811,BK811=BL811,BK811=BI811),"CHECK",0))</f>
        <v/>
      </c>
      <c r="BL962" s="1606">
        <f>IF(ISBLANK(INDEX(MO_IS_FirstRow,0,COLUMN())),0,IF(OR(BL811=BG811,BL811=BM811,BL811=BK811),"CHECK",0))</f>
        <v/>
      </c>
      <c r="BM962" s="1606">
        <f>IF(ISBLANK(INDEX(MO_IS_FirstRow,0,COLUMN())),0,IF(OR(BM811=BH811,BM811=BN811,BM811=BL811),"CHECK",0))</f>
        <v/>
      </c>
      <c r="BN962" s="1606">
        <f>IF(ISBLANK(INDEX(MO_IS_FirstRow,0,COLUMN())),0,IF(OR(BN811=BI811,BN811=BO811,BN811=BM811),"CHECK",0))</f>
        <v/>
      </c>
      <c r="BO962" s="1607">
        <f>IF(ISBLANK(INDEX(MO_IS_FirstRow,0,COLUMN())),0,IF(BO811=BJ811,"CHECK",0))</f>
        <v/>
      </c>
      <c r="BP962" s="1606" t="n"/>
      <c r="BQ962" s="1606" t="n"/>
      <c r="BR962" s="1606" t="n"/>
      <c r="BS962" s="1606" t="n"/>
      <c r="BT962" s="1606" t="n"/>
      <c r="BU962" s="1606" t="n"/>
      <c r="BV962" s="1606" t="n"/>
      <c r="BW962" s="1606" t="n"/>
      <c r="BX962" s="1606" t="n"/>
      <c r="BY962" s="1606" t="n"/>
      <c r="BZ962" s="1606" t="n"/>
      <c r="CA962" s="1606" t="n"/>
      <c r="CB962" s="1606" t="n"/>
      <c r="CC962" s="1280" t="n"/>
    </row>
    <row r="963" ht="14.4" customFormat="1" customHeight="1" s="1275">
      <c r="A963" s="1280" t="inlineStr">
        <is>
          <t>Income Statement is not Repeated</t>
        </is>
      </c>
      <c r="B963" s="1709" t="n"/>
      <c r="C963" s="1606">
        <f>IF(ISBLANK(INDEX(MO_IS_FirstRow,0,COLUMN())),0,IF(OR(C398=B398,C398=D398),"CHECK",0))</f>
        <v/>
      </c>
      <c r="D963" s="1606">
        <f>IF(ISBLANK(INDEX(MO_IS_FirstRow,0,COLUMN())),0,IF(OR(D398=C398,D398=F398),"CHECK",0))</f>
        <v/>
      </c>
      <c r="E963" s="1606">
        <f>IF(ISBLANK(INDEX(MO_IS_FirstRow,0,COLUMN())),0,IF(OR(E398=D398,E398=J398),"CHECK",0))</f>
        <v/>
      </c>
      <c r="F963" s="1606">
        <f>IF(ISBLANK(INDEX(MO_IS_FirstRow,0,COLUMN())),0,IF(OR(F398=E398,F398=K398),"CHECK",0))</f>
        <v/>
      </c>
      <c r="G963" s="1606">
        <f>IF(ISBLANK(INDEX(MO_IS_FirstRow,0,COLUMN())),0,IF(OR(G398=F398,G398=L398),"CHECK",0))</f>
        <v/>
      </c>
      <c r="H963" s="1606">
        <f>IF(ISBLANK(INDEX(MO_IS_FirstRow,0,COLUMN())),0,IF(OR(H398=B398,H398=I398,H398=F398),"CHECK",0))</f>
        <v/>
      </c>
      <c r="I963" s="1606">
        <f>IF(ISBLANK(INDEX(MO_IS_FirstRow,0,COLUMN())),0,IF(OR(I398=C398,I398=J398,I398=H398),"CHECK",0))</f>
        <v/>
      </c>
      <c r="J963" s="1606">
        <f>IF(ISBLANK(INDEX(MO_IS_FirstRow,0,COLUMN())),0,IF(OR(J398=D398,J398=K398,J398=I398),"CHECK",0))</f>
        <v/>
      </c>
      <c r="K963" s="1606">
        <f>IF(ISBLANK(INDEX(MO_IS_FirstRow,0,COLUMN())),0,IF(OR(K398=F398,K398=L398,K398=J398),"CHECK",0))</f>
        <v/>
      </c>
      <c r="L963" s="1606">
        <f>IF(ISBLANK(INDEX(MO_IS_FirstRow,0,COLUMN())),0,IF(L398=G398,"CHECK",0))</f>
        <v/>
      </c>
      <c r="M963" s="1606">
        <f>IF(ISBLANK(INDEX(MO_IS_FirstRow,0,COLUMN())),0,IF(OR(M398=H398,M398=N398,M398=K398),"CHECK",0))</f>
        <v/>
      </c>
      <c r="N963" s="1606">
        <f>IF(ISBLANK(INDEX(MO_IS_FirstRow,0,COLUMN())),0,IF(OR(N398=I398,N398=O398,N398=M398),"CHECK",0))</f>
        <v/>
      </c>
      <c r="O963" s="1606">
        <f>IF(ISBLANK(INDEX(MO_IS_FirstRow,0,COLUMN())),0,IF(OR(O398=J398,O398=P398,O398=N398),"CHECK",0))</f>
        <v/>
      </c>
      <c r="P963" s="1606">
        <f>IF(ISBLANK(INDEX(MO_IS_FirstRow,0,COLUMN())),0,IF(OR(P398=K398,P398=Q398,P398=O398),"CHECK",0))</f>
        <v/>
      </c>
      <c r="Q963" s="1606">
        <f>IF(ISBLANK(INDEX(MO_IS_FirstRow,0,COLUMN())),0,IF(Q398=L398,"CHECK",0))</f>
        <v/>
      </c>
      <c r="R963" s="1606">
        <f>IF(ISBLANK(INDEX(MO_IS_FirstRow,0,COLUMN())),0,IF(OR(R398=M398,R398=S398,R398=P398),"CHECK",0))</f>
        <v/>
      </c>
      <c r="S963" s="1606">
        <f>IF(ISBLANK(INDEX(MO_IS_FirstRow,0,COLUMN())),0,IF(OR(S398=N398,S398=T398,S398=R398),"CHECK",0))</f>
        <v/>
      </c>
      <c r="T963" s="1606">
        <f>IF(ISBLANK(INDEX(MO_IS_FirstRow,0,COLUMN())),0,IF(OR(T398=O398,T398=U398,T398=S398),"CHECK",0))</f>
        <v/>
      </c>
      <c r="U963" s="1606">
        <f>IF(ISBLANK(INDEX(MO_IS_FirstRow,0,COLUMN())),0,IF(OR(U398=P398,U398=V398,U398=T398),"CHECK",0))</f>
        <v/>
      </c>
      <c r="V963" s="1606">
        <f>IF(ISBLANK(INDEX(MO_IS_FirstRow,0,COLUMN())),0,IF(V398=Q398,"CHECK",0))</f>
        <v/>
      </c>
      <c r="W963" s="1606">
        <f>IF(ISBLANK(INDEX(MO_IS_FirstRow,0,COLUMN())),0,IF(OR(W398=R398,W398=X398,W398=U398),"CHECK",0))</f>
        <v/>
      </c>
      <c r="X963" s="1606">
        <f>IF(ISBLANK(INDEX(MO_IS_FirstRow,0,COLUMN())),0,IF(OR(X398=S398,X398=Y398,X398=W398),"CHECK",0))</f>
        <v/>
      </c>
      <c r="Y963" s="1606">
        <f>IF(ISBLANK(INDEX(MO_IS_FirstRow,0,COLUMN())),0,IF(OR(Y398=T398,Y398=Z398,Y398=X398),"CHECK",0))</f>
        <v/>
      </c>
      <c r="Z963" s="1606">
        <f>IF(ISBLANK(INDEX(MO_IS_FirstRow,0,COLUMN())),0,IF(OR(Z398=U398,Z398=AA398,Z398=Y398),"CHECK",0))</f>
        <v/>
      </c>
      <c r="AA963" s="1606">
        <f>IF(ISBLANK(INDEX(MO_IS_FirstRow,0,COLUMN())),0,IF(AA398=V398,"CHECK",0))</f>
        <v/>
      </c>
      <c r="AB963" s="1606">
        <f>IF(ISBLANK(INDEX(MO_IS_FirstRow,0,COLUMN())),0,IF(OR(AB398=W398,AB398=AC398,AB398=Z398),"CHECK",0))</f>
        <v/>
      </c>
      <c r="AC963" s="1606">
        <f>IF(ISBLANK(INDEX(MO_IS_FirstRow,0,COLUMN())),0,IF(OR(AC398=X398,AC398=AD398,AC398=AB398),"CHECK",0))</f>
        <v/>
      </c>
      <c r="AD963" s="1606">
        <f>IF(ISBLANK(INDEX(MO_IS_FirstRow,0,COLUMN())),0,IF(OR(AD398=Y398,AD398=AE398,AD398=AC398),"CHECK",0))</f>
        <v/>
      </c>
      <c r="AE963" s="1606">
        <f>IF(ISBLANK(INDEX(MO_IS_FirstRow,0,COLUMN())),0,IF(OR(AE398=Z398,AE398=AF398,AE398=AD398),"CHECK",0))</f>
        <v/>
      </c>
      <c r="AF963" s="1606">
        <f>IF(ISBLANK(INDEX(MO_IS_FirstRow,0,COLUMN())),0,IF(AF398=AA398,"CHECK",0))</f>
        <v/>
      </c>
      <c r="AG963" s="1606">
        <f>IF(ISBLANK(INDEX(MO_IS_FirstRow,0,COLUMN())),0,IF(OR(AG398=AB398,AG398=AH398,AG398=AE398),"CHECK",0))</f>
        <v/>
      </c>
      <c r="AH963" s="1606">
        <f>IF(ISBLANK(INDEX(MO_IS_FirstRow,0,COLUMN())),0,IF(OR(AH398=AC398,AH398=AI398,AH398=AG398),"CHECK",0))</f>
        <v/>
      </c>
      <c r="AI963" s="1606">
        <f>IF(ISBLANK(INDEX(MO_IS_FirstRow,0,COLUMN())),0,IF(OR(AI398=AD398,AI398=AJ398,AI398=AH398),"CHECK",0))</f>
        <v/>
      </c>
      <c r="AJ963" s="1606">
        <f>IF(ISBLANK(INDEX(MO_IS_FirstRow,0,COLUMN())),0,IF(OR(AJ398=AE398,AJ398=AK398,AJ398=AI398),"CHECK",0))</f>
        <v/>
      </c>
      <c r="AK963" s="1606">
        <f>IF(ISBLANK(INDEX(MO_IS_FirstRow,0,COLUMN())),0,IF(AK398=AF398,"CHECK",0))</f>
        <v/>
      </c>
      <c r="AL963" s="1606">
        <f>IF(ISBLANK(INDEX(MO_IS_FirstRow,0,COLUMN())),0,IF(OR(AL398=AG398,AL398=AM398,AL398=AJ398),"CHECK",0))</f>
        <v/>
      </c>
      <c r="AM963" s="1606">
        <f>IF(ISBLANK(INDEX(MO_IS_FirstRow,0,COLUMN())),0,IF(OR(AM398=AH398,AM398=AN398,AM398=AL398),"CHECK",0))</f>
        <v/>
      </c>
      <c r="AN963" s="1606">
        <f>IF(ISBLANK(INDEX(MO_IS_FirstRow,0,COLUMN())),0,IF(OR(AN398=AI398,AN398=AO398,AN398=AM398),"CHECK",0))</f>
        <v/>
      </c>
      <c r="AO963" s="1606">
        <f>IF(ISBLANK(INDEX(MO_IS_FirstRow,0,COLUMN())),0,IF(OR(AO398=AJ398,AO398=AP398,AO398=AN398),"CHECK",0))</f>
        <v/>
      </c>
      <c r="AP963" s="1606">
        <f>IF(ISBLANK(INDEX(MO_IS_FirstRow,0,COLUMN())),0,IF(AP398=AK398,"CHECK",0))</f>
        <v/>
      </c>
      <c r="AQ963" s="1606">
        <f>IF(ISBLANK(INDEX(MO_IS_FirstRow,0,COLUMN())),0,IF(OR(AQ398=AL398,AQ398=AR398,AQ398=AO398),"CHECK",0))</f>
        <v/>
      </c>
      <c r="AR963" s="1606">
        <f>IF(ISBLANK(INDEX(MO_IS_FirstRow,0,COLUMN())),0,IF(OR(AR398=AM398,AR398=AS398,AR398=AQ398),"CHECK",0))</f>
        <v/>
      </c>
      <c r="AS963" s="1606">
        <f>IF(ISBLANK(INDEX(MO_IS_FirstRow,0,COLUMN())),0,IF(OR(AS398=AN398,AS398=AT398,AS398=AR398),"CHECK",0))</f>
        <v/>
      </c>
      <c r="AT963" s="1606">
        <f>IF(ISBLANK(INDEX(MO_IS_FirstRow,0,COLUMN())),0,IF(OR(AT398=AO398,AT398=AU398,AT398=AS398),"CHECK",0))</f>
        <v/>
      </c>
      <c r="AU963" s="1606">
        <f>IF(ISBLANK(INDEX(MO_IS_FirstRow,0,COLUMN())),0,IF(AU398=AP398,"CHECK",0))</f>
        <v/>
      </c>
      <c r="AV963" s="1606">
        <f>IF(ISBLANK(INDEX(MO_IS_FirstRow,0,COLUMN())),0,IF(OR(AV398=AQ398,AV398=AW398,AV398=AT398),"CHECK",0))</f>
        <v/>
      </c>
      <c r="AW963" s="1606">
        <f>IF(ISBLANK(INDEX(MO_IS_FirstRow,0,COLUMN())),0,IF(OR(AW398=AR398,AW398=AX398,AW398=AV398),"CHECK",0))</f>
        <v/>
      </c>
      <c r="AX963" s="1606">
        <f>IF(ISBLANK(INDEX(MO_IS_FirstRow,0,COLUMN())),0,IF(OR(AX398=AS398,AX398=AY398,AX398=AW398),"CHECK",0))</f>
        <v/>
      </c>
      <c r="AY963" s="1606">
        <f>IF(ISBLANK(INDEX(MO_IS_FirstRow,0,COLUMN())),0,IF(OR(AY398=AT398,AY398=AZ398,AY398=AX398),"CHECK",0))</f>
        <v/>
      </c>
      <c r="AZ963" s="1606">
        <f>IF(ISBLANK(INDEX(MO_IS_FirstRow,0,COLUMN())),0,IF(AZ398=AU398,"CHECK",0))</f>
        <v/>
      </c>
      <c r="BA963" s="1606">
        <f>IF(ISBLANK(INDEX(MO_IS_FirstRow,0,COLUMN())),0,IF(OR(BA398=AV398,BA398=BB398,BA398=AY398),"CHECK",0))</f>
        <v/>
      </c>
      <c r="BB963" s="1606">
        <f>IF(ISBLANK(INDEX(MO_IS_FirstRow,0,COLUMN())),0,IF(OR(BB398=AW398,BB398=BC398,BB398=BA398),"CHECK",0))</f>
        <v/>
      </c>
      <c r="BC963" s="1606">
        <f>IF(ISBLANK(INDEX(MO_IS_FirstRow,0,COLUMN())),0,IF(OR(BC398=AX398,BC398=BD398,BC398=BB398),"CHECK",0))</f>
        <v/>
      </c>
      <c r="BD963" s="1606">
        <f>IF(ISBLANK(INDEX(MO_IS_FirstRow,0,COLUMN())),0,IF(OR(BD398=AY398,BD398=BE398,BD398=BC398),"CHECK",0))</f>
        <v/>
      </c>
      <c r="BE963" s="1606">
        <f>IF(ISBLANK(INDEX(MO_IS_FirstRow,0,COLUMN())),0,IF(BE398=AZ398,"CHECK",0))</f>
        <v/>
      </c>
      <c r="BF963" s="1606">
        <f>IF(ISBLANK(INDEX(MO_IS_FirstRow,0,COLUMN())),0,IF(OR(BF398=BA398,BF398=BG398,BF398=BD398),"CHECK",0))</f>
        <v/>
      </c>
      <c r="BG963" s="1606">
        <f>IF(ISBLANK(INDEX(MO_IS_FirstRow,0,COLUMN())),0,IF(OR(BG398=BB398,BG398=BH398,BG398=BF398),"CHECK",0))</f>
        <v/>
      </c>
      <c r="BH963" s="1606">
        <f>IF(ISBLANK(INDEX(MO_IS_FirstRow,0,COLUMN())),0,IF(OR(BH398=BC398,BH398=BI398,BH398=BG398),"CHECK",0))</f>
        <v/>
      </c>
      <c r="BI963" s="1606">
        <f>IF(ISBLANK(INDEX(MO_IS_FirstRow,0,COLUMN())),0,IF(OR(BI398=BD398,BI398=BJ398,BI398=BH398),"CHECK",0))</f>
        <v/>
      </c>
      <c r="BJ963" s="1606">
        <f>IF(ISBLANK(INDEX(MO_IS_FirstRow,0,COLUMN())),0,IF(BJ398=BE398,"CHECK",0))</f>
        <v/>
      </c>
      <c r="BK963" s="1606">
        <f>IF(ISBLANK(INDEX(MO_IS_FirstRow,0,COLUMN())),0,IF(OR(BK398=BF398,BK398=BL398,BK398=BI398),"CHECK",0))</f>
        <v/>
      </c>
      <c r="BL963" s="1606">
        <f>IF(ISBLANK(INDEX(MO_IS_FirstRow,0,COLUMN())),0,IF(OR(BL398=BG398,BL398=BM398,BL398=BK398),"CHECK",0))</f>
        <v/>
      </c>
      <c r="BM963" s="1606">
        <f>IF(ISBLANK(INDEX(MO_IS_FirstRow,0,COLUMN())),0,IF(OR(BM398=BH398,BM398=BN398,BM398=BL398),"CHECK",0))</f>
        <v/>
      </c>
      <c r="BN963" s="1606">
        <f>IF(ISBLANK(INDEX(MO_IS_FirstRow,0,COLUMN())),0,IF(OR(BN398=BI398,BN398=BO398,BN398=BM398),"CHECK",0))</f>
        <v/>
      </c>
      <c r="BO963" s="1607">
        <f>IF(ISBLANK(INDEX(MO_IS_FirstRow,0,COLUMN())),0,IF(BO398=BJ398,"CHECK",0))</f>
        <v/>
      </c>
      <c r="BP963" s="1606" t="n"/>
      <c r="BQ963" s="1606" t="n"/>
      <c r="BR963" s="1606" t="n"/>
      <c r="BS963" s="1606" t="n"/>
      <c r="BT963" s="1606" t="n"/>
      <c r="BU963" s="1606" t="n"/>
      <c r="BV963" s="1606" t="n"/>
      <c r="BW963" s="1606" t="n"/>
      <c r="BX963" s="1606" t="n"/>
      <c r="BY963" s="1606" t="n"/>
      <c r="BZ963" s="1606" t="n"/>
      <c r="CA963" s="1606" t="n"/>
      <c r="CB963" s="1606" t="n"/>
      <c r="CC963" s="1280" t="n"/>
    </row>
    <row r="964" ht="14.4" customFormat="1" customHeight="1" s="1275">
      <c r="A964" s="1280" t="inlineStr">
        <is>
          <t>Balance Sheet is not Repeated</t>
        </is>
      </c>
      <c r="B964" s="1709" t="n"/>
      <c r="C964" s="1606">
        <f>IF(OR(C902=B902,C902=D902),"CHECK",0)</f>
        <v/>
      </c>
      <c r="D964" s="1606">
        <f>IF(OR(D902=C902,D902=F902),"CHECK",0)</f>
        <v/>
      </c>
      <c r="E964" s="1606">
        <f>IF(OR(E902=D902,E902=J902),"CHECK",0)</f>
        <v/>
      </c>
      <c r="F964" s="1606">
        <f>IF(OR(F902=E902,F902=K902),"CHECK",0)</f>
        <v/>
      </c>
      <c r="G964" s="1606">
        <f>IF(OR(G902=F902,G902=L902),"CHECK",0)</f>
        <v/>
      </c>
      <c r="H964" s="1606">
        <f>IF(OR(H902=B902,H902=I902,H902=F902),"CHECK",0)</f>
        <v/>
      </c>
      <c r="I964" s="1606">
        <f>IF(OR(I902=C902,I902=J902,I902=H902),"CHECK",0)</f>
        <v/>
      </c>
      <c r="J964" s="1606">
        <f>IF(OR(J902=D902,J902=K902,J902=I902),"CHECK",0)</f>
        <v/>
      </c>
      <c r="K964" s="1606">
        <f>IF(OR(K902=F902,K902=J902),"CHECK",0)</f>
        <v/>
      </c>
      <c r="L964" s="1606">
        <f>IF(L902=G902,"CHECK",0)</f>
        <v/>
      </c>
      <c r="M964" s="1606">
        <f>IF(OR(M902=H902,M902=N902,M902=K902),"CHECK",0)</f>
        <v/>
      </c>
      <c r="N964" s="1606">
        <f>IF(OR(N902=I902,N902=O902,N902=M902),"CHECK",0)</f>
        <v/>
      </c>
      <c r="O964" s="1606">
        <f>IF(OR(O902=J902,O902=P902,O902=N902),"CHECK",0)</f>
        <v/>
      </c>
      <c r="P964" s="1606">
        <f>IF(OR(P902=K902,P902=O902),"CHECK",0)</f>
        <v/>
      </c>
      <c r="Q964" s="1606">
        <f>IF(Q902=L902,"CHECK",0)</f>
        <v/>
      </c>
      <c r="R964" s="1606">
        <f>IF(OR(R902=M902,R902=S902,R902=P902),"CHECK",0)</f>
        <v/>
      </c>
      <c r="S964" s="1606">
        <f>IF(OR(S902=N902,S902=T902,S902=R902),"CHECK",0)</f>
        <v/>
      </c>
      <c r="T964" s="1606">
        <f>IF(OR(T902=O902,T902=U902,T902=S902),"CHECK",0)</f>
        <v/>
      </c>
      <c r="U964" s="1606">
        <f>IF(OR(U902=P902,U902=T902),"CHECK",0)</f>
        <v/>
      </c>
      <c r="V964" s="1606">
        <f>IF(V902=Q902,"CHECK",0)</f>
        <v/>
      </c>
      <c r="W964" s="1606">
        <f>IF(OR(W902=R902,W902=X902,W902=U902),"CHECK",0)</f>
        <v/>
      </c>
      <c r="X964" s="1606">
        <f>IF(OR(X902=S902,X902=Y902,X902=W902),"CHECK",0)</f>
        <v/>
      </c>
      <c r="Y964" s="1606">
        <f>IF(OR(Y902=T902,Y902=Z902,Y902=X902),"CHECK",0)</f>
        <v/>
      </c>
      <c r="Z964" s="1606">
        <f>IF(OR(Z902=U902,Z902=Y902),"CHECK",0)</f>
        <v/>
      </c>
      <c r="AA964" s="1606">
        <f>IF(AA902=V902,"CHECK",0)</f>
        <v/>
      </c>
      <c r="AB964" s="1606">
        <f>IF(OR(AB902=W902,AB902=AC902,AB902=Z902),"CHECK",0)</f>
        <v/>
      </c>
      <c r="AC964" s="1606">
        <f>IF(OR(AC902=X902,AC902=AD902,AC902=AB902),"CHECK",0)</f>
        <v/>
      </c>
      <c r="AD964" s="1606">
        <f>IF(OR(AD902=Y902,AD902=AE902,AD902=AC902),"CHECK",0)</f>
        <v/>
      </c>
      <c r="AE964" s="1606">
        <f>IF(OR(AE902=Z902,AE902=AD902),"CHECK",0)</f>
        <v/>
      </c>
      <c r="AF964" s="1606">
        <f>IF(AF902=AA902,"CHECK",0)</f>
        <v/>
      </c>
      <c r="AG964" s="1606">
        <f>IF(OR(AG902=AB902,AG902=AH902,AG902=AE902),"CHECK",0)</f>
        <v/>
      </c>
      <c r="AH964" s="1606">
        <f>IF(OR(AH902=AC902,AH902=AI902,AH902=AG902),"CHECK",0)</f>
        <v/>
      </c>
      <c r="AI964" s="1606">
        <f>IF(OR(AI902=AD902,AI902=AJ902,AI902=AH902),"CHECK",0)</f>
        <v/>
      </c>
      <c r="AJ964" s="1606">
        <f>IF(OR(AJ902=AE902,AJ902=AI902),"CHECK",0)</f>
        <v/>
      </c>
      <c r="AK964" s="1606">
        <f>IF(AK902=AF902,"CHECK",0)</f>
        <v/>
      </c>
      <c r="AL964" s="1606">
        <f>IF(OR(AL902=AG902,AL902=AM902,AL902=AJ902),"CHECK",0)</f>
        <v/>
      </c>
      <c r="AM964" s="1606">
        <f>IF(OR(AM902=AH902,AM902=AN902,AM902=AL902),"CHECK",0)</f>
        <v/>
      </c>
      <c r="AN964" s="1606">
        <f>IF(OR(AN902=AI902,AN902=AO902,AN902=AM902),"CHECK",0)</f>
        <v/>
      </c>
      <c r="AO964" s="1606">
        <f>IF(OR(AO902=AJ902,AO902=AN902),"CHECK",0)</f>
        <v/>
      </c>
      <c r="AP964" s="1606">
        <f>IF(AP902=AK902,"CHECK",0)</f>
        <v/>
      </c>
      <c r="AQ964" s="1606">
        <f>IF(OR(AQ902=AL902,AQ902=AR902,AQ902=AO902),"CHECK",0)</f>
        <v/>
      </c>
      <c r="AR964" s="1606">
        <f>IF(OR(AR902=AM902,AR902=AS902,AR902=AQ902),"CHECK",0)</f>
        <v/>
      </c>
      <c r="AS964" s="1606">
        <f>IF(OR(AS902=AN902,AS902=AT902,AS902=AR902),"CHECK",0)</f>
        <v/>
      </c>
      <c r="AT964" s="1606">
        <f>IF(OR(AT902=AO902,AT902=AS902),"CHECK",0)</f>
        <v/>
      </c>
      <c r="AU964" s="1606">
        <f>IF(AU902=AP902,"CHECK",0)</f>
        <v/>
      </c>
      <c r="AV964" s="1606">
        <f>IF(OR(AV902=AQ902,AV902=AW902,AV902=AT902),"CHECK",0)</f>
        <v/>
      </c>
      <c r="AW964" s="1606">
        <f>IF(OR(AW902=AR902,AW902=AX902,AW902=AV902),"CHECK",0)</f>
        <v/>
      </c>
      <c r="AX964" s="1606">
        <f>IF(OR(AX902=AS902,AX902=AY902,AX902=AW902),"CHECK",0)</f>
        <v/>
      </c>
      <c r="AY964" s="1606">
        <f>IF(OR(AY902=AT902,AY902=AX902),"CHECK",0)</f>
        <v/>
      </c>
      <c r="AZ964" s="1606">
        <f>IF(AZ902=AU902,"CHECK",0)</f>
        <v/>
      </c>
      <c r="BA964" s="1606">
        <f>IF(OR(BA902=AV902,BA902=BB902,BA902=AY902),"CHECK",0)</f>
        <v/>
      </c>
      <c r="BB964" s="1606">
        <f>IF(OR(BB902=AW902,BB902=BC902,BB902=BA902),"CHECK",0)</f>
        <v/>
      </c>
      <c r="BC964" s="1606">
        <f>IF(OR(BC902=AX902,BC902=BD902,BC902=BB902),"CHECK",0)</f>
        <v/>
      </c>
      <c r="BD964" s="1606">
        <f>IF(OR(BD902=AY902,BD902=BC902),"CHECK",0)</f>
        <v/>
      </c>
      <c r="BE964" s="1606">
        <f>IF(BE902=AZ902,"CHECK",0)</f>
        <v/>
      </c>
      <c r="BF964" s="1606">
        <f>IF(OR(BF902=BA902,BF902=BG902,BF902=BD902),"CHECK",0)</f>
        <v/>
      </c>
      <c r="BG964" s="1606">
        <f>IF(OR(BG902=BB902,BG902=BH902,BG902=BF902),"CHECK",0)</f>
        <v/>
      </c>
      <c r="BH964" s="1606">
        <f>IF(OR(BH902=BC902,BH902=BI902,BH902=BG902),"CHECK",0)</f>
        <v/>
      </c>
      <c r="BI964" s="1606">
        <f>IF(OR(BI902=BD902,BI902=BH902),"CHECK",0)</f>
        <v/>
      </c>
      <c r="BJ964" s="1606">
        <f>IF(BJ902=BE902,"CHECK",0)</f>
        <v/>
      </c>
      <c r="BK964" s="1606">
        <f>IF(OR(BK902=BF902,BK902=BL902,BK902=BI902),"CHECK",0)</f>
        <v/>
      </c>
      <c r="BL964" s="1606">
        <f>IF(OR(BL902=BG902,BL902=BM902,BL902=BK902),"CHECK",0)</f>
        <v/>
      </c>
      <c r="BM964" s="1606">
        <f>IF(OR(BM902=BH902,BM902=BN902,BM902=BL902),"CHECK",0)</f>
        <v/>
      </c>
      <c r="BN964" s="1606">
        <f>IF(OR(BN902=BI902,BN902=BM902),"CHECK",0)</f>
        <v/>
      </c>
      <c r="BO964" s="1607">
        <f>IF(BO902=BJ902,"CHECK",0)</f>
        <v/>
      </c>
      <c r="BP964" s="1606" t="n"/>
      <c r="BQ964" s="1606" t="n"/>
      <c r="BR964" s="1606" t="n"/>
      <c r="BS964" s="1606" t="n"/>
      <c r="BT964" s="1606" t="n"/>
      <c r="BU964" s="1606" t="n"/>
      <c r="BV964" s="1606" t="n"/>
      <c r="BW964" s="1606" t="n"/>
      <c r="BX964" s="1606" t="n"/>
      <c r="BY964" s="1606" t="n"/>
      <c r="BZ964" s="1606" t="n"/>
      <c r="CA964" s="1606" t="n"/>
      <c r="CB964" s="1606" t="n"/>
      <c r="CC964" s="1280" t="n"/>
    </row>
    <row r="965" ht="14.4" customFormat="1" customHeight="1" s="1275">
      <c r="A965" s="1280" t="inlineStr">
        <is>
          <t>Ending CF = Ending Cumulative CF</t>
        </is>
      </c>
      <c r="B965" s="1709" t="n"/>
      <c r="C965" s="1606">
        <f>IF(ISBLANK(INDEX(MO_IS_FirstRow,0,COLUMN())),0,ROUND(C814-C665,6))</f>
        <v/>
      </c>
      <c r="D965" s="1606">
        <f>IF(ISBLANK(INDEX(MO_IS_FirstRow,0,COLUMN())),0,ROUND(D814-D665,6))</f>
        <v/>
      </c>
      <c r="E965" s="1606">
        <f>IF(ISBLANK(INDEX(MO_IS_FirstRow,0,COLUMN())),0,ROUND(E814-E665,6))</f>
        <v/>
      </c>
      <c r="F965" s="1606">
        <f>IF(ISBLANK(INDEX(MO_IS_FirstRow,0,COLUMN())),0,ROUND(F814-F665,6))</f>
        <v/>
      </c>
      <c r="G965" s="1606">
        <f>IF(ISBLANK(INDEX(MO_IS_FirstRow,0,COLUMN())),0,ROUND(G814-G665,6))</f>
        <v/>
      </c>
      <c r="H965" s="1606">
        <f>IF(ISBLANK(INDEX(MO_IS_FirstRow,0,COLUMN())),0,ROUND(H814-H665,6))</f>
        <v/>
      </c>
      <c r="I965" s="1606">
        <f>IF(ISBLANK(INDEX(MO_IS_FirstRow,0,COLUMN())),0,ROUND(I814-I665,6))</f>
        <v/>
      </c>
      <c r="J965" s="1606">
        <f>IF(ISBLANK(INDEX(MO_IS_FirstRow,0,COLUMN())),0,ROUND(J814-J665,6))</f>
        <v/>
      </c>
      <c r="K965" s="1606">
        <f>IF(ISBLANK(INDEX(MO_IS_FirstRow,0,COLUMN())),0,ROUND(K814-K665,6))</f>
        <v/>
      </c>
      <c r="L965" s="1606">
        <f>IF(ISBLANK(INDEX(MO_IS_FirstRow,0,COLUMN())),0,ROUND(L814-L665,6))</f>
        <v/>
      </c>
      <c r="M965" s="1606">
        <f>IF(ISBLANK(INDEX(MO_IS_FirstRow,0,COLUMN())),0,ROUND(M814-M665,6))</f>
        <v/>
      </c>
      <c r="N965" s="1606">
        <f>IF(ISBLANK(INDEX(MO_IS_FirstRow,0,COLUMN())),0,ROUND(N814-N665,6))</f>
        <v/>
      </c>
      <c r="O965" s="1606">
        <f>IF(ISBLANK(INDEX(MO_IS_FirstRow,0,COLUMN())),0,ROUND(O814-O665,6))</f>
        <v/>
      </c>
      <c r="P965" s="1606">
        <f>IF(ISBLANK(INDEX(MO_IS_FirstRow,0,COLUMN())),0,ROUND(P814-P665,6))</f>
        <v/>
      </c>
      <c r="Q965" s="1606">
        <f>IF(ISBLANK(INDEX(MO_IS_FirstRow,0,COLUMN())),0,ROUND(Q814-Q665,6))</f>
        <v/>
      </c>
      <c r="R965" s="1606">
        <f>IF(ISBLANK(INDEX(MO_IS_FirstRow,0,COLUMN())),0,ROUND(R814-R665,6))</f>
        <v/>
      </c>
      <c r="S965" s="1606">
        <f>IF(ISBLANK(INDEX(MO_IS_FirstRow,0,COLUMN())),0,ROUND(S814-S665,6))</f>
        <v/>
      </c>
      <c r="T965" s="1606">
        <f>IF(ISBLANK(INDEX(MO_IS_FirstRow,0,COLUMN())),0,ROUND(T814-T665,6))</f>
        <v/>
      </c>
      <c r="U965" s="1606">
        <f>IF(ISBLANK(INDEX(MO_IS_FirstRow,0,COLUMN())),0,ROUND(U814-U665,6))</f>
        <v/>
      </c>
      <c r="V965" s="1606">
        <f>IF(ISBLANK(INDEX(MO_IS_FirstRow,0,COLUMN())),0,ROUND(V814-V665,6))</f>
        <v/>
      </c>
      <c r="W965" s="1606">
        <f>IF(ISBLANK(INDEX(MO_IS_FirstRow,0,COLUMN())),0,ROUND(W814-W665,6))</f>
        <v/>
      </c>
      <c r="X965" s="1606">
        <f>IF(ISBLANK(INDEX(MO_IS_FirstRow,0,COLUMN())),0,ROUND(X814-X665,6))</f>
        <v/>
      </c>
      <c r="Y965" s="1606">
        <f>IF(ISBLANK(INDEX(MO_IS_FirstRow,0,COLUMN())),0,ROUND(Y814-Y665,6))</f>
        <v/>
      </c>
      <c r="Z965" s="1606">
        <f>IF(ISBLANK(INDEX(MO_IS_FirstRow,0,COLUMN())),0,ROUND(Z814-Z665,6))</f>
        <v/>
      </c>
      <c r="AA965" s="1606">
        <f>IF(ISBLANK(INDEX(MO_IS_FirstRow,0,COLUMN())),0,ROUND(AA814-AA665,6))</f>
        <v/>
      </c>
      <c r="AB965" s="1606">
        <f>IF(ISBLANK(INDEX(MO_IS_FirstRow,0,COLUMN())),0,ROUND(AB814-AB665,6))</f>
        <v/>
      </c>
      <c r="AC965" s="1606">
        <f>IF(ISBLANK(INDEX(MO_IS_FirstRow,0,COLUMN())),0,ROUND(AC814-AC665,6))</f>
        <v/>
      </c>
      <c r="AD965" s="1606">
        <f>IF(ISBLANK(INDEX(MO_IS_FirstRow,0,COLUMN())),0,ROUND(AD814-AD665,6))</f>
        <v/>
      </c>
      <c r="AE965" s="1606">
        <f>IF(ISBLANK(INDEX(MO_IS_FirstRow,0,COLUMN())),0,ROUND(AE814-AE665,6))</f>
        <v/>
      </c>
      <c r="AF965" s="1606">
        <f>IF(ISBLANK(INDEX(MO_IS_FirstRow,0,COLUMN())),0,ROUND(AF814-AF665,6))</f>
        <v/>
      </c>
      <c r="AG965" s="1606">
        <f>IF(ISBLANK(INDEX(MO_IS_FirstRow,0,COLUMN())),0,ROUND(AG814-AG665,6))</f>
        <v/>
      </c>
      <c r="AH965" s="1606">
        <f>IF(ISBLANK(INDEX(MO_IS_FirstRow,0,COLUMN())),0,ROUND(AH814-AH665,6))</f>
        <v/>
      </c>
      <c r="AI965" s="1606">
        <f>IF(ISBLANK(INDEX(MO_IS_FirstRow,0,COLUMN())),0,ROUND(AI814-AI665,6))</f>
        <v/>
      </c>
      <c r="AJ965" s="1606">
        <f>IF(ISBLANK(INDEX(MO_IS_FirstRow,0,COLUMN())),0,ROUND(AJ814-AJ665,6))</f>
        <v/>
      </c>
      <c r="AK965" s="1606">
        <f>IF(ISBLANK(INDEX(MO_IS_FirstRow,0,COLUMN())),0,ROUND(AK814-AK665,6))</f>
        <v/>
      </c>
      <c r="AL965" s="1606">
        <f>IF(ISBLANK(INDEX(MO_IS_FirstRow,0,COLUMN())),0,ROUND(AL814-AL665,6))</f>
        <v/>
      </c>
      <c r="AM965" s="1606">
        <f>IF(ISBLANK(INDEX(MO_IS_FirstRow,0,COLUMN())),0,ROUND(AM814-AM665,6))</f>
        <v/>
      </c>
      <c r="AN965" s="1606">
        <f>IF(ISBLANK(INDEX(MO_IS_FirstRow,0,COLUMN())),0,ROUND(AN814-AN665,6))</f>
        <v/>
      </c>
      <c r="AO965" s="1606">
        <f>IF(ISBLANK(INDEX(MO_IS_FirstRow,0,COLUMN())),0,ROUND(AO814-AO665,6))</f>
        <v/>
      </c>
      <c r="AP965" s="1606">
        <f>IF(ISBLANK(INDEX(MO_IS_FirstRow,0,COLUMN())),0,ROUND(AP814-AP665,6))</f>
        <v/>
      </c>
      <c r="AQ965" s="1606">
        <f>IF(ISBLANK(INDEX(MO_IS_FirstRow,0,COLUMN())),0,ROUND(AQ814-AQ665,6))</f>
        <v/>
      </c>
      <c r="AR965" s="1606">
        <f>IF(ISBLANK(INDEX(MO_IS_FirstRow,0,COLUMN())),0,ROUND(AR814-AR665,6))</f>
        <v/>
      </c>
      <c r="AS965" s="1606">
        <f>IF(ISBLANK(INDEX(MO_IS_FirstRow,0,COLUMN())),0,ROUND(AS814-AS665,6))</f>
        <v/>
      </c>
      <c r="AT965" s="1606">
        <f>IF(ISBLANK(INDEX(MO_IS_FirstRow,0,COLUMN())),0,ROUND(AT814-AT665,6))</f>
        <v/>
      </c>
      <c r="AU965" s="1606">
        <f>IF(ISBLANK(INDEX(MO_IS_FirstRow,0,COLUMN())),0,ROUND(AU814-AU665,6))</f>
        <v/>
      </c>
      <c r="AV965" s="1606">
        <f>IF(ISBLANK(INDEX(MO_IS_FirstRow,0,COLUMN())),0,ROUND(AV814-AV665,6))</f>
        <v/>
      </c>
      <c r="AW965" s="1606">
        <f>IF(ISBLANK(INDEX(MO_IS_FirstRow,0,COLUMN())),0,ROUND(AW814-AW665,6))</f>
        <v/>
      </c>
      <c r="AX965" s="1606">
        <f>IF(ISBLANK(INDEX(MO_IS_FirstRow,0,COLUMN())),0,ROUND(AX814-AX665,6))</f>
        <v/>
      </c>
      <c r="AY965" s="1606">
        <f>IF(ISBLANK(INDEX(MO_IS_FirstRow,0,COLUMN())),0,ROUND(AY814-AY665,6))</f>
        <v/>
      </c>
      <c r="AZ965" s="1606">
        <f>IF(ISBLANK(INDEX(MO_IS_FirstRow,0,COLUMN())),0,ROUND(AZ814-AZ665,6))</f>
        <v/>
      </c>
      <c r="BA965" s="1606">
        <f>IF(ISBLANK(INDEX(MO_IS_FirstRow,0,COLUMN())),0,ROUND(BA814-BA665,6))</f>
        <v/>
      </c>
      <c r="BB965" s="1606">
        <f>IF(ISBLANK(INDEX(MO_IS_FirstRow,0,COLUMN())),0,ROUND(BB814-BB665,6))</f>
        <v/>
      </c>
      <c r="BC965" s="1606">
        <f>IF(ISBLANK(INDEX(MO_IS_FirstRow,0,COLUMN())),0,ROUND(BC814-BC665,6))</f>
        <v/>
      </c>
      <c r="BD965" s="1606">
        <f>IF(ISBLANK(INDEX(MO_IS_FirstRow,0,COLUMN())),0,ROUND(BD814-BD665,6))</f>
        <v/>
      </c>
      <c r="BE965" s="1606">
        <f>IF(ISBLANK(INDEX(MO_IS_FirstRow,0,COLUMN())),0,ROUND(BE814-BE665,6))</f>
        <v/>
      </c>
      <c r="BF965" s="1606">
        <f>IF(ISBLANK(INDEX(MO_IS_FirstRow,0,COLUMN())),0,ROUND(BF814-BF665,6))</f>
        <v/>
      </c>
      <c r="BG965" s="1606">
        <f>IF(ISBLANK(INDEX(MO_IS_FirstRow,0,COLUMN())),0,ROUND(BG814-BG665,6))</f>
        <v/>
      </c>
      <c r="BH965" s="1606">
        <f>IF(ISBLANK(INDEX(MO_IS_FirstRow,0,COLUMN())),0,ROUND(BH814-BH665,6))</f>
        <v/>
      </c>
      <c r="BI965" s="1606">
        <f>IF(ISBLANK(INDEX(MO_IS_FirstRow,0,COLUMN())),0,ROUND(BI814-BI665,6))</f>
        <v/>
      </c>
      <c r="BJ965" s="1606">
        <f>IF(ISBLANK(INDEX(MO_IS_FirstRow,0,COLUMN())),0,ROUND(BJ814-BJ665,6))</f>
        <v/>
      </c>
      <c r="BK965" s="1606">
        <f>IF(ISBLANK(INDEX(MO_IS_FirstRow,0,COLUMN())),0,ROUND(BK814-BK665,6))</f>
        <v/>
      </c>
      <c r="BL965" s="1606">
        <f>IF(ISBLANK(INDEX(MO_IS_FirstRow,0,COLUMN())),0,ROUND(BL814-BL665,6))</f>
        <v/>
      </c>
      <c r="BM965" s="1606">
        <f>IF(ISBLANK(INDEX(MO_IS_FirstRow,0,COLUMN())),0,ROUND(BM814-BM665,6))</f>
        <v/>
      </c>
      <c r="BN965" s="1606">
        <f>IF(ISBLANK(INDEX(MO_IS_FirstRow,0,COLUMN())),0,ROUND(BN814-BN665,6))</f>
        <v/>
      </c>
      <c r="BO965" s="1607">
        <f>IF(ISBLANK(INDEX(MO_IS_FirstRow,0,COLUMN())),0,ROUND(BO814-BO665,6))</f>
        <v/>
      </c>
      <c r="BP965" s="1606">
        <f>IF(ISBLANK(INDEX(MO_IS_FirstRow,0,COLUMN())),0,ROUND(BP814-BP665,6))</f>
        <v/>
      </c>
      <c r="BQ965" s="1606">
        <f>IF(ISBLANK(INDEX(MO_IS_FirstRow,0,COLUMN())),0,ROUND(BQ814-BQ665,6))</f>
        <v/>
      </c>
      <c r="BR965" s="1606">
        <f>IF(ISBLANK(INDEX(MO_IS_FirstRow,0,COLUMN())),0,ROUND(BR814-BR665,6))</f>
        <v/>
      </c>
      <c r="BS965" s="1606">
        <f>IF(ISBLANK(INDEX(MO_IS_FirstRow,0,COLUMN())),0,ROUND(BS814-BS665,6))</f>
        <v/>
      </c>
      <c r="BT965" s="1606">
        <f>IF(ISBLANK(INDEX(MO_IS_FirstRow,0,COLUMN())),0,ROUND(BT814-BT665,6))</f>
        <v/>
      </c>
      <c r="BU965" s="1606">
        <f>IF(ISBLANK(INDEX(MO_IS_FirstRow,0,COLUMN())),0,ROUND(BU814-BU665,6))</f>
        <v/>
      </c>
      <c r="BV965" s="1606">
        <f>IF(ISBLANK(INDEX(MO_IS_FirstRow,0,COLUMN())),0,ROUND(BV814-BV665,6))</f>
        <v/>
      </c>
      <c r="BW965" s="1606">
        <f>IF(ISBLANK(INDEX(MO_IS_FirstRow,0,COLUMN())),0,ROUND(BW814-BW665,6))</f>
        <v/>
      </c>
      <c r="BX965" s="1606">
        <f>IF(ISBLANK(INDEX(MO_IS_FirstRow,0,COLUMN())),0,ROUND(BX814-BX665,6))</f>
        <v/>
      </c>
      <c r="BY965" s="1606">
        <f>IF(ISBLANK(INDEX(MO_IS_FirstRow,0,COLUMN())),0,ROUND(BY814-BY665,6))</f>
        <v/>
      </c>
      <c r="BZ965" s="1606">
        <f>IF(ISBLANK(INDEX(MO_IS_FirstRow,0,COLUMN())),0,ROUND(BZ814-BZ665,6))</f>
        <v/>
      </c>
      <c r="CA965" s="1606">
        <f>IF(ISBLANK(INDEX(MO_IS_FirstRow,0,COLUMN())),0,ROUND(CA814-CA665,6))</f>
        <v/>
      </c>
      <c r="CB965" s="1606">
        <f>IF(ISBLANK(INDEX(MO_IS_FirstRow,0,COLUMN())),0,ROUND(CB814-CB665,6))</f>
        <v/>
      </c>
      <c r="CC965" s="1280" t="n"/>
    </row>
    <row r="966" ht="14.4" customFormat="1" customHeight="1" s="1275">
      <c r="A966" s="1280" t="inlineStr">
        <is>
          <t>Capex is Updated</t>
        </is>
      </c>
      <c r="B966" s="1709" t="n"/>
      <c r="C966" s="1606">
        <f>ROUND(INDEX(MO_CFSum_Capex,0,COLUMN())-C744-C745,6)</f>
        <v/>
      </c>
      <c r="D966" s="1606">
        <f>ROUND(INDEX(MO_CFSum_Capex,0,COLUMN())-D744-D745,6)</f>
        <v/>
      </c>
      <c r="E966" s="1606">
        <f>ROUND(INDEX(MO_CFSum_Capex,0,COLUMN())-E744-E745,6)</f>
        <v/>
      </c>
      <c r="F966" s="1606">
        <f>ROUND(INDEX(MO_CFSum_Capex,0,COLUMN())-F744-F745,6)</f>
        <v/>
      </c>
      <c r="G966" s="1606">
        <f>ROUND(INDEX(MO_CFSum_Capex,0,COLUMN())-G744-G745,6)</f>
        <v/>
      </c>
      <c r="H966" s="1606">
        <f>ROUND(INDEX(MO_CFSum_Capex,0,COLUMN())-H744-H745,6)</f>
        <v/>
      </c>
      <c r="I966" s="1606">
        <f>ROUND(INDEX(MO_CFSum_Capex,0,COLUMN())-I744-I745,6)</f>
        <v/>
      </c>
      <c r="J966" s="1606">
        <f>ROUND(INDEX(MO_CFSum_Capex,0,COLUMN())-J744-J745,6)</f>
        <v/>
      </c>
      <c r="K966" s="1606">
        <f>ROUND(INDEX(MO_CFSum_Capex,0,COLUMN())-K744-K745,6)</f>
        <v/>
      </c>
      <c r="L966" s="1606">
        <f>ROUND(INDEX(MO_CFSum_Capex,0,COLUMN())-L744-L745,6)</f>
        <v/>
      </c>
      <c r="M966" s="1606">
        <f>ROUND(INDEX(MO_CFSum_Capex,0,COLUMN())-M744-M745,6)</f>
        <v/>
      </c>
      <c r="N966" s="1606">
        <f>ROUND(INDEX(MO_CFSum_Capex,0,COLUMN())-N744-N745,6)</f>
        <v/>
      </c>
      <c r="O966" s="1606">
        <f>ROUND(INDEX(MO_CFSum_Capex,0,COLUMN())-O744-O745,6)</f>
        <v/>
      </c>
      <c r="P966" s="1606">
        <f>ROUND(INDEX(MO_CFSum_Capex,0,COLUMN())-P744-P745,6)</f>
        <v/>
      </c>
      <c r="Q966" s="1606">
        <f>ROUND(INDEX(MO_CFSum_Capex,0,COLUMN())-Q744-Q745,6)</f>
        <v/>
      </c>
      <c r="R966" s="1606">
        <f>ROUND(INDEX(MO_CFSum_Capex,0,COLUMN())-R744-R745,6)</f>
        <v/>
      </c>
      <c r="S966" s="1606">
        <f>ROUND(INDEX(MO_CFSum_Capex,0,COLUMN())-S744-S745,6)</f>
        <v/>
      </c>
      <c r="T966" s="1606">
        <f>ROUND(INDEX(MO_CFSum_Capex,0,COLUMN())-T744-T745,6)</f>
        <v/>
      </c>
      <c r="U966" s="1606">
        <f>ROUND(INDEX(MO_CFSum_Capex,0,COLUMN())-U744-U745,6)</f>
        <v/>
      </c>
      <c r="V966" s="1606">
        <f>ROUND(INDEX(MO_CFSum_Capex,0,COLUMN())-V744-V745,6)</f>
        <v/>
      </c>
      <c r="W966" s="1606">
        <f>ROUND(INDEX(MO_CFSum_Capex,0,COLUMN())-W744-W745,6)</f>
        <v/>
      </c>
      <c r="X966" s="1606">
        <f>ROUND(INDEX(MO_CFSum_Capex,0,COLUMN())-X744-X745,6)</f>
        <v/>
      </c>
      <c r="Y966" s="1606">
        <f>ROUND(INDEX(MO_CFSum_Capex,0,COLUMN())-Y744-Y745,6)</f>
        <v/>
      </c>
      <c r="Z966" s="1606">
        <f>ROUND(INDEX(MO_CFSum_Capex,0,COLUMN())-Z744-Z745,6)</f>
        <v/>
      </c>
      <c r="AA966" s="1606">
        <f>ROUND(INDEX(MO_CFSum_Capex,0,COLUMN())-AA744-AA745,6)</f>
        <v/>
      </c>
      <c r="AB966" s="1606">
        <f>ROUND(INDEX(MO_CFSum_Capex,0,COLUMN())-AB744-AB745,6)</f>
        <v/>
      </c>
      <c r="AC966" s="1606">
        <f>ROUND(INDEX(MO_CFSum_Capex,0,COLUMN())-AC744-AC745,6)</f>
        <v/>
      </c>
      <c r="AD966" s="1606">
        <f>ROUND(INDEX(MO_CFSum_Capex,0,COLUMN())-AD744-AD745,6)</f>
        <v/>
      </c>
      <c r="AE966" s="1606">
        <f>ROUND(INDEX(MO_CFSum_Capex,0,COLUMN())-AE744-AE745,6)</f>
        <v/>
      </c>
      <c r="AF966" s="1606">
        <f>ROUND(INDEX(MO_CFSum_Capex,0,COLUMN())-AF744-AF745,6)</f>
        <v/>
      </c>
      <c r="AG966" s="1606">
        <f>ROUND(INDEX(MO_CFSum_Capex,0,COLUMN())-AG744-AG745,6)</f>
        <v/>
      </c>
      <c r="AH966" s="1606">
        <f>ROUND(INDEX(MO_CFSum_Capex,0,COLUMN())-AH744-AH745,6)</f>
        <v/>
      </c>
      <c r="AI966" s="1606">
        <f>ROUND(INDEX(MO_CFSum_Capex,0,COLUMN())-AI744-AI745,6)</f>
        <v/>
      </c>
      <c r="AJ966" s="1606">
        <f>ROUND(INDEX(MO_CFSum_Capex,0,COLUMN())-AJ744-AJ745,6)</f>
        <v/>
      </c>
      <c r="AK966" s="1606">
        <f>ROUND(INDEX(MO_CFSum_Capex,0,COLUMN())-AK744-AK745,6)</f>
        <v/>
      </c>
      <c r="AL966" s="1606">
        <f>ROUND(INDEX(MO_CFSum_Capex,0,COLUMN())-AL744-AL745,6)</f>
        <v/>
      </c>
      <c r="AM966" s="1606">
        <f>ROUND(INDEX(MO_CFSum_Capex,0,COLUMN())-AM744-AM745,6)</f>
        <v/>
      </c>
      <c r="AN966" s="1606">
        <f>ROUND(INDEX(MO_CFSum_Capex,0,COLUMN())-AN744-AN745,6)</f>
        <v/>
      </c>
      <c r="AO966" s="1606">
        <f>ROUND(INDEX(MO_CFSum_Capex,0,COLUMN())-AO744-AO745,6)</f>
        <v/>
      </c>
      <c r="AP966" s="1606">
        <f>ROUND(INDEX(MO_CFSum_Capex,0,COLUMN())-AP744-AP745,6)</f>
        <v/>
      </c>
      <c r="AQ966" s="1606">
        <f>ROUND(INDEX(MO_CFSum_Capex,0,COLUMN())-AQ744-AQ745,6)</f>
        <v/>
      </c>
      <c r="AR966" s="1606">
        <f>ROUND(INDEX(MO_CFSum_Capex,0,COLUMN())-AR744-AR745,6)</f>
        <v/>
      </c>
      <c r="AS966" s="1606">
        <f>ROUND(INDEX(MO_CFSum_Capex,0,COLUMN())-AS744-AS745,6)</f>
        <v/>
      </c>
      <c r="AT966" s="1606">
        <f>ROUND(INDEX(MO_CFSum_Capex,0,COLUMN())-AT744-AT745,6)</f>
        <v/>
      </c>
      <c r="AU966" s="1606">
        <f>ROUND(INDEX(MO_CFSum_Capex,0,COLUMN())-AU744-AU745,6)</f>
        <v/>
      </c>
      <c r="AV966" s="1606">
        <f>ROUND(INDEX(MO_CFSum_Capex,0,COLUMN())-AV744-AV745,6)</f>
        <v/>
      </c>
      <c r="AW966" s="1606">
        <f>ROUND(INDEX(MO_CFSum_Capex,0,COLUMN())-AW744-AW745,6)</f>
        <v/>
      </c>
      <c r="AX966" s="1606">
        <f>ROUND(INDEX(MO_CFSum_Capex,0,COLUMN())-AX744-AX745,6)</f>
        <v/>
      </c>
      <c r="AY966" s="1606">
        <f>ROUND(INDEX(MO_CFSum_Capex,0,COLUMN())-AY744-AY745,6)</f>
        <v/>
      </c>
      <c r="AZ966" s="1606">
        <f>ROUND(INDEX(MO_CFSum_Capex,0,COLUMN())-AZ744-AZ745,6)</f>
        <v/>
      </c>
      <c r="BA966" s="1606">
        <f>ROUND(INDEX(MO_CFSum_Capex,0,COLUMN())-BA744-BA745,6)</f>
        <v/>
      </c>
      <c r="BB966" s="1606">
        <f>ROUND(INDEX(MO_CFSum_Capex,0,COLUMN())-BB744-BB745,6)</f>
        <v/>
      </c>
      <c r="BC966" s="1606">
        <f>ROUND(INDEX(MO_CFSum_Capex,0,COLUMN())-BC744-BC745,6)</f>
        <v/>
      </c>
      <c r="BD966" s="1606">
        <f>ROUND(INDEX(MO_CFSum_Capex,0,COLUMN())-BD744-BD745,6)</f>
        <v/>
      </c>
      <c r="BE966" s="1606">
        <f>ROUND(INDEX(MO_CFSum_Capex,0,COLUMN())-BE744-BE745,6)</f>
        <v/>
      </c>
      <c r="BF966" s="1606">
        <f>ROUND(INDEX(MO_CFSum_Capex,0,COLUMN())-BF744-BF745,6)</f>
        <v/>
      </c>
      <c r="BG966" s="1606">
        <f>ROUND(INDEX(MO_CFSum_Capex,0,COLUMN())-BG744-BG745,6)</f>
        <v/>
      </c>
      <c r="BH966" s="1606">
        <f>ROUND(INDEX(MO_CFSum_Capex,0,COLUMN())-BH744-BH745,6)</f>
        <v/>
      </c>
      <c r="BI966" s="1606">
        <f>ROUND(INDEX(MO_CFSum_Capex,0,COLUMN())-BI744-BI745,6)</f>
        <v/>
      </c>
      <c r="BJ966" s="1606">
        <f>ROUND(INDEX(MO_CFSum_Capex,0,COLUMN())-BJ744-BJ745,6)</f>
        <v/>
      </c>
      <c r="BK966" s="1606">
        <f>ROUND(INDEX(MO_CFSum_Capex,0,COLUMN())-BK744-BK745,6)</f>
        <v/>
      </c>
      <c r="BL966" s="1606">
        <f>ROUND(INDEX(MO_CFSum_Capex,0,COLUMN())-BL744-BL745,6)</f>
        <v/>
      </c>
      <c r="BM966" s="1606">
        <f>ROUND(INDEX(MO_CFSum_Capex,0,COLUMN())-BM744-BM745,6)</f>
        <v/>
      </c>
      <c r="BN966" s="1606">
        <f>ROUND(INDEX(MO_CFSum_Capex,0,COLUMN())-BN744-BN745,6)</f>
        <v/>
      </c>
      <c r="BO966" s="1607">
        <f>ROUND(INDEX(MO_CFSum_Capex,0,COLUMN())-BO744-BO745,6)</f>
        <v/>
      </c>
      <c r="BP966" s="1606">
        <f>ROUND(INDEX(MO_CFSum_Capex,0,COLUMN())-BP744-BP745,6)</f>
        <v/>
      </c>
      <c r="BQ966" s="1606">
        <f>ROUND(INDEX(MO_CFSum_Capex,0,COLUMN())-BQ744-BQ745,6)</f>
        <v/>
      </c>
      <c r="BR966" s="1606">
        <f>ROUND(INDEX(MO_CFSum_Capex,0,COLUMN())-BR744-BR745,6)</f>
        <v/>
      </c>
      <c r="BS966" s="1606">
        <f>ROUND(INDEX(MO_CFSum_Capex,0,COLUMN())-BS744-BS745,6)</f>
        <v/>
      </c>
      <c r="BT966" s="1606">
        <f>ROUND(INDEX(MO_CFSum_Capex,0,COLUMN())-BT744-BT745,6)</f>
        <v/>
      </c>
      <c r="BU966" s="1606">
        <f>ROUND(INDEX(MO_CFSum_Capex,0,COLUMN())-BU744-BU745,6)</f>
        <v/>
      </c>
      <c r="BV966" s="1606">
        <f>ROUND(INDEX(MO_CFSum_Capex,0,COLUMN())-BV744-BV745,6)</f>
        <v/>
      </c>
      <c r="BW966" s="1606">
        <f>ROUND(INDEX(MO_CFSum_Capex,0,COLUMN())-BW744-BW745,6)</f>
        <v/>
      </c>
      <c r="BX966" s="1606">
        <f>ROUND(INDEX(MO_CFSum_Capex,0,COLUMN())-BX744-BX745,6)</f>
        <v/>
      </c>
      <c r="BY966" s="1606">
        <f>ROUND(INDEX(MO_CFSum_Capex,0,COLUMN())-BY744-BY745,6)</f>
        <v/>
      </c>
      <c r="BZ966" s="1606">
        <f>ROUND(INDEX(MO_CFSum_Capex,0,COLUMN())-BZ744-BZ745,6)</f>
        <v/>
      </c>
      <c r="CA966" s="1606">
        <f>ROUND(INDEX(MO_CFSum_Capex,0,COLUMN())-CA744-CA745,6)</f>
        <v/>
      </c>
      <c r="CB966" s="1606">
        <f>ROUND(INDEX(MO_CFSum_Capex,0,COLUMN())-CB744-CB745,6)</f>
        <v/>
      </c>
      <c r="CC966" s="1280" t="n"/>
    </row>
    <row r="967" ht="14.4" customFormat="1" customHeight="1" s="1275">
      <c r="A967" s="1280" t="inlineStr">
        <is>
          <t>Margin is Updated</t>
        </is>
      </c>
      <c r="B967" s="1709" t="n"/>
      <c r="C967" s="1606">
        <f>IF(ISBLANK(INDEX(MO_IS_FirstRow,0,COLUMN())),0,IF(MOD(C309*1000000,1)=0,"Check",0))</f>
        <v/>
      </c>
      <c r="D967" s="1606">
        <f>IF(ISBLANK(INDEX(MO_IS_FirstRow,0,COLUMN())),0,IF(MOD(D309*1000000,1)=0,"Check",0))</f>
        <v/>
      </c>
      <c r="E967" s="1606">
        <f>IF(ISBLANK(INDEX(MO_IS_FirstRow,0,COLUMN())),0,IF(MOD(E309*1000000,1)=0,"Check",0))</f>
        <v/>
      </c>
      <c r="F967" s="1606">
        <f>IF(ISBLANK(INDEX(MO_IS_FirstRow,0,COLUMN())),0,IF(MOD(F309*1000000,1)=0,"Check",0))</f>
        <v/>
      </c>
      <c r="G967" s="1606">
        <f>IF(ISBLANK(INDEX(MO_IS_FirstRow,0,COLUMN())),0,IF(MOD(G309*1000000,1)=0,"Check",0))</f>
        <v/>
      </c>
      <c r="H967" s="1606">
        <f>IF(ISBLANK(INDEX(MO_IS_FirstRow,0,COLUMN())),0,IF(MOD(H309*1000000,1)=0,"Check",0))</f>
        <v/>
      </c>
      <c r="I967" s="1606">
        <f>IF(ISBLANK(INDEX(MO_IS_FirstRow,0,COLUMN())),0,IF(MOD(I309*1000000,1)=0,"Check",0))</f>
        <v/>
      </c>
      <c r="J967" s="1606">
        <f>IF(ISBLANK(INDEX(MO_IS_FirstRow,0,COLUMN())),0,IF(MOD(J309*1000000,1)=0,"Check",0))</f>
        <v/>
      </c>
      <c r="K967" s="1606">
        <f>IF(ISBLANK(INDEX(MO_IS_FirstRow,0,COLUMN())),0,IF(MOD(K309*1000000,1)=0,"Check",0))</f>
        <v/>
      </c>
      <c r="L967" s="1606">
        <f>IF(ISBLANK(INDEX(MO_IS_FirstRow,0,COLUMN())),0,IF(MOD(L309*1000000,1)=0,"Check",0))</f>
        <v/>
      </c>
      <c r="M967" s="1606">
        <f>IF(ISBLANK(INDEX(MO_IS_FirstRow,0,COLUMN())),0,IF(MOD(M309*1000000,1)=0,"Check",0))</f>
        <v/>
      </c>
      <c r="N967" s="1606">
        <f>IF(ISBLANK(INDEX(MO_IS_FirstRow,0,COLUMN())),0,IF(MOD(N309*1000000,1)=0,"Check",0))</f>
        <v/>
      </c>
      <c r="O967" s="1606">
        <f>IF(ISBLANK(INDEX(MO_IS_FirstRow,0,COLUMN())),0,IF(MOD(O309*1000000,1)=0,"Check",0))</f>
        <v/>
      </c>
      <c r="P967" s="1606">
        <f>IF(ISBLANK(INDEX(MO_IS_FirstRow,0,COLUMN())),0,IF(MOD(P309*1000000,1)=0,"Check",0))</f>
        <v/>
      </c>
      <c r="Q967" s="1606">
        <f>IF(ISBLANK(INDEX(MO_IS_FirstRow,0,COLUMN())),0,IF(MOD(Q309*1000000,1)=0,"Check",0))</f>
        <v/>
      </c>
      <c r="R967" s="1606">
        <f>IF(ISBLANK(INDEX(MO_IS_FirstRow,0,COLUMN())),0,IF(MOD(R309*1000000,1)=0,"Check",0))</f>
        <v/>
      </c>
      <c r="S967" s="1606">
        <f>IF(ISBLANK(INDEX(MO_IS_FirstRow,0,COLUMN())),0,IF(MOD(S309*1000000,1)=0,"Check",0))</f>
        <v/>
      </c>
      <c r="T967" s="1606">
        <f>IF(ISBLANK(INDEX(MO_IS_FirstRow,0,COLUMN())),0,IF(MOD(T309*1000000,1)=0,"Check",0))</f>
        <v/>
      </c>
      <c r="U967" s="1606">
        <f>IF(ISBLANK(INDEX(MO_IS_FirstRow,0,COLUMN())),0,IF(MOD(U309*1000000,1)=0,"Check",0))</f>
        <v/>
      </c>
      <c r="V967" s="1606">
        <f>IF(ISBLANK(INDEX(MO_IS_FirstRow,0,COLUMN())),0,IF(MOD(V309*1000000,1)=0,"Check",0))</f>
        <v/>
      </c>
      <c r="W967" s="1606">
        <f>IF(ISBLANK(INDEX(MO_IS_FirstRow,0,COLUMN())),0,IF(MOD(W309*1000000,1)=0,"Check",0))</f>
        <v/>
      </c>
      <c r="X967" s="1606">
        <f>IF(ISBLANK(INDEX(MO_IS_FirstRow,0,COLUMN())),0,IF(MOD(X309*1000000,1)=0,"Check",0))</f>
        <v/>
      </c>
      <c r="Y967" s="1606">
        <f>IF(ISBLANK(INDEX(MO_IS_FirstRow,0,COLUMN())),0,IF(MOD(Y309*1000000,1)=0,"Check",0))</f>
        <v/>
      </c>
      <c r="Z967" s="1606">
        <f>IF(ISBLANK(INDEX(MO_IS_FirstRow,0,COLUMN())),0,IF(MOD(Z309*1000000,1)=0,"Check",0))</f>
        <v/>
      </c>
      <c r="AA967" s="1606">
        <f>IF(ISBLANK(INDEX(MO_IS_FirstRow,0,COLUMN())),0,IF(MOD(AA309*1000000,1)=0,"Check",0))</f>
        <v/>
      </c>
      <c r="AB967" s="1606">
        <f>IF(ISBLANK(INDEX(MO_IS_FirstRow,0,COLUMN())),0,IF(MOD(AB309*1000000,1)=0,"Check",0))</f>
        <v/>
      </c>
      <c r="AC967" s="1606">
        <f>IF(ISBLANK(INDEX(MO_IS_FirstRow,0,COLUMN())),0,IF(MOD(AC309*1000000,1)=0,"Check",0))</f>
        <v/>
      </c>
      <c r="AD967" s="1606">
        <f>IF(ISBLANK(INDEX(MO_IS_FirstRow,0,COLUMN())),0,IF(MOD(AD309*1000000,1)=0,"Check",0))</f>
        <v/>
      </c>
      <c r="AE967" s="1606">
        <f>IF(ISBLANK(INDEX(MO_IS_FirstRow,0,COLUMN())),0,IF(MOD(AE309*1000000,1)=0,"Check",0))</f>
        <v/>
      </c>
      <c r="AF967" s="1606">
        <f>IF(ISBLANK(INDEX(MO_IS_FirstRow,0,COLUMN())),0,IF(MOD(AF309*1000000,1)=0,"Check",0))</f>
        <v/>
      </c>
      <c r="AG967" s="1606">
        <f>IF(ISBLANK(INDEX(MO_IS_FirstRow,0,COLUMN())),0,IF(MOD(AG309*1000000,1)=0,"Check",0))</f>
        <v/>
      </c>
      <c r="AH967" s="1606">
        <f>IF(ISBLANK(INDEX(MO_IS_FirstRow,0,COLUMN())),0,IF(MOD(AH309*1000000,1)=0,"Check",0))</f>
        <v/>
      </c>
      <c r="AI967" s="1606">
        <f>IF(ISBLANK(INDEX(MO_IS_FirstRow,0,COLUMN())),0,IF(MOD(AI309*1000000,1)=0,"Check",0))</f>
        <v/>
      </c>
      <c r="AJ967" s="1606">
        <f>IF(ISBLANK(INDEX(MO_IS_FirstRow,0,COLUMN())),0,IF(MOD(AJ309*1000000,1)=0,"Check",0))</f>
        <v/>
      </c>
      <c r="AK967" s="1606">
        <f>IF(ISBLANK(INDEX(MO_IS_FirstRow,0,COLUMN())),0,IF(MOD(AK309*1000000,1)=0,"Check",0))</f>
        <v/>
      </c>
      <c r="AL967" s="1606">
        <f>IF(ISBLANK(INDEX(MO_IS_FirstRow,0,COLUMN())),0,IF(MOD(AL309*1000000,1)=0,"Check",0))</f>
        <v/>
      </c>
      <c r="AM967" s="1606">
        <f>IF(ISBLANK(INDEX(MO_IS_FirstRow,0,COLUMN())),0,IF(MOD(AM309*1000000,1)=0,"Check",0))</f>
        <v/>
      </c>
      <c r="AN967" s="1606">
        <f>IF(ISBLANK(INDEX(MO_IS_FirstRow,0,COLUMN())),0,IF(MOD(AN309*1000000,1)=0,"Check",0))</f>
        <v/>
      </c>
      <c r="AO967" s="1606">
        <f>IF(ISBLANK(INDEX(MO_IS_FirstRow,0,COLUMN())),0,IF(MOD(AO309*1000000,1)=0,"Check",0))</f>
        <v/>
      </c>
      <c r="AP967" s="1606">
        <f>IF(ISBLANK(INDEX(MO_IS_FirstRow,0,COLUMN())),0,IF(MOD(AP309*1000000,1)=0,"Check",0))</f>
        <v/>
      </c>
      <c r="AQ967" s="1606">
        <f>IF(ISBLANK(INDEX(MO_IS_FirstRow,0,COLUMN())),0,IF(MOD(AQ309*1000000,1)=0,"Check",0))</f>
        <v/>
      </c>
      <c r="AR967" s="1606">
        <f>IF(ISBLANK(INDEX(MO_IS_FirstRow,0,COLUMN())),0,IF(MOD(AR309*1000000,1)=0,"Check",0))</f>
        <v/>
      </c>
      <c r="AS967" s="1606">
        <f>IF(ISBLANK(INDEX(MO_IS_FirstRow,0,COLUMN())),0,IF(MOD(AS309*1000000,1)=0,"Check",0))</f>
        <v/>
      </c>
      <c r="AT967" s="1606">
        <f>IF(ISBLANK(INDEX(MO_IS_FirstRow,0,COLUMN())),0,IF(MOD(AT309*1000000,1)=0,"Check",0))</f>
        <v/>
      </c>
      <c r="AU967" s="1606">
        <f>IF(ISBLANK(INDEX(MO_IS_FirstRow,0,COLUMN())),0,IF(MOD(AU309*1000000,1)=0,"Check",0))</f>
        <v/>
      </c>
      <c r="AV967" s="1606">
        <f>IF(ISBLANK(INDEX(MO_IS_FirstRow,0,COLUMN())),0,IF(MOD(AV309*1000000,1)=0,"Check",0))</f>
        <v/>
      </c>
      <c r="AW967" s="1606">
        <f>IF(ISBLANK(INDEX(MO_IS_FirstRow,0,COLUMN())),0,IF(MOD(AW309*1000000,1)=0,"Check",0))</f>
        <v/>
      </c>
      <c r="AX967" s="1606">
        <f>IF(ISBLANK(INDEX(MO_IS_FirstRow,0,COLUMN())),0,IF(MOD(AX309*1000000,1)=0,"Check",0))</f>
        <v/>
      </c>
      <c r="AY967" s="1606">
        <f>IF(ISBLANK(INDEX(MO_IS_FirstRow,0,COLUMN())),0,IF(MOD(AY309*1000000,1)=0,"Check",0))</f>
        <v/>
      </c>
      <c r="AZ967" s="1606">
        <f>IF(ISBLANK(INDEX(MO_IS_FirstRow,0,COLUMN())),0,IF(MOD(AZ309*1000000,1)=0,"Check",0))</f>
        <v/>
      </c>
      <c r="BA967" s="1606">
        <f>IF(ISBLANK(INDEX(MO_IS_FirstRow,0,COLUMN())),0,IF(MOD(BA309*1000000,1)=0,"Check",0))</f>
        <v/>
      </c>
      <c r="BB967" s="1606">
        <f>IF(ISBLANK(INDEX(MO_IS_FirstRow,0,COLUMN())),0,IF(MOD(BB309*1000000,1)=0,"Check",0))</f>
        <v/>
      </c>
      <c r="BC967" s="1606">
        <f>IF(ISBLANK(INDEX(MO_IS_FirstRow,0,COLUMN())),0,IF(MOD(BC309*1000000,1)=0,"Check",0))</f>
        <v/>
      </c>
      <c r="BD967" s="1606">
        <f>IF(ISBLANK(INDEX(MO_IS_FirstRow,0,COLUMN())),0,IF(MOD(BD309*1000000,1)=0,"Check",0))</f>
        <v/>
      </c>
      <c r="BE967" s="1606">
        <f>IF(ISBLANK(INDEX(MO_IS_FirstRow,0,COLUMN())),0,IF(MOD(BE309*1000000,1)=0,"Check",0))</f>
        <v/>
      </c>
      <c r="BF967" s="1606">
        <f>IF(ISBLANK(INDEX(MO_IS_FirstRow,0,COLUMN())),0,IF(MOD(BF309*1000000,1)=0,"Check",0))</f>
        <v/>
      </c>
      <c r="BG967" s="1606">
        <f>IF(ISBLANK(INDEX(MO_IS_FirstRow,0,COLUMN())),0,IF(MOD(BG309*1000000,1)=0,"Check",0))</f>
        <v/>
      </c>
      <c r="BH967" s="1606">
        <f>IF(ISBLANK(INDEX(MO_IS_FirstRow,0,COLUMN())),0,IF(MOD(BH309*1000000,1)=0,"Check",0))</f>
        <v/>
      </c>
      <c r="BI967" s="1606">
        <f>IF(ISBLANK(INDEX(MO_IS_FirstRow,0,COLUMN())),0,IF(MOD(BI309*1000000,1)=0,"Check",0))</f>
        <v/>
      </c>
      <c r="BJ967" s="1606">
        <f>IF(ISBLANK(INDEX(MO_IS_FirstRow,0,COLUMN())),0,IF(MOD(BJ309*1000000,1)=0,"Check",0))</f>
        <v/>
      </c>
      <c r="BK967" s="1606">
        <f>IF(ISBLANK(INDEX(MO_IS_FirstRow,0,COLUMN())),0,IF(MOD(BK309*1000000,1)=0,"Check",0))</f>
        <v/>
      </c>
      <c r="BL967" s="1606">
        <f>IF(ISBLANK(INDEX(MO_IS_FirstRow,0,COLUMN())),0,IF(MOD(BL309*1000000,1)=0,"Check",0))</f>
        <v/>
      </c>
      <c r="BM967" s="1606">
        <f>IF(ISBLANK(INDEX(MO_IS_FirstRow,0,COLUMN())),0,IF(MOD(BM309*1000000,1)=0,"Check",0))</f>
        <v/>
      </c>
      <c r="BN967" s="1606">
        <f>IF(ISBLANK(INDEX(MO_IS_FirstRow,0,COLUMN())),0,IF(MOD(BN309*1000000,1)=0,"Check",0))</f>
        <v/>
      </c>
      <c r="BO967" s="1607">
        <f>IF(ISBLANK(INDEX(MO_IS_FirstRow,0,COLUMN())),0,IF(MOD(BO309*1000000,1)=0,"Check",0))</f>
        <v/>
      </c>
      <c r="BP967" s="1606">
        <f>IF(ISBLANK(INDEX(MO_IS_FirstRow,0,COLUMN())),0,IF(MOD(BP309*1000000,1)=0,"Check",0))</f>
        <v/>
      </c>
      <c r="BQ967" s="1606">
        <f>IF(ISBLANK(INDEX(MO_IS_FirstRow,0,COLUMN())),0,IF(MOD(BQ309*1000000,1)=0,"Check",0))</f>
        <v/>
      </c>
      <c r="BR967" s="1606">
        <f>IF(ISBLANK(INDEX(MO_IS_FirstRow,0,COLUMN())),0,IF(MOD(BR309*1000000,1)=0,"Check",0))</f>
        <v/>
      </c>
      <c r="BS967" s="1606">
        <f>IF(ISBLANK(INDEX(MO_IS_FirstRow,0,COLUMN())),0,IF(MOD(BS309*1000000,1)=0,"Check",0))</f>
        <v/>
      </c>
      <c r="BT967" s="1606">
        <f>IF(ISBLANK(INDEX(MO_IS_FirstRow,0,COLUMN())),0,IF(MOD(BT309*1000000,1)=0,"Check",0))</f>
        <v/>
      </c>
      <c r="BU967" s="1606">
        <f>IF(ISBLANK(INDEX(MO_IS_FirstRow,0,COLUMN())),0,IF(MOD(BU309*1000000,1)=0,"Check",0))</f>
        <v/>
      </c>
      <c r="BV967" s="1606">
        <f>IF(ISBLANK(INDEX(MO_IS_FirstRow,0,COLUMN())),0,IF(MOD(BV309*1000000,1)=0,"Check",0))</f>
        <v/>
      </c>
      <c r="BW967" s="1606">
        <f>IF(ISBLANK(INDEX(MO_IS_FirstRow,0,COLUMN())),0,IF(MOD(BW309*1000000,1)=0,"Check",0))</f>
        <v/>
      </c>
      <c r="BX967" s="1606">
        <f>IF(ISBLANK(INDEX(MO_IS_FirstRow,0,COLUMN())),0,IF(MOD(BX309*1000000,1)=0,"Check",0))</f>
        <v/>
      </c>
      <c r="BY967" s="1606">
        <f>IF(ISBLANK(INDEX(MO_IS_FirstRow,0,COLUMN())),0,IF(MOD(BY309*1000000,1)=0,"Check",0))</f>
        <v/>
      </c>
      <c r="BZ967" s="1606">
        <f>IF(ISBLANK(INDEX(MO_IS_FirstRow,0,COLUMN())),0,IF(MOD(BZ309*1000000,1)=0,"Check",0))</f>
        <v/>
      </c>
      <c r="CA967" s="1606">
        <f>IF(ISBLANK(INDEX(MO_IS_FirstRow,0,COLUMN())),0,IF(MOD(CA309*1000000,1)=0,"Check",0))</f>
        <v/>
      </c>
      <c r="CB967" s="1606">
        <f>IF(ISBLANK(INDEX(MO_IS_FirstRow,0,COLUMN())),0,IF(MOD(CB309*1000000,1)=0,"Check",0))</f>
        <v/>
      </c>
      <c r="CC967" s="1280" t="n"/>
    </row>
    <row r="968" ht="14.4" customFormat="1" customHeight="1" s="1275">
      <c r="A968" s="1280" t="inlineStr">
        <is>
          <t>Adjusted Numbers FY = Sum of Qs</t>
        </is>
      </c>
      <c r="B968" s="1709" t="n"/>
      <c r="C968" s="1606" t="n"/>
      <c r="D968" s="1606" t="n"/>
      <c r="E968" s="1606" t="n"/>
      <c r="F968" s="1606" t="n"/>
      <c r="G968" s="1606" t="n"/>
      <c r="H968" s="1606" t="n"/>
      <c r="I968" s="1606" t="n"/>
      <c r="J968" s="1606" t="n"/>
      <c r="K968" s="1606" t="n"/>
      <c r="L968" s="1606">
        <f>IF(ISBLANK(INDEX(MO_IS_FirstRow,0,COLUMN())),0,ROUND(L364-SUM(H364,I364,J364,K364),6))</f>
        <v/>
      </c>
      <c r="M968" s="1606" t="n"/>
      <c r="N968" s="1606" t="n"/>
      <c r="O968" s="1606" t="n"/>
      <c r="P968" s="1606" t="n"/>
      <c r="Q968" s="1606">
        <f>IF(ISBLANK(INDEX(MO_IS_FirstRow,0,COLUMN())),0,ROUND(Q364-SUM(M364,N364,O364,P364),6))</f>
        <v/>
      </c>
      <c r="R968" s="1606" t="n"/>
      <c r="S968" s="1606" t="n"/>
      <c r="T968" s="1606" t="n"/>
      <c r="U968" s="1606" t="n"/>
      <c r="V968" s="1606">
        <f>IF(ISBLANK(INDEX(MO_IS_FirstRow,0,COLUMN())),0,ROUND(V364-SUM(R364,S364,T364,U364),6))</f>
        <v/>
      </c>
      <c r="W968" s="1606" t="n"/>
      <c r="X968" s="1606" t="n"/>
      <c r="Y968" s="1606" t="n"/>
      <c r="Z968" s="1606" t="n"/>
      <c r="AA968" s="1606">
        <f>IF(ISBLANK(INDEX(MO_IS_FirstRow,0,COLUMN())),0,ROUND(AA364-SUM(W364,X364,Y364,Z364),6))</f>
        <v/>
      </c>
      <c r="AB968" s="1606" t="n"/>
      <c r="AC968" s="1606" t="n"/>
      <c r="AD968" s="1606" t="n"/>
      <c r="AE968" s="1606" t="n"/>
      <c r="AF968" s="1606">
        <f>IF(ISBLANK(INDEX(MO_IS_FirstRow,0,COLUMN())),0,ROUND(AF364-SUM(AB364,AC364,AD364,AE364),6))</f>
        <v/>
      </c>
      <c r="AG968" s="1606" t="n"/>
      <c r="AH968" s="1606" t="n"/>
      <c r="AI968" s="1606" t="n"/>
      <c r="AJ968" s="1606" t="n"/>
      <c r="AK968" s="1606">
        <f>IF(ISBLANK(INDEX(MO_IS_FirstRow,0,COLUMN())),0,ROUND(AK364-SUM(AG364,AH364,AI364,AJ364),6))</f>
        <v/>
      </c>
      <c r="AL968" s="1606" t="n"/>
      <c r="AM968" s="1606" t="n"/>
      <c r="AN968" s="1606" t="n"/>
      <c r="AO968" s="1606" t="n"/>
      <c r="AP968" s="1606">
        <f>IF(ISBLANK(INDEX(MO_IS_FirstRow,0,COLUMN())),0,ROUND(AP364-SUM(AL364,AM364,AN364,AO364),6))</f>
        <v/>
      </c>
      <c r="AQ968" s="1606" t="n"/>
      <c r="AR968" s="1606" t="n"/>
      <c r="AS968" s="1606" t="n"/>
      <c r="AT968" s="1606" t="n"/>
      <c r="AU968" s="1606">
        <f>IF(ISBLANK(INDEX(MO_IS_FirstRow,0,COLUMN())),0,ROUND(AU364-SUM(AQ364,AR364,AS364,AT364),6))</f>
        <v/>
      </c>
      <c r="AV968" s="1606" t="n"/>
      <c r="AW968" s="1606" t="n"/>
      <c r="AX968" s="1606" t="n"/>
      <c r="AY968" s="1606" t="n"/>
      <c r="AZ968" s="1606">
        <f>IF(ISBLANK(INDEX(MO_IS_FirstRow,0,COLUMN())),0,ROUND(AZ364-SUM(AV364,AW364,AX364,AY364),6))</f>
        <v/>
      </c>
      <c r="BA968" s="1606" t="n"/>
      <c r="BB968" s="1606" t="n"/>
      <c r="BC968" s="1606" t="n"/>
      <c r="BD968" s="1606" t="n"/>
      <c r="BE968" s="1606">
        <f>IF(ISBLANK(INDEX(MO_IS_FirstRow,0,COLUMN())),0,ROUND(BE364-SUM(BA364,BB364,BC364,BD364),6))</f>
        <v/>
      </c>
      <c r="BF968" s="1606" t="n"/>
      <c r="BG968" s="1606" t="n"/>
      <c r="BH968" s="1606" t="n"/>
      <c r="BI968" s="1606" t="n"/>
      <c r="BJ968" s="1606">
        <f>IF(ISBLANK(INDEX(MO_IS_FirstRow,0,COLUMN())),0,ROUND(BJ364-SUM(BF364,BG364,BH364,BI364),6))</f>
        <v/>
      </c>
      <c r="BK968" s="1606" t="n"/>
      <c r="BL968" s="1606" t="n"/>
      <c r="BM968" s="1606" t="n"/>
      <c r="BN968" s="1606" t="n"/>
      <c r="BO968" s="1607">
        <f>IF(ISBLANK(INDEX(MO_IS_FirstRow,0,COLUMN())),0,ROUND(BO364-SUM(BK364,BL364,BM364,BN364),6))</f>
        <v/>
      </c>
      <c r="BP968" s="1606" t="n"/>
      <c r="BQ968" s="1606" t="n"/>
      <c r="BR968" s="1606" t="n"/>
      <c r="BS968" s="1606" t="n"/>
      <c r="BT968" s="1606">
        <f>IF(ISBLANK(INDEX(MO_IS_FirstRow,0,COLUMN())),0,ROUND(BT364-SUM(BP364,BQ364,BR364,BS364),6))</f>
        <v/>
      </c>
      <c r="BU968" s="1606" t="n"/>
      <c r="BV968" s="1606" t="n"/>
      <c r="BW968" s="1606" t="n"/>
      <c r="BX968" s="1606" t="n"/>
      <c r="BY968" s="1606">
        <f>IF(ISBLANK(INDEX(MO_IS_FirstRow,0,COLUMN())),0,ROUND(BY364-SUM(BU364,BV364,BW364,BX364),6))</f>
        <v/>
      </c>
      <c r="BZ968" s="1606" t="n"/>
      <c r="CA968" s="1606" t="n"/>
      <c r="CB968" s="1606" t="n"/>
      <c r="CC968" s="1280" t="n"/>
    </row>
    <row r="969" ht="14.4" customFormat="1" customHeight="1" s="1275">
      <c r="A969" s="1280" t="inlineStr">
        <is>
          <t>*Cash Flow Summary Signs are Correct</t>
        </is>
      </c>
      <c r="B969" s="1709" t="n"/>
      <c r="C969" s="1606">
        <f>IF(OR(INDEX(MO_CFSum_Acquisition,1,COLUMN())&gt;0,INDEX(MO_CFSum_Divestiture,1,COLUMN())&lt;0,INDEX(MO_CFSum_Capex,1,COLUMN())&gt;0,INDEX(MO_CFSum_Dividend,1,COLUMN())&gt;0),"CHECK",0)</f>
        <v/>
      </c>
      <c r="D969" s="1606">
        <f>IF(OR(INDEX(MO_CFSum_Acquisition,1,COLUMN())&gt;0,INDEX(MO_CFSum_Divestiture,1,COLUMN())&lt;0,INDEX(MO_CFSum_Capex,1,COLUMN())&gt;0,INDEX(MO_CFSum_Dividend,1,COLUMN())&gt;0),"CHECK",0)</f>
        <v/>
      </c>
      <c r="E969" s="1606">
        <f>IF(OR(INDEX(MO_CFSum_Acquisition,1,COLUMN())&gt;0,INDEX(MO_CFSum_Divestiture,1,COLUMN())&lt;0,INDEX(MO_CFSum_Capex,1,COLUMN())&gt;0,INDEX(MO_CFSum_Dividend,1,COLUMN())&gt;0),"CHECK",0)</f>
        <v/>
      </c>
      <c r="F969" s="1606">
        <f>IF(OR(INDEX(MO_CFSum_Acquisition,1,COLUMN())&gt;0,INDEX(MO_CFSum_Divestiture,1,COLUMN())&lt;0,INDEX(MO_CFSum_Capex,1,COLUMN())&gt;0,INDEX(MO_CFSum_Dividend,1,COLUMN())&gt;0),"CHECK",0)</f>
        <v/>
      </c>
      <c r="G969" s="1606">
        <f>IF(OR(INDEX(MO_CFSum_Acquisition,1,COLUMN())&gt;0,INDEX(MO_CFSum_Divestiture,1,COLUMN())&lt;0,INDEX(MO_CFSum_Capex,1,COLUMN())&gt;0,INDEX(MO_CFSum_Dividend,1,COLUMN())&gt;0),"CHECK",0)</f>
        <v/>
      </c>
      <c r="H969" s="1606">
        <f>IF(OR(INDEX(MO_CFSum_Acquisition,1,COLUMN())&gt;0,INDEX(MO_CFSum_Divestiture,1,COLUMN())&lt;0,INDEX(MO_CFSum_Capex,1,COLUMN())&gt;0,INDEX(MO_CFSum_Dividend,1,COLUMN())&gt;0),"CHECK",0)</f>
        <v/>
      </c>
      <c r="I969" s="1606">
        <f>IF(OR(INDEX(MO_CFSum_Acquisition,1,COLUMN())&gt;0,INDEX(MO_CFSum_Divestiture,1,COLUMN())&lt;0,INDEX(MO_CFSum_Capex,1,COLUMN())&gt;0,INDEX(MO_CFSum_Dividend,1,COLUMN())&gt;0),"CHECK",0)</f>
        <v/>
      </c>
      <c r="J969" s="1606">
        <f>IF(OR(INDEX(MO_CFSum_Acquisition,1,COLUMN())&gt;0,INDEX(MO_CFSum_Divestiture,1,COLUMN())&lt;0,INDEX(MO_CFSum_Capex,1,COLUMN())&gt;0,INDEX(MO_CFSum_Dividend,1,COLUMN())&gt;0),"CHECK",0)</f>
        <v/>
      </c>
      <c r="K969" s="1606">
        <f>IF(OR(INDEX(MO_CFSum_Acquisition,1,COLUMN())&gt;0,INDEX(MO_CFSum_Divestiture,1,COLUMN())&lt;0,INDEX(MO_CFSum_Capex,1,COLUMN())&gt;0,INDEX(MO_CFSum_Dividend,1,COLUMN())&gt;0),"CHECK",0)</f>
        <v/>
      </c>
      <c r="L969" s="1606">
        <f>IF(OR(INDEX(MO_CFSum_Acquisition,1,COLUMN())&gt;0,INDEX(MO_CFSum_Divestiture,1,COLUMN())&lt;0,INDEX(MO_CFSum_Capex,1,COLUMN())&gt;0,INDEX(MO_CFSum_Dividend,1,COLUMN())&gt;0),"CHECK",0)</f>
        <v/>
      </c>
      <c r="M969" s="1606">
        <f>IF(OR(INDEX(MO_CFSum_Acquisition,1,COLUMN())&gt;0,INDEX(MO_CFSum_Divestiture,1,COLUMN())&lt;0,INDEX(MO_CFSum_Capex,1,COLUMN())&gt;0,INDEX(MO_CFSum_Dividend,1,COLUMN())&gt;0),"CHECK",0)</f>
        <v/>
      </c>
      <c r="N969" s="1606">
        <f>IF(OR(INDEX(MO_CFSum_Acquisition,1,COLUMN())&gt;0,INDEX(MO_CFSum_Divestiture,1,COLUMN())&lt;0,INDEX(MO_CFSum_Capex,1,COLUMN())&gt;0,INDEX(MO_CFSum_Dividend,1,COLUMN())&gt;0),"CHECK",0)</f>
        <v/>
      </c>
      <c r="O969" s="1606">
        <f>IF(OR(INDEX(MO_CFSum_Acquisition,1,COLUMN())&gt;0,INDEX(MO_CFSum_Divestiture,1,COLUMN())&lt;0,INDEX(MO_CFSum_Capex,1,COLUMN())&gt;0,INDEX(MO_CFSum_Dividend,1,COLUMN())&gt;0),"CHECK",0)</f>
        <v/>
      </c>
      <c r="P969" s="1606">
        <f>IF(OR(INDEX(MO_CFSum_Acquisition,1,COLUMN())&gt;0,INDEX(MO_CFSum_Divestiture,1,COLUMN())&lt;0,INDEX(MO_CFSum_Capex,1,COLUMN())&gt;0,INDEX(MO_CFSum_Dividend,1,COLUMN())&gt;0),"CHECK",0)</f>
        <v/>
      </c>
      <c r="Q969" s="1606">
        <f>IF(OR(INDEX(MO_CFSum_Acquisition,1,COLUMN())&gt;0,INDEX(MO_CFSum_Divestiture,1,COLUMN())&lt;0,INDEX(MO_CFSum_Capex,1,COLUMN())&gt;0,INDEX(MO_CFSum_Dividend,1,COLUMN())&gt;0),"CHECK",0)</f>
        <v/>
      </c>
      <c r="R969" s="1606">
        <f>IF(OR(INDEX(MO_CFSum_Acquisition,1,COLUMN())&gt;0,INDEX(MO_CFSum_Divestiture,1,COLUMN())&lt;0,INDEX(MO_CFSum_Capex,1,COLUMN())&gt;0,INDEX(MO_CFSum_Dividend,1,COLUMN())&gt;0),"CHECK",0)</f>
        <v/>
      </c>
      <c r="S969" s="1606">
        <f>IF(OR(INDEX(MO_CFSum_Acquisition,1,COLUMN())&gt;0,INDEX(MO_CFSum_Divestiture,1,COLUMN())&lt;0,INDEX(MO_CFSum_Capex,1,COLUMN())&gt;0,INDEX(MO_CFSum_Dividend,1,COLUMN())&gt;0),"CHECK",0)</f>
        <v/>
      </c>
      <c r="T969" s="1606">
        <f>IF(OR(INDEX(MO_CFSum_Acquisition,1,COLUMN())&gt;0,INDEX(MO_CFSum_Divestiture,1,COLUMN())&lt;0,INDEX(MO_CFSum_Capex,1,COLUMN())&gt;0,INDEX(MO_CFSum_Dividend,1,COLUMN())&gt;0),"CHECK",0)</f>
        <v/>
      </c>
      <c r="U969" s="1606">
        <f>IF(OR(INDEX(MO_CFSum_Acquisition,1,COLUMN())&gt;0,INDEX(MO_CFSum_Divestiture,1,COLUMN())&lt;0,INDEX(MO_CFSum_Capex,1,COLUMN())&gt;0,INDEX(MO_CFSum_Dividend,1,COLUMN())&gt;0),"CHECK",0)</f>
        <v/>
      </c>
      <c r="V969" s="1606">
        <f>IF(OR(INDEX(MO_CFSum_Acquisition,1,COLUMN())&gt;0,INDEX(MO_CFSum_Divestiture,1,COLUMN())&lt;0,INDEX(MO_CFSum_Capex,1,COLUMN())&gt;0,INDEX(MO_CFSum_Dividend,1,COLUMN())&gt;0),"CHECK",0)</f>
        <v/>
      </c>
      <c r="W969" s="1606">
        <f>IF(OR(INDEX(MO_CFSum_Acquisition,1,COLUMN())&gt;0,INDEX(MO_CFSum_Divestiture,1,COLUMN())&lt;0,INDEX(MO_CFSum_Capex,1,COLUMN())&gt;0,INDEX(MO_CFSum_Dividend,1,COLUMN())&gt;0),"CHECK",0)</f>
        <v/>
      </c>
      <c r="X969" s="1606">
        <f>IF(OR(INDEX(MO_CFSum_Acquisition,1,COLUMN())&gt;0,INDEX(MO_CFSum_Divestiture,1,COLUMN())&lt;0,INDEX(MO_CFSum_Capex,1,COLUMN())&gt;0,INDEX(MO_CFSum_Dividend,1,COLUMN())&gt;0),"CHECK",0)</f>
        <v/>
      </c>
      <c r="Y969" s="1606">
        <f>IF(OR(INDEX(MO_CFSum_Acquisition,1,COLUMN())&gt;0,INDEX(MO_CFSum_Divestiture,1,COLUMN())&lt;0,INDEX(MO_CFSum_Capex,1,COLUMN())&gt;0,INDEX(MO_CFSum_Dividend,1,COLUMN())&gt;0),"CHECK",0)</f>
        <v/>
      </c>
      <c r="Z969" s="1606">
        <f>IF(OR(INDEX(MO_CFSum_Acquisition,1,COLUMN())&gt;0,INDEX(MO_CFSum_Divestiture,1,COLUMN())&lt;0,INDEX(MO_CFSum_Capex,1,COLUMN())&gt;0,INDEX(MO_CFSum_Dividend,1,COLUMN())&gt;0),"CHECK",0)</f>
        <v/>
      </c>
      <c r="AA969" s="1606">
        <f>IF(OR(INDEX(MO_CFSum_Acquisition,1,COLUMN())&gt;0,INDEX(MO_CFSum_Divestiture,1,COLUMN())&lt;0,INDEX(MO_CFSum_Capex,1,COLUMN())&gt;0,INDEX(MO_CFSum_Dividend,1,COLUMN())&gt;0),"CHECK",0)</f>
        <v/>
      </c>
      <c r="AB969" s="1606">
        <f>IF(OR(INDEX(MO_CFSum_Acquisition,1,COLUMN())&gt;0,INDEX(MO_CFSum_Divestiture,1,COLUMN())&lt;0,INDEX(MO_CFSum_Capex,1,COLUMN())&gt;0,INDEX(MO_CFSum_Dividend,1,COLUMN())&gt;0),"CHECK",0)</f>
        <v/>
      </c>
      <c r="AC969" s="1606">
        <f>IF(OR(INDEX(MO_CFSum_Acquisition,1,COLUMN())&gt;0,INDEX(MO_CFSum_Divestiture,1,COLUMN())&lt;0,INDEX(MO_CFSum_Capex,1,COLUMN())&gt;0,INDEX(MO_CFSum_Dividend,1,COLUMN())&gt;0),"CHECK",0)</f>
        <v/>
      </c>
      <c r="AD969" s="1606">
        <f>IF(OR(INDEX(MO_CFSum_Acquisition,1,COLUMN())&gt;0,INDEX(MO_CFSum_Divestiture,1,COLUMN())&lt;0,INDEX(MO_CFSum_Capex,1,COLUMN())&gt;0,INDEX(MO_CFSum_Dividend,1,COLUMN())&gt;0),"CHECK",0)</f>
        <v/>
      </c>
      <c r="AE969" s="1606">
        <f>IF(OR(INDEX(MO_CFSum_Acquisition,1,COLUMN())&gt;0,INDEX(MO_CFSum_Divestiture,1,COLUMN())&lt;0,INDEX(MO_CFSum_Capex,1,COLUMN())&gt;0,INDEX(MO_CFSum_Dividend,1,COLUMN())&gt;0),"CHECK",0)</f>
        <v/>
      </c>
      <c r="AF969" s="1606">
        <f>IF(OR(INDEX(MO_CFSum_Acquisition,1,COLUMN())&gt;0,INDEX(MO_CFSum_Divestiture,1,COLUMN())&lt;0,INDEX(MO_CFSum_Capex,1,COLUMN())&gt;0,INDEX(MO_CFSum_Dividend,1,COLUMN())&gt;0),"CHECK",0)</f>
        <v/>
      </c>
      <c r="AG969" s="1606">
        <f>IF(OR(INDEX(MO_CFSum_Acquisition,1,COLUMN())&gt;0,INDEX(MO_CFSum_Divestiture,1,COLUMN())&lt;0,INDEX(MO_CFSum_Capex,1,COLUMN())&gt;0,INDEX(MO_CFSum_Dividend,1,COLUMN())&gt;0),"CHECK",0)</f>
        <v/>
      </c>
      <c r="AH969" s="1606">
        <f>IF(OR(INDEX(MO_CFSum_Acquisition,1,COLUMN())&gt;0,INDEX(MO_CFSum_Divestiture,1,COLUMN())&lt;0,INDEX(MO_CFSum_Capex,1,COLUMN())&gt;0,INDEX(MO_CFSum_Dividend,1,COLUMN())&gt;0),"CHECK",0)</f>
        <v/>
      </c>
      <c r="AI969" s="1606">
        <f>IF(OR(INDEX(MO_CFSum_Acquisition,1,COLUMN())&gt;0,INDEX(MO_CFSum_Divestiture,1,COLUMN())&lt;0,INDEX(MO_CFSum_Capex,1,COLUMN())&gt;0,INDEX(MO_CFSum_Dividend,1,COLUMN())&gt;0),"CHECK",0)</f>
        <v/>
      </c>
      <c r="AJ969" s="1606">
        <f>IF(OR(INDEX(MO_CFSum_Acquisition,1,COLUMN())&gt;0,INDEX(MO_CFSum_Divestiture,1,COLUMN())&lt;0,INDEX(MO_CFSum_Capex,1,COLUMN())&gt;0,INDEX(MO_CFSum_Dividend,1,COLUMN())&gt;0),"CHECK",0)</f>
        <v/>
      </c>
      <c r="AK969" s="1606">
        <f>IF(OR(INDEX(MO_CFSum_Acquisition,1,COLUMN())&gt;0,INDEX(MO_CFSum_Divestiture,1,COLUMN())&lt;0,INDEX(MO_CFSum_Capex,1,COLUMN())&gt;0,INDEX(MO_CFSum_Dividend,1,COLUMN())&gt;0),"CHECK",0)</f>
        <v/>
      </c>
      <c r="AL969" s="1606">
        <f>IF(OR(INDEX(MO_CFSum_Acquisition,1,COLUMN())&gt;0,INDEX(MO_CFSum_Divestiture,1,COLUMN())&lt;0,INDEX(MO_CFSum_Capex,1,COLUMN())&gt;0,INDEX(MO_CFSum_Dividend,1,COLUMN())&gt;0),"CHECK",0)</f>
        <v/>
      </c>
      <c r="AM969" s="1606">
        <f>IF(OR(INDEX(MO_CFSum_Acquisition,1,COLUMN())&gt;0,INDEX(MO_CFSum_Divestiture,1,COLUMN())&lt;0,INDEX(MO_CFSum_Capex,1,COLUMN())&gt;0,INDEX(MO_CFSum_Dividend,1,COLUMN())&gt;0),"CHECK",0)</f>
        <v/>
      </c>
      <c r="AN969" s="1606">
        <f>IF(OR(INDEX(MO_CFSum_Acquisition,1,COLUMN())&gt;0,INDEX(MO_CFSum_Divestiture,1,COLUMN())&lt;0,INDEX(MO_CFSum_Capex,1,COLUMN())&gt;0,INDEX(MO_CFSum_Dividend,1,COLUMN())&gt;0),"CHECK",0)</f>
        <v/>
      </c>
      <c r="AO969" s="1606">
        <f>IF(OR(INDEX(MO_CFSum_Acquisition,1,COLUMN())&gt;0,INDEX(MO_CFSum_Divestiture,1,COLUMN())&lt;0,INDEX(MO_CFSum_Capex,1,COLUMN())&gt;0,INDEX(MO_CFSum_Dividend,1,COLUMN())&gt;0),"CHECK",0)</f>
        <v/>
      </c>
      <c r="AP969" s="1606">
        <f>IF(OR(INDEX(MO_CFSum_Acquisition,1,COLUMN())&gt;0,INDEX(MO_CFSum_Divestiture,1,COLUMN())&lt;0,INDEX(MO_CFSum_Capex,1,COLUMN())&gt;0,INDEX(MO_CFSum_Dividend,1,COLUMN())&gt;0),"CHECK",0)</f>
        <v/>
      </c>
      <c r="AQ969" s="1606">
        <f>IF(OR(INDEX(MO_CFSum_Acquisition,1,COLUMN())&gt;0,INDEX(MO_CFSum_Divestiture,1,COLUMN())&lt;0,INDEX(MO_CFSum_Capex,1,COLUMN())&gt;0,INDEX(MO_CFSum_Dividend,1,COLUMN())&gt;0),"CHECK",0)</f>
        <v/>
      </c>
      <c r="AR969" s="1606">
        <f>IF(OR(INDEX(MO_CFSum_Acquisition,1,COLUMN())&gt;0,INDEX(MO_CFSum_Divestiture,1,COLUMN())&lt;0,INDEX(MO_CFSum_Capex,1,COLUMN())&gt;0,INDEX(MO_CFSum_Dividend,1,COLUMN())&gt;0),"CHECK",0)</f>
        <v/>
      </c>
      <c r="AS969" s="1606">
        <f>IF(OR(INDEX(MO_CFSum_Acquisition,1,COLUMN())&gt;0,INDEX(MO_CFSum_Divestiture,1,COLUMN())&lt;0,INDEX(MO_CFSum_Capex,1,COLUMN())&gt;0,INDEX(MO_CFSum_Dividend,1,COLUMN())&gt;0),"CHECK",0)</f>
        <v/>
      </c>
      <c r="AT969" s="1606">
        <f>IF(OR(INDEX(MO_CFSum_Acquisition,1,COLUMN())&gt;0,INDEX(MO_CFSum_Divestiture,1,COLUMN())&lt;0,INDEX(MO_CFSum_Capex,1,COLUMN())&gt;0,INDEX(MO_CFSum_Dividend,1,COLUMN())&gt;0),"CHECK",0)</f>
        <v/>
      </c>
      <c r="AU969" s="1606">
        <f>IF(OR(INDEX(MO_CFSum_Acquisition,1,COLUMN())&gt;0,INDEX(MO_CFSum_Divestiture,1,COLUMN())&lt;0,INDEX(MO_CFSum_Capex,1,COLUMN())&gt;0,INDEX(MO_CFSum_Dividend,1,COLUMN())&gt;0),"CHECK",0)</f>
        <v/>
      </c>
      <c r="AV969" s="1606">
        <f>IF(OR(INDEX(MO_CFSum_Acquisition,1,COLUMN())&gt;0,INDEX(MO_CFSum_Divestiture,1,COLUMN())&lt;0,INDEX(MO_CFSum_Capex,1,COLUMN())&gt;0,INDEX(MO_CFSum_Dividend,1,COLUMN())&gt;0),"CHECK",0)</f>
        <v/>
      </c>
      <c r="AW969" s="1606">
        <f>IF(OR(INDEX(MO_CFSum_Acquisition,1,COLUMN())&gt;0,INDEX(MO_CFSum_Divestiture,1,COLUMN())&lt;0,INDEX(MO_CFSum_Capex,1,COLUMN())&gt;0,INDEX(MO_CFSum_Dividend,1,COLUMN())&gt;0),"CHECK",0)</f>
        <v/>
      </c>
      <c r="AX969" s="1606">
        <f>IF(OR(INDEX(MO_CFSum_Acquisition,1,COLUMN())&gt;0,INDEX(MO_CFSum_Divestiture,1,COLUMN())&lt;0,INDEX(MO_CFSum_Capex,1,COLUMN())&gt;0,INDEX(MO_CFSum_Dividend,1,COLUMN())&gt;0),"CHECK",0)</f>
        <v/>
      </c>
      <c r="AY969" s="1606">
        <f>IF(OR(INDEX(MO_CFSum_Acquisition,1,COLUMN())&gt;0,INDEX(MO_CFSum_Divestiture,1,COLUMN())&lt;0,INDEX(MO_CFSum_Capex,1,COLUMN())&gt;0,INDEX(MO_CFSum_Dividend,1,COLUMN())&gt;0),"CHECK",0)</f>
        <v/>
      </c>
      <c r="AZ969" s="1606">
        <f>IF(OR(INDEX(MO_CFSum_Acquisition,1,COLUMN())&gt;0,INDEX(MO_CFSum_Divestiture,1,COLUMN())&lt;0,INDEX(MO_CFSum_Capex,1,COLUMN())&gt;0,INDEX(MO_CFSum_Dividend,1,COLUMN())&gt;0),"CHECK",0)</f>
        <v/>
      </c>
      <c r="BA969" s="1606">
        <f>IF(OR(INDEX(MO_CFSum_Acquisition,1,COLUMN())&gt;0,INDEX(MO_CFSum_Divestiture,1,COLUMN())&lt;0,INDEX(MO_CFSum_Capex,1,COLUMN())&gt;0,INDEX(MO_CFSum_Dividend,1,COLUMN())&gt;0),"CHECK",0)</f>
        <v/>
      </c>
      <c r="BB969" s="1606">
        <f>IF(OR(INDEX(MO_CFSum_Acquisition,1,COLUMN())&gt;0,INDEX(MO_CFSum_Divestiture,1,COLUMN())&lt;0,INDEX(MO_CFSum_Capex,1,COLUMN())&gt;0,INDEX(MO_CFSum_Dividend,1,COLUMN())&gt;0),"CHECK",0)</f>
        <v/>
      </c>
      <c r="BC969" s="1606">
        <f>IF(OR(INDEX(MO_CFSum_Acquisition,1,COLUMN())&gt;0,INDEX(MO_CFSum_Divestiture,1,COLUMN())&lt;0,INDEX(MO_CFSum_Capex,1,COLUMN())&gt;0,INDEX(MO_CFSum_Dividend,1,COLUMN())&gt;0),"CHECK",0)</f>
        <v/>
      </c>
      <c r="BD969" s="1606">
        <f>IF(OR(INDEX(MO_CFSum_Acquisition,1,COLUMN())&gt;0,INDEX(MO_CFSum_Divestiture,1,COLUMN())&lt;0,INDEX(MO_CFSum_Capex,1,COLUMN())&gt;0,INDEX(MO_CFSum_Dividend,1,COLUMN())&gt;0),"CHECK",0)</f>
        <v/>
      </c>
      <c r="BE969" s="1606">
        <f>IF(OR(INDEX(MO_CFSum_Acquisition,1,COLUMN())&gt;0,INDEX(MO_CFSum_Divestiture,1,COLUMN())&lt;0,INDEX(MO_CFSum_Capex,1,COLUMN())&gt;0,INDEX(MO_CFSum_Dividend,1,COLUMN())&gt;0),"CHECK",0)</f>
        <v/>
      </c>
      <c r="BF969" s="1606">
        <f>IF(OR(INDEX(MO_CFSum_Acquisition,1,COLUMN())&gt;0,INDEX(MO_CFSum_Divestiture,1,COLUMN())&lt;0,INDEX(MO_CFSum_Capex,1,COLUMN())&gt;0,INDEX(MO_CFSum_Dividend,1,COLUMN())&gt;0),"CHECK",0)</f>
        <v/>
      </c>
      <c r="BG969" s="1606">
        <f>IF(OR(INDEX(MO_CFSum_Acquisition,1,COLUMN())&gt;0,INDEX(MO_CFSum_Divestiture,1,COLUMN())&lt;0,INDEX(MO_CFSum_Capex,1,COLUMN())&gt;0,INDEX(MO_CFSum_Dividend,1,COLUMN())&gt;0),"CHECK",0)</f>
        <v/>
      </c>
      <c r="BH969" s="1606">
        <f>IF(OR(INDEX(MO_CFSum_Acquisition,1,COLUMN())&gt;0,INDEX(MO_CFSum_Divestiture,1,COLUMN())&lt;0,INDEX(MO_CFSum_Capex,1,COLUMN())&gt;0,INDEX(MO_CFSum_Dividend,1,COLUMN())&gt;0),"CHECK",0)</f>
        <v/>
      </c>
      <c r="BI969" s="1606">
        <f>IF(OR(INDEX(MO_CFSum_Acquisition,1,COLUMN())&gt;0,INDEX(MO_CFSum_Divestiture,1,COLUMN())&lt;0,INDEX(MO_CFSum_Capex,1,COLUMN())&gt;0,INDEX(MO_CFSum_Dividend,1,COLUMN())&gt;0),"CHECK",0)</f>
        <v/>
      </c>
      <c r="BJ969" s="1606">
        <f>IF(OR(INDEX(MO_CFSum_Acquisition,1,COLUMN())&gt;0,INDEX(MO_CFSum_Divestiture,1,COLUMN())&lt;0,INDEX(MO_CFSum_Capex,1,COLUMN())&gt;0,INDEX(MO_CFSum_Dividend,1,COLUMN())&gt;0),"CHECK",0)</f>
        <v/>
      </c>
      <c r="BK969" s="1606">
        <f>IF(OR(INDEX(MO_CFSum_Acquisition,1,COLUMN())&gt;0,INDEX(MO_CFSum_Divestiture,1,COLUMN())&lt;0,INDEX(MO_CFSum_Capex,1,COLUMN())&gt;0,INDEX(MO_CFSum_Dividend,1,COLUMN())&gt;0),"CHECK",0)</f>
        <v/>
      </c>
      <c r="BL969" s="1606">
        <f>IF(OR(INDEX(MO_CFSum_Acquisition,1,COLUMN())&gt;0,INDEX(MO_CFSum_Divestiture,1,COLUMN())&lt;0,INDEX(MO_CFSum_Capex,1,COLUMN())&gt;0,INDEX(MO_CFSum_Dividend,1,COLUMN())&gt;0),"CHECK",0)</f>
        <v/>
      </c>
      <c r="BM969" s="1606">
        <f>IF(OR(INDEX(MO_CFSum_Acquisition,1,COLUMN())&gt;0,INDEX(MO_CFSum_Divestiture,1,COLUMN())&lt;0,INDEX(MO_CFSum_Capex,1,COLUMN())&gt;0,INDEX(MO_CFSum_Dividend,1,COLUMN())&gt;0),"CHECK",0)</f>
        <v/>
      </c>
      <c r="BN969" s="1606">
        <f>IF(OR(INDEX(MO_CFSum_Acquisition,1,COLUMN())&gt;0,INDEX(MO_CFSum_Divestiture,1,COLUMN())&lt;0,INDEX(MO_CFSum_Capex,1,COLUMN())&gt;0,INDEX(MO_CFSum_Dividend,1,COLUMN())&gt;0),"CHECK",0)</f>
        <v/>
      </c>
      <c r="BO969" s="1607">
        <f>IF(OR(INDEX(MO_CFSum_Acquisition,1,COLUMN())&gt;0,INDEX(MO_CFSum_Divestiture,1,COLUMN())&lt;0,INDEX(MO_CFSum_Capex,1,COLUMN())&gt;0,INDEX(MO_CFSum_Dividend,1,COLUMN())&gt;0),"CHECK",0)</f>
        <v/>
      </c>
      <c r="BP969" s="1606">
        <f>IF(OR(INDEX(MO_CFSum_Acquisition,1,COLUMN())&gt;0,INDEX(MO_CFSum_Divestiture,1,COLUMN())&lt;0,INDEX(MO_CFSum_Capex,1,COLUMN())&gt;0,INDEX(MO_CFSum_Dividend,1,COLUMN())&gt;0),"CHECK",0)</f>
        <v/>
      </c>
      <c r="BQ969" s="1606">
        <f>IF(OR(INDEX(MO_CFSum_Acquisition,1,COLUMN())&gt;0,INDEX(MO_CFSum_Divestiture,1,COLUMN())&lt;0,INDEX(MO_CFSum_Capex,1,COLUMN())&gt;0,INDEX(MO_CFSum_Dividend,1,COLUMN())&gt;0),"CHECK",0)</f>
        <v/>
      </c>
      <c r="BR969" s="1606">
        <f>IF(OR(INDEX(MO_CFSum_Acquisition,1,COLUMN())&gt;0,INDEX(MO_CFSum_Divestiture,1,COLUMN())&lt;0,INDEX(MO_CFSum_Capex,1,COLUMN())&gt;0,INDEX(MO_CFSum_Dividend,1,COLUMN())&gt;0),"CHECK",0)</f>
        <v/>
      </c>
      <c r="BS969" s="1606">
        <f>IF(OR(INDEX(MO_CFSum_Acquisition,1,COLUMN())&gt;0,INDEX(MO_CFSum_Divestiture,1,COLUMN())&lt;0,INDEX(MO_CFSum_Capex,1,COLUMN())&gt;0,INDEX(MO_CFSum_Dividend,1,COLUMN())&gt;0),"CHECK",0)</f>
        <v/>
      </c>
      <c r="BT969" s="1606">
        <f>IF(OR(INDEX(MO_CFSum_Acquisition,1,COLUMN())&gt;0,INDEX(MO_CFSum_Divestiture,1,COLUMN())&lt;0,INDEX(MO_CFSum_Capex,1,COLUMN())&gt;0,INDEX(MO_CFSum_Dividend,1,COLUMN())&gt;0),"CHECK",0)</f>
        <v/>
      </c>
      <c r="BU969" s="1606">
        <f>IF(OR(INDEX(MO_CFSum_Acquisition,1,COLUMN())&gt;0,INDEX(MO_CFSum_Divestiture,1,COLUMN())&lt;0,INDEX(MO_CFSum_Capex,1,COLUMN())&gt;0,INDEX(MO_CFSum_Dividend,1,COLUMN())&gt;0),"CHECK",0)</f>
        <v/>
      </c>
      <c r="BV969" s="1606">
        <f>IF(OR(INDEX(MO_CFSum_Acquisition,1,COLUMN())&gt;0,INDEX(MO_CFSum_Divestiture,1,COLUMN())&lt;0,INDEX(MO_CFSum_Capex,1,COLUMN())&gt;0,INDEX(MO_CFSum_Dividend,1,COLUMN())&gt;0),"CHECK",0)</f>
        <v/>
      </c>
      <c r="BW969" s="1606">
        <f>IF(OR(INDEX(MO_CFSum_Acquisition,1,COLUMN())&gt;0,INDEX(MO_CFSum_Divestiture,1,COLUMN())&lt;0,INDEX(MO_CFSum_Capex,1,COLUMN())&gt;0,INDEX(MO_CFSum_Dividend,1,COLUMN())&gt;0),"CHECK",0)</f>
        <v/>
      </c>
      <c r="BX969" s="1606">
        <f>IF(OR(INDEX(MO_CFSum_Acquisition,1,COLUMN())&gt;0,INDEX(MO_CFSum_Divestiture,1,COLUMN())&lt;0,INDEX(MO_CFSum_Capex,1,COLUMN())&gt;0,INDEX(MO_CFSum_Dividend,1,COLUMN())&gt;0),"CHECK",0)</f>
        <v/>
      </c>
      <c r="BY969" s="1606">
        <f>IF(OR(INDEX(MO_CFSum_Acquisition,1,COLUMN())&gt;0,INDEX(MO_CFSum_Divestiture,1,COLUMN())&lt;0,INDEX(MO_CFSum_Capex,1,COLUMN())&gt;0,INDEX(MO_CFSum_Dividend,1,COLUMN())&gt;0),"CHECK",0)</f>
        <v/>
      </c>
      <c r="BZ969" s="1606">
        <f>IF(OR(INDEX(MO_CFSum_Acquisition,1,COLUMN())&gt;0,INDEX(MO_CFSum_Divestiture,1,COLUMN())&lt;0,INDEX(MO_CFSum_Capex,1,COLUMN())&gt;0,INDEX(MO_CFSum_Dividend,1,COLUMN())&gt;0),"CHECK",0)</f>
        <v/>
      </c>
      <c r="CA969" s="1606">
        <f>IF(OR(INDEX(MO_CFSum_Acquisition,1,COLUMN())&gt;0,INDEX(MO_CFSum_Divestiture,1,COLUMN())&lt;0,INDEX(MO_CFSum_Capex,1,COLUMN())&gt;0,INDEX(MO_CFSum_Dividend,1,COLUMN())&gt;0),"CHECK",0)</f>
        <v/>
      </c>
      <c r="CB969" s="1606">
        <f>IF(OR(INDEX(MO_CFSum_Acquisition,1,COLUMN())&gt;0,INDEX(MO_CFSum_Divestiture,1,COLUMN())&lt;0,INDEX(MO_CFSum_Capex,1,COLUMN())&gt;0,INDEX(MO_CFSum_Dividend,1,COLUMN())&gt;0),"CHECK",0)</f>
        <v/>
      </c>
      <c r="CC969" s="1280" t="n"/>
    </row>
    <row r="970" ht="14.4" customFormat="1" customHeight="1" s="1275">
      <c r="A970" s="1280" t="inlineStr">
        <is>
          <t>*RIS NI FY = Sum of Qs</t>
        </is>
      </c>
      <c r="B970" s="1709" t="n"/>
      <c r="C970" s="1606" t="n"/>
      <c r="D970" s="1606" t="n"/>
      <c r="E970" s="1606" t="n"/>
      <c r="F970" s="1606" t="n"/>
      <c r="G970" s="1606" t="n"/>
      <c r="H970" s="1606" t="n"/>
      <c r="I970" s="1606" t="n"/>
      <c r="J970" s="1606" t="n"/>
      <c r="K970" s="1606" t="n"/>
      <c r="L970" s="1606">
        <f>ROUND(L398-SUM(H398,I398,J398,K398),6)</f>
        <v/>
      </c>
      <c r="M970" s="1606" t="n"/>
      <c r="N970" s="1606" t="n"/>
      <c r="O970" s="1606" t="n"/>
      <c r="P970" s="1606" t="n"/>
      <c r="Q970" s="1606">
        <f>ROUND(Q398-SUM(M398,N398,O398,P398),6)</f>
        <v/>
      </c>
      <c r="R970" s="1606" t="n"/>
      <c r="S970" s="1606" t="n"/>
      <c r="T970" s="1606" t="n"/>
      <c r="U970" s="1606" t="n"/>
      <c r="V970" s="1606">
        <f>ROUND(V398-SUM(R398,S398,T398,U398),6)</f>
        <v/>
      </c>
      <c r="W970" s="1606" t="n"/>
      <c r="X970" s="1606" t="n"/>
      <c r="Y970" s="1606" t="n"/>
      <c r="Z970" s="1606" t="n"/>
      <c r="AA970" s="1606">
        <f>ROUND(AA398-SUM(W398,X398,Y398,Z398),6)</f>
        <v/>
      </c>
      <c r="AB970" s="1606" t="n"/>
      <c r="AC970" s="1606" t="n"/>
      <c r="AD970" s="1606" t="n"/>
      <c r="AE970" s="1606" t="n"/>
      <c r="AF970" s="1606">
        <f>ROUND(AF398-SUM(AB398,AC398,AD398,AE398),6)</f>
        <v/>
      </c>
      <c r="AG970" s="1606" t="n"/>
      <c r="AH970" s="1606" t="n"/>
      <c r="AI970" s="1606" t="n"/>
      <c r="AJ970" s="1606" t="n"/>
      <c r="AK970" s="1606">
        <f>ROUND(AK398-SUM(AG398,AH398,AI398,AJ398),6)</f>
        <v/>
      </c>
      <c r="AL970" s="1606" t="n"/>
      <c r="AM970" s="1606" t="n"/>
      <c r="AN970" s="1606" t="n"/>
      <c r="AO970" s="1606" t="n"/>
      <c r="AP970" s="1606">
        <f>ROUND(AP398-SUM(AL398,AM398,AN398,AO398),6)</f>
        <v/>
      </c>
      <c r="AQ970" s="1606" t="n"/>
      <c r="AR970" s="1606" t="n"/>
      <c r="AS970" s="1606" t="n"/>
      <c r="AT970" s="1606" t="n"/>
      <c r="AU970" s="1606">
        <f>ROUND(AU398-SUM(AQ398,AR398,AS398,AT398),6)</f>
        <v/>
      </c>
      <c r="AV970" s="1606" t="n"/>
      <c r="AW970" s="1606" t="n"/>
      <c r="AX970" s="1606" t="n"/>
      <c r="AY970" s="1606" t="n"/>
      <c r="AZ970" s="1606">
        <f>ROUND(AZ398-SUM(AV398,AW398,AX398,AY398),6)</f>
        <v/>
      </c>
      <c r="BA970" s="1606" t="n"/>
      <c r="BB970" s="1606" t="n"/>
      <c r="BC970" s="1606" t="n"/>
      <c r="BD970" s="1606" t="n"/>
      <c r="BE970" s="1606">
        <f>ROUND(BE398-SUM(BA398,BB398,BC398,BD398),6)</f>
        <v/>
      </c>
      <c r="BF970" s="1606" t="n"/>
      <c r="BG970" s="1606" t="n"/>
      <c r="BH970" s="1606" t="n"/>
      <c r="BI970" s="1606" t="n"/>
      <c r="BJ970" s="1606">
        <f>ROUND(BJ398-SUM(BF398,BG398,BH398,BI398),6)</f>
        <v/>
      </c>
      <c r="BK970" s="1606" t="n"/>
      <c r="BL970" s="1606" t="n"/>
      <c r="BM970" s="1606" t="n"/>
      <c r="BN970" s="1606" t="n"/>
      <c r="BO970" s="1607">
        <f>ROUND(BO398-SUM(BK398,BL398,BM398,BN398),6)</f>
        <v/>
      </c>
      <c r="BP970" s="1606" t="n"/>
      <c r="BQ970" s="1606" t="n"/>
      <c r="BR970" s="1606" t="n"/>
      <c r="BS970" s="1606" t="n"/>
      <c r="BT970" s="1606">
        <f>ROUND(BT398-SUM(BP398,BQ398,BR398,BS398),6)</f>
        <v/>
      </c>
      <c r="BU970" s="1606" t="n"/>
      <c r="BV970" s="1606" t="n"/>
      <c r="BW970" s="1606" t="n"/>
      <c r="BX970" s="1606" t="n"/>
      <c r="BY970" s="1606">
        <f>ROUND(BY398-SUM(BU398,BV398,BW398,BX398),6)</f>
        <v/>
      </c>
      <c r="BZ970" s="1606" t="n"/>
      <c r="CA970" s="1606" t="n"/>
      <c r="CB970" s="1606" t="n"/>
      <c r="CC970" s="1280" t="n"/>
    </row>
    <row r="971" ht="14.4" customFormat="1" customHeight="1" s="1275">
      <c r="A971" s="1280" t="inlineStr">
        <is>
          <t>*RIS Adjusted NI FY = Sum of Qs</t>
        </is>
      </c>
      <c r="B971" s="1709" t="n"/>
      <c r="C971" s="1606" t="n"/>
      <c r="D971" s="1606" t="n"/>
      <c r="E971" s="1606" t="n"/>
      <c r="F971" s="1606" t="n"/>
      <c r="G971" s="1606" t="n"/>
      <c r="H971" s="1606" t="n"/>
      <c r="I971" s="1606" t="n"/>
      <c r="J971" s="1606" t="n"/>
      <c r="K971" s="1606" t="n"/>
      <c r="L971" s="1606">
        <f>ROUND(SUM(H407,I407,J407,K407)-INDEX(MO_RIS_NI_NONGAAP_Diluted,1,COLUMN()),6)</f>
        <v/>
      </c>
      <c r="M971" s="1606" t="n"/>
      <c r="N971" s="1606" t="n"/>
      <c r="O971" s="1606" t="n"/>
      <c r="P971" s="1606" t="n"/>
      <c r="Q971" s="1606">
        <f>ROUND(SUM(M407,N407,O407,P407)-INDEX(MO_RIS_NI_NONGAAP_Diluted,1,COLUMN()),6)</f>
        <v/>
      </c>
      <c r="R971" s="1606" t="n"/>
      <c r="S971" s="1606" t="n"/>
      <c r="T971" s="1606" t="n"/>
      <c r="U971" s="1606" t="n"/>
      <c r="V971" s="1606">
        <f>ROUND(SUM(R407,S407,T407,U407)-INDEX(MO_RIS_NI_NONGAAP_Diluted,1,COLUMN()),6)</f>
        <v/>
      </c>
      <c r="W971" s="1606" t="n"/>
      <c r="X971" s="1606" t="n"/>
      <c r="Y971" s="1606" t="n"/>
      <c r="Z971" s="1606" t="n"/>
      <c r="AA971" s="1606">
        <f>ROUND(SUM(W407,X407,Y407,Z407)-INDEX(MO_RIS_NI_NONGAAP_Diluted,1,COLUMN()),6)</f>
        <v/>
      </c>
      <c r="AB971" s="1606" t="n"/>
      <c r="AC971" s="1606" t="n"/>
      <c r="AD971" s="1606" t="n"/>
      <c r="AE971" s="1606" t="n"/>
      <c r="AF971" s="1606">
        <f>ROUND(SUM(AB407,AC407,AD407,AE407)-INDEX(MO_RIS_NI_NONGAAP_Diluted,1,COLUMN()),6)</f>
        <v/>
      </c>
      <c r="AG971" s="1606" t="n"/>
      <c r="AH971" s="1606" t="n"/>
      <c r="AI971" s="1606" t="n"/>
      <c r="AJ971" s="1606" t="n"/>
      <c r="AK971" s="1606">
        <f>ROUND(SUM(AG407,AH407,AI407,AJ407)-INDEX(MO_RIS_NI_NONGAAP_Diluted,1,COLUMN()),6)</f>
        <v/>
      </c>
      <c r="AL971" s="1606" t="n"/>
      <c r="AM971" s="1606" t="n"/>
      <c r="AN971" s="1606" t="n"/>
      <c r="AO971" s="1606" t="n"/>
      <c r="AP971" s="1606">
        <f>ROUND(SUM(AL407,AM407,AN407,AO407)-INDEX(MO_RIS_NI_NONGAAP_Diluted,1,COLUMN()),6)</f>
        <v/>
      </c>
      <c r="AQ971" s="1606" t="n"/>
      <c r="AR971" s="1606" t="n"/>
      <c r="AS971" s="1606" t="n"/>
      <c r="AT971" s="1606" t="n"/>
      <c r="AU971" s="1606">
        <f>ROUND(SUM(AQ407,AR407,AS407,AT407)-INDEX(MO_RIS_NI_NONGAAP_Diluted,1,COLUMN()),6)</f>
        <v/>
      </c>
      <c r="AV971" s="1606" t="n"/>
      <c r="AW971" s="1606" t="n"/>
      <c r="AX971" s="1606" t="n"/>
      <c r="AY971" s="1606" t="n"/>
      <c r="AZ971" s="1606">
        <f>ROUND(SUM(AV407,AW407,AX407,AY407)-INDEX(MO_RIS_NI_NONGAAP_Diluted,1,COLUMN()),6)</f>
        <v/>
      </c>
      <c r="BA971" s="1606" t="n"/>
      <c r="BB971" s="1606" t="n"/>
      <c r="BC971" s="1606" t="n"/>
      <c r="BD971" s="1606" t="n"/>
      <c r="BE971" s="1606">
        <f>ROUND(SUM(BA407,BB407,BC407,BD407)-INDEX(MO_RIS_NI_NONGAAP_Diluted,1,COLUMN()),6)</f>
        <v/>
      </c>
      <c r="BF971" s="1606" t="n"/>
      <c r="BG971" s="1606" t="n"/>
      <c r="BH971" s="1606" t="n"/>
      <c r="BI971" s="1606" t="n"/>
      <c r="BJ971" s="1606">
        <f>ROUND(SUM(BF407,BG407,BH407,BI407)-INDEX(MO_RIS_NI_NONGAAP_Diluted,1,COLUMN()),6)</f>
        <v/>
      </c>
      <c r="BK971" s="1606" t="n"/>
      <c r="BL971" s="1606" t="n"/>
      <c r="BM971" s="1606" t="n"/>
      <c r="BN971" s="1606" t="n"/>
      <c r="BO971" s="1607">
        <f>ROUND(SUM(BK407,BL407,BM407,BN407)-INDEX(MO_RIS_NI_NONGAAP_Diluted,1,COLUMN()),6)</f>
        <v/>
      </c>
      <c r="BP971" s="1606" t="n"/>
      <c r="BQ971" s="1606" t="n"/>
      <c r="BR971" s="1606" t="n"/>
      <c r="BS971" s="1606" t="n"/>
      <c r="BT971" s="1606">
        <f>ROUND(SUM(BP407,BQ407,BR407,BS407)-INDEX(MO_RIS_NI_NONGAAP_Diluted,1,COLUMN()),6)</f>
        <v/>
      </c>
      <c r="BU971" s="1606" t="n"/>
      <c r="BV971" s="1606" t="n"/>
      <c r="BW971" s="1606" t="n"/>
      <c r="BX971" s="1606" t="n"/>
      <c r="BY971" s="1606">
        <f>ROUND(SUM(BU407,BV407,BW407,BX407)-INDEX(MO_RIS_NI_NONGAAP_Diluted,1,COLUMN()),6)</f>
        <v/>
      </c>
      <c r="BZ971" s="1606" t="n"/>
      <c r="CA971" s="1606" t="n"/>
      <c r="CB971" s="1606" t="n"/>
      <c r="CC971" s="1280" t="n"/>
    </row>
    <row r="972" ht="14.4" customFormat="1" customHeight="1" s="1275">
      <c r="A972" s="1280" t="inlineStr">
        <is>
          <t>*CFO Before WC subtotal FY = Sum of Qs</t>
        </is>
      </c>
      <c r="B972" s="1709" t="n"/>
      <c r="C972" s="1606" t="n"/>
      <c r="D972" s="1606" t="n"/>
      <c r="E972" s="1606" t="n"/>
      <c r="F972" s="1606" t="n"/>
      <c r="G972" s="1606" t="n"/>
      <c r="H972" s="1606" t="n"/>
      <c r="I972" s="1606" t="n"/>
      <c r="J972" s="1606" t="n"/>
      <c r="K972" s="1606" t="n"/>
      <c r="L972" s="1606">
        <f>ROUND(SUM(H715,I715,J715,K715)-SUM(OFFSET(INDEX(MO_CFS_CFO_BeforeWC,1,COLUMN()),ROW(INDEX(MO_SubSection_CFS_CFO,1,COLUMN()))-ROW(INDEX(MO_CFS_CFO_BeforeWC,1,COLUMN())),0,ROW(INDEX(MO_CFS_CFO_BeforeWC,1,COLUMN()))-ROW(INDEX(MO_SubSection_CFS_CFO,1,COLUMN())),1)),6)</f>
        <v/>
      </c>
      <c r="M972" s="1606" t="n"/>
      <c r="N972" s="1606" t="n"/>
      <c r="O972" s="1606" t="n"/>
      <c r="P972" s="1606" t="n"/>
      <c r="Q972" s="1606">
        <f>ROUND(SUM(M715,N715,O715,P715)-SUM(OFFSET(INDEX(MO_CFS_CFO_BeforeWC,1,COLUMN()),ROW(INDEX(MO_SubSection_CFS_CFO,1,COLUMN()))-ROW(INDEX(MO_CFS_CFO_BeforeWC,1,COLUMN())),0,ROW(INDEX(MO_CFS_CFO_BeforeWC,1,COLUMN()))-ROW(INDEX(MO_SubSection_CFS_CFO,1,COLUMN())),1)),6)</f>
        <v/>
      </c>
      <c r="R972" s="1606" t="n"/>
      <c r="S972" s="1606" t="n"/>
      <c r="T972" s="1606" t="n"/>
      <c r="U972" s="1606" t="n"/>
      <c r="V972" s="1606">
        <f>ROUND(SUM(R715,S715,T715,U715)-SUM(OFFSET(INDEX(MO_CFS_CFO_BeforeWC,1,COLUMN()),ROW(INDEX(MO_SubSection_CFS_CFO,1,COLUMN()))-ROW(INDEX(MO_CFS_CFO_BeforeWC,1,COLUMN())),0,ROW(INDEX(MO_CFS_CFO_BeforeWC,1,COLUMN()))-ROW(INDEX(MO_SubSection_CFS_CFO,1,COLUMN())),1)),6)</f>
        <v/>
      </c>
      <c r="W972" s="1606" t="n"/>
      <c r="X972" s="1606" t="n"/>
      <c r="Y972" s="1606" t="n"/>
      <c r="Z972" s="1606" t="n"/>
      <c r="AA972" s="1606">
        <f>ROUND(SUM(W715,X715,Y715,Z715)-SUM(OFFSET(INDEX(MO_CFS_CFO_BeforeWC,1,COLUMN()),ROW(INDEX(MO_SubSection_CFS_CFO,1,COLUMN()))-ROW(INDEX(MO_CFS_CFO_BeforeWC,1,COLUMN())),0,ROW(INDEX(MO_CFS_CFO_BeforeWC,1,COLUMN()))-ROW(INDEX(MO_SubSection_CFS_CFO,1,COLUMN())),1)),6)</f>
        <v/>
      </c>
      <c r="AB972" s="1606" t="n"/>
      <c r="AC972" s="1606" t="n"/>
      <c r="AD972" s="1606" t="n"/>
      <c r="AE972" s="1606" t="n"/>
      <c r="AF972" s="1606">
        <f>ROUND(SUM(AB715,AC715,AD715,AE715)-SUM(OFFSET(INDEX(MO_CFS_CFO_BeforeWC,1,COLUMN()),ROW(INDEX(MO_SubSection_CFS_CFO,1,COLUMN()))-ROW(INDEX(MO_CFS_CFO_BeforeWC,1,COLUMN())),0,ROW(INDEX(MO_CFS_CFO_BeforeWC,1,COLUMN()))-ROW(INDEX(MO_SubSection_CFS_CFO,1,COLUMN())),1)),6)</f>
        <v/>
      </c>
      <c r="AG972" s="1606" t="n"/>
      <c r="AH972" s="1606" t="n"/>
      <c r="AI972" s="1606" t="n"/>
      <c r="AJ972" s="1606" t="n"/>
      <c r="AK972" s="1606">
        <f>ROUND(SUM(AG715,AH715,AI715,AJ715)-SUM(OFFSET(INDEX(MO_CFS_CFO_BeforeWC,1,COLUMN()),ROW(INDEX(MO_SubSection_CFS_CFO,1,COLUMN()))-ROW(INDEX(MO_CFS_CFO_BeforeWC,1,COLUMN())),0,ROW(INDEX(MO_CFS_CFO_BeforeWC,1,COLUMN()))-ROW(INDEX(MO_SubSection_CFS_CFO,1,COLUMN())),1)),6)</f>
        <v/>
      </c>
      <c r="AL972" s="1606" t="n"/>
      <c r="AM972" s="1606" t="n"/>
      <c r="AN972" s="1606" t="n"/>
      <c r="AO972" s="1606" t="n"/>
      <c r="AP972" s="1606">
        <f>ROUND(SUM(AL715,AM715,AN715,AO715)-SUM(OFFSET(INDEX(MO_CFS_CFO_BeforeWC,1,COLUMN()),ROW(INDEX(MO_SubSection_CFS_CFO,1,COLUMN()))-ROW(INDEX(MO_CFS_CFO_BeforeWC,1,COLUMN())),0,ROW(INDEX(MO_CFS_CFO_BeforeWC,1,COLUMN()))-ROW(INDEX(MO_SubSection_CFS_CFO,1,COLUMN())),1)),6)</f>
        <v/>
      </c>
      <c r="AQ972" s="1606" t="n"/>
      <c r="AR972" s="1606" t="n"/>
      <c r="AS972" s="1606" t="n"/>
      <c r="AT972" s="1606" t="n"/>
      <c r="AU972" s="1606">
        <f>ROUND(SUM(AQ715,AR715,AS715,AT715)-SUM(OFFSET(INDEX(MO_CFS_CFO_BeforeWC,1,COLUMN()),ROW(INDEX(MO_SubSection_CFS_CFO,1,COLUMN()))-ROW(INDEX(MO_CFS_CFO_BeforeWC,1,COLUMN())),0,ROW(INDEX(MO_CFS_CFO_BeforeWC,1,COLUMN()))-ROW(INDEX(MO_SubSection_CFS_CFO,1,COLUMN())),1)),6)</f>
        <v/>
      </c>
      <c r="AV972" s="1606" t="n"/>
      <c r="AW972" s="1606" t="n"/>
      <c r="AX972" s="1606" t="n"/>
      <c r="AY972" s="1606" t="n"/>
      <c r="AZ972" s="1606">
        <f>ROUND(SUM(AV715,AW715,AX715,AY715)-SUM(OFFSET(INDEX(MO_CFS_CFO_BeforeWC,1,COLUMN()),ROW(INDEX(MO_SubSection_CFS_CFO,1,COLUMN()))-ROW(INDEX(MO_CFS_CFO_BeforeWC,1,COLUMN())),0,ROW(INDEX(MO_CFS_CFO_BeforeWC,1,COLUMN()))-ROW(INDEX(MO_SubSection_CFS_CFO,1,COLUMN())),1)),6)</f>
        <v/>
      </c>
      <c r="BA972" s="1606" t="n"/>
      <c r="BB972" s="1606" t="n"/>
      <c r="BC972" s="1606" t="n"/>
      <c r="BD972" s="1606" t="n"/>
      <c r="BE972" s="1606">
        <f>ROUND(SUM(BA715,BB715,BC715,BD715)-SUM(OFFSET(INDEX(MO_CFS_CFO_BeforeWC,1,COLUMN()),ROW(INDEX(MO_SubSection_CFS_CFO,1,COLUMN()))-ROW(INDEX(MO_CFS_CFO_BeforeWC,1,COLUMN())),0,ROW(INDEX(MO_CFS_CFO_BeforeWC,1,COLUMN()))-ROW(INDEX(MO_SubSection_CFS_CFO,1,COLUMN())),1)),6)</f>
        <v/>
      </c>
      <c r="BF972" s="1606" t="n"/>
      <c r="BG972" s="1606" t="n"/>
      <c r="BH972" s="1606" t="n"/>
      <c r="BI972" s="1606" t="n"/>
      <c r="BJ972" s="1606">
        <f>ROUND(SUM(BF715,BG715,BH715,BI715)-SUM(OFFSET(INDEX(MO_CFS_CFO_BeforeWC,1,COLUMN()),ROW(INDEX(MO_SubSection_CFS_CFO,1,COLUMN()))-ROW(INDEX(MO_CFS_CFO_BeforeWC,1,COLUMN())),0,ROW(INDEX(MO_CFS_CFO_BeforeWC,1,COLUMN()))-ROW(INDEX(MO_SubSection_CFS_CFO,1,COLUMN())),1)),6)</f>
        <v/>
      </c>
      <c r="BK972" s="1606" t="n"/>
      <c r="BL972" s="1606" t="n"/>
      <c r="BM972" s="1606" t="n"/>
      <c r="BN972" s="1606" t="n"/>
      <c r="BO972" s="1607">
        <f>ROUND(SUM(BK715,BL715,BM715,BN715)-SUM(OFFSET(INDEX(MO_CFS_CFO_BeforeWC,1,COLUMN()),ROW(INDEX(MO_SubSection_CFS_CFO,1,COLUMN()))-ROW(INDEX(MO_CFS_CFO_BeforeWC,1,COLUMN())),0,ROW(INDEX(MO_CFS_CFO_BeforeWC,1,COLUMN()))-ROW(INDEX(MO_SubSection_CFS_CFO,1,COLUMN())),1)),6)</f>
        <v/>
      </c>
      <c r="BP972" s="1606" t="n"/>
      <c r="BQ972" s="1606" t="n"/>
      <c r="BR972" s="1606" t="n"/>
      <c r="BS972" s="1606" t="n"/>
      <c r="BT972" s="1606">
        <f>ROUND(SUM(BP715,BQ715,BR715,BS715)-SUM(OFFSET(INDEX(MO_CFS_CFO_BeforeWC,1,COLUMN()),ROW(INDEX(MO_SubSection_CFS_CFO,1,COLUMN()))-ROW(INDEX(MO_CFS_CFO_BeforeWC,1,COLUMN())),0,ROW(INDEX(MO_CFS_CFO_BeforeWC,1,COLUMN()))-ROW(INDEX(MO_SubSection_CFS_CFO,1,COLUMN())),1)),6)</f>
        <v/>
      </c>
      <c r="BU972" s="1606" t="n"/>
      <c r="BV972" s="1606" t="n"/>
      <c r="BW972" s="1606" t="n"/>
      <c r="BX972" s="1606" t="n"/>
      <c r="BY972" s="1606">
        <f>ROUND(SUM(BU715,BV715,BW715,BX715)-SUM(OFFSET(INDEX(MO_CFS_CFO_BeforeWC,1,COLUMN()),ROW(INDEX(MO_SubSection_CFS_CFO,1,COLUMN()))-ROW(INDEX(MO_CFS_CFO_BeforeWC,1,COLUMN())),0,ROW(INDEX(MO_CFS_CFO_BeforeWC,1,COLUMN()))-ROW(INDEX(MO_SubSection_CFS_CFO,1,COLUMN())),1)),6)</f>
        <v/>
      </c>
      <c r="BZ972" s="1606" t="n"/>
      <c r="CA972" s="1606" t="n"/>
      <c r="CB972" s="1606" t="n"/>
      <c r="CC972" s="1280" t="n"/>
    </row>
    <row r="973" ht="14.4" customFormat="1" customHeight="1" s="1275">
      <c r="A973" s="1280" t="inlineStr">
        <is>
          <t>*CFO subtotal FY = Sum of Qs</t>
        </is>
      </c>
      <c r="B973" s="1709" t="n"/>
      <c r="C973" s="1606" t="n"/>
      <c r="D973" s="1606" t="n"/>
      <c r="E973" s="1606" t="n"/>
      <c r="F973" s="1606" t="n"/>
      <c r="G973" s="1606" t="n"/>
      <c r="H973" s="1606" t="n"/>
      <c r="I973" s="1606" t="n"/>
      <c r="J973" s="1606" t="n"/>
      <c r="K973" s="1606" t="n"/>
      <c r="L973" s="1606">
        <f>ROUND(SUM(H737,I737,J737,K737)-SUM(OFFSET(INDEX(MO_CFS_CFO,1,COLUMN()),ROW(INDEX(MO_CFS_CFO_BeforeWC,1,COLUMN()))-ROW(INDEX(MO_CFS_CFO,1,COLUMN())),0,ROW(INDEX(MO_CFS_CFO,1,COLUMN()))-ROW(INDEX(MO_CFS_CFO_BeforeWC,1,COLUMN())),1)),6)</f>
        <v/>
      </c>
      <c r="M973" s="1606" t="n"/>
      <c r="N973" s="1606" t="n"/>
      <c r="O973" s="1606" t="n"/>
      <c r="P973" s="1606" t="n"/>
      <c r="Q973" s="1606">
        <f>ROUND(SUM(M737,N737,O737,P737)-SUM(OFFSET(INDEX(MO_CFS_CFO,1,COLUMN()),ROW(INDEX(MO_CFS_CFO_BeforeWC,1,COLUMN()))-ROW(INDEX(MO_CFS_CFO,1,COLUMN())),0,ROW(INDEX(MO_CFS_CFO,1,COLUMN()))-ROW(INDEX(MO_CFS_CFO_BeforeWC,1,COLUMN())),1)),6)</f>
        <v/>
      </c>
      <c r="R973" s="1606" t="n"/>
      <c r="S973" s="1606" t="n"/>
      <c r="T973" s="1606" t="n"/>
      <c r="U973" s="1606" t="n"/>
      <c r="V973" s="1606">
        <f>ROUND(SUM(R737,S737,T737,U737)-SUM(OFFSET(INDEX(MO_CFS_CFO,1,COLUMN()),ROW(INDEX(MO_CFS_CFO_BeforeWC,1,COLUMN()))-ROW(INDEX(MO_CFS_CFO,1,COLUMN())),0,ROW(INDEX(MO_CFS_CFO,1,COLUMN()))-ROW(INDEX(MO_CFS_CFO_BeforeWC,1,COLUMN())),1)),6)</f>
        <v/>
      </c>
      <c r="W973" s="1606" t="n"/>
      <c r="X973" s="1606" t="n"/>
      <c r="Y973" s="1606" t="n"/>
      <c r="Z973" s="1606" t="n"/>
      <c r="AA973" s="1606">
        <f>ROUND(SUM(W737,X737,Y737,Z737)-SUM(OFFSET(INDEX(MO_CFS_CFO,1,COLUMN()),ROW(INDEX(MO_CFS_CFO_BeforeWC,1,COLUMN()))-ROW(INDEX(MO_CFS_CFO,1,COLUMN())),0,ROW(INDEX(MO_CFS_CFO,1,COLUMN()))-ROW(INDEX(MO_CFS_CFO_BeforeWC,1,COLUMN())),1)),6)</f>
        <v/>
      </c>
      <c r="AB973" s="1606" t="n"/>
      <c r="AC973" s="1606" t="n"/>
      <c r="AD973" s="1606" t="n"/>
      <c r="AE973" s="1606" t="n"/>
      <c r="AF973" s="1606">
        <f>ROUND(SUM(AB737,AC737,AD737,AE737)-SUM(OFFSET(INDEX(MO_CFS_CFO,1,COLUMN()),ROW(INDEX(MO_CFS_CFO_BeforeWC,1,COLUMN()))-ROW(INDEX(MO_CFS_CFO,1,COLUMN())),0,ROW(INDEX(MO_CFS_CFO,1,COLUMN()))-ROW(INDEX(MO_CFS_CFO_BeforeWC,1,COLUMN())),1)),6)</f>
        <v/>
      </c>
      <c r="AG973" s="1606" t="n"/>
      <c r="AH973" s="1606" t="n"/>
      <c r="AI973" s="1606" t="n"/>
      <c r="AJ973" s="1606" t="n"/>
      <c r="AK973" s="1606">
        <f>ROUND(SUM(AG737,AH737,AI737,AJ737)-SUM(OFFSET(INDEX(MO_CFS_CFO,1,COLUMN()),ROW(INDEX(MO_CFS_CFO_BeforeWC,1,COLUMN()))-ROW(INDEX(MO_CFS_CFO,1,COLUMN())),0,ROW(INDEX(MO_CFS_CFO,1,COLUMN()))-ROW(INDEX(MO_CFS_CFO_BeforeWC,1,COLUMN())),1)),6)</f>
        <v/>
      </c>
      <c r="AL973" s="1606" t="n"/>
      <c r="AM973" s="1606" t="n"/>
      <c r="AN973" s="1606" t="n"/>
      <c r="AO973" s="1606" t="n"/>
      <c r="AP973" s="1606">
        <f>ROUND(SUM(AL737,AM737,AN737,AO737)-SUM(OFFSET(INDEX(MO_CFS_CFO,1,COLUMN()),ROW(INDEX(MO_CFS_CFO_BeforeWC,1,COLUMN()))-ROW(INDEX(MO_CFS_CFO,1,COLUMN())),0,ROW(INDEX(MO_CFS_CFO,1,COLUMN()))-ROW(INDEX(MO_CFS_CFO_BeforeWC,1,COLUMN())),1)),6)</f>
        <v/>
      </c>
      <c r="AQ973" s="1606" t="n"/>
      <c r="AR973" s="1606" t="n"/>
      <c r="AS973" s="1606" t="n"/>
      <c r="AT973" s="1606" t="n"/>
      <c r="AU973" s="1606">
        <f>ROUND(SUM(AQ737,AR737,AS737,AT737)-SUM(OFFSET(INDEX(MO_CFS_CFO,1,COLUMN()),ROW(INDEX(MO_CFS_CFO_BeforeWC,1,COLUMN()))-ROW(INDEX(MO_CFS_CFO,1,COLUMN())),0,ROW(INDEX(MO_CFS_CFO,1,COLUMN()))-ROW(INDEX(MO_CFS_CFO_BeforeWC,1,COLUMN())),1)),6)</f>
        <v/>
      </c>
      <c r="AV973" s="1606" t="n"/>
      <c r="AW973" s="1606" t="n"/>
      <c r="AX973" s="1606" t="n"/>
      <c r="AY973" s="1606" t="n"/>
      <c r="AZ973" s="1606">
        <f>ROUND(SUM(AV737,AW737,AX737,AY737)-SUM(OFFSET(INDEX(MO_CFS_CFO,1,COLUMN()),ROW(INDEX(MO_CFS_CFO_BeforeWC,1,COLUMN()))-ROW(INDEX(MO_CFS_CFO,1,COLUMN())),0,ROW(INDEX(MO_CFS_CFO,1,COLUMN()))-ROW(INDEX(MO_CFS_CFO_BeforeWC,1,COLUMN())),1)),6)</f>
        <v/>
      </c>
      <c r="BA973" s="1606" t="n"/>
      <c r="BB973" s="1606" t="n"/>
      <c r="BC973" s="1606" t="n"/>
      <c r="BD973" s="1606" t="n"/>
      <c r="BE973" s="1606">
        <f>ROUND(SUM(BA737,BB737,BC737,BD737)-SUM(OFFSET(INDEX(MO_CFS_CFO,1,COLUMN()),ROW(INDEX(MO_CFS_CFO_BeforeWC,1,COLUMN()))-ROW(INDEX(MO_CFS_CFO,1,COLUMN())),0,ROW(INDEX(MO_CFS_CFO,1,COLUMN()))-ROW(INDEX(MO_CFS_CFO_BeforeWC,1,COLUMN())),1)),6)</f>
        <v/>
      </c>
      <c r="BF973" s="1606" t="n"/>
      <c r="BG973" s="1606" t="n"/>
      <c r="BH973" s="1606" t="n"/>
      <c r="BI973" s="1606" t="n"/>
      <c r="BJ973" s="1606">
        <f>ROUND(SUM(BF737,BG737,BH737,BI737)-SUM(OFFSET(INDEX(MO_CFS_CFO,1,COLUMN()),ROW(INDEX(MO_CFS_CFO_BeforeWC,1,COLUMN()))-ROW(INDEX(MO_CFS_CFO,1,COLUMN())),0,ROW(INDEX(MO_CFS_CFO,1,COLUMN()))-ROW(INDEX(MO_CFS_CFO_BeforeWC,1,COLUMN())),1)),6)</f>
        <v/>
      </c>
      <c r="BK973" s="1606" t="n"/>
      <c r="BL973" s="1606" t="n"/>
      <c r="BM973" s="1606" t="n"/>
      <c r="BN973" s="1606" t="n"/>
      <c r="BO973" s="1607">
        <f>ROUND(SUM(BK737,BL737,BM737,BN737)-SUM(OFFSET(INDEX(MO_CFS_CFO,1,COLUMN()),ROW(INDEX(MO_CFS_CFO_BeforeWC,1,COLUMN()))-ROW(INDEX(MO_CFS_CFO,1,COLUMN())),0,ROW(INDEX(MO_CFS_CFO,1,COLUMN()))-ROW(INDEX(MO_CFS_CFO_BeforeWC,1,COLUMN())),1)),6)</f>
        <v/>
      </c>
      <c r="BP973" s="1606" t="n"/>
      <c r="BQ973" s="1606" t="n"/>
      <c r="BR973" s="1606" t="n"/>
      <c r="BS973" s="1606" t="n"/>
      <c r="BT973" s="1606">
        <f>ROUND(SUM(BP737,BQ737,BR737,BS737)-SUM(OFFSET(INDEX(MO_CFS_CFO,1,COLUMN()),ROW(INDEX(MO_CFS_CFO_BeforeWC,1,COLUMN()))-ROW(INDEX(MO_CFS_CFO,1,COLUMN())),0,ROW(INDEX(MO_CFS_CFO,1,COLUMN()))-ROW(INDEX(MO_CFS_CFO_BeforeWC,1,COLUMN())),1)),6)</f>
        <v/>
      </c>
      <c r="BU973" s="1606" t="n"/>
      <c r="BV973" s="1606" t="n"/>
      <c r="BW973" s="1606" t="n"/>
      <c r="BX973" s="1606" t="n"/>
      <c r="BY973" s="1606">
        <f>ROUND(SUM(BU737,BV737,BW737,BX737)-SUM(OFFSET(INDEX(MO_CFS_CFO,1,COLUMN()),ROW(INDEX(MO_CFS_CFO_BeforeWC,1,COLUMN()))-ROW(INDEX(MO_CFS_CFO,1,COLUMN())),0,ROW(INDEX(MO_CFS_CFO,1,COLUMN()))-ROW(INDEX(MO_CFS_CFO_BeforeWC,1,COLUMN())),1)),6)</f>
        <v/>
      </c>
      <c r="BZ973" s="1606" t="n"/>
      <c r="CA973" s="1606" t="n"/>
      <c r="CB973" s="1606" t="n"/>
      <c r="CC973" s="1280" t="n"/>
    </row>
    <row r="974" ht="14.4" customFormat="1" customHeight="1" s="1275">
      <c r="A974" s="1280" t="inlineStr">
        <is>
          <t>*CFI subtotal FY = Sum of Qs</t>
        </is>
      </c>
      <c r="B974" s="1709" t="n"/>
      <c r="C974" s="1606" t="n"/>
      <c r="D974" s="1606" t="n"/>
      <c r="E974" s="1606" t="n"/>
      <c r="F974" s="1606" t="n"/>
      <c r="G974" s="1606" t="n"/>
      <c r="H974" s="1606" t="n"/>
      <c r="I974" s="1606" t="n"/>
      <c r="J974" s="1606" t="n"/>
      <c r="K974" s="1606" t="n"/>
      <c r="L974" s="1606">
        <f>ROUND(SUM(H781,I781,J781,K781)-SUM(OFFSET(INDEX(MO_CFS_CFI,1,COLUMN()),ROW(INDEX(MO_SubSection_CFS_CFI,1,COLUMN()))-ROW(INDEX(MO_CFS_CFI,1,COLUMN())),0,ROW(INDEX(MO_CFS_CFI,1,COLUMN()))-ROW(INDEX(MO_SubSection_CFS_CFI,1,COLUMN())),1)),6)</f>
        <v/>
      </c>
      <c r="M974" s="1606" t="n"/>
      <c r="N974" s="1606" t="n"/>
      <c r="O974" s="1606" t="n"/>
      <c r="P974" s="1606" t="n"/>
      <c r="Q974" s="1606">
        <f>ROUND(SUM(M781,N781,O781,P781)-SUM(OFFSET(INDEX(MO_CFS_CFI,1,COLUMN()),ROW(INDEX(MO_SubSection_CFS_CFI,1,COLUMN()))-ROW(INDEX(MO_CFS_CFI,1,COLUMN())),0,ROW(INDEX(MO_CFS_CFI,1,COLUMN()))-ROW(INDEX(MO_SubSection_CFS_CFI,1,COLUMN())),1)),6)</f>
        <v/>
      </c>
      <c r="R974" s="1606" t="n"/>
      <c r="S974" s="1606" t="n"/>
      <c r="T974" s="1606" t="n"/>
      <c r="U974" s="1606" t="n"/>
      <c r="V974" s="1606">
        <f>ROUND(SUM(R781,S781,T781,U781)-SUM(OFFSET(INDEX(MO_CFS_CFI,1,COLUMN()),ROW(INDEX(MO_SubSection_CFS_CFI,1,COLUMN()))-ROW(INDEX(MO_CFS_CFI,1,COLUMN())),0,ROW(INDEX(MO_CFS_CFI,1,COLUMN()))-ROW(INDEX(MO_SubSection_CFS_CFI,1,COLUMN())),1)),6)</f>
        <v/>
      </c>
      <c r="W974" s="1606" t="n"/>
      <c r="X974" s="1606" t="n"/>
      <c r="Y974" s="1606" t="n"/>
      <c r="Z974" s="1606" t="n"/>
      <c r="AA974" s="1606">
        <f>ROUND(SUM(W781,X781,Y781,Z781)-SUM(OFFSET(INDEX(MO_CFS_CFI,1,COLUMN()),ROW(INDEX(MO_SubSection_CFS_CFI,1,COLUMN()))-ROW(INDEX(MO_CFS_CFI,1,COLUMN())),0,ROW(INDEX(MO_CFS_CFI,1,COLUMN()))-ROW(INDEX(MO_SubSection_CFS_CFI,1,COLUMN())),1)),6)</f>
        <v/>
      </c>
      <c r="AB974" s="1606" t="n"/>
      <c r="AC974" s="1606" t="n"/>
      <c r="AD974" s="1606" t="n"/>
      <c r="AE974" s="1606" t="n"/>
      <c r="AF974" s="1606">
        <f>ROUND(SUM(AB781,AC781,AD781,AE781)-SUM(OFFSET(INDEX(MO_CFS_CFI,1,COLUMN()),ROW(INDEX(MO_SubSection_CFS_CFI,1,COLUMN()))-ROW(INDEX(MO_CFS_CFI,1,COLUMN())),0,ROW(INDEX(MO_CFS_CFI,1,COLUMN()))-ROW(INDEX(MO_SubSection_CFS_CFI,1,COLUMN())),1)),6)</f>
        <v/>
      </c>
      <c r="AG974" s="1606" t="n"/>
      <c r="AH974" s="1606" t="n"/>
      <c r="AI974" s="1606" t="n"/>
      <c r="AJ974" s="1606" t="n"/>
      <c r="AK974" s="1606">
        <f>ROUND(SUM(AG781,AH781,AI781,AJ781)-SUM(OFFSET(INDEX(MO_CFS_CFI,1,COLUMN()),ROW(INDEX(MO_SubSection_CFS_CFI,1,COLUMN()))-ROW(INDEX(MO_CFS_CFI,1,COLUMN())),0,ROW(INDEX(MO_CFS_CFI,1,COLUMN()))-ROW(INDEX(MO_SubSection_CFS_CFI,1,COLUMN())),1)),6)</f>
        <v/>
      </c>
      <c r="AL974" s="1606" t="n"/>
      <c r="AM974" s="1606" t="n"/>
      <c r="AN974" s="1606" t="n"/>
      <c r="AO974" s="1606" t="n"/>
      <c r="AP974" s="1606">
        <f>ROUND(SUM(AL781,AM781,AN781,AO781)-SUM(OFFSET(INDEX(MO_CFS_CFI,1,COLUMN()),ROW(INDEX(MO_SubSection_CFS_CFI,1,COLUMN()))-ROW(INDEX(MO_CFS_CFI,1,COLUMN())),0,ROW(INDEX(MO_CFS_CFI,1,COLUMN()))-ROW(INDEX(MO_SubSection_CFS_CFI,1,COLUMN())),1)),6)</f>
        <v/>
      </c>
      <c r="AQ974" s="1606" t="n"/>
      <c r="AR974" s="1606" t="n"/>
      <c r="AS974" s="1606" t="n"/>
      <c r="AT974" s="1606" t="n"/>
      <c r="AU974" s="1606">
        <f>ROUND(SUM(AQ781,AR781,AS781,AT781)-SUM(OFFSET(INDEX(MO_CFS_CFI,1,COLUMN()),ROW(INDEX(MO_SubSection_CFS_CFI,1,COLUMN()))-ROW(INDEX(MO_CFS_CFI,1,COLUMN())),0,ROW(INDEX(MO_CFS_CFI,1,COLUMN()))-ROW(INDEX(MO_SubSection_CFS_CFI,1,COLUMN())),1)),6)</f>
        <v/>
      </c>
      <c r="AV974" s="1606" t="n"/>
      <c r="AW974" s="1606" t="n"/>
      <c r="AX974" s="1606" t="n"/>
      <c r="AY974" s="1606" t="n"/>
      <c r="AZ974" s="1606">
        <f>ROUND(SUM(AV781,AW781,AX781,AY781)-SUM(OFFSET(INDEX(MO_CFS_CFI,1,COLUMN()),ROW(INDEX(MO_SubSection_CFS_CFI,1,COLUMN()))-ROW(INDEX(MO_CFS_CFI,1,COLUMN())),0,ROW(INDEX(MO_CFS_CFI,1,COLUMN()))-ROW(INDEX(MO_SubSection_CFS_CFI,1,COLUMN())),1)),6)</f>
        <v/>
      </c>
      <c r="BA974" s="1606" t="n"/>
      <c r="BB974" s="1606" t="n"/>
      <c r="BC974" s="1606" t="n"/>
      <c r="BD974" s="1606" t="n"/>
      <c r="BE974" s="1606">
        <f>ROUND(SUM(BA781,BB781,BC781,BD781)-SUM(OFFSET(INDEX(MO_CFS_CFI,1,COLUMN()),ROW(INDEX(MO_SubSection_CFS_CFI,1,COLUMN()))-ROW(INDEX(MO_CFS_CFI,1,COLUMN())),0,ROW(INDEX(MO_CFS_CFI,1,COLUMN()))-ROW(INDEX(MO_SubSection_CFS_CFI,1,COLUMN())),1)),6)</f>
        <v/>
      </c>
      <c r="BF974" s="1606" t="n"/>
      <c r="BG974" s="1606" t="n"/>
      <c r="BH974" s="1606" t="n"/>
      <c r="BI974" s="1606" t="n"/>
      <c r="BJ974" s="1606">
        <f>ROUND(SUM(BF781,BG781,BH781,BI781)-SUM(OFFSET(INDEX(MO_CFS_CFI,1,COLUMN()),ROW(INDEX(MO_SubSection_CFS_CFI,1,COLUMN()))-ROW(INDEX(MO_CFS_CFI,1,COLUMN())),0,ROW(INDEX(MO_CFS_CFI,1,COLUMN()))-ROW(INDEX(MO_SubSection_CFS_CFI,1,COLUMN())),1)),6)</f>
        <v/>
      </c>
      <c r="BK974" s="1606" t="n"/>
      <c r="BL974" s="1606" t="n"/>
      <c r="BM974" s="1606" t="n"/>
      <c r="BN974" s="1606" t="n"/>
      <c r="BO974" s="1607">
        <f>ROUND(SUM(BK781,BL781,BM781,BN781)-SUM(OFFSET(INDEX(MO_CFS_CFI,1,COLUMN()),ROW(INDEX(MO_SubSection_CFS_CFI,1,COLUMN()))-ROW(INDEX(MO_CFS_CFI,1,COLUMN())),0,ROW(INDEX(MO_CFS_CFI,1,COLUMN()))-ROW(INDEX(MO_SubSection_CFS_CFI,1,COLUMN())),1)),6)</f>
        <v/>
      </c>
      <c r="BP974" s="1606" t="n"/>
      <c r="BQ974" s="1606" t="n"/>
      <c r="BR974" s="1606" t="n"/>
      <c r="BS974" s="1606" t="n"/>
      <c r="BT974" s="1606">
        <f>ROUND(SUM(BP781,BQ781,BR781,BS781)-SUM(OFFSET(INDEX(MO_CFS_CFI,1,COLUMN()),ROW(INDEX(MO_SubSection_CFS_CFI,1,COLUMN()))-ROW(INDEX(MO_CFS_CFI,1,COLUMN())),0,ROW(INDEX(MO_CFS_CFI,1,COLUMN()))-ROW(INDEX(MO_SubSection_CFS_CFI,1,COLUMN())),1)),6)</f>
        <v/>
      </c>
      <c r="BU974" s="1606" t="n"/>
      <c r="BV974" s="1606" t="n"/>
      <c r="BW974" s="1606" t="n"/>
      <c r="BX974" s="1606" t="n"/>
      <c r="BY974" s="1606">
        <f>ROUND(SUM(BU781,BV781,BW781,BX781)-SUM(OFFSET(INDEX(MO_CFS_CFI,1,COLUMN()),ROW(INDEX(MO_SubSection_CFS_CFI,1,COLUMN()))-ROW(INDEX(MO_CFS_CFI,1,COLUMN())),0,ROW(INDEX(MO_CFS_CFI,1,COLUMN()))-ROW(INDEX(MO_SubSection_CFS_CFI,1,COLUMN())),1)),6)</f>
        <v/>
      </c>
      <c r="BZ974" s="1606" t="n"/>
      <c r="CA974" s="1606" t="n"/>
      <c r="CB974" s="1606" t="n"/>
      <c r="CC974" s="1280" t="n"/>
    </row>
    <row r="975" ht="14.4" customFormat="1" customHeight="1" s="1275">
      <c r="A975" s="1280" t="inlineStr">
        <is>
          <t>*CFF subtotal FY = Sum of Qs</t>
        </is>
      </c>
      <c r="B975" s="1709" t="n"/>
      <c r="C975" s="1606" t="n"/>
      <c r="D975" s="1606" t="n"/>
      <c r="E975" s="1606" t="n"/>
      <c r="F975" s="1606" t="n"/>
      <c r="G975" s="1606" t="n"/>
      <c r="H975" s="1606" t="n"/>
      <c r="I975" s="1606" t="n"/>
      <c r="J975" s="1606" t="n"/>
      <c r="K975" s="1606" t="n"/>
      <c r="L975" s="1606">
        <f>ROUND(SUM(H807,I807,J807,K807)-SUM(OFFSET(INDEX(MO_CFS_CFF,1,COLUMN()),ROW(INDEX(MO_SubSection_CFS_CFF,1,COLUMN()))-ROW(INDEX(MO_CFS_CFF,1,COLUMN())),0,ROW(INDEX(MO_CFS_CFF,1,COLUMN()))-ROW(INDEX(MO_SubSection_CFS_CFF,1,COLUMN())),1)),6)</f>
        <v/>
      </c>
      <c r="M975" s="1606" t="n"/>
      <c r="N975" s="1606" t="n"/>
      <c r="O975" s="1606" t="n"/>
      <c r="P975" s="1606" t="n"/>
      <c r="Q975" s="1606">
        <f>ROUND(SUM(M807,N807,O807,P807)-SUM(OFFSET(INDEX(MO_CFS_CFF,1,COLUMN()),ROW(INDEX(MO_SubSection_CFS_CFF,1,COLUMN()))-ROW(INDEX(MO_CFS_CFF,1,COLUMN())),0,ROW(INDEX(MO_CFS_CFF,1,COLUMN()))-ROW(INDEX(MO_SubSection_CFS_CFF,1,COLUMN())),1)),6)</f>
        <v/>
      </c>
      <c r="R975" s="1606" t="n"/>
      <c r="S975" s="1606" t="n"/>
      <c r="T975" s="1606" t="n"/>
      <c r="U975" s="1606" t="n"/>
      <c r="V975" s="1606">
        <f>ROUND(SUM(R807,S807,T807,U807)-SUM(OFFSET(INDEX(MO_CFS_CFF,1,COLUMN()),ROW(INDEX(MO_SubSection_CFS_CFF,1,COLUMN()))-ROW(INDEX(MO_CFS_CFF,1,COLUMN())),0,ROW(INDEX(MO_CFS_CFF,1,COLUMN()))-ROW(INDEX(MO_SubSection_CFS_CFF,1,COLUMN())),1)),6)</f>
        <v/>
      </c>
      <c r="W975" s="1606" t="n"/>
      <c r="X975" s="1606" t="n"/>
      <c r="Y975" s="1606" t="n"/>
      <c r="Z975" s="1606" t="n"/>
      <c r="AA975" s="1606">
        <f>ROUND(SUM(W807,X807,Y807,Z807)-SUM(OFFSET(INDEX(MO_CFS_CFF,1,COLUMN()),ROW(INDEX(MO_SubSection_CFS_CFF,1,COLUMN()))-ROW(INDEX(MO_CFS_CFF,1,COLUMN())),0,ROW(INDEX(MO_CFS_CFF,1,COLUMN()))-ROW(INDEX(MO_SubSection_CFS_CFF,1,COLUMN())),1)),6)</f>
        <v/>
      </c>
      <c r="AB975" s="1606" t="n"/>
      <c r="AC975" s="1606" t="n"/>
      <c r="AD975" s="1606" t="n"/>
      <c r="AE975" s="1606" t="n"/>
      <c r="AF975" s="1606">
        <f>ROUND(SUM(AB807,AC807,AD807,AE807)-SUM(OFFSET(INDEX(MO_CFS_CFF,1,COLUMN()),ROW(INDEX(MO_SubSection_CFS_CFF,1,COLUMN()))-ROW(INDEX(MO_CFS_CFF,1,COLUMN())),0,ROW(INDEX(MO_CFS_CFF,1,COLUMN()))-ROW(INDEX(MO_SubSection_CFS_CFF,1,COLUMN())),1)),6)</f>
        <v/>
      </c>
      <c r="AG975" s="1606" t="n"/>
      <c r="AH975" s="1606" t="n"/>
      <c r="AI975" s="1606" t="n"/>
      <c r="AJ975" s="1606" t="n"/>
      <c r="AK975" s="1606">
        <f>ROUND(SUM(AG807,AH807,AI807,AJ807)-SUM(OFFSET(INDEX(MO_CFS_CFF,1,COLUMN()),ROW(INDEX(MO_SubSection_CFS_CFF,1,COLUMN()))-ROW(INDEX(MO_CFS_CFF,1,COLUMN())),0,ROW(INDEX(MO_CFS_CFF,1,COLUMN()))-ROW(INDEX(MO_SubSection_CFS_CFF,1,COLUMN())),1)),6)</f>
        <v/>
      </c>
      <c r="AL975" s="1606" t="n"/>
      <c r="AM975" s="1606" t="n"/>
      <c r="AN975" s="1606" t="n"/>
      <c r="AO975" s="1606" t="n"/>
      <c r="AP975" s="1606">
        <f>ROUND(SUM(AL807,AM807,AN807,AO807)-SUM(OFFSET(INDEX(MO_CFS_CFF,1,COLUMN()),ROW(INDEX(MO_SubSection_CFS_CFF,1,COLUMN()))-ROW(INDEX(MO_CFS_CFF,1,COLUMN())),0,ROW(INDEX(MO_CFS_CFF,1,COLUMN()))-ROW(INDEX(MO_SubSection_CFS_CFF,1,COLUMN())),1)),6)</f>
        <v/>
      </c>
      <c r="AQ975" s="1606" t="n"/>
      <c r="AR975" s="1606" t="n"/>
      <c r="AS975" s="1606" t="n"/>
      <c r="AT975" s="1606" t="n"/>
      <c r="AU975" s="1606">
        <f>ROUND(SUM(AQ807,AR807,AS807,AT807)-SUM(OFFSET(INDEX(MO_CFS_CFF,1,COLUMN()),ROW(INDEX(MO_SubSection_CFS_CFF,1,COLUMN()))-ROW(INDEX(MO_CFS_CFF,1,COLUMN())),0,ROW(INDEX(MO_CFS_CFF,1,COLUMN()))-ROW(INDEX(MO_SubSection_CFS_CFF,1,COLUMN())),1)),6)</f>
        <v/>
      </c>
      <c r="AV975" s="1606" t="n"/>
      <c r="AW975" s="1606" t="n"/>
      <c r="AX975" s="1606" t="n"/>
      <c r="AY975" s="1606" t="n"/>
      <c r="AZ975" s="1606">
        <f>ROUND(SUM(AV807,AW807,AX807,AY807)-SUM(OFFSET(INDEX(MO_CFS_CFF,1,COLUMN()),ROW(INDEX(MO_SubSection_CFS_CFF,1,COLUMN()))-ROW(INDEX(MO_CFS_CFF,1,COLUMN())),0,ROW(INDEX(MO_CFS_CFF,1,COLUMN()))-ROW(INDEX(MO_SubSection_CFS_CFF,1,COLUMN())),1)),6)</f>
        <v/>
      </c>
      <c r="BA975" s="1606" t="n"/>
      <c r="BB975" s="1606" t="n"/>
      <c r="BC975" s="1606" t="n"/>
      <c r="BD975" s="1606" t="n"/>
      <c r="BE975" s="1606">
        <f>ROUND(SUM(BA807,BB807,BC807,BD807)-SUM(OFFSET(INDEX(MO_CFS_CFF,1,COLUMN()),ROW(INDEX(MO_SubSection_CFS_CFF,1,COLUMN()))-ROW(INDEX(MO_CFS_CFF,1,COLUMN())),0,ROW(INDEX(MO_CFS_CFF,1,COLUMN()))-ROW(INDEX(MO_SubSection_CFS_CFF,1,COLUMN())),1)),6)</f>
        <v/>
      </c>
      <c r="BF975" s="1606" t="n"/>
      <c r="BG975" s="1606" t="n"/>
      <c r="BH975" s="1606" t="n"/>
      <c r="BI975" s="1606" t="n"/>
      <c r="BJ975" s="1606">
        <f>ROUND(SUM(BF807,BG807,BH807,BI807)-SUM(OFFSET(INDEX(MO_CFS_CFF,1,COLUMN()),ROW(INDEX(MO_SubSection_CFS_CFF,1,COLUMN()))-ROW(INDEX(MO_CFS_CFF,1,COLUMN())),0,ROW(INDEX(MO_CFS_CFF,1,COLUMN()))-ROW(INDEX(MO_SubSection_CFS_CFF,1,COLUMN())),1)),6)</f>
        <v/>
      </c>
      <c r="BK975" s="1606" t="n"/>
      <c r="BL975" s="1606" t="n"/>
      <c r="BM975" s="1606" t="n"/>
      <c r="BN975" s="1606" t="n"/>
      <c r="BO975" s="1607">
        <f>ROUND(SUM(BK807,BL807,BM807,BN807)-SUM(OFFSET(INDEX(MO_CFS_CFF,1,COLUMN()),ROW(INDEX(MO_SubSection_CFS_CFF,1,COLUMN()))-ROW(INDEX(MO_CFS_CFF,1,COLUMN())),0,ROW(INDEX(MO_CFS_CFF,1,COLUMN()))-ROW(INDEX(MO_SubSection_CFS_CFF,1,COLUMN())),1)),6)</f>
        <v/>
      </c>
      <c r="BP975" s="1606" t="n"/>
      <c r="BQ975" s="1606" t="n"/>
      <c r="BR975" s="1606" t="n"/>
      <c r="BS975" s="1606" t="n"/>
      <c r="BT975" s="1606">
        <f>ROUND(SUM(BP807,BQ807,BR807,BS807)-SUM(OFFSET(INDEX(MO_CFS_CFF,1,COLUMN()),ROW(INDEX(MO_SubSection_CFS_CFF,1,COLUMN()))-ROW(INDEX(MO_CFS_CFF,1,COLUMN())),0,ROW(INDEX(MO_CFS_CFF,1,COLUMN()))-ROW(INDEX(MO_SubSection_CFS_CFF,1,COLUMN())),1)),6)</f>
        <v/>
      </c>
      <c r="BU975" s="1606" t="n"/>
      <c r="BV975" s="1606" t="n"/>
      <c r="BW975" s="1606" t="n"/>
      <c r="BX975" s="1606" t="n"/>
      <c r="BY975" s="1606">
        <f>ROUND(SUM(BU807,BV807,BW807,BX807)-SUM(OFFSET(INDEX(MO_CFS_CFF,1,COLUMN()),ROW(INDEX(MO_SubSection_CFS_CFF,1,COLUMN()))-ROW(INDEX(MO_CFS_CFF,1,COLUMN())),0,ROW(INDEX(MO_CFS_CFF,1,COLUMN()))-ROW(INDEX(MO_SubSection_CFS_CFF,1,COLUMN())),1)),6)</f>
        <v/>
      </c>
      <c r="BZ975" s="1606" t="n"/>
      <c r="CA975" s="1606" t="n"/>
      <c r="CB975" s="1606" t="n"/>
      <c r="CC975" s="1280" t="n"/>
    </row>
    <row r="976" ht="14.4" customFormat="1" customHeight="1" s="1275">
      <c r="A976" s="1280" t="inlineStr">
        <is>
          <t>*CF Summary FY = Sum of Qs</t>
        </is>
      </c>
      <c r="B976" s="1709" t="n"/>
      <c r="C976" s="1606" t="n"/>
      <c r="D976" s="1606" t="n"/>
      <c r="E976" s="1606" t="n"/>
      <c r="F976" s="1606" t="n"/>
      <c r="G976" s="1606" t="n"/>
      <c r="H976" s="1606" t="n"/>
      <c r="I976" s="1606" t="n"/>
      <c r="J976" s="1606" t="n"/>
      <c r="K976" s="1606" t="n"/>
      <c r="L976" s="1606">
        <f>ROUND(SUM(INDEX(MO_CFSum_Acquisition,0,COLUMN()),INDEX(MO_CFSum_Capex,0,COLUMN()),INDEX(MO_CFSum_Divestiture,0,COLUMN()),INDEX(MO_CFSum_Dividend,0,COLUMN()))-SUM(H459,I459,J459,K459,H460,I460,J460,K460,H461,I461,J461,K461)-SUM(H457,I457,J457,K457),6)</f>
        <v/>
      </c>
      <c r="M976" s="1606" t="n"/>
      <c r="N976" s="1606" t="n"/>
      <c r="O976" s="1606" t="n"/>
      <c r="P976" s="1606" t="n"/>
      <c r="Q976" s="1606">
        <f>ROUND(SUM(INDEX(MO_CFSum_Acquisition,0,COLUMN()),INDEX(MO_CFSum_Capex,0,COLUMN()),INDEX(MO_CFSum_Divestiture,0,COLUMN()),INDEX(MO_CFSum_Dividend,0,COLUMN()))-SUM(M459,N459,O459,P459,M460,N460,O460,P460,M461,N461,O461,P461)-SUM(M457,N457,O457,P457),6)</f>
        <v/>
      </c>
      <c r="R976" s="1606" t="n"/>
      <c r="S976" s="1606" t="n"/>
      <c r="T976" s="1606" t="n"/>
      <c r="U976" s="1606" t="n"/>
      <c r="V976" s="1606">
        <f>ROUND(SUM(INDEX(MO_CFSum_Acquisition,0,COLUMN()),INDEX(MO_CFSum_Capex,0,COLUMN()),INDEX(MO_CFSum_Divestiture,0,COLUMN()),INDEX(MO_CFSum_Dividend,0,COLUMN()))-SUM(R459,S459,T459,U459,R460,S460,T460,U460,R461,S461,T461,U461)-SUM(R457,S457,T457,U457),6)</f>
        <v/>
      </c>
      <c r="W976" s="1606" t="n"/>
      <c r="X976" s="1606" t="n"/>
      <c r="Y976" s="1606" t="n"/>
      <c r="Z976" s="1606" t="n"/>
      <c r="AA976" s="1606">
        <f>ROUND(SUM(INDEX(MO_CFSum_Acquisition,0,COLUMN()),INDEX(MO_CFSum_Capex,0,COLUMN()),INDEX(MO_CFSum_Divestiture,0,COLUMN()),INDEX(MO_CFSum_Dividend,0,COLUMN()))-SUM(W459,X459,Y459,Z459,W460,X460,Y460,Z460,W461,X461,Y461,Z461)-SUM(W457,X457,Y457,Z457),6)</f>
        <v/>
      </c>
      <c r="AB976" s="1606" t="n"/>
      <c r="AC976" s="1606" t="n"/>
      <c r="AD976" s="1606" t="n"/>
      <c r="AE976" s="1606" t="n"/>
      <c r="AF976" s="1606">
        <f>ROUND(SUM(INDEX(MO_CFSum_Acquisition,0,COLUMN()),INDEX(MO_CFSum_Capex,0,COLUMN()),INDEX(MO_CFSum_Divestiture,0,COLUMN()),INDEX(MO_CFSum_Dividend,0,COLUMN()))-SUM(AB459,AC459,AD459,AE459,AB460,AC460,AD460,AE460,AB461,AC461,AD461,AE461)-SUM(AB457,AC457,AD457,AE457),6)</f>
        <v/>
      </c>
      <c r="AG976" s="1606" t="n"/>
      <c r="AH976" s="1606" t="n"/>
      <c r="AI976" s="1606" t="n"/>
      <c r="AJ976" s="1606" t="n"/>
      <c r="AK976" s="1606">
        <f>ROUND(SUM(INDEX(MO_CFSum_Acquisition,0,COLUMN()),INDEX(MO_CFSum_Capex,0,COLUMN()),INDEX(MO_CFSum_Divestiture,0,COLUMN()),INDEX(MO_CFSum_Dividend,0,COLUMN()))-SUM(AG459,AH459,AI459,AJ459,AG460,AH460,AI460,AJ460,AG461,AH461,AI461,AJ461)-SUM(AG457,AH457,AI457,AJ457),6)</f>
        <v/>
      </c>
      <c r="AL976" s="1606" t="n"/>
      <c r="AM976" s="1606" t="n"/>
      <c r="AN976" s="1606" t="n"/>
      <c r="AO976" s="1606" t="n"/>
      <c r="AP976" s="1606">
        <f>ROUND(SUM(INDEX(MO_CFSum_Acquisition,0,COLUMN()),INDEX(MO_CFSum_Capex,0,COLUMN()),INDEX(MO_CFSum_Divestiture,0,COLUMN()),INDEX(MO_CFSum_Dividend,0,COLUMN()))-SUM(AL459,AM459,AN459,AO459,AL460,AM460,AN460,AO460,AL461,AM461,AN461,AO461)-SUM(AL457,AM457,AN457,AO457),6)</f>
        <v/>
      </c>
      <c r="AQ976" s="1606" t="n"/>
      <c r="AR976" s="1606" t="n"/>
      <c r="AS976" s="1606" t="n"/>
      <c r="AT976" s="1606" t="n"/>
      <c r="AU976" s="1606">
        <f>ROUND(SUM(INDEX(MO_CFSum_Acquisition,0,COLUMN()),INDEX(MO_CFSum_Capex,0,COLUMN()),INDEX(MO_CFSum_Divestiture,0,COLUMN()),INDEX(MO_CFSum_Dividend,0,COLUMN()))-SUM(AQ459,AR459,AS459,AT459,AQ460,AR460,AS460,AT460,AQ461,AR461,AS461,AT461)-SUM(AQ457,AR457,AS457,AT457),6)</f>
        <v/>
      </c>
      <c r="AV976" s="1606" t="n"/>
      <c r="AW976" s="1606" t="n"/>
      <c r="AX976" s="1606" t="n"/>
      <c r="AY976" s="1606" t="n"/>
      <c r="AZ976" s="1606">
        <f>ROUND(SUM(INDEX(MO_CFSum_Acquisition,0,COLUMN()),INDEX(MO_CFSum_Capex,0,COLUMN()),INDEX(MO_CFSum_Divestiture,0,COLUMN()),INDEX(MO_CFSum_Dividend,0,COLUMN()))-SUM(AV459,AW459,AX459,AY459,AV460,AW460,AX460,AY460,AV461,AW461,AX461,AY461)-SUM(AV457,AW457,AX457,AY457),6)</f>
        <v/>
      </c>
      <c r="BA976" s="1606" t="n"/>
      <c r="BB976" s="1606" t="n"/>
      <c r="BC976" s="1606" t="n"/>
      <c r="BD976" s="1606" t="n"/>
      <c r="BE976" s="1606">
        <f>ROUND(SUM(INDEX(MO_CFSum_Acquisition,0,COLUMN()),INDEX(MO_CFSum_Capex,0,COLUMN()),INDEX(MO_CFSum_Divestiture,0,COLUMN()),INDEX(MO_CFSum_Dividend,0,COLUMN()))-SUM(BA459,BB459,BC459,BD459,BA460,BB460,BC460,BD460,BA461,BB461,BC461,BD461)-SUM(BA457,BB457,BC457,BD457),6)</f>
        <v/>
      </c>
      <c r="BF976" s="1606" t="n"/>
      <c r="BG976" s="1606" t="n"/>
      <c r="BH976" s="1606" t="n"/>
      <c r="BI976" s="1606" t="n"/>
      <c r="BJ976" s="1606">
        <f>ROUND(SUM(INDEX(MO_CFSum_Acquisition,0,COLUMN()),INDEX(MO_CFSum_Capex,0,COLUMN()),INDEX(MO_CFSum_Divestiture,0,COLUMN()),INDEX(MO_CFSum_Dividend,0,COLUMN()))-SUM(BF459,BG459,BH459,BI459,BF460,BG460,BH460,BI460,BF461,BG461,BH461,BI461)-SUM(BF457,BG457,BH457,BI457),6)</f>
        <v/>
      </c>
      <c r="BK976" s="1606" t="n"/>
      <c r="BL976" s="1606" t="n"/>
      <c r="BM976" s="1606" t="n"/>
      <c r="BN976" s="1606" t="n"/>
      <c r="BO976" s="1607">
        <f>ROUND(SUM(INDEX(MO_CFSum_Acquisition,0,COLUMN()),INDEX(MO_CFSum_Capex,0,COLUMN()),INDEX(MO_CFSum_Divestiture,0,COLUMN()),INDEX(MO_CFSum_Dividend,0,COLUMN()))-SUM(BK459,BL459,BM459,BN459,BK460,BL460,BM460,BN460,BK461,BL461,BM461,BN461)-SUM(BK457,BL457,BM457,BN457),6)</f>
        <v/>
      </c>
      <c r="BP976" s="1606" t="n"/>
      <c r="BQ976" s="1606" t="n"/>
      <c r="BR976" s="1606" t="n"/>
      <c r="BS976" s="1606" t="n"/>
      <c r="BT976" s="1606">
        <f>ROUND(SUM(INDEX(MO_CFSum_Acquisition,0,COLUMN()),INDEX(MO_CFSum_Capex,0,COLUMN()),INDEX(MO_CFSum_Divestiture,0,COLUMN()),INDEX(MO_CFSum_Dividend,0,COLUMN()))-SUM(BP459,BQ459,BR459,BS459,BP460,BQ460,BR460,BS460,BP461,BQ461,BR461,BS461)-SUM(BP457,BQ457,BR457,BS457),6)</f>
        <v/>
      </c>
      <c r="BU976" s="1606" t="n"/>
      <c r="BV976" s="1606" t="n"/>
      <c r="BW976" s="1606" t="n"/>
      <c r="BX976" s="1606" t="n"/>
      <c r="BY976" s="1606">
        <f>ROUND(SUM(INDEX(MO_CFSum_Acquisition,0,COLUMN()),INDEX(MO_CFSum_Capex,0,COLUMN()),INDEX(MO_CFSum_Divestiture,0,COLUMN()),INDEX(MO_CFSum_Dividend,0,COLUMN()))-SUM(BU459,BV459,BW459,BX459,BU460,BV460,BW460,BX460,BU461,BV461,BW461,BX461)-SUM(BU457,BV457,BW457,BX457),6)</f>
        <v/>
      </c>
      <c r="BZ976" s="1606" t="n"/>
      <c r="CA976" s="1606" t="n"/>
      <c r="CB976" s="1606" t="n"/>
      <c r="CC976" s="1280" t="n"/>
    </row>
    <row r="977" ht="14.4" customFormat="1" customHeight="1" s="1275">
      <c r="A977" s="1277" t="n"/>
      <c r="B977" s="1709" t="n"/>
      <c r="C977" s="1709" t="n"/>
      <c r="D977" s="1709" t="n"/>
      <c r="E977" s="1709" t="n"/>
      <c r="F977" s="1709" t="n"/>
      <c r="G977" s="1709" t="n"/>
      <c r="H977" s="1709" t="n"/>
      <c r="I977" s="1709" t="n"/>
      <c r="J977" s="1709" t="n"/>
      <c r="K977" s="1709" t="n"/>
      <c r="L977" s="1709" t="n"/>
      <c r="M977" s="1709" t="n"/>
      <c r="N977" s="1709" t="n"/>
      <c r="O977" s="1709" t="n"/>
      <c r="P977" s="1709" t="n"/>
      <c r="Q977" s="1709" t="n"/>
      <c r="R977" s="1709" t="n"/>
      <c r="S977" s="1277" t="n"/>
      <c r="T977" s="1709" t="n"/>
      <c r="U977" s="1709" t="n"/>
      <c r="V977" s="1709" t="n"/>
      <c r="W977" s="1709" t="n"/>
      <c r="X977" s="1277" t="n"/>
      <c r="Y977" s="1277" t="n"/>
      <c r="Z977" s="1709" t="n"/>
      <c r="AA977" s="1709" t="n"/>
      <c r="AB977" s="1709" t="n"/>
      <c r="AC977" s="1277" t="n"/>
      <c r="AD977" s="1277" t="n"/>
      <c r="AE977" s="1709" t="n"/>
      <c r="AF977" s="1709" t="n"/>
      <c r="AG977" s="1709" t="n"/>
      <c r="AH977" s="1277" t="n"/>
      <c r="AI977" s="1277" t="n"/>
      <c r="AJ977" s="1709" t="n"/>
      <c r="AK977" s="1709" t="n"/>
      <c r="AL977" s="1709" t="n"/>
      <c r="AM977" s="1277" t="n"/>
      <c r="AN977" s="1277" t="n"/>
      <c r="AO977" s="1709" t="n"/>
      <c r="AP977" s="1709" t="n"/>
      <c r="AQ977" s="1709" t="n"/>
      <c r="AR977" s="1277" t="n"/>
      <c r="AS977" s="1277" t="n"/>
      <c r="AT977" s="1709" t="n"/>
      <c r="AU977" s="1709" t="n"/>
      <c r="AV977" s="1709" t="n"/>
      <c r="AW977" s="1277" t="n"/>
      <c r="AX977" s="1277" t="n"/>
      <c r="AY977" s="1709" t="n"/>
      <c r="AZ977" s="1709" t="n"/>
      <c r="BA977" s="1709" t="n"/>
      <c r="BB977" s="1277" t="n"/>
      <c r="BC977" s="1277" t="n"/>
      <c r="BD977" s="1709" t="n"/>
      <c r="BE977" s="1709" t="n"/>
      <c r="BF977" s="1709" t="n"/>
      <c r="BG977" s="1277" t="n"/>
      <c r="BH977" s="1277" t="n"/>
      <c r="BI977" s="1709" t="n"/>
      <c r="BJ977" s="1709" t="n"/>
      <c r="BK977" s="1709" t="n"/>
      <c r="BL977" s="1277" t="n"/>
      <c r="BM977" s="1277" t="n"/>
      <c r="BN977" s="1709" t="n"/>
      <c r="BO977" s="1812" t="n"/>
      <c r="BP977" s="1277" t="n"/>
      <c r="BQ977" s="1277" t="n"/>
      <c r="BR977" s="1277" t="n"/>
      <c r="BS977" s="1277" t="n"/>
      <c r="BT977" s="1277" t="n"/>
      <c r="BU977" s="1277" t="n"/>
      <c r="BV977" s="1277" t="n"/>
      <c r="BW977" s="1277" t="n"/>
      <c r="BX977" s="1277" t="n"/>
      <c r="BY977" s="1277" t="n"/>
      <c r="BZ977" s="1277" t="n"/>
      <c r="CA977" s="1277" t="n"/>
      <c r="CB977" s="1277" t="n"/>
      <c r="CC977" s="1280" t="n"/>
    </row>
    <row r="978" ht="14.4" customFormat="1" customHeight="1" s="1275">
      <c r="A978" s="1810" t="inlineStr">
        <is>
          <t>Other Tables</t>
        </is>
      </c>
      <c r="B978" s="1810" t="n"/>
      <c r="C978" s="1810" t="n"/>
      <c r="D978" s="1810" t="n"/>
      <c r="E978" s="1810" t="n"/>
      <c r="F978" s="1810" t="n"/>
      <c r="G978" s="1810" t="n"/>
      <c r="H978" s="1810" t="n"/>
      <c r="I978" s="1810" t="n"/>
      <c r="J978" s="1810" t="n"/>
      <c r="K978" s="1810" t="n"/>
      <c r="L978" s="1810" t="n"/>
      <c r="M978" s="1810" t="n"/>
      <c r="N978" s="1810" t="n"/>
      <c r="O978" s="1810" t="n"/>
      <c r="P978" s="1810" t="n"/>
      <c r="Q978" s="1810" t="n"/>
      <c r="R978" s="1810" t="n"/>
      <c r="S978" s="1810" t="n"/>
      <c r="T978" s="1810" t="n"/>
      <c r="U978" s="1810" t="n"/>
      <c r="V978" s="1810" t="n"/>
      <c r="W978" s="1810" t="n"/>
      <c r="X978" s="1810" t="n"/>
      <c r="Y978" s="1810" t="n"/>
      <c r="Z978" s="1810" t="n"/>
      <c r="AA978" s="1810" t="n"/>
      <c r="AB978" s="1810" t="n"/>
      <c r="AC978" s="1810" t="n"/>
      <c r="AD978" s="1810" t="n"/>
      <c r="AE978" s="1810" t="n"/>
      <c r="AF978" s="1810" t="n"/>
      <c r="AG978" s="1810" t="n"/>
      <c r="AH978" s="1810" t="n"/>
      <c r="AI978" s="1810" t="n"/>
      <c r="AJ978" s="1810" t="n"/>
      <c r="AK978" s="1810" t="n"/>
      <c r="AL978" s="1810" t="n"/>
      <c r="AM978" s="1810" t="n"/>
      <c r="AN978" s="1810" t="n"/>
      <c r="AO978" s="1810" t="n"/>
      <c r="AP978" s="1810" t="n"/>
      <c r="AQ978" s="1810" t="n"/>
      <c r="AR978" s="1810" t="n"/>
      <c r="AS978" s="1810" t="n"/>
      <c r="AT978" s="1810" t="n"/>
      <c r="AU978" s="1810" t="n"/>
      <c r="AV978" s="1810" t="n"/>
      <c r="AW978" s="1810" t="n"/>
      <c r="AX978" s="1810" t="n"/>
      <c r="AY978" s="1810" t="n"/>
      <c r="AZ978" s="1810" t="n"/>
      <c r="BA978" s="1810" t="n"/>
      <c r="BB978" s="1810" t="n"/>
      <c r="BC978" s="1810" t="n"/>
      <c r="BD978" s="1810" t="n"/>
      <c r="BE978" s="1810" t="n"/>
      <c r="BF978" s="1810" t="n"/>
      <c r="BG978" s="1810" t="n"/>
      <c r="BH978" s="1810" t="n"/>
      <c r="BI978" s="1810" t="n"/>
      <c r="BJ978" s="1810" t="n"/>
      <c r="BK978" s="1810" t="n"/>
      <c r="BL978" s="1810" t="n"/>
      <c r="BM978" s="1810" t="n"/>
      <c r="BN978" s="1810" t="n"/>
      <c r="BO978" s="1811" t="n"/>
      <c r="BP978" s="1810" t="n"/>
      <c r="BQ978" s="1810" t="n"/>
      <c r="BR978" s="1810" t="n"/>
      <c r="BS978" s="1810" t="n"/>
      <c r="BT978" s="1810" t="n"/>
      <c r="BU978" s="1810" t="n"/>
      <c r="BV978" s="1810" t="n"/>
      <c r="BW978" s="1810" t="n"/>
      <c r="BX978" s="1810" t="n"/>
      <c r="BY978" s="1810" t="n"/>
      <c r="BZ978" s="1810" t="n"/>
      <c r="CA978" s="1810" t="n"/>
      <c r="CB978" s="1810" t="n"/>
      <c r="CC978" s="1280" t="n"/>
    </row>
    <row r="979" ht="14.4" customFormat="1" customHeight="1" s="1275">
      <c r="A979" s="1813" t="n"/>
      <c r="B979" s="1277" t="n"/>
      <c r="C979" s="1814" t="n"/>
      <c r="D979" s="1814" t="n"/>
      <c r="E979" s="1277" t="n"/>
      <c r="F979" s="1277" t="n"/>
      <c r="G979" s="1277" t="n"/>
      <c r="H979" s="1277" t="n"/>
      <c r="I979" s="1277" t="n"/>
      <c r="J979" s="1277" t="n"/>
      <c r="K979" s="1277" t="n"/>
      <c r="L979" s="1277" t="n"/>
      <c r="M979" s="1277" t="n"/>
      <c r="N979" s="1277" t="n"/>
      <c r="O979" s="1277" t="n"/>
      <c r="P979" s="1277" t="n"/>
      <c r="Q979" s="1277" t="n"/>
      <c r="R979" s="1277" t="n"/>
      <c r="S979" s="1277" t="n"/>
      <c r="T979" s="1277" t="n"/>
      <c r="U979" s="1277" t="n"/>
      <c r="V979" s="1277" t="n"/>
      <c r="W979" s="1277" t="n"/>
      <c r="X979" s="1277" t="n"/>
      <c r="Y979" s="1277" t="n"/>
      <c r="Z979" s="1277" t="n"/>
      <c r="AA979" s="1277" t="n"/>
      <c r="AB979" s="1277" t="n"/>
      <c r="AC979" s="1277" t="n"/>
      <c r="AD979" s="1277" t="n"/>
      <c r="AE979" s="1277" t="n"/>
      <c r="AF979" s="1277" t="n"/>
      <c r="AG979" s="1277" t="n"/>
      <c r="AH979" s="1277" t="n"/>
      <c r="AI979" s="1277" t="n"/>
      <c r="AJ979" s="1277" t="n"/>
      <c r="AK979" s="1277" t="n"/>
      <c r="AL979" s="1277" t="n"/>
      <c r="AM979" s="1277" t="n"/>
      <c r="AN979" s="1277" t="n"/>
      <c r="AO979" s="1277" t="n"/>
      <c r="AP979" s="1277" t="n"/>
      <c r="AQ979" s="1277" t="n"/>
      <c r="AR979" s="1277" t="n"/>
      <c r="AS979" s="1277" t="n"/>
      <c r="AT979" s="1277" t="n"/>
      <c r="AU979" s="1277" t="n"/>
      <c r="AV979" s="1277" t="n"/>
      <c r="AW979" s="1277" t="n"/>
      <c r="AX979" s="1277" t="n"/>
      <c r="AY979" s="1277" t="n"/>
      <c r="AZ979" s="1277" t="n"/>
      <c r="BA979" s="1277" t="n"/>
      <c r="BB979" s="1277" t="n"/>
      <c r="BC979" s="1277" t="n"/>
      <c r="BD979" s="1277" t="n"/>
      <c r="BE979" s="1277" t="n"/>
      <c r="BF979" s="1277" t="n"/>
      <c r="BG979" s="1277" t="n"/>
      <c r="BH979" s="1277" t="n"/>
      <c r="BI979" s="1277" t="n"/>
      <c r="BJ979" s="1277" t="n"/>
      <c r="BK979" s="1277" t="n"/>
      <c r="BL979" s="1277" t="n"/>
      <c r="BM979" s="1277" t="n"/>
      <c r="BN979" s="1277" t="n"/>
      <c r="BO979" s="1809" t="n"/>
      <c r="BP979" s="1277" t="n"/>
      <c r="BQ979" s="1277" t="n"/>
      <c r="BR979" s="1277" t="n"/>
      <c r="BS979" s="1277" t="n"/>
      <c r="BT979" s="1277" t="n"/>
      <c r="BU979" s="1277" t="n"/>
      <c r="BV979" s="1277" t="n"/>
      <c r="BW979" s="1277" t="n"/>
      <c r="BX979" s="1277" t="n"/>
      <c r="BY979" s="1277" t="n"/>
      <c r="BZ979" s="1277" t="n"/>
      <c r="CA979" s="1277" t="n"/>
      <c r="CB979" s="1277" t="n"/>
      <c r="CC979" s="1280" t="n"/>
    </row>
    <row r="980" ht="14.4" customFormat="1" customHeight="1" s="1373">
      <c r="A980" s="1815" t="inlineStr">
        <is>
          <t>Ticker Symbol</t>
        </is>
      </c>
      <c r="B980" s="1816" t="n"/>
      <c r="C980" s="1817" t="n"/>
      <c r="D980" s="1817" t="n"/>
      <c r="E980" s="1278" t="n"/>
      <c r="F980" s="1278" t="n"/>
      <c r="G980" s="1278" t="n"/>
      <c r="H980" s="1278" t="n"/>
      <c r="I980" s="1278" t="n"/>
      <c r="J980" s="1278" t="n"/>
      <c r="K980" s="1278" t="n"/>
      <c r="L980" s="1278" t="n"/>
      <c r="M980" s="1278" t="n"/>
      <c r="N980" s="1278" t="n"/>
      <c r="O980" s="1278" t="n"/>
      <c r="P980" s="1278" t="n"/>
      <c r="Q980" s="1278" t="n"/>
      <c r="R980" s="1278" t="n"/>
      <c r="S980" s="1278" t="n"/>
      <c r="T980" s="1278" t="n"/>
      <c r="U980" s="1278" t="n"/>
      <c r="V980" s="1278" t="n"/>
      <c r="W980" s="1278" t="n"/>
      <c r="X980" s="1278" t="n"/>
      <c r="Y980" s="1278" t="n"/>
      <c r="Z980" s="1278" t="n"/>
      <c r="AA980" s="1278" t="n"/>
      <c r="AB980" s="1278" t="n"/>
      <c r="AC980" s="1278" t="n"/>
      <c r="AD980" s="1278" t="n"/>
      <c r="AE980" s="1278" t="n"/>
      <c r="AF980" s="1278" t="n"/>
      <c r="AG980" s="1278" t="n"/>
      <c r="AH980" s="1278" t="n"/>
      <c r="AI980" s="1278" t="n"/>
      <c r="AJ980" s="1278" t="n"/>
      <c r="AK980" s="1278" t="n"/>
      <c r="AL980" s="1278" t="n"/>
      <c r="AM980" s="1278" t="n"/>
      <c r="AN980" s="1278" t="n"/>
      <c r="AO980" s="1278" t="n"/>
      <c r="AP980" s="1278" t="n"/>
      <c r="AQ980" s="1278" t="n"/>
      <c r="AR980" s="1278" t="n"/>
      <c r="AS980" s="1278" t="n"/>
      <c r="AT980" s="1278" t="n"/>
      <c r="AU980" s="1278" t="n"/>
      <c r="AV980" s="1278" t="n"/>
      <c r="AW980" s="1278" t="n"/>
      <c r="AX980" s="1278" t="n"/>
      <c r="AY980" s="1278" t="n"/>
      <c r="AZ980" s="1278" t="n"/>
      <c r="BA980" s="1278" t="n"/>
      <c r="BB980" s="1278" t="n"/>
      <c r="BC980" s="1278" t="n"/>
      <c r="BD980" s="1278" t="n"/>
      <c r="BE980" s="1278" t="n"/>
      <c r="BF980" s="1278" t="n"/>
      <c r="BG980" s="1278" t="n"/>
      <c r="BH980" s="1278" t="n"/>
      <c r="BI980" s="1278" t="n"/>
      <c r="BJ980" s="1278" t="n"/>
      <c r="BK980" s="1278" t="n"/>
      <c r="BL980" s="1278" t="n"/>
      <c r="BM980" s="1278" t="n"/>
      <c r="BN980" s="1278" t="n"/>
      <c r="BO980" s="1279" t="n"/>
      <c r="BP980" s="1278" t="n"/>
      <c r="BQ980" s="1278" t="n"/>
      <c r="BR980" s="1278" t="n"/>
      <c r="BS980" s="1278" t="n"/>
      <c r="BT980" s="1278" t="n"/>
      <c r="BU980" s="1278" t="n"/>
      <c r="BV980" s="1278" t="n"/>
      <c r="BW980" s="1278" t="n"/>
      <c r="BX980" s="1278" t="n"/>
      <c r="BY980" s="1278" t="n"/>
      <c r="BZ980" s="1278" t="n"/>
      <c r="CA980" s="1278" t="n"/>
      <c r="CB980" s="1278" t="n"/>
      <c r="CC980" s="1380" t="n"/>
    </row>
    <row r="981" ht="14.4" customFormat="1" customHeight="1" s="1373">
      <c r="A981" s="1818" t="inlineStr">
        <is>
          <t>TSM_US</t>
        </is>
      </c>
      <c r="B981" s="1816" t="n"/>
      <c r="C981" s="1817" t="n"/>
      <c r="D981" s="1817" t="n"/>
      <c r="E981" s="1278" t="n"/>
      <c r="F981" s="1278" t="n"/>
      <c r="G981" s="1278" t="n"/>
      <c r="H981" s="1278" t="n"/>
      <c r="I981" s="1278" t="n"/>
      <c r="J981" s="1278" t="n"/>
      <c r="K981" s="1278" t="n"/>
      <c r="L981" s="1278" t="n"/>
      <c r="M981" s="1278" t="n"/>
      <c r="N981" s="1278" t="n"/>
      <c r="O981" s="1278" t="n"/>
      <c r="P981" s="1278" t="n"/>
      <c r="Q981" s="1278" t="n"/>
      <c r="R981" s="1278" t="n"/>
      <c r="S981" s="1278" t="n"/>
      <c r="T981" s="1278" t="n"/>
      <c r="U981" s="1278" t="n"/>
      <c r="V981" s="1278" t="n"/>
      <c r="W981" s="1278" t="n"/>
      <c r="X981" s="1278" t="n"/>
      <c r="Y981" s="1278" t="n"/>
      <c r="Z981" s="1278" t="n"/>
      <c r="AA981" s="1278" t="n"/>
      <c r="AB981" s="1278" t="n"/>
      <c r="AC981" s="1278" t="n"/>
      <c r="AD981" s="1278" t="n"/>
      <c r="AE981" s="1278" t="n"/>
      <c r="AF981" s="1278" t="n"/>
      <c r="AG981" s="1278" t="n"/>
      <c r="AH981" s="1278" t="n"/>
      <c r="AI981" s="1278" t="n"/>
      <c r="AJ981" s="1278" t="n"/>
      <c r="AK981" s="1278" t="n"/>
      <c r="AL981" s="1278" t="n"/>
      <c r="AM981" s="1278" t="n"/>
      <c r="AN981" s="1278" t="n"/>
      <c r="AO981" s="1278" t="n"/>
      <c r="AP981" s="1278" t="n"/>
      <c r="AQ981" s="1278" t="n"/>
      <c r="AR981" s="1278" t="n"/>
      <c r="AS981" s="1278" t="n"/>
      <c r="AT981" s="1278" t="n"/>
      <c r="AU981" s="1278" t="n"/>
      <c r="AV981" s="1278" t="n"/>
      <c r="AW981" s="1278" t="n"/>
      <c r="AX981" s="1278" t="n"/>
      <c r="AY981" s="1278" t="n"/>
      <c r="AZ981" s="1278" t="n"/>
      <c r="BA981" s="1278" t="n"/>
      <c r="BB981" s="1278" t="n"/>
      <c r="BC981" s="1278" t="n"/>
      <c r="BD981" s="1278" t="n"/>
      <c r="BE981" s="1278" t="n"/>
      <c r="BF981" s="1278" t="n"/>
      <c r="BG981" s="1278" t="n"/>
      <c r="BH981" s="1278" t="n"/>
      <c r="BI981" s="1278" t="n"/>
      <c r="BJ981" s="1278" t="n"/>
      <c r="BK981" s="1278" t="n"/>
      <c r="BL981" s="1278" t="n"/>
      <c r="BM981" s="1278" t="n"/>
      <c r="BN981" s="1278" t="n"/>
      <c r="BO981" s="1279" t="n"/>
      <c r="BP981" s="1278" t="n"/>
      <c r="BQ981" s="1278" t="n"/>
      <c r="BR981" s="1278" t="n"/>
      <c r="BS981" s="1278" t="n"/>
      <c r="BT981" s="1278" t="n"/>
      <c r="BU981" s="1278" t="n"/>
      <c r="BV981" s="1278" t="n"/>
      <c r="BW981" s="1278" t="n"/>
      <c r="BX981" s="1278" t="n"/>
      <c r="BY981" s="1278" t="n"/>
      <c r="BZ981" s="1278" t="n"/>
      <c r="CA981" s="1278" t="n"/>
      <c r="CB981" s="1278" t="n"/>
      <c r="CC981" s="1380" t="n"/>
    </row>
    <row r="982" ht="14.4" customFormat="1" customHeight="1" s="1373">
      <c r="A982" s="1819" t="inlineStr">
        <is>
          <t>TSM US</t>
        </is>
      </c>
      <c r="B982" s="1816" t="n"/>
      <c r="C982" s="1817" t="n"/>
      <c r="D982" s="1817" t="n"/>
      <c r="E982" s="1278" t="n"/>
      <c r="F982" s="1278" t="n"/>
      <c r="G982" s="1278" t="n"/>
      <c r="H982" s="1278" t="n"/>
      <c r="I982" s="1278" t="n"/>
      <c r="J982" s="1278" t="n"/>
      <c r="K982" s="1278" t="n"/>
      <c r="L982" s="1278" t="n"/>
      <c r="M982" s="1278" t="n"/>
      <c r="N982" s="1278" t="n"/>
      <c r="O982" s="1278" t="n"/>
      <c r="P982" s="1278" t="n"/>
      <c r="Q982" s="1278" t="n"/>
      <c r="R982" s="1278" t="n"/>
      <c r="S982" s="1278" t="n"/>
      <c r="T982" s="1278" t="n"/>
      <c r="U982" s="1278" t="n"/>
      <c r="V982" s="1278" t="n"/>
      <c r="W982" s="1278" t="n"/>
      <c r="X982" s="1278" t="n"/>
      <c r="Y982" s="1278" t="n"/>
      <c r="Z982" s="1278" t="n"/>
      <c r="AA982" s="1278" t="n"/>
      <c r="AB982" s="1278" t="n"/>
      <c r="AC982" s="1278" t="n"/>
      <c r="AD982" s="1278" t="n"/>
      <c r="AE982" s="1278" t="n"/>
      <c r="AF982" s="1278" t="n"/>
      <c r="AG982" s="1278" t="n"/>
      <c r="AH982" s="1278" t="n"/>
      <c r="AI982" s="1278" t="n"/>
      <c r="AJ982" s="1278" t="n"/>
      <c r="AK982" s="1278" t="n"/>
      <c r="AL982" s="1278" t="n"/>
      <c r="AM982" s="1278" t="n"/>
      <c r="AN982" s="1278" t="n"/>
      <c r="AO982" s="1278" t="n"/>
      <c r="AP982" s="1278" t="n"/>
      <c r="AQ982" s="1278" t="n"/>
      <c r="AR982" s="1278" t="n"/>
      <c r="AS982" s="1278" t="n"/>
      <c r="AT982" s="1278" t="n"/>
      <c r="AU982" s="1278" t="n"/>
      <c r="AV982" s="1278" t="n"/>
      <c r="AW982" s="1278" t="n"/>
      <c r="AX982" s="1278" t="n"/>
      <c r="AY982" s="1278" t="n"/>
      <c r="AZ982" s="1278" t="n"/>
      <c r="BA982" s="1278" t="n"/>
      <c r="BB982" s="1278" t="n"/>
      <c r="BC982" s="1278" t="n"/>
      <c r="BD982" s="1278" t="n"/>
      <c r="BE982" s="1278" t="n"/>
      <c r="BF982" s="1278" t="n"/>
      <c r="BG982" s="1278" t="n"/>
      <c r="BH982" s="1278" t="n"/>
      <c r="BI982" s="1278" t="n"/>
      <c r="BJ982" s="1278" t="n"/>
      <c r="BK982" s="1278" t="n"/>
      <c r="BL982" s="1278" t="n"/>
      <c r="BM982" s="1278" t="n"/>
      <c r="BN982" s="1278" t="n"/>
      <c r="BO982" s="1279" t="n"/>
      <c r="BP982" s="1278" t="n"/>
      <c r="BQ982" s="1278" t="n"/>
      <c r="BR982" s="1278" t="n"/>
      <c r="BS982" s="1278" t="n"/>
      <c r="BT982" s="1278" t="n"/>
      <c r="BU982" s="1278" t="n"/>
      <c r="BV982" s="1278" t="n"/>
      <c r="BW982" s="1278" t="n"/>
      <c r="BX982" s="1278" t="n"/>
      <c r="BY982" s="1278" t="n"/>
      <c r="BZ982" s="1278" t="n"/>
      <c r="CA982" s="1278" t="n"/>
      <c r="CB982" s="1278" t="n"/>
      <c r="CC982" s="1380" t="n"/>
    </row>
    <row r="983" ht="14.4" customFormat="1" customHeight="1" s="1373">
      <c r="A983" s="1820" t="inlineStr">
        <is>
          <t>NYSE:TSM</t>
        </is>
      </c>
      <c r="B983" s="1816" t="n"/>
      <c r="C983" s="1817" t="n"/>
      <c r="D983" s="1817" t="n"/>
      <c r="E983" s="1278" t="n"/>
      <c r="F983" s="1278" t="n"/>
      <c r="G983" s="1278" t="n"/>
      <c r="H983" s="1278" t="n"/>
      <c r="I983" s="1278" t="n"/>
      <c r="J983" s="1278" t="n"/>
      <c r="K983" s="1278" t="n"/>
      <c r="L983" s="1278" t="n"/>
      <c r="M983" s="1278" t="n"/>
      <c r="N983" s="1278" t="n"/>
      <c r="O983" s="1278" t="n"/>
      <c r="P983" s="1278" t="n"/>
      <c r="Q983" s="1278" t="n"/>
      <c r="R983" s="1278" t="n"/>
      <c r="S983" s="1278" t="n"/>
      <c r="T983" s="1278" t="n"/>
      <c r="U983" s="1278" t="n"/>
      <c r="V983" s="1278" t="n"/>
      <c r="W983" s="1278" t="n"/>
      <c r="X983" s="1278" t="n"/>
      <c r="Y983" s="1278" t="n"/>
      <c r="Z983" s="1278" t="n"/>
      <c r="AA983" s="1278" t="n"/>
      <c r="AB983" s="1278" t="n"/>
      <c r="AC983" s="1278" t="n"/>
      <c r="AD983" s="1278" t="n"/>
      <c r="AE983" s="1278" t="n"/>
      <c r="AF983" s="1278" t="n"/>
      <c r="AG983" s="1278" t="n"/>
      <c r="AH983" s="1278" t="n"/>
      <c r="AI983" s="1278" t="n"/>
      <c r="AJ983" s="1278" t="n"/>
      <c r="AK983" s="1278" t="n"/>
      <c r="AL983" s="1278" t="n"/>
      <c r="AM983" s="1278" t="n"/>
      <c r="AN983" s="1278" t="n"/>
      <c r="AO983" s="1278" t="n"/>
      <c r="AP983" s="1278" t="n"/>
      <c r="AQ983" s="1278" t="n"/>
      <c r="AR983" s="1278" t="n"/>
      <c r="AS983" s="1278" t="n"/>
      <c r="AT983" s="1278" t="n"/>
      <c r="AU983" s="1278" t="n"/>
      <c r="AV983" s="1278" t="n"/>
      <c r="AW983" s="1278" t="n"/>
      <c r="AX983" s="1278" t="n"/>
      <c r="AY983" s="1278" t="n"/>
      <c r="AZ983" s="1278" t="n"/>
      <c r="BA983" s="1278" t="n"/>
      <c r="BB983" s="1278" t="n"/>
      <c r="BC983" s="1278" t="n"/>
      <c r="BD983" s="1278" t="n"/>
      <c r="BE983" s="1278" t="n"/>
      <c r="BF983" s="1278" t="n"/>
      <c r="BG983" s="1278" t="n"/>
      <c r="BH983" s="1278" t="n"/>
      <c r="BI983" s="1278" t="n"/>
      <c r="BJ983" s="1278" t="n"/>
      <c r="BK983" s="1278" t="n"/>
      <c r="BL983" s="1278" t="n"/>
      <c r="BM983" s="1278" t="n"/>
      <c r="BN983" s="1278" t="n"/>
      <c r="BO983" s="1279" t="n"/>
      <c r="BP983" s="1278" t="n"/>
      <c r="BQ983" s="1278" t="n"/>
      <c r="BR983" s="1278" t="n"/>
      <c r="BS983" s="1278" t="n"/>
      <c r="BT983" s="1278" t="n"/>
      <c r="BU983" s="1278" t="n"/>
      <c r="BV983" s="1278" t="n"/>
      <c r="BW983" s="1278" t="n"/>
      <c r="BX983" s="1278" t="n"/>
      <c r="BY983" s="1278" t="n"/>
      <c r="BZ983" s="1278" t="n"/>
      <c r="CA983" s="1278" t="n"/>
      <c r="CB983" s="1278" t="n"/>
      <c r="CC983" s="1380" t="n"/>
    </row>
    <row r="984" ht="14.4" customFormat="1" customHeight="1" s="1373">
      <c r="A984" s="1821" t="inlineStr">
        <is>
          <t>TSM-US</t>
        </is>
      </c>
      <c r="B984" s="1816" t="n"/>
      <c r="C984" s="1817" t="n"/>
      <c r="D984" s="1817" t="n"/>
      <c r="E984" s="1278" t="n"/>
      <c r="F984" s="1278" t="n"/>
      <c r="G984" s="1278" t="n"/>
      <c r="H984" s="1278" t="n"/>
      <c r="I984" s="1278" t="n"/>
      <c r="J984" s="1278" t="n"/>
      <c r="K984" s="1278" t="n"/>
      <c r="L984" s="1278" t="n"/>
      <c r="M984" s="1278" t="n"/>
      <c r="N984" s="1278" t="n"/>
      <c r="O984" s="1278" t="n"/>
      <c r="P984" s="1278" t="n"/>
      <c r="Q984" s="1278" t="n"/>
      <c r="R984" s="1278" t="n"/>
      <c r="S984" s="1278" t="n"/>
      <c r="T984" s="1278" t="n"/>
      <c r="U984" s="1278" t="n"/>
      <c r="V984" s="1278" t="n"/>
      <c r="W984" s="1278" t="n"/>
      <c r="X984" s="1278" t="n"/>
      <c r="Y984" s="1278" t="n"/>
      <c r="Z984" s="1278" t="n"/>
      <c r="AA984" s="1278" t="n"/>
      <c r="AB984" s="1278" t="n"/>
      <c r="AC984" s="1278" t="n"/>
      <c r="AD984" s="1278" t="n"/>
      <c r="AE984" s="1278" t="n"/>
      <c r="AF984" s="1278" t="n"/>
      <c r="AG984" s="1278" t="n"/>
      <c r="AH984" s="1278" t="n"/>
      <c r="AI984" s="1278" t="n"/>
      <c r="AJ984" s="1278" t="n"/>
      <c r="AK984" s="1278" t="n"/>
      <c r="AL984" s="1278" t="n"/>
      <c r="AM984" s="1278" t="n"/>
      <c r="AN984" s="1278" t="n"/>
      <c r="AO984" s="1278" t="n"/>
      <c r="AP984" s="1278" t="n"/>
      <c r="AQ984" s="1278" t="n"/>
      <c r="AR984" s="1278" t="n"/>
      <c r="AS984" s="1278" t="n"/>
      <c r="AT984" s="1278" t="n"/>
      <c r="AU984" s="1278" t="n"/>
      <c r="AV984" s="1278" t="n"/>
      <c r="AW984" s="1278" t="n"/>
      <c r="AX984" s="1278" t="n"/>
      <c r="AY984" s="1278" t="n"/>
      <c r="AZ984" s="1278" t="n"/>
      <c r="BA984" s="1278" t="n"/>
      <c r="BB984" s="1278" t="n"/>
      <c r="BC984" s="1278" t="n"/>
      <c r="BD984" s="1278" t="n"/>
      <c r="BE984" s="1278" t="n"/>
      <c r="BF984" s="1278" t="n"/>
      <c r="BG984" s="1278" t="n"/>
      <c r="BH984" s="1278" t="n"/>
      <c r="BI984" s="1278" t="n"/>
      <c r="BJ984" s="1278" t="n"/>
      <c r="BK984" s="1278" t="n"/>
      <c r="BL984" s="1278" t="n"/>
      <c r="BM984" s="1278" t="n"/>
      <c r="BN984" s="1278" t="n"/>
      <c r="BO984" s="1279" t="n"/>
      <c r="BP984" s="1278" t="n"/>
      <c r="BQ984" s="1278" t="n"/>
      <c r="BR984" s="1278" t="n"/>
      <c r="BS984" s="1278" t="n"/>
      <c r="BT984" s="1278" t="n"/>
      <c r="BU984" s="1278" t="n"/>
      <c r="BV984" s="1278" t="n"/>
      <c r="BW984" s="1278" t="n"/>
      <c r="BX984" s="1278" t="n"/>
      <c r="BY984" s="1278" t="n"/>
      <c r="BZ984" s="1278" t="n"/>
      <c r="CA984" s="1278" t="n"/>
      <c r="CB984" s="1278" t="n"/>
      <c r="CC984" s="1380" t="n"/>
    </row>
    <row r="985" ht="14.4" customFormat="1" customHeight="1" s="1373">
      <c r="A985" s="1822" t="inlineStr">
        <is>
          <t>TSM.N</t>
        </is>
      </c>
      <c r="B985" s="1816" t="n"/>
      <c r="C985" s="1817" t="n"/>
      <c r="D985" s="1817" t="n"/>
      <c r="E985" s="1278" t="n"/>
      <c r="F985" s="1278" t="n"/>
      <c r="G985" s="1278" t="n"/>
      <c r="H985" s="1278" t="n"/>
      <c r="I985" s="1278" t="n"/>
      <c r="J985" s="1278" t="n"/>
      <c r="K985" s="1278" t="n"/>
      <c r="L985" s="1278" t="n"/>
      <c r="M985" s="1278" t="n"/>
      <c r="N985" s="1278" t="n"/>
      <c r="O985" s="1278" t="n"/>
      <c r="P985" s="1278" t="n"/>
      <c r="Q985" s="1278" t="n"/>
      <c r="R985" s="1278" t="n"/>
      <c r="S985" s="1278" t="n"/>
      <c r="T985" s="1278" t="n"/>
      <c r="U985" s="1278" t="n"/>
      <c r="V985" s="1278" t="n"/>
      <c r="W985" s="1278" t="n"/>
      <c r="X985" s="1278" t="n"/>
      <c r="Y985" s="1278" t="n"/>
      <c r="Z985" s="1278" t="n"/>
      <c r="AA985" s="1278" t="n"/>
      <c r="AB985" s="1278" t="n"/>
      <c r="AC985" s="1278" t="n"/>
      <c r="AD985" s="1278" t="n"/>
      <c r="AE985" s="1278" t="n"/>
      <c r="AF985" s="1278" t="n"/>
      <c r="AG985" s="1278" t="n"/>
      <c r="AH985" s="1278" t="n"/>
      <c r="AI985" s="1278" t="n"/>
      <c r="AJ985" s="1278" t="n"/>
      <c r="AK985" s="1278" t="n"/>
      <c r="AL985" s="1278" t="n"/>
      <c r="AM985" s="1278" t="n"/>
      <c r="AN985" s="1278" t="n"/>
      <c r="AO985" s="1278" t="n"/>
      <c r="AP985" s="1278" t="n"/>
      <c r="AQ985" s="1278" t="n"/>
      <c r="AR985" s="1278" t="n"/>
      <c r="AS985" s="1278" t="n"/>
      <c r="AT985" s="1278" t="n"/>
      <c r="AU985" s="1278" t="n"/>
      <c r="AV985" s="1278" t="n"/>
      <c r="AW985" s="1278" t="n"/>
      <c r="AX985" s="1278" t="n"/>
      <c r="AY985" s="1278" t="n"/>
      <c r="AZ985" s="1278" t="n"/>
      <c r="BA985" s="1278" t="n"/>
      <c r="BB985" s="1278" t="n"/>
      <c r="BC985" s="1278" t="n"/>
      <c r="BD985" s="1278" t="n"/>
      <c r="BE985" s="1278" t="n"/>
      <c r="BF985" s="1278" t="n"/>
      <c r="BG985" s="1278" t="n"/>
      <c r="BH985" s="1278" t="n"/>
      <c r="BI985" s="1278" t="n"/>
      <c r="BJ985" s="1278" t="n"/>
      <c r="BK985" s="1278" t="n"/>
      <c r="BL985" s="1278" t="n"/>
      <c r="BM985" s="1278" t="n"/>
      <c r="BN985" s="1278" t="n"/>
      <c r="BO985" s="1279" t="n"/>
      <c r="BP985" s="1278" t="n"/>
      <c r="BQ985" s="1278" t="n"/>
      <c r="BR985" s="1278" t="n"/>
      <c r="BS985" s="1278" t="n"/>
      <c r="BT985" s="1278" t="n"/>
      <c r="BU985" s="1278" t="n"/>
      <c r="BV985" s="1278" t="n"/>
      <c r="BW985" s="1278" t="n"/>
      <c r="BX985" s="1278" t="n"/>
      <c r="BY985" s="1278" t="n"/>
      <c r="BZ985" s="1278" t="n"/>
      <c r="CA985" s="1278" t="n"/>
      <c r="CB985" s="1278" t="n"/>
      <c r="CC985" s="1380" t="n"/>
    </row>
    <row r="986" ht="14.4" customFormat="1" customHeight="1" s="1373">
      <c r="A986" s="1823" t="n"/>
      <c r="B986" s="1824" t="n"/>
      <c r="C986" s="1817" t="n"/>
      <c r="D986" s="1817" t="n"/>
      <c r="E986" s="1278" t="n"/>
      <c r="F986" s="1278" t="n"/>
      <c r="G986" s="1278" t="n"/>
      <c r="H986" s="1278" t="n"/>
      <c r="I986" s="1278" t="n"/>
      <c r="J986" s="1278" t="n"/>
      <c r="K986" s="1278" t="n"/>
      <c r="L986" s="1278" t="n"/>
      <c r="M986" s="1278" t="n"/>
      <c r="N986" s="1278" t="n"/>
      <c r="O986" s="1278" t="n"/>
      <c r="P986" s="1278" t="n"/>
      <c r="Q986" s="1278" t="n"/>
      <c r="R986" s="1278" t="n"/>
      <c r="S986" s="1278" t="n"/>
      <c r="T986" s="1278" t="n"/>
      <c r="U986" s="1278" t="n"/>
      <c r="V986" s="1278" t="n"/>
      <c r="W986" s="1278" t="n"/>
      <c r="X986" s="1278" t="n"/>
      <c r="Y986" s="1278" t="n"/>
      <c r="Z986" s="1278" t="n"/>
      <c r="AA986" s="1278" t="n"/>
      <c r="AB986" s="1278" t="n"/>
      <c r="AC986" s="1278" t="n"/>
      <c r="AD986" s="1278" t="n"/>
      <c r="AE986" s="1278" t="n"/>
      <c r="AF986" s="1278" t="n"/>
      <c r="AG986" s="1278" t="n"/>
      <c r="AH986" s="1278" t="n"/>
      <c r="AI986" s="1278" t="n"/>
      <c r="AJ986" s="1278" t="n"/>
      <c r="AK986" s="1278" t="n"/>
      <c r="AL986" s="1278" t="n"/>
      <c r="AM986" s="1278" t="n"/>
      <c r="AN986" s="1278" t="n"/>
      <c r="AO986" s="1278" t="n"/>
      <c r="AP986" s="1278" t="n"/>
      <c r="AQ986" s="1278" t="n"/>
      <c r="AR986" s="1278" t="n"/>
      <c r="AS986" s="1278" t="n"/>
      <c r="AT986" s="1278" t="n"/>
      <c r="AU986" s="1278" t="n"/>
      <c r="AV986" s="1278" t="n"/>
      <c r="AW986" s="1278" t="n"/>
      <c r="AX986" s="1278" t="n"/>
      <c r="AY986" s="1278" t="n"/>
      <c r="AZ986" s="1278" t="n"/>
      <c r="BA986" s="1278" t="n"/>
      <c r="BB986" s="1278" t="n"/>
      <c r="BC986" s="1278" t="n"/>
      <c r="BD986" s="1278" t="n"/>
      <c r="BE986" s="1278" t="n"/>
      <c r="BF986" s="1278" t="n"/>
      <c r="BG986" s="1278" t="n"/>
      <c r="BH986" s="1278" t="n"/>
      <c r="BI986" s="1278" t="n"/>
      <c r="BJ986" s="1278" t="n"/>
      <c r="BK986" s="1278" t="n"/>
      <c r="BL986" s="1278" t="n"/>
      <c r="BM986" s="1278" t="n"/>
      <c r="BN986" s="1278" t="n"/>
      <c r="BO986" s="1279" t="n"/>
      <c r="BP986" s="1278" t="n"/>
      <c r="BQ986" s="1278" t="n"/>
      <c r="BR986" s="1278" t="n"/>
      <c r="BS986" s="1278" t="n"/>
      <c r="BT986" s="1278" t="n"/>
      <c r="BU986" s="1278" t="n"/>
      <c r="BV986" s="1278" t="n"/>
      <c r="BW986" s="1278" t="n"/>
      <c r="BX986" s="1278" t="n"/>
      <c r="BY986" s="1278" t="n"/>
      <c r="BZ986" s="1278" t="n"/>
      <c r="CA986" s="1278" t="n"/>
      <c r="CB986" s="1278" t="n"/>
      <c r="CC986" s="1380" t="n"/>
    </row>
    <row r="987" ht="14.4" customHeight="1" s="876">
      <c r="A987" s="1825" t="inlineStr">
        <is>
          <t>Valuation Toggle Table</t>
        </is>
      </c>
      <c r="B987" s="378" t="n"/>
      <c r="C987" s="309" t="n"/>
      <c r="D987" s="309" t="n"/>
      <c r="E987" s="309" t="n"/>
      <c r="F987" s="309" t="n"/>
      <c r="G987" s="309" t="n"/>
      <c r="H987" s="309" t="n"/>
      <c r="I987" s="309" t="n"/>
      <c r="J987" s="309" t="n"/>
      <c r="K987" s="309" t="n"/>
      <c r="L987" s="309" t="n"/>
      <c r="M987" s="309" t="n"/>
      <c r="N987" s="309" t="n"/>
      <c r="O987" s="309" t="n"/>
      <c r="P987" s="309" t="n"/>
      <c r="Q987" s="309" t="n"/>
      <c r="R987" s="309" t="n"/>
      <c r="S987" s="309" t="n"/>
      <c r="T987" s="309" t="n"/>
      <c r="U987" s="309" t="n"/>
      <c r="V987" s="309" t="n"/>
      <c r="W987" s="309" t="n"/>
      <c r="X987" s="309" t="n"/>
      <c r="Y987" s="309" t="n"/>
      <c r="Z987" s="309" t="n"/>
      <c r="AA987" s="309" t="n"/>
      <c r="AB987" s="309" t="n"/>
      <c r="AC987" s="309" t="n"/>
      <c r="AD987" s="309" t="n"/>
      <c r="AE987" s="309" t="n"/>
      <c r="AF987" s="309" t="n"/>
      <c r="AG987" s="309" t="n"/>
      <c r="AH987" s="309" t="n"/>
      <c r="AI987" s="309" t="n"/>
      <c r="AJ987" s="309" t="n"/>
      <c r="AK987" s="309" t="n"/>
      <c r="AL987" s="309" t="n"/>
      <c r="AM987" s="309" t="n"/>
      <c r="AN987" s="309" t="n"/>
      <c r="AO987" s="309" t="n"/>
      <c r="AP987" s="309" t="n"/>
      <c r="AQ987" s="309" t="n"/>
      <c r="AR987" s="309" t="n"/>
      <c r="AS987" s="309" t="n"/>
      <c r="AT987" s="309" t="n"/>
      <c r="AU987" s="309" t="n"/>
      <c r="AV987" s="309" t="n"/>
      <c r="AW987" s="309" t="n"/>
      <c r="AX987" s="309" t="n"/>
      <c r="AY987" s="309" t="n"/>
      <c r="AZ987" s="309" t="n"/>
      <c r="BA987" s="309" t="n"/>
      <c r="BB987" s="309" t="n"/>
      <c r="BC987" s="309" t="n"/>
      <c r="BD987" s="309" t="n"/>
      <c r="BE987" s="309" t="n"/>
      <c r="BF987" s="309" t="n"/>
      <c r="BG987" s="309" t="n"/>
      <c r="BH987" s="309" t="n"/>
      <c r="BI987" s="309" t="n"/>
      <c r="BJ987" s="309" t="n"/>
      <c r="BK987" s="309" t="n"/>
      <c r="BL987" s="309" t="n"/>
      <c r="BM987" s="309" t="n"/>
      <c r="BN987" s="309" t="n"/>
      <c r="BO987" s="381" t="n"/>
      <c r="BP987" s="309" t="n"/>
      <c r="BQ987" s="309" t="n"/>
      <c r="BR987" s="309" t="n"/>
      <c r="BS987" s="309" t="n"/>
      <c r="BT987" s="309" t="n"/>
      <c r="BU987" s="309" t="n"/>
      <c r="BV987" s="309" t="n"/>
      <c r="BW987" s="309" t="n"/>
      <c r="BX987" s="309" t="n"/>
      <c r="BY987" s="309" t="n"/>
      <c r="BZ987" s="309" t="n"/>
      <c r="CA987" s="309" t="n"/>
      <c r="CB987" s="309" t="n"/>
      <c r="CC987" s="158" t="n"/>
    </row>
    <row r="988" ht="14.4" customFormat="1" customHeight="1" s="1373">
      <c r="A988" s="1826" t="inlineStr">
        <is>
          <t>High</t>
        </is>
      </c>
      <c r="B988" s="1827" t="n">
        <v>1</v>
      </c>
      <c r="C988" s="1278" t="n"/>
      <c r="D988" s="1817" t="n"/>
      <c r="E988" s="1278" t="n"/>
      <c r="F988" s="1278" t="n"/>
      <c r="G988" s="1278" t="n"/>
      <c r="H988" s="1278" t="n"/>
      <c r="I988" s="1278" t="n"/>
      <c r="J988" s="1278" t="n"/>
      <c r="K988" s="1278" t="n"/>
      <c r="L988" s="1278" t="n"/>
      <c r="M988" s="1278" t="n"/>
      <c r="N988" s="1278" t="n"/>
      <c r="O988" s="1278" t="n"/>
      <c r="P988" s="1278" t="n"/>
      <c r="Q988" s="1278" t="n"/>
      <c r="R988" s="1278" t="n"/>
      <c r="S988" s="1278" t="n"/>
      <c r="T988" s="1278" t="n"/>
      <c r="U988" s="1278" t="n"/>
      <c r="V988" s="1278" t="n"/>
      <c r="W988" s="1278" t="n"/>
      <c r="X988" s="1278" t="n"/>
      <c r="Y988" s="1278" t="n"/>
      <c r="Z988" s="1278" t="n"/>
      <c r="AA988" s="1278" t="n"/>
      <c r="AB988" s="1278" t="n"/>
      <c r="AC988" s="1278" t="n"/>
      <c r="AD988" s="1278" t="n"/>
      <c r="AE988" s="1278" t="n"/>
      <c r="AF988" s="1278" t="n"/>
      <c r="AG988" s="1278" t="n"/>
      <c r="AH988" s="1278" t="n"/>
      <c r="AI988" s="1278" t="n"/>
      <c r="AJ988" s="1278" t="n"/>
      <c r="AK988" s="1278" t="n"/>
      <c r="AL988" s="1278" t="n"/>
      <c r="AM988" s="1278" t="n"/>
      <c r="AN988" s="1278" t="n"/>
      <c r="AO988" s="1278" t="n"/>
      <c r="AP988" s="1278" t="n"/>
      <c r="AQ988" s="1278" t="n"/>
      <c r="AR988" s="1278" t="n"/>
      <c r="AS988" s="1278" t="n"/>
      <c r="AT988" s="1278" t="n"/>
      <c r="AU988" s="1278" t="n"/>
      <c r="AV988" s="1278" t="n"/>
      <c r="AW988" s="1278" t="n"/>
      <c r="AX988" s="1278" t="n"/>
      <c r="AY988" s="1278" t="n"/>
      <c r="AZ988" s="1278" t="n"/>
      <c r="BA988" s="1278" t="n"/>
      <c r="BB988" s="1278" t="n"/>
      <c r="BC988" s="1278" t="n"/>
      <c r="BD988" s="1278" t="n"/>
      <c r="BE988" s="1278" t="n"/>
      <c r="BF988" s="1278" t="n"/>
      <c r="BG988" s="1278" t="n"/>
      <c r="BH988" s="1278" t="n"/>
      <c r="BI988" s="1278" t="n"/>
      <c r="BJ988" s="1278" t="n"/>
      <c r="BK988" s="1278" t="n"/>
      <c r="BL988" s="1278" t="n"/>
      <c r="BM988" s="1278" t="n"/>
      <c r="BN988" s="1278" t="n"/>
      <c r="BO988" s="1279" t="n"/>
      <c r="BP988" s="1278" t="n"/>
      <c r="BQ988" s="1278" t="n"/>
      <c r="BR988" s="1278" t="n"/>
      <c r="BS988" s="1278" t="n"/>
      <c r="BT988" s="1278" t="n"/>
      <c r="BU988" s="1278" t="n"/>
      <c r="BV988" s="1278" t="n"/>
      <c r="BW988" s="1278" t="n"/>
      <c r="BX988" s="1278" t="n"/>
      <c r="BY988" s="1278" t="n"/>
      <c r="BZ988" s="1278" t="n"/>
      <c r="CA988" s="1278" t="n"/>
      <c r="CB988" s="1278" t="n"/>
      <c r="CC988" s="1380" t="n"/>
    </row>
    <row r="989" ht="14.4" customFormat="1" customHeight="1" s="1373">
      <c r="A989" s="1826" t="inlineStr">
        <is>
          <t>Low</t>
        </is>
      </c>
      <c r="B989" s="1827" t="n">
        <v>2</v>
      </c>
      <c r="C989" s="1278" t="n"/>
      <c r="D989" s="1817" t="n"/>
      <c r="E989" s="1278" t="n"/>
      <c r="F989" s="1278" t="n"/>
      <c r="G989" s="1278" t="n"/>
      <c r="H989" s="1278" t="n"/>
      <c r="I989" s="1278" t="n"/>
      <c r="J989" s="1278" t="n"/>
      <c r="K989" s="1278" t="n"/>
      <c r="L989" s="1278" t="n"/>
      <c r="M989" s="1278" t="n"/>
      <c r="N989" s="1278" t="n"/>
      <c r="O989" s="1278" t="n"/>
      <c r="P989" s="1278" t="n"/>
      <c r="Q989" s="1278" t="n"/>
      <c r="R989" s="1278" t="n"/>
      <c r="S989" s="1278" t="n"/>
      <c r="T989" s="1278" t="n"/>
      <c r="U989" s="1278" t="n"/>
      <c r="V989" s="1278" t="n"/>
      <c r="W989" s="1278" t="n"/>
      <c r="X989" s="1278" t="n"/>
      <c r="Y989" s="1278" t="n"/>
      <c r="Z989" s="1278" t="n"/>
      <c r="AA989" s="1278" t="n"/>
      <c r="AB989" s="1278" t="n"/>
      <c r="AC989" s="1278" t="n"/>
      <c r="AD989" s="1278" t="n"/>
      <c r="AE989" s="1278" t="n"/>
      <c r="AF989" s="1278" t="n"/>
      <c r="AG989" s="1278" t="n"/>
      <c r="AH989" s="1278" t="n"/>
      <c r="AI989" s="1278" t="n"/>
      <c r="AJ989" s="1278" t="n"/>
      <c r="AK989" s="1278" t="n"/>
      <c r="AL989" s="1278" t="n"/>
      <c r="AM989" s="1278" t="n"/>
      <c r="AN989" s="1278" t="n"/>
      <c r="AO989" s="1278" t="n"/>
      <c r="AP989" s="1278" t="n"/>
      <c r="AQ989" s="1278" t="n"/>
      <c r="AR989" s="1278" t="n"/>
      <c r="AS989" s="1278" t="n"/>
      <c r="AT989" s="1278" t="n"/>
      <c r="AU989" s="1278" t="n"/>
      <c r="AV989" s="1278" t="n"/>
      <c r="AW989" s="1278" t="n"/>
      <c r="AX989" s="1278" t="n"/>
      <c r="AY989" s="1278" t="n"/>
      <c r="AZ989" s="1278" t="n"/>
      <c r="BA989" s="1278" t="n"/>
      <c r="BB989" s="1278" t="n"/>
      <c r="BC989" s="1278" t="n"/>
      <c r="BD989" s="1278" t="n"/>
      <c r="BE989" s="1278" t="n"/>
      <c r="BF989" s="1278" t="n"/>
      <c r="BG989" s="1278" t="n"/>
      <c r="BH989" s="1278" t="n"/>
      <c r="BI989" s="1278" t="n"/>
      <c r="BJ989" s="1278" t="n"/>
      <c r="BK989" s="1278" t="n"/>
      <c r="BL989" s="1278" t="n"/>
      <c r="BM989" s="1278" t="n"/>
      <c r="BN989" s="1278" t="n"/>
      <c r="BO989" s="1279" t="n"/>
      <c r="BP989" s="1278" t="n"/>
      <c r="BQ989" s="1278" t="n"/>
      <c r="BR989" s="1278" t="n"/>
      <c r="BS989" s="1278" t="n"/>
      <c r="BT989" s="1278" t="n"/>
      <c r="BU989" s="1278" t="n"/>
      <c r="BV989" s="1278" t="n"/>
      <c r="BW989" s="1278" t="n"/>
      <c r="BX989" s="1278" t="n"/>
      <c r="BY989" s="1278" t="n"/>
      <c r="BZ989" s="1278" t="n"/>
      <c r="CA989" s="1278" t="n"/>
      <c r="CB989" s="1278" t="n"/>
      <c r="CC989" s="1380" t="n"/>
    </row>
    <row r="990" ht="14.4" customFormat="1" customHeight="1" s="1373">
      <c r="A990" s="1826" t="inlineStr">
        <is>
          <t>Avg</t>
        </is>
      </c>
      <c r="B990" s="1827" t="n">
        <v>3</v>
      </c>
      <c r="C990" s="1278" t="n"/>
      <c r="D990" s="1817" t="n"/>
      <c r="E990" s="1278" t="n"/>
      <c r="F990" s="1278" t="n"/>
      <c r="G990" s="1278" t="n"/>
      <c r="H990" s="1278" t="n"/>
      <c r="I990" s="1278" t="n"/>
      <c r="J990" s="1278" t="n"/>
      <c r="K990" s="1278" t="n"/>
      <c r="L990" s="1278" t="n"/>
      <c r="M990" s="1278" t="n"/>
      <c r="N990" s="1278" t="n"/>
      <c r="O990" s="1278" t="n"/>
      <c r="P990" s="1278" t="n"/>
      <c r="Q990" s="1278" t="n"/>
      <c r="R990" s="1278" t="n"/>
      <c r="S990" s="1278" t="n"/>
      <c r="T990" s="1278" t="n"/>
      <c r="U990" s="1278" t="n"/>
      <c r="V990" s="1278" t="n"/>
      <c r="W990" s="1278" t="n"/>
      <c r="X990" s="1278" t="n"/>
      <c r="Y990" s="1278" t="n"/>
      <c r="Z990" s="1278" t="n"/>
      <c r="AA990" s="1278" t="n"/>
      <c r="AB990" s="1278" t="n"/>
      <c r="AC990" s="1278" t="n"/>
      <c r="AD990" s="1278" t="n"/>
      <c r="AE990" s="1278" t="n"/>
      <c r="AF990" s="1278" t="n"/>
      <c r="AG990" s="1278" t="n"/>
      <c r="AH990" s="1278" t="n"/>
      <c r="AI990" s="1278" t="n"/>
      <c r="AJ990" s="1278" t="n"/>
      <c r="AK990" s="1278" t="n"/>
      <c r="AL990" s="1278" t="n"/>
      <c r="AM990" s="1278" t="n"/>
      <c r="AN990" s="1278" t="n"/>
      <c r="AO990" s="1278" t="n"/>
      <c r="AP990" s="1278" t="n"/>
      <c r="AQ990" s="1278" t="n"/>
      <c r="AR990" s="1278" t="n"/>
      <c r="AS990" s="1278" t="n"/>
      <c r="AT990" s="1278" t="n"/>
      <c r="AU990" s="1278" t="n"/>
      <c r="AV990" s="1278" t="n"/>
      <c r="AW990" s="1278" t="n"/>
      <c r="AX990" s="1278" t="n"/>
      <c r="AY990" s="1278" t="n"/>
      <c r="AZ990" s="1278" t="n"/>
      <c r="BA990" s="1278" t="n"/>
      <c r="BB990" s="1278" t="n"/>
      <c r="BC990" s="1278" t="n"/>
      <c r="BD990" s="1278" t="n"/>
      <c r="BE990" s="1278" t="n"/>
      <c r="BF990" s="1278" t="n"/>
      <c r="BG990" s="1278" t="n"/>
      <c r="BH990" s="1278" t="n"/>
      <c r="BI990" s="1278" t="n"/>
      <c r="BJ990" s="1278" t="n"/>
      <c r="BK990" s="1278" t="n"/>
      <c r="BL990" s="1278" t="n"/>
      <c r="BM990" s="1278" t="n"/>
      <c r="BN990" s="1278" t="n"/>
      <c r="BO990" s="1279" t="n"/>
      <c r="BP990" s="1278" t="n"/>
      <c r="BQ990" s="1278" t="n"/>
      <c r="BR990" s="1278" t="n"/>
      <c r="BS990" s="1278" t="n"/>
      <c r="BT990" s="1278" t="n"/>
      <c r="BU990" s="1278" t="n"/>
      <c r="BV990" s="1278" t="n"/>
      <c r="BW990" s="1278" t="n"/>
      <c r="BX990" s="1278" t="n"/>
      <c r="BY990" s="1278" t="n"/>
      <c r="BZ990" s="1278" t="n"/>
      <c r="CA990" s="1278" t="n"/>
      <c r="CB990" s="1278" t="n"/>
      <c r="CC990" s="1380" t="n"/>
    </row>
    <row r="991" ht="14.4" customFormat="1" customHeight="1" s="1373">
      <c r="A991" s="1828" t="inlineStr">
        <is>
          <t>EoP</t>
        </is>
      </c>
      <c r="B991" s="1829" t="n">
        <v>4</v>
      </c>
      <c r="C991" s="1278" t="n"/>
      <c r="D991" s="1817" t="n"/>
      <c r="E991" s="1278" t="n"/>
      <c r="F991" s="1278" t="n"/>
      <c r="G991" s="1278" t="n"/>
      <c r="H991" s="1278" t="n"/>
      <c r="I991" s="1278" t="n"/>
      <c r="J991" s="1278" t="n"/>
      <c r="K991" s="1278" t="n"/>
      <c r="L991" s="1278" t="n"/>
      <c r="M991" s="1278" t="n"/>
      <c r="N991" s="1278" t="n"/>
      <c r="O991" s="1278" t="n"/>
      <c r="P991" s="1278" t="n"/>
      <c r="Q991" s="1278" t="n"/>
      <c r="R991" s="1278" t="n"/>
      <c r="S991" s="1278" t="n"/>
      <c r="T991" s="1278" t="n"/>
      <c r="U991" s="1278" t="n"/>
      <c r="V991" s="1278" t="n"/>
      <c r="W991" s="1278" t="n"/>
      <c r="X991" s="1278" t="n"/>
      <c r="Y991" s="1278" t="n"/>
      <c r="Z991" s="1278" t="n"/>
      <c r="AA991" s="1278" t="n"/>
      <c r="AB991" s="1278" t="n"/>
      <c r="AC991" s="1278" t="n"/>
      <c r="AD991" s="1278" t="n"/>
      <c r="AE991" s="1278" t="n"/>
      <c r="AF991" s="1278" t="n"/>
      <c r="AG991" s="1278" t="n"/>
      <c r="AH991" s="1278" t="n"/>
      <c r="AI991" s="1278" t="n"/>
      <c r="AJ991" s="1278" t="n"/>
      <c r="AK991" s="1278" t="n"/>
      <c r="AL991" s="1278" t="n"/>
      <c r="AM991" s="1278" t="n"/>
      <c r="AN991" s="1278" t="n"/>
      <c r="AO991" s="1278" t="n"/>
      <c r="AP991" s="1278" t="n"/>
      <c r="AQ991" s="1278" t="n"/>
      <c r="AR991" s="1278" t="n"/>
      <c r="AS991" s="1278" t="n"/>
      <c r="AT991" s="1278" t="n"/>
      <c r="AU991" s="1278" t="n"/>
      <c r="AV991" s="1278" t="n"/>
      <c r="AW991" s="1278" t="n"/>
      <c r="AX991" s="1278" t="n"/>
      <c r="AY991" s="1278" t="n"/>
      <c r="AZ991" s="1278" t="n"/>
      <c r="BA991" s="1278" t="n"/>
      <c r="BB991" s="1278" t="n"/>
      <c r="BC991" s="1278" t="n"/>
      <c r="BD991" s="1278" t="n"/>
      <c r="BE991" s="1278" t="n"/>
      <c r="BF991" s="1278" t="n"/>
      <c r="BG991" s="1278" t="n"/>
      <c r="BH991" s="1278" t="n"/>
      <c r="BI991" s="1278" t="n"/>
      <c r="BJ991" s="1278" t="n"/>
      <c r="BK991" s="1278" t="n"/>
      <c r="BL991" s="1278" t="n"/>
      <c r="BM991" s="1278" t="n"/>
      <c r="BN991" s="1278" t="n"/>
      <c r="BO991" s="1279" t="n"/>
      <c r="BP991" s="1278" t="n"/>
      <c r="BQ991" s="1278" t="n"/>
      <c r="BR991" s="1278" t="n"/>
      <c r="BS991" s="1278" t="n"/>
      <c r="BT991" s="1278" t="n"/>
      <c r="BU991" s="1278" t="n"/>
      <c r="BV991" s="1278" t="n"/>
      <c r="BW991" s="1278" t="n"/>
      <c r="BX991" s="1278" t="n"/>
      <c r="BY991" s="1278" t="n"/>
      <c r="BZ991" s="1278" t="n"/>
      <c r="CA991" s="1278" t="n"/>
      <c r="CB991" s="1278" t="n"/>
      <c r="CC991" s="1380" t="n"/>
    </row>
    <row r="992" ht="14.4" customFormat="1" customHeight="1" s="1373">
      <c r="A992" s="1830" t="n"/>
      <c r="B992" s="1831" t="n"/>
      <c r="C992" s="1817" t="n"/>
      <c r="D992" s="1817" t="n"/>
      <c r="E992" s="1278" t="n"/>
      <c r="F992" s="1278" t="n"/>
      <c r="G992" s="1278" t="n"/>
      <c r="H992" s="1278" t="n"/>
      <c r="I992" s="1278" t="n"/>
      <c r="J992" s="1278" t="n"/>
      <c r="K992" s="1278" t="n"/>
      <c r="L992" s="1278" t="n"/>
      <c r="M992" s="1278" t="n"/>
      <c r="N992" s="1278" t="n"/>
      <c r="O992" s="1278" t="n"/>
      <c r="P992" s="1278" t="n"/>
      <c r="Q992" s="1278" t="n"/>
      <c r="R992" s="1278" t="n"/>
      <c r="S992" s="1278" t="n"/>
      <c r="T992" s="1278" t="n"/>
      <c r="U992" s="1278" t="n"/>
      <c r="V992" s="1278" t="n"/>
      <c r="W992" s="1278" t="n"/>
      <c r="X992" s="1278" t="n"/>
      <c r="Y992" s="1278" t="n"/>
      <c r="Z992" s="1278" t="n"/>
      <c r="AA992" s="1278" t="n"/>
      <c r="AB992" s="1278" t="n"/>
      <c r="AC992" s="1278" t="n"/>
      <c r="AD992" s="1278" t="n"/>
      <c r="AE992" s="1278" t="n"/>
      <c r="AF992" s="1278" t="n"/>
      <c r="AG992" s="1278" t="n"/>
      <c r="AH992" s="1278" t="n"/>
      <c r="AI992" s="1278" t="n"/>
      <c r="AJ992" s="1278" t="n"/>
      <c r="AK992" s="1278" t="n"/>
      <c r="AL992" s="1278" t="n"/>
      <c r="AM992" s="1278" t="n"/>
      <c r="AN992" s="1278" t="n"/>
      <c r="AO992" s="1278" t="n"/>
      <c r="AP992" s="1278" t="n"/>
      <c r="AQ992" s="1278" t="n"/>
      <c r="AR992" s="1278" t="n"/>
      <c r="AS992" s="1278" t="n"/>
      <c r="AT992" s="1278" t="n"/>
      <c r="AU992" s="1278" t="n"/>
      <c r="AV992" s="1278" t="n"/>
      <c r="AW992" s="1278" t="n"/>
      <c r="AX992" s="1278" t="n"/>
      <c r="AY992" s="1278" t="n"/>
      <c r="AZ992" s="1278" t="n"/>
      <c r="BA992" s="1278" t="n"/>
      <c r="BB992" s="1278" t="n"/>
      <c r="BC992" s="1278" t="n"/>
      <c r="BD992" s="1278" t="n"/>
      <c r="BE992" s="1278" t="n"/>
      <c r="BF992" s="1278" t="n"/>
      <c r="BG992" s="1278" t="n"/>
      <c r="BH992" s="1278" t="n"/>
      <c r="BI992" s="1278" t="n"/>
      <c r="BJ992" s="1278" t="n"/>
      <c r="BK992" s="1278" t="n"/>
      <c r="BL992" s="1278" t="n"/>
      <c r="BM992" s="1278" t="n"/>
      <c r="BN992" s="1278" t="n"/>
      <c r="BO992" s="1279" t="n"/>
      <c r="BP992" s="1278" t="n"/>
      <c r="BQ992" s="1278" t="n"/>
      <c r="BR992" s="1278" t="n"/>
      <c r="BS992" s="1278" t="n"/>
      <c r="BT992" s="1278" t="n"/>
      <c r="BU992" s="1278" t="n"/>
      <c r="BV992" s="1278" t="n"/>
      <c r="BW992" s="1278" t="n"/>
      <c r="BX992" s="1278" t="n"/>
      <c r="BY992" s="1278" t="n"/>
      <c r="BZ992" s="1278" t="n"/>
      <c r="CA992" s="1278" t="n"/>
      <c r="CB992" s="1278" t="n"/>
      <c r="CC992" s="1380" t="n"/>
    </row>
    <row r="993" ht="14.4" customFormat="1" customHeight="1" s="1373">
      <c r="A993" s="1832" t="inlineStr">
        <is>
          <t>Key Outputs</t>
        </is>
      </c>
      <c r="B993" s="1278" t="n"/>
      <c r="C993" s="1817" t="n"/>
      <c r="D993" s="1817" t="n"/>
      <c r="E993" s="1278" t="n"/>
      <c r="F993" s="1278" t="n"/>
      <c r="G993" s="1278" t="n"/>
      <c r="H993" s="1278" t="n"/>
      <c r="I993" s="1278" t="n"/>
      <c r="J993" s="1278" t="n"/>
      <c r="K993" s="1278" t="n"/>
      <c r="L993" s="1278" t="n"/>
      <c r="M993" s="1278" t="n"/>
      <c r="N993" s="1278" t="n"/>
      <c r="O993" s="1278" t="n"/>
      <c r="P993" s="1278" t="n"/>
      <c r="Q993" s="1278" t="n"/>
      <c r="R993" s="1278" t="n"/>
      <c r="S993" s="1278" t="n"/>
      <c r="T993" s="1278" t="n"/>
      <c r="U993" s="1278" t="n"/>
      <c r="V993" s="1278" t="n"/>
      <c r="W993" s="1278" t="n"/>
      <c r="X993" s="1278" t="n"/>
      <c r="Y993" s="1278" t="n"/>
      <c r="Z993" s="1278" t="n"/>
      <c r="AA993" s="1278" t="n"/>
      <c r="AB993" s="1278" t="n"/>
      <c r="AC993" s="1278" t="n"/>
      <c r="AD993" s="1278" t="n"/>
      <c r="AE993" s="1278" t="n"/>
      <c r="AF993" s="1278" t="n"/>
      <c r="AG993" s="1278" t="n"/>
      <c r="AH993" s="1278" t="n"/>
      <c r="AI993" s="1278" t="n"/>
      <c r="AJ993" s="1278" t="n"/>
      <c r="AK993" s="1278" t="n"/>
      <c r="AL993" s="1278" t="n"/>
      <c r="AM993" s="1278" t="n"/>
      <c r="AN993" s="1278" t="n"/>
      <c r="AO993" s="1278" t="n"/>
      <c r="AP993" s="1278" t="n"/>
      <c r="AQ993" s="1278" t="n"/>
      <c r="AR993" s="1278" t="n"/>
      <c r="AS993" s="1278" t="n"/>
      <c r="AT993" s="1278" t="n"/>
      <c r="AU993" s="1278" t="n"/>
      <c r="AV993" s="1278" t="n"/>
      <c r="AW993" s="1278" t="n"/>
      <c r="AX993" s="1278" t="n"/>
      <c r="AY993" s="1278" t="n"/>
      <c r="AZ993" s="1278" t="n"/>
      <c r="BA993" s="1278" t="n"/>
      <c r="BB993" s="1278" t="n"/>
      <c r="BC993" s="1278" t="n"/>
      <c r="BD993" s="1278" t="n"/>
      <c r="BE993" s="1278" t="n"/>
      <c r="BF993" s="1278" t="n"/>
      <c r="BG993" s="1278" t="n"/>
      <c r="BH993" s="1278" t="n"/>
      <c r="BI993" s="1278" t="n"/>
      <c r="BJ993" s="1278" t="n"/>
      <c r="BK993" s="1278" t="n"/>
      <c r="BL993" s="1278" t="n"/>
      <c r="BM993" s="1278" t="n"/>
      <c r="BN993" s="1278" t="n"/>
      <c r="BO993" s="1279" t="n"/>
      <c r="BP993" s="1278" t="n"/>
      <c r="BQ993" s="1278" t="n"/>
      <c r="BR993" s="1278" t="n"/>
      <c r="BS993" s="1278" t="n"/>
      <c r="BT993" s="1278" t="n"/>
      <c r="BU993" s="1278" t="n"/>
      <c r="BV993" s="1278" t="n"/>
      <c r="BW993" s="1278" t="n"/>
      <c r="BX993" s="1278" t="n"/>
      <c r="BY993" s="1278" t="n"/>
      <c r="BZ993" s="1278" t="n"/>
      <c r="CA993" s="1278" t="n"/>
      <c r="CB993" s="1278" t="n"/>
      <c r="CC993" s="1380" t="n"/>
    </row>
    <row r="994" ht="14.4" customFormat="1" customHeight="1" s="1373">
      <c r="A994" s="1833">
        <f>MO_RIS_REV</f>
        <v/>
      </c>
      <c r="B994" s="1278" t="n"/>
      <c r="C994" s="1817" t="n"/>
      <c r="D994" s="1817" t="n"/>
      <c r="E994" s="1278" t="n"/>
      <c r="F994" s="1278" t="n"/>
      <c r="G994" s="1278" t="n"/>
      <c r="H994" s="1278" t="n"/>
      <c r="I994" s="1278" t="n"/>
      <c r="J994" s="1278" t="n"/>
      <c r="K994" s="1278" t="n"/>
      <c r="L994" s="1278" t="n"/>
      <c r="M994" s="1278" t="n"/>
      <c r="N994" s="1278" t="n"/>
      <c r="O994" s="1278" t="n"/>
      <c r="P994" s="1278" t="n"/>
      <c r="Q994" s="1278" t="n"/>
      <c r="R994" s="1278" t="n"/>
      <c r="S994" s="1278" t="n"/>
      <c r="T994" s="1278" t="n"/>
      <c r="U994" s="1278" t="n"/>
      <c r="V994" s="1278" t="n"/>
      <c r="W994" s="1278" t="n"/>
      <c r="X994" s="1278" t="n"/>
      <c r="Y994" s="1278" t="n"/>
      <c r="Z994" s="1278" t="n"/>
      <c r="AA994" s="1278" t="n"/>
      <c r="AB994" s="1278" t="n"/>
      <c r="AC994" s="1278" t="n"/>
      <c r="AD994" s="1278" t="n"/>
      <c r="AE994" s="1278" t="n"/>
      <c r="AF994" s="1278" t="n"/>
      <c r="AG994" s="1278" t="n"/>
      <c r="AH994" s="1278" t="n"/>
      <c r="AI994" s="1278" t="n"/>
      <c r="AJ994" s="1278" t="n"/>
      <c r="AK994" s="1278" t="n"/>
      <c r="AL994" s="1278" t="n"/>
      <c r="AM994" s="1278" t="n"/>
      <c r="AN994" s="1278" t="n"/>
      <c r="AO994" s="1278" t="n"/>
      <c r="AP994" s="1278" t="n"/>
      <c r="AQ994" s="1278" t="n"/>
      <c r="AR994" s="1278" t="n"/>
      <c r="AS994" s="1278" t="n"/>
      <c r="AT994" s="1278" t="n"/>
      <c r="AU994" s="1278" t="n"/>
      <c r="AV994" s="1278" t="n"/>
      <c r="AW994" s="1278" t="n"/>
      <c r="AX994" s="1278" t="n"/>
      <c r="AY994" s="1278" t="n"/>
      <c r="AZ994" s="1278" t="n"/>
      <c r="BA994" s="1278" t="n"/>
      <c r="BB994" s="1278" t="n"/>
      <c r="BC994" s="1278" t="n"/>
      <c r="BD994" s="1278" t="n"/>
      <c r="BE994" s="1278" t="n"/>
      <c r="BF994" s="1278" t="n"/>
      <c r="BG994" s="1278" t="n"/>
      <c r="BH994" s="1278" t="n"/>
      <c r="BI994" s="1278" t="n"/>
      <c r="BJ994" s="1278" t="n"/>
      <c r="BK994" s="1278" t="n"/>
      <c r="BL994" s="1278" t="n"/>
      <c r="BM994" s="1278" t="n"/>
      <c r="BN994" s="1278" t="n"/>
      <c r="BO994" s="1279" t="n"/>
      <c r="BP994" s="1278" t="n"/>
      <c r="BQ994" s="1278" t="n"/>
      <c r="BR994" s="1278" t="n"/>
      <c r="BS994" s="1278" t="n"/>
      <c r="BT994" s="1278" t="n"/>
      <c r="BU994" s="1278" t="n"/>
      <c r="BV994" s="1278" t="n"/>
      <c r="BW994" s="1278" t="n"/>
      <c r="BX994" s="1278" t="n"/>
      <c r="BY994" s="1278" t="n"/>
      <c r="BZ994" s="1278" t="n"/>
      <c r="CA994" s="1278" t="n"/>
      <c r="CB994" s="1278" t="n"/>
      <c r="CC994" s="1380" t="n"/>
    </row>
    <row r="995" ht="14.4" customFormat="1" customHeight="1" s="1373">
      <c r="A995" s="1833">
        <f>MO_RIS_EBITDA_Adj</f>
        <v/>
      </c>
      <c r="B995" s="1278" t="n"/>
      <c r="C995" s="1817" t="n"/>
      <c r="D995" s="1817" t="n"/>
      <c r="E995" s="1278" t="n"/>
      <c r="F995" s="1278" t="n"/>
      <c r="G995" s="1278" t="n"/>
      <c r="H995" s="1278" t="n"/>
      <c r="I995" s="1278" t="n"/>
      <c r="J995" s="1278" t="n"/>
      <c r="K995" s="1278" t="n"/>
      <c r="L995" s="1278" t="n"/>
      <c r="M995" s="1278" t="n"/>
      <c r="N995" s="1278" t="n"/>
      <c r="O995" s="1278" t="n"/>
      <c r="P995" s="1278" t="n"/>
      <c r="Q995" s="1278" t="n"/>
      <c r="R995" s="1278" t="n"/>
      <c r="S995" s="1278" t="n"/>
      <c r="T995" s="1278" t="n"/>
      <c r="U995" s="1278" t="n"/>
      <c r="V995" s="1278" t="n"/>
      <c r="W995" s="1278" t="n"/>
      <c r="X995" s="1278" t="n"/>
      <c r="Y995" s="1278" t="n"/>
      <c r="Z995" s="1278" t="n"/>
      <c r="AA995" s="1278" t="n"/>
      <c r="AB995" s="1278" t="n"/>
      <c r="AC995" s="1278" t="n"/>
      <c r="AD995" s="1278" t="n"/>
      <c r="AE995" s="1278" t="n"/>
      <c r="AF995" s="1278" t="n"/>
      <c r="AG995" s="1278" t="n"/>
      <c r="AH995" s="1278" t="n"/>
      <c r="AI995" s="1278" t="n"/>
      <c r="AJ995" s="1278" t="n"/>
      <c r="AK995" s="1278" t="n"/>
      <c r="AL995" s="1278" t="n"/>
      <c r="AM995" s="1278" t="n"/>
      <c r="AN995" s="1278" t="n"/>
      <c r="AO995" s="1278" t="n"/>
      <c r="AP995" s="1278" t="n"/>
      <c r="AQ995" s="1278" t="n"/>
      <c r="AR995" s="1278" t="n"/>
      <c r="AS995" s="1278" t="n"/>
      <c r="AT995" s="1278" t="n"/>
      <c r="AU995" s="1278" t="n"/>
      <c r="AV995" s="1278" t="n"/>
      <c r="AW995" s="1278" t="n"/>
      <c r="AX995" s="1278" t="n"/>
      <c r="AY995" s="1278" t="n"/>
      <c r="AZ995" s="1278" t="n"/>
      <c r="BA995" s="1278" t="n"/>
      <c r="BB995" s="1278" t="n"/>
      <c r="BC995" s="1278" t="n"/>
      <c r="BD995" s="1278" t="n"/>
      <c r="BE995" s="1278" t="n"/>
      <c r="BF995" s="1278" t="n"/>
      <c r="BG995" s="1278" t="n"/>
      <c r="BH995" s="1278" t="n"/>
      <c r="BI995" s="1278" t="n"/>
      <c r="BJ995" s="1278" t="n"/>
      <c r="BK995" s="1278" t="n"/>
      <c r="BL995" s="1278" t="n"/>
      <c r="BM995" s="1278" t="n"/>
      <c r="BN995" s="1278" t="n"/>
      <c r="BO995" s="1279" t="n"/>
      <c r="BP995" s="1278" t="n"/>
      <c r="BQ995" s="1278" t="n"/>
      <c r="BR995" s="1278" t="n"/>
      <c r="BS995" s="1278" t="n"/>
      <c r="BT995" s="1278" t="n"/>
      <c r="BU995" s="1278" t="n"/>
      <c r="BV995" s="1278" t="n"/>
      <c r="BW995" s="1278" t="n"/>
      <c r="BX995" s="1278" t="n"/>
      <c r="BY995" s="1278" t="n"/>
      <c r="BZ995" s="1278" t="n"/>
      <c r="CA995" s="1278" t="n"/>
      <c r="CB995" s="1278" t="n"/>
      <c r="CC995" s="1380" t="n"/>
    </row>
    <row r="996" ht="14.4" customFormat="1" customHeight="1" s="1373">
      <c r="A996" s="1833">
        <f>MO_RIS_EBIT_Adj</f>
        <v/>
      </c>
      <c r="B996" s="1278" t="n"/>
      <c r="C996" s="1817" t="n"/>
      <c r="D996" s="1817" t="n"/>
      <c r="E996" s="1278" t="n"/>
      <c r="F996" s="1278" t="n"/>
      <c r="G996" s="1278" t="n"/>
      <c r="H996" s="1278" t="n"/>
      <c r="I996" s="1278" t="n"/>
      <c r="J996" s="1278" t="n"/>
      <c r="K996" s="1278" t="n"/>
      <c r="L996" s="1278" t="n"/>
      <c r="M996" s="1278" t="n"/>
      <c r="N996" s="1278" t="n"/>
      <c r="O996" s="1278" t="n"/>
      <c r="P996" s="1278" t="n"/>
      <c r="Q996" s="1278" t="n"/>
      <c r="R996" s="1278" t="n"/>
      <c r="S996" s="1278" t="n"/>
      <c r="T996" s="1278" t="n"/>
      <c r="U996" s="1278" t="n"/>
      <c r="V996" s="1278" t="n"/>
      <c r="W996" s="1278" t="n"/>
      <c r="X996" s="1278" t="n"/>
      <c r="Y996" s="1278" t="n"/>
      <c r="Z996" s="1278" t="n"/>
      <c r="AA996" s="1278" t="n"/>
      <c r="AB996" s="1278" t="n"/>
      <c r="AC996" s="1278" t="n"/>
      <c r="AD996" s="1278" t="n"/>
      <c r="AE996" s="1278" t="n"/>
      <c r="AF996" s="1278" t="n"/>
      <c r="AG996" s="1278" t="n"/>
      <c r="AH996" s="1278" t="n"/>
      <c r="AI996" s="1278" t="n"/>
      <c r="AJ996" s="1278" t="n"/>
      <c r="AK996" s="1278" t="n"/>
      <c r="AL996" s="1278" t="n"/>
      <c r="AM996" s="1278" t="n"/>
      <c r="AN996" s="1278" t="n"/>
      <c r="AO996" s="1278" t="n"/>
      <c r="AP996" s="1278" t="n"/>
      <c r="AQ996" s="1278" t="n"/>
      <c r="AR996" s="1278" t="n"/>
      <c r="AS996" s="1278" t="n"/>
      <c r="AT996" s="1278" t="n"/>
      <c r="AU996" s="1278" t="n"/>
      <c r="AV996" s="1278" t="n"/>
      <c r="AW996" s="1278" t="n"/>
      <c r="AX996" s="1278" t="n"/>
      <c r="AY996" s="1278" t="n"/>
      <c r="AZ996" s="1278" t="n"/>
      <c r="BA996" s="1278" t="n"/>
      <c r="BB996" s="1278" t="n"/>
      <c r="BC996" s="1278" t="n"/>
      <c r="BD996" s="1278" t="n"/>
      <c r="BE996" s="1278" t="n"/>
      <c r="BF996" s="1278" t="n"/>
      <c r="BG996" s="1278" t="n"/>
      <c r="BH996" s="1278" t="n"/>
      <c r="BI996" s="1278" t="n"/>
      <c r="BJ996" s="1278" t="n"/>
      <c r="BK996" s="1278" t="n"/>
      <c r="BL996" s="1278" t="n"/>
      <c r="BM996" s="1278" t="n"/>
      <c r="BN996" s="1278" t="n"/>
      <c r="BO996" s="1279" t="n"/>
      <c r="BP996" s="1278" t="n"/>
      <c r="BQ996" s="1278" t="n"/>
      <c r="BR996" s="1278" t="n"/>
      <c r="BS996" s="1278" t="n"/>
      <c r="BT996" s="1278" t="n"/>
      <c r="BU996" s="1278" t="n"/>
      <c r="BV996" s="1278" t="n"/>
      <c r="BW996" s="1278" t="n"/>
      <c r="BX996" s="1278" t="n"/>
      <c r="BY996" s="1278" t="n"/>
      <c r="BZ996" s="1278" t="n"/>
      <c r="CA996" s="1278" t="n"/>
      <c r="CB996" s="1278" t="n"/>
      <c r="CC996" s="1380" t="n"/>
    </row>
    <row r="997" ht="14.4" customFormat="1" customHeight="1" s="1373">
      <c r="A997" s="1833">
        <f>MO_RIS_EPS_WAD_Adj</f>
        <v/>
      </c>
      <c r="B997" s="1278" t="n"/>
      <c r="C997" s="1817" t="n"/>
      <c r="D997" s="1817" t="n"/>
      <c r="E997" s="1278" t="n"/>
      <c r="F997" s="1278" t="n"/>
      <c r="G997" s="1278" t="n"/>
      <c r="H997" s="1278" t="n"/>
      <c r="I997" s="1278" t="n"/>
      <c r="J997" s="1278" t="n"/>
      <c r="K997" s="1278" t="n"/>
      <c r="L997" s="1278" t="n"/>
      <c r="M997" s="1278" t="n"/>
      <c r="N997" s="1278" t="n"/>
      <c r="O997" s="1278" t="n"/>
      <c r="P997" s="1278" t="n"/>
      <c r="Q997" s="1278" t="n"/>
      <c r="R997" s="1278" t="n"/>
      <c r="S997" s="1278" t="n"/>
      <c r="T997" s="1278" t="n"/>
      <c r="U997" s="1278" t="n"/>
      <c r="V997" s="1278" t="n"/>
      <c r="W997" s="1278" t="n"/>
      <c r="X997" s="1278" t="n"/>
      <c r="Y997" s="1278" t="n"/>
      <c r="Z997" s="1278" t="n"/>
      <c r="AA997" s="1278" t="n"/>
      <c r="AB997" s="1278" t="n"/>
      <c r="AC997" s="1278" t="n"/>
      <c r="AD997" s="1278" t="n"/>
      <c r="AE997" s="1278" t="n"/>
      <c r="AF997" s="1278" t="n"/>
      <c r="AG997" s="1278" t="n"/>
      <c r="AH997" s="1278" t="n"/>
      <c r="AI997" s="1278" t="n"/>
      <c r="AJ997" s="1278" t="n"/>
      <c r="AK997" s="1278" t="n"/>
      <c r="AL997" s="1278" t="n"/>
      <c r="AM997" s="1278" t="n"/>
      <c r="AN997" s="1278" t="n"/>
      <c r="AO997" s="1278" t="n"/>
      <c r="AP997" s="1278" t="n"/>
      <c r="AQ997" s="1278" t="n"/>
      <c r="AR997" s="1278" t="n"/>
      <c r="AS997" s="1278" t="n"/>
      <c r="AT997" s="1278" t="n"/>
      <c r="AU997" s="1278" t="n"/>
      <c r="AV997" s="1278" t="n"/>
      <c r="AW997" s="1278" t="n"/>
      <c r="AX997" s="1278" t="n"/>
      <c r="AY997" s="1278" t="n"/>
      <c r="AZ997" s="1278" t="n"/>
      <c r="BA997" s="1278" t="n"/>
      <c r="BB997" s="1278" t="n"/>
      <c r="BC997" s="1278" t="n"/>
      <c r="BD997" s="1278" t="n"/>
      <c r="BE997" s="1278" t="n"/>
      <c r="BF997" s="1278" t="n"/>
      <c r="BG997" s="1278" t="n"/>
      <c r="BH997" s="1278" t="n"/>
      <c r="BI997" s="1278" t="n"/>
      <c r="BJ997" s="1278" t="n"/>
      <c r="BK997" s="1278" t="n"/>
      <c r="BL997" s="1278" t="n"/>
      <c r="BM997" s="1278" t="n"/>
      <c r="BN997" s="1278" t="n"/>
      <c r="BO997" s="1279" t="n"/>
      <c r="BP997" s="1278" t="n"/>
      <c r="BQ997" s="1278" t="n"/>
      <c r="BR997" s="1278" t="n"/>
      <c r="BS997" s="1278" t="n"/>
      <c r="BT997" s="1278" t="n"/>
      <c r="BU997" s="1278" t="n"/>
      <c r="BV997" s="1278" t="n"/>
      <c r="BW997" s="1278" t="n"/>
      <c r="BX997" s="1278" t="n"/>
      <c r="BY997" s="1278" t="n"/>
      <c r="BZ997" s="1278" t="n"/>
      <c r="CA997" s="1278" t="n"/>
      <c r="CB997" s="1278" t="n"/>
      <c r="CC997" s="1380" t="n"/>
    </row>
    <row r="998" ht="14.4" customFormat="1" customHeight="1" s="1373">
      <c r="A998" s="1833">
        <f>MO_VA_EV_ToEBITDA</f>
        <v/>
      </c>
      <c r="B998" s="1278" t="n"/>
      <c r="C998" s="1817" t="n"/>
      <c r="D998" s="1817" t="n"/>
      <c r="E998" s="1278" t="n"/>
      <c r="F998" s="1278" t="n"/>
      <c r="G998" s="1278" t="n"/>
      <c r="H998" s="1278" t="n"/>
      <c r="I998" s="1278" t="n"/>
      <c r="J998" s="1278" t="n"/>
      <c r="K998" s="1278" t="n"/>
      <c r="L998" s="1278" t="n"/>
      <c r="M998" s="1278" t="n"/>
      <c r="N998" s="1278" t="n"/>
      <c r="O998" s="1278" t="n"/>
      <c r="P998" s="1278" t="n"/>
      <c r="Q998" s="1278" t="n"/>
      <c r="R998" s="1278" t="n"/>
      <c r="S998" s="1278" t="n"/>
      <c r="T998" s="1278" t="n"/>
      <c r="U998" s="1278" t="n"/>
      <c r="V998" s="1278" t="n"/>
      <c r="W998" s="1278" t="n"/>
      <c r="X998" s="1278" t="n"/>
      <c r="Y998" s="1278" t="n"/>
      <c r="Z998" s="1278" t="n"/>
      <c r="AA998" s="1278" t="n"/>
      <c r="AB998" s="1278" t="n"/>
      <c r="AC998" s="1278" t="n"/>
      <c r="AD998" s="1278" t="n"/>
      <c r="AE998" s="1278" t="n"/>
      <c r="AF998" s="1278" t="n"/>
      <c r="AG998" s="1278" t="n"/>
      <c r="AH998" s="1278" t="n"/>
      <c r="AI998" s="1278" t="n"/>
      <c r="AJ998" s="1278" t="n"/>
      <c r="AK998" s="1278" t="n"/>
      <c r="AL998" s="1278" t="n"/>
      <c r="AM998" s="1278" t="n"/>
      <c r="AN998" s="1278" t="n"/>
      <c r="AO998" s="1278" t="n"/>
      <c r="AP998" s="1278" t="n"/>
      <c r="AQ998" s="1278" t="n"/>
      <c r="AR998" s="1278" t="n"/>
      <c r="AS998" s="1278" t="n"/>
      <c r="AT998" s="1278" t="n"/>
      <c r="AU998" s="1278" t="n"/>
      <c r="AV998" s="1278" t="n"/>
      <c r="AW998" s="1278" t="n"/>
      <c r="AX998" s="1278" t="n"/>
      <c r="AY998" s="1278" t="n"/>
      <c r="AZ998" s="1278" t="n"/>
      <c r="BA998" s="1278" t="n"/>
      <c r="BB998" s="1278" t="n"/>
      <c r="BC998" s="1278" t="n"/>
      <c r="BD998" s="1278" t="n"/>
      <c r="BE998" s="1278" t="n"/>
      <c r="BF998" s="1278" t="n"/>
      <c r="BG998" s="1278" t="n"/>
      <c r="BH998" s="1278" t="n"/>
      <c r="BI998" s="1278" t="n"/>
      <c r="BJ998" s="1278" t="n"/>
      <c r="BK998" s="1278" t="n"/>
      <c r="BL998" s="1278" t="n"/>
      <c r="BM998" s="1278" t="n"/>
      <c r="BN998" s="1278" t="n"/>
      <c r="BO998" s="1279" t="n"/>
      <c r="BP998" s="1278" t="n"/>
      <c r="BQ998" s="1278" t="n"/>
      <c r="BR998" s="1278" t="n"/>
      <c r="BS998" s="1278" t="n"/>
      <c r="BT998" s="1278" t="n"/>
      <c r="BU998" s="1278" t="n"/>
      <c r="BV998" s="1278" t="n"/>
      <c r="BW998" s="1278" t="n"/>
      <c r="BX998" s="1278" t="n"/>
      <c r="BY998" s="1278" t="n"/>
      <c r="BZ998" s="1278" t="n"/>
      <c r="CA998" s="1278" t="n"/>
      <c r="CB998" s="1278" t="n"/>
      <c r="CC998" s="1380" t="n"/>
    </row>
    <row r="999" ht="14.4" customFormat="1" customHeight="1" s="1373">
      <c r="A999" s="1833">
        <f>MO_VA_P_ToE</f>
        <v/>
      </c>
      <c r="B999" s="1278" t="n"/>
      <c r="C999" s="1817" t="n"/>
      <c r="D999" s="1817" t="n"/>
      <c r="E999" s="1278" t="n"/>
      <c r="F999" s="1278" t="n"/>
      <c r="G999" s="1278" t="n"/>
      <c r="H999" s="1278" t="n"/>
      <c r="I999" s="1278" t="n"/>
      <c r="J999" s="1278" t="n"/>
      <c r="K999" s="1278" t="n"/>
      <c r="L999" s="1278" t="n"/>
      <c r="M999" s="1278" t="n"/>
      <c r="N999" s="1278" t="n"/>
      <c r="O999" s="1278" t="n"/>
      <c r="P999" s="1278" t="n"/>
      <c r="Q999" s="1278" t="n"/>
      <c r="R999" s="1278" t="n"/>
      <c r="S999" s="1278" t="n"/>
      <c r="T999" s="1278" t="n"/>
      <c r="U999" s="1278" t="n"/>
      <c r="V999" s="1278" t="n"/>
      <c r="W999" s="1278" t="n"/>
      <c r="X999" s="1278" t="n"/>
      <c r="Y999" s="1278" t="n"/>
      <c r="Z999" s="1278" t="n"/>
      <c r="AA999" s="1278" t="n"/>
      <c r="AB999" s="1278" t="n"/>
      <c r="AC999" s="1278" t="n"/>
      <c r="AD999" s="1278" t="n"/>
      <c r="AE999" s="1278" t="n"/>
      <c r="AF999" s="1278" t="n"/>
      <c r="AG999" s="1278" t="n"/>
      <c r="AH999" s="1278" t="n"/>
      <c r="AI999" s="1278" t="n"/>
      <c r="AJ999" s="1278" t="n"/>
      <c r="AK999" s="1278" t="n"/>
      <c r="AL999" s="1278" t="n"/>
      <c r="AM999" s="1278" t="n"/>
      <c r="AN999" s="1278" t="n"/>
      <c r="AO999" s="1278" t="n"/>
      <c r="AP999" s="1278" t="n"/>
      <c r="AQ999" s="1278" t="n"/>
      <c r="AR999" s="1278" t="n"/>
      <c r="AS999" s="1278" t="n"/>
      <c r="AT999" s="1278" t="n"/>
      <c r="AU999" s="1278" t="n"/>
      <c r="AV999" s="1278" t="n"/>
      <c r="AW999" s="1278" t="n"/>
      <c r="AX999" s="1278" t="n"/>
      <c r="AY999" s="1278" t="n"/>
      <c r="AZ999" s="1278" t="n"/>
      <c r="BA999" s="1278" t="n"/>
      <c r="BB999" s="1278" t="n"/>
      <c r="BC999" s="1278" t="n"/>
      <c r="BD999" s="1278" t="n"/>
      <c r="BE999" s="1278" t="n"/>
      <c r="BF999" s="1278" t="n"/>
      <c r="BG999" s="1278" t="n"/>
      <c r="BH999" s="1278" t="n"/>
      <c r="BI999" s="1278" t="n"/>
      <c r="BJ999" s="1278" t="n"/>
      <c r="BK999" s="1278" t="n"/>
      <c r="BL999" s="1278" t="n"/>
      <c r="BM999" s="1278" t="n"/>
      <c r="BN999" s="1278" t="n"/>
      <c r="BO999" s="1279" t="n"/>
      <c r="BP999" s="1278" t="n"/>
      <c r="BQ999" s="1278" t="n"/>
      <c r="BR999" s="1278" t="n"/>
      <c r="BS999" s="1278" t="n"/>
      <c r="BT999" s="1278" t="n"/>
      <c r="BU999" s="1278" t="n"/>
      <c r="BV999" s="1278" t="n"/>
      <c r="BW999" s="1278" t="n"/>
      <c r="BX999" s="1278" t="n"/>
      <c r="BY999" s="1278" t="n"/>
      <c r="BZ999" s="1278" t="n"/>
      <c r="CA999" s="1278" t="n"/>
      <c r="CB999" s="1278" t="n"/>
      <c r="CC999" s="1380" t="n"/>
    </row>
    <row r="1000" ht="14.4" customFormat="1" customHeight="1" s="1373">
      <c r="A1000" s="1834" t="n"/>
      <c r="B1000" s="1278" t="n"/>
      <c r="C1000" s="1817" t="n"/>
      <c r="D1000" s="1817" t="n"/>
      <c r="E1000" s="1278" t="n"/>
      <c r="F1000" s="1278" t="n"/>
      <c r="G1000" s="1278" t="n"/>
      <c r="H1000" s="1278" t="n"/>
      <c r="I1000" s="1278" t="n"/>
      <c r="J1000" s="1278" t="n"/>
      <c r="K1000" s="1278" t="n"/>
      <c r="L1000" s="1278" t="n"/>
      <c r="M1000" s="1278" t="n"/>
      <c r="N1000" s="1278" t="n"/>
      <c r="O1000" s="1278" t="n"/>
      <c r="P1000" s="1278" t="n"/>
      <c r="Q1000" s="1278" t="n"/>
      <c r="R1000" s="1278" t="n"/>
      <c r="S1000" s="1278" t="n"/>
      <c r="T1000" s="1278" t="n"/>
      <c r="U1000" s="1278" t="n"/>
      <c r="V1000" s="1278" t="n"/>
      <c r="W1000" s="1278" t="n"/>
      <c r="X1000" s="1278" t="n"/>
      <c r="Y1000" s="1278" t="n"/>
      <c r="Z1000" s="1278" t="n"/>
      <c r="AA1000" s="1278" t="n"/>
      <c r="AB1000" s="1278" t="n"/>
      <c r="AC1000" s="1278" t="n"/>
      <c r="AD1000" s="1278" t="n"/>
      <c r="AE1000" s="1278" t="n"/>
      <c r="AF1000" s="1278" t="n"/>
      <c r="AG1000" s="1278" t="n"/>
      <c r="AH1000" s="1278" t="n"/>
      <c r="AI1000" s="1278" t="n"/>
      <c r="AJ1000" s="1278" t="n"/>
      <c r="AK1000" s="1278" t="n"/>
      <c r="AL1000" s="1278" t="n"/>
      <c r="AM1000" s="1278" t="n"/>
      <c r="AN1000" s="1278" t="n"/>
      <c r="AO1000" s="1278" t="n"/>
      <c r="AP1000" s="1278" t="n"/>
      <c r="AQ1000" s="1278" t="n"/>
      <c r="AR1000" s="1278" t="n"/>
      <c r="AS1000" s="1278" t="n"/>
      <c r="AT1000" s="1278" t="n"/>
      <c r="AU1000" s="1278" t="n"/>
      <c r="AV1000" s="1278" t="n"/>
      <c r="AW1000" s="1278" t="n"/>
      <c r="AX1000" s="1278" t="n"/>
      <c r="AY1000" s="1278" t="n"/>
      <c r="AZ1000" s="1278" t="n"/>
      <c r="BA1000" s="1278" t="n"/>
      <c r="BB1000" s="1278" t="n"/>
      <c r="BC1000" s="1278" t="n"/>
      <c r="BD1000" s="1278" t="n"/>
      <c r="BE1000" s="1278" t="n"/>
      <c r="BF1000" s="1278" t="n"/>
      <c r="BG1000" s="1278" t="n"/>
      <c r="BH1000" s="1278" t="n"/>
      <c r="BI1000" s="1278" t="n"/>
      <c r="BJ1000" s="1278" t="n"/>
      <c r="BK1000" s="1278" t="n"/>
      <c r="BL1000" s="1278" t="n"/>
      <c r="BM1000" s="1278" t="n"/>
      <c r="BN1000" s="1278" t="n"/>
      <c r="BO1000" s="1279" t="n"/>
      <c r="BP1000" s="1278" t="n"/>
      <c r="BQ1000" s="1278" t="n"/>
      <c r="BR1000" s="1278" t="n"/>
      <c r="BS1000" s="1278" t="n"/>
      <c r="BT1000" s="1278" t="n"/>
      <c r="BU1000" s="1278" t="n"/>
      <c r="BV1000" s="1278" t="n"/>
      <c r="BW1000" s="1278" t="n"/>
      <c r="BX1000" s="1278" t="n"/>
      <c r="BY1000" s="1278" t="n"/>
      <c r="BZ1000" s="1278" t="n"/>
      <c r="CA1000" s="1278" t="n"/>
      <c r="CB1000" s="1278" t="n"/>
      <c r="CC1000" s="1380" t="n"/>
    </row>
    <row r="1001" ht="14.4" customFormat="1" customHeight="1" s="1373">
      <c r="A1001" s="1835" t="n"/>
      <c r="B1001" s="1278" t="n"/>
      <c r="C1001" s="1817" t="n"/>
      <c r="D1001" s="1817" t="n"/>
      <c r="E1001" s="1278" t="n"/>
      <c r="F1001" s="1278" t="n"/>
      <c r="G1001" s="1278" t="n"/>
      <c r="H1001" s="1278" t="n"/>
      <c r="I1001" s="1278" t="n"/>
      <c r="J1001" s="1278" t="n"/>
      <c r="K1001" s="1278" t="n"/>
      <c r="L1001" s="1278" t="n"/>
      <c r="M1001" s="1278" t="n"/>
      <c r="N1001" s="1278" t="n"/>
      <c r="O1001" s="1278" t="n"/>
      <c r="P1001" s="1278" t="n"/>
      <c r="Q1001" s="1278" t="n"/>
      <c r="R1001" s="1278" t="n"/>
      <c r="S1001" s="1278" t="n"/>
      <c r="T1001" s="1278" t="n"/>
      <c r="U1001" s="1278" t="n"/>
      <c r="V1001" s="1278" t="n"/>
      <c r="W1001" s="1278" t="n"/>
      <c r="X1001" s="1278" t="n"/>
      <c r="Y1001" s="1278" t="n"/>
      <c r="Z1001" s="1278" t="n"/>
      <c r="AA1001" s="1278" t="n"/>
      <c r="AB1001" s="1278" t="n"/>
      <c r="AC1001" s="1278" t="n"/>
      <c r="AD1001" s="1278" t="n"/>
      <c r="AE1001" s="1278" t="n"/>
      <c r="AF1001" s="1278" t="n"/>
      <c r="AG1001" s="1278" t="n"/>
      <c r="AH1001" s="1278" t="n"/>
      <c r="AI1001" s="1278" t="n"/>
      <c r="AJ1001" s="1278" t="n"/>
      <c r="AK1001" s="1278" t="n"/>
      <c r="AL1001" s="1278" t="n"/>
      <c r="AM1001" s="1278" t="n"/>
      <c r="AN1001" s="1278" t="n"/>
      <c r="AO1001" s="1278" t="n"/>
      <c r="AP1001" s="1278" t="n"/>
      <c r="AQ1001" s="1278" t="n"/>
      <c r="AR1001" s="1278" t="n"/>
      <c r="AS1001" s="1278" t="n"/>
      <c r="AT1001" s="1278" t="n"/>
      <c r="AU1001" s="1278" t="n"/>
      <c r="AV1001" s="1278" t="n"/>
      <c r="AW1001" s="1278" t="n"/>
      <c r="AX1001" s="1278" t="n"/>
      <c r="AY1001" s="1278" t="n"/>
      <c r="AZ1001" s="1278" t="n"/>
      <c r="BA1001" s="1278" t="n"/>
      <c r="BB1001" s="1278" t="n"/>
      <c r="BC1001" s="1278" t="n"/>
      <c r="BD1001" s="1278" t="n"/>
      <c r="BE1001" s="1278" t="n"/>
      <c r="BF1001" s="1278" t="n"/>
      <c r="BG1001" s="1278" t="n"/>
      <c r="BH1001" s="1278" t="n"/>
      <c r="BI1001" s="1278" t="n"/>
      <c r="BJ1001" s="1278" t="n"/>
      <c r="BK1001" s="1278" t="n"/>
      <c r="BL1001" s="1278" t="n"/>
      <c r="BM1001" s="1278" t="n"/>
      <c r="BN1001" s="1278" t="n"/>
      <c r="BO1001" s="1279" t="n"/>
      <c r="BP1001" s="1278" t="n"/>
      <c r="BQ1001" s="1278" t="n"/>
      <c r="BR1001" s="1278" t="n"/>
      <c r="BS1001" s="1278" t="n"/>
      <c r="BT1001" s="1278" t="n"/>
      <c r="BU1001" s="1278" t="n"/>
      <c r="BV1001" s="1278" t="n"/>
      <c r="BW1001" s="1278" t="n"/>
      <c r="BX1001" s="1278" t="n"/>
      <c r="BY1001" s="1278" t="n"/>
      <c r="BZ1001" s="1278" t="n"/>
      <c r="CA1001" s="1278" t="n"/>
      <c r="CB1001" s="1278" t="n"/>
      <c r="CC1001" s="1380" t="n"/>
    </row>
    <row r="1002" ht="14.4" customFormat="1" customHeight="1" s="1373">
      <c r="A1002" s="1836" t="inlineStr">
        <is>
          <t>KPI Data</t>
        </is>
      </c>
      <c r="B1002" s="1278" t="n"/>
      <c r="C1002" s="1817" t="n"/>
      <c r="D1002" s="1817" t="n"/>
      <c r="E1002" s="1278" t="n"/>
      <c r="F1002" s="1278" t="n"/>
      <c r="G1002" s="1278" t="n"/>
      <c r="H1002" s="1278" t="n"/>
      <c r="I1002" s="1278" t="n"/>
      <c r="J1002" s="1278" t="n"/>
      <c r="K1002" s="1278" t="n"/>
      <c r="L1002" s="1278" t="n"/>
      <c r="M1002" s="1278" t="n"/>
      <c r="N1002" s="1278" t="n"/>
      <c r="O1002" s="1278" t="n"/>
      <c r="P1002" s="1278" t="n"/>
      <c r="Q1002" s="1278" t="n"/>
      <c r="R1002" s="1278" t="n"/>
      <c r="S1002" s="1278" t="n"/>
      <c r="T1002" s="1278" t="n"/>
      <c r="U1002" s="1278" t="n"/>
      <c r="V1002" s="1278" t="n"/>
      <c r="W1002" s="1278" t="n"/>
      <c r="X1002" s="1278" t="n"/>
      <c r="Y1002" s="1278" t="n"/>
      <c r="Z1002" s="1278" t="n"/>
      <c r="AA1002" s="1278" t="n"/>
      <c r="AB1002" s="1278" t="n"/>
      <c r="AC1002" s="1278" t="n"/>
      <c r="AD1002" s="1278" t="n"/>
      <c r="AE1002" s="1278" t="n"/>
      <c r="AF1002" s="1278" t="n"/>
      <c r="AG1002" s="1278" t="n"/>
      <c r="AH1002" s="1278" t="n"/>
      <c r="AI1002" s="1278" t="n"/>
      <c r="AJ1002" s="1278" t="n"/>
      <c r="AK1002" s="1278" t="n"/>
      <c r="AL1002" s="1278" t="n"/>
      <c r="AM1002" s="1278" t="n"/>
      <c r="AN1002" s="1278" t="n"/>
      <c r="AO1002" s="1278" t="n"/>
      <c r="AP1002" s="1278" t="n"/>
      <c r="AQ1002" s="1278" t="n"/>
      <c r="AR1002" s="1278" t="n"/>
      <c r="AS1002" s="1278" t="n"/>
      <c r="AT1002" s="1278" t="n"/>
      <c r="AU1002" s="1278" t="n"/>
      <c r="AV1002" s="1278" t="n"/>
      <c r="AW1002" s="1278" t="n"/>
      <c r="AX1002" s="1278" t="n"/>
      <c r="AY1002" s="1278" t="n"/>
      <c r="AZ1002" s="1278" t="n"/>
      <c r="BA1002" s="1278" t="n"/>
      <c r="BB1002" s="1278" t="n"/>
      <c r="BC1002" s="1278" t="n"/>
      <c r="BD1002" s="1278" t="n"/>
      <c r="BE1002" s="1278" t="n"/>
      <c r="BF1002" s="1278" t="n"/>
      <c r="BG1002" s="1278" t="n"/>
      <c r="BH1002" s="1278" t="n"/>
      <c r="BI1002" s="1278" t="n"/>
      <c r="BJ1002" s="1278" t="n"/>
      <c r="BK1002" s="1278" t="n"/>
      <c r="BL1002" s="1278" t="n"/>
      <c r="BM1002" s="1278" t="n"/>
      <c r="BN1002" s="1278" t="n"/>
      <c r="BO1002" s="1279" t="n"/>
      <c r="BP1002" s="1278" t="n"/>
      <c r="BQ1002" s="1278" t="n"/>
      <c r="BR1002" s="1278" t="n"/>
      <c r="BS1002" s="1278" t="n"/>
      <c r="BT1002" s="1278" t="n"/>
      <c r="BU1002" s="1278" t="n"/>
      <c r="BV1002" s="1278" t="n"/>
      <c r="BW1002" s="1278" t="n"/>
      <c r="BX1002" s="1278" t="n"/>
      <c r="BY1002" s="1278" t="n"/>
      <c r="BZ1002" s="1278" t="n"/>
      <c r="CA1002" s="1278" t="n"/>
      <c r="CB1002" s="1278" t="n"/>
      <c r="CC1002" s="1380" t="n"/>
    </row>
    <row r="1003" ht="14.4" customFormat="1" customHeight="1" s="1373">
      <c r="A1003" s="1837" t="inlineStr">
        <is>
          <t>MO_RIS_REV</t>
        </is>
      </c>
      <c r="B1003" s="1278" t="n"/>
      <c r="C1003" s="1817" t="n"/>
      <c r="D1003" s="1817" t="n"/>
      <c r="E1003" s="1278" t="n"/>
      <c r="F1003" s="1278" t="n"/>
      <c r="G1003" s="1278" t="n"/>
      <c r="H1003" s="1278" t="n"/>
      <c r="I1003" s="1278" t="n"/>
      <c r="J1003" s="1278" t="n"/>
      <c r="K1003" s="1278" t="n"/>
      <c r="L1003" s="1278" t="n"/>
      <c r="M1003" s="1278" t="n"/>
      <c r="N1003" s="1278" t="n"/>
      <c r="O1003" s="1278" t="n"/>
      <c r="P1003" s="1278" t="n"/>
      <c r="Q1003" s="1278" t="n"/>
      <c r="R1003" s="1278" t="n"/>
      <c r="S1003" s="1278" t="n"/>
      <c r="T1003" s="1278" t="n"/>
      <c r="U1003" s="1278" t="n"/>
      <c r="V1003" s="1278" t="n"/>
      <c r="W1003" s="1278" t="n"/>
      <c r="X1003" s="1278" t="n"/>
      <c r="Y1003" s="1278" t="n"/>
      <c r="Z1003" s="1278" t="n"/>
      <c r="AA1003" s="1278" t="n"/>
      <c r="AB1003" s="1278" t="n"/>
      <c r="AC1003" s="1278" t="n"/>
      <c r="AD1003" s="1278" t="n"/>
      <c r="AE1003" s="1278" t="n"/>
      <c r="AF1003" s="1278" t="n"/>
      <c r="AG1003" s="1278" t="n"/>
      <c r="AH1003" s="1278" t="n"/>
      <c r="AI1003" s="1278" t="n"/>
      <c r="AJ1003" s="1278" t="n"/>
      <c r="AK1003" s="1278" t="n"/>
      <c r="AL1003" s="1278" t="n"/>
      <c r="AM1003" s="1278" t="n"/>
      <c r="AN1003" s="1278" t="n"/>
      <c r="AO1003" s="1278" t="n"/>
      <c r="AP1003" s="1278" t="n"/>
      <c r="AQ1003" s="1278" t="n"/>
      <c r="AR1003" s="1278" t="n"/>
      <c r="AS1003" s="1278" t="n"/>
      <c r="AT1003" s="1278" t="n"/>
      <c r="AU1003" s="1278" t="n"/>
      <c r="AV1003" s="1278" t="n"/>
      <c r="AW1003" s="1278" t="n"/>
      <c r="AX1003" s="1278" t="n"/>
      <c r="AY1003" s="1278" t="n"/>
      <c r="AZ1003" s="1278" t="n"/>
      <c r="BA1003" s="1278" t="n"/>
      <c r="BB1003" s="1278" t="n"/>
      <c r="BC1003" s="1278" t="n"/>
      <c r="BD1003" s="1278" t="n"/>
      <c r="BE1003" s="1278" t="n"/>
      <c r="BF1003" s="1278" t="n"/>
      <c r="BG1003" s="1278" t="n"/>
      <c r="BH1003" s="1278" t="n"/>
      <c r="BI1003" s="1278" t="n"/>
      <c r="BJ1003" s="1278" t="n"/>
      <c r="BK1003" s="1278" t="n"/>
      <c r="BL1003" s="1278" t="n"/>
      <c r="BM1003" s="1278" t="n"/>
      <c r="BN1003" s="1278" t="n"/>
      <c r="BO1003" s="1279" t="n"/>
      <c r="BP1003" s="1278" t="n"/>
      <c r="BQ1003" s="1278" t="n"/>
      <c r="BR1003" s="1278" t="n"/>
      <c r="BS1003" s="1278" t="n"/>
      <c r="BT1003" s="1278" t="n"/>
      <c r="BU1003" s="1278" t="n"/>
      <c r="BV1003" s="1278" t="n"/>
      <c r="BW1003" s="1278" t="n"/>
      <c r="BX1003" s="1278" t="n"/>
      <c r="BY1003" s="1278" t="n"/>
      <c r="BZ1003" s="1278" t="n"/>
      <c r="CA1003" s="1278" t="n"/>
      <c r="CB1003" s="1278" t="n"/>
      <c r="CC1003" s="1380" t="n"/>
    </row>
    <row r="1004" ht="14.4" customFormat="1" customHeight="1" s="1373">
      <c r="A1004" s="1837" t="inlineStr">
        <is>
          <t>MO_RIS_NI_NONGAAP_Diluted</t>
        </is>
      </c>
      <c r="B1004" s="1278" t="n"/>
      <c r="C1004" s="1817" t="n"/>
      <c r="D1004" s="1817" t="n"/>
      <c r="E1004" s="1278" t="n"/>
      <c r="F1004" s="1278" t="n"/>
      <c r="G1004" s="1278" t="n"/>
      <c r="H1004" s="1278" t="n"/>
      <c r="I1004" s="1278" t="n"/>
      <c r="J1004" s="1278" t="n"/>
      <c r="K1004" s="1278" t="n"/>
      <c r="L1004" s="1278" t="n"/>
      <c r="M1004" s="1278" t="n"/>
      <c r="N1004" s="1278" t="n"/>
      <c r="O1004" s="1278" t="n"/>
      <c r="P1004" s="1278" t="n"/>
      <c r="Q1004" s="1278" t="n"/>
      <c r="R1004" s="1278" t="n"/>
      <c r="S1004" s="1278" t="n"/>
      <c r="T1004" s="1278" t="n"/>
      <c r="U1004" s="1278" t="n"/>
      <c r="V1004" s="1278" t="n"/>
      <c r="W1004" s="1278" t="n"/>
      <c r="X1004" s="1278" t="n"/>
      <c r="Y1004" s="1278" t="n"/>
      <c r="Z1004" s="1278" t="n"/>
      <c r="AA1004" s="1278" t="n"/>
      <c r="AB1004" s="1278" t="n"/>
      <c r="AC1004" s="1278" t="n"/>
      <c r="AD1004" s="1278" t="n"/>
      <c r="AE1004" s="1278" t="n"/>
      <c r="AF1004" s="1278" t="n"/>
      <c r="AG1004" s="1278" t="n"/>
      <c r="AH1004" s="1278" t="n"/>
      <c r="AI1004" s="1278" t="n"/>
      <c r="AJ1004" s="1278" t="n"/>
      <c r="AK1004" s="1278" t="n"/>
      <c r="AL1004" s="1278" t="n"/>
      <c r="AM1004" s="1278" t="n"/>
      <c r="AN1004" s="1278" t="n"/>
      <c r="AO1004" s="1278" t="n"/>
      <c r="AP1004" s="1278" t="n"/>
      <c r="AQ1004" s="1278" t="n"/>
      <c r="AR1004" s="1278" t="n"/>
      <c r="AS1004" s="1278" t="n"/>
      <c r="AT1004" s="1278" t="n"/>
      <c r="AU1004" s="1278" t="n"/>
      <c r="AV1004" s="1278" t="n"/>
      <c r="AW1004" s="1278" t="n"/>
      <c r="AX1004" s="1278" t="n"/>
      <c r="AY1004" s="1278" t="n"/>
      <c r="AZ1004" s="1278" t="n"/>
      <c r="BA1004" s="1278" t="n"/>
      <c r="BB1004" s="1278" t="n"/>
      <c r="BC1004" s="1278" t="n"/>
      <c r="BD1004" s="1278" t="n"/>
      <c r="BE1004" s="1278" t="n"/>
      <c r="BF1004" s="1278" t="n"/>
      <c r="BG1004" s="1278" t="n"/>
      <c r="BH1004" s="1278" t="n"/>
      <c r="BI1004" s="1278" t="n"/>
      <c r="BJ1004" s="1278" t="n"/>
      <c r="BK1004" s="1278" t="n"/>
      <c r="BL1004" s="1278" t="n"/>
      <c r="BM1004" s="1278" t="n"/>
      <c r="BN1004" s="1278" t="n"/>
      <c r="BO1004" s="1279" t="n"/>
      <c r="BP1004" s="1278" t="n"/>
      <c r="BQ1004" s="1278" t="n"/>
      <c r="BR1004" s="1278" t="n"/>
      <c r="BS1004" s="1278" t="n"/>
      <c r="BT1004" s="1278" t="n"/>
      <c r="BU1004" s="1278" t="n"/>
      <c r="BV1004" s="1278" t="n"/>
      <c r="BW1004" s="1278" t="n"/>
      <c r="BX1004" s="1278" t="n"/>
      <c r="BY1004" s="1278" t="n"/>
      <c r="BZ1004" s="1278" t="n"/>
      <c r="CA1004" s="1278" t="n"/>
      <c r="CB1004" s="1278" t="n"/>
      <c r="CC1004" s="1380" t="n"/>
    </row>
    <row r="1005" ht="14.4" customFormat="1" customHeight="1" s="1373">
      <c r="A1005" s="1837" t="inlineStr">
        <is>
          <t>MO_RIS_EPS_WAD_Adj</t>
        </is>
      </c>
      <c r="B1005" s="1278" t="n"/>
      <c r="C1005" s="1817" t="n"/>
      <c r="D1005" s="1817" t="n"/>
      <c r="E1005" s="1278" t="n"/>
      <c r="F1005" s="1278" t="n"/>
      <c r="G1005" s="1278" t="n"/>
      <c r="H1005" s="1278" t="n"/>
      <c r="I1005" s="1278" t="n"/>
      <c r="J1005" s="1278" t="n"/>
      <c r="K1005" s="1278" t="n"/>
      <c r="L1005" s="1278" t="n"/>
      <c r="M1005" s="1278" t="n"/>
      <c r="N1005" s="1278" t="n"/>
      <c r="O1005" s="1278" t="n"/>
      <c r="P1005" s="1278" t="n"/>
      <c r="Q1005" s="1278" t="n"/>
      <c r="R1005" s="1278" t="n"/>
      <c r="S1005" s="1278" t="n"/>
      <c r="T1005" s="1278" t="n"/>
      <c r="U1005" s="1278" t="n"/>
      <c r="V1005" s="1278" t="n"/>
      <c r="W1005" s="1278" t="n"/>
      <c r="X1005" s="1278" t="n"/>
      <c r="Y1005" s="1278" t="n"/>
      <c r="Z1005" s="1278" t="n"/>
      <c r="AA1005" s="1278" t="n"/>
      <c r="AB1005" s="1278" t="n"/>
      <c r="AC1005" s="1278" t="n"/>
      <c r="AD1005" s="1278" t="n"/>
      <c r="AE1005" s="1278" t="n"/>
      <c r="AF1005" s="1278" t="n"/>
      <c r="AG1005" s="1278" t="n"/>
      <c r="AH1005" s="1278" t="n"/>
      <c r="AI1005" s="1278" t="n"/>
      <c r="AJ1005" s="1278" t="n"/>
      <c r="AK1005" s="1278" t="n"/>
      <c r="AL1005" s="1278" t="n"/>
      <c r="AM1005" s="1278" t="n"/>
      <c r="AN1005" s="1278" t="n"/>
      <c r="AO1005" s="1278" t="n"/>
      <c r="AP1005" s="1278" t="n"/>
      <c r="AQ1005" s="1278" t="n"/>
      <c r="AR1005" s="1278" t="n"/>
      <c r="AS1005" s="1278" t="n"/>
      <c r="AT1005" s="1278" t="n"/>
      <c r="AU1005" s="1278" t="n"/>
      <c r="AV1005" s="1278" t="n"/>
      <c r="AW1005" s="1278" t="n"/>
      <c r="AX1005" s="1278" t="n"/>
      <c r="AY1005" s="1278" t="n"/>
      <c r="AZ1005" s="1278" t="n"/>
      <c r="BA1005" s="1278" t="n"/>
      <c r="BB1005" s="1278" t="n"/>
      <c r="BC1005" s="1278" t="n"/>
      <c r="BD1005" s="1278" t="n"/>
      <c r="BE1005" s="1278" t="n"/>
      <c r="BF1005" s="1278" t="n"/>
      <c r="BG1005" s="1278" t="n"/>
      <c r="BH1005" s="1278" t="n"/>
      <c r="BI1005" s="1278" t="n"/>
      <c r="BJ1005" s="1278" t="n"/>
      <c r="BK1005" s="1278" t="n"/>
      <c r="BL1005" s="1278" t="n"/>
      <c r="BM1005" s="1278" t="n"/>
      <c r="BN1005" s="1278" t="n"/>
      <c r="BO1005" s="1279" t="n"/>
      <c r="BP1005" s="1278" t="n"/>
      <c r="BQ1005" s="1278" t="n"/>
      <c r="BR1005" s="1278" t="n"/>
      <c r="BS1005" s="1278" t="n"/>
      <c r="BT1005" s="1278" t="n"/>
      <c r="BU1005" s="1278" t="n"/>
      <c r="BV1005" s="1278" t="n"/>
      <c r="BW1005" s="1278" t="n"/>
      <c r="BX1005" s="1278" t="n"/>
      <c r="BY1005" s="1278" t="n"/>
      <c r="BZ1005" s="1278" t="n"/>
      <c r="CA1005" s="1278" t="n"/>
      <c r="CB1005" s="1278" t="n"/>
      <c r="CC1005" s="1380" t="n"/>
    </row>
    <row r="1006" ht="14.4" customFormat="1" customHeight="1" s="1373">
      <c r="A1006" s="1837" t="inlineStr">
        <is>
          <t>MO_RIS_EBITDA_Adj</t>
        </is>
      </c>
      <c r="B1006" s="1278" t="n"/>
      <c r="C1006" s="1817" t="n"/>
      <c r="D1006" s="1817" t="n"/>
      <c r="E1006" s="1278" t="n"/>
      <c r="F1006" s="1278" t="n"/>
      <c r="G1006" s="1278" t="n"/>
      <c r="H1006" s="1278" t="n"/>
      <c r="I1006" s="1278" t="n"/>
      <c r="J1006" s="1278" t="n"/>
      <c r="K1006" s="1278" t="n"/>
      <c r="L1006" s="1278" t="n"/>
      <c r="M1006" s="1278" t="n"/>
      <c r="N1006" s="1278" t="n"/>
      <c r="O1006" s="1278" t="n"/>
      <c r="P1006" s="1278" t="n"/>
      <c r="Q1006" s="1278" t="n"/>
      <c r="R1006" s="1278" t="n"/>
      <c r="S1006" s="1278" t="n"/>
      <c r="T1006" s="1278" t="n"/>
      <c r="U1006" s="1278" t="n"/>
      <c r="V1006" s="1278" t="n"/>
      <c r="W1006" s="1278" t="n"/>
      <c r="X1006" s="1278" t="n"/>
      <c r="Y1006" s="1278" t="n"/>
      <c r="Z1006" s="1278" t="n"/>
      <c r="AA1006" s="1278" t="n"/>
      <c r="AB1006" s="1278" t="n"/>
      <c r="AC1006" s="1278" t="n"/>
      <c r="AD1006" s="1278" t="n"/>
      <c r="AE1006" s="1278" t="n"/>
      <c r="AF1006" s="1278" t="n"/>
      <c r="AG1006" s="1278" t="n"/>
      <c r="AH1006" s="1278" t="n"/>
      <c r="AI1006" s="1278" t="n"/>
      <c r="AJ1006" s="1278" t="n"/>
      <c r="AK1006" s="1278" t="n"/>
      <c r="AL1006" s="1278" t="n"/>
      <c r="AM1006" s="1278" t="n"/>
      <c r="AN1006" s="1278" t="n"/>
      <c r="AO1006" s="1278" t="n"/>
      <c r="AP1006" s="1278" t="n"/>
      <c r="AQ1006" s="1278" t="n"/>
      <c r="AR1006" s="1278" t="n"/>
      <c r="AS1006" s="1278" t="n"/>
      <c r="AT1006" s="1278" t="n"/>
      <c r="AU1006" s="1278" t="n"/>
      <c r="AV1006" s="1278" t="n"/>
      <c r="AW1006" s="1278" t="n"/>
      <c r="AX1006" s="1278" t="n"/>
      <c r="AY1006" s="1278" t="n"/>
      <c r="AZ1006" s="1278" t="n"/>
      <c r="BA1006" s="1278" t="n"/>
      <c r="BB1006" s="1278" t="n"/>
      <c r="BC1006" s="1278" t="n"/>
      <c r="BD1006" s="1278" t="n"/>
      <c r="BE1006" s="1278" t="n"/>
      <c r="BF1006" s="1278" t="n"/>
      <c r="BG1006" s="1278" t="n"/>
      <c r="BH1006" s="1278" t="n"/>
      <c r="BI1006" s="1278" t="n"/>
      <c r="BJ1006" s="1278" t="n"/>
      <c r="BK1006" s="1278" t="n"/>
      <c r="BL1006" s="1278" t="n"/>
      <c r="BM1006" s="1278" t="n"/>
      <c r="BN1006" s="1278" t="n"/>
      <c r="BO1006" s="1279" t="n"/>
      <c r="BP1006" s="1278" t="n"/>
      <c r="BQ1006" s="1278" t="n"/>
      <c r="BR1006" s="1278" t="n"/>
      <c r="BS1006" s="1278" t="n"/>
      <c r="BT1006" s="1278" t="n"/>
      <c r="BU1006" s="1278" t="n"/>
      <c r="BV1006" s="1278" t="n"/>
      <c r="BW1006" s="1278" t="n"/>
      <c r="BX1006" s="1278" t="n"/>
      <c r="BY1006" s="1278" t="n"/>
      <c r="BZ1006" s="1278" t="n"/>
      <c r="CA1006" s="1278" t="n"/>
      <c r="CB1006" s="1278" t="n"/>
      <c r="CC1006" s="1380" t="n"/>
    </row>
    <row r="1007" ht="14.4" customFormat="1" customHeight="1" s="1373">
      <c r="A1007" s="1837" t="inlineStr">
        <is>
          <t>MO_MA_EBITDA_Adj</t>
        </is>
      </c>
      <c r="B1007" s="1278" t="n"/>
      <c r="C1007" s="1817" t="n"/>
      <c r="D1007" s="1817" t="n"/>
      <c r="E1007" s="1278" t="n"/>
      <c r="F1007" s="1278" t="n"/>
      <c r="G1007" s="1278" t="n"/>
      <c r="H1007" s="1278" t="n"/>
      <c r="I1007" s="1278" t="n"/>
      <c r="J1007" s="1278" t="n"/>
      <c r="K1007" s="1278" t="n"/>
      <c r="L1007" s="1278" t="n"/>
      <c r="M1007" s="1278" t="n"/>
      <c r="N1007" s="1278" t="n"/>
      <c r="O1007" s="1278" t="n"/>
      <c r="P1007" s="1278" t="n"/>
      <c r="Q1007" s="1278" t="n"/>
      <c r="R1007" s="1278" t="n"/>
      <c r="S1007" s="1278" t="n"/>
      <c r="T1007" s="1278" t="n"/>
      <c r="U1007" s="1278" t="n"/>
      <c r="V1007" s="1278" t="n"/>
      <c r="W1007" s="1278" t="n"/>
      <c r="X1007" s="1278" t="n"/>
      <c r="Y1007" s="1278" t="n"/>
      <c r="Z1007" s="1278" t="n"/>
      <c r="AA1007" s="1278" t="n"/>
      <c r="AB1007" s="1278" t="n"/>
      <c r="AC1007" s="1278" t="n"/>
      <c r="AD1007" s="1278" t="n"/>
      <c r="AE1007" s="1278" t="n"/>
      <c r="AF1007" s="1278" t="n"/>
      <c r="AG1007" s="1278" t="n"/>
      <c r="AH1007" s="1278" t="n"/>
      <c r="AI1007" s="1278" t="n"/>
      <c r="AJ1007" s="1278" t="n"/>
      <c r="AK1007" s="1278" t="n"/>
      <c r="AL1007" s="1278" t="n"/>
      <c r="AM1007" s="1278" t="n"/>
      <c r="AN1007" s="1278" t="n"/>
      <c r="AO1007" s="1278" t="n"/>
      <c r="AP1007" s="1278" t="n"/>
      <c r="AQ1007" s="1278" t="n"/>
      <c r="AR1007" s="1278" t="n"/>
      <c r="AS1007" s="1278" t="n"/>
      <c r="AT1007" s="1278" t="n"/>
      <c r="AU1007" s="1278" t="n"/>
      <c r="AV1007" s="1278" t="n"/>
      <c r="AW1007" s="1278" t="n"/>
      <c r="AX1007" s="1278" t="n"/>
      <c r="AY1007" s="1278" t="n"/>
      <c r="AZ1007" s="1278" t="n"/>
      <c r="BA1007" s="1278" t="n"/>
      <c r="BB1007" s="1278" t="n"/>
      <c r="BC1007" s="1278" t="n"/>
      <c r="BD1007" s="1278" t="n"/>
      <c r="BE1007" s="1278" t="n"/>
      <c r="BF1007" s="1278" t="n"/>
      <c r="BG1007" s="1278" t="n"/>
      <c r="BH1007" s="1278" t="n"/>
      <c r="BI1007" s="1278" t="n"/>
      <c r="BJ1007" s="1278" t="n"/>
      <c r="BK1007" s="1278" t="n"/>
      <c r="BL1007" s="1278" t="n"/>
      <c r="BM1007" s="1278" t="n"/>
      <c r="BN1007" s="1278" t="n"/>
      <c r="BO1007" s="1279" t="n"/>
      <c r="BP1007" s="1278" t="n"/>
      <c r="BQ1007" s="1278" t="n"/>
      <c r="BR1007" s="1278" t="n"/>
      <c r="BS1007" s="1278" t="n"/>
      <c r="BT1007" s="1278" t="n"/>
      <c r="BU1007" s="1278" t="n"/>
      <c r="BV1007" s="1278" t="n"/>
      <c r="BW1007" s="1278" t="n"/>
      <c r="BX1007" s="1278" t="n"/>
      <c r="BY1007" s="1278" t="n"/>
      <c r="BZ1007" s="1278" t="n"/>
      <c r="CA1007" s="1278" t="n"/>
      <c r="CB1007" s="1278" t="n"/>
      <c r="CC1007" s="1380" t="n"/>
    </row>
    <row r="1008" ht="14.4" customFormat="1" customHeight="1" s="1373">
      <c r="A1008" s="1837" t="inlineStr">
        <is>
          <t>MO_OS_EmployeeCount</t>
        </is>
      </c>
      <c r="B1008" s="1278" t="n"/>
      <c r="C1008" s="1817" t="n"/>
      <c r="D1008" s="1817" t="n"/>
      <c r="E1008" s="1278" t="n"/>
      <c r="F1008" s="1278" t="n"/>
      <c r="G1008" s="1278" t="n"/>
      <c r="H1008" s="1278" t="n"/>
      <c r="I1008" s="1278" t="n"/>
      <c r="J1008" s="1278" t="n"/>
      <c r="K1008" s="1278" t="n"/>
      <c r="L1008" s="1278" t="n"/>
      <c r="M1008" s="1278" t="n"/>
      <c r="N1008" s="1278" t="n"/>
      <c r="O1008" s="1278" t="n"/>
      <c r="P1008" s="1278" t="n"/>
      <c r="Q1008" s="1278" t="n"/>
      <c r="R1008" s="1278" t="n"/>
      <c r="S1008" s="1278" t="n"/>
      <c r="T1008" s="1278" t="n"/>
      <c r="U1008" s="1278" t="n"/>
      <c r="V1008" s="1278" t="n"/>
      <c r="W1008" s="1278" t="n"/>
      <c r="X1008" s="1278" t="n"/>
      <c r="Y1008" s="1278" t="n"/>
      <c r="Z1008" s="1278" t="n"/>
      <c r="AA1008" s="1278" t="n"/>
      <c r="AB1008" s="1278" t="n"/>
      <c r="AC1008" s="1278" t="n"/>
      <c r="AD1008" s="1278" t="n"/>
      <c r="AE1008" s="1278" t="n"/>
      <c r="AF1008" s="1278" t="n"/>
      <c r="AG1008" s="1278" t="n"/>
      <c r="AH1008" s="1278" t="n"/>
      <c r="AI1008" s="1278" t="n"/>
      <c r="AJ1008" s="1278" t="n"/>
      <c r="AK1008" s="1278" t="n"/>
      <c r="AL1008" s="1278" t="n"/>
      <c r="AM1008" s="1278" t="n"/>
      <c r="AN1008" s="1278" t="n"/>
      <c r="AO1008" s="1278" t="n"/>
      <c r="AP1008" s="1278" t="n"/>
      <c r="AQ1008" s="1278" t="n"/>
      <c r="AR1008" s="1278" t="n"/>
      <c r="AS1008" s="1278" t="n"/>
      <c r="AT1008" s="1278" t="n"/>
      <c r="AU1008" s="1278" t="n"/>
      <c r="AV1008" s="1278" t="n"/>
      <c r="AW1008" s="1278" t="n"/>
      <c r="AX1008" s="1278" t="n"/>
      <c r="AY1008" s="1278" t="n"/>
      <c r="AZ1008" s="1278" t="n"/>
      <c r="BA1008" s="1278" t="n"/>
      <c r="BB1008" s="1278" t="n"/>
      <c r="BC1008" s="1278" t="n"/>
      <c r="BD1008" s="1278" t="n"/>
      <c r="BE1008" s="1278" t="n"/>
      <c r="BF1008" s="1278" t="n"/>
      <c r="BG1008" s="1278" t="n"/>
      <c r="BH1008" s="1278" t="n"/>
      <c r="BI1008" s="1278" t="n"/>
      <c r="BJ1008" s="1278" t="n"/>
      <c r="BK1008" s="1278" t="n"/>
      <c r="BL1008" s="1278" t="n"/>
      <c r="BM1008" s="1278" t="n"/>
      <c r="BN1008" s="1278" t="n"/>
      <c r="BO1008" s="1279" t="n"/>
      <c r="BP1008" s="1278" t="n"/>
      <c r="BQ1008" s="1278" t="n"/>
      <c r="BR1008" s="1278" t="n"/>
      <c r="BS1008" s="1278" t="n"/>
      <c r="BT1008" s="1278" t="n"/>
      <c r="BU1008" s="1278" t="n"/>
      <c r="BV1008" s="1278" t="n"/>
      <c r="BW1008" s="1278" t="n"/>
      <c r="BX1008" s="1278" t="n"/>
      <c r="BY1008" s="1278" t="n"/>
      <c r="BZ1008" s="1278" t="n"/>
      <c r="CA1008" s="1278" t="n"/>
      <c r="CB1008" s="1278" t="n"/>
      <c r="CC1008" s="1380" t="n"/>
    </row>
    <row r="1009" ht="14.4" customFormat="1" customHeight="1" s="1373">
      <c r="A1009" s="1837" t="inlineStr">
        <is>
          <t>MO_KPI_REV_SEMI</t>
        </is>
      </c>
      <c r="B1009" s="1278" t="n"/>
      <c r="C1009" s="1817" t="n"/>
      <c r="D1009" s="1817" t="n"/>
      <c r="E1009" s="1278" t="n"/>
      <c r="F1009" s="1278" t="n"/>
      <c r="G1009" s="1278" t="n"/>
      <c r="H1009" s="1278" t="n"/>
      <c r="I1009" s="1278" t="n"/>
      <c r="J1009" s="1278" t="n"/>
      <c r="K1009" s="1278" t="n"/>
      <c r="L1009" s="1278" t="n"/>
      <c r="M1009" s="1278" t="n"/>
      <c r="N1009" s="1278" t="n"/>
      <c r="O1009" s="1278" t="n"/>
      <c r="P1009" s="1278" t="n"/>
      <c r="Q1009" s="1278" t="n"/>
      <c r="R1009" s="1278" t="n"/>
      <c r="S1009" s="1278" t="n"/>
      <c r="T1009" s="1278" t="n"/>
      <c r="U1009" s="1278" t="n"/>
      <c r="V1009" s="1278" t="n"/>
      <c r="W1009" s="1278" t="n"/>
      <c r="X1009" s="1278" t="n"/>
      <c r="Y1009" s="1278" t="n"/>
      <c r="Z1009" s="1278" t="n"/>
      <c r="AA1009" s="1278" t="n"/>
      <c r="AB1009" s="1278" t="n"/>
      <c r="AC1009" s="1278" t="n"/>
      <c r="AD1009" s="1278" t="n"/>
      <c r="AE1009" s="1278" t="n"/>
      <c r="AF1009" s="1278" t="n"/>
      <c r="AG1009" s="1278" t="n"/>
      <c r="AH1009" s="1278" t="n"/>
      <c r="AI1009" s="1278" t="n"/>
      <c r="AJ1009" s="1278" t="n"/>
      <c r="AK1009" s="1278" t="n"/>
      <c r="AL1009" s="1278" t="n"/>
      <c r="AM1009" s="1278" t="n"/>
      <c r="AN1009" s="1278" t="n"/>
      <c r="AO1009" s="1278" t="n"/>
      <c r="AP1009" s="1278" t="n"/>
      <c r="AQ1009" s="1278" t="n"/>
      <c r="AR1009" s="1278" t="n"/>
      <c r="AS1009" s="1278" t="n"/>
      <c r="AT1009" s="1278" t="n"/>
      <c r="AU1009" s="1278" t="n"/>
      <c r="AV1009" s="1278" t="n"/>
      <c r="AW1009" s="1278" t="n"/>
      <c r="AX1009" s="1278" t="n"/>
      <c r="AY1009" s="1278" t="n"/>
      <c r="AZ1009" s="1278" t="n"/>
      <c r="BA1009" s="1278" t="n"/>
      <c r="BB1009" s="1278" t="n"/>
      <c r="BC1009" s="1278" t="n"/>
      <c r="BD1009" s="1278" t="n"/>
      <c r="BE1009" s="1278" t="n"/>
      <c r="BF1009" s="1278" t="n"/>
      <c r="BG1009" s="1278" t="n"/>
      <c r="BH1009" s="1278" t="n"/>
      <c r="BI1009" s="1278" t="n"/>
      <c r="BJ1009" s="1278" t="n"/>
      <c r="BK1009" s="1278" t="n"/>
      <c r="BL1009" s="1278" t="n"/>
      <c r="BM1009" s="1278" t="n"/>
      <c r="BN1009" s="1278" t="n"/>
      <c r="BO1009" s="1279" t="n"/>
      <c r="BP1009" s="1278" t="n"/>
      <c r="BQ1009" s="1278" t="n"/>
      <c r="BR1009" s="1278" t="n"/>
      <c r="BS1009" s="1278" t="n"/>
      <c r="BT1009" s="1278" t="n"/>
      <c r="BU1009" s="1278" t="n"/>
      <c r="BV1009" s="1278" t="n"/>
      <c r="BW1009" s="1278" t="n"/>
      <c r="BX1009" s="1278" t="n"/>
      <c r="BY1009" s="1278" t="n"/>
      <c r="BZ1009" s="1278" t="n"/>
      <c r="CA1009" s="1278" t="n"/>
      <c r="CB1009" s="1278" t="n"/>
      <c r="CC1009" s="1380" t="n"/>
    </row>
    <row r="1010" ht="14.4" customFormat="1" customHeight="1" s="1373">
      <c r="A1010" s="1837" t="inlineStr">
        <is>
          <t>MO_KPI_REV_SEMI_Growth</t>
        </is>
      </c>
      <c r="B1010" s="1278" t="n"/>
      <c r="C1010" s="1817" t="n"/>
      <c r="D1010" s="1817" t="n"/>
      <c r="E1010" s="1278" t="n"/>
      <c r="F1010" s="1278" t="n"/>
      <c r="G1010" s="1278" t="n"/>
      <c r="H1010" s="1278" t="n"/>
      <c r="I1010" s="1278" t="n"/>
      <c r="J1010" s="1278" t="n"/>
      <c r="K1010" s="1278" t="n"/>
      <c r="L1010" s="1278" t="n"/>
      <c r="M1010" s="1278" t="n"/>
      <c r="N1010" s="1278" t="n"/>
      <c r="O1010" s="1278" t="n"/>
      <c r="P1010" s="1278" t="n"/>
      <c r="Q1010" s="1278" t="n"/>
      <c r="R1010" s="1278" t="n"/>
      <c r="S1010" s="1278" t="n"/>
      <c r="T1010" s="1278" t="n"/>
      <c r="U1010" s="1278" t="n"/>
      <c r="V1010" s="1278" t="n"/>
      <c r="W1010" s="1278" t="n"/>
      <c r="X1010" s="1278" t="n"/>
      <c r="Y1010" s="1278" t="n"/>
      <c r="Z1010" s="1278" t="n"/>
      <c r="AA1010" s="1278" t="n"/>
      <c r="AB1010" s="1278" t="n"/>
      <c r="AC1010" s="1278" t="n"/>
      <c r="AD1010" s="1278" t="n"/>
      <c r="AE1010" s="1278" t="n"/>
      <c r="AF1010" s="1278" t="n"/>
      <c r="AG1010" s="1278" t="n"/>
      <c r="AH1010" s="1278" t="n"/>
      <c r="AI1010" s="1278" t="n"/>
      <c r="AJ1010" s="1278" t="n"/>
      <c r="AK1010" s="1278" t="n"/>
      <c r="AL1010" s="1278" t="n"/>
      <c r="AM1010" s="1278" t="n"/>
      <c r="AN1010" s="1278" t="n"/>
      <c r="AO1010" s="1278" t="n"/>
      <c r="AP1010" s="1278" t="n"/>
      <c r="AQ1010" s="1278" t="n"/>
      <c r="AR1010" s="1278" t="n"/>
      <c r="AS1010" s="1278" t="n"/>
      <c r="AT1010" s="1278" t="n"/>
      <c r="AU1010" s="1278" t="n"/>
      <c r="AV1010" s="1278" t="n"/>
      <c r="AW1010" s="1278" t="n"/>
      <c r="AX1010" s="1278" t="n"/>
      <c r="AY1010" s="1278" t="n"/>
      <c r="AZ1010" s="1278" t="n"/>
      <c r="BA1010" s="1278" t="n"/>
      <c r="BB1010" s="1278" t="n"/>
      <c r="BC1010" s="1278" t="n"/>
      <c r="BD1010" s="1278" t="n"/>
      <c r="BE1010" s="1278" t="n"/>
      <c r="BF1010" s="1278" t="n"/>
      <c r="BG1010" s="1278" t="n"/>
      <c r="BH1010" s="1278" t="n"/>
      <c r="BI1010" s="1278" t="n"/>
      <c r="BJ1010" s="1278" t="n"/>
      <c r="BK1010" s="1278" t="n"/>
      <c r="BL1010" s="1278" t="n"/>
      <c r="BM1010" s="1278" t="n"/>
      <c r="BN1010" s="1278" t="n"/>
      <c r="BO1010" s="1279" t="n"/>
      <c r="BP1010" s="1278" t="n"/>
      <c r="BQ1010" s="1278" t="n"/>
      <c r="BR1010" s="1278" t="n"/>
      <c r="BS1010" s="1278" t="n"/>
      <c r="BT1010" s="1278" t="n"/>
      <c r="BU1010" s="1278" t="n"/>
      <c r="BV1010" s="1278" t="n"/>
      <c r="BW1010" s="1278" t="n"/>
      <c r="BX1010" s="1278" t="n"/>
      <c r="BY1010" s="1278" t="n"/>
      <c r="BZ1010" s="1278" t="n"/>
      <c r="CA1010" s="1278" t="n"/>
      <c r="CB1010" s="1278" t="n"/>
      <c r="CC1010" s="1380" t="n"/>
    </row>
    <row r="1011" ht="14.4" customFormat="1" customHeight="1" s="1373">
      <c r="A1011" s="1837" t="inlineStr">
        <is>
          <t>MO_KPI_REV_SEMI_IoT</t>
        </is>
      </c>
      <c r="B1011" s="1278" t="n"/>
      <c r="C1011" s="1817" t="n"/>
      <c r="D1011" s="1817" t="n"/>
      <c r="E1011" s="1278" t="n"/>
      <c r="F1011" s="1278" t="n"/>
      <c r="G1011" s="1278" t="n"/>
      <c r="H1011" s="1278" t="n"/>
      <c r="I1011" s="1278" t="n"/>
      <c r="J1011" s="1278" t="n"/>
      <c r="K1011" s="1278" t="n"/>
      <c r="L1011" s="1278" t="n"/>
      <c r="M1011" s="1278" t="n"/>
      <c r="N1011" s="1278" t="n"/>
      <c r="O1011" s="1278" t="n"/>
      <c r="P1011" s="1278" t="n"/>
      <c r="Q1011" s="1278" t="n"/>
      <c r="R1011" s="1278" t="n"/>
      <c r="S1011" s="1278" t="n"/>
      <c r="T1011" s="1278" t="n"/>
      <c r="U1011" s="1278" t="n"/>
      <c r="V1011" s="1278" t="n"/>
      <c r="W1011" s="1278" t="n"/>
      <c r="X1011" s="1278" t="n"/>
      <c r="Y1011" s="1278" t="n"/>
      <c r="Z1011" s="1278" t="n"/>
      <c r="AA1011" s="1278" t="n"/>
      <c r="AB1011" s="1278" t="n"/>
      <c r="AC1011" s="1278" t="n"/>
      <c r="AD1011" s="1278" t="n"/>
      <c r="AE1011" s="1278" t="n"/>
      <c r="AF1011" s="1278" t="n"/>
      <c r="AG1011" s="1278" t="n"/>
      <c r="AH1011" s="1278" t="n"/>
      <c r="AI1011" s="1278" t="n"/>
      <c r="AJ1011" s="1278" t="n"/>
      <c r="AK1011" s="1278" t="n"/>
      <c r="AL1011" s="1278" t="n"/>
      <c r="AM1011" s="1278" t="n"/>
      <c r="AN1011" s="1278" t="n"/>
      <c r="AO1011" s="1278" t="n"/>
      <c r="AP1011" s="1278" t="n"/>
      <c r="AQ1011" s="1278" t="n"/>
      <c r="AR1011" s="1278" t="n"/>
      <c r="AS1011" s="1278" t="n"/>
      <c r="AT1011" s="1278" t="n"/>
      <c r="AU1011" s="1278" t="n"/>
      <c r="AV1011" s="1278" t="n"/>
      <c r="AW1011" s="1278" t="n"/>
      <c r="AX1011" s="1278" t="n"/>
      <c r="AY1011" s="1278" t="n"/>
      <c r="AZ1011" s="1278" t="n"/>
      <c r="BA1011" s="1278" t="n"/>
      <c r="BB1011" s="1278" t="n"/>
      <c r="BC1011" s="1278" t="n"/>
      <c r="BD1011" s="1278" t="n"/>
      <c r="BE1011" s="1278" t="n"/>
      <c r="BF1011" s="1278" t="n"/>
      <c r="BG1011" s="1278" t="n"/>
      <c r="BH1011" s="1278" t="n"/>
      <c r="BI1011" s="1278" t="n"/>
      <c r="BJ1011" s="1278" t="n"/>
      <c r="BK1011" s="1278" t="n"/>
      <c r="BL1011" s="1278" t="n"/>
      <c r="BM1011" s="1278" t="n"/>
      <c r="BN1011" s="1278" t="n"/>
      <c r="BO1011" s="1279" t="n"/>
      <c r="BP1011" s="1278" t="n"/>
      <c r="BQ1011" s="1278" t="n"/>
      <c r="BR1011" s="1278" t="n"/>
      <c r="BS1011" s="1278" t="n"/>
      <c r="BT1011" s="1278" t="n"/>
      <c r="BU1011" s="1278" t="n"/>
      <c r="BV1011" s="1278" t="n"/>
      <c r="BW1011" s="1278" t="n"/>
      <c r="BX1011" s="1278" t="n"/>
      <c r="BY1011" s="1278" t="n"/>
      <c r="BZ1011" s="1278" t="n"/>
      <c r="CA1011" s="1278" t="n"/>
      <c r="CB1011" s="1278" t="n"/>
      <c r="CC1011" s="1380" t="n"/>
    </row>
    <row r="1012" ht="14.4" customFormat="1" customHeight="1" s="1373">
      <c r="A1012" s="1837" t="inlineStr">
        <is>
          <t>MO_KPI_REV_SEMI_IoT_Growth</t>
        </is>
      </c>
      <c r="B1012" s="1278" t="n"/>
      <c r="C1012" s="1817" t="n"/>
      <c r="D1012" s="1817" t="n"/>
      <c r="E1012" s="1278" t="n"/>
      <c r="F1012" s="1278" t="n"/>
      <c r="G1012" s="1278" t="n"/>
      <c r="H1012" s="1278" t="n"/>
      <c r="I1012" s="1278" t="n"/>
      <c r="J1012" s="1278" t="n"/>
      <c r="K1012" s="1278" t="n"/>
      <c r="L1012" s="1278" t="n"/>
      <c r="M1012" s="1278" t="n"/>
      <c r="N1012" s="1278" t="n"/>
      <c r="O1012" s="1278" t="n"/>
      <c r="P1012" s="1278" t="n"/>
      <c r="Q1012" s="1278" t="n"/>
      <c r="R1012" s="1278" t="n"/>
      <c r="S1012" s="1278" t="n"/>
      <c r="T1012" s="1278" t="n"/>
      <c r="U1012" s="1278" t="n"/>
      <c r="V1012" s="1278" t="n"/>
      <c r="W1012" s="1278" t="n"/>
      <c r="X1012" s="1278" t="n"/>
      <c r="Y1012" s="1278" t="n"/>
      <c r="Z1012" s="1278" t="n"/>
      <c r="AA1012" s="1278" t="n"/>
      <c r="AB1012" s="1278" t="n"/>
      <c r="AC1012" s="1278" t="n"/>
      <c r="AD1012" s="1278" t="n"/>
      <c r="AE1012" s="1278" t="n"/>
      <c r="AF1012" s="1278" t="n"/>
      <c r="AG1012" s="1278" t="n"/>
      <c r="AH1012" s="1278" t="n"/>
      <c r="AI1012" s="1278" t="n"/>
      <c r="AJ1012" s="1278" t="n"/>
      <c r="AK1012" s="1278" t="n"/>
      <c r="AL1012" s="1278" t="n"/>
      <c r="AM1012" s="1278" t="n"/>
      <c r="AN1012" s="1278" t="n"/>
      <c r="AO1012" s="1278" t="n"/>
      <c r="AP1012" s="1278" t="n"/>
      <c r="AQ1012" s="1278" t="n"/>
      <c r="AR1012" s="1278" t="n"/>
      <c r="AS1012" s="1278" t="n"/>
      <c r="AT1012" s="1278" t="n"/>
      <c r="AU1012" s="1278" t="n"/>
      <c r="AV1012" s="1278" t="n"/>
      <c r="AW1012" s="1278" t="n"/>
      <c r="AX1012" s="1278" t="n"/>
      <c r="AY1012" s="1278" t="n"/>
      <c r="AZ1012" s="1278" t="n"/>
      <c r="BA1012" s="1278" t="n"/>
      <c r="BB1012" s="1278" t="n"/>
      <c r="BC1012" s="1278" t="n"/>
      <c r="BD1012" s="1278" t="n"/>
      <c r="BE1012" s="1278" t="n"/>
      <c r="BF1012" s="1278" t="n"/>
      <c r="BG1012" s="1278" t="n"/>
      <c r="BH1012" s="1278" t="n"/>
      <c r="BI1012" s="1278" t="n"/>
      <c r="BJ1012" s="1278" t="n"/>
      <c r="BK1012" s="1278" t="n"/>
      <c r="BL1012" s="1278" t="n"/>
      <c r="BM1012" s="1278" t="n"/>
      <c r="BN1012" s="1278" t="n"/>
      <c r="BO1012" s="1279" t="n"/>
      <c r="BP1012" s="1278" t="n"/>
      <c r="BQ1012" s="1278" t="n"/>
      <c r="BR1012" s="1278" t="n"/>
      <c r="BS1012" s="1278" t="n"/>
      <c r="BT1012" s="1278" t="n"/>
      <c r="BU1012" s="1278" t="n"/>
      <c r="BV1012" s="1278" t="n"/>
      <c r="BW1012" s="1278" t="n"/>
      <c r="BX1012" s="1278" t="n"/>
      <c r="BY1012" s="1278" t="n"/>
      <c r="BZ1012" s="1278" t="n"/>
      <c r="CA1012" s="1278" t="n"/>
      <c r="CB1012" s="1278" t="n"/>
      <c r="CC1012" s="1380" t="n"/>
    </row>
    <row r="1013" ht="14.4" customFormat="1" customHeight="1" s="1373">
      <c r="A1013" s="1837" t="inlineStr">
        <is>
          <t>MO_KPI_REV_SEMI_Auto</t>
        </is>
      </c>
      <c r="B1013" s="1278" t="n"/>
      <c r="C1013" s="1817" t="n"/>
      <c r="D1013" s="1817" t="n"/>
      <c r="E1013" s="1278" t="n"/>
      <c r="F1013" s="1278" t="n"/>
      <c r="G1013" s="1278" t="n"/>
      <c r="H1013" s="1278" t="n"/>
      <c r="I1013" s="1278" t="n"/>
      <c r="J1013" s="1278" t="n"/>
      <c r="K1013" s="1278" t="n"/>
      <c r="L1013" s="1278" t="n"/>
      <c r="M1013" s="1278" t="n"/>
      <c r="N1013" s="1278" t="n"/>
      <c r="O1013" s="1278" t="n"/>
      <c r="P1013" s="1278" t="n"/>
      <c r="Q1013" s="1278" t="n"/>
      <c r="R1013" s="1278" t="n"/>
      <c r="S1013" s="1278" t="n"/>
      <c r="T1013" s="1278" t="n"/>
      <c r="U1013" s="1278" t="n"/>
      <c r="V1013" s="1278" t="n"/>
      <c r="W1013" s="1278" t="n"/>
      <c r="X1013" s="1278" t="n"/>
      <c r="Y1013" s="1278" t="n"/>
      <c r="Z1013" s="1278" t="n"/>
      <c r="AA1013" s="1278" t="n"/>
      <c r="AB1013" s="1278" t="n"/>
      <c r="AC1013" s="1278" t="n"/>
      <c r="AD1013" s="1278" t="n"/>
      <c r="AE1013" s="1278" t="n"/>
      <c r="AF1013" s="1278" t="n"/>
      <c r="AG1013" s="1278" t="n"/>
      <c r="AH1013" s="1278" t="n"/>
      <c r="AI1013" s="1278" t="n"/>
      <c r="AJ1013" s="1278" t="n"/>
      <c r="AK1013" s="1278" t="n"/>
      <c r="AL1013" s="1278" t="n"/>
      <c r="AM1013" s="1278" t="n"/>
      <c r="AN1013" s="1278" t="n"/>
      <c r="AO1013" s="1278" t="n"/>
      <c r="AP1013" s="1278" t="n"/>
      <c r="AQ1013" s="1278" t="n"/>
      <c r="AR1013" s="1278" t="n"/>
      <c r="AS1013" s="1278" t="n"/>
      <c r="AT1013" s="1278" t="n"/>
      <c r="AU1013" s="1278" t="n"/>
      <c r="AV1013" s="1278" t="n"/>
      <c r="AW1013" s="1278" t="n"/>
      <c r="AX1013" s="1278" t="n"/>
      <c r="AY1013" s="1278" t="n"/>
      <c r="AZ1013" s="1278" t="n"/>
      <c r="BA1013" s="1278" t="n"/>
      <c r="BB1013" s="1278" t="n"/>
      <c r="BC1013" s="1278" t="n"/>
      <c r="BD1013" s="1278" t="n"/>
      <c r="BE1013" s="1278" t="n"/>
      <c r="BF1013" s="1278" t="n"/>
      <c r="BG1013" s="1278" t="n"/>
      <c r="BH1013" s="1278" t="n"/>
      <c r="BI1013" s="1278" t="n"/>
      <c r="BJ1013" s="1278" t="n"/>
      <c r="BK1013" s="1278" t="n"/>
      <c r="BL1013" s="1278" t="n"/>
      <c r="BM1013" s="1278" t="n"/>
      <c r="BN1013" s="1278" t="n"/>
      <c r="BO1013" s="1279" t="n"/>
      <c r="BP1013" s="1278" t="n"/>
      <c r="BQ1013" s="1278" t="n"/>
      <c r="BR1013" s="1278" t="n"/>
      <c r="BS1013" s="1278" t="n"/>
      <c r="BT1013" s="1278" t="n"/>
      <c r="BU1013" s="1278" t="n"/>
      <c r="BV1013" s="1278" t="n"/>
      <c r="BW1013" s="1278" t="n"/>
      <c r="BX1013" s="1278" t="n"/>
      <c r="BY1013" s="1278" t="n"/>
      <c r="BZ1013" s="1278" t="n"/>
      <c r="CA1013" s="1278" t="n"/>
      <c r="CB1013" s="1278" t="n"/>
      <c r="CC1013" s="1380" t="n"/>
    </row>
    <row r="1014" ht="14.4" customFormat="1" customHeight="1" s="1373">
      <c r="A1014" s="1837" t="inlineStr">
        <is>
          <t>MO_KPI_REV_SEMI_Auto_Growth</t>
        </is>
      </c>
      <c r="B1014" s="1278" t="n"/>
      <c r="C1014" s="1817" t="n"/>
      <c r="D1014" s="1817" t="n"/>
      <c r="E1014" s="1278" t="n"/>
      <c r="F1014" s="1278" t="n"/>
      <c r="G1014" s="1278" t="n"/>
      <c r="H1014" s="1278" t="n"/>
      <c r="I1014" s="1278" t="n"/>
      <c r="J1014" s="1278" t="n"/>
      <c r="K1014" s="1278" t="n"/>
      <c r="L1014" s="1278" t="n"/>
      <c r="M1014" s="1278" t="n"/>
      <c r="N1014" s="1278" t="n"/>
      <c r="O1014" s="1278" t="n"/>
      <c r="P1014" s="1278" t="n"/>
      <c r="Q1014" s="1278" t="n"/>
      <c r="R1014" s="1278" t="n"/>
      <c r="S1014" s="1278" t="n"/>
      <c r="T1014" s="1278" t="n"/>
      <c r="U1014" s="1278" t="n"/>
      <c r="V1014" s="1278" t="n"/>
      <c r="W1014" s="1278" t="n"/>
      <c r="X1014" s="1278" t="n"/>
      <c r="Y1014" s="1278" t="n"/>
      <c r="Z1014" s="1278" t="n"/>
      <c r="AA1014" s="1278" t="n"/>
      <c r="AB1014" s="1278" t="n"/>
      <c r="AC1014" s="1278" t="n"/>
      <c r="AD1014" s="1278" t="n"/>
      <c r="AE1014" s="1278" t="n"/>
      <c r="AF1014" s="1278" t="n"/>
      <c r="AG1014" s="1278" t="n"/>
      <c r="AH1014" s="1278" t="n"/>
      <c r="AI1014" s="1278" t="n"/>
      <c r="AJ1014" s="1278" t="n"/>
      <c r="AK1014" s="1278" t="n"/>
      <c r="AL1014" s="1278" t="n"/>
      <c r="AM1014" s="1278" t="n"/>
      <c r="AN1014" s="1278" t="n"/>
      <c r="AO1014" s="1278" t="n"/>
      <c r="AP1014" s="1278" t="n"/>
      <c r="AQ1014" s="1278" t="n"/>
      <c r="AR1014" s="1278" t="n"/>
      <c r="AS1014" s="1278" t="n"/>
      <c r="AT1014" s="1278" t="n"/>
      <c r="AU1014" s="1278" t="n"/>
      <c r="AV1014" s="1278" t="n"/>
      <c r="AW1014" s="1278" t="n"/>
      <c r="AX1014" s="1278" t="n"/>
      <c r="AY1014" s="1278" t="n"/>
      <c r="AZ1014" s="1278" t="n"/>
      <c r="BA1014" s="1278" t="n"/>
      <c r="BB1014" s="1278" t="n"/>
      <c r="BC1014" s="1278" t="n"/>
      <c r="BD1014" s="1278" t="n"/>
      <c r="BE1014" s="1278" t="n"/>
      <c r="BF1014" s="1278" t="n"/>
      <c r="BG1014" s="1278" t="n"/>
      <c r="BH1014" s="1278" t="n"/>
      <c r="BI1014" s="1278" t="n"/>
      <c r="BJ1014" s="1278" t="n"/>
      <c r="BK1014" s="1278" t="n"/>
      <c r="BL1014" s="1278" t="n"/>
      <c r="BM1014" s="1278" t="n"/>
      <c r="BN1014" s="1278" t="n"/>
      <c r="BO1014" s="1279" t="n"/>
      <c r="BP1014" s="1278" t="n"/>
      <c r="BQ1014" s="1278" t="n"/>
      <c r="BR1014" s="1278" t="n"/>
      <c r="BS1014" s="1278" t="n"/>
      <c r="BT1014" s="1278" t="n"/>
      <c r="BU1014" s="1278" t="n"/>
      <c r="BV1014" s="1278" t="n"/>
      <c r="BW1014" s="1278" t="n"/>
      <c r="BX1014" s="1278" t="n"/>
      <c r="BY1014" s="1278" t="n"/>
      <c r="BZ1014" s="1278" t="n"/>
      <c r="CA1014" s="1278" t="n"/>
      <c r="CB1014" s="1278" t="n"/>
      <c r="CC1014" s="1380" t="n"/>
    </row>
    <row r="1015" ht="14.4" customFormat="1" customHeight="1" s="1373">
      <c r="A1015" s="1837" t="inlineStr">
        <is>
          <t>MO_KPI_REV_SEMI_Comp</t>
        </is>
      </c>
      <c r="B1015" s="1278" t="n"/>
      <c r="C1015" s="1817" t="n"/>
      <c r="D1015" s="1817" t="n"/>
      <c r="E1015" s="1278" t="n"/>
      <c r="F1015" s="1278" t="n"/>
      <c r="G1015" s="1278" t="n"/>
      <c r="H1015" s="1278" t="n"/>
      <c r="I1015" s="1278" t="n"/>
      <c r="J1015" s="1278" t="n"/>
      <c r="K1015" s="1278" t="n"/>
      <c r="L1015" s="1278" t="n"/>
      <c r="M1015" s="1278" t="n"/>
      <c r="N1015" s="1278" t="n"/>
      <c r="O1015" s="1278" t="n"/>
      <c r="P1015" s="1278" t="n"/>
      <c r="Q1015" s="1278" t="n"/>
      <c r="R1015" s="1278" t="n"/>
      <c r="S1015" s="1278" t="n"/>
      <c r="T1015" s="1278" t="n"/>
      <c r="U1015" s="1278" t="n"/>
      <c r="V1015" s="1278" t="n"/>
      <c r="W1015" s="1278" t="n"/>
      <c r="X1015" s="1278" t="n"/>
      <c r="Y1015" s="1278" t="n"/>
      <c r="Z1015" s="1278" t="n"/>
      <c r="AA1015" s="1278" t="n"/>
      <c r="AB1015" s="1278" t="n"/>
      <c r="AC1015" s="1278" t="n"/>
      <c r="AD1015" s="1278" t="n"/>
      <c r="AE1015" s="1278" t="n"/>
      <c r="AF1015" s="1278" t="n"/>
      <c r="AG1015" s="1278" t="n"/>
      <c r="AH1015" s="1278" t="n"/>
      <c r="AI1015" s="1278" t="n"/>
      <c r="AJ1015" s="1278" t="n"/>
      <c r="AK1015" s="1278" t="n"/>
      <c r="AL1015" s="1278" t="n"/>
      <c r="AM1015" s="1278" t="n"/>
      <c r="AN1015" s="1278" t="n"/>
      <c r="AO1015" s="1278" t="n"/>
      <c r="AP1015" s="1278" t="n"/>
      <c r="AQ1015" s="1278" t="n"/>
      <c r="AR1015" s="1278" t="n"/>
      <c r="AS1015" s="1278" t="n"/>
      <c r="AT1015" s="1278" t="n"/>
      <c r="AU1015" s="1278" t="n"/>
      <c r="AV1015" s="1278" t="n"/>
      <c r="AW1015" s="1278" t="n"/>
      <c r="AX1015" s="1278" t="n"/>
      <c r="AY1015" s="1278" t="n"/>
      <c r="AZ1015" s="1278" t="n"/>
      <c r="BA1015" s="1278" t="n"/>
      <c r="BB1015" s="1278" t="n"/>
      <c r="BC1015" s="1278" t="n"/>
      <c r="BD1015" s="1278" t="n"/>
      <c r="BE1015" s="1278" t="n"/>
      <c r="BF1015" s="1278" t="n"/>
      <c r="BG1015" s="1278" t="n"/>
      <c r="BH1015" s="1278" t="n"/>
      <c r="BI1015" s="1278" t="n"/>
      <c r="BJ1015" s="1278" t="n"/>
      <c r="BK1015" s="1278" t="n"/>
      <c r="BL1015" s="1278" t="n"/>
      <c r="BM1015" s="1278" t="n"/>
      <c r="BN1015" s="1278" t="n"/>
      <c r="BO1015" s="1279" t="n"/>
      <c r="BP1015" s="1278" t="n"/>
      <c r="BQ1015" s="1278" t="n"/>
      <c r="BR1015" s="1278" t="n"/>
      <c r="BS1015" s="1278" t="n"/>
      <c r="BT1015" s="1278" t="n"/>
      <c r="BU1015" s="1278" t="n"/>
      <c r="BV1015" s="1278" t="n"/>
      <c r="BW1015" s="1278" t="n"/>
      <c r="BX1015" s="1278" t="n"/>
      <c r="BY1015" s="1278" t="n"/>
      <c r="BZ1015" s="1278" t="n"/>
      <c r="CA1015" s="1278" t="n"/>
      <c r="CB1015" s="1278" t="n"/>
      <c r="CC1015" s="1380" t="n"/>
    </row>
    <row r="1016" ht="14.4" customFormat="1" customHeight="1" s="1373">
      <c r="A1016" s="1837" t="inlineStr">
        <is>
          <t>MO_KPI_REV_SEMI_Comp_Growth</t>
        </is>
      </c>
      <c r="B1016" s="1278" t="n"/>
      <c r="C1016" s="1817" t="n"/>
      <c r="D1016" s="1817" t="n"/>
      <c r="E1016" s="1278" t="n"/>
      <c r="F1016" s="1278" t="n"/>
      <c r="G1016" s="1278" t="n"/>
      <c r="H1016" s="1278" t="n"/>
      <c r="I1016" s="1278" t="n"/>
      <c r="J1016" s="1278" t="n"/>
      <c r="K1016" s="1278" t="n"/>
      <c r="L1016" s="1278" t="n"/>
      <c r="M1016" s="1278" t="n"/>
      <c r="N1016" s="1278" t="n"/>
      <c r="O1016" s="1278" t="n"/>
      <c r="P1016" s="1278" t="n"/>
      <c r="Q1016" s="1278" t="n"/>
      <c r="R1016" s="1278" t="n"/>
      <c r="S1016" s="1278" t="n"/>
      <c r="T1016" s="1278" t="n"/>
      <c r="U1016" s="1278" t="n"/>
      <c r="V1016" s="1278" t="n"/>
      <c r="W1016" s="1278" t="n"/>
      <c r="X1016" s="1278" t="n"/>
      <c r="Y1016" s="1278" t="n"/>
      <c r="Z1016" s="1278" t="n"/>
      <c r="AA1016" s="1278" t="n"/>
      <c r="AB1016" s="1278" t="n"/>
      <c r="AC1016" s="1278" t="n"/>
      <c r="AD1016" s="1278" t="n"/>
      <c r="AE1016" s="1278" t="n"/>
      <c r="AF1016" s="1278" t="n"/>
      <c r="AG1016" s="1278" t="n"/>
      <c r="AH1016" s="1278" t="n"/>
      <c r="AI1016" s="1278" t="n"/>
      <c r="AJ1016" s="1278" t="n"/>
      <c r="AK1016" s="1278" t="n"/>
      <c r="AL1016" s="1278" t="n"/>
      <c r="AM1016" s="1278" t="n"/>
      <c r="AN1016" s="1278" t="n"/>
      <c r="AO1016" s="1278" t="n"/>
      <c r="AP1016" s="1278" t="n"/>
      <c r="AQ1016" s="1278" t="n"/>
      <c r="AR1016" s="1278" t="n"/>
      <c r="AS1016" s="1278" t="n"/>
      <c r="AT1016" s="1278" t="n"/>
      <c r="AU1016" s="1278" t="n"/>
      <c r="AV1016" s="1278" t="n"/>
      <c r="AW1016" s="1278" t="n"/>
      <c r="AX1016" s="1278" t="n"/>
      <c r="AY1016" s="1278" t="n"/>
      <c r="AZ1016" s="1278" t="n"/>
      <c r="BA1016" s="1278" t="n"/>
      <c r="BB1016" s="1278" t="n"/>
      <c r="BC1016" s="1278" t="n"/>
      <c r="BD1016" s="1278" t="n"/>
      <c r="BE1016" s="1278" t="n"/>
      <c r="BF1016" s="1278" t="n"/>
      <c r="BG1016" s="1278" t="n"/>
      <c r="BH1016" s="1278" t="n"/>
      <c r="BI1016" s="1278" t="n"/>
      <c r="BJ1016" s="1278" t="n"/>
      <c r="BK1016" s="1278" t="n"/>
      <c r="BL1016" s="1278" t="n"/>
      <c r="BM1016" s="1278" t="n"/>
      <c r="BN1016" s="1278" t="n"/>
      <c r="BO1016" s="1279" t="n"/>
      <c r="BP1016" s="1278" t="n"/>
      <c r="BQ1016" s="1278" t="n"/>
      <c r="BR1016" s="1278" t="n"/>
      <c r="BS1016" s="1278" t="n"/>
      <c r="BT1016" s="1278" t="n"/>
      <c r="BU1016" s="1278" t="n"/>
      <c r="BV1016" s="1278" t="n"/>
      <c r="BW1016" s="1278" t="n"/>
      <c r="BX1016" s="1278" t="n"/>
      <c r="BY1016" s="1278" t="n"/>
      <c r="BZ1016" s="1278" t="n"/>
      <c r="CA1016" s="1278" t="n"/>
      <c r="CB1016" s="1278" t="n"/>
      <c r="CC1016" s="1380" t="n"/>
    </row>
    <row r="1017" ht="14.4" customFormat="1" customHeight="1" s="1373">
      <c r="A1017" s="1837" t="inlineStr">
        <is>
          <t>MO_KPI_REV_SEMI_Cons</t>
        </is>
      </c>
      <c r="B1017" s="1278" t="n"/>
      <c r="C1017" s="1817" t="n"/>
      <c r="D1017" s="1817" t="n"/>
      <c r="E1017" s="1278" t="n"/>
      <c r="F1017" s="1278" t="n"/>
      <c r="G1017" s="1278" t="n"/>
      <c r="H1017" s="1278" t="n"/>
      <c r="I1017" s="1278" t="n"/>
      <c r="J1017" s="1278" t="n"/>
      <c r="K1017" s="1278" t="n"/>
      <c r="L1017" s="1278" t="n"/>
      <c r="M1017" s="1278" t="n"/>
      <c r="N1017" s="1278" t="n"/>
      <c r="O1017" s="1278" t="n"/>
      <c r="P1017" s="1278" t="n"/>
      <c r="Q1017" s="1278" t="n"/>
      <c r="R1017" s="1278" t="n"/>
      <c r="S1017" s="1278" t="n"/>
      <c r="T1017" s="1278" t="n"/>
      <c r="U1017" s="1278" t="n"/>
      <c r="V1017" s="1278" t="n"/>
      <c r="W1017" s="1278" t="n"/>
      <c r="X1017" s="1278" t="n"/>
      <c r="Y1017" s="1278" t="n"/>
      <c r="Z1017" s="1278" t="n"/>
      <c r="AA1017" s="1278" t="n"/>
      <c r="AB1017" s="1278" t="n"/>
      <c r="AC1017" s="1278" t="n"/>
      <c r="AD1017" s="1278" t="n"/>
      <c r="AE1017" s="1278" t="n"/>
      <c r="AF1017" s="1278" t="n"/>
      <c r="AG1017" s="1278" t="n"/>
      <c r="AH1017" s="1278" t="n"/>
      <c r="AI1017" s="1278" t="n"/>
      <c r="AJ1017" s="1278" t="n"/>
      <c r="AK1017" s="1278" t="n"/>
      <c r="AL1017" s="1278" t="n"/>
      <c r="AM1017" s="1278" t="n"/>
      <c r="AN1017" s="1278" t="n"/>
      <c r="AO1017" s="1278" t="n"/>
      <c r="AP1017" s="1278" t="n"/>
      <c r="AQ1017" s="1278" t="n"/>
      <c r="AR1017" s="1278" t="n"/>
      <c r="AS1017" s="1278" t="n"/>
      <c r="AT1017" s="1278" t="n"/>
      <c r="AU1017" s="1278" t="n"/>
      <c r="AV1017" s="1278" t="n"/>
      <c r="AW1017" s="1278" t="n"/>
      <c r="AX1017" s="1278" t="n"/>
      <c r="AY1017" s="1278" t="n"/>
      <c r="AZ1017" s="1278" t="n"/>
      <c r="BA1017" s="1278" t="n"/>
      <c r="BB1017" s="1278" t="n"/>
      <c r="BC1017" s="1278" t="n"/>
      <c r="BD1017" s="1278" t="n"/>
      <c r="BE1017" s="1278" t="n"/>
      <c r="BF1017" s="1278" t="n"/>
      <c r="BG1017" s="1278" t="n"/>
      <c r="BH1017" s="1278" t="n"/>
      <c r="BI1017" s="1278" t="n"/>
      <c r="BJ1017" s="1278" t="n"/>
      <c r="BK1017" s="1278" t="n"/>
      <c r="BL1017" s="1278" t="n"/>
      <c r="BM1017" s="1278" t="n"/>
      <c r="BN1017" s="1278" t="n"/>
      <c r="BO1017" s="1279" t="n"/>
      <c r="BP1017" s="1278" t="n"/>
      <c r="BQ1017" s="1278" t="n"/>
      <c r="BR1017" s="1278" t="n"/>
      <c r="BS1017" s="1278" t="n"/>
      <c r="BT1017" s="1278" t="n"/>
      <c r="BU1017" s="1278" t="n"/>
      <c r="BV1017" s="1278" t="n"/>
      <c r="BW1017" s="1278" t="n"/>
      <c r="BX1017" s="1278" t="n"/>
      <c r="BY1017" s="1278" t="n"/>
      <c r="BZ1017" s="1278" t="n"/>
      <c r="CA1017" s="1278" t="n"/>
      <c r="CB1017" s="1278" t="n"/>
      <c r="CC1017" s="1380" t="n"/>
    </row>
    <row r="1018" ht="14.4" customFormat="1" customHeight="1" s="1373">
      <c r="A1018" s="1837" t="inlineStr">
        <is>
          <t>MO_KPI_REV_SEMI_Cons_Growth</t>
        </is>
      </c>
      <c r="B1018" s="1278" t="n"/>
      <c r="C1018" s="1817" t="n"/>
      <c r="D1018" s="1817" t="n"/>
      <c r="E1018" s="1278" t="n"/>
      <c r="F1018" s="1278" t="n"/>
      <c r="G1018" s="1278" t="n"/>
      <c r="H1018" s="1278" t="n"/>
      <c r="I1018" s="1278" t="n"/>
      <c r="J1018" s="1278" t="n"/>
      <c r="K1018" s="1278" t="n"/>
      <c r="L1018" s="1278" t="n"/>
      <c r="M1018" s="1278" t="n"/>
      <c r="N1018" s="1278" t="n"/>
      <c r="O1018" s="1278" t="n"/>
      <c r="P1018" s="1278" t="n"/>
      <c r="Q1018" s="1278" t="n"/>
      <c r="R1018" s="1278" t="n"/>
      <c r="S1018" s="1278" t="n"/>
      <c r="T1018" s="1278" t="n"/>
      <c r="U1018" s="1278" t="n"/>
      <c r="V1018" s="1278" t="n"/>
      <c r="W1018" s="1278" t="n"/>
      <c r="X1018" s="1278" t="n"/>
      <c r="Y1018" s="1278" t="n"/>
      <c r="Z1018" s="1278" t="n"/>
      <c r="AA1018" s="1278" t="n"/>
      <c r="AB1018" s="1278" t="n"/>
      <c r="AC1018" s="1278" t="n"/>
      <c r="AD1018" s="1278" t="n"/>
      <c r="AE1018" s="1278" t="n"/>
      <c r="AF1018" s="1278" t="n"/>
      <c r="AG1018" s="1278" t="n"/>
      <c r="AH1018" s="1278" t="n"/>
      <c r="AI1018" s="1278" t="n"/>
      <c r="AJ1018" s="1278" t="n"/>
      <c r="AK1018" s="1278" t="n"/>
      <c r="AL1018" s="1278" t="n"/>
      <c r="AM1018" s="1278" t="n"/>
      <c r="AN1018" s="1278" t="n"/>
      <c r="AO1018" s="1278" t="n"/>
      <c r="AP1018" s="1278" t="n"/>
      <c r="AQ1018" s="1278" t="n"/>
      <c r="AR1018" s="1278" t="n"/>
      <c r="AS1018" s="1278" t="n"/>
      <c r="AT1018" s="1278" t="n"/>
      <c r="AU1018" s="1278" t="n"/>
      <c r="AV1018" s="1278" t="n"/>
      <c r="AW1018" s="1278" t="n"/>
      <c r="AX1018" s="1278" t="n"/>
      <c r="AY1018" s="1278" t="n"/>
      <c r="AZ1018" s="1278" t="n"/>
      <c r="BA1018" s="1278" t="n"/>
      <c r="BB1018" s="1278" t="n"/>
      <c r="BC1018" s="1278" t="n"/>
      <c r="BD1018" s="1278" t="n"/>
      <c r="BE1018" s="1278" t="n"/>
      <c r="BF1018" s="1278" t="n"/>
      <c r="BG1018" s="1278" t="n"/>
      <c r="BH1018" s="1278" t="n"/>
      <c r="BI1018" s="1278" t="n"/>
      <c r="BJ1018" s="1278" t="n"/>
      <c r="BK1018" s="1278" t="n"/>
      <c r="BL1018" s="1278" t="n"/>
      <c r="BM1018" s="1278" t="n"/>
      <c r="BN1018" s="1278" t="n"/>
      <c r="BO1018" s="1279" t="n"/>
      <c r="BP1018" s="1278" t="n"/>
      <c r="BQ1018" s="1278" t="n"/>
      <c r="BR1018" s="1278" t="n"/>
      <c r="BS1018" s="1278" t="n"/>
      <c r="BT1018" s="1278" t="n"/>
      <c r="BU1018" s="1278" t="n"/>
      <c r="BV1018" s="1278" t="n"/>
      <c r="BW1018" s="1278" t="n"/>
      <c r="BX1018" s="1278" t="n"/>
      <c r="BY1018" s="1278" t="n"/>
      <c r="BZ1018" s="1278" t="n"/>
      <c r="CA1018" s="1278" t="n"/>
      <c r="CB1018" s="1278" t="n"/>
      <c r="CC1018" s="1380" t="n"/>
    </row>
    <row r="1019" ht="14.4" customFormat="1" customHeight="1" s="1373">
      <c r="A1019" s="1837" t="inlineStr">
        <is>
          <t>MO_KPI_REV_SEMI_Mobile</t>
        </is>
      </c>
      <c r="B1019" s="1278" t="n"/>
      <c r="C1019" s="1817" t="n"/>
      <c r="D1019" s="1817" t="n"/>
      <c r="E1019" s="1278" t="n"/>
      <c r="F1019" s="1278" t="n"/>
      <c r="G1019" s="1278" t="n"/>
      <c r="H1019" s="1278" t="n"/>
      <c r="I1019" s="1278" t="n"/>
      <c r="J1019" s="1278" t="n"/>
      <c r="K1019" s="1278" t="n"/>
      <c r="L1019" s="1278" t="n"/>
      <c r="M1019" s="1278" t="n"/>
      <c r="N1019" s="1278" t="n"/>
      <c r="O1019" s="1278" t="n"/>
      <c r="P1019" s="1278" t="n"/>
      <c r="Q1019" s="1278" t="n"/>
      <c r="R1019" s="1278" t="n"/>
      <c r="S1019" s="1278" t="n"/>
      <c r="T1019" s="1278" t="n"/>
      <c r="U1019" s="1278" t="n"/>
      <c r="V1019" s="1278" t="n"/>
      <c r="W1019" s="1278" t="n"/>
      <c r="X1019" s="1278" t="n"/>
      <c r="Y1019" s="1278" t="n"/>
      <c r="Z1019" s="1278" t="n"/>
      <c r="AA1019" s="1278" t="n"/>
      <c r="AB1019" s="1278" t="n"/>
      <c r="AC1019" s="1278" t="n"/>
      <c r="AD1019" s="1278" t="n"/>
      <c r="AE1019" s="1278" t="n"/>
      <c r="AF1019" s="1278" t="n"/>
      <c r="AG1019" s="1278" t="n"/>
      <c r="AH1019" s="1278" t="n"/>
      <c r="AI1019" s="1278" t="n"/>
      <c r="AJ1019" s="1278" t="n"/>
      <c r="AK1019" s="1278" t="n"/>
      <c r="AL1019" s="1278" t="n"/>
      <c r="AM1019" s="1278" t="n"/>
      <c r="AN1019" s="1278" t="n"/>
      <c r="AO1019" s="1278" t="n"/>
      <c r="AP1019" s="1278" t="n"/>
      <c r="AQ1019" s="1278" t="n"/>
      <c r="AR1019" s="1278" t="n"/>
      <c r="AS1019" s="1278" t="n"/>
      <c r="AT1019" s="1278" t="n"/>
      <c r="AU1019" s="1278" t="n"/>
      <c r="AV1019" s="1278" t="n"/>
      <c r="AW1019" s="1278" t="n"/>
      <c r="AX1019" s="1278" t="n"/>
      <c r="AY1019" s="1278" t="n"/>
      <c r="AZ1019" s="1278" t="n"/>
      <c r="BA1019" s="1278" t="n"/>
      <c r="BB1019" s="1278" t="n"/>
      <c r="BC1019" s="1278" t="n"/>
      <c r="BD1019" s="1278" t="n"/>
      <c r="BE1019" s="1278" t="n"/>
      <c r="BF1019" s="1278" t="n"/>
      <c r="BG1019" s="1278" t="n"/>
      <c r="BH1019" s="1278" t="n"/>
      <c r="BI1019" s="1278" t="n"/>
      <c r="BJ1019" s="1278" t="n"/>
      <c r="BK1019" s="1278" t="n"/>
      <c r="BL1019" s="1278" t="n"/>
      <c r="BM1019" s="1278" t="n"/>
      <c r="BN1019" s="1278" t="n"/>
      <c r="BO1019" s="1279" t="n"/>
      <c r="BP1019" s="1278" t="n"/>
      <c r="BQ1019" s="1278" t="n"/>
      <c r="BR1019" s="1278" t="n"/>
      <c r="BS1019" s="1278" t="n"/>
      <c r="BT1019" s="1278" t="n"/>
      <c r="BU1019" s="1278" t="n"/>
      <c r="BV1019" s="1278" t="n"/>
      <c r="BW1019" s="1278" t="n"/>
      <c r="BX1019" s="1278" t="n"/>
      <c r="BY1019" s="1278" t="n"/>
      <c r="BZ1019" s="1278" t="n"/>
      <c r="CA1019" s="1278" t="n"/>
      <c r="CB1019" s="1278" t="n"/>
      <c r="CC1019" s="1380" t="n"/>
    </row>
    <row r="1020" ht="14.4" customFormat="1" customHeight="1" s="1373">
      <c r="A1020" s="1837" t="inlineStr">
        <is>
          <t>MO_KPI_REV_SEMI_Mobile_Growth</t>
        </is>
      </c>
      <c r="B1020" s="1278" t="n"/>
      <c r="C1020" s="1817" t="n"/>
      <c r="D1020" s="1817" t="n"/>
      <c r="E1020" s="1278" t="n"/>
      <c r="F1020" s="1278" t="n"/>
      <c r="G1020" s="1278" t="n"/>
      <c r="H1020" s="1278" t="n"/>
      <c r="I1020" s="1278" t="n"/>
      <c r="J1020" s="1278" t="n"/>
      <c r="K1020" s="1278" t="n"/>
      <c r="L1020" s="1278" t="n"/>
      <c r="M1020" s="1278" t="n"/>
      <c r="N1020" s="1278" t="n"/>
      <c r="O1020" s="1278" t="n"/>
      <c r="P1020" s="1278" t="n"/>
      <c r="Q1020" s="1278" t="n"/>
      <c r="R1020" s="1278" t="n"/>
      <c r="S1020" s="1278" t="n"/>
      <c r="T1020" s="1278" t="n"/>
      <c r="U1020" s="1278" t="n"/>
      <c r="V1020" s="1278" t="n"/>
      <c r="W1020" s="1278" t="n"/>
      <c r="X1020" s="1278" t="n"/>
      <c r="Y1020" s="1278" t="n"/>
      <c r="Z1020" s="1278" t="n"/>
      <c r="AA1020" s="1278" t="n"/>
      <c r="AB1020" s="1278" t="n"/>
      <c r="AC1020" s="1278" t="n"/>
      <c r="AD1020" s="1278" t="n"/>
      <c r="AE1020" s="1278" t="n"/>
      <c r="AF1020" s="1278" t="n"/>
      <c r="AG1020" s="1278" t="n"/>
      <c r="AH1020" s="1278" t="n"/>
      <c r="AI1020" s="1278" t="n"/>
      <c r="AJ1020" s="1278" t="n"/>
      <c r="AK1020" s="1278" t="n"/>
      <c r="AL1020" s="1278" t="n"/>
      <c r="AM1020" s="1278" t="n"/>
      <c r="AN1020" s="1278" t="n"/>
      <c r="AO1020" s="1278" t="n"/>
      <c r="AP1020" s="1278" t="n"/>
      <c r="AQ1020" s="1278" t="n"/>
      <c r="AR1020" s="1278" t="n"/>
      <c r="AS1020" s="1278" t="n"/>
      <c r="AT1020" s="1278" t="n"/>
      <c r="AU1020" s="1278" t="n"/>
      <c r="AV1020" s="1278" t="n"/>
      <c r="AW1020" s="1278" t="n"/>
      <c r="AX1020" s="1278" t="n"/>
      <c r="AY1020" s="1278" t="n"/>
      <c r="AZ1020" s="1278" t="n"/>
      <c r="BA1020" s="1278" t="n"/>
      <c r="BB1020" s="1278" t="n"/>
      <c r="BC1020" s="1278" t="n"/>
      <c r="BD1020" s="1278" t="n"/>
      <c r="BE1020" s="1278" t="n"/>
      <c r="BF1020" s="1278" t="n"/>
      <c r="BG1020" s="1278" t="n"/>
      <c r="BH1020" s="1278" t="n"/>
      <c r="BI1020" s="1278" t="n"/>
      <c r="BJ1020" s="1278" t="n"/>
      <c r="BK1020" s="1278" t="n"/>
      <c r="BL1020" s="1278" t="n"/>
      <c r="BM1020" s="1278" t="n"/>
      <c r="BN1020" s="1278" t="n"/>
      <c r="BO1020" s="1279" t="n"/>
      <c r="BP1020" s="1278" t="n"/>
      <c r="BQ1020" s="1278" t="n"/>
      <c r="BR1020" s="1278" t="n"/>
      <c r="BS1020" s="1278" t="n"/>
      <c r="BT1020" s="1278" t="n"/>
      <c r="BU1020" s="1278" t="n"/>
      <c r="BV1020" s="1278" t="n"/>
      <c r="BW1020" s="1278" t="n"/>
      <c r="BX1020" s="1278" t="n"/>
      <c r="BY1020" s="1278" t="n"/>
      <c r="BZ1020" s="1278" t="n"/>
      <c r="CA1020" s="1278" t="n"/>
      <c r="CB1020" s="1278" t="n"/>
      <c r="CC1020" s="1380" t="n"/>
    </row>
    <row r="1021" ht="14.4" customFormat="1" customHeight="1" s="1373">
      <c r="A1021" s="1837" t="inlineStr">
        <is>
          <t>MO_KPI_REV_SEMI_Products</t>
        </is>
      </c>
      <c r="B1021" s="1278" t="n"/>
      <c r="C1021" s="1817" t="n"/>
      <c r="D1021" s="1817" t="n"/>
      <c r="E1021" s="1278" t="n"/>
      <c r="F1021" s="1278" t="n"/>
      <c r="G1021" s="1278" t="n"/>
      <c r="H1021" s="1278" t="n"/>
      <c r="I1021" s="1278" t="n"/>
      <c r="J1021" s="1278" t="n"/>
      <c r="K1021" s="1278" t="n"/>
      <c r="L1021" s="1278" t="n"/>
      <c r="M1021" s="1278" t="n"/>
      <c r="N1021" s="1278" t="n"/>
      <c r="O1021" s="1278" t="n"/>
      <c r="P1021" s="1278" t="n"/>
      <c r="Q1021" s="1278" t="n"/>
      <c r="R1021" s="1278" t="n"/>
      <c r="S1021" s="1278" t="n"/>
      <c r="T1021" s="1278" t="n"/>
      <c r="U1021" s="1278" t="n"/>
      <c r="V1021" s="1278" t="n"/>
      <c r="W1021" s="1278" t="n"/>
      <c r="X1021" s="1278" t="n"/>
      <c r="Y1021" s="1278" t="n"/>
      <c r="Z1021" s="1278" t="n"/>
      <c r="AA1021" s="1278" t="n"/>
      <c r="AB1021" s="1278" t="n"/>
      <c r="AC1021" s="1278" t="n"/>
      <c r="AD1021" s="1278" t="n"/>
      <c r="AE1021" s="1278" t="n"/>
      <c r="AF1021" s="1278" t="n"/>
      <c r="AG1021" s="1278" t="n"/>
      <c r="AH1021" s="1278" t="n"/>
      <c r="AI1021" s="1278" t="n"/>
      <c r="AJ1021" s="1278" t="n"/>
      <c r="AK1021" s="1278" t="n"/>
      <c r="AL1021" s="1278" t="n"/>
      <c r="AM1021" s="1278" t="n"/>
      <c r="AN1021" s="1278" t="n"/>
      <c r="AO1021" s="1278" t="n"/>
      <c r="AP1021" s="1278" t="n"/>
      <c r="AQ1021" s="1278" t="n"/>
      <c r="AR1021" s="1278" t="n"/>
      <c r="AS1021" s="1278" t="n"/>
      <c r="AT1021" s="1278" t="n"/>
      <c r="AU1021" s="1278" t="n"/>
      <c r="AV1021" s="1278" t="n"/>
      <c r="AW1021" s="1278" t="n"/>
      <c r="AX1021" s="1278" t="n"/>
      <c r="AY1021" s="1278" t="n"/>
      <c r="AZ1021" s="1278" t="n"/>
      <c r="BA1021" s="1278" t="n"/>
      <c r="BB1021" s="1278" t="n"/>
      <c r="BC1021" s="1278" t="n"/>
      <c r="BD1021" s="1278" t="n"/>
      <c r="BE1021" s="1278" t="n"/>
      <c r="BF1021" s="1278" t="n"/>
      <c r="BG1021" s="1278" t="n"/>
      <c r="BH1021" s="1278" t="n"/>
      <c r="BI1021" s="1278" t="n"/>
      <c r="BJ1021" s="1278" t="n"/>
      <c r="BK1021" s="1278" t="n"/>
      <c r="BL1021" s="1278" t="n"/>
      <c r="BM1021" s="1278" t="n"/>
      <c r="BN1021" s="1278" t="n"/>
      <c r="BO1021" s="1279" t="n"/>
      <c r="BP1021" s="1278" t="n"/>
      <c r="BQ1021" s="1278" t="n"/>
      <c r="BR1021" s="1278" t="n"/>
      <c r="BS1021" s="1278" t="n"/>
      <c r="BT1021" s="1278" t="n"/>
      <c r="BU1021" s="1278" t="n"/>
      <c r="BV1021" s="1278" t="n"/>
      <c r="BW1021" s="1278" t="n"/>
      <c r="BX1021" s="1278" t="n"/>
      <c r="BY1021" s="1278" t="n"/>
      <c r="BZ1021" s="1278" t="n"/>
      <c r="CA1021" s="1278" t="n"/>
      <c r="CB1021" s="1278" t="n"/>
      <c r="CC1021" s="1380" t="n"/>
    </row>
    <row r="1022" ht="14.4" customFormat="1" customHeight="1" s="1373">
      <c r="A1022" s="1837" t="inlineStr">
        <is>
          <t>MO_KPI_REV_SEMI_Royalty</t>
        </is>
      </c>
      <c r="B1022" s="1278" t="n"/>
      <c r="C1022" s="1817" t="n"/>
      <c r="D1022" s="1817" t="n"/>
      <c r="E1022" s="1278" t="n"/>
      <c r="F1022" s="1278" t="n"/>
      <c r="G1022" s="1278" t="n"/>
      <c r="H1022" s="1278" t="n"/>
      <c r="I1022" s="1278" t="n"/>
      <c r="J1022" s="1278" t="n"/>
      <c r="K1022" s="1278" t="n"/>
      <c r="L1022" s="1278" t="n"/>
      <c r="M1022" s="1278" t="n"/>
      <c r="N1022" s="1278" t="n"/>
      <c r="O1022" s="1278" t="n"/>
      <c r="P1022" s="1278" t="n"/>
      <c r="Q1022" s="1278" t="n"/>
      <c r="R1022" s="1278" t="n"/>
      <c r="S1022" s="1278" t="n"/>
      <c r="T1022" s="1278" t="n"/>
      <c r="U1022" s="1278" t="n"/>
      <c r="V1022" s="1278" t="n"/>
      <c r="W1022" s="1278" t="n"/>
      <c r="X1022" s="1278" t="n"/>
      <c r="Y1022" s="1278" t="n"/>
      <c r="Z1022" s="1278" t="n"/>
      <c r="AA1022" s="1278" t="n"/>
      <c r="AB1022" s="1278" t="n"/>
      <c r="AC1022" s="1278" t="n"/>
      <c r="AD1022" s="1278" t="n"/>
      <c r="AE1022" s="1278" t="n"/>
      <c r="AF1022" s="1278" t="n"/>
      <c r="AG1022" s="1278" t="n"/>
      <c r="AH1022" s="1278" t="n"/>
      <c r="AI1022" s="1278" t="n"/>
      <c r="AJ1022" s="1278" t="n"/>
      <c r="AK1022" s="1278" t="n"/>
      <c r="AL1022" s="1278" t="n"/>
      <c r="AM1022" s="1278" t="n"/>
      <c r="AN1022" s="1278" t="n"/>
      <c r="AO1022" s="1278" t="n"/>
      <c r="AP1022" s="1278" t="n"/>
      <c r="AQ1022" s="1278" t="n"/>
      <c r="AR1022" s="1278" t="n"/>
      <c r="AS1022" s="1278" t="n"/>
      <c r="AT1022" s="1278" t="n"/>
      <c r="AU1022" s="1278" t="n"/>
      <c r="AV1022" s="1278" t="n"/>
      <c r="AW1022" s="1278" t="n"/>
      <c r="AX1022" s="1278" t="n"/>
      <c r="AY1022" s="1278" t="n"/>
      <c r="AZ1022" s="1278" t="n"/>
      <c r="BA1022" s="1278" t="n"/>
      <c r="BB1022" s="1278" t="n"/>
      <c r="BC1022" s="1278" t="n"/>
      <c r="BD1022" s="1278" t="n"/>
      <c r="BE1022" s="1278" t="n"/>
      <c r="BF1022" s="1278" t="n"/>
      <c r="BG1022" s="1278" t="n"/>
      <c r="BH1022" s="1278" t="n"/>
      <c r="BI1022" s="1278" t="n"/>
      <c r="BJ1022" s="1278" t="n"/>
      <c r="BK1022" s="1278" t="n"/>
      <c r="BL1022" s="1278" t="n"/>
      <c r="BM1022" s="1278" t="n"/>
      <c r="BN1022" s="1278" t="n"/>
      <c r="BO1022" s="1279" t="n"/>
      <c r="BP1022" s="1278" t="n"/>
      <c r="BQ1022" s="1278" t="n"/>
      <c r="BR1022" s="1278" t="n"/>
      <c r="BS1022" s="1278" t="n"/>
      <c r="BT1022" s="1278" t="n"/>
      <c r="BU1022" s="1278" t="n"/>
      <c r="BV1022" s="1278" t="n"/>
      <c r="BW1022" s="1278" t="n"/>
      <c r="BX1022" s="1278" t="n"/>
      <c r="BY1022" s="1278" t="n"/>
      <c r="BZ1022" s="1278" t="n"/>
      <c r="CA1022" s="1278" t="n"/>
      <c r="CB1022" s="1278" t="n"/>
      <c r="CC1022" s="1380" t="n"/>
    </row>
    <row r="1023" ht="14.4" customFormat="1" customHeight="1" s="1373">
      <c r="A1023" s="1837" t="inlineStr">
        <is>
          <t>MO_KPI_RevenueContribution_LargestClient</t>
        </is>
      </c>
      <c r="B1023" s="1278" t="n"/>
      <c r="C1023" s="1817" t="n"/>
      <c r="D1023" s="1817" t="n"/>
      <c r="E1023" s="1278" t="n"/>
      <c r="F1023" s="1278" t="n"/>
      <c r="G1023" s="1278" t="n"/>
      <c r="H1023" s="1278" t="n"/>
      <c r="I1023" s="1278" t="n"/>
      <c r="J1023" s="1278" t="n"/>
      <c r="K1023" s="1278" t="n"/>
      <c r="L1023" s="1278" t="n"/>
      <c r="M1023" s="1278" t="n"/>
      <c r="N1023" s="1278" t="n"/>
      <c r="O1023" s="1278" t="n"/>
      <c r="P1023" s="1278" t="n"/>
      <c r="Q1023" s="1278" t="n"/>
      <c r="R1023" s="1278" t="n"/>
      <c r="S1023" s="1278" t="n"/>
      <c r="T1023" s="1278" t="n"/>
      <c r="U1023" s="1278" t="n"/>
      <c r="V1023" s="1278" t="n"/>
      <c r="W1023" s="1278" t="n"/>
      <c r="X1023" s="1278" t="n"/>
      <c r="Y1023" s="1278" t="n"/>
      <c r="Z1023" s="1278" t="n"/>
      <c r="AA1023" s="1278" t="n"/>
      <c r="AB1023" s="1278" t="n"/>
      <c r="AC1023" s="1278" t="n"/>
      <c r="AD1023" s="1278" t="n"/>
      <c r="AE1023" s="1278" t="n"/>
      <c r="AF1023" s="1278" t="n"/>
      <c r="AG1023" s="1278" t="n"/>
      <c r="AH1023" s="1278" t="n"/>
      <c r="AI1023" s="1278" t="n"/>
      <c r="AJ1023" s="1278" t="n"/>
      <c r="AK1023" s="1278" t="n"/>
      <c r="AL1023" s="1278" t="n"/>
      <c r="AM1023" s="1278" t="n"/>
      <c r="AN1023" s="1278" t="n"/>
      <c r="AO1023" s="1278" t="n"/>
      <c r="AP1023" s="1278" t="n"/>
      <c r="AQ1023" s="1278" t="n"/>
      <c r="AR1023" s="1278" t="n"/>
      <c r="AS1023" s="1278" t="n"/>
      <c r="AT1023" s="1278" t="n"/>
      <c r="AU1023" s="1278" t="n"/>
      <c r="AV1023" s="1278" t="n"/>
      <c r="AW1023" s="1278" t="n"/>
      <c r="AX1023" s="1278" t="n"/>
      <c r="AY1023" s="1278" t="n"/>
      <c r="AZ1023" s="1278" t="n"/>
      <c r="BA1023" s="1278" t="n"/>
      <c r="BB1023" s="1278" t="n"/>
      <c r="BC1023" s="1278" t="n"/>
      <c r="BD1023" s="1278" t="n"/>
      <c r="BE1023" s="1278" t="n"/>
      <c r="BF1023" s="1278" t="n"/>
      <c r="BG1023" s="1278" t="n"/>
      <c r="BH1023" s="1278" t="n"/>
      <c r="BI1023" s="1278" t="n"/>
      <c r="BJ1023" s="1278" t="n"/>
      <c r="BK1023" s="1278" t="n"/>
      <c r="BL1023" s="1278" t="n"/>
      <c r="BM1023" s="1278" t="n"/>
      <c r="BN1023" s="1278" t="n"/>
      <c r="BO1023" s="1279" t="n"/>
      <c r="BP1023" s="1278" t="n"/>
      <c r="BQ1023" s="1278" t="n"/>
      <c r="BR1023" s="1278" t="n"/>
      <c r="BS1023" s="1278" t="n"/>
      <c r="BT1023" s="1278" t="n"/>
      <c r="BU1023" s="1278" t="n"/>
      <c r="BV1023" s="1278" t="n"/>
      <c r="BW1023" s="1278" t="n"/>
      <c r="BX1023" s="1278" t="n"/>
      <c r="BY1023" s="1278" t="n"/>
      <c r="BZ1023" s="1278" t="n"/>
      <c r="CA1023" s="1278" t="n"/>
      <c r="CB1023" s="1278" t="n"/>
      <c r="CC1023" s="1380" t="n"/>
    </row>
    <row r="1024" ht="14.4" customFormat="1" customHeight="1" s="1373">
      <c r="A1024" s="1837" t="inlineStr">
        <is>
          <t>MO_KPI_RevenueContribution_SecondLargestClient</t>
        </is>
      </c>
      <c r="B1024" s="1278" t="n"/>
      <c r="C1024" s="1817" t="n"/>
      <c r="D1024" s="1817" t="n"/>
      <c r="E1024" s="1278" t="n"/>
      <c r="F1024" s="1278" t="n"/>
      <c r="G1024" s="1278" t="n"/>
      <c r="H1024" s="1278" t="n"/>
      <c r="I1024" s="1278" t="n"/>
      <c r="J1024" s="1278" t="n"/>
      <c r="K1024" s="1278" t="n"/>
      <c r="L1024" s="1278" t="n"/>
      <c r="M1024" s="1278" t="n"/>
      <c r="N1024" s="1278" t="n"/>
      <c r="O1024" s="1278" t="n"/>
      <c r="P1024" s="1278" t="n"/>
      <c r="Q1024" s="1278" t="n"/>
      <c r="R1024" s="1278" t="n"/>
      <c r="S1024" s="1278" t="n"/>
      <c r="T1024" s="1278" t="n"/>
      <c r="U1024" s="1278" t="n"/>
      <c r="V1024" s="1278" t="n"/>
      <c r="W1024" s="1278" t="n"/>
      <c r="X1024" s="1278" t="n"/>
      <c r="Y1024" s="1278" t="n"/>
      <c r="Z1024" s="1278" t="n"/>
      <c r="AA1024" s="1278" t="n"/>
      <c r="AB1024" s="1278" t="n"/>
      <c r="AC1024" s="1278" t="n"/>
      <c r="AD1024" s="1278" t="n"/>
      <c r="AE1024" s="1278" t="n"/>
      <c r="AF1024" s="1278" t="n"/>
      <c r="AG1024" s="1278" t="n"/>
      <c r="AH1024" s="1278" t="n"/>
      <c r="AI1024" s="1278" t="n"/>
      <c r="AJ1024" s="1278" t="n"/>
      <c r="AK1024" s="1278" t="n"/>
      <c r="AL1024" s="1278" t="n"/>
      <c r="AM1024" s="1278" t="n"/>
      <c r="AN1024" s="1278" t="n"/>
      <c r="AO1024" s="1278" t="n"/>
      <c r="AP1024" s="1278" t="n"/>
      <c r="AQ1024" s="1278" t="n"/>
      <c r="AR1024" s="1278" t="n"/>
      <c r="AS1024" s="1278" t="n"/>
      <c r="AT1024" s="1278" t="n"/>
      <c r="AU1024" s="1278" t="n"/>
      <c r="AV1024" s="1278" t="n"/>
      <c r="AW1024" s="1278" t="n"/>
      <c r="AX1024" s="1278" t="n"/>
      <c r="AY1024" s="1278" t="n"/>
      <c r="AZ1024" s="1278" t="n"/>
      <c r="BA1024" s="1278" t="n"/>
      <c r="BB1024" s="1278" t="n"/>
      <c r="BC1024" s="1278" t="n"/>
      <c r="BD1024" s="1278" t="n"/>
      <c r="BE1024" s="1278" t="n"/>
      <c r="BF1024" s="1278" t="n"/>
      <c r="BG1024" s="1278" t="n"/>
      <c r="BH1024" s="1278" t="n"/>
      <c r="BI1024" s="1278" t="n"/>
      <c r="BJ1024" s="1278" t="n"/>
      <c r="BK1024" s="1278" t="n"/>
      <c r="BL1024" s="1278" t="n"/>
      <c r="BM1024" s="1278" t="n"/>
      <c r="BN1024" s="1278" t="n"/>
      <c r="BO1024" s="1279" t="n"/>
      <c r="BP1024" s="1278" t="n"/>
      <c r="BQ1024" s="1278" t="n"/>
      <c r="BR1024" s="1278" t="n"/>
      <c r="BS1024" s="1278" t="n"/>
      <c r="BT1024" s="1278" t="n"/>
      <c r="BU1024" s="1278" t="n"/>
      <c r="BV1024" s="1278" t="n"/>
      <c r="BW1024" s="1278" t="n"/>
      <c r="BX1024" s="1278" t="n"/>
      <c r="BY1024" s="1278" t="n"/>
      <c r="BZ1024" s="1278" t="n"/>
      <c r="CA1024" s="1278" t="n"/>
      <c r="CB1024" s="1278" t="n"/>
      <c r="CC1024" s="1380" t="n"/>
    </row>
    <row r="1025" ht="14.4" customFormat="1" customHeight="1" s="1373">
      <c r="A1025" s="1837" t="inlineStr">
        <is>
          <t>MO_CFSum_Capex</t>
        </is>
      </c>
      <c r="B1025" s="1278" t="n"/>
      <c r="C1025" s="1817" t="n"/>
      <c r="D1025" s="1817" t="n"/>
      <c r="E1025" s="1278" t="n"/>
      <c r="F1025" s="1278" t="n"/>
      <c r="G1025" s="1278" t="n"/>
      <c r="H1025" s="1278" t="n"/>
      <c r="I1025" s="1278" t="n"/>
      <c r="J1025" s="1278" t="n"/>
      <c r="K1025" s="1278" t="n"/>
      <c r="L1025" s="1278" t="n"/>
      <c r="M1025" s="1278" t="n"/>
      <c r="N1025" s="1278" t="n"/>
      <c r="O1025" s="1278" t="n"/>
      <c r="P1025" s="1278" t="n"/>
      <c r="Q1025" s="1278" t="n"/>
      <c r="R1025" s="1278" t="n"/>
      <c r="S1025" s="1278" t="n"/>
      <c r="T1025" s="1278" t="n"/>
      <c r="U1025" s="1278" t="n"/>
      <c r="V1025" s="1278" t="n"/>
      <c r="W1025" s="1278" t="n"/>
      <c r="X1025" s="1278" t="n"/>
      <c r="Y1025" s="1278" t="n"/>
      <c r="Z1025" s="1278" t="n"/>
      <c r="AA1025" s="1278" t="n"/>
      <c r="AB1025" s="1278" t="n"/>
      <c r="AC1025" s="1278" t="n"/>
      <c r="AD1025" s="1278" t="n"/>
      <c r="AE1025" s="1278" t="n"/>
      <c r="AF1025" s="1278" t="n"/>
      <c r="AG1025" s="1278" t="n"/>
      <c r="AH1025" s="1278" t="n"/>
      <c r="AI1025" s="1278" t="n"/>
      <c r="AJ1025" s="1278" t="n"/>
      <c r="AK1025" s="1278" t="n"/>
      <c r="AL1025" s="1278" t="n"/>
      <c r="AM1025" s="1278" t="n"/>
      <c r="AN1025" s="1278" t="n"/>
      <c r="AO1025" s="1278" t="n"/>
      <c r="AP1025" s="1278" t="n"/>
      <c r="AQ1025" s="1278" t="n"/>
      <c r="AR1025" s="1278" t="n"/>
      <c r="AS1025" s="1278" t="n"/>
      <c r="AT1025" s="1278" t="n"/>
      <c r="AU1025" s="1278" t="n"/>
      <c r="AV1025" s="1278" t="n"/>
      <c r="AW1025" s="1278" t="n"/>
      <c r="AX1025" s="1278" t="n"/>
      <c r="AY1025" s="1278" t="n"/>
      <c r="AZ1025" s="1278" t="n"/>
      <c r="BA1025" s="1278" t="n"/>
      <c r="BB1025" s="1278" t="n"/>
      <c r="BC1025" s="1278" t="n"/>
      <c r="BD1025" s="1278" t="n"/>
      <c r="BE1025" s="1278" t="n"/>
      <c r="BF1025" s="1278" t="n"/>
      <c r="BG1025" s="1278" t="n"/>
      <c r="BH1025" s="1278" t="n"/>
      <c r="BI1025" s="1278" t="n"/>
      <c r="BJ1025" s="1278" t="n"/>
      <c r="BK1025" s="1278" t="n"/>
      <c r="BL1025" s="1278" t="n"/>
      <c r="BM1025" s="1278" t="n"/>
      <c r="BN1025" s="1278" t="n"/>
      <c r="BO1025" s="1279" t="n"/>
      <c r="BP1025" s="1278" t="n"/>
      <c r="BQ1025" s="1278" t="n"/>
      <c r="BR1025" s="1278" t="n"/>
      <c r="BS1025" s="1278" t="n"/>
      <c r="BT1025" s="1278" t="n"/>
      <c r="BU1025" s="1278" t="n"/>
      <c r="BV1025" s="1278" t="n"/>
      <c r="BW1025" s="1278" t="n"/>
      <c r="BX1025" s="1278" t="n"/>
      <c r="BY1025" s="1278" t="n"/>
      <c r="BZ1025" s="1278" t="n"/>
      <c r="CA1025" s="1278" t="n"/>
      <c r="CB1025" s="1278" t="n"/>
      <c r="CC1025" s="1380" t="n"/>
    </row>
    <row r="1026" ht="14.4" customFormat="1" customHeight="1" s="1373">
      <c r="A1026" s="1834" t="n"/>
      <c r="B1026" s="1278" t="n"/>
      <c r="C1026" s="1817" t="n"/>
      <c r="D1026" s="1817" t="n"/>
      <c r="E1026" s="1278" t="n"/>
      <c r="F1026" s="1278" t="n"/>
      <c r="G1026" s="1278" t="n"/>
      <c r="H1026" s="1278" t="n"/>
      <c r="I1026" s="1278" t="n"/>
      <c r="J1026" s="1278" t="n"/>
      <c r="K1026" s="1278" t="n"/>
      <c r="L1026" s="1278" t="n"/>
      <c r="M1026" s="1278" t="n"/>
      <c r="N1026" s="1278" t="n"/>
      <c r="O1026" s="1278" t="n"/>
      <c r="P1026" s="1278" t="n"/>
      <c r="Q1026" s="1278" t="n"/>
      <c r="R1026" s="1278" t="n"/>
      <c r="S1026" s="1278" t="n"/>
      <c r="T1026" s="1278" t="n"/>
      <c r="U1026" s="1278" t="n"/>
      <c r="V1026" s="1278" t="n"/>
      <c r="W1026" s="1278" t="n"/>
      <c r="X1026" s="1278" t="n"/>
      <c r="Y1026" s="1278" t="n"/>
      <c r="Z1026" s="1278" t="n"/>
      <c r="AA1026" s="1278" t="n"/>
      <c r="AB1026" s="1278" t="n"/>
      <c r="AC1026" s="1278" t="n"/>
      <c r="AD1026" s="1278" t="n"/>
      <c r="AE1026" s="1278" t="n"/>
      <c r="AF1026" s="1278" t="n"/>
      <c r="AG1026" s="1278" t="n"/>
      <c r="AH1026" s="1278" t="n"/>
      <c r="AI1026" s="1278" t="n"/>
      <c r="AJ1026" s="1278" t="n"/>
      <c r="AK1026" s="1278" t="n"/>
      <c r="AL1026" s="1278" t="n"/>
      <c r="AM1026" s="1278" t="n"/>
      <c r="AN1026" s="1278" t="n"/>
      <c r="AO1026" s="1278" t="n"/>
      <c r="AP1026" s="1278" t="n"/>
      <c r="AQ1026" s="1278" t="n"/>
      <c r="AR1026" s="1278" t="n"/>
      <c r="AS1026" s="1278" t="n"/>
      <c r="AT1026" s="1278" t="n"/>
      <c r="AU1026" s="1278" t="n"/>
      <c r="AV1026" s="1278" t="n"/>
      <c r="AW1026" s="1278" t="n"/>
      <c r="AX1026" s="1278" t="n"/>
      <c r="AY1026" s="1278" t="n"/>
      <c r="AZ1026" s="1278" t="n"/>
      <c r="BA1026" s="1278" t="n"/>
      <c r="BB1026" s="1278" t="n"/>
      <c r="BC1026" s="1278" t="n"/>
      <c r="BD1026" s="1278" t="n"/>
      <c r="BE1026" s="1278" t="n"/>
      <c r="BF1026" s="1278" t="n"/>
      <c r="BG1026" s="1278" t="n"/>
      <c r="BH1026" s="1278" t="n"/>
      <c r="BI1026" s="1278" t="n"/>
      <c r="BJ1026" s="1278" t="n"/>
      <c r="BK1026" s="1278" t="n"/>
      <c r="BL1026" s="1278" t="n"/>
      <c r="BM1026" s="1278" t="n"/>
      <c r="BN1026" s="1278" t="n"/>
      <c r="BO1026" s="1279" t="n"/>
      <c r="BP1026" s="1278" t="n"/>
      <c r="BQ1026" s="1278" t="n"/>
      <c r="BR1026" s="1278" t="n"/>
      <c r="BS1026" s="1278" t="n"/>
      <c r="BT1026" s="1278" t="n"/>
      <c r="BU1026" s="1278" t="n"/>
      <c r="BV1026" s="1278" t="n"/>
      <c r="BW1026" s="1278" t="n"/>
      <c r="BX1026" s="1278" t="n"/>
      <c r="BY1026" s="1278" t="n"/>
      <c r="BZ1026" s="1278" t="n"/>
      <c r="CA1026" s="1278" t="n"/>
      <c r="CB1026" s="1278" t="n"/>
      <c r="CC1026" s="1380" t="n"/>
    </row>
    <row r="1027" ht="14.4" customFormat="1" customHeight="1" s="1373">
      <c r="A1027" s="1813" t="n"/>
      <c r="B1027" s="1824" t="n"/>
      <c r="C1027" s="1838" t="n"/>
      <c r="D1027" s="1838" t="n"/>
      <c r="E1027" s="1824" t="n"/>
      <c r="F1027" s="1824" t="n"/>
      <c r="G1027" s="1824" t="n"/>
      <c r="H1027" s="1824" t="n"/>
      <c r="I1027" s="1824" t="n"/>
      <c r="J1027" s="1824" t="n"/>
      <c r="K1027" s="1824" t="n"/>
      <c r="L1027" s="1824" t="n"/>
      <c r="M1027" s="1824" t="n"/>
      <c r="N1027" s="1824" t="n"/>
      <c r="O1027" s="1824" t="n"/>
      <c r="P1027" s="1824" t="n"/>
      <c r="Q1027" s="1824" t="n"/>
      <c r="R1027" s="1824" t="n"/>
      <c r="S1027" s="1824" t="n"/>
      <c r="T1027" s="1824" t="n"/>
      <c r="U1027" s="1824" t="n"/>
      <c r="V1027" s="1824" t="n"/>
      <c r="W1027" s="1824" t="n"/>
      <c r="X1027" s="1824" t="n"/>
      <c r="Y1027" s="1824" t="n"/>
      <c r="Z1027" s="1824" t="n"/>
      <c r="AA1027" s="1824" t="n"/>
      <c r="AB1027" s="1824" t="n"/>
      <c r="AC1027" s="1824" t="n"/>
      <c r="AD1027" s="1824" t="n"/>
      <c r="AE1027" s="1824" t="n"/>
      <c r="AF1027" s="1824" t="n"/>
      <c r="AG1027" s="1824" t="n"/>
      <c r="AH1027" s="1824" t="n"/>
      <c r="AI1027" s="1824" t="n"/>
      <c r="AJ1027" s="1824" t="n"/>
      <c r="AK1027" s="1824" t="n"/>
      <c r="AL1027" s="1824" t="n"/>
      <c r="AM1027" s="1824" t="n"/>
      <c r="AN1027" s="1824" t="n"/>
      <c r="AO1027" s="1824" t="n"/>
      <c r="AP1027" s="1824" t="n"/>
      <c r="AQ1027" s="1824" t="n"/>
      <c r="AR1027" s="1824" t="n"/>
      <c r="AS1027" s="1824" t="n"/>
      <c r="AT1027" s="1824" t="n"/>
      <c r="AU1027" s="1824" t="n"/>
      <c r="AV1027" s="1824" t="n"/>
      <c r="AW1027" s="1824" t="n"/>
      <c r="AX1027" s="1824" t="n"/>
      <c r="AY1027" s="1824" t="n"/>
      <c r="AZ1027" s="1824" t="n"/>
      <c r="BA1027" s="1824" t="n"/>
      <c r="BB1027" s="1824" t="n"/>
      <c r="BC1027" s="1824" t="n"/>
      <c r="BD1027" s="1824" t="n"/>
      <c r="BE1027" s="1824" t="n"/>
      <c r="BF1027" s="1824" t="n"/>
      <c r="BG1027" s="1824" t="n"/>
      <c r="BH1027" s="1824" t="n"/>
      <c r="BI1027" s="1824" t="n"/>
      <c r="BJ1027" s="1824" t="n"/>
      <c r="BK1027" s="1824" t="n"/>
      <c r="BL1027" s="1824" t="n"/>
      <c r="BM1027" s="1824" t="n"/>
      <c r="BN1027" s="1824" t="n"/>
      <c r="BO1027" s="1839" t="n"/>
      <c r="BP1027" s="1824" t="n"/>
      <c r="BQ1027" s="1824" t="n"/>
      <c r="BR1027" s="1824" t="n"/>
      <c r="BS1027" s="1824" t="n"/>
      <c r="BT1027" s="1824" t="n"/>
      <c r="BU1027" s="1824" t="n"/>
      <c r="BV1027" s="1824" t="n"/>
      <c r="BW1027" s="1824" t="n"/>
      <c r="BX1027" s="1824" t="n"/>
      <c r="BY1027" s="1824" t="n"/>
      <c r="BZ1027" s="1824" t="n"/>
      <c r="CA1027" s="1824" t="n"/>
      <c r="CB1027" s="1824" t="n"/>
      <c r="CC1027" s="1380" t="n"/>
    </row>
    <row r="1028" ht="14.4" customFormat="1" customHeight="1" s="1373">
      <c r="A1028" s="1840" t="inlineStr">
        <is>
          <t>Quarterly Guidance Table</t>
        </is>
      </c>
      <c r="B1028" s="1513" t="n"/>
      <c r="C1028" s="1841" t="n"/>
      <c r="D1028" s="1841" t="n"/>
      <c r="E1028" s="1513" t="n"/>
      <c r="F1028" s="1513" t="n"/>
      <c r="G1028" s="1513" t="n"/>
      <c r="H1028" s="1513" t="n"/>
      <c r="I1028" s="1513" t="n"/>
      <c r="J1028" s="1513" t="n"/>
      <c r="K1028" s="1513" t="n"/>
      <c r="L1028" s="1513" t="n"/>
      <c r="M1028" s="1513" t="n"/>
      <c r="N1028" s="1513" t="n"/>
      <c r="O1028" s="1513" t="n"/>
      <c r="P1028" s="1513" t="n"/>
      <c r="Q1028" s="1513" t="n"/>
      <c r="R1028" s="1513" t="n"/>
      <c r="S1028" s="1513" t="n"/>
      <c r="T1028" s="1513" t="n"/>
      <c r="U1028" s="1513" t="n"/>
      <c r="V1028" s="1513" t="n"/>
      <c r="W1028" s="1513" t="n"/>
      <c r="X1028" s="1513" t="n"/>
      <c r="Y1028" s="1513" t="n"/>
      <c r="Z1028" s="1513" t="n"/>
      <c r="AA1028" s="1513" t="n"/>
      <c r="AB1028" s="1513" t="n"/>
      <c r="AC1028" s="1513" t="n"/>
      <c r="AD1028" s="1513" t="n"/>
      <c r="AE1028" s="1513" t="n"/>
      <c r="AF1028" s="1513" t="n"/>
      <c r="AG1028" s="1513" t="n"/>
      <c r="AH1028" s="1513" t="n"/>
      <c r="AI1028" s="1513" t="n"/>
      <c r="AJ1028" s="1513" t="n"/>
      <c r="AK1028" s="1513" t="n"/>
      <c r="AL1028" s="1513" t="n"/>
      <c r="AM1028" s="1513" t="n"/>
      <c r="AN1028" s="1513" t="n"/>
      <c r="AO1028" s="1513" t="n"/>
      <c r="AP1028" s="1513" t="n"/>
      <c r="AQ1028" s="1513" t="n"/>
      <c r="AR1028" s="1513" t="n"/>
      <c r="AS1028" s="1513" t="n"/>
      <c r="AT1028" s="1513" t="n"/>
      <c r="AU1028" s="1513" t="n"/>
      <c r="AV1028" s="1513" t="n"/>
      <c r="AW1028" s="1513" t="n"/>
      <c r="AX1028" s="1513" t="n"/>
      <c r="AY1028" s="1513" t="n"/>
      <c r="AZ1028" s="1513" t="n"/>
      <c r="BA1028" s="1513" t="n"/>
      <c r="BB1028" s="1513" t="n"/>
      <c r="BC1028" s="1513" t="n"/>
      <c r="BD1028" s="1513" t="n"/>
      <c r="BE1028" s="1513" t="n"/>
      <c r="BF1028" s="1513" t="n"/>
      <c r="BG1028" s="1513" t="n"/>
      <c r="BH1028" s="1513" t="n"/>
      <c r="BI1028" s="1513" t="n"/>
      <c r="BJ1028" s="1513" t="n"/>
      <c r="BK1028" s="1513" t="n"/>
      <c r="BL1028" s="1513" t="n"/>
      <c r="BM1028" s="1513" t="n"/>
      <c r="BN1028" s="1513" t="n"/>
      <c r="BO1028" s="1842" t="n"/>
      <c r="BP1028" s="1513" t="n"/>
      <c r="BQ1028" s="1513" t="n"/>
      <c r="BR1028" s="1513" t="n"/>
      <c r="BS1028" s="1513" t="n"/>
      <c r="BT1028" s="1513" t="n"/>
      <c r="BU1028" s="1513" t="n"/>
      <c r="BV1028" s="1513" t="n"/>
      <c r="BW1028" s="1513" t="n"/>
      <c r="BX1028" s="1513" t="n"/>
      <c r="BY1028" s="1513" t="n"/>
      <c r="BZ1028" s="1513" t="n"/>
      <c r="CA1028" s="1513" t="n"/>
      <c r="CB1028" s="1843" t="n"/>
      <c r="CC1028" s="1380" t="n"/>
    </row>
    <row r="1029" ht="14.4" customFormat="1" customHeight="1" s="1373">
      <c r="A1029" s="1844" t="inlineStr">
        <is>
          <t>Reporting Date</t>
        </is>
      </c>
      <c r="B1029" s="1278" t="n"/>
      <c r="C1029" s="1845" t="n"/>
      <c r="D1029" s="1845" t="n"/>
      <c r="E1029" s="1846" t="n"/>
      <c r="F1029" s="1846" t="n"/>
      <c r="G1029" s="1846" t="n"/>
      <c r="H1029" s="1846" t="n"/>
      <c r="I1029" s="1846" t="n"/>
      <c r="J1029" s="1846" t="n"/>
      <c r="K1029" s="1846" t="n"/>
      <c r="L1029" s="1846" t="n"/>
      <c r="M1029" s="1846" t="n"/>
      <c r="N1029" s="1846" t="n"/>
      <c r="O1029" s="1846" t="n"/>
      <c r="P1029" s="1846" t="n"/>
      <c r="Q1029" s="1846" t="n"/>
      <c r="R1029" s="1846" t="n"/>
      <c r="S1029" s="1846" t="n"/>
      <c r="T1029" s="1846" t="n"/>
      <c r="U1029" s="1846" t="n"/>
      <c r="V1029" s="1846" t="n"/>
      <c r="W1029" s="1846" t="n"/>
      <c r="X1029" s="1846" t="n"/>
      <c r="Y1029" s="1846" t="n"/>
      <c r="Z1029" s="1847" t="n">
        <v>43118</v>
      </c>
      <c r="AA1029" s="1847" t="n">
        <v>43118</v>
      </c>
      <c r="AB1029" s="1847" t="n">
        <v>43209</v>
      </c>
      <c r="AC1029" s="1847" t="n">
        <v>43300</v>
      </c>
      <c r="AD1029" s="1847" t="n">
        <v>43391</v>
      </c>
      <c r="AE1029" s="1847" t="n">
        <v>43482</v>
      </c>
      <c r="AF1029" s="1847" t="n">
        <v>43482</v>
      </c>
      <c r="AG1029" s="1847" t="n">
        <v>43573</v>
      </c>
      <c r="AH1029" s="1847" t="n">
        <v>43664</v>
      </c>
      <c r="AI1029" s="1847" t="n">
        <v>43755</v>
      </c>
      <c r="AJ1029" s="1847" t="n">
        <v>43846</v>
      </c>
      <c r="AK1029" s="1847" t="n">
        <v>43846</v>
      </c>
      <c r="AL1029" s="1847" t="n">
        <v>43937</v>
      </c>
      <c r="AM1029" s="1847" t="n">
        <v>44028</v>
      </c>
      <c r="AN1029" s="1847" t="n">
        <v>44119</v>
      </c>
      <c r="AO1029" s="1847" t="n">
        <v>44210</v>
      </c>
      <c r="AP1029" s="1847" t="n">
        <v>44210</v>
      </c>
      <c r="AQ1029" s="1847" t="n">
        <v>44301</v>
      </c>
      <c r="AR1029" s="1847" t="n">
        <v>44392</v>
      </c>
      <c r="AS1029" s="1847" t="n">
        <v>44483</v>
      </c>
      <c r="AT1029" s="1847" t="n">
        <v>44573</v>
      </c>
      <c r="AU1029" s="1847" t="n">
        <v>44573</v>
      </c>
      <c r="AV1029" s="1847" t="n">
        <v>44665</v>
      </c>
      <c r="AW1029" s="1847" t="n">
        <v>44756</v>
      </c>
      <c r="AX1029" s="1847" t="n">
        <v>44847</v>
      </c>
      <c r="AY1029" s="1847" t="n">
        <v>44937</v>
      </c>
      <c r="AZ1029" s="1847" t="n">
        <v>44937</v>
      </c>
      <c r="BA1029" s="1847" t="n">
        <v>45036</v>
      </c>
      <c r="BB1029" s="1847" t="n">
        <v>45127</v>
      </c>
      <c r="BC1029" s="1847" t="n">
        <v>45218</v>
      </c>
      <c r="BD1029" s="1847" t="n">
        <v>45309</v>
      </c>
      <c r="BE1029" s="1847" t="n">
        <v>45309</v>
      </c>
      <c r="BF1029" s="1847" t="n">
        <v>45400</v>
      </c>
      <c r="BG1029" s="1847" t="n">
        <v>45491</v>
      </c>
      <c r="BH1029" s="1847" t="n">
        <v>45582</v>
      </c>
      <c r="BI1029" s="1847" t="n">
        <v>45673</v>
      </c>
      <c r="BJ1029" s="1847" t="n">
        <v>45673</v>
      </c>
      <c r="BK1029" s="1847" t="n">
        <v>45764</v>
      </c>
      <c r="BL1029" s="1847" t="n">
        <v>45855</v>
      </c>
      <c r="BM1029" s="1847" t="n">
        <v>45946</v>
      </c>
      <c r="BN1029" s="1847" t="n">
        <v>46037</v>
      </c>
      <c r="BO1029" s="1848" t="n">
        <v>46037</v>
      </c>
      <c r="BP1029" s="1846" t="n"/>
      <c r="BQ1029" s="1846" t="n"/>
      <c r="BR1029" s="1846" t="n"/>
      <c r="BS1029" s="1846" t="n"/>
      <c r="BT1029" s="1846" t="n"/>
      <c r="BU1029" s="1846" t="n"/>
      <c r="BV1029" s="1846" t="n"/>
      <c r="BW1029" s="1846" t="n"/>
      <c r="BX1029" s="1846" t="n"/>
      <c r="BY1029" s="1846" t="n"/>
      <c r="BZ1029" s="1846" t="n"/>
      <c r="CA1029" s="1846" t="n"/>
      <c r="CB1029" s="1849" t="n"/>
      <c r="CC1029" s="1380" t="n"/>
    </row>
    <row r="1030" ht="14.4" customFormat="1" customHeight="1" s="1373">
      <c r="A1030" s="1844" t="inlineStr">
        <is>
          <t>Applicable Period</t>
        </is>
      </c>
      <c r="B1030" s="1278" t="n"/>
      <c r="C1030" s="646" t="n"/>
      <c r="D1030" s="646" t="n"/>
      <c r="E1030" s="506" t="n"/>
      <c r="F1030" s="506" t="n"/>
      <c r="G1030" s="506" t="n"/>
      <c r="H1030" s="506" t="n"/>
      <c r="I1030" s="506" t="n"/>
      <c r="J1030" s="506" t="n"/>
      <c r="K1030" s="506" t="n"/>
      <c r="L1030" s="506" t="n"/>
      <c r="M1030" s="506" t="n"/>
      <c r="N1030" s="506" t="n"/>
      <c r="O1030" s="506" t="n"/>
      <c r="P1030" s="506" t="n"/>
      <c r="Q1030" s="506" t="n"/>
      <c r="R1030" s="506" t="n"/>
      <c r="S1030" s="506" t="n"/>
      <c r="T1030" s="506" t="n"/>
      <c r="U1030" s="506" t="n"/>
      <c r="V1030" s="506" t="n"/>
      <c r="W1030" s="506" t="n"/>
      <c r="X1030" s="506" t="n"/>
      <c r="Y1030" s="506" t="n"/>
      <c r="Z1030" s="506">
        <f>AB$5</f>
        <v/>
      </c>
      <c r="AA1030" s="506">
        <f>AB$5</f>
        <v/>
      </c>
      <c r="AB1030" s="506">
        <f>AC$5</f>
        <v/>
      </c>
      <c r="AC1030" s="506">
        <f>AD$5</f>
        <v/>
      </c>
      <c r="AD1030" s="506">
        <f>AE$5</f>
        <v/>
      </c>
      <c r="AE1030" s="506">
        <f>AG$5</f>
        <v/>
      </c>
      <c r="AF1030" s="506">
        <f>AG$5</f>
        <v/>
      </c>
      <c r="AG1030" s="506">
        <f>AH$5</f>
        <v/>
      </c>
      <c r="AH1030" s="506">
        <f>AI$5</f>
        <v/>
      </c>
      <c r="AI1030" s="506">
        <f>AJ$5</f>
        <v/>
      </c>
      <c r="AJ1030" s="506">
        <f>AL$5</f>
        <v/>
      </c>
      <c r="AK1030" s="506">
        <f>AL$5</f>
        <v/>
      </c>
      <c r="AL1030" s="506">
        <f>AM$5</f>
        <v/>
      </c>
      <c r="AM1030" s="506">
        <f>AN$5</f>
        <v/>
      </c>
      <c r="AN1030" s="506">
        <f>AO$5</f>
        <v/>
      </c>
      <c r="AO1030" s="506">
        <f>AQ$5</f>
        <v/>
      </c>
      <c r="AP1030" s="506">
        <f>AQ$5</f>
        <v/>
      </c>
      <c r="AQ1030" s="506">
        <f>AR$5</f>
        <v/>
      </c>
      <c r="AR1030" s="506">
        <f>AS$5</f>
        <v/>
      </c>
      <c r="AS1030" s="506">
        <f>AT$5</f>
        <v/>
      </c>
      <c r="AT1030" s="506">
        <f>AV$5</f>
        <v/>
      </c>
      <c r="AU1030" s="506">
        <f>AV$5</f>
        <v/>
      </c>
      <c r="AV1030" s="506">
        <f>AW$5</f>
        <v/>
      </c>
      <c r="AW1030" s="506">
        <f>AX$5</f>
        <v/>
      </c>
      <c r="AX1030" s="506">
        <f>AY$5</f>
        <v/>
      </c>
      <c r="AY1030" s="506">
        <f>BA$5</f>
        <v/>
      </c>
      <c r="AZ1030" s="506">
        <f>BA$5</f>
        <v/>
      </c>
      <c r="BA1030" s="506">
        <f>BB$5</f>
        <v/>
      </c>
      <c r="BB1030" s="506">
        <f>BC$5</f>
        <v/>
      </c>
      <c r="BC1030" s="506">
        <f>BD$5</f>
        <v/>
      </c>
      <c r="BD1030" s="506">
        <f>BF$5</f>
        <v/>
      </c>
      <c r="BE1030" s="506">
        <f>BF$5</f>
        <v/>
      </c>
      <c r="BF1030" s="506">
        <f>BG$5</f>
        <v/>
      </c>
      <c r="BG1030" s="506">
        <f>BH$5</f>
        <v/>
      </c>
      <c r="BH1030" s="506">
        <f>BI$5</f>
        <v/>
      </c>
      <c r="BI1030" s="506">
        <f>BK$5</f>
        <v/>
      </c>
      <c r="BJ1030" s="506">
        <f>BK$5</f>
        <v/>
      </c>
      <c r="BK1030" s="506">
        <f>BL$5</f>
        <v/>
      </c>
      <c r="BL1030" s="506">
        <f>BM$5</f>
        <v/>
      </c>
      <c r="BM1030" s="506">
        <f>BN$5</f>
        <v/>
      </c>
      <c r="BN1030" s="506">
        <f>BP$5</f>
        <v/>
      </c>
      <c r="BO1030" s="586">
        <f>BP$5</f>
        <v/>
      </c>
      <c r="BP1030" s="506" t="n"/>
      <c r="BQ1030" s="506" t="n"/>
      <c r="BR1030" s="506" t="n"/>
      <c r="BS1030" s="506" t="n"/>
      <c r="BT1030" s="506" t="n"/>
      <c r="BU1030" s="506" t="n"/>
      <c r="BV1030" s="506" t="n"/>
      <c r="BW1030" s="506" t="n"/>
      <c r="BX1030" s="506" t="n"/>
      <c r="BY1030" s="506" t="n"/>
      <c r="BZ1030" s="506" t="n"/>
      <c r="CA1030" s="506" t="n"/>
      <c r="CB1030" s="507" t="n"/>
      <c r="CC1030" s="1380" t="n"/>
    </row>
    <row r="1031" ht="14.4" customFormat="1" customHeight="1" s="1373">
      <c r="A1031" s="1850" t="n"/>
      <c r="B1031" s="1487" t="n"/>
      <c r="C1031" s="1851" t="n"/>
      <c r="D1031" s="1851" t="n"/>
      <c r="E1031" s="1487" t="n"/>
      <c r="F1031" s="1487" t="n"/>
      <c r="G1031" s="1487" t="n"/>
      <c r="H1031" s="1487" t="n"/>
      <c r="I1031" s="1487" t="n"/>
      <c r="J1031" s="1487" t="n"/>
      <c r="K1031" s="1487" t="n"/>
      <c r="L1031" s="1487" t="n"/>
      <c r="M1031" s="1487" t="n"/>
      <c r="N1031" s="1487" t="n"/>
      <c r="O1031" s="1487" t="n"/>
      <c r="P1031" s="1487" t="n"/>
      <c r="Q1031" s="1487" t="n"/>
      <c r="R1031" s="1487" t="n"/>
      <c r="S1031" s="1487" t="n"/>
      <c r="T1031" s="1487" t="n"/>
      <c r="U1031" s="1487" t="n"/>
      <c r="V1031" s="1487" t="n"/>
      <c r="W1031" s="1487" t="n"/>
      <c r="X1031" s="1487" t="n"/>
      <c r="Y1031" s="1487" t="n"/>
      <c r="Z1031" s="1487" t="n"/>
      <c r="AA1031" s="1487" t="n"/>
      <c r="AB1031" s="1487" t="n"/>
      <c r="AC1031" s="1487" t="n"/>
      <c r="AD1031" s="1487" t="n"/>
      <c r="AE1031" s="1487" t="n"/>
      <c r="AF1031" s="1487" t="n"/>
      <c r="AG1031" s="1487" t="n"/>
      <c r="AH1031" s="1487" t="n"/>
      <c r="AI1031" s="1487" t="n"/>
      <c r="AJ1031" s="1487" t="n"/>
      <c r="AK1031" s="1487" t="n"/>
      <c r="AL1031" s="1487" t="n"/>
      <c r="AM1031" s="1487" t="n"/>
      <c r="AN1031" s="1487" t="n"/>
      <c r="AO1031" s="1487" t="n"/>
      <c r="AP1031" s="1487" t="n"/>
      <c r="AQ1031" s="1487" t="n"/>
      <c r="AR1031" s="1487" t="n"/>
      <c r="AS1031" s="1487" t="n"/>
      <c r="AT1031" s="1487" t="n"/>
      <c r="AU1031" s="1487" t="n"/>
      <c r="AV1031" s="1487" t="n"/>
      <c r="AW1031" s="1487" t="n"/>
      <c r="AX1031" s="1487" t="n"/>
      <c r="AY1031" s="1487" t="n"/>
      <c r="AZ1031" s="1487" t="n"/>
      <c r="BA1031" s="1487" t="n"/>
      <c r="BB1031" s="1487" t="n"/>
      <c r="BC1031" s="1487" t="n"/>
      <c r="BD1031" s="1487" t="n"/>
      <c r="BE1031" s="1487" t="n"/>
      <c r="BF1031" s="1487" t="n"/>
      <c r="BG1031" s="1487" t="n"/>
      <c r="BH1031" s="1487" t="n"/>
      <c r="BI1031" s="1487" t="n"/>
      <c r="BJ1031" s="1487" t="n"/>
      <c r="BK1031" s="1487" t="n"/>
      <c r="BL1031" s="1487" t="n"/>
      <c r="BM1031" s="1487" t="n"/>
      <c r="BN1031" s="1487" t="n"/>
      <c r="BO1031" s="1852" t="n"/>
      <c r="BP1031" s="1487" t="n"/>
      <c r="BQ1031" s="1487" t="n"/>
      <c r="BR1031" s="1487" t="n"/>
      <c r="BS1031" s="1487" t="n"/>
      <c r="BT1031" s="1487" t="n"/>
      <c r="BU1031" s="1487" t="n"/>
      <c r="BV1031" s="1487" t="n"/>
      <c r="BW1031" s="1487" t="n"/>
      <c r="BX1031" s="1487" t="n"/>
      <c r="BY1031" s="1487" t="n"/>
      <c r="BZ1031" s="1487" t="n"/>
      <c r="CA1031" s="1487" t="n"/>
      <c r="CB1031" s="1853" t="n"/>
      <c r="CC1031" s="1380" t="n"/>
    </row>
    <row r="1032" ht="14.4" customFormat="1" customHeight="1" s="1373">
      <c r="A1032" s="1813" t="n"/>
      <c r="B1032" s="1824" t="n"/>
      <c r="C1032" s="1838" t="n"/>
      <c r="D1032" s="1838" t="n"/>
      <c r="E1032" s="1824" t="n"/>
      <c r="F1032" s="1824" t="n"/>
      <c r="G1032" s="1824" t="n"/>
      <c r="H1032" s="1824" t="n"/>
      <c r="I1032" s="1824" t="n"/>
      <c r="J1032" s="1824" t="n"/>
      <c r="K1032" s="1824" t="n"/>
      <c r="L1032" s="1824" t="n"/>
      <c r="M1032" s="1824" t="n"/>
      <c r="N1032" s="1824" t="n"/>
      <c r="O1032" s="1824" t="n"/>
      <c r="P1032" s="1824" t="n"/>
      <c r="Q1032" s="1824" t="n"/>
      <c r="R1032" s="1824" t="n"/>
      <c r="S1032" s="1824" t="n"/>
      <c r="T1032" s="1824" t="n"/>
      <c r="U1032" s="1824" t="n"/>
      <c r="V1032" s="1824" t="n"/>
      <c r="W1032" s="1824" t="n"/>
      <c r="X1032" s="1824" t="n"/>
      <c r="Y1032" s="1824" t="n"/>
      <c r="Z1032" s="1824" t="n"/>
      <c r="AA1032" s="1824" t="n"/>
      <c r="AB1032" s="1824" t="n"/>
      <c r="AC1032" s="1824" t="n"/>
      <c r="AD1032" s="1824" t="n"/>
      <c r="AE1032" s="1824" t="n"/>
      <c r="AF1032" s="1824" t="n"/>
      <c r="AG1032" s="1824" t="n"/>
      <c r="AH1032" s="1824" t="n"/>
      <c r="AI1032" s="1824" t="n"/>
      <c r="AJ1032" s="1824" t="n"/>
      <c r="AK1032" s="1824" t="n"/>
      <c r="AL1032" s="1824" t="n"/>
      <c r="AM1032" s="1824" t="n"/>
      <c r="AN1032" s="1824" t="n"/>
      <c r="AO1032" s="1824" t="n"/>
      <c r="AP1032" s="1824" t="n"/>
      <c r="AQ1032" s="1824" t="n"/>
      <c r="AR1032" s="1824" t="n"/>
      <c r="AS1032" s="1824" t="n"/>
      <c r="AT1032" s="1824" t="n"/>
      <c r="AU1032" s="1824" t="n"/>
      <c r="AV1032" s="1824" t="n"/>
      <c r="AW1032" s="1824" t="n"/>
      <c r="AX1032" s="1824" t="n"/>
      <c r="AY1032" s="1824" t="n"/>
      <c r="AZ1032" s="1824" t="n"/>
      <c r="BA1032" s="1824" t="n"/>
      <c r="BB1032" s="1824" t="n"/>
      <c r="BC1032" s="1824" t="n"/>
      <c r="BD1032" s="1824" t="n"/>
      <c r="BE1032" s="1824" t="n"/>
      <c r="BF1032" s="1824" t="n"/>
      <c r="BG1032" s="1824" t="n"/>
      <c r="BH1032" s="1824" t="n"/>
      <c r="BI1032" s="1824" t="n"/>
      <c r="BJ1032" s="1824" t="n"/>
      <c r="BK1032" s="1824" t="n"/>
      <c r="BL1032" s="1824" t="n"/>
      <c r="BM1032" s="1824" t="n"/>
      <c r="BN1032" s="1824" t="n"/>
      <c r="BO1032" s="1839" t="n"/>
      <c r="BP1032" s="1824" t="n"/>
      <c r="BQ1032" s="1824" t="n"/>
      <c r="BR1032" s="1824" t="n"/>
      <c r="BS1032" s="1824" t="n"/>
      <c r="BT1032" s="1824" t="n"/>
      <c r="BU1032" s="1824" t="n"/>
      <c r="BV1032" s="1824" t="n"/>
      <c r="BW1032" s="1824" t="n"/>
      <c r="BX1032" s="1824" t="n"/>
      <c r="BY1032" s="1824" t="n"/>
      <c r="BZ1032" s="1824" t="n"/>
      <c r="CA1032" s="1824" t="n"/>
      <c r="CB1032" s="1824" t="n"/>
      <c r="CC1032" s="1380" t="n"/>
    </row>
    <row r="1033" ht="14.4" customFormat="1" customHeight="1" s="1373">
      <c r="A1033" s="1840" t="inlineStr">
        <is>
          <t>Annual Guidance Table</t>
        </is>
      </c>
      <c r="B1033" s="1513" t="n"/>
      <c r="C1033" s="1841" t="n"/>
      <c r="D1033" s="1841" t="n"/>
      <c r="E1033" s="1513" t="n"/>
      <c r="F1033" s="1513" t="n"/>
      <c r="G1033" s="1513" t="n"/>
      <c r="H1033" s="1513" t="n"/>
      <c r="I1033" s="1513" t="n"/>
      <c r="J1033" s="1513" t="n"/>
      <c r="K1033" s="1513" t="n"/>
      <c r="L1033" s="1513" t="n"/>
      <c r="M1033" s="1513" t="n"/>
      <c r="N1033" s="1513" t="n"/>
      <c r="O1033" s="1513" t="n"/>
      <c r="P1033" s="1513" t="n"/>
      <c r="Q1033" s="1513" t="n"/>
      <c r="R1033" s="1513" t="n"/>
      <c r="S1033" s="1513" t="n"/>
      <c r="T1033" s="1513" t="n"/>
      <c r="U1033" s="1513" t="n"/>
      <c r="V1033" s="1513" t="n"/>
      <c r="W1033" s="1513" t="n"/>
      <c r="X1033" s="1513" t="n"/>
      <c r="Y1033" s="1513" t="n"/>
      <c r="Z1033" s="1513" t="n"/>
      <c r="AA1033" s="1513" t="n"/>
      <c r="AB1033" s="1513" t="n"/>
      <c r="AC1033" s="1513" t="n"/>
      <c r="AD1033" s="1513" t="n"/>
      <c r="AE1033" s="1513" t="n"/>
      <c r="AF1033" s="1513" t="n"/>
      <c r="AG1033" s="1513" t="n"/>
      <c r="AH1033" s="1513" t="n"/>
      <c r="AI1033" s="1513" t="n"/>
      <c r="AJ1033" s="1513" t="n"/>
      <c r="AK1033" s="1513" t="n"/>
      <c r="AL1033" s="1513" t="n"/>
      <c r="AM1033" s="1513" t="n"/>
      <c r="AN1033" s="1513" t="n"/>
      <c r="AO1033" s="1513" t="n"/>
      <c r="AP1033" s="1513" t="n"/>
      <c r="AQ1033" s="1513" t="n"/>
      <c r="AR1033" s="1513" t="n"/>
      <c r="AS1033" s="1513" t="n"/>
      <c r="AT1033" s="1513" t="n"/>
      <c r="AU1033" s="1513" t="n"/>
      <c r="AV1033" s="1513" t="n"/>
      <c r="AW1033" s="1513" t="n"/>
      <c r="AX1033" s="1513" t="n"/>
      <c r="AY1033" s="1513" t="n"/>
      <c r="AZ1033" s="1513" t="n"/>
      <c r="BA1033" s="1513" t="n"/>
      <c r="BB1033" s="1513" t="n"/>
      <c r="BC1033" s="1513" t="n"/>
      <c r="BD1033" s="1513" t="n"/>
      <c r="BE1033" s="1513" t="n"/>
      <c r="BF1033" s="1513" t="n"/>
      <c r="BG1033" s="1513" t="n"/>
      <c r="BH1033" s="1513" t="n"/>
      <c r="BI1033" s="1513" t="n"/>
      <c r="BJ1033" s="1513" t="n"/>
      <c r="BK1033" s="1513" t="n"/>
      <c r="BL1033" s="1513" t="n"/>
      <c r="BM1033" s="1513" t="n"/>
      <c r="BN1033" s="1513" t="n"/>
      <c r="BO1033" s="1842" t="n"/>
      <c r="BP1033" s="1513" t="n"/>
      <c r="BQ1033" s="1513" t="n"/>
      <c r="BR1033" s="1513" t="n"/>
      <c r="BS1033" s="1513" t="n"/>
      <c r="BT1033" s="1513" t="n"/>
      <c r="BU1033" s="1513" t="n"/>
      <c r="BV1033" s="1513" t="n"/>
      <c r="BW1033" s="1513" t="n"/>
      <c r="BX1033" s="1513" t="n"/>
      <c r="BY1033" s="1513" t="n"/>
      <c r="BZ1033" s="1513" t="n"/>
      <c r="CA1033" s="1513" t="n"/>
      <c r="CB1033" s="1843" t="n"/>
      <c r="CC1033" s="1380" t="n"/>
    </row>
    <row r="1034" ht="14.4" customFormat="1" customHeight="1" s="1373">
      <c r="A1034" s="1844" t="inlineStr">
        <is>
          <t>Reporting Date</t>
        </is>
      </c>
      <c r="B1034" s="1278" t="n"/>
      <c r="C1034" s="1845" t="n"/>
      <c r="D1034" s="1845" t="n"/>
      <c r="E1034" s="1846" t="n"/>
      <c r="F1034" s="1846" t="n"/>
      <c r="G1034" s="1846" t="n"/>
      <c r="H1034" s="1846" t="n"/>
      <c r="I1034" s="1846" t="n"/>
      <c r="J1034" s="1846" t="n"/>
      <c r="K1034" s="1846" t="n"/>
      <c r="L1034" s="1846" t="n"/>
      <c r="M1034" s="1846" t="n"/>
      <c r="N1034" s="1846" t="n"/>
      <c r="O1034" s="1846" t="n"/>
      <c r="P1034" s="1846" t="n"/>
      <c r="Q1034" s="1846" t="n"/>
      <c r="R1034" s="1846" t="n"/>
      <c r="S1034" s="1846" t="n"/>
      <c r="T1034" s="1846" t="n"/>
      <c r="U1034" s="1846" t="n"/>
      <c r="V1034" s="1846" t="n"/>
      <c r="W1034" s="1846" t="n"/>
      <c r="X1034" s="1846" t="n"/>
      <c r="Y1034" s="1846" t="n"/>
      <c r="Z1034" s="1846">
        <f>Z1029</f>
        <v/>
      </c>
      <c r="AA1034" s="1846">
        <f>AA1029</f>
        <v/>
      </c>
      <c r="AB1034" s="1846">
        <f>AB1029</f>
        <v/>
      </c>
      <c r="AC1034" s="1846">
        <f>AC1029</f>
        <v/>
      </c>
      <c r="AD1034" s="1846">
        <f>AD1029</f>
        <v/>
      </c>
      <c r="AE1034" s="1846">
        <f>AE1029</f>
        <v/>
      </c>
      <c r="AF1034" s="1846">
        <f>AF1029</f>
        <v/>
      </c>
      <c r="AG1034" s="1846">
        <f>AG1029</f>
        <v/>
      </c>
      <c r="AH1034" s="1846">
        <f>AH1029</f>
        <v/>
      </c>
      <c r="AI1034" s="1846">
        <f>AI1029</f>
        <v/>
      </c>
      <c r="AJ1034" s="1846">
        <f>AJ1029</f>
        <v/>
      </c>
      <c r="AK1034" s="1846">
        <f>AK1029</f>
        <v/>
      </c>
      <c r="AL1034" s="1846">
        <f>AL1029</f>
        <v/>
      </c>
      <c r="AM1034" s="1846">
        <f>AM1029</f>
        <v/>
      </c>
      <c r="AN1034" s="1846">
        <f>AN1029</f>
        <v/>
      </c>
      <c r="AO1034" s="1846">
        <f>AO1029</f>
        <v/>
      </c>
      <c r="AP1034" s="1846">
        <f>AP1029</f>
        <v/>
      </c>
      <c r="AQ1034" s="1846">
        <f>AQ1029</f>
        <v/>
      </c>
      <c r="AR1034" s="1846">
        <f>AR1029</f>
        <v/>
      </c>
      <c r="AS1034" s="1846">
        <f>AS1029</f>
        <v/>
      </c>
      <c r="AT1034" s="1846">
        <f>AT1029</f>
        <v/>
      </c>
      <c r="AU1034" s="1846">
        <f>AU1029</f>
        <v/>
      </c>
      <c r="AV1034" s="1846">
        <f>AV1029</f>
        <v/>
      </c>
      <c r="AW1034" s="1846">
        <f>AW1029</f>
        <v/>
      </c>
      <c r="AX1034" s="1846">
        <f>AX1029</f>
        <v/>
      </c>
      <c r="AY1034" s="1846">
        <f>AY1029</f>
        <v/>
      </c>
      <c r="AZ1034" s="1846">
        <f>AZ1029</f>
        <v/>
      </c>
      <c r="BA1034" s="1846">
        <f>BA1029</f>
        <v/>
      </c>
      <c r="BB1034" s="1846">
        <f>BB1029</f>
        <v/>
      </c>
      <c r="BC1034" s="1846">
        <f>BC1029</f>
        <v/>
      </c>
      <c r="BD1034" s="1846">
        <f>BD1029</f>
        <v/>
      </c>
      <c r="BE1034" s="1846">
        <f>BE1029</f>
        <v/>
      </c>
      <c r="BF1034" s="1846">
        <f>BF1029</f>
        <v/>
      </c>
      <c r="BG1034" s="1846">
        <f>BG1029</f>
        <v/>
      </c>
      <c r="BH1034" s="1846">
        <f>BH1029</f>
        <v/>
      </c>
      <c r="BI1034" s="1846">
        <f>BI1029</f>
        <v/>
      </c>
      <c r="BJ1034" s="1846">
        <f>BJ1029</f>
        <v/>
      </c>
      <c r="BK1034" s="1846">
        <f>BK1029</f>
        <v/>
      </c>
      <c r="BL1034" s="1846">
        <f>BL1029</f>
        <v/>
      </c>
      <c r="BM1034" s="1846">
        <f>BM1029</f>
        <v/>
      </c>
      <c r="BN1034" s="1846">
        <f>BN1029</f>
        <v/>
      </c>
      <c r="BO1034" s="1854">
        <f>BO1029</f>
        <v/>
      </c>
      <c r="BP1034" s="1846" t="n"/>
      <c r="BQ1034" s="1846" t="n"/>
      <c r="BR1034" s="1846" t="n"/>
      <c r="BS1034" s="1846" t="n"/>
      <c r="BT1034" s="1846" t="n"/>
      <c r="BU1034" s="1846" t="n"/>
      <c r="BV1034" s="1846" t="n"/>
      <c r="BW1034" s="1846" t="n"/>
      <c r="BX1034" s="1846" t="n"/>
      <c r="BY1034" s="1846" t="n"/>
      <c r="BZ1034" s="1846" t="n"/>
      <c r="CA1034" s="1846" t="n"/>
      <c r="CB1034" s="1849" t="n"/>
      <c r="CC1034" s="1380" t="n"/>
    </row>
    <row r="1035" ht="14.4" customFormat="1" customHeight="1" s="1373">
      <c r="A1035" s="1844" t="inlineStr">
        <is>
          <t>Is Latest</t>
        </is>
      </c>
      <c r="B1035" s="1278" t="n"/>
      <c r="C1035" s="646" t="n"/>
      <c r="D1035" s="646" t="n"/>
      <c r="E1035" s="506" t="n"/>
      <c r="F1035" s="506" t="n"/>
      <c r="G1035" s="506" t="n"/>
      <c r="H1035" s="506" t="n"/>
      <c r="I1035" s="506" t="n"/>
      <c r="J1035" s="506" t="n"/>
      <c r="K1035" s="506" t="n"/>
      <c r="L1035" s="506" t="n"/>
      <c r="M1035" s="506" t="n"/>
      <c r="N1035" s="506" t="n"/>
      <c r="O1035" s="506" t="n"/>
      <c r="P1035" s="506" t="n"/>
      <c r="Q1035" s="506" t="n"/>
      <c r="R1035" s="506" t="n"/>
      <c r="S1035" s="506" t="n"/>
      <c r="T1035" s="506" t="n"/>
      <c r="U1035" s="506" t="n"/>
      <c r="V1035" s="506" t="n"/>
      <c r="W1035" s="506" t="n"/>
      <c r="X1035" s="506" t="n"/>
      <c r="Y1035" s="506" t="n"/>
      <c r="Z1035" s="506">
        <f>IF(Z1036=AA1036,"",Z1036)</f>
        <v/>
      </c>
      <c r="AA1035" s="506">
        <f>IF(AA1036=AB1036,"",AA1036)</f>
        <v/>
      </c>
      <c r="AB1035" s="506">
        <f>IF(AB1036=AC1036,"",AB1036)</f>
        <v/>
      </c>
      <c r="AC1035" s="506">
        <f>IF(AC1036=AD1036,"",AC1036)</f>
        <v/>
      </c>
      <c r="AD1035" s="506">
        <f>IF(AD1036=AE1036,"",AD1036)</f>
        <v/>
      </c>
      <c r="AE1035" s="506">
        <f>IF(AE1036=AF1036,"",AE1036)</f>
        <v/>
      </c>
      <c r="AF1035" s="506">
        <f>IF(AF1036=AG1036,"",AF1036)</f>
        <v/>
      </c>
      <c r="AG1035" s="506">
        <f>IF(AG1036=AH1036,"",AG1036)</f>
        <v/>
      </c>
      <c r="AH1035" s="506">
        <f>IF(AH1036=AI1036,"",AH1036)</f>
        <v/>
      </c>
      <c r="AI1035" s="506">
        <f>IF(AI1036=AJ1036,"",AI1036)</f>
        <v/>
      </c>
      <c r="AJ1035" s="506">
        <f>IF(AJ1036=AK1036,"",AJ1036)</f>
        <v/>
      </c>
      <c r="AK1035" s="506">
        <f>IF(AK1036=AL1036,"",AK1036)</f>
        <v/>
      </c>
      <c r="AL1035" s="506">
        <f>IF(AL1036=AM1036,"",AL1036)</f>
        <v/>
      </c>
      <c r="AM1035" s="506">
        <f>IF(AM1036=AN1036,"",AM1036)</f>
        <v/>
      </c>
      <c r="AN1035" s="506">
        <f>IF(AN1036=AO1036,"",AN1036)</f>
        <v/>
      </c>
      <c r="AO1035" s="506">
        <f>IF(AO1036=AP1036,"",AO1036)</f>
        <v/>
      </c>
      <c r="AP1035" s="506">
        <f>IF(AP1036=AQ1036,"",AP1036)</f>
        <v/>
      </c>
      <c r="AQ1035" s="506">
        <f>IF(AQ1036=AR1036,"",AQ1036)</f>
        <v/>
      </c>
      <c r="AR1035" s="506">
        <f>IF(AR1036=AS1036,"",AR1036)</f>
        <v/>
      </c>
      <c r="AS1035" s="506">
        <f>IF(AS1036=AT1036,"",AS1036)</f>
        <v/>
      </c>
      <c r="AT1035" s="506">
        <f>IF(AT1036=AU1036,"",AT1036)</f>
        <v/>
      </c>
      <c r="AU1035" s="506">
        <f>IF(AU1036=AV1036,"",AU1036)</f>
        <v/>
      </c>
      <c r="AV1035" s="506">
        <f>IF(AV1036=AW1036,"",AV1036)</f>
        <v/>
      </c>
      <c r="AW1035" s="506">
        <f>IF(AW1036=AX1036,"",AW1036)</f>
        <v/>
      </c>
      <c r="AX1035" s="506">
        <f>IF(AX1036=AY1036,"",AX1036)</f>
        <v/>
      </c>
      <c r="AY1035" s="506">
        <f>IF(AY1036=AZ1036,"",AY1036)</f>
        <v/>
      </c>
      <c r="AZ1035" s="506">
        <f>IF(AZ1036=BA1036,"",AZ1036)</f>
        <v/>
      </c>
      <c r="BA1035" s="506">
        <f>IF(BA1036=BB1036,"",BA1036)</f>
        <v/>
      </c>
      <c r="BB1035" s="506">
        <f>IF(BB1036=BC1036,"",BB1036)</f>
        <v/>
      </c>
      <c r="BC1035" s="506">
        <f>IF(BC1036=BD1036,"",BC1036)</f>
        <v/>
      </c>
      <c r="BD1035" s="506">
        <f>IF(BD1036=BE1036,"",BD1036)</f>
        <v/>
      </c>
      <c r="BE1035" s="506">
        <f>IF(BE1036=BF1036,"",BE1036)</f>
        <v/>
      </c>
      <c r="BF1035" s="506">
        <f>IF(BF1036=BG1036,"",BF1036)</f>
        <v/>
      </c>
      <c r="BG1035" s="506">
        <f>IF(BG1036=BH1036,"",BG1036)</f>
        <v/>
      </c>
      <c r="BH1035" s="506">
        <f>IF(BH1036=BI1036,"",BH1036)</f>
        <v/>
      </c>
      <c r="BI1035" s="506">
        <f>IF(BI1036=BJ1036,"",BI1036)</f>
        <v/>
      </c>
      <c r="BJ1035" s="506">
        <f>IF(BJ1036=BK1036,"",BJ1036)</f>
        <v/>
      </c>
      <c r="BK1035" s="506">
        <f>IF(BK1036=BL1036,"",BK1036)</f>
        <v/>
      </c>
      <c r="BL1035" s="506">
        <f>IF(BL1036=BM1036,"",BL1036)</f>
        <v/>
      </c>
      <c r="BM1035" s="506">
        <f>IF(BM1036=BN1036,"",BM1036)</f>
        <v/>
      </c>
      <c r="BN1035" s="506">
        <f>IF(BN1036=BO1036,"",BN1036)</f>
        <v/>
      </c>
      <c r="BO1035" s="586">
        <f>IF(BO1036=BP1036,"",BO1036)</f>
        <v/>
      </c>
      <c r="BP1035" s="506" t="n"/>
      <c r="BQ1035" s="506" t="n"/>
      <c r="BR1035" s="506" t="n"/>
      <c r="BS1035" s="506" t="n"/>
      <c r="BT1035" s="506" t="n"/>
      <c r="BU1035" s="506" t="n"/>
      <c r="BV1035" s="506" t="n"/>
      <c r="BW1035" s="506" t="n"/>
      <c r="BX1035" s="506" t="n"/>
      <c r="BY1035" s="506" t="n"/>
      <c r="BZ1035" s="506" t="n"/>
      <c r="CA1035" s="506" t="n"/>
      <c r="CB1035" s="507" t="n"/>
      <c r="CC1035" s="1380" t="n"/>
    </row>
    <row r="1036" ht="14.4" customFormat="1" customHeight="1" s="1373">
      <c r="A1036" s="1844" t="inlineStr">
        <is>
          <t>Applicable Period</t>
        </is>
      </c>
      <c r="B1036" s="1278" t="n"/>
      <c r="C1036" s="646" t="n"/>
      <c r="D1036" s="646" t="n"/>
      <c r="E1036" s="506" t="n"/>
      <c r="F1036" s="506" t="n"/>
      <c r="G1036" s="506" t="n"/>
      <c r="H1036" s="506" t="n"/>
      <c r="I1036" s="506" t="n"/>
      <c r="J1036" s="506" t="n"/>
      <c r="K1036" s="506" t="n"/>
      <c r="L1036" s="506" t="n"/>
      <c r="M1036" s="506" t="n"/>
      <c r="N1036" s="506" t="n"/>
      <c r="O1036" s="506" t="n"/>
      <c r="P1036" s="506" t="n"/>
      <c r="Q1036" s="506" t="n"/>
      <c r="R1036" s="506" t="n"/>
      <c r="S1036" s="506" t="n"/>
      <c r="T1036" s="506" t="n"/>
      <c r="U1036" s="506" t="n"/>
      <c r="V1036" s="506" t="n"/>
      <c r="W1036" s="506" t="n"/>
      <c r="X1036" s="506" t="n"/>
      <c r="Y1036" s="506" t="n"/>
      <c r="Z1036" s="506">
        <f>AF$5</f>
        <v/>
      </c>
      <c r="AA1036" s="506">
        <f>AF$5</f>
        <v/>
      </c>
      <c r="AB1036" s="506">
        <f>AF$5</f>
        <v/>
      </c>
      <c r="AC1036" s="506">
        <f>AF$5</f>
        <v/>
      </c>
      <c r="AD1036" s="506">
        <f>AF$5</f>
        <v/>
      </c>
      <c r="AE1036" s="506">
        <f>AK$5</f>
        <v/>
      </c>
      <c r="AF1036" s="506">
        <f>AK$5</f>
        <v/>
      </c>
      <c r="AG1036" s="506">
        <f>AK$5</f>
        <v/>
      </c>
      <c r="AH1036" s="506">
        <f>AK$5</f>
        <v/>
      </c>
      <c r="AI1036" s="506">
        <f>AK$5</f>
        <v/>
      </c>
      <c r="AJ1036" s="506">
        <f>AP$5</f>
        <v/>
      </c>
      <c r="AK1036" s="506">
        <f>AP$5</f>
        <v/>
      </c>
      <c r="AL1036" s="506">
        <f>AP$5</f>
        <v/>
      </c>
      <c r="AM1036" s="506">
        <f>AP$5</f>
        <v/>
      </c>
      <c r="AN1036" s="506">
        <f>AP$5</f>
        <v/>
      </c>
      <c r="AO1036" s="506">
        <f>AU$5</f>
        <v/>
      </c>
      <c r="AP1036" s="506">
        <f>AU$5</f>
        <v/>
      </c>
      <c r="AQ1036" s="506">
        <f>AU$5</f>
        <v/>
      </c>
      <c r="AR1036" s="506">
        <f>AU$5</f>
        <v/>
      </c>
      <c r="AS1036" s="506">
        <f>AU$5</f>
        <v/>
      </c>
      <c r="AT1036" s="506">
        <f>AZ$5</f>
        <v/>
      </c>
      <c r="AU1036" s="506">
        <f>AZ$5</f>
        <v/>
      </c>
      <c r="AV1036" s="506">
        <f>AZ$5</f>
        <v/>
      </c>
      <c r="AW1036" s="506">
        <f>AZ$5</f>
        <v/>
      </c>
      <c r="AX1036" s="506">
        <f>AZ$5</f>
        <v/>
      </c>
      <c r="AY1036" s="506">
        <f>BE$5</f>
        <v/>
      </c>
      <c r="AZ1036" s="506">
        <f>BE$5</f>
        <v/>
      </c>
      <c r="BA1036" s="506">
        <f>BE$5</f>
        <v/>
      </c>
      <c r="BB1036" s="506">
        <f>BE$5</f>
        <v/>
      </c>
      <c r="BC1036" s="506">
        <f>BE$5</f>
        <v/>
      </c>
      <c r="BD1036" s="506">
        <f>BJ$5</f>
        <v/>
      </c>
      <c r="BE1036" s="506">
        <f>BJ$5</f>
        <v/>
      </c>
      <c r="BF1036" s="506">
        <f>BJ$5</f>
        <v/>
      </c>
      <c r="BG1036" s="506">
        <f>BJ$5</f>
        <v/>
      </c>
      <c r="BH1036" s="506">
        <f>BJ$5</f>
        <v/>
      </c>
      <c r="BI1036" s="506">
        <f>BO$5</f>
        <v/>
      </c>
      <c r="BJ1036" s="506">
        <f>BO$5</f>
        <v/>
      </c>
      <c r="BK1036" s="506">
        <f>BO$5</f>
        <v/>
      </c>
      <c r="BL1036" s="506">
        <f>BO$5</f>
        <v/>
      </c>
      <c r="BM1036" s="506">
        <f>BO$5</f>
        <v/>
      </c>
      <c r="BN1036" s="506">
        <f>BT$5</f>
        <v/>
      </c>
      <c r="BO1036" s="586">
        <f>BT$5</f>
        <v/>
      </c>
      <c r="BP1036" s="506" t="n"/>
      <c r="BQ1036" s="506" t="n"/>
      <c r="BR1036" s="506" t="n"/>
      <c r="BS1036" s="506" t="n"/>
      <c r="BT1036" s="506" t="n"/>
      <c r="BU1036" s="506" t="n"/>
      <c r="BV1036" s="506" t="n"/>
      <c r="BW1036" s="506" t="n"/>
      <c r="BX1036" s="506" t="n"/>
      <c r="BY1036" s="506" t="n"/>
      <c r="BZ1036" s="506" t="n"/>
      <c r="CA1036" s="506" t="n"/>
      <c r="CB1036" s="507" t="n"/>
      <c r="CC1036" s="1380" t="n"/>
    </row>
    <row r="1037" ht="14.4" customFormat="1" customHeight="1" s="1373">
      <c r="A1037" s="1850" t="n"/>
      <c r="B1037" s="1487" t="n"/>
      <c r="C1037" s="1851" t="n"/>
      <c r="D1037" s="1851" t="n"/>
      <c r="E1037" s="1487" t="n"/>
      <c r="F1037" s="1487" t="n"/>
      <c r="G1037" s="1487" t="n"/>
      <c r="H1037" s="1487" t="n"/>
      <c r="I1037" s="1487" t="n"/>
      <c r="J1037" s="1487" t="n"/>
      <c r="K1037" s="1487" t="n"/>
      <c r="L1037" s="1487" t="n"/>
      <c r="M1037" s="1487" t="n"/>
      <c r="N1037" s="1487" t="n"/>
      <c r="O1037" s="1487" t="n"/>
      <c r="P1037" s="1487" t="n"/>
      <c r="Q1037" s="1487" t="n"/>
      <c r="R1037" s="1487" t="n"/>
      <c r="S1037" s="1487" t="n"/>
      <c r="T1037" s="1487" t="n"/>
      <c r="U1037" s="1487" t="n"/>
      <c r="V1037" s="1487" t="n"/>
      <c r="W1037" s="1487" t="n"/>
      <c r="X1037" s="1487" t="n"/>
      <c r="Y1037" s="1487" t="n"/>
      <c r="Z1037" s="1487" t="n"/>
      <c r="AA1037" s="1487" t="n"/>
      <c r="AB1037" s="1487" t="n"/>
      <c r="AC1037" s="1487" t="n"/>
      <c r="AD1037" s="1487" t="n"/>
      <c r="AE1037" s="1487" t="n"/>
      <c r="AF1037" s="1487" t="n"/>
      <c r="AG1037" s="1487" t="n"/>
      <c r="AH1037" s="1487" t="n"/>
      <c r="AI1037" s="1487" t="n"/>
      <c r="AJ1037" s="1487" t="n"/>
      <c r="AK1037" s="1487" t="n"/>
      <c r="AL1037" s="1487" t="n"/>
      <c r="AM1037" s="1487" t="n"/>
      <c r="AN1037" s="1487" t="n"/>
      <c r="AO1037" s="1487" t="n"/>
      <c r="AP1037" s="1487" t="n"/>
      <c r="AQ1037" s="1487" t="n"/>
      <c r="AR1037" s="1487" t="n"/>
      <c r="AS1037" s="1487" t="n"/>
      <c r="AT1037" s="1487" t="n"/>
      <c r="AU1037" s="1487" t="n"/>
      <c r="AV1037" s="1487" t="n"/>
      <c r="AW1037" s="1487" t="n"/>
      <c r="AX1037" s="1487" t="n"/>
      <c r="AY1037" s="1487" t="n"/>
      <c r="AZ1037" s="1487" t="n"/>
      <c r="BA1037" s="1487" t="n"/>
      <c r="BB1037" s="1487" t="n"/>
      <c r="BC1037" s="1487" t="n"/>
      <c r="BD1037" s="1487" t="n"/>
      <c r="BE1037" s="1487" t="n"/>
      <c r="BF1037" s="1487" t="n"/>
      <c r="BG1037" s="1487" t="n"/>
      <c r="BH1037" s="1487" t="n"/>
      <c r="BI1037" s="1487" t="n"/>
      <c r="BJ1037" s="1487" t="n"/>
      <c r="BK1037" s="1487" t="n"/>
      <c r="BL1037" s="1487" t="n"/>
      <c r="BM1037" s="1487" t="n"/>
      <c r="BN1037" s="1487" t="n"/>
      <c r="BO1037" s="1852" t="n"/>
      <c r="BP1037" s="1487" t="n"/>
      <c r="BQ1037" s="1487" t="n"/>
      <c r="BR1037" s="1487" t="n"/>
      <c r="BS1037" s="1487" t="n"/>
      <c r="BT1037" s="1487" t="n"/>
      <c r="BU1037" s="1487" t="n"/>
      <c r="BV1037" s="1487" t="n"/>
      <c r="BW1037" s="1487" t="n"/>
      <c r="BX1037" s="1487" t="n"/>
      <c r="BY1037" s="1487" t="n"/>
      <c r="BZ1037" s="1487" t="n"/>
      <c r="CA1037" s="1487" t="n"/>
      <c r="CB1037" s="1853" t="n"/>
      <c r="CC1037" s="1380" t="n"/>
    </row>
    <row r="1038" ht="14.4" customFormat="1" customHeight="1" s="1373">
      <c r="A1038" s="1813" t="n"/>
      <c r="B1038" s="1824" t="n"/>
      <c r="C1038" s="1838" t="n"/>
      <c r="D1038" s="1838" t="n"/>
      <c r="E1038" s="1824" t="n"/>
      <c r="F1038" s="1824" t="n"/>
      <c r="G1038" s="1824" t="n"/>
      <c r="H1038" s="1824" t="n"/>
      <c r="I1038" s="1824" t="n"/>
      <c r="J1038" s="1824" t="n"/>
      <c r="K1038" s="1824" t="n"/>
      <c r="L1038" s="1824" t="n"/>
      <c r="M1038" s="1824" t="n"/>
      <c r="N1038" s="1824" t="n"/>
      <c r="O1038" s="1824" t="n"/>
      <c r="P1038" s="1824" t="n"/>
      <c r="Q1038" s="1824" t="n"/>
      <c r="R1038" s="1824" t="n"/>
      <c r="S1038" s="1824" t="n"/>
      <c r="T1038" s="1824" t="n"/>
      <c r="U1038" s="1824" t="n"/>
      <c r="V1038" s="1824" t="n"/>
      <c r="W1038" s="1824" t="n"/>
      <c r="X1038" s="1824" t="n"/>
      <c r="Y1038" s="1824" t="n"/>
      <c r="Z1038" s="1824" t="n"/>
      <c r="AA1038" s="1824" t="n"/>
      <c r="AB1038" s="1824" t="n"/>
      <c r="AC1038" s="1824" t="n"/>
      <c r="AD1038" s="1824" t="n"/>
      <c r="AE1038" s="1824" t="n"/>
      <c r="AF1038" s="1824" t="n"/>
      <c r="AG1038" s="1824" t="n"/>
      <c r="AH1038" s="1824" t="n"/>
      <c r="AI1038" s="1824" t="n"/>
      <c r="AJ1038" s="1824" t="n"/>
      <c r="AK1038" s="1824" t="n"/>
      <c r="AL1038" s="1824" t="n"/>
      <c r="AM1038" s="1824" t="n"/>
      <c r="AN1038" s="1824" t="n"/>
      <c r="AO1038" s="1824" t="n"/>
      <c r="AP1038" s="1824" t="n"/>
      <c r="AQ1038" s="1824" t="n"/>
      <c r="AR1038" s="1824" t="n"/>
      <c r="AS1038" s="1824" t="n"/>
      <c r="AT1038" s="1824" t="n"/>
      <c r="AU1038" s="1824" t="n"/>
      <c r="AV1038" s="1824" t="n"/>
      <c r="AW1038" s="1824" t="n"/>
      <c r="AX1038" s="1824" t="n"/>
      <c r="AY1038" s="1824" t="n"/>
      <c r="AZ1038" s="1824" t="n"/>
      <c r="BA1038" s="1824" t="n"/>
      <c r="BB1038" s="1824" t="n"/>
      <c r="BC1038" s="1824" t="n"/>
      <c r="BD1038" s="1824" t="n"/>
      <c r="BE1038" s="1824" t="n"/>
      <c r="BF1038" s="1824" t="n"/>
      <c r="BG1038" s="1824" t="n"/>
      <c r="BH1038" s="1824" t="n"/>
      <c r="BI1038" s="1824" t="n"/>
      <c r="BJ1038" s="1824" t="n"/>
      <c r="BK1038" s="1824" t="n"/>
      <c r="BL1038" s="1824" t="n"/>
      <c r="BM1038" s="1824" t="n"/>
      <c r="BN1038" s="1824" t="n"/>
      <c r="BO1038" s="1839" t="n"/>
      <c r="BP1038" s="1824" t="n"/>
      <c r="BQ1038" s="1824" t="n"/>
      <c r="BR1038" s="1824" t="n"/>
      <c r="BS1038" s="1824" t="n"/>
      <c r="BT1038" s="1824" t="n"/>
      <c r="BU1038" s="1824" t="n"/>
      <c r="BV1038" s="1824" t="n"/>
      <c r="BW1038" s="1824" t="n"/>
      <c r="BX1038" s="1824" t="n"/>
      <c r="BY1038" s="1824" t="n"/>
      <c r="BZ1038" s="1824" t="n"/>
      <c r="CA1038" s="1824" t="n"/>
      <c r="CB1038" s="1824" t="n"/>
      <c r="CC1038" s="1380" t="n"/>
    </row>
    <row r="1039" ht="14.4" customFormat="1" customHeight="1" s="1275">
      <c r="A1039" s="1855" t="inlineStr">
        <is>
          <t>Consensus Estimate Table</t>
        </is>
      </c>
      <c r="B1039" s="1327" t="n"/>
      <c r="C1039" s="1327" t="n"/>
      <c r="D1039" s="1327" t="n"/>
      <c r="E1039" s="1327" t="n"/>
      <c r="F1039" s="1327" t="n"/>
      <c r="G1039" s="1327" t="n"/>
      <c r="H1039" s="1327" t="n"/>
      <c r="I1039" s="1327" t="n"/>
      <c r="J1039" s="1327" t="n"/>
      <c r="K1039" s="1327" t="n"/>
      <c r="L1039" s="1327" t="n"/>
      <c r="M1039" s="1327" t="n"/>
      <c r="N1039" s="1327" t="n"/>
      <c r="O1039" s="1327" t="n"/>
      <c r="P1039" s="1327" t="n"/>
      <c r="Q1039" s="1327" t="n"/>
      <c r="R1039" s="1327" t="n"/>
      <c r="S1039" s="1327" t="n"/>
      <c r="T1039" s="1327" t="n"/>
      <c r="U1039" s="1327" t="n"/>
      <c r="V1039" s="1327" t="n"/>
      <c r="W1039" s="1327" t="n"/>
      <c r="X1039" s="1327" t="n"/>
      <c r="Y1039" s="1327" t="n"/>
      <c r="Z1039" s="1327" t="n"/>
      <c r="AA1039" s="1327" t="n"/>
      <c r="AB1039" s="1327" t="n"/>
      <c r="AC1039" s="1327" t="n"/>
      <c r="AD1039" s="1327" t="n"/>
      <c r="AE1039" s="1327" t="n"/>
      <c r="AF1039" s="1327" t="n"/>
      <c r="AG1039" s="1327" t="n"/>
      <c r="AH1039" s="1327" t="n"/>
      <c r="AI1039" s="1327" t="n"/>
      <c r="AJ1039" s="1327" t="n"/>
      <c r="AK1039" s="1327" t="n"/>
      <c r="AL1039" s="1327" t="n"/>
      <c r="AM1039" s="1327" t="n"/>
      <c r="AN1039" s="1327" t="n"/>
      <c r="AO1039" s="1327" t="n"/>
      <c r="AP1039" s="1327" t="n"/>
      <c r="AQ1039" s="1327" t="n"/>
      <c r="AR1039" s="1327" t="n"/>
      <c r="AS1039" s="1327" t="n"/>
      <c r="AT1039" s="1327" t="n"/>
      <c r="AU1039" s="1327" t="n"/>
      <c r="AV1039" s="1327" t="n"/>
      <c r="AW1039" s="1327" t="n"/>
      <c r="AX1039" s="1327" t="n"/>
      <c r="AY1039" s="1327" t="n"/>
      <c r="AZ1039" s="1327" t="n"/>
      <c r="BA1039" s="1327" t="n"/>
      <c r="BB1039" s="1327" t="n"/>
      <c r="BC1039" s="1327" t="n"/>
      <c r="BD1039" s="1327" t="n"/>
      <c r="BE1039" s="1327" t="n"/>
      <c r="BF1039" s="1327" t="n"/>
      <c r="BG1039" s="1327" t="n"/>
      <c r="BH1039" s="1327" t="n"/>
      <c r="BI1039" s="1327" t="n"/>
      <c r="BJ1039" s="1327" t="n"/>
      <c r="BK1039" s="1327" t="n"/>
      <c r="BL1039" s="1327" t="n"/>
      <c r="BM1039" s="1327" t="n"/>
      <c r="BN1039" s="1327" t="n"/>
      <c r="BO1039" s="1856" t="n"/>
      <c r="BP1039" s="1327">
        <f>BP5</f>
        <v/>
      </c>
      <c r="BQ1039" s="1327">
        <f>BQ5</f>
        <v/>
      </c>
      <c r="BR1039" s="1327">
        <f>BR5</f>
        <v/>
      </c>
      <c r="BS1039" s="1327">
        <f>BS5</f>
        <v/>
      </c>
      <c r="BT1039" s="1327">
        <f>BT5</f>
        <v/>
      </c>
      <c r="BU1039" s="1327">
        <f>BU5</f>
        <v/>
      </c>
      <c r="BV1039" s="1327">
        <f>BV5</f>
        <v/>
      </c>
      <c r="BW1039" s="1327">
        <f>BW5</f>
        <v/>
      </c>
      <c r="BX1039" s="1327">
        <f>BX5</f>
        <v/>
      </c>
      <c r="BY1039" s="1327">
        <f>BY5</f>
        <v/>
      </c>
      <c r="BZ1039" s="1327">
        <f>BZ5</f>
        <v/>
      </c>
      <c r="CA1039" s="1327">
        <f>CA5</f>
        <v/>
      </c>
      <c r="CB1039" s="1857">
        <f>CB5</f>
        <v/>
      </c>
      <c r="CC1039" s="1858" t="n"/>
    </row>
    <row r="1040" ht="14.4" customFormat="1" customHeight="1" s="1275">
      <c r="A1040" s="1859" t="inlineStr">
        <is>
          <t>FY or FQ</t>
        </is>
      </c>
      <c r="B1040" s="1346" t="n"/>
      <c r="C1040" s="1346" t="n"/>
      <c r="D1040" s="1346" t="n"/>
      <c r="E1040" s="1346" t="n"/>
      <c r="F1040" s="1346" t="n"/>
      <c r="G1040" s="1346" t="n"/>
      <c r="H1040" s="1346" t="n"/>
      <c r="I1040" s="1346" t="n"/>
      <c r="J1040" s="1346" t="n"/>
      <c r="K1040" s="1346" t="n"/>
      <c r="L1040" s="1346" t="n"/>
      <c r="M1040" s="1346" t="n"/>
      <c r="N1040" s="1346" t="n"/>
      <c r="O1040" s="1346" t="n"/>
      <c r="P1040" s="1346" t="n"/>
      <c r="Q1040" s="1346" t="n"/>
      <c r="R1040" s="1346" t="n"/>
      <c r="S1040" s="1346" t="n"/>
      <c r="T1040" s="1346" t="n"/>
      <c r="U1040" s="1346" t="n"/>
      <c r="V1040" s="1346" t="n"/>
      <c r="W1040" s="1346" t="n"/>
      <c r="X1040" s="1346" t="n"/>
      <c r="Y1040" s="1346" t="n"/>
      <c r="Z1040" s="1346" t="n"/>
      <c r="AA1040" s="1346" t="n"/>
      <c r="AB1040" s="1346" t="n"/>
      <c r="AC1040" s="1346" t="n"/>
      <c r="AD1040" s="1346" t="n"/>
      <c r="AE1040" s="1346" t="n"/>
      <c r="AF1040" s="1346" t="n"/>
      <c r="AG1040" s="1346" t="n"/>
      <c r="AH1040" s="1346" t="n"/>
      <c r="AI1040" s="1346" t="n"/>
      <c r="AJ1040" s="1346" t="n"/>
      <c r="AK1040" s="1346" t="n"/>
      <c r="AL1040" s="1346" t="n"/>
      <c r="AM1040" s="1346" t="n"/>
      <c r="AN1040" s="1346" t="n"/>
      <c r="AO1040" s="1346" t="n"/>
      <c r="AP1040" s="1346" t="n"/>
      <c r="AQ1040" s="1346" t="n"/>
      <c r="AR1040" s="1346" t="n"/>
      <c r="AS1040" s="1346" t="n"/>
      <c r="AT1040" s="1346" t="n"/>
      <c r="AU1040" s="1346" t="n"/>
      <c r="AV1040" s="1346" t="n"/>
      <c r="AW1040" s="1346" t="n"/>
      <c r="AX1040" s="1346" t="n"/>
      <c r="AY1040" s="1346" t="n"/>
      <c r="AZ1040" s="1346" t="n"/>
      <c r="BA1040" s="1346" t="n"/>
      <c r="BB1040" s="1346" t="n"/>
      <c r="BC1040" s="1346" t="n"/>
      <c r="BD1040" s="1346" t="n"/>
      <c r="BE1040" s="1346" t="n"/>
      <c r="BF1040" s="1346" t="n"/>
      <c r="BG1040" s="1346" t="n"/>
      <c r="BH1040" s="1346" t="n"/>
      <c r="BI1040" s="1346" t="n"/>
      <c r="BJ1040" s="1346" t="n"/>
      <c r="BK1040" s="1346" t="n"/>
      <c r="BL1040" s="1346" t="n"/>
      <c r="BM1040" s="1346" t="n"/>
      <c r="BN1040" s="1346" t="n"/>
      <c r="BO1040" s="1860" t="n"/>
      <c r="BP1040" s="1346">
        <f>IF(MO.DataSourceIndex=3,IF(LEFT(INDIRECT(ADDRESS(ROW()-1,COLUMN())),2)="FY","ANNUAL",IF(LEFT(INDIRECT(ADDRESS(ROW()-1,COLUMN())),1)="Q","QUARTERLY","")),IF(LEFT(INDIRECT(ADDRESS(ROW()-1,COLUMN())),2)="FY","FY",IF(LEFT(INDIRECT(ADDRESS(ROW()-1,COLUMN())),1)="Q","FQ","FS")))</f>
        <v/>
      </c>
      <c r="BQ1040" s="1346">
        <f>IF(MO.DataSourceIndex=3,IF(LEFT(INDIRECT(ADDRESS(ROW()-1,COLUMN())),2)="FY","ANNUAL",IF(LEFT(INDIRECT(ADDRESS(ROW()-1,COLUMN())),1)="Q","QUARTERLY","")),IF(LEFT(INDIRECT(ADDRESS(ROW()-1,COLUMN())),2)="FY","FY",IF(LEFT(INDIRECT(ADDRESS(ROW()-1,COLUMN())),1)="Q","FQ","FS")))</f>
        <v/>
      </c>
      <c r="BR1040" s="1346">
        <f>IF(MO.DataSourceIndex=3,IF(LEFT(INDIRECT(ADDRESS(ROW()-1,COLUMN())),2)="FY","ANNUAL",IF(LEFT(INDIRECT(ADDRESS(ROW()-1,COLUMN())),1)="Q","QUARTERLY","")),IF(LEFT(INDIRECT(ADDRESS(ROW()-1,COLUMN())),2)="FY","FY",IF(LEFT(INDIRECT(ADDRESS(ROW()-1,COLUMN())),1)="Q","FQ","FS")))</f>
        <v/>
      </c>
      <c r="BS1040" s="1346">
        <f>IF(MO.DataSourceIndex=3,IF(LEFT(INDIRECT(ADDRESS(ROW()-1,COLUMN())),2)="FY","ANNUAL",IF(LEFT(INDIRECT(ADDRESS(ROW()-1,COLUMN())),1)="Q","QUARTERLY","")),IF(LEFT(INDIRECT(ADDRESS(ROW()-1,COLUMN())),2)="FY","FY",IF(LEFT(INDIRECT(ADDRESS(ROW()-1,COLUMN())),1)="Q","FQ","FS")))</f>
        <v/>
      </c>
      <c r="BT1040" s="1346">
        <f>IF(MO.DataSourceIndex=3,IF(LEFT(INDIRECT(ADDRESS(ROW()-1,COLUMN())),2)="FY","ANNUAL",IF(LEFT(INDIRECT(ADDRESS(ROW()-1,COLUMN())),1)="Q","QUARTERLY","")),IF(LEFT(INDIRECT(ADDRESS(ROW()-1,COLUMN())),2)="FY","FY",IF(LEFT(INDIRECT(ADDRESS(ROW()-1,COLUMN())),1)="Q","FQ","FS")))</f>
        <v/>
      </c>
      <c r="BU1040" s="1346">
        <f>IF(MO.DataSourceIndex=3,IF(LEFT(INDIRECT(ADDRESS(ROW()-1,COLUMN())),2)="FY","ANNUAL",IF(LEFT(INDIRECT(ADDRESS(ROW()-1,COLUMN())),1)="Q","QUARTERLY","")),IF(LEFT(INDIRECT(ADDRESS(ROW()-1,COLUMN())),2)="FY","FY",IF(LEFT(INDIRECT(ADDRESS(ROW()-1,COLUMN())),1)="Q","FQ","FS")))</f>
        <v/>
      </c>
      <c r="BV1040" s="1346">
        <f>IF(MO.DataSourceIndex=3,IF(LEFT(INDIRECT(ADDRESS(ROW()-1,COLUMN())),2)="FY","ANNUAL",IF(LEFT(INDIRECT(ADDRESS(ROW()-1,COLUMN())),1)="Q","QUARTERLY","")),IF(LEFT(INDIRECT(ADDRESS(ROW()-1,COLUMN())),2)="FY","FY",IF(LEFT(INDIRECT(ADDRESS(ROW()-1,COLUMN())),1)="Q","FQ","FS")))</f>
        <v/>
      </c>
      <c r="BW1040" s="1346">
        <f>IF(MO.DataSourceIndex=3,IF(LEFT(INDIRECT(ADDRESS(ROW()-1,COLUMN())),2)="FY","ANNUAL",IF(LEFT(INDIRECT(ADDRESS(ROW()-1,COLUMN())),1)="Q","QUARTERLY","")),IF(LEFT(INDIRECT(ADDRESS(ROW()-1,COLUMN())),2)="FY","FY",IF(LEFT(INDIRECT(ADDRESS(ROW()-1,COLUMN())),1)="Q","FQ","FS")))</f>
        <v/>
      </c>
      <c r="BX1040" s="1346">
        <f>IF(MO.DataSourceIndex=3,IF(LEFT(INDIRECT(ADDRESS(ROW()-1,COLUMN())),2)="FY","ANNUAL",IF(LEFT(INDIRECT(ADDRESS(ROW()-1,COLUMN())),1)="Q","QUARTERLY","")),IF(LEFT(INDIRECT(ADDRESS(ROW()-1,COLUMN())),2)="FY","FY",IF(LEFT(INDIRECT(ADDRESS(ROW()-1,COLUMN())),1)="Q","FQ","FS")))</f>
        <v/>
      </c>
      <c r="BY1040" s="1346">
        <f>IF(MO.DataSourceIndex=3,IF(LEFT(INDIRECT(ADDRESS(ROW()-1,COLUMN())),2)="FY","ANNUAL",IF(LEFT(INDIRECT(ADDRESS(ROW()-1,COLUMN())),1)="Q","QUARTERLY","")),IF(LEFT(INDIRECT(ADDRESS(ROW()-1,COLUMN())),2)="FY","FY",IF(LEFT(INDIRECT(ADDRESS(ROW()-1,COLUMN())),1)="Q","FQ","FS")))</f>
        <v/>
      </c>
      <c r="BZ1040" s="1346">
        <f>IF(MO.DataSourceIndex=3,IF(LEFT(INDIRECT(ADDRESS(ROW()-1,COLUMN())),2)="FY","ANNUAL",IF(LEFT(INDIRECT(ADDRESS(ROW()-1,COLUMN())),1)="Q","QUARTERLY","")),IF(LEFT(INDIRECT(ADDRESS(ROW()-1,COLUMN())),2)="FY","FY",IF(LEFT(INDIRECT(ADDRESS(ROW()-1,COLUMN())),1)="Q","FQ","FS")))</f>
        <v/>
      </c>
      <c r="CA1040" s="1346">
        <f>IF(MO.DataSourceIndex=3,IF(LEFT(INDIRECT(ADDRESS(ROW()-1,COLUMN())),2)="FY","ANNUAL",IF(LEFT(INDIRECT(ADDRESS(ROW()-1,COLUMN())),1)="Q","QUARTERLY","")),IF(LEFT(INDIRECT(ADDRESS(ROW()-1,COLUMN())),2)="FY","FY",IF(LEFT(INDIRECT(ADDRESS(ROW()-1,COLUMN())),1)="Q","FQ","FS")))</f>
        <v/>
      </c>
      <c r="CB1040" s="1861">
        <f>IF(MO.DataSourceIndex=3,IF(LEFT(INDIRECT(ADDRESS(ROW()-1,COLUMN())),2)="FY","ANNUAL",IF(LEFT(INDIRECT(ADDRESS(ROW()-1,COLUMN())),1)="Q","QUARTERLY","")),IF(LEFT(INDIRECT(ADDRESS(ROW()-1,COLUMN())),2)="FY","FY",IF(LEFT(INDIRECT(ADDRESS(ROW()-1,COLUMN())),1)="Q","FQ","FS")))</f>
        <v/>
      </c>
      <c r="CC1040" s="1858" t="n"/>
    </row>
    <row r="1041" ht="14.4" customFormat="1" customHeight="1" s="1275">
      <c r="A1041" s="1859" t="inlineStr">
        <is>
          <t>Period</t>
        </is>
      </c>
      <c r="B1041" s="1346" t="n"/>
      <c r="C1041" s="1346" t="n"/>
      <c r="D1041" s="1346" t="n"/>
      <c r="E1041" s="1346" t="n"/>
      <c r="F1041" s="1346" t="n"/>
      <c r="G1041" s="1346" t="n"/>
      <c r="H1041" s="1346" t="n"/>
      <c r="I1041" s="1346" t="n"/>
      <c r="J1041" s="1346" t="n"/>
      <c r="K1041" s="1346" t="n"/>
      <c r="L1041" s="1346" t="n"/>
      <c r="M1041" s="1346" t="n"/>
      <c r="N1041" s="1346" t="n"/>
      <c r="O1041" s="1346" t="n"/>
      <c r="P1041" s="1346" t="n"/>
      <c r="Q1041" s="1346" t="n"/>
      <c r="R1041" s="1346" t="n"/>
      <c r="S1041" s="1346" t="n"/>
      <c r="T1041" s="1346" t="n"/>
      <c r="U1041" s="1346" t="n"/>
      <c r="V1041" s="1346" t="n"/>
      <c r="W1041" s="1346" t="n"/>
      <c r="X1041" s="1346" t="n"/>
      <c r="Y1041" s="1346" t="n"/>
      <c r="Z1041" s="1346" t="n"/>
      <c r="AA1041" s="1346" t="n"/>
      <c r="AB1041" s="1346" t="n"/>
      <c r="AC1041" s="1346" t="n"/>
      <c r="AD1041" s="1346" t="n"/>
      <c r="AE1041" s="1346" t="n"/>
      <c r="AF1041" s="1346" t="n"/>
      <c r="AG1041" s="1346" t="n"/>
      <c r="AH1041" s="1346" t="n"/>
      <c r="AI1041" s="1346" t="n"/>
      <c r="AJ1041" s="1346" t="n"/>
      <c r="AK1041" s="1346" t="n"/>
      <c r="AL1041" s="1346" t="n"/>
      <c r="AM1041" s="1346" t="n"/>
      <c r="AN1041" s="1346" t="n"/>
      <c r="AO1041" s="1346" t="n"/>
      <c r="AP1041" s="1346" t="n"/>
      <c r="AQ1041" s="1346" t="n"/>
      <c r="AR1041" s="1346" t="n"/>
      <c r="AS1041" s="1346" t="n"/>
      <c r="AT1041" s="1346" t="n"/>
      <c r="AU1041" s="1346" t="n"/>
      <c r="AV1041" s="1346" t="n"/>
      <c r="AW1041" s="1346" t="n"/>
      <c r="AX1041" s="1346" t="n"/>
      <c r="AY1041" s="1346" t="n"/>
      <c r="AZ1041" s="1346" t="n"/>
      <c r="BA1041" s="1346" t="n"/>
      <c r="BB1041" s="1346" t="n"/>
      <c r="BC1041" s="1346" t="n"/>
      <c r="BD1041" s="1346" t="n"/>
      <c r="BE1041" s="1346" t="n"/>
      <c r="BF1041" s="1346" t="n"/>
      <c r="BG1041" s="1346" t="n"/>
      <c r="BH1041" s="1346" t="n"/>
      <c r="BI1041" s="1346" t="n"/>
      <c r="BJ1041" s="1346" t="n"/>
      <c r="BK1041" s="1346" t="n"/>
      <c r="BL1041" s="1346" t="n"/>
      <c r="BM1041" s="1346" t="n"/>
      <c r="BN1041" s="1346" t="n"/>
      <c r="BO1041" s="1860" t="n"/>
      <c r="BP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Q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R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S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T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U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V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W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X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Y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Z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A1041" s="134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B1041" s="1861">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C1041" s="1858" t="n"/>
    </row>
    <row r="1042" ht="14.4" customFormat="1" customHeight="1" s="1290">
      <c r="A1042" s="1862">
        <f>A304</f>
        <v/>
      </c>
      <c r="B1042" s="1370" t="n"/>
      <c r="C1042" s="1370" t="n"/>
      <c r="D1042" s="1863" t="n"/>
      <c r="E1042" s="1863" t="n"/>
      <c r="F1042" s="1863" t="n"/>
      <c r="G1042" s="1863" t="n"/>
      <c r="H1042" s="1863" t="n"/>
      <c r="I1042" s="1863" t="n"/>
      <c r="J1042" s="1370" t="n"/>
      <c r="K1042" s="1370" t="n"/>
      <c r="L1042" s="1370" t="n"/>
      <c r="M1042" s="1370" t="n"/>
      <c r="N1042" s="1370" t="n"/>
      <c r="O1042" s="1370" t="n"/>
      <c r="P1042" s="1370" t="n"/>
      <c r="Q1042" s="1370" t="n"/>
      <c r="R1042" s="1370" t="n"/>
      <c r="S1042" s="1370" t="n"/>
      <c r="T1042" s="1370" t="n"/>
      <c r="U1042" s="1370" t="n"/>
      <c r="V1042" s="1370" t="n"/>
      <c r="W1042" s="1370" t="n"/>
      <c r="X1042" s="1370" t="n"/>
      <c r="Y1042" s="1370" t="n"/>
      <c r="Z1042" s="1370" t="n"/>
      <c r="AA1042" s="1370" t="n"/>
      <c r="AB1042" s="1370" t="n"/>
      <c r="AC1042" s="1370" t="n"/>
      <c r="AD1042" s="1370" t="n"/>
      <c r="AE1042" s="1370" t="n"/>
      <c r="AF1042" s="1370" t="n"/>
      <c r="AG1042" s="1370" t="n"/>
      <c r="AH1042" s="1370" t="n"/>
      <c r="AI1042" s="1370" t="n"/>
      <c r="AJ1042" s="1370" t="n"/>
      <c r="AK1042" s="1370" t="n"/>
      <c r="AL1042" s="1370" t="n"/>
      <c r="AM1042" s="1370" t="n"/>
      <c r="AN1042" s="1370" t="n"/>
      <c r="AO1042" s="1370" t="n"/>
      <c r="AP1042" s="1370" t="n"/>
      <c r="AQ1042" s="1370" t="n"/>
      <c r="AR1042" s="1370" t="n"/>
      <c r="AS1042" s="1370" t="n"/>
      <c r="AT1042" s="1370" t="n"/>
      <c r="AU1042" s="1370" t="n"/>
      <c r="AV1042" s="1370" t="n"/>
      <c r="AW1042" s="1370" t="n"/>
      <c r="AX1042" s="1370" t="n"/>
      <c r="AY1042" s="1370" t="n"/>
      <c r="AZ1042" s="1370" t="n"/>
      <c r="BA1042" s="1370" t="n"/>
      <c r="BB1042" s="1370" t="n"/>
      <c r="BC1042" s="1370" t="n"/>
      <c r="BD1042" s="1370" t="n"/>
      <c r="BE1042" s="1370" t="n"/>
      <c r="BF1042" s="1370" t="n"/>
      <c r="BG1042" s="1370" t="n"/>
      <c r="BH1042" s="1370" t="n"/>
      <c r="BI1042" s="1370" t="n"/>
      <c r="BJ1042" s="1370" t="n"/>
      <c r="BK1042" s="1370" t="n"/>
      <c r="BL1042" s="1370" t="n"/>
      <c r="BM1042" s="1370" t="n"/>
      <c r="BN1042" s="1370" t="n"/>
      <c r="BO1042" s="1864" t="n"/>
      <c r="BP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Q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R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S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T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U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V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W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X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Y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Z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CA1042" s="137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CB1042" s="1865">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CC1042" s="1866" t="n"/>
    </row>
    <row r="1043" ht="14.4" customFormat="1" customHeight="1" s="1275">
      <c r="A1043" s="1826">
        <f>$A$370</f>
        <v/>
      </c>
      <c r="B1043" s="1277" t="n"/>
      <c r="C1043" s="1277" t="n"/>
      <c r="D1043" s="1814" t="n"/>
      <c r="E1043" s="1814" t="n"/>
      <c r="F1043" s="1814" t="n"/>
      <c r="G1043" s="1814" t="n"/>
      <c r="H1043" s="1814" t="n"/>
      <c r="I1043" s="1814" t="n"/>
      <c r="J1043" s="1277" t="n"/>
      <c r="K1043" s="1277" t="n"/>
      <c r="L1043" s="1277" t="n"/>
      <c r="M1043" s="1277" t="n"/>
      <c r="N1043" s="1277" t="n"/>
      <c r="O1043" s="1277" t="n"/>
      <c r="P1043" s="1277" t="n"/>
      <c r="Q1043" s="1277" t="n"/>
      <c r="R1043" s="1277" t="n"/>
      <c r="S1043" s="1277" t="n"/>
      <c r="T1043" s="1277" t="n"/>
      <c r="U1043" s="1277" t="n"/>
      <c r="V1043" s="1277" t="n"/>
      <c r="W1043" s="1277" t="n"/>
      <c r="X1043" s="1277" t="n"/>
      <c r="Y1043" s="1277" t="n"/>
      <c r="Z1043" s="1277" t="n"/>
      <c r="AA1043" s="1277" t="n"/>
      <c r="AB1043" s="1277" t="n"/>
      <c r="AC1043" s="1277" t="n"/>
      <c r="AD1043" s="1277" t="n"/>
      <c r="AE1043" s="1277" t="n"/>
      <c r="AF1043" s="1277" t="n"/>
      <c r="AG1043" s="1277" t="n"/>
      <c r="AH1043" s="1277" t="n"/>
      <c r="AI1043" s="1277" t="n"/>
      <c r="AJ1043" s="1277" t="n"/>
      <c r="AK1043" s="1277" t="n"/>
      <c r="AL1043" s="1277" t="n"/>
      <c r="AM1043" s="1277" t="n"/>
      <c r="AN1043" s="1277" t="n"/>
      <c r="AO1043" s="1277" t="n"/>
      <c r="AP1043" s="1277" t="n"/>
      <c r="AQ1043" s="1277" t="n"/>
      <c r="AR1043" s="1277" t="n"/>
      <c r="AS1043" s="1277" t="n"/>
      <c r="AT1043" s="1277" t="n"/>
      <c r="AU1043" s="1277" t="n"/>
      <c r="AV1043" s="1277" t="n"/>
      <c r="AW1043" s="1277" t="n"/>
      <c r="AX1043" s="1277" t="n"/>
      <c r="AY1043" s="1277" t="n"/>
      <c r="AZ1043" s="1277" t="n"/>
      <c r="BA1043" s="1277" t="n"/>
      <c r="BB1043" s="1277" t="n"/>
      <c r="BC1043" s="1277" t="n"/>
      <c r="BD1043" s="1277" t="n"/>
      <c r="BE1043" s="1277" t="n"/>
      <c r="BF1043" s="1277" t="n"/>
      <c r="BG1043" s="1277" t="n"/>
      <c r="BH1043" s="1277" t="n"/>
      <c r="BI1043" s="1277" t="n"/>
      <c r="BJ1043" s="1277" t="n"/>
      <c r="BK1043" s="1277" t="n"/>
      <c r="BL1043" s="1277" t="n"/>
      <c r="BM1043" s="1277" t="n"/>
      <c r="BN1043" s="1277" t="n"/>
      <c r="BO1043" s="1809" t="n"/>
      <c r="BP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Q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R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S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T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U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V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W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X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Y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Z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A1043" s="127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B1043" s="1867">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C1043" s="1858" t="n"/>
    </row>
    <row r="1044" ht="14.4" customFormat="1" customHeight="1" s="1275">
      <c r="A1044" s="1826">
        <f>$A$388</f>
        <v/>
      </c>
      <c r="B1044" s="1277" t="n"/>
      <c r="C1044" s="1277" t="n"/>
      <c r="D1044" s="1814" t="n"/>
      <c r="E1044" s="1814" t="n"/>
      <c r="F1044" s="1814" t="n"/>
      <c r="G1044" s="1814" t="n"/>
      <c r="H1044" s="1814" t="n"/>
      <c r="I1044" s="1814" t="n"/>
      <c r="J1044" s="1277" t="n"/>
      <c r="K1044" s="1277" t="n"/>
      <c r="L1044" s="1277" t="n"/>
      <c r="M1044" s="1277" t="n"/>
      <c r="N1044" s="1277" t="n"/>
      <c r="O1044" s="1277" t="n"/>
      <c r="P1044" s="1277" t="n"/>
      <c r="Q1044" s="1277" t="n"/>
      <c r="R1044" s="1277" t="n"/>
      <c r="S1044" s="1277" t="n"/>
      <c r="T1044" s="1277" t="n"/>
      <c r="U1044" s="1277" t="n"/>
      <c r="V1044" s="1277" t="n"/>
      <c r="W1044" s="1277" t="n"/>
      <c r="X1044" s="1277" t="n"/>
      <c r="Y1044" s="1277" t="n"/>
      <c r="Z1044" s="1277" t="n"/>
      <c r="AA1044" s="1277" t="n"/>
      <c r="AB1044" s="1277" t="n"/>
      <c r="AC1044" s="1277" t="n"/>
      <c r="AD1044" s="1277" t="n"/>
      <c r="AE1044" s="1277" t="n"/>
      <c r="AF1044" s="1277" t="n"/>
      <c r="AG1044" s="1277" t="n"/>
      <c r="AH1044" s="1277" t="n"/>
      <c r="AI1044" s="1277" t="n"/>
      <c r="AJ1044" s="1277" t="n"/>
      <c r="AK1044" s="1277" t="n"/>
      <c r="AL1044" s="1277" t="n"/>
      <c r="AM1044" s="1277" t="n"/>
      <c r="AN1044" s="1277" t="n"/>
      <c r="AO1044" s="1277" t="n"/>
      <c r="AP1044" s="1277" t="n"/>
      <c r="AQ1044" s="1277" t="n"/>
      <c r="AR1044" s="1277" t="n"/>
      <c r="AS1044" s="1277" t="n"/>
      <c r="AT1044" s="1277" t="n"/>
      <c r="AU1044" s="1277" t="n"/>
      <c r="AV1044" s="1277" t="n"/>
      <c r="AW1044" s="1277" t="n"/>
      <c r="AX1044" s="1277" t="n"/>
      <c r="AY1044" s="1277" t="n"/>
      <c r="AZ1044" s="1277" t="n"/>
      <c r="BA1044" s="1277" t="n"/>
      <c r="BB1044" s="1277" t="n"/>
      <c r="BC1044" s="1277" t="n"/>
      <c r="BD1044" s="1277" t="n"/>
      <c r="BE1044" s="1277" t="n"/>
      <c r="BF1044" s="1277" t="n"/>
      <c r="BG1044" s="1277" t="n"/>
      <c r="BH1044" s="1277" t="n"/>
      <c r="BI1044" s="1277" t="n"/>
      <c r="BJ1044" s="1277" t="n"/>
      <c r="BK1044" s="1277" t="n"/>
      <c r="BL1044" s="1277" t="n"/>
      <c r="BM1044" s="1277" t="n"/>
      <c r="BN1044" s="1277" t="n"/>
      <c r="BO1044" s="1809" t="n"/>
      <c r="BP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Q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R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S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T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U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V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W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X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Y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Z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A1044" s="127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B1044" s="1867">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C1044" s="1858" t="n"/>
    </row>
    <row r="1045" ht="14.4" customFormat="1" customHeight="1" s="1275">
      <c r="A1045" s="1826">
        <f>$A$382</f>
        <v/>
      </c>
      <c r="B1045" s="1277" t="n"/>
      <c r="C1045" s="1277" t="n"/>
      <c r="D1045" s="1814" t="n"/>
      <c r="E1045" s="1814" t="n"/>
      <c r="F1045" s="1814" t="n"/>
      <c r="G1045" s="1814" t="n"/>
      <c r="H1045" s="1814" t="n"/>
      <c r="I1045" s="1814" t="n"/>
      <c r="J1045" s="1277" t="n"/>
      <c r="K1045" s="1277" t="n"/>
      <c r="L1045" s="1277" t="n"/>
      <c r="M1045" s="1277" t="n"/>
      <c r="N1045" s="1277" t="n"/>
      <c r="O1045" s="1277" t="n"/>
      <c r="P1045" s="1277" t="n"/>
      <c r="Q1045" s="1277" t="n"/>
      <c r="R1045" s="1277" t="n"/>
      <c r="S1045" s="1277" t="n"/>
      <c r="T1045" s="1277" t="n"/>
      <c r="U1045" s="1277" t="n"/>
      <c r="V1045" s="1277" t="n"/>
      <c r="W1045" s="1277" t="n"/>
      <c r="X1045" s="1277" t="n"/>
      <c r="Y1045" s="1277" t="n"/>
      <c r="Z1045" s="1277" t="n"/>
      <c r="AA1045" s="1277" t="n"/>
      <c r="AB1045" s="1277" t="n"/>
      <c r="AC1045" s="1277" t="n"/>
      <c r="AD1045" s="1277" t="n"/>
      <c r="AE1045" s="1277" t="n"/>
      <c r="AF1045" s="1277" t="n"/>
      <c r="AG1045" s="1277" t="n"/>
      <c r="AH1045" s="1277" t="n"/>
      <c r="AI1045" s="1277" t="n"/>
      <c r="AJ1045" s="1277" t="n"/>
      <c r="AK1045" s="1277" t="n"/>
      <c r="AL1045" s="1277" t="n"/>
      <c r="AM1045" s="1277" t="n"/>
      <c r="AN1045" s="1277" t="n"/>
      <c r="AO1045" s="1277" t="n"/>
      <c r="AP1045" s="1277" t="n"/>
      <c r="AQ1045" s="1277" t="n"/>
      <c r="AR1045" s="1277" t="n"/>
      <c r="AS1045" s="1277" t="n"/>
      <c r="AT1045" s="1277" t="n"/>
      <c r="AU1045" s="1277" t="n"/>
      <c r="AV1045" s="1277" t="n"/>
      <c r="AW1045" s="1277" t="n"/>
      <c r="AX1045" s="1277" t="n"/>
      <c r="AY1045" s="1277" t="n"/>
      <c r="AZ1045" s="1277" t="n"/>
      <c r="BA1045" s="1277" t="n"/>
      <c r="BB1045" s="1277" t="n"/>
      <c r="BC1045" s="1277" t="n"/>
      <c r="BD1045" s="1277" t="n"/>
      <c r="BE1045" s="1277" t="n"/>
      <c r="BF1045" s="1277" t="n"/>
      <c r="BG1045" s="1277" t="n"/>
      <c r="BH1045" s="1277" t="n"/>
      <c r="BI1045" s="1277" t="n"/>
      <c r="BJ1045" s="1277" t="n"/>
      <c r="BK1045" s="1277" t="n"/>
      <c r="BL1045" s="1277" t="n"/>
      <c r="BM1045" s="1277" t="n"/>
      <c r="BN1045" s="1277" t="n"/>
      <c r="BO1045" s="1809" t="n"/>
      <c r="BP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Q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R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S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T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U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V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W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X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Y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Z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CA1045" s="127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CB1045" s="1867">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CC1045" s="1858" t="n"/>
    </row>
    <row r="1046" ht="14.4" customFormat="1" customHeight="1" s="1868">
      <c r="A1046" s="1869">
        <f>$A$419</f>
        <v/>
      </c>
      <c r="B1046" s="1870" t="n"/>
      <c r="C1046" s="1870" t="n"/>
      <c r="D1046" s="1871" t="n"/>
      <c r="E1046" s="1871" t="n"/>
      <c r="F1046" s="1871" t="n"/>
      <c r="G1046" s="1871" t="n"/>
      <c r="H1046" s="1871" t="n"/>
      <c r="I1046" s="1871" t="n"/>
      <c r="J1046" s="1870" t="n"/>
      <c r="K1046" s="1870" t="n"/>
      <c r="L1046" s="1870" t="n"/>
      <c r="M1046" s="1870" t="n"/>
      <c r="N1046" s="1870" t="n"/>
      <c r="O1046" s="1870" t="n"/>
      <c r="P1046" s="1870" t="n"/>
      <c r="Q1046" s="1870" t="n"/>
      <c r="R1046" s="1870" t="n"/>
      <c r="S1046" s="1870" t="n"/>
      <c r="T1046" s="1870" t="n"/>
      <c r="U1046" s="1870" t="n"/>
      <c r="V1046" s="1870" t="n"/>
      <c r="W1046" s="1870" t="n"/>
      <c r="X1046" s="1870" t="n"/>
      <c r="Y1046" s="1870" t="n"/>
      <c r="Z1046" s="1870" t="n"/>
      <c r="AA1046" s="1870" t="n"/>
      <c r="AB1046" s="1870" t="n"/>
      <c r="AC1046" s="1870" t="n"/>
      <c r="AD1046" s="1870" t="n"/>
      <c r="AE1046" s="1870" t="n"/>
      <c r="AF1046" s="1870" t="n"/>
      <c r="AG1046" s="1870" t="n"/>
      <c r="AH1046" s="1870" t="n"/>
      <c r="AI1046" s="1870" t="n"/>
      <c r="AJ1046" s="1870" t="n"/>
      <c r="AK1046" s="1870" t="n"/>
      <c r="AL1046" s="1870" t="n"/>
      <c r="AM1046" s="1870" t="n"/>
      <c r="AN1046" s="1870" t="n"/>
      <c r="AO1046" s="1870" t="n"/>
      <c r="AP1046" s="1870" t="n"/>
      <c r="AQ1046" s="1870" t="n"/>
      <c r="AR1046" s="1870" t="n"/>
      <c r="AS1046" s="1870" t="n"/>
      <c r="AT1046" s="1870" t="n"/>
      <c r="AU1046" s="1870" t="n"/>
      <c r="AV1046" s="1870" t="n"/>
      <c r="AW1046" s="1870" t="n"/>
      <c r="AX1046" s="1870" t="n"/>
      <c r="AY1046" s="1870" t="n"/>
      <c r="AZ1046" s="1870" t="n"/>
      <c r="BA1046" s="1870" t="n"/>
      <c r="BB1046" s="1870" t="n"/>
      <c r="BC1046" s="1870" t="n"/>
      <c r="BD1046" s="1870" t="n"/>
      <c r="BE1046" s="1870" t="n"/>
      <c r="BF1046" s="1870" t="n"/>
      <c r="BG1046" s="1870" t="n"/>
      <c r="BH1046" s="1870" t="n"/>
      <c r="BI1046" s="1870" t="n"/>
      <c r="BJ1046" s="1870" t="n"/>
      <c r="BK1046" s="1870" t="n"/>
      <c r="BL1046" s="1870" t="n"/>
      <c r="BM1046" s="1870" t="n"/>
      <c r="BN1046" s="1870" t="n"/>
      <c r="BO1046" s="1872" t="n"/>
      <c r="BP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Q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R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S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T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U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V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W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X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Y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BZ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CA1046" s="187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CB1046" s="1873">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_xll.TR(MO.Ticker.Thomson,"ZAV(TR.EPSMean)","Period="&amp;INDEX(tb_ConsensusEstimate,2,COLUMN())&amp;INDEX(tb_ConsensusEstimate,3,COLUMN()))),"N/A")</f>
        <v/>
      </c>
      <c r="CC1046" s="1874" t="n"/>
    </row>
    <row r="1047" ht="14.4" customFormat="1" customHeight="1" s="1868">
      <c r="A1047" s="1869">
        <f>$A$456</f>
        <v/>
      </c>
      <c r="B1047" s="1870" t="n"/>
      <c r="C1047" s="1870" t="n"/>
      <c r="D1047" s="1871" t="n"/>
      <c r="E1047" s="1871" t="n"/>
      <c r="F1047" s="1871" t="n"/>
      <c r="G1047" s="1871" t="n"/>
      <c r="H1047" s="1871" t="n"/>
      <c r="I1047" s="1871" t="n"/>
      <c r="J1047" s="1870" t="n"/>
      <c r="K1047" s="1870" t="n"/>
      <c r="L1047" s="1870" t="n"/>
      <c r="M1047" s="1870" t="n"/>
      <c r="N1047" s="1870" t="n"/>
      <c r="O1047" s="1870" t="n"/>
      <c r="P1047" s="1870" t="n"/>
      <c r="Q1047" s="1870" t="n"/>
      <c r="R1047" s="1870" t="n"/>
      <c r="S1047" s="1870" t="n"/>
      <c r="T1047" s="1870" t="n"/>
      <c r="U1047" s="1870" t="n"/>
      <c r="V1047" s="1870" t="n"/>
      <c r="W1047" s="1870" t="n"/>
      <c r="X1047" s="1870" t="n"/>
      <c r="Y1047" s="1870" t="n"/>
      <c r="Z1047" s="1870" t="n"/>
      <c r="AA1047" s="1870" t="n"/>
      <c r="AB1047" s="1870" t="n"/>
      <c r="AC1047" s="1870" t="n"/>
      <c r="AD1047" s="1870" t="n"/>
      <c r="AE1047" s="1870" t="n"/>
      <c r="AF1047" s="1870" t="n"/>
      <c r="AG1047" s="1870" t="n"/>
      <c r="AH1047" s="1870" t="n"/>
      <c r="AI1047" s="1870" t="n"/>
      <c r="AJ1047" s="1870" t="n"/>
      <c r="AK1047" s="1870" t="n"/>
      <c r="AL1047" s="1870" t="n"/>
      <c r="AM1047" s="1870" t="n"/>
      <c r="AN1047" s="1870" t="n"/>
      <c r="AO1047" s="1870" t="n"/>
      <c r="AP1047" s="1870" t="n"/>
      <c r="AQ1047" s="1870" t="n"/>
      <c r="AR1047" s="1870" t="n"/>
      <c r="AS1047" s="1870" t="n"/>
      <c r="AT1047" s="1870" t="n"/>
      <c r="AU1047" s="1870" t="n"/>
      <c r="AV1047" s="1870" t="n"/>
      <c r="AW1047" s="1870" t="n"/>
      <c r="AX1047" s="1870" t="n"/>
      <c r="AY1047" s="1870" t="n"/>
      <c r="AZ1047" s="1870" t="n"/>
      <c r="BA1047" s="1870" t="n"/>
      <c r="BB1047" s="1870" t="n"/>
      <c r="BC1047" s="1870" t="n"/>
      <c r="BD1047" s="1870" t="n"/>
      <c r="BE1047" s="1870" t="n"/>
      <c r="BF1047" s="1870" t="n"/>
      <c r="BG1047" s="1870" t="n"/>
      <c r="BH1047" s="1870" t="n"/>
      <c r="BI1047" s="1870" t="n"/>
      <c r="BJ1047" s="1870" t="n"/>
      <c r="BK1047" s="1870" t="n"/>
      <c r="BL1047" s="1870" t="n"/>
      <c r="BM1047" s="1870" t="n"/>
      <c r="BN1047" s="1870" t="n"/>
      <c r="BO1047" s="1872" t="n"/>
      <c r="BP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Q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R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S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T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U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V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W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X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Y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Z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CA1047" s="187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CB1047" s="1873">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CC1047" s="1874" t="n"/>
    </row>
    <row r="1048" ht="14.4" customFormat="1" customHeight="1" s="1275">
      <c r="A1048" s="1826">
        <f>A458</f>
        <v/>
      </c>
      <c r="B1048" s="1277" t="n"/>
      <c r="C1048" s="1277" t="n"/>
      <c r="D1048" s="1814" t="n"/>
      <c r="E1048" s="1814" t="n"/>
      <c r="F1048" s="1814" t="n"/>
      <c r="G1048" s="1814" t="n"/>
      <c r="H1048" s="1814" t="n"/>
      <c r="I1048" s="1814" t="n"/>
      <c r="J1048" s="1277" t="n"/>
      <c r="K1048" s="1277" t="n"/>
      <c r="L1048" s="1277" t="n"/>
      <c r="M1048" s="1277" t="n"/>
      <c r="N1048" s="1277" t="n"/>
      <c r="O1048" s="1277" t="n"/>
      <c r="P1048" s="1277" t="n"/>
      <c r="Q1048" s="1277" t="n"/>
      <c r="R1048" s="1277" t="n"/>
      <c r="S1048" s="1277" t="n"/>
      <c r="T1048" s="1277" t="n"/>
      <c r="U1048" s="1277" t="n"/>
      <c r="V1048" s="1277" t="n"/>
      <c r="W1048" s="1277" t="n"/>
      <c r="X1048" s="1277" t="n"/>
      <c r="Y1048" s="1277" t="n"/>
      <c r="Z1048" s="1277" t="n"/>
      <c r="AA1048" s="1277" t="n"/>
      <c r="AB1048" s="1277" t="n"/>
      <c r="AC1048" s="1277" t="n"/>
      <c r="AD1048" s="1277" t="n"/>
      <c r="AE1048" s="1277" t="n"/>
      <c r="AF1048" s="1277" t="n"/>
      <c r="AG1048" s="1277" t="n"/>
      <c r="AH1048" s="1277" t="n"/>
      <c r="AI1048" s="1277" t="n"/>
      <c r="AJ1048" s="1277" t="n"/>
      <c r="AK1048" s="1277" t="n"/>
      <c r="AL1048" s="1277" t="n"/>
      <c r="AM1048" s="1277" t="n"/>
      <c r="AN1048" s="1277" t="n"/>
      <c r="AO1048" s="1277" t="n"/>
      <c r="AP1048" s="1277" t="n"/>
      <c r="AQ1048" s="1277" t="n"/>
      <c r="AR1048" s="1277" t="n"/>
      <c r="AS1048" s="1277" t="n"/>
      <c r="AT1048" s="1277" t="n"/>
      <c r="AU1048" s="1277" t="n"/>
      <c r="AV1048" s="1277" t="n"/>
      <c r="AW1048" s="1277" t="n"/>
      <c r="AX1048" s="1277" t="n"/>
      <c r="AY1048" s="1277" t="n"/>
      <c r="AZ1048" s="1277" t="n"/>
      <c r="BA1048" s="1277" t="n"/>
      <c r="BB1048" s="1277" t="n"/>
      <c r="BC1048" s="1277" t="n"/>
      <c r="BD1048" s="1277" t="n"/>
      <c r="BE1048" s="1277" t="n"/>
      <c r="BF1048" s="1277" t="n"/>
      <c r="BG1048" s="1277" t="n"/>
      <c r="BH1048" s="1277" t="n"/>
      <c r="BI1048" s="1277" t="n"/>
      <c r="BJ1048" s="1277" t="n"/>
      <c r="BK1048" s="1277" t="n"/>
      <c r="BL1048" s="1277" t="n"/>
      <c r="BM1048" s="1277" t="n"/>
      <c r="BN1048" s="1277" t="n"/>
      <c r="BO1048" s="1809" t="n"/>
      <c r="BP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Q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R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S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T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U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V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W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X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Y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Z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CA1048" s="127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CB1048" s="1867">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CC1048" s="1858" t="n"/>
    </row>
    <row r="1049" ht="14.4" customFormat="1" customHeight="1" s="1275">
      <c r="A1049" s="1828" t="n"/>
      <c r="B1049" s="1365" t="n"/>
      <c r="C1049" s="1875" t="n"/>
      <c r="D1049" s="1875" t="n"/>
      <c r="E1049" s="1365" t="n"/>
      <c r="F1049" s="1365" t="n"/>
      <c r="G1049" s="1365" t="n"/>
      <c r="H1049" s="1365" t="n"/>
      <c r="I1049" s="1365" t="n"/>
      <c r="J1049" s="1365" t="n"/>
      <c r="K1049" s="1365" t="n"/>
      <c r="L1049" s="1365" t="n"/>
      <c r="M1049" s="1365" t="n"/>
      <c r="N1049" s="1365" t="n"/>
      <c r="O1049" s="1365" t="n"/>
      <c r="P1049" s="1365" t="n"/>
      <c r="Q1049" s="1365" t="n"/>
      <c r="R1049" s="1365" t="n"/>
      <c r="S1049" s="1365" t="n"/>
      <c r="T1049" s="1365" t="n"/>
      <c r="U1049" s="1365" t="n"/>
      <c r="V1049" s="1365" t="n"/>
      <c r="W1049" s="1365" t="n"/>
      <c r="X1049" s="1365" t="n"/>
      <c r="Y1049" s="1365" t="n"/>
      <c r="Z1049" s="1365" t="n"/>
      <c r="AA1049" s="1365" t="n"/>
      <c r="AB1049" s="1365" t="n"/>
      <c r="AC1049" s="1365" t="n"/>
      <c r="AD1049" s="1365" t="n"/>
      <c r="AE1049" s="1365" t="n"/>
      <c r="AF1049" s="1365" t="n"/>
      <c r="AG1049" s="1365" t="n"/>
      <c r="AH1049" s="1365" t="n"/>
      <c r="AI1049" s="1365" t="n"/>
      <c r="AJ1049" s="1365" t="n"/>
      <c r="AK1049" s="1365" t="n"/>
      <c r="AL1049" s="1365" t="n"/>
      <c r="AM1049" s="1365" t="n"/>
      <c r="AN1049" s="1365" t="n"/>
      <c r="AO1049" s="1365" t="n"/>
      <c r="AP1049" s="1365" t="n"/>
      <c r="AQ1049" s="1365" t="n"/>
      <c r="AR1049" s="1365" t="n"/>
      <c r="AS1049" s="1365" t="n"/>
      <c r="AT1049" s="1365" t="n"/>
      <c r="AU1049" s="1365" t="n"/>
      <c r="AV1049" s="1365" t="n"/>
      <c r="AW1049" s="1365" t="n"/>
      <c r="AX1049" s="1365" t="n"/>
      <c r="AY1049" s="1365" t="n"/>
      <c r="AZ1049" s="1365" t="n"/>
      <c r="BA1049" s="1365" t="n"/>
      <c r="BB1049" s="1365" t="n"/>
      <c r="BC1049" s="1365" t="n"/>
      <c r="BD1049" s="1365" t="n"/>
      <c r="BE1049" s="1365" t="n"/>
      <c r="BF1049" s="1365" t="n"/>
      <c r="BG1049" s="1365" t="n"/>
      <c r="BH1049" s="1365" t="n"/>
      <c r="BI1049" s="1365" t="n"/>
      <c r="BJ1049" s="1365" t="n"/>
      <c r="BK1049" s="1365" t="n"/>
      <c r="BL1049" s="1365" t="n"/>
      <c r="BM1049" s="1365" t="n"/>
      <c r="BN1049" s="1365" t="n"/>
      <c r="BO1049" s="1876" t="n"/>
      <c r="BP1049" s="1365" t="n"/>
      <c r="BQ1049" s="1365" t="n"/>
      <c r="BR1049" s="1365" t="n"/>
      <c r="BS1049" s="1365" t="n"/>
      <c r="BT1049" s="1365" t="n"/>
      <c r="BU1049" s="1365" t="n"/>
      <c r="BV1049" s="1365" t="n"/>
      <c r="BW1049" s="1365" t="n"/>
      <c r="BX1049" s="1365" t="n"/>
      <c r="BY1049" s="1365" t="n"/>
      <c r="BZ1049" s="1365" t="n"/>
      <c r="CA1049" s="1365" t="n"/>
      <c r="CB1049" s="1877" t="n"/>
      <c r="CC1049" s="1858" t="n"/>
    </row>
    <row r="1050" ht="14.4" customFormat="1" customHeight="1" s="1275">
      <c r="A1050" s="1823" t="n"/>
      <c r="B1050" s="1878" t="n"/>
      <c r="C1050" s="1879" t="n"/>
      <c r="D1050" s="1879" t="n"/>
      <c r="E1050" s="1878" t="n"/>
      <c r="F1050" s="1878" t="n"/>
      <c r="G1050" s="1878" t="n"/>
      <c r="H1050" s="1878" t="n"/>
      <c r="I1050" s="1878" t="n"/>
      <c r="J1050" s="1878" t="n"/>
      <c r="K1050" s="1878" t="n"/>
      <c r="L1050" s="1878" t="n"/>
      <c r="M1050" s="1878" t="n"/>
      <c r="N1050" s="1878" t="n"/>
      <c r="O1050" s="1878" t="n"/>
      <c r="P1050" s="1878" t="n"/>
      <c r="Q1050" s="1878" t="n"/>
      <c r="R1050" s="1878" t="n"/>
      <c r="S1050" s="1878" t="n"/>
      <c r="T1050" s="1878" t="n"/>
      <c r="U1050" s="1878" t="n"/>
      <c r="V1050" s="1878" t="n"/>
      <c r="W1050" s="1878" t="n"/>
      <c r="X1050" s="1878" t="n"/>
      <c r="Y1050" s="1878" t="n"/>
      <c r="Z1050" s="1878" t="n"/>
      <c r="AA1050" s="1878" t="n"/>
      <c r="AB1050" s="1878" t="n"/>
      <c r="AC1050" s="1878" t="n"/>
      <c r="AD1050" s="1878" t="n"/>
      <c r="AE1050" s="1878" t="n"/>
      <c r="AF1050" s="1878" t="n"/>
      <c r="AG1050" s="1878" t="n"/>
      <c r="AH1050" s="1878" t="n"/>
      <c r="AI1050" s="1878" t="n"/>
      <c r="AJ1050" s="1878" t="n"/>
      <c r="AK1050" s="1878" t="n"/>
      <c r="AL1050" s="1878" t="n"/>
      <c r="AM1050" s="1878" t="n"/>
      <c r="AN1050" s="1878" t="n"/>
      <c r="AO1050" s="1878" t="n"/>
      <c r="AP1050" s="1878" t="n"/>
      <c r="AQ1050" s="1878" t="n"/>
      <c r="AR1050" s="1878" t="n"/>
      <c r="AS1050" s="1878" t="n"/>
      <c r="AT1050" s="1878" t="n"/>
      <c r="AU1050" s="1878" t="n"/>
      <c r="AV1050" s="1878" t="n"/>
      <c r="AW1050" s="1878" t="n"/>
      <c r="AX1050" s="1878" t="n"/>
      <c r="AY1050" s="1878" t="n"/>
      <c r="AZ1050" s="1878" t="n"/>
      <c r="BA1050" s="1878" t="n"/>
      <c r="BB1050" s="1878" t="n"/>
      <c r="BC1050" s="1878" t="n"/>
      <c r="BD1050" s="1878" t="n"/>
      <c r="BE1050" s="1878" t="n"/>
      <c r="BF1050" s="1878" t="n"/>
      <c r="BG1050" s="1878" t="n"/>
      <c r="BH1050" s="1878" t="n"/>
      <c r="BI1050" s="1878" t="n"/>
      <c r="BJ1050" s="1878" t="n"/>
      <c r="BK1050" s="1878" t="n"/>
      <c r="BL1050" s="1878" t="n"/>
      <c r="BM1050" s="1878" t="n"/>
      <c r="BN1050" s="1878" t="n"/>
      <c r="BO1050" s="1880" t="n"/>
      <c r="BP1050" s="1878" t="n"/>
      <c r="BQ1050" s="1878" t="n"/>
      <c r="BR1050" s="1878" t="n"/>
      <c r="BS1050" s="1878" t="n"/>
      <c r="BT1050" s="1878" t="n"/>
      <c r="BU1050" s="1878" t="n"/>
      <c r="BV1050" s="1878" t="n"/>
      <c r="BW1050" s="1878" t="n"/>
      <c r="BX1050" s="1878" t="n"/>
      <c r="BY1050" s="1878" t="n"/>
      <c r="BZ1050" s="1878" t="n"/>
      <c r="CA1050" s="1878" t="n"/>
      <c r="CB1050" s="1878" t="n"/>
      <c r="CC1050" s="1280" t="n"/>
    </row>
    <row r="1051" ht="14.4" customFormat="1" customHeight="1" s="1275">
      <c r="A1051" s="1881" t="inlineStr">
        <is>
          <t>Stock Price Table</t>
        </is>
      </c>
      <c r="B1051" s="1882" t="n"/>
      <c r="C1051" s="1883" t="n"/>
      <c r="D1051" s="1883" t="n"/>
      <c r="E1051" s="1882" t="n"/>
      <c r="F1051" s="1882" t="n"/>
      <c r="G1051" s="1882" t="n"/>
      <c r="H1051" s="1882" t="n"/>
      <c r="I1051" s="1882" t="n"/>
      <c r="J1051" s="1882" t="n"/>
      <c r="K1051" s="1882" t="n"/>
      <c r="L1051" s="1882" t="n"/>
      <c r="M1051" s="1882" t="n"/>
      <c r="N1051" s="1882" t="n"/>
      <c r="O1051" s="1882" t="n"/>
      <c r="P1051" s="1882" t="n"/>
      <c r="Q1051" s="1882" t="n"/>
      <c r="R1051" s="1882" t="n"/>
      <c r="S1051" s="1882" t="n"/>
      <c r="T1051" s="1882" t="n"/>
      <c r="U1051" s="1882" t="n"/>
      <c r="V1051" s="1882" t="n"/>
      <c r="W1051" s="1882" t="n"/>
      <c r="X1051" s="1882" t="n"/>
      <c r="Y1051" s="1882" t="n"/>
      <c r="Z1051" s="1882" t="n"/>
      <c r="AA1051" s="1882" t="n"/>
      <c r="AB1051" s="1882" t="n"/>
      <c r="AC1051" s="1882" t="n"/>
      <c r="AD1051" s="1882" t="n"/>
      <c r="AE1051" s="1882" t="n"/>
      <c r="AF1051" s="1882" t="n"/>
      <c r="AG1051" s="1882" t="n"/>
      <c r="AH1051" s="1882" t="n"/>
      <c r="AI1051" s="1882" t="n"/>
      <c r="AJ1051" s="1882" t="n"/>
      <c r="AK1051" s="1882" t="n"/>
      <c r="AL1051" s="1882" t="n"/>
      <c r="AM1051" s="1882" t="n"/>
      <c r="AN1051" s="1882" t="n"/>
      <c r="AO1051" s="1882" t="n"/>
      <c r="AP1051" s="1882" t="n"/>
      <c r="AQ1051" s="1882" t="n"/>
      <c r="AR1051" s="1882" t="n"/>
      <c r="AS1051" s="1882" t="n"/>
      <c r="AT1051" s="1882" t="n"/>
      <c r="AU1051" s="1882" t="n"/>
      <c r="AV1051" s="1882" t="n"/>
      <c r="AW1051" s="1882" t="n"/>
      <c r="AX1051" s="1882" t="n"/>
      <c r="AY1051" s="1882" t="n"/>
      <c r="AZ1051" s="1882" t="n"/>
      <c r="BA1051" s="1882" t="n"/>
      <c r="BB1051" s="1882" t="n"/>
      <c r="BC1051" s="1882" t="n"/>
      <c r="BD1051" s="1882" t="n"/>
      <c r="BE1051" s="1882" t="n"/>
      <c r="BF1051" s="1882" t="n"/>
      <c r="BG1051" s="1882" t="n"/>
      <c r="BH1051" s="1882" t="n"/>
      <c r="BI1051" s="1882" t="n"/>
      <c r="BJ1051" s="1882" t="n"/>
      <c r="BK1051" s="1882" t="n"/>
      <c r="BL1051" s="1882" t="n"/>
      <c r="BM1051" s="1882" t="n"/>
      <c r="BN1051" s="1882" t="n"/>
      <c r="BO1051" s="1884" t="n"/>
      <c r="BP1051" s="1882" t="n"/>
      <c r="BQ1051" s="1882" t="n"/>
      <c r="BR1051" s="1882" t="n"/>
      <c r="BS1051" s="1882" t="n"/>
      <c r="BT1051" s="1882" t="n"/>
      <c r="BU1051" s="1882" t="n"/>
      <c r="BV1051" s="1882" t="n"/>
      <c r="BW1051" s="1882" t="n"/>
      <c r="BX1051" s="1882" t="n"/>
      <c r="BY1051" s="1882" t="n"/>
      <c r="BZ1051" s="1882" t="n"/>
      <c r="CA1051" s="1882" t="n"/>
      <c r="CB1051" s="1885" t="n"/>
      <c r="CC1051" s="1858" t="n"/>
    </row>
    <row r="1052" ht="14.4" customFormat="1" customHeight="1" s="1275">
      <c r="A1052" s="1886" t="inlineStr">
        <is>
          <t>Fiscal Period Start Date</t>
        </is>
      </c>
      <c r="B1052" s="1277" t="n"/>
      <c r="C1052" s="647">
        <f>INDEX(MO_Common_QEndDate,0,COLUMN())-INDEX(MO_Common_FPDays,0,COLUMN())+1</f>
        <v/>
      </c>
      <c r="D1052" s="647">
        <f>INDEX(MO_Common_QEndDate,0,COLUMN())-INDEX(MO_Common_FPDays,0,COLUMN())+1</f>
        <v/>
      </c>
      <c r="E1052" s="416">
        <f>INDEX(MO_Common_QEndDate,0,COLUMN())-INDEX(MO_Common_FPDays,0,COLUMN())+1</f>
        <v/>
      </c>
      <c r="F1052" s="416">
        <f>INDEX(MO_Common_QEndDate,0,COLUMN())-INDEX(MO_Common_FPDays,0,COLUMN())+1</f>
        <v/>
      </c>
      <c r="G1052" s="416">
        <f>INDEX(MO_Common_QEndDate,0,COLUMN())-INDEX(MO_Common_FPDays,0,COLUMN())+1</f>
        <v/>
      </c>
      <c r="H1052" s="416">
        <f>INDEX(MO_Common_QEndDate,0,COLUMN())-INDEX(MO_Common_FPDays,0,COLUMN())+1</f>
        <v/>
      </c>
      <c r="I1052" s="416">
        <f>INDEX(MO_Common_QEndDate,0,COLUMN())-INDEX(MO_Common_FPDays,0,COLUMN())+1</f>
        <v/>
      </c>
      <c r="J1052" s="416">
        <f>INDEX(MO_Common_QEndDate,0,COLUMN())-INDEX(MO_Common_FPDays,0,COLUMN())+1</f>
        <v/>
      </c>
      <c r="K1052" s="416">
        <f>INDEX(MO_Common_QEndDate,0,COLUMN())-INDEX(MO_Common_FPDays,0,COLUMN())+1</f>
        <v/>
      </c>
      <c r="L1052" s="416">
        <f>INDEX(MO_Common_QEndDate,0,COLUMN())-INDEX(MO_Common_FPDays,0,COLUMN())+1</f>
        <v/>
      </c>
      <c r="M1052" s="416">
        <f>INDEX(MO_Common_QEndDate,0,COLUMN())-INDEX(MO_Common_FPDays,0,COLUMN())+1</f>
        <v/>
      </c>
      <c r="N1052" s="416">
        <f>INDEX(MO_Common_QEndDate,0,COLUMN())-INDEX(MO_Common_FPDays,0,COLUMN())+1</f>
        <v/>
      </c>
      <c r="O1052" s="416">
        <f>INDEX(MO_Common_QEndDate,0,COLUMN())-INDEX(MO_Common_FPDays,0,COLUMN())+1</f>
        <v/>
      </c>
      <c r="P1052" s="416">
        <f>INDEX(MO_Common_QEndDate,0,COLUMN())-INDEX(MO_Common_FPDays,0,COLUMN())+1</f>
        <v/>
      </c>
      <c r="Q1052" s="416">
        <f>INDEX(MO_Common_QEndDate,0,COLUMN())-INDEX(MO_Common_FPDays,0,COLUMN())+1</f>
        <v/>
      </c>
      <c r="R1052" s="416">
        <f>INDEX(MO_Common_QEndDate,0,COLUMN())-INDEX(MO_Common_FPDays,0,COLUMN())+1</f>
        <v/>
      </c>
      <c r="S1052" s="416">
        <f>INDEX(MO_Common_QEndDate,0,COLUMN())-INDEX(MO_Common_FPDays,0,COLUMN())+1</f>
        <v/>
      </c>
      <c r="T1052" s="416">
        <f>INDEX(MO_Common_QEndDate,0,COLUMN())-INDEX(MO_Common_FPDays,0,COLUMN())+1</f>
        <v/>
      </c>
      <c r="U1052" s="416">
        <f>INDEX(MO_Common_QEndDate,0,COLUMN())-INDEX(MO_Common_FPDays,0,COLUMN())+1</f>
        <v/>
      </c>
      <c r="V1052" s="416">
        <f>INDEX(MO_Common_QEndDate,0,COLUMN())-INDEX(MO_Common_FPDays,0,COLUMN())+1</f>
        <v/>
      </c>
      <c r="W1052" s="416">
        <f>INDEX(MO_Common_QEndDate,0,COLUMN())-INDEX(MO_Common_FPDays,0,COLUMN())+1</f>
        <v/>
      </c>
      <c r="X1052" s="416">
        <f>INDEX(MO_Common_QEndDate,0,COLUMN())-INDEX(MO_Common_FPDays,0,COLUMN())+1</f>
        <v/>
      </c>
      <c r="Y1052" s="416">
        <f>INDEX(MO_Common_QEndDate,0,COLUMN())-INDEX(MO_Common_FPDays,0,COLUMN())+1</f>
        <v/>
      </c>
      <c r="Z1052" s="416">
        <f>INDEX(MO_Common_QEndDate,0,COLUMN())-INDEX(MO_Common_FPDays,0,COLUMN())+1</f>
        <v/>
      </c>
      <c r="AA1052" s="416">
        <f>INDEX(MO_Common_QEndDate,0,COLUMN())-INDEX(MO_Common_FPDays,0,COLUMN())+1</f>
        <v/>
      </c>
      <c r="AB1052" s="416">
        <f>INDEX(MO_Common_QEndDate,0,COLUMN())-INDEX(MO_Common_FPDays,0,COLUMN())+1</f>
        <v/>
      </c>
      <c r="AC1052" s="416">
        <f>INDEX(MO_Common_QEndDate,0,COLUMN())-INDEX(MO_Common_FPDays,0,COLUMN())+1</f>
        <v/>
      </c>
      <c r="AD1052" s="416">
        <f>INDEX(MO_Common_QEndDate,0,COLUMN())-INDEX(MO_Common_FPDays,0,COLUMN())+1</f>
        <v/>
      </c>
      <c r="AE1052" s="416">
        <f>INDEX(MO_Common_QEndDate,0,COLUMN())-INDEX(MO_Common_FPDays,0,COLUMN())+1</f>
        <v/>
      </c>
      <c r="AF1052" s="416">
        <f>INDEX(MO_Common_QEndDate,0,COLUMN())-INDEX(MO_Common_FPDays,0,COLUMN())+1</f>
        <v/>
      </c>
      <c r="AG1052" s="416">
        <f>INDEX(MO_Common_QEndDate,0,COLUMN())-INDEX(MO_Common_FPDays,0,COLUMN())+1</f>
        <v/>
      </c>
      <c r="AH1052" s="416">
        <f>INDEX(MO_Common_QEndDate,0,COLUMN())-INDEX(MO_Common_FPDays,0,COLUMN())+1</f>
        <v/>
      </c>
      <c r="AI1052" s="416">
        <f>INDEX(MO_Common_QEndDate,0,COLUMN())-INDEX(MO_Common_FPDays,0,COLUMN())+1</f>
        <v/>
      </c>
      <c r="AJ1052" s="416">
        <f>INDEX(MO_Common_QEndDate,0,COLUMN())-INDEX(MO_Common_FPDays,0,COLUMN())+1</f>
        <v/>
      </c>
      <c r="AK1052" s="416">
        <f>INDEX(MO_Common_QEndDate,0,COLUMN())-INDEX(MO_Common_FPDays,0,COLUMN())+1</f>
        <v/>
      </c>
      <c r="AL1052" s="416">
        <f>INDEX(MO_Common_QEndDate,0,COLUMN())-INDEX(MO_Common_FPDays,0,COLUMN())+1</f>
        <v/>
      </c>
      <c r="AM1052" s="416">
        <f>INDEX(MO_Common_QEndDate,0,COLUMN())-INDEX(MO_Common_FPDays,0,COLUMN())+1</f>
        <v/>
      </c>
      <c r="AN1052" s="416">
        <f>INDEX(MO_Common_QEndDate,0,COLUMN())-INDEX(MO_Common_FPDays,0,COLUMN())+1</f>
        <v/>
      </c>
      <c r="AO1052" s="416">
        <f>INDEX(MO_Common_QEndDate,0,COLUMN())-INDEX(MO_Common_FPDays,0,COLUMN())+1</f>
        <v/>
      </c>
      <c r="AP1052" s="416">
        <f>INDEX(MO_Common_QEndDate,0,COLUMN())-INDEX(MO_Common_FPDays,0,COLUMN())+1</f>
        <v/>
      </c>
      <c r="AQ1052" s="416">
        <f>INDEX(MO_Common_QEndDate,0,COLUMN())-INDEX(MO_Common_FPDays,0,COLUMN())+1</f>
        <v/>
      </c>
      <c r="AR1052" s="416">
        <f>INDEX(MO_Common_QEndDate,0,COLUMN())-INDEX(MO_Common_FPDays,0,COLUMN())+1</f>
        <v/>
      </c>
      <c r="AS1052" s="416">
        <f>INDEX(MO_Common_QEndDate,0,COLUMN())-INDEX(MO_Common_FPDays,0,COLUMN())+1</f>
        <v/>
      </c>
      <c r="AT1052" s="416">
        <f>INDEX(MO_Common_QEndDate,0,COLUMN())-INDEX(MO_Common_FPDays,0,COLUMN())+1</f>
        <v/>
      </c>
      <c r="AU1052" s="416">
        <f>INDEX(MO_Common_QEndDate,0,COLUMN())-INDEX(MO_Common_FPDays,0,COLUMN())+1</f>
        <v/>
      </c>
      <c r="AV1052" s="416">
        <f>INDEX(MO_Common_QEndDate,0,COLUMN())-INDEX(MO_Common_FPDays,0,COLUMN())+1</f>
        <v/>
      </c>
      <c r="AW1052" s="416">
        <f>INDEX(MO_Common_QEndDate,0,COLUMN())-INDEX(MO_Common_FPDays,0,COLUMN())+1</f>
        <v/>
      </c>
      <c r="AX1052" s="416">
        <f>INDEX(MO_Common_QEndDate,0,COLUMN())-INDEX(MO_Common_FPDays,0,COLUMN())+1</f>
        <v/>
      </c>
      <c r="AY1052" s="416">
        <f>INDEX(MO_Common_QEndDate,0,COLUMN())-INDEX(MO_Common_FPDays,0,COLUMN())+1</f>
        <v/>
      </c>
      <c r="AZ1052" s="416">
        <f>INDEX(MO_Common_QEndDate,0,COLUMN())-INDEX(MO_Common_FPDays,0,COLUMN())+1</f>
        <v/>
      </c>
      <c r="BA1052" s="416">
        <f>INDEX(MO_Common_QEndDate,0,COLUMN())-INDEX(MO_Common_FPDays,0,COLUMN())+1</f>
        <v/>
      </c>
      <c r="BB1052" s="416">
        <f>INDEX(MO_Common_QEndDate,0,COLUMN())-INDEX(MO_Common_FPDays,0,COLUMN())+1</f>
        <v/>
      </c>
      <c r="BC1052" s="416">
        <f>INDEX(MO_Common_QEndDate,0,COLUMN())-INDEX(MO_Common_FPDays,0,COLUMN())+1</f>
        <v/>
      </c>
      <c r="BD1052" s="416">
        <f>INDEX(MO_Common_QEndDate,0,COLUMN())-INDEX(MO_Common_FPDays,0,COLUMN())+1</f>
        <v/>
      </c>
      <c r="BE1052" s="416">
        <f>INDEX(MO_Common_QEndDate,0,COLUMN())-INDEX(MO_Common_FPDays,0,COLUMN())+1</f>
        <v/>
      </c>
      <c r="BF1052" s="416">
        <f>INDEX(MO_Common_QEndDate,0,COLUMN())-INDEX(MO_Common_FPDays,0,COLUMN())+1</f>
        <v/>
      </c>
      <c r="BG1052" s="416">
        <f>INDEX(MO_Common_QEndDate,0,COLUMN())-INDEX(MO_Common_FPDays,0,COLUMN())+1</f>
        <v/>
      </c>
      <c r="BH1052" s="416">
        <f>INDEX(MO_Common_QEndDate,0,COLUMN())-INDEX(MO_Common_FPDays,0,COLUMN())+1</f>
        <v/>
      </c>
      <c r="BI1052" s="416">
        <f>INDEX(MO_Common_QEndDate,0,COLUMN())-INDEX(MO_Common_FPDays,0,COLUMN())+1</f>
        <v/>
      </c>
      <c r="BJ1052" s="416">
        <f>INDEX(MO_Common_QEndDate,0,COLUMN())-INDEX(MO_Common_FPDays,0,COLUMN())+1</f>
        <v/>
      </c>
      <c r="BK1052" s="416">
        <f>INDEX(MO_Common_QEndDate,0,COLUMN())-INDEX(MO_Common_FPDays,0,COLUMN())+1</f>
        <v/>
      </c>
      <c r="BL1052" s="416">
        <f>INDEX(MO_Common_QEndDate,0,COLUMN())-INDEX(MO_Common_FPDays,0,COLUMN())+1</f>
        <v/>
      </c>
      <c r="BM1052" s="416">
        <f>INDEX(MO_Common_QEndDate,0,COLUMN())-INDEX(MO_Common_FPDays,0,COLUMN())+1</f>
        <v/>
      </c>
      <c r="BN1052" s="416">
        <f>INDEX(MO_Common_QEndDate,0,COLUMN())-INDEX(MO_Common_FPDays,0,COLUMN())+1</f>
        <v/>
      </c>
      <c r="BO1052" s="587">
        <f>INDEX(MO_Common_QEndDate,0,COLUMN())-INDEX(MO_Common_FPDays,0,COLUMN())+1</f>
        <v/>
      </c>
      <c r="BP1052" s="416">
        <f>INDEX(MO_Common_QEndDate,0,COLUMN())-INDEX(MO_Common_FPDays,0,COLUMN())+1</f>
        <v/>
      </c>
      <c r="BQ1052" s="416">
        <f>INDEX(MO_Common_QEndDate,0,COLUMN())-INDEX(MO_Common_FPDays,0,COLUMN())+1</f>
        <v/>
      </c>
      <c r="BR1052" s="416">
        <f>INDEX(MO_Common_QEndDate,0,COLUMN())-INDEX(MO_Common_FPDays,0,COLUMN())+1</f>
        <v/>
      </c>
      <c r="BS1052" s="416">
        <f>INDEX(MO_Common_QEndDate,0,COLUMN())-INDEX(MO_Common_FPDays,0,COLUMN())+1</f>
        <v/>
      </c>
      <c r="BT1052" s="416">
        <f>INDEX(MO_Common_QEndDate,0,COLUMN())-INDEX(MO_Common_FPDays,0,COLUMN())+1</f>
        <v/>
      </c>
      <c r="BU1052" s="416">
        <f>INDEX(MO_Common_QEndDate,0,COLUMN())-INDEX(MO_Common_FPDays,0,COLUMN())+1</f>
        <v/>
      </c>
      <c r="BV1052" s="416">
        <f>INDEX(MO_Common_QEndDate,0,COLUMN())-INDEX(MO_Common_FPDays,0,COLUMN())+1</f>
        <v/>
      </c>
      <c r="BW1052" s="416">
        <f>INDEX(MO_Common_QEndDate,0,COLUMN())-INDEX(MO_Common_FPDays,0,COLUMN())+1</f>
        <v/>
      </c>
      <c r="BX1052" s="416">
        <f>INDEX(MO_Common_QEndDate,0,COLUMN())-INDEX(MO_Common_FPDays,0,COLUMN())+1</f>
        <v/>
      </c>
      <c r="BY1052" s="416">
        <f>INDEX(MO_Common_QEndDate,0,COLUMN())-INDEX(MO_Common_FPDays,0,COLUMN())+1</f>
        <v/>
      </c>
      <c r="BZ1052" s="416">
        <f>INDEX(MO_Common_QEndDate,0,COLUMN())-INDEX(MO_Common_FPDays,0,COLUMN())+1</f>
        <v/>
      </c>
      <c r="CA1052" s="416">
        <f>INDEX(MO_Common_QEndDate,0,COLUMN())-INDEX(MO_Common_FPDays,0,COLUMN())+1</f>
        <v/>
      </c>
      <c r="CB1052" s="417">
        <f>INDEX(MO_Common_QEndDate,0,COLUMN())-INDEX(MO_Common_FPDays,0,COLUMN())+1</f>
        <v/>
      </c>
      <c r="CC1052" s="1858" t="n"/>
    </row>
    <row r="1053" ht="14.4" customFormat="1" customHeight="1" s="1275">
      <c r="A1053" s="1886" t="inlineStr">
        <is>
          <t>Is Historical Period</t>
        </is>
      </c>
      <c r="B1053" s="1277" t="n"/>
      <c r="C1053" s="647">
        <f>TRUE</f>
        <v/>
      </c>
      <c r="D1053" s="647">
        <f>TRUE</f>
        <v/>
      </c>
      <c r="E1053" s="416">
        <f>TRUE</f>
        <v/>
      </c>
      <c r="F1053" s="416">
        <f>TRUE</f>
        <v/>
      </c>
      <c r="G1053" s="416">
        <f>TRUE</f>
        <v/>
      </c>
      <c r="H1053" s="416">
        <f>TRUE</f>
        <v/>
      </c>
      <c r="I1053" s="416">
        <f>TRUE</f>
        <v/>
      </c>
      <c r="J1053" s="416">
        <f>TRUE</f>
        <v/>
      </c>
      <c r="K1053" s="416">
        <f>TRUE</f>
        <v/>
      </c>
      <c r="L1053" s="416">
        <f>TRUE</f>
        <v/>
      </c>
      <c r="M1053" s="416">
        <f>TRUE</f>
        <v/>
      </c>
      <c r="N1053" s="416">
        <f>TRUE</f>
        <v/>
      </c>
      <c r="O1053" s="416">
        <f>TRUE</f>
        <v/>
      </c>
      <c r="P1053" s="416">
        <f>TRUE</f>
        <v/>
      </c>
      <c r="Q1053" s="416">
        <f>TRUE</f>
        <v/>
      </c>
      <c r="R1053" s="416">
        <f>TRUE</f>
        <v/>
      </c>
      <c r="S1053" s="416">
        <f>TRUE</f>
        <v/>
      </c>
      <c r="T1053" s="416">
        <f>TRUE</f>
        <v/>
      </c>
      <c r="U1053" s="416">
        <f>TRUE</f>
        <v/>
      </c>
      <c r="V1053" s="416">
        <f>TRUE</f>
        <v/>
      </c>
      <c r="W1053" s="416">
        <f>TRUE</f>
        <v/>
      </c>
      <c r="X1053" s="416">
        <f>TRUE</f>
        <v/>
      </c>
      <c r="Y1053" s="416">
        <f>TRUE</f>
        <v/>
      </c>
      <c r="Z1053" s="416">
        <f>TRUE</f>
        <v/>
      </c>
      <c r="AA1053" s="416">
        <f>TRUE</f>
        <v/>
      </c>
      <c r="AB1053" s="416">
        <f>TRUE</f>
        <v/>
      </c>
      <c r="AC1053" s="416">
        <f>TRUE</f>
        <v/>
      </c>
      <c r="AD1053" s="416">
        <f>TRUE</f>
        <v/>
      </c>
      <c r="AE1053" s="416">
        <f>TRUE</f>
        <v/>
      </c>
      <c r="AF1053" s="416">
        <f>TRUE</f>
        <v/>
      </c>
      <c r="AG1053" s="416">
        <f>TRUE</f>
        <v/>
      </c>
      <c r="AH1053" s="416">
        <f>TRUE</f>
        <v/>
      </c>
      <c r="AI1053" s="416">
        <f>TRUE</f>
        <v/>
      </c>
      <c r="AJ1053" s="416">
        <f>TRUE</f>
        <v/>
      </c>
      <c r="AK1053" s="416">
        <f>TRUE</f>
        <v/>
      </c>
      <c r="AL1053" s="416">
        <f>TRUE</f>
        <v/>
      </c>
      <c r="AM1053" s="416">
        <f>TRUE</f>
        <v/>
      </c>
      <c r="AN1053" s="416">
        <f>TRUE</f>
        <v/>
      </c>
      <c r="AO1053" s="416">
        <f>TRUE</f>
        <v/>
      </c>
      <c r="AP1053" s="416">
        <f>TRUE</f>
        <v/>
      </c>
      <c r="AQ1053" s="416">
        <f>TRUE</f>
        <v/>
      </c>
      <c r="AR1053" s="416">
        <f>TRUE</f>
        <v/>
      </c>
      <c r="AS1053" s="416">
        <f>TRUE</f>
        <v/>
      </c>
      <c r="AT1053" s="416">
        <f>TRUE</f>
        <v/>
      </c>
      <c r="AU1053" s="416">
        <f>TRUE</f>
        <v/>
      </c>
      <c r="AV1053" s="416">
        <f>TRUE</f>
        <v/>
      </c>
      <c r="AW1053" s="416">
        <f>TRUE</f>
        <v/>
      </c>
      <c r="AX1053" s="416">
        <f>TRUE</f>
        <v/>
      </c>
      <c r="AY1053" s="416">
        <f>TRUE</f>
        <v/>
      </c>
      <c r="AZ1053" s="416">
        <f>TRUE</f>
        <v/>
      </c>
      <c r="BA1053" s="416">
        <f>TRUE</f>
        <v/>
      </c>
      <c r="BB1053" s="416">
        <f>TRUE</f>
        <v/>
      </c>
      <c r="BC1053" s="416">
        <f>TRUE</f>
        <v/>
      </c>
      <c r="BD1053" s="416">
        <f>TRUE</f>
        <v/>
      </c>
      <c r="BE1053" s="416">
        <f>TRUE</f>
        <v/>
      </c>
      <c r="BF1053" s="416">
        <f>TRUE</f>
        <v/>
      </c>
      <c r="BG1053" s="416">
        <f>TRUE</f>
        <v/>
      </c>
      <c r="BH1053" s="416">
        <f>TRUE</f>
        <v/>
      </c>
      <c r="BI1053" s="416">
        <f>TRUE</f>
        <v/>
      </c>
      <c r="BJ1053" s="416">
        <f>TRUE</f>
        <v/>
      </c>
      <c r="BK1053" s="416">
        <f>TRUE</f>
        <v/>
      </c>
      <c r="BL1053" s="416">
        <f>TRUE</f>
        <v/>
      </c>
      <c r="BM1053" s="416">
        <f>TRUE</f>
        <v/>
      </c>
      <c r="BN1053" s="416">
        <f>TRUE</f>
        <v/>
      </c>
      <c r="BO1053" s="587">
        <f>TRUE</f>
        <v/>
      </c>
      <c r="BP1053" s="416">
        <f>FALSE</f>
        <v/>
      </c>
      <c r="BQ1053" s="416">
        <f>FALSE</f>
        <v/>
      </c>
      <c r="BR1053" s="416">
        <f>FALSE</f>
        <v/>
      </c>
      <c r="BS1053" s="416">
        <f>FALSE</f>
        <v/>
      </c>
      <c r="BT1053" s="416">
        <f>FALSE</f>
        <v/>
      </c>
      <c r="BU1053" s="416">
        <f>FALSE</f>
        <v/>
      </c>
      <c r="BV1053" s="416">
        <f>FALSE</f>
        <v/>
      </c>
      <c r="BW1053" s="416">
        <f>FALSE</f>
        <v/>
      </c>
      <c r="BX1053" s="416">
        <f>FALSE</f>
        <v/>
      </c>
      <c r="BY1053" s="416">
        <f>FALSE</f>
        <v/>
      </c>
      <c r="BZ1053" s="416">
        <f>FALSE</f>
        <v/>
      </c>
      <c r="CA1053" s="416">
        <f>FALSE</f>
        <v/>
      </c>
      <c r="CB1053" s="417">
        <f>FALSE</f>
        <v/>
      </c>
      <c r="CC1053" s="1858" t="n"/>
    </row>
    <row r="1054" ht="14.4" customFormat="1" customHeight="1" s="1750">
      <c r="A1054" s="1887">
        <f>"Stock High: "&amp;IF(OR(MO.RealTimeStockPriceToggle=FALSE,VLOOKUP(MO.DataSourceName,MO_SPT_StockHigh_Sources,COLUMN()+2,FALSE)="N/A"),"Real-Time Off Source",MO.DataSourceName)</f>
        <v/>
      </c>
      <c r="B1054" s="1888" t="n"/>
      <c r="C1054" s="1889">
        <f>IF(OR(MO.RealTimeStockPriceToggle=FALSE,VLOOKUP(MO.DataSourceName,MO_SPT_StockHigh_Sources,COLUMN(),FALSE)="N/A"),VLOOKUP("Real-Time Off Source",MO_SPT_StockHigh_Sources,COLUMN(),FALSE),VLOOKUP(MO.DataSourceName,MO_SPT_StockHigh_Sources,COLUMN(),FALSE))</f>
        <v/>
      </c>
      <c r="D1054" s="1889">
        <f>IF(OR(MO.RealTimeStockPriceToggle=FALSE,VLOOKUP(MO.DataSourceName,MO_SPT_StockHigh_Sources,COLUMN(),FALSE)="N/A"),VLOOKUP("Real-Time Off Source",MO_SPT_StockHigh_Sources,COLUMN(),FALSE),VLOOKUP(MO.DataSourceName,MO_SPT_StockHigh_Sources,COLUMN(),FALSE))</f>
        <v/>
      </c>
      <c r="E1054" s="1888">
        <f>IF(OR(MO.RealTimeStockPriceToggle=FALSE,VLOOKUP(MO.DataSourceName,MO_SPT_StockHigh_Sources,COLUMN(),FALSE)="N/A"),VLOOKUP("Real-Time Off Source",MO_SPT_StockHigh_Sources,COLUMN(),FALSE),VLOOKUP(MO.DataSourceName,MO_SPT_StockHigh_Sources,COLUMN(),FALSE))</f>
        <v/>
      </c>
      <c r="F1054" s="1888">
        <f>IF(OR(MO.RealTimeStockPriceToggle=FALSE,VLOOKUP(MO.DataSourceName,MO_SPT_StockHigh_Sources,COLUMN(),FALSE)="N/A"),VLOOKUP("Real-Time Off Source",MO_SPT_StockHigh_Sources,COLUMN(),FALSE),VLOOKUP(MO.DataSourceName,MO_SPT_StockHigh_Sources,COLUMN(),FALSE))</f>
        <v/>
      </c>
      <c r="G1054" s="1888">
        <f>IF(OR(MO.RealTimeStockPriceToggle=FALSE,VLOOKUP(MO.DataSourceName,MO_SPT_StockHigh_Sources,COLUMN(),FALSE)="N/A"),VLOOKUP("Real-Time Off Source",MO_SPT_StockHigh_Sources,COLUMN(),FALSE),VLOOKUP(MO.DataSourceName,MO_SPT_StockHigh_Sources,COLUMN(),FALSE))</f>
        <v/>
      </c>
      <c r="H1054" s="1888">
        <f>IF(OR(MO.RealTimeStockPriceToggle=FALSE,VLOOKUP(MO.DataSourceName,MO_SPT_StockHigh_Sources,COLUMN(),FALSE)="N/A"),VLOOKUP("Real-Time Off Source",MO_SPT_StockHigh_Sources,COLUMN(),FALSE),VLOOKUP(MO.DataSourceName,MO_SPT_StockHigh_Sources,COLUMN(),FALSE))</f>
        <v/>
      </c>
      <c r="I1054" s="1888">
        <f>IF(OR(MO.RealTimeStockPriceToggle=FALSE,VLOOKUP(MO.DataSourceName,MO_SPT_StockHigh_Sources,COLUMN(),FALSE)="N/A"),VLOOKUP("Real-Time Off Source",MO_SPT_StockHigh_Sources,COLUMN(),FALSE),VLOOKUP(MO.DataSourceName,MO_SPT_StockHigh_Sources,COLUMN(),FALSE))</f>
        <v/>
      </c>
      <c r="J1054" s="1888">
        <f>IF(OR(MO.RealTimeStockPriceToggle=FALSE,VLOOKUP(MO.DataSourceName,MO_SPT_StockHigh_Sources,COLUMN(),FALSE)="N/A"),VLOOKUP("Real-Time Off Source",MO_SPT_StockHigh_Sources,COLUMN(),FALSE),VLOOKUP(MO.DataSourceName,MO_SPT_StockHigh_Sources,COLUMN(),FALSE))</f>
        <v/>
      </c>
      <c r="K1054" s="1888">
        <f>IF(OR(MO.RealTimeStockPriceToggle=FALSE,VLOOKUP(MO.DataSourceName,MO_SPT_StockHigh_Sources,COLUMN(),FALSE)="N/A"),VLOOKUP("Real-Time Off Source",MO_SPT_StockHigh_Sources,COLUMN(),FALSE),VLOOKUP(MO.DataSourceName,MO_SPT_StockHigh_Sources,COLUMN(),FALSE))</f>
        <v/>
      </c>
      <c r="L1054" s="1888">
        <f>IF(OR(MO.RealTimeStockPriceToggle=FALSE,VLOOKUP(MO.DataSourceName,MO_SPT_StockHigh_Sources,COLUMN(),FALSE)="N/A"),VLOOKUP("Real-Time Off Source",MO_SPT_StockHigh_Sources,COLUMN(),FALSE),VLOOKUP(MO.DataSourceName,MO_SPT_StockHigh_Sources,COLUMN(),FALSE))</f>
        <v/>
      </c>
      <c r="M1054" s="1888">
        <f>IF(OR(MO.RealTimeStockPriceToggle=FALSE,VLOOKUP(MO.DataSourceName,MO_SPT_StockHigh_Sources,COLUMN(),FALSE)="N/A"),VLOOKUP("Real-Time Off Source",MO_SPT_StockHigh_Sources,COLUMN(),FALSE),VLOOKUP(MO.DataSourceName,MO_SPT_StockHigh_Sources,COLUMN(),FALSE))</f>
        <v/>
      </c>
      <c r="N1054" s="1888">
        <f>IF(OR(MO.RealTimeStockPriceToggle=FALSE,VLOOKUP(MO.DataSourceName,MO_SPT_StockHigh_Sources,COLUMN(),FALSE)="N/A"),VLOOKUP("Real-Time Off Source",MO_SPT_StockHigh_Sources,COLUMN(),FALSE),VLOOKUP(MO.DataSourceName,MO_SPT_StockHigh_Sources,COLUMN(),FALSE))</f>
        <v/>
      </c>
      <c r="O1054" s="1888">
        <f>IF(OR(MO.RealTimeStockPriceToggle=FALSE,VLOOKUP(MO.DataSourceName,MO_SPT_StockHigh_Sources,COLUMN(),FALSE)="N/A"),VLOOKUP("Real-Time Off Source",MO_SPT_StockHigh_Sources,COLUMN(),FALSE),VLOOKUP(MO.DataSourceName,MO_SPT_StockHigh_Sources,COLUMN(),FALSE))</f>
        <v/>
      </c>
      <c r="P1054" s="1888">
        <f>IF(OR(MO.RealTimeStockPriceToggle=FALSE,VLOOKUP(MO.DataSourceName,MO_SPT_StockHigh_Sources,COLUMN(),FALSE)="N/A"),VLOOKUP("Real-Time Off Source",MO_SPT_StockHigh_Sources,COLUMN(),FALSE),VLOOKUP(MO.DataSourceName,MO_SPT_StockHigh_Sources,COLUMN(),FALSE))</f>
        <v/>
      </c>
      <c r="Q1054" s="1888">
        <f>IF(OR(MO.RealTimeStockPriceToggle=FALSE,VLOOKUP(MO.DataSourceName,MO_SPT_StockHigh_Sources,COLUMN(),FALSE)="N/A"),VLOOKUP("Real-Time Off Source",MO_SPT_StockHigh_Sources,COLUMN(),FALSE),VLOOKUP(MO.DataSourceName,MO_SPT_StockHigh_Sources,COLUMN(),FALSE))</f>
        <v/>
      </c>
      <c r="R1054" s="1888">
        <f>IF(OR(MO.RealTimeStockPriceToggle=FALSE,VLOOKUP(MO.DataSourceName,MO_SPT_StockHigh_Sources,COLUMN(),FALSE)="N/A"),VLOOKUP("Real-Time Off Source",MO_SPT_StockHigh_Sources,COLUMN(),FALSE),VLOOKUP(MO.DataSourceName,MO_SPT_StockHigh_Sources,COLUMN(),FALSE))</f>
        <v/>
      </c>
      <c r="S1054" s="1888">
        <f>IF(OR(MO.RealTimeStockPriceToggle=FALSE,VLOOKUP(MO.DataSourceName,MO_SPT_StockHigh_Sources,COLUMN(),FALSE)="N/A"),VLOOKUP("Real-Time Off Source",MO_SPT_StockHigh_Sources,COLUMN(),FALSE),VLOOKUP(MO.DataSourceName,MO_SPT_StockHigh_Sources,COLUMN(),FALSE))</f>
        <v/>
      </c>
      <c r="T1054" s="1888">
        <f>IF(OR(MO.RealTimeStockPriceToggle=FALSE,VLOOKUP(MO.DataSourceName,MO_SPT_StockHigh_Sources,COLUMN(),FALSE)="N/A"),VLOOKUP("Real-Time Off Source",MO_SPT_StockHigh_Sources,COLUMN(),FALSE),VLOOKUP(MO.DataSourceName,MO_SPT_StockHigh_Sources,COLUMN(),FALSE))</f>
        <v/>
      </c>
      <c r="U1054" s="1888">
        <f>IF(OR(MO.RealTimeStockPriceToggle=FALSE,VLOOKUP(MO.DataSourceName,MO_SPT_StockHigh_Sources,COLUMN(),FALSE)="N/A"),VLOOKUP("Real-Time Off Source",MO_SPT_StockHigh_Sources,COLUMN(),FALSE),VLOOKUP(MO.DataSourceName,MO_SPT_StockHigh_Sources,COLUMN(),FALSE))</f>
        <v/>
      </c>
      <c r="V1054" s="1888">
        <f>IF(OR(MO.RealTimeStockPriceToggle=FALSE,VLOOKUP(MO.DataSourceName,MO_SPT_StockHigh_Sources,COLUMN(),FALSE)="N/A"),VLOOKUP("Real-Time Off Source",MO_SPT_StockHigh_Sources,COLUMN(),FALSE),VLOOKUP(MO.DataSourceName,MO_SPT_StockHigh_Sources,COLUMN(),FALSE))</f>
        <v/>
      </c>
      <c r="W1054" s="1888">
        <f>IF(OR(MO.RealTimeStockPriceToggle=FALSE,VLOOKUP(MO.DataSourceName,MO_SPT_StockHigh_Sources,COLUMN(),FALSE)="N/A"),VLOOKUP("Real-Time Off Source",MO_SPT_StockHigh_Sources,COLUMN(),FALSE),VLOOKUP(MO.DataSourceName,MO_SPT_StockHigh_Sources,COLUMN(),FALSE))</f>
        <v/>
      </c>
      <c r="X1054" s="1888">
        <f>IF(OR(MO.RealTimeStockPriceToggle=FALSE,VLOOKUP(MO.DataSourceName,MO_SPT_StockHigh_Sources,COLUMN(),FALSE)="N/A"),VLOOKUP("Real-Time Off Source",MO_SPT_StockHigh_Sources,COLUMN(),FALSE),VLOOKUP(MO.DataSourceName,MO_SPT_StockHigh_Sources,COLUMN(),FALSE))</f>
        <v/>
      </c>
      <c r="Y1054" s="1888">
        <f>IF(OR(MO.RealTimeStockPriceToggle=FALSE,VLOOKUP(MO.DataSourceName,MO_SPT_StockHigh_Sources,COLUMN(),FALSE)="N/A"),VLOOKUP("Real-Time Off Source",MO_SPT_StockHigh_Sources,COLUMN(),FALSE),VLOOKUP(MO.DataSourceName,MO_SPT_StockHigh_Sources,COLUMN(),FALSE))</f>
        <v/>
      </c>
      <c r="Z1054" s="1888">
        <f>IF(OR(MO.RealTimeStockPriceToggle=FALSE,VLOOKUP(MO.DataSourceName,MO_SPT_StockHigh_Sources,COLUMN(),FALSE)="N/A"),VLOOKUP("Real-Time Off Source",MO_SPT_StockHigh_Sources,COLUMN(),FALSE),VLOOKUP(MO.DataSourceName,MO_SPT_StockHigh_Sources,COLUMN(),FALSE))</f>
        <v/>
      </c>
      <c r="AA1054" s="1888">
        <f>IF(OR(MO.RealTimeStockPriceToggle=FALSE,VLOOKUP(MO.DataSourceName,MO_SPT_StockHigh_Sources,COLUMN(),FALSE)="N/A"),VLOOKUP("Real-Time Off Source",MO_SPT_StockHigh_Sources,COLUMN(),FALSE),VLOOKUP(MO.DataSourceName,MO_SPT_StockHigh_Sources,COLUMN(),FALSE))</f>
        <v/>
      </c>
      <c r="AB1054" s="1888">
        <f>IF(OR(MO.RealTimeStockPriceToggle=FALSE,VLOOKUP(MO.DataSourceName,MO_SPT_StockHigh_Sources,COLUMN(),FALSE)="N/A"),VLOOKUP("Real-Time Off Source",MO_SPT_StockHigh_Sources,COLUMN(),FALSE),VLOOKUP(MO.DataSourceName,MO_SPT_StockHigh_Sources,COLUMN(),FALSE))</f>
        <v/>
      </c>
      <c r="AC1054" s="1888">
        <f>IF(OR(MO.RealTimeStockPriceToggle=FALSE,VLOOKUP(MO.DataSourceName,MO_SPT_StockHigh_Sources,COLUMN(),FALSE)="N/A"),VLOOKUP("Real-Time Off Source",MO_SPT_StockHigh_Sources,COLUMN(),FALSE),VLOOKUP(MO.DataSourceName,MO_SPT_StockHigh_Sources,COLUMN(),FALSE))</f>
        <v/>
      </c>
      <c r="AD1054" s="1888">
        <f>IF(OR(MO.RealTimeStockPriceToggle=FALSE,VLOOKUP(MO.DataSourceName,MO_SPT_StockHigh_Sources,COLUMN(),FALSE)="N/A"),VLOOKUP("Real-Time Off Source",MO_SPT_StockHigh_Sources,COLUMN(),FALSE),VLOOKUP(MO.DataSourceName,MO_SPT_StockHigh_Sources,COLUMN(),FALSE))</f>
        <v/>
      </c>
      <c r="AE1054" s="1888">
        <f>IF(OR(MO.RealTimeStockPriceToggle=FALSE,VLOOKUP(MO.DataSourceName,MO_SPT_StockHigh_Sources,COLUMN(),FALSE)="N/A"),VLOOKUP("Real-Time Off Source",MO_SPT_StockHigh_Sources,COLUMN(),FALSE),VLOOKUP(MO.DataSourceName,MO_SPT_StockHigh_Sources,COLUMN(),FALSE))</f>
        <v/>
      </c>
      <c r="AF1054" s="1888">
        <f>IF(OR(MO.RealTimeStockPriceToggle=FALSE,VLOOKUP(MO.DataSourceName,MO_SPT_StockHigh_Sources,COLUMN(),FALSE)="N/A"),VLOOKUP("Real-Time Off Source",MO_SPT_StockHigh_Sources,COLUMN(),FALSE),VLOOKUP(MO.DataSourceName,MO_SPT_StockHigh_Sources,COLUMN(),FALSE))</f>
        <v/>
      </c>
      <c r="AG1054" s="1888">
        <f>IF(OR(MO.RealTimeStockPriceToggle=FALSE,VLOOKUP(MO.DataSourceName,MO_SPT_StockHigh_Sources,COLUMN(),FALSE)="N/A"),VLOOKUP("Real-Time Off Source",MO_SPT_StockHigh_Sources,COLUMN(),FALSE),VLOOKUP(MO.DataSourceName,MO_SPT_StockHigh_Sources,COLUMN(),FALSE))</f>
        <v/>
      </c>
      <c r="AH1054" s="1888">
        <f>IF(OR(MO.RealTimeStockPriceToggle=FALSE,VLOOKUP(MO.DataSourceName,MO_SPT_StockHigh_Sources,COLUMN(),FALSE)="N/A"),VLOOKUP("Real-Time Off Source",MO_SPT_StockHigh_Sources,COLUMN(),FALSE),VLOOKUP(MO.DataSourceName,MO_SPT_StockHigh_Sources,COLUMN(),FALSE))</f>
        <v/>
      </c>
      <c r="AI1054" s="1888">
        <f>IF(OR(MO.RealTimeStockPriceToggle=FALSE,VLOOKUP(MO.DataSourceName,MO_SPT_StockHigh_Sources,COLUMN(),FALSE)="N/A"),VLOOKUP("Real-Time Off Source",MO_SPT_StockHigh_Sources,COLUMN(),FALSE),VLOOKUP(MO.DataSourceName,MO_SPT_StockHigh_Sources,COLUMN(),FALSE))</f>
        <v/>
      </c>
      <c r="AJ1054" s="1888">
        <f>IF(OR(MO.RealTimeStockPriceToggle=FALSE,VLOOKUP(MO.DataSourceName,MO_SPT_StockHigh_Sources,COLUMN(),FALSE)="N/A"),VLOOKUP("Real-Time Off Source",MO_SPT_StockHigh_Sources,COLUMN(),FALSE),VLOOKUP(MO.DataSourceName,MO_SPT_StockHigh_Sources,COLUMN(),FALSE))</f>
        <v/>
      </c>
      <c r="AK1054" s="1888">
        <f>IF(OR(MO.RealTimeStockPriceToggle=FALSE,VLOOKUP(MO.DataSourceName,MO_SPT_StockHigh_Sources,COLUMN(),FALSE)="N/A"),VLOOKUP("Real-Time Off Source",MO_SPT_StockHigh_Sources,COLUMN(),FALSE),VLOOKUP(MO.DataSourceName,MO_SPT_StockHigh_Sources,COLUMN(),FALSE))</f>
        <v/>
      </c>
      <c r="AL1054" s="1888">
        <f>IF(OR(MO.RealTimeStockPriceToggle=FALSE,VLOOKUP(MO.DataSourceName,MO_SPT_StockHigh_Sources,COLUMN(),FALSE)="N/A"),VLOOKUP("Real-Time Off Source",MO_SPT_StockHigh_Sources,COLUMN(),FALSE),VLOOKUP(MO.DataSourceName,MO_SPT_StockHigh_Sources,COLUMN(),FALSE))</f>
        <v/>
      </c>
      <c r="AM1054" s="1888">
        <f>IF(OR(MO.RealTimeStockPriceToggle=FALSE,VLOOKUP(MO.DataSourceName,MO_SPT_StockHigh_Sources,COLUMN(),FALSE)="N/A"),VLOOKUP("Real-Time Off Source",MO_SPT_StockHigh_Sources,COLUMN(),FALSE),VLOOKUP(MO.DataSourceName,MO_SPT_StockHigh_Sources,COLUMN(),FALSE))</f>
        <v/>
      </c>
      <c r="AN1054" s="1888">
        <f>IF(OR(MO.RealTimeStockPriceToggle=FALSE,VLOOKUP(MO.DataSourceName,MO_SPT_StockHigh_Sources,COLUMN(),FALSE)="N/A"),VLOOKUP("Real-Time Off Source",MO_SPT_StockHigh_Sources,COLUMN(),FALSE),VLOOKUP(MO.DataSourceName,MO_SPT_StockHigh_Sources,COLUMN(),FALSE))</f>
        <v/>
      </c>
      <c r="AO1054" s="1888">
        <f>IF(OR(MO.RealTimeStockPriceToggle=FALSE,VLOOKUP(MO.DataSourceName,MO_SPT_StockHigh_Sources,COLUMN(),FALSE)="N/A"),VLOOKUP("Real-Time Off Source",MO_SPT_StockHigh_Sources,COLUMN(),FALSE),VLOOKUP(MO.DataSourceName,MO_SPT_StockHigh_Sources,COLUMN(),FALSE))</f>
        <v/>
      </c>
      <c r="AP1054" s="1888">
        <f>IF(OR(MO.RealTimeStockPriceToggle=FALSE,VLOOKUP(MO.DataSourceName,MO_SPT_StockHigh_Sources,COLUMN(),FALSE)="N/A"),VLOOKUP("Real-Time Off Source",MO_SPT_StockHigh_Sources,COLUMN(),FALSE),VLOOKUP(MO.DataSourceName,MO_SPT_StockHigh_Sources,COLUMN(),FALSE))</f>
        <v/>
      </c>
      <c r="AQ1054" s="1888">
        <f>IF(OR(MO.RealTimeStockPriceToggle=FALSE,VLOOKUP(MO.DataSourceName,MO_SPT_StockHigh_Sources,COLUMN(),FALSE)="N/A"),VLOOKUP("Real-Time Off Source",MO_SPT_StockHigh_Sources,COLUMN(),FALSE),VLOOKUP(MO.DataSourceName,MO_SPT_StockHigh_Sources,COLUMN(),FALSE))</f>
        <v/>
      </c>
      <c r="AR1054" s="1888">
        <f>IF(OR(MO.RealTimeStockPriceToggle=FALSE,VLOOKUP(MO.DataSourceName,MO_SPT_StockHigh_Sources,COLUMN(),FALSE)="N/A"),VLOOKUP("Real-Time Off Source",MO_SPT_StockHigh_Sources,COLUMN(),FALSE),VLOOKUP(MO.DataSourceName,MO_SPT_StockHigh_Sources,COLUMN(),FALSE))</f>
        <v/>
      </c>
      <c r="AS1054" s="1888">
        <f>IF(OR(MO.RealTimeStockPriceToggle=FALSE,VLOOKUP(MO.DataSourceName,MO_SPT_StockHigh_Sources,COLUMN(),FALSE)="N/A"),VLOOKUP("Real-Time Off Source",MO_SPT_StockHigh_Sources,COLUMN(),FALSE),VLOOKUP(MO.DataSourceName,MO_SPT_StockHigh_Sources,COLUMN(),FALSE))</f>
        <v/>
      </c>
      <c r="AT1054" s="1888">
        <f>IF(OR(MO.RealTimeStockPriceToggle=FALSE,VLOOKUP(MO.DataSourceName,MO_SPT_StockHigh_Sources,COLUMN(),FALSE)="N/A"),VLOOKUP("Real-Time Off Source",MO_SPT_StockHigh_Sources,COLUMN(),FALSE),VLOOKUP(MO.DataSourceName,MO_SPT_StockHigh_Sources,COLUMN(),FALSE))</f>
        <v/>
      </c>
      <c r="AU1054" s="1888">
        <f>IF(OR(MO.RealTimeStockPriceToggle=FALSE,VLOOKUP(MO.DataSourceName,MO_SPT_StockHigh_Sources,COLUMN(),FALSE)="N/A"),VLOOKUP("Real-Time Off Source",MO_SPT_StockHigh_Sources,COLUMN(),FALSE),VLOOKUP(MO.DataSourceName,MO_SPT_StockHigh_Sources,COLUMN(),FALSE))</f>
        <v/>
      </c>
      <c r="AV1054" s="1888">
        <f>IF(OR(MO.RealTimeStockPriceToggle=FALSE,VLOOKUP(MO.DataSourceName,MO_SPT_StockHigh_Sources,COLUMN(),FALSE)="N/A"),VLOOKUP("Real-Time Off Source",MO_SPT_StockHigh_Sources,COLUMN(),FALSE),VLOOKUP(MO.DataSourceName,MO_SPT_StockHigh_Sources,COLUMN(),FALSE))</f>
        <v/>
      </c>
      <c r="AW1054" s="1888">
        <f>IF(OR(MO.RealTimeStockPriceToggle=FALSE,VLOOKUP(MO.DataSourceName,MO_SPT_StockHigh_Sources,COLUMN(),FALSE)="N/A"),VLOOKUP("Real-Time Off Source",MO_SPT_StockHigh_Sources,COLUMN(),FALSE),VLOOKUP(MO.DataSourceName,MO_SPT_StockHigh_Sources,COLUMN(),FALSE))</f>
        <v/>
      </c>
      <c r="AX1054" s="1888">
        <f>IF(OR(MO.RealTimeStockPriceToggle=FALSE,VLOOKUP(MO.DataSourceName,MO_SPT_StockHigh_Sources,COLUMN(),FALSE)="N/A"),VLOOKUP("Real-Time Off Source",MO_SPT_StockHigh_Sources,COLUMN(),FALSE),VLOOKUP(MO.DataSourceName,MO_SPT_StockHigh_Sources,COLUMN(),FALSE))</f>
        <v/>
      </c>
      <c r="AY1054" s="1888">
        <f>IF(OR(MO.RealTimeStockPriceToggle=FALSE,VLOOKUP(MO.DataSourceName,MO_SPT_StockHigh_Sources,COLUMN(),FALSE)="N/A"),VLOOKUP("Real-Time Off Source",MO_SPT_StockHigh_Sources,COLUMN(),FALSE),VLOOKUP(MO.DataSourceName,MO_SPT_StockHigh_Sources,COLUMN(),FALSE))</f>
        <v/>
      </c>
      <c r="AZ1054" s="1888">
        <f>IF(OR(MO.RealTimeStockPriceToggle=FALSE,VLOOKUP(MO.DataSourceName,MO_SPT_StockHigh_Sources,COLUMN(),FALSE)="N/A"),VLOOKUP("Real-Time Off Source",MO_SPT_StockHigh_Sources,COLUMN(),FALSE),VLOOKUP(MO.DataSourceName,MO_SPT_StockHigh_Sources,COLUMN(),FALSE))</f>
        <v/>
      </c>
      <c r="BA1054" s="1888">
        <f>IF(OR(MO.RealTimeStockPriceToggle=FALSE,VLOOKUP(MO.DataSourceName,MO_SPT_StockHigh_Sources,COLUMN(),FALSE)="N/A"),VLOOKUP("Real-Time Off Source",MO_SPT_StockHigh_Sources,COLUMN(),FALSE),VLOOKUP(MO.DataSourceName,MO_SPT_StockHigh_Sources,COLUMN(),FALSE))</f>
        <v/>
      </c>
      <c r="BB1054" s="1888">
        <f>IF(OR(MO.RealTimeStockPriceToggle=FALSE,VLOOKUP(MO.DataSourceName,MO_SPT_StockHigh_Sources,COLUMN(),FALSE)="N/A"),VLOOKUP("Real-Time Off Source",MO_SPT_StockHigh_Sources,COLUMN(),FALSE),VLOOKUP(MO.DataSourceName,MO_SPT_StockHigh_Sources,COLUMN(),FALSE))</f>
        <v/>
      </c>
      <c r="BC1054" s="1888">
        <f>IF(OR(MO.RealTimeStockPriceToggle=FALSE,VLOOKUP(MO.DataSourceName,MO_SPT_StockHigh_Sources,COLUMN(),FALSE)="N/A"),VLOOKUP("Real-Time Off Source",MO_SPT_StockHigh_Sources,COLUMN(),FALSE),VLOOKUP(MO.DataSourceName,MO_SPT_StockHigh_Sources,COLUMN(),FALSE))</f>
        <v/>
      </c>
      <c r="BD1054" s="1888">
        <f>IF(OR(MO.RealTimeStockPriceToggle=FALSE,VLOOKUP(MO.DataSourceName,MO_SPT_StockHigh_Sources,COLUMN(),FALSE)="N/A"),VLOOKUP("Real-Time Off Source",MO_SPT_StockHigh_Sources,COLUMN(),FALSE),VLOOKUP(MO.DataSourceName,MO_SPT_StockHigh_Sources,COLUMN(),FALSE))</f>
        <v/>
      </c>
      <c r="BE1054" s="1888">
        <f>IF(OR(MO.RealTimeStockPriceToggle=FALSE,VLOOKUP(MO.DataSourceName,MO_SPT_StockHigh_Sources,COLUMN(),FALSE)="N/A"),VLOOKUP("Real-Time Off Source",MO_SPT_StockHigh_Sources,COLUMN(),FALSE),VLOOKUP(MO.DataSourceName,MO_SPT_StockHigh_Sources,COLUMN(),FALSE))</f>
        <v/>
      </c>
      <c r="BF1054" s="1888">
        <f>IF(OR(MO.RealTimeStockPriceToggle=FALSE,VLOOKUP(MO.DataSourceName,MO_SPT_StockHigh_Sources,COLUMN(),FALSE)="N/A"),VLOOKUP("Real-Time Off Source",MO_SPT_StockHigh_Sources,COLUMN(),FALSE),VLOOKUP(MO.DataSourceName,MO_SPT_StockHigh_Sources,COLUMN(),FALSE))</f>
        <v/>
      </c>
      <c r="BG1054" s="1888">
        <f>IF(OR(MO.RealTimeStockPriceToggle=FALSE,VLOOKUP(MO.DataSourceName,MO_SPT_StockHigh_Sources,COLUMN(),FALSE)="N/A"),VLOOKUP("Real-Time Off Source",MO_SPT_StockHigh_Sources,COLUMN(),FALSE),VLOOKUP(MO.DataSourceName,MO_SPT_StockHigh_Sources,COLUMN(),FALSE))</f>
        <v/>
      </c>
      <c r="BH1054" s="1888">
        <f>IF(OR(MO.RealTimeStockPriceToggle=FALSE,VLOOKUP(MO.DataSourceName,MO_SPT_StockHigh_Sources,COLUMN(),FALSE)="N/A"),VLOOKUP("Real-Time Off Source",MO_SPT_StockHigh_Sources,COLUMN(),FALSE),VLOOKUP(MO.DataSourceName,MO_SPT_StockHigh_Sources,COLUMN(),FALSE))</f>
        <v/>
      </c>
      <c r="BI1054" s="1888">
        <f>IF(OR(MO.RealTimeStockPriceToggle=FALSE,VLOOKUP(MO.DataSourceName,MO_SPT_StockHigh_Sources,COLUMN(),FALSE)="N/A"),VLOOKUP("Real-Time Off Source",MO_SPT_StockHigh_Sources,COLUMN(),FALSE),VLOOKUP(MO.DataSourceName,MO_SPT_StockHigh_Sources,COLUMN(),FALSE))</f>
        <v/>
      </c>
      <c r="BJ1054" s="1888">
        <f>IF(OR(MO.RealTimeStockPriceToggle=FALSE,VLOOKUP(MO.DataSourceName,MO_SPT_StockHigh_Sources,COLUMN(),FALSE)="N/A"),VLOOKUP("Real-Time Off Source",MO_SPT_StockHigh_Sources,COLUMN(),FALSE),VLOOKUP(MO.DataSourceName,MO_SPT_StockHigh_Sources,COLUMN(),FALSE))</f>
        <v/>
      </c>
      <c r="BK1054" s="1888">
        <f>IF(OR(MO.RealTimeStockPriceToggle=FALSE,VLOOKUP(MO.DataSourceName,MO_SPT_StockHigh_Sources,COLUMN(),FALSE)="N/A"),VLOOKUP("Real-Time Off Source",MO_SPT_StockHigh_Sources,COLUMN(),FALSE),VLOOKUP(MO.DataSourceName,MO_SPT_StockHigh_Sources,COLUMN(),FALSE))</f>
        <v/>
      </c>
      <c r="BL1054" s="1888">
        <f>IF(OR(MO.RealTimeStockPriceToggle=FALSE,VLOOKUP(MO.DataSourceName,MO_SPT_StockHigh_Sources,COLUMN(),FALSE)="N/A"),VLOOKUP("Real-Time Off Source",MO_SPT_StockHigh_Sources,COLUMN(),FALSE),VLOOKUP(MO.DataSourceName,MO_SPT_StockHigh_Sources,COLUMN(),FALSE))</f>
        <v/>
      </c>
      <c r="BM1054" s="1888">
        <f>IF(OR(MO.RealTimeStockPriceToggle=FALSE,VLOOKUP(MO.DataSourceName,MO_SPT_StockHigh_Sources,COLUMN(),FALSE)="N/A"),VLOOKUP("Real-Time Off Source",MO_SPT_StockHigh_Sources,COLUMN(),FALSE),VLOOKUP(MO.DataSourceName,MO_SPT_StockHigh_Sources,COLUMN(),FALSE))</f>
        <v/>
      </c>
      <c r="BN1054" s="1888">
        <f>IF(OR(MO.RealTimeStockPriceToggle=FALSE,VLOOKUP(MO.DataSourceName,MO_SPT_StockHigh_Sources,COLUMN(),FALSE)="N/A"),VLOOKUP("Real-Time Off Source",MO_SPT_StockHigh_Sources,COLUMN(),FALSE),VLOOKUP(MO.DataSourceName,MO_SPT_StockHigh_Sources,COLUMN(),FALSE))</f>
        <v/>
      </c>
      <c r="BO1054" s="1890">
        <f>IF(OR(MO.RealTimeStockPriceToggle=FALSE,VLOOKUP(MO.DataSourceName,MO_SPT_StockHigh_Sources,COLUMN(),FALSE)="N/A"),VLOOKUP("Real-Time Off Source",MO_SPT_StockHigh_Sources,COLUMN(),FALSE),VLOOKUP(MO.DataSourceName,MO_SPT_StockHigh_Sources,COLUMN(),FALSE))</f>
        <v/>
      </c>
      <c r="BP1054" s="1888">
        <f>IF(OR(MO.RealTimeStockPriceToggle=FALSE,VLOOKUP(MO.DataSourceName,MO_SPT_StockHigh_Sources,COLUMN(),FALSE)="N/A"),VLOOKUP("Real-Time Off Source",MO_SPT_StockHigh_Sources,COLUMN(),FALSE),VLOOKUP(MO.DataSourceName,MO_SPT_StockHigh_Sources,COLUMN(),FALSE))</f>
        <v/>
      </c>
      <c r="BQ1054" s="1888">
        <f>IF(OR(MO.RealTimeStockPriceToggle=FALSE,VLOOKUP(MO.DataSourceName,MO_SPT_StockHigh_Sources,COLUMN(),FALSE)="N/A"),VLOOKUP("Real-Time Off Source",MO_SPT_StockHigh_Sources,COLUMN(),FALSE),VLOOKUP(MO.DataSourceName,MO_SPT_StockHigh_Sources,COLUMN(),FALSE))</f>
        <v/>
      </c>
      <c r="BR1054" s="1888">
        <f>IF(OR(MO.RealTimeStockPriceToggle=FALSE,VLOOKUP(MO.DataSourceName,MO_SPT_StockHigh_Sources,COLUMN(),FALSE)="N/A"),VLOOKUP("Real-Time Off Source",MO_SPT_StockHigh_Sources,COLUMN(),FALSE),VLOOKUP(MO.DataSourceName,MO_SPT_StockHigh_Sources,COLUMN(),FALSE))</f>
        <v/>
      </c>
      <c r="BS1054" s="1888">
        <f>IF(OR(MO.RealTimeStockPriceToggle=FALSE,VLOOKUP(MO.DataSourceName,MO_SPT_StockHigh_Sources,COLUMN(),FALSE)="N/A"),VLOOKUP("Real-Time Off Source",MO_SPT_StockHigh_Sources,COLUMN(),FALSE),VLOOKUP(MO.DataSourceName,MO_SPT_StockHigh_Sources,COLUMN(),FALSE))</f>
        <v/>
      </c>
      <c r="BT1054" s="1888">
        <f>IF(OR(MO.RealTimeStockPriceToggle=FALSE,VLOOKUP(MO.DataSourceName,MO_SPT_StockHigh_Sources,COLUMN(),FALSE)="N/A"),VLOOKUP("Real-Time Off Source",MO_SPT_StockHigh_Sources,COLUMN(),FALSE),VLOOKUP(MO.DataSourceName,MO_SPT_StockHigh_Sources,COLUMN(),FALSE))</f>
        <v/>
      </c>
      <c r="BU1054" s="1888">
        <f>IF(OR(MO.RealTimeStockPriceToggle=FALSE,VLOOKUP(MO.DataSourceName,MO_SPT_StockHigh_Sources,COLUMN(),FALSE)="N/A"),VLOOKUP("Real-Time Off Source",MO_SPT_StockHigh_Sources,COLUMN(),FALSE),VLOOKUP(MO.DataSourceName,MO_SPT_StockHigh_Sources,COLUMN(),FALSE))</f>
        <v/>
      </c>
      <c r="BV1054" s="1888">
        <f>IF(OR(MO.RealTimeStockPriceToggle=FALSE,VLOOKUP(MO.DataSourceName,MO_SPT_StockHigh_Sources,COLUMN(),FALSE)="N/A"),VLOOKUP("Real-Time Off Source",MO_SPT_StockHigh_Sources,COLUMN(),FALSE),VLOOKUP(MO.DataSourceName,MO_SPT_StockHigh_Sources,COLUMN(),FALSE))</f>
        <v/>
      </c>
      <c r="BW1054" s="1888">
        <f>IF(OR(MO.RealTimeStockPriceToggle=FALSE,VLOOKUP(MO.DataSourceName,MO_SPT_StockHigh_Sources,COLUMN(),FALSE)="N/A"),VLOOKUP("Real-Time Off Source",MO_SPT_StockHigh_Sources,COLUMN(),FALSE),VLOOKUP(MO.DataSourceName,MO_SPT_StockHigh_Sources,COLUMN(),FALSE))</f>
        <v/>
      </c>
      <c r="BX1054" s="1888">
        <f>IF(OR(MO.RealTimeStockPriceToggle=FALSE,VLOOKUP(MO.DataSourceName,MO_SPT_StockHigh_Sources,COLUMN(),FALSE)="N/A"),VLOOKUP("Real-Time Off Source",MO_SPT_StockHigh_Sources,COLUMN(),FALSE),VLOOKUP(MO.DataSourceName,MO_SPT_StockHigh_Sources,COLUMN(),FALSE))</f>
        <v/>
      </c>
      <c r="BY1054" s="1888">
        <f>IF(OR(MO.RealTimeStockPriceToggle=FALSE,VLOOKUP(MO.DataSourceName,MO_SPT_StockHigh_Sources,COLUMN(),FALSE)="N/A"),VLOOKUP("Real-Time Off Source",MO_SPT_StockHigh_Sources,COLUMN(),FALSE),VLOOKUP(MO.DataSourceName,MO_SPT_StockHigh_Sources,COLUMN(),FALSE))</f>
        <v/>
      </c>
      <c r="BZ1054" s="1888">
        <f>IF(OR(MO.RealTimeStockPriceToggle=FALSE,VLOOKUP(MO.DataSourceName,MO_SPT_StockHigh_Sources,COLUMN(),FALSE)="N/A"),VLOOKUP("Real-Time Off Source",MO_SPT_StockHigh_Sources,COLUMN(),FALSE),VLOOKUP(MO.DataSourceName,MO_SPT_StockHigh_Sources,COLUMN(),FALSE))</f>
        <v/>
      </c>
      <c r="CA1054" s="1888">
        <f>IF(OR(MO.RealTimeStockPriceToggle=FALSE,VLOOKUP(MO.DataSourceName,MO_SPT_StockHigh_Sources,COLUMN(),FALSE)="N/A"),VLOOKUP("Real-Time Off Source",MO_SPT_StockHigh_Sources,COLUMN(),FALSE),VLOOKUP(MO.DataSourceName,MO_SPT_StockHigh_Sources,COLUMN(),FALSE))</f>
        <v/>
      </c>
      <c r="CB1054" s="1891">
        <f>IF(OR(MO.RealTimeStockPriceToggle=FALSE,VLOOKUP(MO.DataSourceName,MO_SPT_StockHigh_Sources,COLUMN(),FALSE)="N/A"),VLOOKUP("Real-Time Off Source",MO_SPT_StockHigh_Sources,COLUMN(),FALSE),VLOOKUP(MO.DataSourceName,MO_SPT_StockHigh_Sources,COLUMN(),FALSE))</f>
        <v/>
      </c>
      <c r="CC1054" s="1892" t="n"/>
    </row>
    <row r="1055" hidden="1" outlineLevel="1" ht="14.4" customFormat="1" customHeight="1" s="1750">
      <c r="A1055" s="1893" t="inlineStr">
        <is>
          <t>Real-Time Off Source</t>
        </is>
      </c>
      <c r="B1055" s="1888" t="n"/>
      <c r="C1055" s="1894" t="n">
        <v>11.01</v>
      </c>
      <c r="D1055" s="1894" t="n">
        <v>10.78</v>
      </c>
      <c r="E1055" s="1895" t="n">
        <v>12.86</v>
      </c>
      <c r="F1055" s="1895" t="n">
        <v>16.8</v>
      </c>
      <c r="G1055" s="1895" t="n">
        <v>19.23</v>
      </c>
      <c r="H1055" s="1895" t="n">
        <v>18.98</v>
      </c>
      <c r="I1055" s="1895" t="n">
        <v>20.57</v>
      </c>
      <c r="J1055" s="1895" t="n">
        <v>21.97</v>
      </c>
      <c r="K1055" s="1895" t="n">
        <v>22.75</v>
      </c>
      <c r="L1055" s="1895" t="n">
        <v>22.75</v>
      </c>
      <c r="M1055" s="1895" t="n">
        <v>23.386</v>
      </c>
      <c r="N1055" s="1895" t="n">
        <v>23.7316</v>
      </c>
      <c r="O1055" s="1895" t="n">
        <v>22.3031</v>
      </c>
      <c r="P1055" s="1895" t="n">
        <v>22.6885</v>
      </c>
      <c r="Q1055" s="1895" t="n">
        <v>23.7316</v>
      </c>
      <c r="R1055" s="1895" t="n">
        <v>25.492</v>
      </c>
      <c r="S1055" s="1895" t="n">
        <v>26.23</v>
      </c>
      <c r="T1055" s="1895" t="n">
        <v>30.66</v>
      </c>
      <c r="U1055" s="1895" t="n">
        <v>31.55</v>
      </c>
      <c r="V1055" s="1895" t="n">
        <v>31.55</v>
      </c>
      <c r="W1055" s="1895" t="n">
        <v>33.35</v>
      </c>
      <c r="X1055" s="1895" t="n">
        <v>36.83</v>
      </c>
      <c r="Y1055" s="1895" t="n">
        <v>38.3</v>
      </c>
      <c r="Z1055" s="1895" t="n">
        <v>42.99</v>
      </c>
      <c r="AA1055" s="1895" t="n">
        <v>42.99</v>
      </c>
      <c r="AB1055" s="1895" t="n">
        <v>44.7848</v>
      </c>
      <c r="AC1055" s="1895" t="n">
        <v>42.4287</v>
      </c>
      <c r="AD1055" s="1895" t="n">
        <v>44.89</v>
      </c>
      <c r="AE1055" s="1895" t="n">
        <v>44.66</v>
      </c>
      <c r="AF1055" s="1895" t="n">
        <v>44.89</v>
      </c>
      <c r="AG1055" s="1895" t="n">
        <v>41.04</v>
      </c>
      <c r="AH1055" s="1895" t="n">
        <v>45.42</v>
      </c>
      <c r="AI1055" s="1895" t="n">
        <v>46.48</v>
      </c>
      <c r="AJ1055" s="1895" t="n">
        <v>59.23</v>
      </c>
      <c r="AK1055" s="1895" t="n">
        <v>59.23</v>
      </c>
      <c r="AL1055" s="1895" t="n">
        <v>60.32</v>
      </c>
      <c r="AM1055" s="1895" t="n">
        <v>57.55</v>
      </c>
      <c r="AN1055" s="1895" t="n">
        <v>85.84999999999999</v>
      </c>
      <c r="AO1055" s="1895" t="n">
        <v>109.04</v>
      </c>
      <c r="AP1055" s="1895" t="n">
        <v>109.04</v>
      </c>
      <c r="AQ1055" s="1895" t="n">
        <v>140.05</v>
      </c>
      <c r="AR1055" s="1895" t="n">
        <v>124.8</v>
      </c>
      <c r="AS1055" s="1895" t="n">
        <v>124.7</v>
      </c>
      <c r="AT1055" s="1895" t="n">
        <v>124.75</v>
      </c>
      <c r="AU1055" s="1895" t="n">
        <v>140.05</v>
      </c>
      <c r="AV1055" s="1895" t="n">
        <v>140.66</v>
      </c>
      <c r="AW1055" s="1895" t="n">
        <v>104.79</v>
      </c>
      <c r="AX1055" s="1895" t="n">
        <v>91.56999999999999</v>
      </c>
      <c r="AY1055" s="1895" t="n">
        <v>82.98</v>
      </c>
      <c r="AZ1055" s="1895" t="n">
        <v>140.66</v>
      </c>
      <c r="BA1055" s="1895" t="n">
        <v>97.95999999999999</v>
      </c>
      <c r="BB1055" s="1895" t="n">
        <v>107.41</v>
      </c>
      <c r="BC1055" s="1895" t="n">
        <v>105.57</v>
      </c>
      <c r="BD1055" s="1895" t="n">
        <v>104.7</v>
      </c>
      <c r="BE1055" s="1895" t="n">
        <v>107.41</v>
      </c>
      <c r="BF1055" s="1895" t="n">
        <v>149.2</v>
      </c>
      <c r="BG1055" s="1895" t="n">
        <v>179.69</v>
      </c>
      <c r="BH1055" s="1895" t="n">
        <v>191.05</v>
      </c>
      <c r="BI1055" s="1895" t="n">
        <v>207.36</v>
      </c>
      <c r="BJ1055" s="1895" t="n">
        <v>207.36</v>
      </c>
      <c r="BK1055" s="1895" t="n">
        <v>224.62</v>
      </c>
      <c r="BL1055" s="1895" t="n">
        <v>228.57</v>
      </c>
      <c r="BM1055" s="1895" t="n">
        <v>282.71</v>
      </c>
      <c r="BN1055" s="1895" t="n">
        <v>310.14</v>
      </c>
      <c r="BO1055" s="1896" t="n">
        <v>310.14</v>
      </c>
      <c r="BP1055" s="1888" t="n"/>
      <c r="BQ1055" s="1888" t="n"/>
      <c r="BR1055" s="1888" t="n"/>
      <c r="BS1055" s="1888" t="n"/>
      <c r="BT1055" s="1888" t="n"/>
      <c r="BU1055" s="1888" t="n"/>
      <c r="BV1055" s="1888" t="n"/>
      <c r="BW1055" s="1888" t="n"/>
      <c r="BX1055" s="1888" t="n"/>
      <c r="BY1055" s="1888" t="n"/>
      <c r="BZ1055" s="1888" t="n"/>
      <c r="CA1055" s="1888" t="n"/>
      <c r="CB1055" s="1891" t="n"/>
      <c r="CC1055" s="1892" t="n"/>
    </row>
    <row r="1056" hidden="1" outlineLevel="1" ht="14.4" customFormat="1" customHeight="1" s="1750">
      <c r="A1056" s="1893" t="inlineStr">
        <is>
          <t>Bloomberg</t>
        </is>
      </c>
      <c r="B1056" s="1888" t="n"/>
      <c r="C1056" s="1889">
        <f>IFERROR(BDP(MO.Ticker.Bloomberg&amp;" Equity","INTERVAL_HIGH","MARKET_DATA_OVERRIDE=PX_LAST","START_DATE_OVERRIDE",TEXT(INDEX(MO_SNA_FPStartDate,0,COLUMN()),"YYYYMMDD"),"END_DATE_OVERRIDE",TEXT(INDEX(MO_Common_QEndDate,0,COLUMN()),"YYYYMMDD")),"N/A")</f>
        <v/>
      </c>
      <c r="D1056" s="1889">
        <f>IFERROR(BDP(MO.Ticker.Bloomberg&amp;" Equity","INTERVAL_HIGH","MARKET_DATA_OVERRIDE=PX_LAST","START_DATE_OVERRIDE",TEXT(INDEX(MO_SNA_FPStartDate,0,COLUMN()),"YYYYMMDD"),"END_DATE_OVERRIDE",TEXT(INDEX(MO_Common_QEndDate,0,COLUMN()),"YYYYMMDD")),"N/A")</f>
        <v/>
      </c>
      <c r="E1056" s="1888">
        <f>IFERROR(BDP(MO.Ticker.Bloomberg&amp;" Equity","INTERVAL_HIGH","MARKET_DATA_OVERRIDE=PX_LAST","START_DATE_OVERRIDE",TEXT(INDEX(MO_SNA_FPStartDate,0,COLUMN()),"YYYYMMDD"),"END_DATE_OVERRIDE",TEXT(INDEX(MO_Common_QEndDate,0,COLUMN()),"YYYYMMDD")),"N/A")</f>
        <v/>
      </c>
      <c r="F1056" s="1888">
        <f>IFERROR(BDP(MO.Ticker.Bloomberg&amp;" Equity","INTERVAL_HIGH","MARKET_DATA_OVERRIDE=PX_LAST","START_DATE_OVERRIDE",TEXT(INDEX(MO_SNA_FPStartDate,0,COLUMN()),"YYYYMMDD"),"END_DATE_OVERRIDE",TEXT(INDEX(MO_Common_QEndDate,0,COLUMN()),"YYYYMMDD")),"N/A")</f>
        <v/>
      </c>
      <c r="G1056" s="1888">
        <f>IFERROR(BDP(MO.Ticker.Bloomberg&amp;" Equity","INTERVAL_HIGH","MARKET_DATA_OVERRIDE=PX_LAST","START_DATE_OVERRIDE",TEXT(INDEX(MO_SNA_FPStartDate,0,COLUMN()),"YYYYMMDD"),"END_DATE_OVERRIDE",TEXT(INDEX(MO_Common_QEndDate,0,COLUMN()),"YYYYMMDD")),"N/A")</f>
        <v/>
      </c>
      <c r="H1056" s="1888">
        <f>IFERROR(BDP(MO.Ticker.Bloomberg&amp;" Equity","INTERVAL_HIGH","MARKET_DATA_OVERRIDE=PX_LAST","START_DATE_OVERRIDE",TEXT(INDEX(MO_SNA_FPStartDate,0,COLUMN()),"YYYYMMDD"),"END_DATE_OVERRIDE",TEXT(INDEX(MO_Common_QEndDate,0,COLUMN()),"YYYYMMDD")),"N/A")</f>
        <v/>
      </c>
      <c r="I1056" s="1888">
        <f>IFERROR(BDP(MO.Ticker.Bloomberg&amp;" Equity","INTERVAL_HIGH","MARKET_DATA_OVERRIDE=PX_LAST","START_DATE_OVERRIDE",TEXT(INDEX(MO_SNA_FPStartDate,0,COLUMN()),"YYYYMMDD"),"END_DATE_OVERRIDE",TEXT(INDEX(MO_Common_QEndDate,0,COLUMN()),"YYYYMMDD")),"N/A")</f>
        <v/>
      </c>
      <c r="J1056" s="1888">
        <f>IFERROR(BDP(MO.Ticker.Bloomberg&amp;" Equity","INTERVAL_HIGH","MARKET_DATA_OVERRIDE=PX_LAST","START_DATE_OVERRIDE",TEXT(INDEX(MO_SNA_FPStartDate,0,COLUMN()),"YYYYMMDD"),"END_DATE_OVERRIDE",TEXT(INDEX(MO_Common_QEndDate,0,COLUMN()),"YYYYMMDD")),"N/A")</f>
        <v/>
      </c>
      <c r="K1056" s="1888">
        <f>IFERROR(BDP(MO.Ticker.Bloomberg&amp;" Equity","INTERVAL_HIGH","MARKET_DATA_OVERRIDE=PX_LAST","START_DATE_OVERRIDE",TEXT(INDEX(MO_SNA_FPStartDate,0,COLUMN()),"YYYYMMDD"),"END_DATE_OVERRIDE",TEXT(INDEX(MO_Common_QEndDate,0,COLUMN()),"YYYYMMDD")),"N/A")</f>
        <v/>
      </c>
      <c r="L1056" s="1888">
        <f>IFERROR(BDP(MO.Ticker.Bloomberg&amp;" Equity","INTERVAL_HIGH","MARKET_DATA_OVERRIDE=PX_LAST","START_DATE_OVERRIDE",TEXT(INDEX(MO_SNA_FPStartDate,0,COLUMN()),"YYYYMMDD"),"END_DATE_OVERRIDE",TEXT(INDEX(MO_Common_QEndDate,0,COLUMN()),"YYYYMMDD")),"N/A")</f>
        <v/>
      </c>
      <c r="M1056" s="1888">
        <f>IFERROR(BDP(MO.Ticker.Bloomberg&amp;" Equity","INTERVAL_HIGH","MARKET_DATA_OVERRIDE=PX_LAST","START_DATE_OVERRIDE",TEXT(INDEX(MO_SNA_FPStartDate,0,COLUMN()),"YYYYMMDD"),"END_DATE_OVERRIDE",TEXT(INDEX(MO_Common_QEndDate,0,COLUMN()),"YYYYMMDD")),"N/A")</f>
        <v/>
      </c>
      <c r="N1056" s="1888">
        <f>IFERROR(BDP(MO.Ticker.Bloomberg&amp;" Equity","INTERVAL_HIGH","MARKET_DATA_OVERRIDE=PX_LAST","START_DATE_OVERRIDE",TEXT(INDEX(MO_SNA_FPStartDate,0,COLUMN()),"YYYYMMDD"),"END_DATE_OVERRIDE",TEXT(INDEX(MO_Common_QEndDate,0,COLUMN()),"YYYYMMDD")),"N/A")</f>
        <v/>
      </c>
      <c r="O1056" s="1888">
        <f>IFERROR(BDP(MO.Ticker.Bloomberg&amp;" Equity","INTERVAL_HIGH","MARKET_DATA_OVERRIDE=PX_LAST","START_DATE_OVERRIDE",TEXT(INDEX(MO_SNA_FPStartDate,0,COLUMN()),"YYYYMMDD"),"END_DATE_OVERRIDE",TEXT(INDEX(MO_Common_QEndDate,0,COLUMN()),"YYYYMMDD")),"N/A")</f>
        <v/>
      </c>
      <c r="P1056" s="1888">
        <f>IFERROR(BDP(MO.Ticker.Bloomberg&amp;" Equity","INTERVAL_HIGH","MARKET_DATA_OVERRIDE=PX_LAST","START_DATE_OVERRIDE",TEXT(INDEX(MO_SNA_FPStartDate,0,COLUMN()),"YYYYMMDD"),"END_DATE_OVERRIDE",TEXT(INDEX(MO_Common_QEndDate,0,COLUMN()),"YYYYMMDD")),"N/A")</f>
        <v/>
      </c>
      <c r="Q1056" s="1888">
        <f>IFERROR(BDP(MO.Ticker.Bloomberg&amp;" Equity","INTERVAL_HIGH","MARKET_DATA_OVERRIDE=PX_LAST","START_DATE_OVERRIDE",TEXT(INDEX(MO_SNA_FPStartDate,0,COLUMN()),"YYYYMMDD"),"END_DATE_OVERRIDE",TEXT(INDEX(MO_Common_QEndDate,0,COLUMN()),"YYYYMMDD")),"N/A")</f>
        <v/>
      </c>
      <c r="R1056" s="1888">
        <f>IFERROR(BDP(MO.Ticker.Bloomberg&amp;" Equity","INTERVAL_HIGH","MARKET_DATA_OVERRIDE=PX_LAST","START_DATE_OVERRIDE",TEXT(INDEX(MO_SNA_FPStartDate,0,COLUMN()),"YYYYMMDD"),"END_DATE_OVERRIDE",TEXT(INDEX(MO_Common_QEndDate,0,COLUMN()),"YYYYMMDD")),"N/A")</f>
        <v/>
      </c>
      <c r="S1056" s="1888">
        <f>IFERROR(BDP(MO.Ticker.Bloomberg&amp;" Equity","INTERVAL_HIGH","MARKET_DATA_OVERRIDE=PX_LAST","START_DATE_OVERRIDE",TEXT(INDEX(MO_SNA_FPStartDate,0,COLUMN()),"YYYYMMDD"),"END_DATE_OVERRIDE",TEXT(INDEX(MO_Common_QEndDate,0,COLUMN()),"YYYYMMDD")),"N/A")</f>
        <v/>
      </c>
      <c r="T1056" s="1888">
        <f>IFERROR(BDP(MO.Ticker.Bloomberg&amp;" Equity","INTERVAL_HIGH","MARKET_DATA_OVERRIDE=PX_LAST","START_DATE_OVERRIDE",TEXT(INDEX(MO_SNA_FPStartDate,0,COLUMN()),"YYYYMMDD"),"END_DATE_OVERRIDE",TEXT(INDEX(MO_Common_QEndDate,0,COLUMN()),"YYYYMMDD")),"N/A")</f>
        <v/>
      </c>
      <c r="U1056" s="1888">
        <f>IFERROR(BDP(MO.Ticker.Bloomberg&amp;" Equity","INTERVAL_HIGH","MARKET_DATA_OVERRIDE=PX_LAST","START_DATE_OVERRIDE",TEXT(INDEX(MO_SNA_FPStartDate,0,COLUMN()),"YYYYMMDD"),"END_DATE_OVERRIDE",TEXT(INDEX(MO_Common_QEndDate,0,COLUMN()),"YYYYMMDD")),"N/A")</f>
        <v/>
      </c>
      <c r="V1056" s="1888">
        <f>IFERROR(BDP(MO.Ticker.Bloomberg&amp;" Equity","INTERVAL_HIGH","MARKET_DATA_OVERRIDE=PX_LAST","START_DATE_OVERRIDE",TEXT(INDEX(MO_SNA_FPStartDate,0,COLUMN()),"YYYYMMDD"),"END_DATE_OVERRIDE",TEXT(INDEX(MO_Common_QEndDate,0,COLUMN()),"YYYYMMDD")),"N/A")</f>
        <v/>
      </c>
      <c r="W1056" s="1888">
        <f>IFERROR(BDP(MO.Ticker.Bloomberg&amp;" Equity","INTERVAL_HIGH","MARKET_DATA_OVERRIDE=PX_LAST","START_DATE_OVERRIDE",TEXT(INDEX(MO_SNA_FPStartDate,0,COLUMN()),"YYYYMMDD"),"END_DATE_OVERRIDE",TEXT(INDEX(MO_Common_QEndDate,0,COLUMN()),"YYYYMMDD")),"N/A")</f>
        <v/>
      </c>
      <c r="X1056" s="1888">
        <f>IFERROR(BDP(MO.Ticker.Bloomberg&amp;" Equity","INTERVAL_HIGH","MARKET_DATA_OVERRIDE=PX_LAST","START_DATE_OVERRIDE",TEXT(INDEX(MO_SNA_FPStartDate,0,COLUMN()),"YYYYMMDD"),"END_DATE_OVERRIDE",TEXT(INDEX(MO_Common_QEndDate,0,COLUMN()),"YYYYMMDD")),"N/A")</f>
        <v/>
      </c>
      <c r="Y1056" s="1888">
        <f>IFERROR(BDP(MO.Ticker.Bloomberg&amp;" Equity","INTERVAL_HIGH","MARKET_DATA_OVERRIDE=PX_LAST","START_DATE_OVERRIDE",TEXT(INDEX(MO_SNA_FPStartDate,0,COLUMN()),"YYYYMMDD"),"END_DATE_OVERRIDE",TEXT(INDEX(MO_Common_QEndDate,0,COLUMN()),"YYYYMMDD")),"N/A")</f>
        <v/>
      </c>
      <c r="Z1056" s="1888">
        <f>IFERROR(BDP(MO.Ticker.Bloomberg&amp;" Equity","INTERVAL_HIGH","MARKET_DATA_OVERRIDE=PX_LAST","START_DATE_OVERRIDE",TEXT(INDEX(MO_SNA_FPStartDate,0,COLUMN()),"YYYYMMDD"),"END_DATE_OVERRIDE",TEXT(INDEX(MO_Common_QEndDate,0,COLUMN()),"YYYYMMDD")),"N/A")</f>
        <v/>
      </c>
      <c r="AA1056" s="1888">
        <f>IFERROR(BDP(MO.Ticker.Bloomberg&amp;" Equity","INTERVAL_HIGH","MARKET_DATA_OVERRIDE=PX_LAST","START_DATE_OVERRIDE",TEXT(INDEX(MO_SNA_FPStartDate,0,COLUMN()),"YYYYMMDD"),"END_DATE_OVERRIDE",TEXT(INDEX(MO_Common_QEndDate,0,COLUMN()),"YYYYMMDD")),"N/A")</f>
        <v/>
      </c>
      <c r="AB1056" s="1888">
        <f>IFERROR(BDP(MO.Ticker.Bloomberg&amp;" Equity","INTERVAL_HIGH","MARKET_DATA_OVERRIDE=PX_LAST","START_DATE_OVERRIDE",TEXT(INDEX(MO_SNA_FPStartDate,0,COLUMN()),"YYYYMMDD"),"END_DATE_OVERRIDE",TEXT(INDEX(MO_Common_QEndDate,0,COLUMN()),"YYYYMMDD")),"N/A")</f>
        <v/>
      </c>
      <c r="AC1056" s="1888">
        <f>IFERROR(BDP(MO.Ticker.Bloomberg&amp;" Equity","INTERVAL_HIGH","MARKET_DATA_OVERRIDE=PX_LAST","START_DATE_OVERRIDE",TEXT(INDEX(MO_SNA_FPStartDate,0,COLUMN()),"YYYYMMDD"),"END_DATE_OVERRIDE",TEXT(INDEX(MO_Common_QEndDate,0,COLUMN()),"YYYYMMDD")),"N/A")</f>
        <v/>
      </c>
      <c r="AD1056" s="1888">
        <f>IFERROR(BDP(MO.Ticker.Bloomberg&amp;" Equity","INTERVAL_HIGH","MARKET_DATA_OVERRIDE=PX_LAST","START_DATE_OVERRIDE",TEXT(INDEX(MO_SNA_FPStartDate,0,COLUMN()),"YYYYMMDD"),"END_DATE_OVERRIDE",TEXT(INDEX(MO_Common_QEndDate,0,COLUMN()),"YYYYMMDD")),"N/A")</f>
        <v/>
      </c>
      <c r="AE1056" s="1888">
        <f>IFERROR(BDP(MO.Ticker.Bloomberg&amp;" Equity","INTERVAL_HIGH","MARKET_DATA_OVERRIDE=PX_LAST","START_DATE_OVERRIDE",TEXT(INDEX(MO_SNA_FPStartDate,0,COLUMN()),"YYYYMMDD"),"END_DATE_OVERRIDE",TEXT(INDEX(MO_Common_QEndDate,0,COLUMN()),"YYYYMMDD")),"N/A")</f>
        <v/>
      </c>
      <c r="AF1056" s="1888">
        <f>IFERROR(BDP(MO.Ticker.Bloomberg&amp;" Equity","INTERVAL_HIGH","MARKET_DATA_OVERRIDE=PX_LAST","START_DATE_OVERRIDE",TEXT(INDEX(MO_SNA_FPStartDate,0,COLUMN()),"YYYYMMDD"),"END_DATE_OVERRIDE",TEXT(INDEX(MO_Common_QEndDate,0,COLUMN()),"YYYYMMDD")),"N/A")</f>
        <v/>
      </c>
      <c r="AG1056" s="1888">
        <f>IFERROR(BDP(MO.Ticker.Bloomberg&amp;" Equity","INTERVAL_HIGH","MARKET_DATA_OVERRIDE=PX_LAST","START_DATE_OVERRIDE",TEXT(INDEX(MO_SNA_FPStartDate,0,COLUMN()),"YYYYMMDD"),"END_DATE_OVERRIDE",TEXT(INDEX(MO_Common_QEndDate,0,COLUMN()),"YYYYMMDD")),"N/A")</f>
        <v/>
      </c>
      <c r="AH1056" s="1888">
        <f>IFERROR(BDP(MO.Ticker.Bloomberg&amp;" Equity","INTERVAL_HIGH","MARKET_DATA_OVERRIDE=PX_LAST","START_DATE_OVERRIDE",TEXT(INDEX(MO_SNA_FPStartDate,0,COLUMN()),"YYYYMMDD"),"END_DATE_OVERRIDE",TEXT(INDEX(MO_Common_QEndDate,0,COLUMN()),"YYYYMMDD")),"N/A")</f>
        <v/>
      </c>
      <c r="AI1056" s="1888">
        <f>IFERROR(BDP(MO.Ticker.Bloomberg&amp;" Equity","INTERVAL_HIGH","MARKET_DATA_OVERRIDE=PX_LAST","START_DATE_OVERRIDE",TEXT(INDEX(MO_SNA_FPStartDate,0,COLUMN()),"YYYYMMDD"),"END_DATE_OVERRIDE",TEXT(INDEX(MO_Common_QEndDate,0,COLUMN()),"YYYYMMDD")),"N/A")</f>
        <v/>
      </c>
      <c r="AJ1056" s="1888">
        <f>IFERROR(BDP(MO.Ticker.Bloomberg&amp;" Equity","INTERVAL_HIGH","MARKET_DATA_OVERRIDE=PX_LAST","START_DATE_OVERRIDE",TEXT(INDEX(MO_SNA_FPStartDate,0,COLUMN()),"YYYYMMDD"),"END_DATE_OVERRIDE",TEXT(INDEX(MO_Common_QEndDate,0,COLUMN()),"YYYYMMDD")),"N/A")</f>
        <v/>
      </c>
      <c r="AK1056" s="1888">
        <f>IFERROR(BDP(MO.Ticker.Bloomberg&amp;" Equity","INTERVAL_HIGH","MARKET_DATA_OVERRIDE=PX_LAST","START_DATE_OVERRIDE",TEXT(INDEX(MO_SNA_FPStartDate,0,COLUMN()),"YYYYMMDD"),"END_DATE_OVERRIDE",TEXT(INDEX(MO_Common_QEndDate,0,COLUMN()),"YYYYMMDD")),"N/A")</f>
        <v/>
      </c>
      <c r="AL1056" s="1888">
        <f>IFERROR(BDP(MO.Ticker.Bloomberg&amp;" Equity","INTERVAL_HIGH","MARKET_DATA_OVERRIDE=PX_LAST","START_DATE_OVERRIDE",TEXT(INDEX(MO_SNA_FPStartDate,0,COLUMN()),"YYYYMMDD"),"END_DATE_OVERRIDE",TEXT(INDEX(MO_Common_QEndDate,0,COLUMN()),"YYYYMMDD")),"N/A")</f>
        <v/>
      </c>
      <c r="AM1056" s="1888">
        <f>IFERROR(BDP(MO.Ticker.Bloomberg&amp;" Equity","INTERVAL_HIGH","MARKET_DATA_OVERRIDE=PX_LAST","START_DATE_OVERRIDE",TEXT(INDEX(MO_SNA_FPStartDate,0,COLUMN()),"YYYYMMDD"),"END_DATE_OVERRIDE",TEXT(INDEX(MO_Common_QEndDate,0,COLUMN()),"YYYYMMDD")),"N/A")</f>
        <v/>
      </c>
      <c r="AN1056" s="1888">
        <f>IFERROR(BDP(MO.Ticker.Bloomberg&amp;" Equity","INTERVAL_HIGH","MARKET_DATA_OVERRIDE=PX_LAST","START_DATE_OVERRIDE",TEXT(INDEX(MO_SNA_FPStartDate,0,COLUMN()),"YYYYMMDD"),"END_DATE_OVERRIDE",TEXT(INDEX(MO_Common_QEndDate,0,COLUMN()),"YYYYMMDD")),"N/A")</f>
        <v/>
      </c>
      <c r="AO1056" s="1888">
        <f>IFERROR(BDP(MO.Ticker.Bloomberg&amp;" Equity","INTERVAL_HIGH","MARKET_DATA_OVERRIDE=PX_LAST","START_DATE_OVERRIDE",TEXT(INDEX(MO_SNA_FPStartDate,0,COLUMN()),"YYYYMMDD"),"END_DATE_OVERRIDE",TEXT(INDEX(MO_Common_QEndDate,0,COLUMN()),"YYYYMMDD")),"N/A")</f>
        <v/>
      </c>
      <c r="AP1056" s="1888">
        <f>IFERROR(BDP(MO.Ticker.Bloomberg&amp;" Equity","INTERVAL_HIGH","MARKET_DATA_OVERRIDE=PX_LAST","START_DATE_OVERRIDE",TEXT(INDEX(MO_SNA_FPStartDate,0,COLUMN()),"YYYYMMDD"),"END_DATE_OVERRIDE",TEXT(INDEX(MO_Common_QEndDate,0,COLUMN()),"YYYYMMDD")),"N/A")</f>
        <v/>
      </c>
      <c r="AQ1056" s="1888">
        <f>IFERROR(BDP(MO.Ticker.Bloomberg&amp;" Equity","INTERVAL_HIGH","MARKET_DATA_OVERRIDE=PX_LAST","START_DATE_OVERRIDE",TEXT(INDEX(MO_SNA_FPStartDate,0,COLUMN()),"YYYYMMDD"),"END_DATE_OVERRIDE",TEXT(INDEX(MO_Common_QEndDate,0,COLUMN()),"YYYYMMDD")),"N/A")</f>
        <v/>
      </c>
      <c r="AR1056" s="1888">
        <f>IFERROR(BDP(MO.Ticker.Bloomberg&amp;" Equity","INTERVAL_HIGH","MARKET_DATA_OVERRIDE=PX_LAST","START_DATE_OVERRIDE",TEXT(INDEX(MO_SNA_FPStartDate,0,COLUMN()),"YYYYMMDD"),"END_DATE_OVERRIDE",TEXT(INDEX(MO_Common_QEndDate,0,COLUMN()),"YYYYMMDD")),"N/A")</f>
        <v/>
      </c>
      <c r="AS1056" s="1888">
        <f>IFERROR(BDP(MO.Ticker.Bloomberg&amp;" Equity","INTERVAL_HIGH","MARKET_DATA_OVERRIDE=PX_LAST","START_DATE_OVERRIDE",TEXT(INDEX(MO_SNA_FPStartDate,0,COLUMN()),"YYYYMMDD"),"END_DATE_OVERRIDE",TEXT(INDEX(MO_Common_QEndDate,0,COLUMN()),"YYYYMMDD")),"N/A")</f>
        <v/>
      </c>
      <c r="AT1056" s="1888">
        <f>IFERROR(BDP(MO.Ticker.Bloomberg&amp;" Equity","INTERVAL_HIGH","MARKET_DATA_OVERRIDE=PX_LAST","START_DATE_OVERRIDE",TEXT(INDEX(MO_SNA_FPStartDate,0,COLUMN()),"YYYYMMDD"),"END_DATE_OVERRIDE",TEXT(INDEX(MO_Common_QEndDate,0,COLUMN()),"YYYYMMDD")),"N/A")</f>
        <v/>
      </c>
      <c r="AU1056" s="1888">
        <f>IFERROR(BDP(MO.Ticker.Bloomberg&amp;" Equity","INTERVAL_HIGH","MARKET_DATA_OVERRIDE=PX_LAST","START_DATE_OVERRIDE",TEXT(INDEX(MO_SNA_FPStartDate,0,COLUMN()),"YYYYMMDD"),"END_DATE_OVERRIDE",TEXT(INDEX(MO_Common_QEndDate,0,COLUMN()),"YYYYMMDD")),"N/A")</f>
        <v/>
      </c>
      <c r="AV1056" s="1888">
        <f>IFERROR(BDP(MO.Ticker.Bloomberg&amp;" Equity","INTERVAL_HIGH","MARKET_DATA_OVERRIDE=PX_LAST","START_DATE_OVERRIDE",TEXT(INDEX(MO_SNA_FPStartDate,0,COLUMN()),"YYYYMMDD"),"END_DATE_OVERRIDE",TEXT(INDEX(MO_Common_QEndDate,0,COLUMN()),"YYYYMMDD")),"N/A")</f>
        <v/>
      </c>
      <c r="AW1056" s="1888">
        <f>IFERROR(BDP(MO.Ticker.Bloomberg&amp;" Equity","INTERVAL_HIGH","MARKET_DATA_OVERRIDE=PX_LAST","START_DATE_OVERRIDE",TEXT(INDEX(MO_SNA_FPStartDate,0,COLUMN()),"YYYYMMDD"),"END_DATE_OVERRIDE",TEXT(INDEX(MO_Common_QEndDate,0,COLUMN()),"YYYYMMDD")),"N/A")</f>
        <v/>
      </c>
      <c r="AX1056" s="1888">
        <f>IFERROR(BDP(MO.Ticker.Bloomberg&amp;" Equity","INTERVAL_HIGH","MARKET_DATA_OVERRIDE=PX_LAST","START_DATE_OVERRIDE",TEXT(INDEX(MO_SNA_FPStartDate,0,COLUMN()),"YYYYMMDD"),"END_DATE_OVERRIDE",TEXT(INDEX(MO_Common_QEndDate,0,COLUMN()),"YYYYMMDD")),"N/A")</f>
        <v/>
      </c>
      <c r="AY1056" s="1888">
        <f>IFERROR(BDP(MO.Ticker.Bloomberg&amp;" Equity","INTERVAL_HIGH","MARKET_DATA_OVERRIDE=PX_LAST","START_DATE_OVERRIDE",TEXT(INDEX(MO_SNA_FPStartDate,0,COLUMN()),"YYYYMMDD"),"END_DATE_OVERRIDE",TEXT(INDEX(MO_Common_QEndDate,0,COLUMN()),"YYYYMMDD")),"N/A")</f>
        <v/>
      </c>
      <c r="AZ1056" s="1888">
        <f>IFERROR(BDP(MO.Ticker.Bloomberg&amp;" Equity","INTERVAL_HIGH","MARKET_DATA_OVERRIDE=PX_LAST","START_DATE_OVERRIDE",TEXT(INDEX(MO_SNA_FPStartDate,0,COLUMN()),"YYYYMMDD"),"END_DATE_OVERRIDE",TEXT(INDEX(MO_Common_QEndDate,0,COLUMN()),"YYYYMMDD")),"N/A")</f>
        <v/>
      </c>
      <c r="BA1056" s="1888">
        <f>IFERROR(BDP(MO.Ticker.Bloomberg&amp;" Equity","INTERVAL_HIGH","MARKET_DATA_OVERRIDE=PX_LAST","START_DATE_OVERRIDE",TEXT(INDEX(MO_SNA_FPStartDate,0,COLUMN()),"YYYYMMDD"),"END_DATE_OVERRIDE",TEXT(INDEX(MO_Common_QEndDate,0,COLUMN()),"YYYYMMDD")),"N/A")</f>
        <v/>
      </c>
      <c r="BB1056" s="1888">
        <f>IFERROR(BDP(MO.Ticker.Bloomberg&amp;" Equity","INTERVAL_HIGH","MARKET_DATA_OVERRIDE=PX_LAST","START_DATE_OVERRIDE",TEXT(INDEX(MO_SNA_FPStartDate,0,COLUMN()),"YYYYMMDD"),"END_DATE_OVERRIDE",TEXT(INDEX(MO_Common_QEndDate,0,COLUMN()),"YYYYMMDD")),"N/A")</f>
        <v/>
      </c>
      <c r="BC1056" s="1888">
        <f>IFERROR(BDP(MO.Ticker.Bloomberg&amp;" Equity","INTERVAL_HIGH","MARKET_DATA_OVERRIDE=PX_LAST","START_DATE_OVERRIDE",TEXT(INDEX(MO_SNA_FPStartDate,0,COLUMN()),"YYYYMMDD"),"END_DATE_OVERRIDE",TEXT(INDEX(MO_Common_QEndDate,0,COLUMN()),"YYYYMMDD")),"N/A")</f>
        <v/>
      </c>
      <c r="BD1056" s="1888">
        <f>IFERROR(BDP(MO.Ticker.Bloomberg&amp;" Equity","INTERVAL_HIGH","MARKET_DATA_OVERRIDE=PX_LAST","START_DATE_OVERRIDE",TEXT(INDEX(MO_SNA_FPStartDate,0,COLUMN()),"YYYYMMDD"),"END_DATE_OVERRIDE",TEXT(INDEX(MO_Common_QEndDate,0,COLUMN()),"YYYYMMDD")),"N/A")</f>
        <v/>
      </c>
      <c r="BE1056" s="1888">
        <f>IFERROR(BDP(MO.Ticker.Bloomberg&amp;" Equity","INTERVAL_HIGH","MARKET_DATA_OVERRIDE=PX_LAST","START_DATE_OVERRIDE",TEXT(INDEX(MO_SNA_FPStartDate,0,COLUMN()),"YYYYMMDD"),"END_DATE_OVERRIDE",TEXT(INDEX(MO_Common_QEndDate,0,COLUMN()),"YYYYMMDD")),"N/A")</f>
        <v/>
      </c>
      <c r="BF1056" s="1888">
        <f>IFERROR(BDP(MO.Ticker.Bloomberg&amp;" Equity","INTERVAL_HIGH","MARKET_DATA_OVERRIDE=PX_LAST","START_DATE_OVERRIDE",TEXT(INDEX(MO_SNA_FPStartDate,0,COLUMN()),"YYYYMMDD"),"END_DATE_OVERRIDE",TEXT(INDEX(MO_Common_QEndDate,0,COLUMN()),"YYYYMMDD")),"N/A")</f>
        <v/>
      </c>
      <c r="BG1056" s="1888">
        <f>IFERROR(BDP(MO.Ticker.Bloomberg&amp;" Equity","INTERVAL_HIGH","MARKET_DATA_OVERRIDE=PX_LAST","START_DATE_OVERRIDE",TEXT(INDEX(MO_SNA_FPStartDate,0,COLUMN()),"YYYYMMDD"),"END_DATE_OVERRIDE",TEXT(INDEX(MO_Common_QEndDate,0,COLUMN()),"YYYYMMDD")),"N/A")</f>
        <v/>
      </c>
      <c r="BH1056" s="1888">
        <f>IFERROR(BDP(MO.Ticker.Bloomberg&amp;" Equity","INTERVAL_HIGH","MARKET_DATA_OVERRIDE=PX_LAST","START_DATE_OVERRIDE",TEXT(INDEX(MO_SNA_FPStartDate,0,COLUMN()),"YYYYMMDD"),"END_DATE_OVERRIDE",TEXT(INDEX(MO_Common_QEndDate,0,COLUMN()),"YYYYMMDD")),"N/A")</f>
        <v/>
      </c>
      <c r="BI1056" s="1888">
        <f>IFERROR(BDP(MO.Ticker.Bloomberg&amp;" Equity","INTERVAL_HIGH","MARKET_DATA_OVERRIDE=PX_LAST","START_DATE_OVERRIDE",TEXT(INDEX(MO_SNA_FPStartDate,0,COLUMN()),"YYYYMMDD"),"END_DATE_OVERRIDE",TEXT(INDEX(MO_Common_QEndDate,0,COLUMN()),"YYYYMMDD")),"N/A")</f>
        <v/>
      </c>
      <c r="BJ1056" s="1888">
        <f>IFERROR(BDP(MO.Ticker.Bloomberg&amp;" Equity","INTERVAL_HIGH","MARKET_DATA_OVERRIDE=PX_LAST","START_DATE_OVERRIDE",TEXT(INDEX(MO_SNA_FPStartDate,0,COLUMN()),"YYYYMMDD"),"END_DATE_OVERRIDE",TEXT(INDEX(MO_Common_QEndDate,0,COLUMN()),"YYYYMMDD")),"N/A")</f>
        <v/>
      </c>
      <c r="BK1056" s="1888">
        <f>IFERROR(BDP(MO.Ticker.Bloomberg&amp;" Equity","INTERVAL_HIGH","MARKET_DATA_OVERRIDE=PX_LAST","START_DATE_OVERRIDE",TEXT(INDEX(MO_SNA_FPStartDate,0,COLUMN()),"YYYYMMDD"),"END_DATE_OVERRIDE",TEXT(INDEX(MO_Common_QEndDate,0,COLUMN()),"YYYYMMDD")),"N/A")</f>
        <v/>
      </c>
      <c r="BL1056" s="1888">
        <f>IFERROR(BDP(MO.Ticker.Bloomberg&amp;" Equity","INTERVAL_HIGH","MARKET_DATA_OVERRIDE=PX_LAST","START_DATE_OVERRIDE",TEXT(INDEX(MO_SNA_FPStartDate,0,COLUMN()),"YYYYMMDD"),"END_DATE_OVERRIDE",TEXT(INDEX(MO_Common_QEndDate,0,COLUMN()),"YYYYMMDD")),"N/A")</f>
        <v/>
      </c>
      <c r="BM1056" s="1888">
        <f>IFERROR(BDP(MO.Ticker.Bloomberg&amp;" Equity","INTERVAL_HIGH","MARKET_DATA_OVERRIDE=PX_LAST","START_DATE_OVERRIDE",TEXT(INDEX(MO_SNA_FPStartDate,0,COLUMN()),"YYYYMMDD"),"END_DATE_OVERRIDE",TEXT(INDEX(MO_Common_QEndDate,0,COLUMN()),"YYYYMMDD")),"N/A")</f>
        <v/>
      </c>
      <c r="BN1056" s="1888">
        <f>IFERROR(BDP(MO.Ticker.Bloomberg&amp;" Equity","INTERVAL_HIGH","MARKET_DATA_OVERRIDE=PX_LAST","START_DATE_OVERRIDE",TEXT(INDEX(MO_SNA_FPStartDate,0,COLUMN()),"YYYYMMDD"),"END_DATE_OVERRIDE",TEXT(INDEX(MO_Common_QEndDate,0,COLUMN()),"YYYYMMDD")),"N/A")</f>
        <v/>
      </c>
      <c r="BO1056" s="1890">
        <f>IFERROR(BDP(MO.Ticker.Bloomberg&amp;" Equity","INTERVAL_HIGH","MARKET_DATA_OVERRIDE=PX_LAST","START_DATE_OVERRIDE",TEXT(INDEX(MO_SNA_FPStartDate,0,COLUMN()),"YYYYMMDD"),"END_DATE_OVERRIDE",TEXT(INDEX(MO_Common_QEndDate,0,COLUMN()),"YYYYMMDD")),"N/A")</f>
        <v/>
      </c>
      <c r="BP1056" s="1888">
        <f>IFERROR(BDP(MO.Ticker.Bloomberg&amp;" Equity","INTERVAL_HIGH","MARKET_DATA_OVERRIDE=PX_LAST","START_DATE_OVERRIDE",TEXT(INDEX(MO_SNA_FPStartDate,0,COLUMN()),"YYYYMMDD"),"END_DATE_OVERRIDE",TEXT(INDEX(MO_Common_QEndDate,0,COLUMN()),"YYYYMMDD")),"N/A")</f>
        <v/>
      </c>
      <c r="BQ1056" s="1888">
        <f>IFERROR(BDP(MO.Ticker.Bloomberg&amp;" Equity","INTERVAL_HIGH","MARKET_DATA_OVERRIDE=PX_LAST","START_DATE_OVERRIDE",TEXT(INDEX(MO_SNA_FPStartDate,0,COLUMN()),"YYYYMMDD"),"END_DATE_OVERRIDE",TEXT(INDEX(MO_Common_QEndDate,0,COLUMN()),"YYYYMMDD")),"N/A")</f>
        <v/>
      </c>
      <c r="BR1056" s="1888">
        <f>IFERROR(BDP(MO.Ticker.Bloomberg&amp;" Equity","INTERVAL_HIGH","MARKET_DATA_OVERRIDE=PX_LAST","START_DATE_OVERRIDE",TEXT(INDEX(MO_SNA_FPStartDate,0,COLUMN()),"YYYYMMDD"),"END_DATE_OVERRIDE",TEXT(INDEX(MO_Common_QEndDate,0,COLUMN()),"YYYYMMDD")),"N/A")</f>
        <v/>
      </c>
      <c r="BS1056" s="1888">
        <f>IFERROR(BDP(MO.Ticker.Bloomberg&amp;" Equity","INTERVAL_HIGH","MARKET_DATA_OVERRIDE=PX_LAST","START_DATE_OVERRIDE",TEXT(INDEX(MO_SNA_FPStartDate,0,COLUMN()),"YYYYMMDD"),"END_DATE_OVERRIDE",TEXT(INDEX(MO_Common_QEndDate,0,COLUMN()),"YYYYMMDD")),"N/A")</f>
        <v/>
      </c>
      <c r="BT1056" s="1888">
        <f>IFERROR(BDP(MO.Ticker.Bloomberg&amp;" Equity","INTERVAL_HIGH","MARKET_DATA_OVERRIDE=PX_LAST","START_DATE_OVERRIDE",TEXT(INDEX(MO_SNA_FPStartDate,0,COLUMN()),"YYYYMMDD"),"END_DATE_OVERRIDE",TEXT(INDEX(MO_Common_QEndDate,0,COLUMN()),"YYYYMMDD")),"N/A")</f>
        <v/>
      </c>
      <c r="BU1056" s="1888">
        <f>IFERROR(BDP(MO.Ticker.Bloomberg&amp;" Equity","INTERVAL_HIGH","MARKET_DATA_OVERRIDE=PX_LAST","START_DATE_OVERRIDE",TEXT(INDEX(MO_SNA_FPStartDate,0,COLUMN()),"YYYYMMDD"),"END_DATE_OVERRIDE",TEXT(INDEX(MO_Common_QEndDate,0,COLUMN()),"YYYYMMDD")),"N/A")</f>
        <v/>
      </c>
      <c r="BV1056" s="1888">
        <f>IFERROR(BDP(MO.Ticker.Bloomberg&amp;" Equity","INTERVAL_HIGH","MARKET_DATA_OVERRIDE=PX_LAST","START_DATE_OVERRIDE",TEXT(INDEX(MO_SNA_FPStartDate,0,COLUMN()),"YYYYMMDD"),"END_DATE_OVERRIDE",TEXT(INDEX(MO_Common_QEndDate,0,COLUMN()),"YYYYMMDD")),"N/A")</f>
        <v/>
      </c>
      <c r="BW1056" s="1888">
        <f>IFERROR(BDP(MO.Ticker.Bloomberg&amp;" Equity","INTERVAL_HIGH","MARKET_DATA_OVERRIDE=PX_LAST","START_DATE_OVERRIDE",TEXT(INDEX(MO_SNA_FPStartDate,0,COLUMN()),"YYYYMMDD"),"END_DATE_OVERRIDE",TEXT(INDEX(MO_Common_QEndDate,0,COLUMN()),"YYYYMMDD")),"N/A")</f>
        <v/>
      </c>
      <c r="BX1056" s="1888">
        <f>IFERROR(BDP(MO.Ticker.Bloomberg&amp;" Equity","INTERVAL_HIGH","MARKET_DATA_OVERRIDE=PX_LAST","START_DATE_OVERRIDE",TEXT(INDEX(MO_SNA_FPStartDate,0,COLUMN()),"YYYYMMDD"),"END_DATE_OVERRIDE",TEXT(INDEX(MO_Common_QEndDate,0,COLUMN()),"YYYYMMDD")),"N/A")</f>
        <v/>
      </c>
      <c r="BY1056" s="1888">
        <f>IFERROR(BDP(MO.Ticker.Bloomberg&amp;" Equity","INTERVAL_HIGH","MARKET_DATA_OVERRIDE=PX_LAST","START_DATE_OVERRIDE",TEXT(INDEX(MO_SNA_FPStartDate,0,COLUMN()),"YYYYMMDD"),"END_DATE_OVERRIDE",TEXT(INDEX(MO_Common_QEndDate,0,COLUMN()),"YYYYMMDD")),"N/A")</f>
        <v/>
      </c>
      <c r="BZ1056" s="1888">
        <f>IFERROR(BDP(MO.Ticker.Bloomberg&amp;" Equity","INTERVAL_HIGH","MARKET_DATA_OVERRIDE=PX_LAST","START_DATE_OVERRIDE",TEXT(INDEX(MO_SNA_FPStartDate,0,COLUMN()),"YYYYMMDD"),"END_DATE_OVERRIDE",TEXT(INDEX(MO_Common_QEndDate,0,COLUMN()),"YYYYMMDD")),"N/A")</f>
        <v/>
      </c>
      <c r="CA1056" s="1888">
        <f>IFERROR(BDP(MO.Ticker.Bloomberg&amp;" Equity","INTERVAL_HIGH","MARKET_DATA_OVERRIDE=PX_LAST","START_DATE_OVERRIDE",TEXT(INDEX(MO_SNA_FPStartDate,0,COLUMN()),"YYYYMMDD"),"END_DATE_OVERRIDE",TEXT(INDEX(MO_Common_QEndDate,0,COLUMN()),"YYYYMMDD")),"N/A")</f>
        <v/>
      </c>
      <c r="CB1056" s="1891">
        <f>IFERROR(BDP(MO.Ticker.Bloomberg&amp;" Equity","INTERVAL_HIGH","MARKET_DATA_OVERRIDE=PX_LAST","START_DATE_OVERRIDE",TEXT(INDEX(MO_SNA_FPStartDate,0,COLUMN()),"YYYYMMDD"),"END_DATE_OVERRIDE",TEXT(INDEX(MO_Common_QEndDate,0,COLUMN()),"YYYYMMDD")),"N/A")</f>
        <v/>
      </c>
      <c r="CC1056" s="1892" t="n"/>
    </row>
    <row r="1057" hidden="1" outlineLevel="1" ht="14.4" customFormat="1" customHeight="1" s="1750">
      <c r="A1057" s="1893" t="inlineStr">
        <is>
          <t>Capital IQ</t>
        </is>
      </c>
      <c r="B1057" s="1888" t="n"/>
      <c r="C1057" s="1889">
        <f>IFERROR(CIQHI(MO.Ticker.CapIQ,"IQ_LASTSALEPRICE",INDEX(MO_SNA_FPStartDate,0,COLUMN()),INDEX(MO_Common_QEndDate,0,COLUMN())),"N/A")</f>
        <v/>
      </c>
      <c r="D1057" s="1889">
        <f>IFERROR(CIQHI(MO.Ticker.CapIQ,"IQ_LASTSALEPRICE",INDEX(MO_SNA_FPStartDate,0,COLUMN()),INDEX(MO_Common_QEndDate,0,COLUMN())),"N/A")</f>
        <v/>
      </c>
      <c r="E1057" s="1888">
        <f>IFERROR(CIQHI(MO.Ticker.CapIQ,"IQ_LASTSALEPRICE",INDEX(MO_SNA_FPStartDate,0,COLUMN()),INDEX(MO_Common_QEndDate,0,COLUMN())),"N/A")</f>
        <v/>
      </c>
      <c r="F1057" s="1888">
        <f>IFERROR(CIQHI(MO.Ticker.CapIQ,"IQ_LASTSALEPRICE",INDEX(MO_SNA_FPStartDate,0,COLUMN()),INDEX(MO_Common_QEndDate,0,COLUMN())),"N/A")</f>
        <v/>
      </c>
      <c r="G1057" s="1888">
        <f>IFERROR(CIQHI(MO.Ticker.CapIQ,"IQ_LASTSALEPRICE",INDEX(MO_SNA_FPStartDate,0,COLUMN()),INDEX(MO_Common_QEndDate,0,COLUMN())),"N/A")</f>
        <v/>
      </c>
      <c r="H1057" s="1888">
        <f>IFERROR(CIQHI(MO.Ticker.CapIQ,"IQ_LASTSALEPRICE",INDEX(MO_SNA_FPStartDate,0,COLUMN()),INDEX(MO_Common_QEndDate,0,COLUMN())),"N/A")</f>
        <v/>
      </c>
      <c r="I1057" s="1888">
        <f>IFERROR(CIQHI(MO.Ticker.CapIQ,"IQ_LASTSALEPRICE",INDEX(MO_SNA_FPStartDate,0,COLUMN()),INDEX(MO_Common_QEndDate,0,COLUMN())),"N/A")</f>
        <v/>
      </c>
      <c r="J1057" s="1888">
        <f>IFERROR(CIQHI(MO.Ticker.CapIQ,"IQ_LASTSALEPRICE",INDEX(MO_SNA_FPStartDate,0,COLUMN()),INDEX(MO_Common_QEndDate,0,COLUMN())),"N/A")</f>
        <v/>
      </c>
      <c r="K1057" s="1888">
        <f>IFERROR(CIQHI(MO.Ticker.CapIQ,"IQ_LASTSALEPRICE",INDEX(MO_SNA_FPStartDate,0,COLUMN()),INDEX(MO_Common_QEndDate,0,COLUMN())),"N/A")</f>
        <v/>
      </c>
      <c r="L1057" s="1888">
        <f>IFERROR(CIQHI(MO.Ticker.CapIQ,"IQ_LASTSALEPRICE",INDEX(MO_SNA_FPStartDate,0,COLUMN()),INDEX(MO_Common_QEndDate,0,COLUMN())),"N/A")</f>
        <v/>
      </c>
      <c r="M1057" s="1888">
        <f>IFERROR(CIQHI(MO.Ticker.CapIQ,"IQ_LASTSALEPRICE",INDEX(MO_SNA_FPStartDate,0,COLUMN()),INDEX(MO_Common_QEndDate,0,COLUMN())),"N/A")</f>
        <v/>
      </c>
      <c r="N1057" s="1888">
        <f>IFERROR(CIQHI(MO.Ticker.CapIQ,"IQ_LASTSALEPRICE",INDEX(MO_SNA_FPStartDate,0,COLUMN()),INDEX(MO_Common_QEndDate,0,COLUMN())),"N/A")</f>
        <v/>
      </c>
      <c r="O1057" s="1888">
        <f>IFERROR(CIQHI(MO.Ticker.CapIQ,"IQ_LASTSALEPRICE",INDEX(MO_SNA_FPStartDate,0,COLUMN()),INDEX(MO_Common_QEndDate,0,COLUMN())),"N/A")</f>
        <v/>
      </c>
      <c r="P1057" s="1888">
        <f>IFERROR(CIQHI(MO.Ticker.CapIQ,"IQ_LASTSALEPRICE",INDEX(MO_SNA_FPStartDate,0,COLUMN()),INDEX(MO_Common_QEndDate,0,COLUMN())),"N/A")</f>
        <v/>
      </c>
      <c r="Q1057" s="1888">
        <f>IFERROR(CIQHI(MO.Ticker.CapIQ,"IQ_LASTSALEPRICE",INDEX(MO_SNA_FPStartDate,0,COLUMN()),INDEX(MO_Common_QEndDate,0,COLUMN())),"N/A")</f>
        <v/>
      </c>
      <c r="R1057" s="1888">
        <f>IFERROR(CIQHI(MO.Ticker.CapIQ,"IQ_LASTSALEPRICE",INDEX(MO_SNA_FPStartDate,0,COLUMN()),INDEX(MO_Common_QEndDate,0,COLUMN())),"N/A")</f>
        <v/>
      </c>
      <c r="S1057" s="1888">
        <f>IFERROR(CIQHI(MO.Ticker.CapIQ,"IQ_LASTSALEPRICE",INDEX(MO_SNA_FPStartDate,0,COLUMN()),INDEX(MO_Common_QEndDate,0,COLUMN())),"N/A")</f>
        <v/>
      </c>
      <c r="T1057" s="1888">
        <f>IFERROR(CIQHI(MO.Ticker.CapIQ,"IQ_LASTSALEPRICE",INDEX(MO_SNA_FPStartDate,0,COLUMN()),INDEX(MO_Common_QEndDate,0,COLUMN())),"N/A")</f>
        <v/>
      </c>
      <c r="U1057" s="1888">
        <f>IFERROR(CIQHI(MO.Ticker.CapIQ,"IQ_LASTSALEPRICE",INDEX(MO_SNA_FPStartDate,0,COLUMN()),INDEX(MO_Common_QEndDate,0,COLUMN())),"N/A")</f>
        <v/>
      </c>
      <c r="V1057" s="1888">
        <f>IFERROR(CIQHI(MO.Ticker.CapIQ,"IQ_LASTSALEPRICE",INDEX(MO_SNA_FPStartDate,0,COLUMN()),INDEX(MO_Common_QEndDate,0,COLUMN())),"N/A")</f>
        <v/>
      </c>
      <c r="W1057" s="1888">
        <f>IFERROR(CIQHI(MO.Ticker.CapIQ,"IQ_LASTSALEPRICE",INDEX(MO_SNA_FPStartDate,0,COLUMN()),INDEX(MO_Common_QEndDate,0,COLUMN())),"N/A")</f>
        <v/>
      </c>
      <c r="X1057" s="1888">
        <f>IFERROR(CIQHI(MO.Ticker.CapIQ,"IQ_LASTSALEPRICE",INDEX(MO_SNA_FPStartDate,0,COLUMN()),INDEX(MO_Common_QEndDate,0,COLUMN())),"N/A")</f>
        <v/>
      </c>
      <c r="Y1057" s="1888">
        <f>IFERROR(CIQHI(MO.Ticker.CapIQ,"IQ_LASTSALEPRICE",INDEX(MO_SNA_FPStartDate,0,COLUMN()),INDEX(MO_Common_QEndDate,0,COLUMN())),"N/A")</f>
        <v/>
      </c>
      <c r="Z1057" s="1888">
        <f>IFERROR(CIQHI(MO.Ticker.CapIQ,"IQ_LASTSALEPRICE",INDEX(MO_SNA_FPStartDate,0,COLUMN()),INDEX(MO_Common_QEndDate,0,COLUMN())),"N/A")</f>
        <v/>
      </c>
      <c r="AA1057" s="1888">
        <f>IFERROR(CIQHI(MO.Ticker.CapIQ,"IQ_LASTSALEPRICE",INDEX(MO_SNA_FPStartDate,0,COLUMN()),INDEX(MO_Common_QEndDate,0,COLUMN())),"N/A")</f>
        <v/>
      </c>
      <c r="AB1057" s="1888">
        <f>IFERROR(CIQHI(MO.Ticker.CapIQ,"IQ_LASTSALEPRICE",INDEX(MO_SNA_FPStartDate,0,COLUMN()),INDEX(MO_Common_QEndDate,0,COLUMN())),"N/A")</f>
        <v/>
      </c>
      <c r="AC1057" s="1888">
        <f>IFERROR(CIQHI(MO.Ticker.CapIQ,"IQ_LASTSALEPRICE",INDEX(MO_SNA_FPStartDate,0,COLUMN()),INDEX(MO_Common_QEndDate,0,COLUMN())),"N/A")</f>
        <v/>
      </c>
      <c r="AD1057" s="1888">
        <f>IFERROR(CIQHI(MO.Ticker.CapIQ,"IQ_LASTSALEPRICE",INDEX(MO_SNA_FPStartDate,0,COLUMN()),INDEX(MO_Common_QEndDate,0,COLUMN())),"N/A")</f>
        <v/>
      </c>
      <c r="AE1057" s="1888">
        <f>IFERROR(CIQHI(MO.Ticker.CapIQ,"IQ_LASTSALEPRICE",INDEX(MO_SNA_FPStartDate,0,COLUMN()),INDEX(MO_Common_QEndDate,0,COLUMN())),"N/A")</f>
        <v/>
      </c>
      <c r="AF1057" s="1888">
        <f>IFERROR(CIQHI(MO.Ticker.CapIQ,"IQ_LASTSALEPRICE",INDEX(MO_SNA_FPStartDate,0,COLUMN()),INDEX(MO_Common_QEndDate,0,COLUMN())),"N/A")</f>
        <v/>
      </c>
      <c r="AG1057" s="1888">
        <f>IFERROR(CIQHI(MO.Ticker.CapIQ,"IQ_LASTSALEPRICE",INDEX(MO_SNA_FPStartDate,0,COLUMN()),INDEX(MO_Common_QEndDate,0,COLUMN())),"N/A")</f>
        <v/>
      </c>
      <c r="AH1057" s="1888">
        <f>IFERROR(CIQHI(MO.Ticker.CapIQ,"IQ_LASTSALEPRICE",INDEX(MO_SNA_FPStartDate,0,COLUMN()),INDEX(MO_Common_QEndDate,0,COLUMN())),"N/A")</f>
        <v/>
      </c>
      <c r="AI1057" s="1888">
        <f>IFERROR(CIQHI(MO.Ticker.CapIQ,"IQ_LASTSALEPRICE",INDEX(MO_SNA_FPStartDate,0,COLUMN()),INDEX(MO_Common_QEndDate,0,COLUMN())),"N/A")</f>
        <v/>
      </c>
      <c r="AJ1057" s="1888">
        <f>IFERROR(CIQHI(MO.Ticker.CapIQ,"IQ_LASTSALEPRICE",INDEX(MO_SNA_FPStartDate,0,COLUMN()),INDEX(MO_Common_QEndDate,0,COLUMN())),"N/A")</f>
        <v/>
      </c>
      <c r="AK1057" s="1888">
        <f>IFERROR(CIQHI(MO.Ticker.CapIQ,"IQ_LASTSALEPRICE",INDEX(MO_SNA_FPStartDate,0,COLUMN()),INDEX(MO_Common_QEndDate,0,COLUMN())),"N/A")</f>
        <v/>
      </c>
      <c r="AL1057" s="1888">
        <f>IFERROR(CIQHI(MO.Ticker.CapIQ,"IQ_LASTSALEPRICE",INDEX(MO_SNA_FPStartDate,0,COLUMN()),INDEX(MO_Common_QEndDate,0,COLUMN())),"N/A")</f>
        <v/>
      </c>
      <c r="AM1057" s="1888">
        <f>IFERROR(CIQHI(MO.Ticker.CapIQ,"IQ_LASTSALEPRICE",INDEX(MO_SNA_FPStartDate,0,COLUMN()),INDEX(MO_Common_QEndDate,0,COLUMN())),"N/A")</f>
        <v/>
      </c>
      <c r="AN1057" s="1888">
        <f>IFERROR(CIQHI(MO.Ticker.CapIQ,"IQ_LASTSALEPRICE",INDEX(MO_SNA_FPStartDate,0,COLUMN()),INDEX(MO_Common_QEndDate,0,COLUMN())),"N/A")</f>
        <v/>
      </c>
      <c r="AO1057" s="1888">
        <f>IFERROR(CIQHI(MO.Ticker.CapIQ,"IQ_LASTSALEPRICE",INDEX(MO_SNA_FPStartDate,0,COLUMN()),INDEX(MO_Common_QEndDate,0,COLUMN())),"N/A")</f>
        <v/>
      </c>
      <c r="AP1057" s="1888">
        <f>IFERROR(CIQHI(MO.Ticker.CapIQ,"IQ_LASTSALEPRICE",INDEX(MO_SNA_FPStartDate,0,COLUMN()),INDEX(MO_Common_QEndDate,0,COLUMN())),"N/A")</f>
        <v/>
      </c>
      <c r="AQ1057" s="1888">
        <f>IFERROR(CIQHI(MO.Ticker.CapIQ,"IQ_LASTSALEPRICE",INDEX(MO_SNA_FPStartDate,0,COLUMN()),INDEX(MO_Common_QEndDate,0,COLUMN())),"N/A")</f>
        <v/>
      </c>
      <c r="AR1057" s="1888">
        <f>IFERROR(CIQHI(MO.Ticker.CapIQ,"IQ_LASTSALEPRICE",INDEX(MO_SNA_FPStartDate,0,COLUMN()),INDEX(MO_Common_QEndDate,0,COLUMN())),"N/A")</f>
        <v/>
      </c>
      <c r="AS1057" s="1888">
        <f>IFERROR(CIQHI(MO.Ticker.CapIQ,"IQ_LASTSALEPRICE",INDEX(MO_SNA_FPStartDate,0,COLUMN()),INDEX(MO_Common_QEndDate,0,COLUMN())),"N/A")</f>
        <v/>
      </c>
      <c r="AT1057" s="1888">
        <f>IFERROR(CIQHI(MO.Ticker.CapIQ,"IQ_LASTSALEPRICE",INDEX(MO_SNA_FPStartDate,0,COLUMN()),INDEX(MO_Common_QEndDate,0,COLUMN())),"N/A")</f>
        <v/>
      </c>
      <c r="AU1057" s="1888">
        <f>IFERROR(CIQHI(MO.Ticker.CapIQ,"IQ_LASTSALEPRICE",INDEX(MO_SNA_FPStartDate,0,COLUMN()),INDEX(MO_Common_QEndDate,0,COLUMN())),"N/A")</f>
        <v/>
      </c>
      <c r="AV1057" s="1888">
        <f>IFERROR(CIQHI(MO.Ticker.CapIQ,"IQ_LASTSALEPRICE",INDEX(MO_SNA_FPStartDate,0,COLUMN()),INDEX(MO_Common_QEndDate,0,COLUMN())),"N/A")</f>
        <v/>
      </c>
      <c r="AW1057" s="1888">
        <f>IFERROR(CIQHI(MO.Ticker.CapIQ,"IQ_LASTSALEPRICE",INDEX(MO_SNA_FPStartDate,0,COLUMN()),INDEX(MO_Common_QEndDate,0,COLUMN())),"N/A")</f>
        <v/>
      </c>
      <c r="AX1057" s="1888">
        <f>IFERROR(CIQHI(MO.Ticker.CapIQ,"IQ_LASTSALEPRICE",INDEX(MO_SNA_FPStartDate,0,COLUMN()),INDEX(MO_Common_QEndDate,0,COLUMN())),"N/A")</f>
        <v/>
      </c>
      <c r="AY1057" s="1888">
        <f>IFERROR(CIQHI(MO.Ticker.CapIQ,"IQ_LASTSALEPRICE",INDEX(MO_SNA_FPStartDate,0,COLUMN()),INDEX(MO_Common_QEndDate,0,COLUMN())),"N/A")</f>
        <v/>
      </c>
      <c r="AZ1057" s="1888">
        <f>IFERROR(CIQHI(MO.Ticker.CapIQ,"IQ_LASTSALEPRICE",INDEX(MO_SNA_FPStartDate,0,COLUMN()),INDEX(MO_Common_QEndDate,0,COLUMN())),"N/A")</f>
        <v/>
      </c>
      <c r="BA1057" s="1888">
        <f>IFERROR(CIQHI(MO.Ticker.CapIQ,"IQ_LASTSALEPRICE",INDEX(MO_SNA_FPStartDate,0,COLUMN()),INDEX(MO_Common_QEndDate,0,COLUMN())),"N/A")</f>
        <v/>
      </c>
      <c r="BB1057" s="1888">
        <f>IFERROR(CIQHI(MO.Ticker.CapIQ,"IQ_LASTSALEPRICE",INDEX(MO_SNA_FPStartDate,0,COLUMN()),INDEX(MO_Common_QEndDate,0,COLUMN())),"N/A")</f>
        <v/>
      </c>
      <c r="BC1057" s="1888">
        <f>IFERROR(CIQHI(MO.Ticker.CapIQ,"IQ_LASTSALEPRICE",INDEX(MO_SNA_FPStartDate,0,COLUMN()),INDEX(MO_Common_QEndDate,0,COLUMN())),"N/A")</f>
        <v/>
      </c>
      <c r="BD1057" s="1888">
        <f>IFERROR(CIQHI(MO.Ticker.CapIQ,"IQ_LASTSALEPRICE",INDEX(MO_SNA_FPStartDate,0,COLUMN()),INDEX(MO_Common_QEndDate,0,COLUMN())),"N/A")</f>
        <v/>
      </c>
      <c r="BE1057" s="1888">
        <f>IFERROR(CIQHI(MO.Ticker.CapIQ,"IQ_LASTSALEPRICE",INDEX(MO_SNA_FPStartDate,0,COLUMN()),INDEX(MO_Common_QEndDate,0,COLUMN())),"N/A")</f>
        <v/>
      </c>
      <c r="BF1057" s="1888">
        <f>IFERROR(CIQHI(MO.Ticker.CapIQ,"IQ_LASTSALEPRICE",INDEX(MO_SNA_FPStartDate,0,COLUMN()),INDEX(MO_Common_QEndDate,0,COLUMN())),"N/A")</f>
        <v/>
      </c>
      <c r="BG1057" s="1888">
        <f>IFERROR(CIQHI(MO.Ticker.CapIQ,"IQ_LASTSALEPRICE",INDEX(MO_SNA_FPStartDate,0,COLUMN()),INDEX(MO_Common_QEndDate,0,COLUMN())),"N/A")</f>
        <v/>
      </c>
      <c r="BH1057" s="1888">
        <f>IFERROR(CIQHI(MO.Ticker.CapIQ,"IQ_LASTSALEPRICE",INDEX(MO_SNA_FPStartDate,0,COLUMN()),INDEX(MO_Common_QEndDate,0,COLUMN())),"N/A")</f>
        <v/>
      </c>
      <c r="BI1057" s="1888">
        <f>IFERROR(CIQHI(MO.Ticker.CapIQ,"IQ_LASTSALEPRICE",INDEX(MO_SNA_FPStartDate,0,COLUMN()),INDEX(MO_Common_QEndDate,0,COLUMN())),"N/A")</f>
        <v/>
      </c>
      <c r="BJ1057" s="1888">
        <f>IFERROR(CIQHI(MO.Ticker.CapIQ,"IQ_LASTSALEPRICE",INDEX(MO_SNA_FPStartDate,0,COLUMN()),INDEX(MO_Common_QEndDate,0,COLUMN())),"N/A")</f>
        <v/>
      </c>
      <c r="BK1057" s="1888">
        <f>IFERROR(CIQHI(MO.Ticker.CapIQ,"IQ_LASTSALEPRICE",INDEX(MO_SNA_FPStartDate,0,COLUMN()),INDEX(MO_Common_QEndDate,0,COLUMN())),"N/A")</f>
        <v/>
      </c>
      <c r="BL1057" s="1888">
        <f>IFERROR(CIQHI(MO.Ticker.CapIQ,"IQ_LASTSALEPRICE",INDEX(MO_SNA_FPStartDate,0,COLUMN()),INDEX(MO_Common_QEndDate,0,COLUMN())),"N/A")</f>
        <v/>
      </c>
      <c r="BM1057" s="1888">
        <f>IFERROR(CIQHI(MO.Ticker.CapIQ,"IQ_LASTSALEPRICE",INDEX(MO_SNA_FPStartDate,0,COLUMN()),INDEX(MO_Common_QEndDate,0,COLUMN())),"N/A")</f>
        <v/>
      </c>
      <c r="BN1057" s="1888">
        <f>IFERROR(CIQHI(MO.Ticker.CapIQ,"IQ_LASTSALEPRICE",INDEX(MO_SNA_FPStartDate,0,COLUMN()),INDEX(MO_Common_QEndDate,0,COLUMN())),"N/A")</f>
        <v/>
      </c>
      <c r="BO1057" s="1890">
        <f>IFERROR(CIQHI(MO.Ticker.CapIQ,"IQ_LASTSALEPRICE",INDEX(MO_SNA_FPStartDate,0,COLUMN()),INDEX(MO_Common_QEndDate,0,COLUMN())),"N/A")</f>
        <v/>
      </c>
      <c r="BP1057" s="1888">
        <f>IFERROR(CIQHI(MO.Ticker.CapIQ,"IQ_LASTSALEPRICE",INDEX(MO_SNA_FPStartDate,0,COLUMN()),INDEX(MO_Common_QEndDate,0,COLUMN())),"N/A")</f>
        <v/>
      </c>
      <c r="BQ1057" s="1888">
        <f>IFERROR(CIQHI(MO.Ticker.CapIQ,"IQ_LASTSALEPRICE",INDEX(MO_SNA_FPStartDate,0,COLUMN()),INDEX(MO_Common_QEndDate,0,COLUMN())),"N/A")</f>
        <v/>
      </c>
      <c r="BR1057" s="1888">
        <f>IFERROR(CIQHI(MO.Ticker.CapIQ,"IQ_LASTSALEPRICE",INDEX(MO_SNA_FPStartDate,0,COLUMN()),INDEX(MO_Common_QEndDate,0,COLUMN())),"N/A")</f>
        <v/>
      </c>
      <c r="BS1057" s="1888">
        <f>IFERROR(CIQHI(MO.Ticker.CapIQ,"IQ_LASTSALEPRICE",INDEX(MO_SNA_FPStartDate,0,COLUMN()),INDEX(MO_Common_QEndDate,0,COLUMN())),"N/A")</f>
        <v/>
      </c>
      <c r="BT1057" s="1888">
        <f>IFERROR(CIQHI(MO.Ticker.CapIQ,"IQ_LASTSALEPRICE",INDEX(MO_SNA_FPStartDate,0,COLUMN()),INDEX(MO_Common_QEndDate,0,COLUMN())),"N/A")</f>
        <v/>
      </c>
      <c r="BU1057" s="1888">
        <f>IFERROR(CIQHI(MO.Ticker.CapIQ,"IQ_LASTSALEPRICE",INDEX(MO_SNA_FPStartDate,0,COLUMN()),INDEX(MO_Common_QEndDate,0,COLUMN())),"N/A")</f>
        <v/>
      </c>
      <c r="BV1057" s="1888">
        <f>IFERROR(CIQHI(MO.Ticker.CapIQ,"IQ_LASTSALEPRICE",INDEX(MO_SNA_FPStartDate,0,COLUMN()),INDEX(MO_Common_QEndDate,0,COLUMN())),"N/A")</f>
        <v/>
      </c>
      <c r="BW1057" s="1888">
        <f>IFERROR(CIQHI(MO.Ticker.CapIQ,"IQ_LASTSALEPRICE",INDEX(MO_SNA_FPStartDate,0,COLUMN()),INDEX(MO_Common_QEndDate,0,COLUMN())),"N/A")</f>
        <v/>
      </c>
      <c r="BX1057" s="1888">
        <f>IFERROR(CIQHI(MO.Ticker.CapIQ,"IQ_LASTSALEPRICE",INDEX(MO_SNA_FPStartDate,0,COLUMN()),INDEX(MO_Common_QEndDate,0,COLUMN())),"N/A")</f>
        <v/>
      </c>
      <c r="BY1057" s="1888">
        <f>IFERROR(CIQHI(MO.Ticker.CapIQ,"IQ_LASTSALEPRICE",INDEX(MO_SNA_FPStartDate,0,COLUMN()),INDEX(MO_Common_QEndDate,0,COLUMN())),"N/A")</f>
        <v/>
      </c>
      <c r="BZ1057" s="1888">
        <f>IFERROR(CIQHI(MO.Ticker.CapIQ,"IQ_LASTSALEPRICE",INDEX(MO_SNA_FPStartDate,0,COLUMN()),INDEX(MO_Common_QEndDate,0,COLUMN())),"N/A")</f>
        <v/>
      </c>
      <c r="CA1057" s="1888">
        <f>IFERROR(CIQHI(MO.Ticker.CapIQ,"IQ_LASTSALEPRICE",INDEX(MO_SNA_FPStartDate,0,COLUMN()),INDEX(MO_Common_QEndDate,0,COLUMN())),"N/A")</f>
        <v/>
      </c>
      <c r="CB1057" s="1891">
        <f>IFERROR(CIQHI(MO.Ticker.CapIQ,"IQ_LASTSALEPRICE",INDEX(MO_SNA_FPStartDate,0,COLUMN()),INDEX(MO_Common_QEndDate,0,COLUMN())),"N/A")</f>
        <v/>
      </c>
      <c r="CC1057" s="1892" t="n"/>
    </row>
    <row r="1058" hidden="1" outlineLevel="1" ht="14.4" customFormat="1" customHeight="1" s="1750">
      <c r="A1058" s="1893" t="inlineStr">
        <is>
          <t>FactSet</t>
        </is>
      </c>
      <c r="B1058" s="1888" t="n"/>
      <c r="C1058" s="1889">
        <f>IFERROR(FDS(MO.Ticker.FactSet,"P_PRICE_HIGH"&amp;"("&amp;INDEX(MO_SNA_FPStartDate,0,COLUMN())&amp;","&amp;INDEX(MO_Common_QEndDate,0,COLUMN())&amp;",,,,""PRICE"",""CLOSE"")"),"N/A")</f>
        <v/>
      </c>
      <c r="D1058" s="1889">
        <f>IFERROR(FDS(MO.Ticker.FactSet,"P_PRICE_HIGH"&amp;"("&amp;INDEX(MO_SNA_FPStartDate,0,COLUMN())&amp;","&amp;INDEX(MO_Common_QEndDate,0,COLUMN())&amp;",,,,""PRICE"",""CLOSE"")"),"N/A")</f>
        <v/>
      </c>
      <c r="E1058" s="1888">
        <f>IFERROR(FDS(MO.Ticker.FactSet,"P_PRICE_HIGH"&amp;"("&amp;INDEX(MO_SNA_FPStartDate,0,COLUMN())&amp;","&amp;INDEX(MO_Common_QEndDate,0,COLUMN())&amp;",,,,""PRICE"",""CLOSE"")"),"N/A")</f>
        <v/>
      </c>
      <c r="F1058" s="1888">
        <f>IFERROR(FDS(MO.Ticker.FactSet,"P_PRICE_HIGH"&amp;"("&amp;INDEX(MO_SNA_FPStartDate,0,COLUMN())&amp;","&amp;INDEX(MO_Common_QEndDate,0,COLUMN())&amp;",,,,""PRICE"",""CLOSE"")"),"N/A")</f>
        <v/>
      </c>
      <c r="G1058" s="1888">
        <f>IFERROR(FDS(MO.Ticker.FactSet,"P_PRICE_HIGH"&amp;"("&amp;INDEX(MO_SNA_FPStartDate,0,COLUMN())&amp;","&amp;INDEX(MO_Common_QEndDate,0,COLUMN())&amp;",,,,""PRICE"",""CLOSE"")"),"N/A")</f>
        <v/>
      </c>
      <c r="H1058" s="1888">
        <f>IFERROR(FDS(MO.Ticker.FactSet,"P_PRICE_HIGH"&amp;"("&amp;INDEX(MO_SNA_FPStartDate,0,COLUMN())&amp;","&amp;INDEX(MO_Common_QEndDate,0,COLUMN())&amp;",,,,""PRICE"",""CLOSE"")"),"N/A")</f>
        <v/>
      </c>
      <c r="I1058" s="1888">
        <f>IFERROR(FDS(MO.Ticker.FactSet,"P_PRICE_HIGH"&amp;"("&amp;INDEX(MO_SNA_FPStartDate,0,COLUMN())&amp;","&amp;INDEX(MO_Common_QEndDate,0,COLUMN())&amp;",,,,""PRICE"",""CLOSE"")"),"N/A")</f>
        <v/>
      </c>
      <c r="J1058" s="1888">
        <f>IFERROR(FDS(MO.Ticker.FactSet,"P_PRICE_HIGH"&amp;"("&amp;INDEX(MO_SNA_FPStartDate,0,COLUMN())&amp;","&amp;INDEX(MO_Common_QEndDate,0,COLUMN())&amp;",,,,""PRICE"",""CLOSE"")"),"N/A")</f>
        <v/>
      </c>
      <c r="K1058" s="1888">
        <f>IFERROR(FDS(MO.Ticker.FactSet,"P_PRICE_HIGH"&amp;"("&amp;INDEX(MO_SNA_FPStartDate,0,COLUMN())&amp;","&amp;INDEX(MO_Common_QEndDate,0,COLUMN())&amp;",,,,""PRICE"",""CLOSE"")"),"N/A")</f>
        <v/>
      </c>
      <c r="L1058" s="1888">
        <f>IFERROR(FDS(MO.Ticker.FactSet,"P_PRICE_HIGH"&amp;"("&amp;INDEX(MO_SNA_FPStartDate,0,COLUMN())&amp;","&amp;INDEX(MO_Common_QEndDate,0,COLUMN())&amp;",,,,""PRICE"",""CLOSE"")"),"N/A")</f>
        <v/>
      </c>
      <c r="M1058" s="1888">
        <f>IFERROR(FDS(MO.Ticker.FactSet,"P_PRICE_HIGH"&amp;"("&amp;INDEX(MO_SNA_FPStartDate,0,COLUMN())&amp;","&amp;INDEX(MO_Common_QEndDate,0,COLUMN())&amp;",,,,""PRICE"",""CLOSE"")"),"N/A")</f>
        <v/>
      </c>
      <c r="N1058" s="1888">
        <f>IFERROR(FDS(MO.Ticker.FactSet,"P_PRICE_HIGH"&amp;"("&amp;INDEX(MO_SNA_FPStartDate,0,COLUMN())&amp;","&amp;INDEX(MO_Common_QEndDate,0,COLUMN())&amp;",,,,""PRICE"",""CLOSE"")"),"N/A")</f>
        <v/>
      </c>
      <c r="O1058" s="1888">
        <f>IFERROR(FDS(MO.Ticker.FactSet,"P_PRICE_HIGH"&amp;"("&amp;INDEX(MO_SNA_FPStartDate,0,COLUMN())&amp;","&amp;INDEX(MO_Common_QEndDate,0,COLUMN())&amp;",,,,""PRICE"",""CLOSE"")"),"N/A")</f>
        <v/>
      </c>
      <c r="P1058" s="1888">
        <f>IFERROR(FDS(MO.Ticker.FactSet,"P_PRICE_HIGH"&amp;"("&amp;INDEX(MO_SNA_FPStartDate,0,COLUMN())&amp;","&amp;INDEX(MO_Common_QEndDate,0,COLUMN())&amp;",,,,""PRICE"",""CLOSE"")"),"N/A")</f>
        <v/>
      </c>
      <c r="Q1058" s="1888">
        <f>IFERROR(FDS(MO.Ticker.FactSet,"P_PRICE_HIGH"&amp;"("&amp;INDEX(MO_SNA_FPStartDate,0,COLUMN())&amp;","&amp;INDEX(MO_Common_QEndDate,0,COLUMN())&amp;",,,,""PRICE"",""CLOSE"")"),"N/A")</f>
        <v/>
      </c>
      <c r="R1058" s="1888">
        <f>IFERROR(FDS(MO.Ticker.FactSet,"P_PRICE_HIGH"&amp;"("&amp;INDEX(MO_SNA_FPStartDate,0,COLUMN())&amp;","&amp;INDEX(MO_Common_QEndDate,0,COLUMN())&amp;",,,,""PRICE"",""CLOSE"")"),"N/A")</f>
        <v/>
      </c>
      <c r="S1058" s="1888">
        <f>IFERROR(FDS(MO.Ticker.FactSet,"P_PRICE_HIGH"&amp;"("&amp;INDEX(MO_SNA_FPStartDate,0,COLUMN())&amp;","&amp;INDEX(MO_Common_QEndDate,0,COLUMN())&amp;",,,,""PRICE"",""CLOSE"")"),"N/A")</f>
        <v/>
      </c>
      <c r="T1058" s="1888">
        <f>IFERROR(FDS(MO.Ticker.FactSet,"P_PRICE_HIGH"&amp;"("&amp;INDEX(MO_SNA_FPStartDate,0,COLUMN())&amp;","&amp;INDEX(MO_Common_QEndDate,0,COLUMN())&amp;",,,,""PRICE"",""CLOSE"")"),"N/A")</f>
        <v/>
      </c>
      <c r="U1058" s="1888">
        <f>IFERROR(FDS(MO.Ticker.FactSet,"P_PRICE_HIGH"&amp;"("&amp;INDEX(MO_SNA_FPStartDate,0,COLUMN())&amp;","&amp;INDEX(MO_Common_QEndDate,0,COLUMN())&amp;",,,,""PRICE"",""CLOSE"")"),"N/A")</f>
        <v/>
      </c>
      <c r="V1058" s="1888">
        <f>IFERROR(FDS(MO.Ticker.FactSet,"P_PRICE_HIGH"&amp;"("&amp;INDEX(MO_SNA_FPStartDate,0,COLUMN())&amp;","&amp;INDEX(MO_Common_QEndDate,0,COLUMN())&amp;",,,,""PRICE"",""CLOSE"")"),"N/A")</f>
        <v/>
      </c>
      <c r="W1058" s="1888">
        <f>IFERROR(FDS(MO.Ticker.FactSet,"P_PRICE_HIGH"&amp;"("&amp;INDEX(MO_SNA_FPStartDate,0,COLUMN())&amp;","&amp;INDEX(MO_Common_QEndDate,0,COLUMN())&amp;",,,,""PRICE"",""CLOSE"")"),"N/A")</f>
        <v/>
      </c>
      <c r="X1058" s="1888">
        <f>IFERROR(FDS(MO.Ticker.FactSet,"P_PRICE_HIGH"&amp;"("&amp;INDEX(MO_SNA_FPStartDate,0,COLUMN())&amp;","&amp;INDEX(MO_Common_QEndDate,0,COLUMN())&amp;",,,,""PRICE"",""CLOSE"")"),"N/A")</f>
        <v/>
      </c>
      <c r="Y1058" s="1888">
        <f>IFERROR(FDS(MO.Ticker.FactSet,"P_PRICE_HIGH"&amp;"("&amp;INDEX(MO_SNA_FPStartDate,0,COLUMN())&amp;","&amp;INDEX(MO_Common_QEndDate,0,COLUMN())&amp;",,,,""PRICE"",""CLOSE"")"),"N/A")</f>
        <v/>
      </c>
      <c r="Z1058" s="1888">
        <f>IFERROR(FDS(MO.Ticker.FactSet,"P_PRICE_HIGH"&amp;"("&amp;INDEX(MO_SNA_FPStartDate,0,COLUMN())&amp;","&amp;INDEX(MO_Common_QEndDate,0,COLUMN())&amp;",,,,""PRICE"",""CLOSE"")"),"N/A")</f>
        <v/>
      </c>
      <c r="AA1058" s="1888">
        <f>IFERROR(FDS(MO.Ticker.FactSet,"P_PRICE_HIGH"&amp;"("&amp;INDEX(MO_SNA_FPStartDate,0,COLUMN())&amp;","&amp;INDEX(MO_Common_QEndDate,0,COLUMN())&amp;",,,,""PRICE"",""CLOSE"")"),"N/A")</f>
        <v/>
      </c>
      <c r="AB1058" s="1888">
        <f>IFERROR(FDS(MO.Ticker.FactSet,"P_PRICE_HIGH"&amp;"("&amp;INDEX(MO_SNA_FPStartDate,0,COLUMN())&amp;","&amp;INDEX(MO_Common_QEndDate,0,COLUMN())&amp;",,,,""PRICE"",""CLOSE"")"),"N/A")</f>
        <v/>
      </c>
      <c r="AC1058" s="1888">
        <f>IFERROR(FDS(MO.Ticker.FactSet,"P_PRICE_HIGH"&amp;"("&amp;INDEX(MO_SNA_FPStartDate,0,COLUMN())&amp;","&amp;INDEX(MO_Common_QEndDate,0,COLUMN())&amp;",,,,""PRICE"",""CLOSE"")"),"N/A")</f>
        <v/>
      </c>
      <c r="AD1058" s="1888">
        <f>IFERROR(FDS(MO.Ticker.FactSet,"P_PRICE_HIGH"&amp;"("&amp;INDEX(MO_SNA_FPStartDate,0,COLUMN())&amp;","&amp;INDEX(MO_Common_QEndDate,0,COLUMN())&amp;",,,,""PRICE"",""CLOSE"")"),"N/A")</f>
        <v/>
      </c>
      <c r="AE1058" s="1888">
        <f>IFERROR(FDS(MO.Ticker.FactSet,"P_PRICE_HIGH"&amp;"("&amp;INDEX(MO_SNA_FPStartDate,0,COLUMN())&amp;","&amp;INDEX(MO_Common_QEndDate,0,COLUMN())&amp;",,,,""PRICE"",""CLOSE"")"),"N/A")</f>
        <v/>
      </c>
      <c r="AF1058" s="1888">
        <f>IFERROR(FDS(MO.Ticker.FactSet,"P_PRICE_HIGH"&amp;"("&amp;INDEX(MO_SNA_FPStartDate,0,COLUMN())&amp;","&amp;INDEX(MO_Common_QEndDate,0,COLUMN())&amp;",,,,""PRICE"",""CLOSE"")"),"N/A")</f>
        <v/>
      </c>
      <c r="AG1058" s="1888">
        <f>IFERROR(FDS(MO.Ticker.FactSet,"P_PRICE_HIGH"&amp;"("&amp;INDEX(MO_SNA_FPStartDate,0,COLUMN())&amp;","&amp;INDEX(MO_Common_QEndDate,0,COLUMN())&amp;",,,,""PRICE"",""CLOSE"")"),"N/A")</f>
        <v/>
      </c>
      <c r="AH1058" s="1888">
        <f>IFERROR(FDS(MO.Ticker.FactSet,"P_PRICE_HIGH"&amp;"("&amp;INDEX(MO_SNA_FPStartDate,0,COLUMN())&amp;","&amp;INDEX(MO_Common_QEndDate,0,COLUMN())&amp;",,,,""PRICE"",""CLOSE"")"),"N/A")</f>
        <v/>
      </c>
      <c r="AI1058" s="1888">
        <f>IFERROR(FDS(MO.Ticker.FactSet,"P_PRICE_HIGH"&amp;"("&amp;INDEX(MO_SNA_FPStartDate,0,COLUMN())&amp;","&amp;INDEX(MO_Common_QEndDate,0,COLUMN())&amp;",,,,""PRICE"",""CLOSE"")"),"N/A")</f>
        <v/>
      </c>
      <c r="AJ1058" s="1888">
        <f>IFERROR(FDS(MO.Ticker.FactSet,"P_PRICE_HIGH"&amp;"("&amp;INDEX(MO_SNA_FPStartDate,0,COLUMN())&amp;","&amp;INDEX(MO_Common_QEndDate,0,COLUMN())&amp;",,,,""PRICE"",""CLOSE"")"),"N/A")</f>
        <v/>
      </c>
      <c r="AK1058" s="1888">
        <f>IFERROR(FDS(MO.Ticker.FactSet,"P_PRICE_HIGH"&amp;"("&amp;INDEX(MO_SNA_FPStartDate,0,COLUMN())&amp;","&amp;INDEX(MO_Common_QEndDate,0,COLUMN())&amp;",,,,""PRICE"",""CLOSE"")"),"N/A")</f>
        <v/>
      </c>
      <c r="AL1058" s="1888">
        <f>IFERROR(FDS(MO.Ticker.FactSet,"P_PRICE_HIGH"&amp;"("&amp;INDEX(MO_SNA_FPStartDate,0,COLUMN())&amp;","&amp;INDEX(MO_Common_QEndDate,0,COLUMN())&amp;",,,,""PRICE"",""CLOSE"")"),"N/A")</f>
        <v/>
      </c>
      <c r="AM1058" s="1888">
        <f>IFERROR(FDS(MO.Ticker.FactSet,"P_PRICE_HIGH"&amp;"("&amp;INDEX(MO_SNA_FPStartDate,0,COLUMN())&amp;","&amp;INDEX(MO_Common_QEndDate,0,COLUMN())&amp;",,,,""PRICE"",""CLOSE"")"),"N/A")</f>
        <v/>
      </c>
      <c r="AN1058" s="1888">
        <f>IFERROR(FDS(MO.Ticker.FactSet,"P_PRICE_HIGH"&amp;"("&amp;INDEX(MO_SNA_FPStartDate,0,COLUMN())&amp;","&amp;INDEX(MO_Common_QEndDate,0,COLUMN())&amp;",,,,""PRICE"",""CLOSE"")"),"N/A")</f>
        <v/>
      </c>
      <c r="AO1058" s="1888">
        <f>IFERROR(FDS(MO.Ticker.FactSet,"P_PRICE_HIGH"&amp;"("&amp;INDEX(MO_SNA_FPStartDate,0,COLUMN())&amp;","&amp;INDEX(MO_Common_QEndDate,0,COLUMN())&amp;",,,,""PRICE"",""CLOSE"")"),"N/A")</f>
        <v/>
      </c>
      <c r="AP1058" s="1888">
        <f>IFERROR(FDS(MO.Ticker.FactSet,"P_PRICE_HIGH"&amp;"("&amp;INDEX(MO_SNA_FPStartDate,0,COLUMN())&amp;","&amp;INDEX(MO_Common_QEndDate,0,COLUMN())&amp;",,,,""PRICE"",""CLOSE"")"),"N/A")</f>
        <v/>
      </c>
      <c r="AQ1058" s="1888">
        <f>IFERROR(FDS(MO.Ticker.FactSet,"P_PRICE_HIGH"&amp;"("&amp;INDEX(MO_SNA_FPStartDate,0,COLUMN())&amp;","&amp;INDEX(MO_Common_QEndDate,0,COLUMN())&amp;",,,,""PRICE"",""CLOSE"")"),"N/A")</f>
        <v/>
      </c>
      <c r="AR1058" s="1888">
        <f>IFERROR(FDS(MO.Ticker.FactSet,"P_PRICE_HIGH"&amp;"("&amp;INDEX(MO_SNA_FPStartDate,0,COLUMN())&amp;","&amp;INDEX(MO_Common_QEndDate,0,COLUMN())&amp;",,,,""PRICE"",""CLOSE"")"),"N/A")</f>
        <v/>
      </c>
      <c r="AS1058" s="1888">
        <f>IFERROR(FDS(MO.Ticker.FactSet,"P_PRICE_HIGH"&amp;"("&amp;INDEX(MO_SNA_FPStartDate,0,COLUMN())&amp;","&amp;INDEX(MO_Common_QEndDate,0,COLUMN())&amp;",,,,""PRICE"",""CLOSE"")"),"N/A")</f>
        <v/>
      </c>
      <c r="AT1058" s="1888">
        <f>IFERROR(FDS(MO.Ticker.FactSet,"P_PRICE_HIGH"&amp;"("&amp;INDEX(MO_SNA_FPStartDate,0,COLUMN())&amp;","&amp;INDEX(MO_Common_QEndDate,0,COLUMN())&amp;",,,,""PRICE"",""CLOSE"")"),"N/A")</f>
        <v/>
      </c>
      <c r="AU1058" s="1888">
        <f>IFERROR(FDS(MO.Ticker.FactSet,"P_PRICE_HIGH"&amp;"("&amp;INDEX(MO_SNA_FPStartDate,0,COLUMN())&amp;","&amp;INDEX(MO_Common_QEndDate,0,COLUMN())&amp;",,,,""PRICE"",""CLOSE"")"),"N/A")</f>
        <v/>
      </c>
      <c r="AV1058" s="1888">
        <f>IFERROR(FDS(MO.Ticker.FactSet,"P_PRICE_HIGH"&amp;"("&amp;INDEX(MO_SNA_FPStartDate,0,COLUMN())&amp;","&amp;INDEX(MO_Common_QEndDate,0,COLUMN())&amp;",,,,""PRICE"",""CLOSE"")"),"N/A")</f>
        <v/>
      </c>
      <c r="AW1058" s="1888">
        <f>IFERROR(FDS(MO.Ticker.FactSet,"P_PRICE_HIGH"&amp;"("&amp;INDEX(MO_SNA_FPStartDate,0,COLUMN())&amp;","&amp;INDEX(MO_Common_QEndDate,0,COLUMN())&amp;",,,,""PRICE"",""CLOSE"")"),"N/A")</f>
        <v/>
      </c>
      <c r="AX1058" s="1888">
        <f>IFERROR(FDS(MO.Ticker.FactSet,"P_PRICE_HIGH"&amp;"("&amp;INDEX(MO_SNA_FPStartDate,0,COLUMN())&amp;","&amp;INDEX(MO_Common_QEndDate,0,COLUMN())&amp;",,,,""PRICE"",""CLOSE"")"),"N/A")</f>
        <v/>
      </c>
      <c r="AY1058" s="1888">
        <f>IFERROR(FDS(MO.Ticker.FactSet,"P_PRICE_HIGH"&amp;"("&amp;INDEX(MO_SNA_FPStartDate,0,COLUMN())&amp;","&amp;INDEX(MO_Common_QEndDate,0,COLUMN())&amp;",,,,""PRICE"",""CLOSE"")"),"N/A")</f>
        <v/>
      </c>
      <c r="AZ1058" s="1888">
        <f>IFERROR(FDS(MO.Ticker.FactSet,"P_PRICE_HIGH"&amp;"("&amp;INDEX(MO_SNA_FPStartDate,0,COLUMN())&amp;","&amp;INDEX(MO_Common_QEndDate,0,COLUMN())&amp;",,,,""PRICE"",""CLOSE"")"),"N/A")</f>
        <v/>
      </c>
      <c r="BA1058" s="1888">
        <f>IFERROR(FDS(MO.Ticker.FactSet,"P_PRICE_HIGH"&amp;"("&amp;INDEX(MO_SNA_FPStartDate,0,COLUMN())&amp;","&amp;INDEX(MO_Common_QEndDate,0,COLUMN())&amp;",,,,""PRICE"",""CLOSE"")"),"N/A")</f>
        <v/>
      </c>
      <c r="BB1058" s="1888">
        <f>IFERROR(FDS(MO.Ticker.FactSet,"P_PRICE_HIGH"&amp;"("&amp;INDEX(MO_SNA_FPStartDate,0,COLUMN())&amp;","&amp;INDEX(MO_Common_QEndDate,0,COLUMN())&amp;",,,,""PRICE"",""CLOSE"")"),"N/A")</f>
        <v/>
      </c>
      <c r="BC1058" s="1888">
        <f>IFERROR(FDS(MO.Ticker.FactSet,"P_PRICE_HIGH"&amp;"("&amp;INDEX(MO_SNA_FPStartDate,0,COLUMN())&amp;","&amp;INDEX(MO_Common_QEndDate,0,COLUMN())&amp;",,,,""PRICE"",""CLOSE"")"),"N/A")</f>
        <v/>
      </c>
      <c r="BD1058" s="1888">
        <f>IFERROR(FDS(MO.Ticker.FactSet,"P_PRICE_HIGH"&amp;"("&amp;INDEX(MO_SNA_FPStartDate,0,COLUMN())&amp;","&amp;INDEX(MO_Common_QEndDate,0,COLUMN())&amp;",,,,""PRICE"",""CLOSE"")"),"N/A")</f>
        <v/>
      </c>
      <c r="BE1058" s="1888">
        <f>IFERROR(FDS(MO.Ticker.FactSet,"P_PRICE_HIGH"&amp;"("&amp;INDEX(MO_SNA_FPStartDate,0,COLUMN())&amp;","&amp;INDEX(MO_Common_QEndDate,0,COLUMN())&amp;",,,,""PRICE"",""CLOSE"")"),"N/A")</f>
        <v/>
      </c>
      <c r="BF1058" s="1888">
        <f>IFERROR(FDS(MO.Ticker.FactSet,"P_PRICE_HIGH"&amp;"("&amp;INDEX(MO_SNA_FPStartDate,0,COLUMN())&amp;","&amp;INDEX(MO_Common_QEndDate,0,COLUMN())&amp;",,,,""PRICE"",""CLOSE"")"),"N/A")</f>
        <v/>
      </c>
      <c r="BG1058" s="1888">
        <f>IFERROR(FDS(MO.Ticker.FactSet,"P_PRICE_HIGH"&amp;"("&amp;INDEX(MO_SNA_FPStartDate,0,COLUMN())&amp;","&amp;INDEX(MO_Common_QEndDate,0,COLUMN())&amp;",,,,""PRICE"",""CLOSE"")"),"N/A")</f>
        <v/>
      </c>
      <c r="BH1058" s="1888">
        <f>IFERROR(FDS(MO.Ticker.FactSet,"P_PRICE_HIGH"&amp;"("&amp;INDEX(MO_SNA_FPStartDate,0,COLUMN())&amp;","&amp;INDEX(MO_Common_QEndDate,0,COLUMN())&amp;",,,,""PRICE"",""CLOSE"")"),"N/A")</f>
        <v/>
      </c>
      <c r="BI1058" s="1888">
        <f>IFERROR(FDS(MO.Ticker.FactSet,"P_PRICE_HIGH"&amp;"("&amp;INDEX(MO_SNA_FPStartDate,0,COLUMN())&amp;","&amp;INDEX(MO_Common_QEndDate,0,COLUMN())&amp;",,,,""PRICE"",""CLOSE"")"),"N/A")</f>
        <v/>
      </c>
      <c r="BJ1058" s="1888">
        <f>IFERROR(FDS(MO.Ticker.FactSet,"P_PRICE_HIGH"&amp;"("&amp;INDEX(MO_SNA_FPStartDate,0,COLUMN())&amp;","&amp;INDEX(MO_Common_QEndDate,0,COLUMN())&amp;",,,,""PRICE"",""CLOSE"")"),"N/A")</f>
        <v/>
      </c>
      <c r="BK1058" s="1888">
        <f>IFERROR(FDS(MO.Ticker.FactSet,"P_PRICE_HIGH"&amp;"("&amp;INDEX(MO_SNA_FPStartDate,0,COLUMN())&amp;","&amp;INDEX(MO_Common_QEndDate,0,COLUMN())&amp;",,,,""PRICE"",""CLOSE"")"),"N/A")</f>
        <v/>
      </c>
      <c r="BL1058" s="1888">
        <f>IFERROR(FDS(MO.Ticker.FactSet,"P_PRICE_HIGH"&amp;"("&amp;INDEX(MO_SNA_FPStartDate,0,COLUMN())&amp;","&amp;INDEX(MO_Common_QEndDate,0,COLUMN())&amp;",,,,""PRICE"",""CLOSE"")"),"N/A")</f>
        <v/>
      </c>
      <c r="BM1058" s="1888">
        <f>IFERROR(FDS(MO.Ticker.FactSet,"P_PRICE_HIGH"&amp;"("&amp;INDEX(MO_SNA_FPStartDate,0,COLUMN())&amp;","&amp;INDEX(MO_Common_QEndDate,0,COLUMN())&amp;",,,,""PRICE"",""CLOSE"")"),"N/A")</f>
        <v/>
      </c>
      <c r="BN1058" s="1888">
        <f>IFERROR(FDS(MO.Ticker.FactSet,"P_PRICE_HIGH"&amp;"("&amp;INDEX(MO_SNA_FPStartDate,0,COLUMN())&amp;","&amp;INDEX(MO_Common_QEndDate,0,COLUMN())&amp;",,,,""PRICE"",""CLOSE"")"),"N/A")</f>
        <v/>
      </c>
      <c r="BO1058" s="1890">
        <f>IFERROR(FDS(MO.Ticker.FactSet,"P_PRICE_HIGH"&amp;"("&amp;INDEX(MO_SNA_FPStartDate,0,COLUMN())&amp;","&amp;INDEX(MO_Common_QEndDate,0,COLUMN())&amp;",,,,""PRICE"",""CLOSE"")"),"N/A")</f>
        <v/>
      </c>
      <c r="BP1058" s="1888">
        <f>IFERROR(FDS(MO.Ticker.FactSet,"P_PRICE_HIGH"&amp;"("&amp;INDEX(MO_SNA_FPStartDate,0,COLUMN())&amp;","&amp;INDEX(MO_Common_QEndDate,0,COLUMN())&amp;",,,,""PRICE"",""CLOSE"")"),"N/A")</f>
        <v/>
      </c>
      <c r="BQ1058" s="1888">
        <f>IFERROR(FDS(MO.Ticker.FactSet,"P_PRICE_HIGH"&amp;"("&amp;INDEX(MO_SNA_FPStartDate,0,COLUMN())&amp;","&amp;INDEX(MO_Common_QEndDate,0,COLUMN())&amp;",,,,""PRICE"",""CLOSE"")"),"N/A")</f>
        <v/>
      </c>
      <c r="BR1058" s="1888">
        <f>IFERROR(FDS(MO.Ticker.FactSet,"P_PRICE_HIGH"&amp;"("&amp;INDEX(MO_SNA_FPStartDate,0,COLUMN())&amp;","&amp;INDEX(MO_Common_QEndDate,0,COLUMN())&amp;",,,,""PRICE"",""CLOSE"")"),"N/A")</f>
        <v/>
      </c>
      <c r="BS1058" s="1888">
        <f>IFERROR(FDS(MO.Ticker.FactSet,"P_PRICE_HIGH"&amp;"("&amp;INDEX(MO_SNA_FPStartDate,0,COLUMN())&amp;","&amp;INDEX(MO_Common_QEndDate,0,COLUMN())&amp;",,,,""PRICE"",""CLOSE"")"),"N/A")</f>
        <v/>
      </c>
      <c r="BT1058" s="1888">
        <f>IFERROR(FDS(MO.Ticker.FactSet,"P_PRICE_HIGH"&amp;"("&amp;INDEX(MO_SNA_FPStartDate,0,COLUMN())&amp;","&amp;INDEX(MO_Common_QEndDate,0,COLUMN())&amp;",,,,""PRICE"",""CLOSE"")"),"N/A")</f>
        <v/>
      </c>
      <c r="BU1058" s="1888">
        <f>IFERROR(FDS(MO.Ticker.FactSet,"P_PRICE_HIGH"&amp;"("&amp;INDEX(MO_SNA_FPStartDate,0,COLUMN())&amp;","&amp;INDEX(MO_Common_QEndDate,0,COLUMN())&amp;",,,,""PRICE"",""CLOSE"")"),"N/A")</f>
        <v/>
      </c>
      <c r="BV1058" s="1888">
        <f>IFERROR(FDS(MO.Ticker.FactSet,"P_PRICE_HIGH"&amp;"("&amp;INDEX(MO_SNA_FPStartDate,0,COLUMN())&amp;","&amp;INDEX(MO_Common_QEndDate,0,COLUMN())&amp;",,,,""PRICE"",""CLOSE"")"),"N/A")</f>
        <v/>
      </c>
      <c r="BW1058" s="1888">
        <f>IFERROR(FDS(MO.Ticker.FactSet,"P_PRICE_HIGH"&amp;"("&amp;INDEX(MO_SNA_FPStartDate,0,COLUMN())&amp;","&amp;INDEX(MO_Common_QEndDate,0,COLUMN())&amp;",,,,""PRICE"",""CLOSE"")"),"N/A")</f>
        <v/>
      </c>
      <c r="BX1058" s="1888">
        <f>IFERROR(FDS(MO.Ticker.FactSet,"P_PRICE_HIGH"&amp;"("&amp;INDEX(MO_SNA_FPStartDate,0,COLUMN())&amp;","&amp;INDEX(MO_Common_QEndDate,0,COLUMN())&amp;",,,,""PRICE"",""CLOSE"")"),"N/A")</f>
        <v/>
      </c>
      <c r="BY1058" s="1888">
        <f>IFERROR(FDS(MO.Ticker.FactSet,"P_PRICE_HIGH"&amp;"("&amp;INDEX(MO_SNA_FPStartDate,0,COLUMN())&amp;","&amp;INDEX(MO_Common_QEndDate,0,COLUMN())&amp;",,,,""PRICE"",""CLOSE"")"),"N/A")</f>
        <v/>
      </c>
      <c r="BZ1058" s="1888">
        <f>IFERROR(FDS(MO.Ticker.FactSet,"P_PRICE_HIGH"&amp;"("&amp;INDEX(MO_SNA_FPStartDate,0,COLUMN())&amp;","&amp;INDEX(MO_Common_QEndDate,0,COLUMN())&amp;",,,,""PRICE"",""CLOSE"")"),"N/A")</f>
        <v/>
      </c>
      <c r="CA1058" s="1888">
        <f>IFERROR(FDS(MO.Ticker.FactSet,"P_PRICE_HIGH"&amp;"("&amp;INDEX(MO_SNA_FPStartDate,0,COLUMN())&amp;","&amp;INDEX(MO_Common_QEndDate,0,COLUMN())&amp;",,,,""PRICE"",""CLOSE"")"),"N/A")</f>
        <v/>
      </c>
      <c r="CB1058" s="1891">
        <f>IFERROR(FDS(MO.Ticker.FactSet,"P_PRICE_HIGH"&amp;"("&amp;INDEX(MO_SNA_FPStartDate,0,COLUMN())&amp;","&amp;INDEX(MO_Common_QEndDate,0,COLUMN())&amp;",,,,""PRICE"",""CLOSE"")"),"N/A")</f>
        <v/>
      </c>
      <c r="CC1058" s="1892" t="n"/>
    </row>
    <row r="1059" hidden="1" outlineLevel="1" ht="14.4" customFormat="1" customHeight="1" s="1750">
      <c r="A1059" s="1893" t="inlineStr">
        <is>
          <t>Refinitiv</t>
        </is>
      </c>
      <c r="B1059" s="1888" t="n"/>
      <c r="C1059" s="1889">
        <f>IFERROR(_xll.TR(MO.Ticker.Thomson,"MAX(TR.Pricehigh)","sdate:#1 edate:#2",,INDEX(MO_SNA_FPStartDate,0,COLUMN()),INDEX(MO_Common_QEndDate,0,COLUMN())),"N/A")</f>
        <v/>
      </c>
      <c r="D1059" s="1889">
        <f>IFERROR(_xll.TR(MO.Ticker.Thomson,"MAX(TR.Pricehigh)","sdate:#1 edate:#2",,INDEX(MO_SNA_FPStartDate,0,COLUMN()),INDEX(MO_Common_QEndDate,0,COLUMN())),"N/A")</f>
        <v/>
      </c>
      <c r="E1059" s="1888">
        <f>IFERROR(_xll.TR(MO.Ticker.Thomson,"MAX(TR.Pricehigh)","sdate:#1 edate:#2",,INDEX(MO_SNA_FPStartDate,0,COLUMN()),INDEX(MO_Common_QEndDate,0,COLUMN())),"N/A")</f>
        <v/>
      </c>
      <c r="F1059" s="1888">
        <f>IFERROR(_xll.TR(MO.Ticker.Thomson,"MAX(TR.Pricehigh)","sdate:#1 edate:#2",,INDEX(MO_SNA_FPStartDate,0,COLUMN()),INDEX(MO_Common_QEndDate,0,COLUMN())),"N/A")</f>
        <v/>
      </c>
      <c r="G1059" s="1888">
        <f>IFERROR(_xll.TR(MO.Ticker.Thomson,"MAX(TR.Pricehigh)","sdate:#1 edate:#2",,INDEX(MO_SNA_FPStartDate,0,COLUMN()),INDEX(MO_Common_QEndDate,0,COLUMN())),"N/A")</f>
        <v/>
      </c>
      <c r="H1059" s="1888">
        <f>IFERROR(_xll.TR(MO.Ticker.Thomson,"MAX(TR.Pricehigh)","sdate:#1 edate:#2",,INDEX(MO_SNA_FPStartDate,0,COLUMN()),INDEX(MO_Common_QEndDate,0,COLUMN())),"N/A")</f>
        <v/>
      </c>
      <c r="I1059" s="1888">
        <f>IFERROR(_xll.TR(MO.Ticker.Thomson,"MAX(TR.Pricehigh)","sdate:#1 edate:#2",,INDEX(MO_SNA_FPStartDate,0,COLUMN()),INDEX(MO_Common_QEndDate,0,COLUMN())),"N/A")</f>
        <v/>
      </c>
      <c r="J1059" s="1888">
        <f>IFERROR(_xll.TR(MO.Ticker.Thomson,"MAX(TR.Pricehigh)","sdate:#1 edate:#2",,INDEX(MO_SNA_FPStartDate,0,COLUMN()),INDEX(MO_Common_QEndDate,0,COLUMN())),"N/A")</f>
        <v/>
      </c>
      <c r="K1059" s="1888">
        <f>IFERROR(_xll.TR(MO.Ticker.Thomson,"MAX(TR.Pricehigh)","sdate:#1 edate:#2",,INDEX(MO_SNA_FPStartDate,0,COLUMN()),INDEX(MO_Common_QEndDate,0,COLUMN())),"N/A")</f>
        <v/>
      </c>
      <c r="L1059" s="1888">
        <f>IFERROR(_xll.TR(MO.Ticker.Thomson,"MAX(TR.Pricehigh)","sdate:#1 edate:#2",,INDEX(MO_SNA_FPStartDate,0,COLUMN()),INDEX(MO_Common_QEndDate,0,COLUMN())),"N/A")</f>
        <v/>
      </c>
      <c r="M1059" s="1888">
        <f>IFERROR(_xll.TR(MO.Ticker.Thomson,"MAX(TR.Pricehigh)","sdate:#1 edate:#2",,INDEX(MO_SNA_FPStartDate,0,COLUMN()),INDEX(MO_Common_QEndDate,0,COLUMN())),"N/A")</f>
        <v/>
      </c>
      <c r="N1059" s="1888">
        <f>IFERROR(_xll.TR(MO.Ticker.Thomson,"MAX(TR.Pricehigh)","sdate:#1 edate:#2",,INDEX(MO_SNA_FPStartDate,0,COLUMN()),INDEX(MO_Common_QEndDate,0,COLUMN())),"N/A")</f>
        <v/>
      </c>
      <c r="O1059" s="1888">
        <f>IFERROR(_xll.TR(MO.Ticker.Thomson,"MAX(TR.Pricehigh)","sdate:#1 edate:#2",,INDEX(MO_SNA_FPStartDate,0,COLUMN()),INDEX(MO_Common_QEndDate,0,COLUMN())),"N/A")</f>
        <v/>
      </c>
      <c r="P1059" s="1888">
        <f>IFERROR(_xll.TR(MO.Ticker.Thomson,"MAX(TR.Pricehigh)","sdate:#1 edate:#2",,INDEX(MO_SNA_FPStartDate,0,COLUMN()),INDEX(MO_Common_QEndDate,0,COLUMN())),"N/A")</f>
        <v/>
      </c>
      <c r="Q1059" s="1888">
        <f>IFERROR(_xll.TR(MO.Ticker.Thomson,"MAX(TR.Pricehigh)","sdate:#1 edate:#2",,INDEX(MO_SNA_FPStartDate,0,COLUMN()),INDEX(MO_Common_QEndDate,0,COLUMN())),"N/A")</f>
        <v/>
      </c>
      <c r="R1059" s="1888">
        <f>IFERROR(_xll.TR(MO.Ticker.Thomson,"MAX(TR.Pricehigh)","sdate:#1 edate:#2",,INDEX(MO_SNA_FPStartDate,0,COLUMN()),INDEX(MO_Common_QEndDate,0,COLUMN())),"N/A")</f>
        <v/>
      </c>
      <c r="S1059" s="1888">
        <f>IFERROR(_xll.TR(MO.Ticker.Thomson,"MAX(TR.Pricehigh)","sdate:#1 edate:#2",,INDEX(MO_SNA_FPStartDate,0,COLUMN()),INDEX(MO_Common_QEndDate,0,COLUMN())),"N/A")</f>
        <v/>
      </c>
      <c r="T1059" s="1888">
        <f>IFERROR(_xll.TR(MO.Ticker.Thomson,"MAX(TR.Pricehigh)","sdate:#1 edate:#2",,INDEX(MO_SNA_FPStartDate,0,COLUMN()),INDEX(MO_Common_QEndDate,0,COLUMN())),"N/A")</f>
        <v/>
      </c>
      <c r="U1059" s="1888">
        <f>IFERROR(_xll.TR(MO.Ticker.Thomson,"MAX(TR.Pricehigh)","sdate:#1 edate:#2",,INDEX(MO_SNA_FPStartDate,0,COLUMN()),INDEX(MO_Common_QEndDate,0,COLUMN())),"N/A")</f>
        <v/>
      </c>
      <c r="V1059" s="1888">
        <f>IFERROR(_xll.TR(MO.Ticker.Thomson,"MAX(TR.Pricehigh)","sdate:#1 edate:#2",,INDEX(MO_SNA_FPStartDate,0,COLUMN()),INDEX(MO_Common_QEndDate,0,COLUMN())),"N/A")</f>
        <v/>
      </c>
      <c r="W1059" s="1888">
        <f>IFERROR(_xll.TR(MO.Ticker.Thomson,"MAX(TR.Pricehigh)","sdate:#1 edate:#2",,INDEX(MO_SNA_FPStartDate,0,COLUMN()),INDEX(MO_Common_QEndDate,0,COLUMN())),"N/A")</f>
        <v/>
      </c>
      <c r="X1059" s="1888">
        <f>IFERROR(_xll.TR(MO.Ticker.Thomson,"MAX(TR.Pricehigh)","sdate:#1 edate:#2",,INDEX(MO_SNA_FPStartDate,0,COLUMN()),INDEX(MO_Common_QEndDate,0,COLUMN())),"N/A")</f>
        <v/>
      </c>
      <c r="Y1059" s="1888">
        <f>IFERROR(_xll.TR(MO.Ticker.Thomson,"MAX(TR.Pricehigh)","sdate:#1 edate:#2",,INDEX(MO_SNA_FPStartDate,0,COLUMN()),INDEX(MO_Common_QEndDate,0,COLUMN())),"N/A")</f>
        <v/>
      </c>
      <c r="Z1059" s="1888">
        <f>IFERROR(_xll.TR(MO.Ticker.Thomson,"MAX(TR.Pricehigh)","sdate:#1 edate:#2",,INDEX(MO_SNA_FPStartDate,0,COLUMN()),INDEX(MO_Common_QEndDate,0,COLUMN())),"N/A")</f>
        <v/>
      </c>
      <c r="AA1059" s="1888">
        <f>IFERROR(_xll.TR(MO.Ticker.Thomson,"MAX(TR.Pricehigh)","sdate:#1 edate:#2",,INDEX(MO_SNA_FPStartDate,0,COLUMN()),INDEX(MO_Common_QEndDate,0,COLUMN())),"N/A")</f>
        <v/>
      </c>
      <c r="AB1059" s="1888">
        <f>IFERROR(_xll.TR(MO.Ticker.Thomson,"MAX(TR.Pricehigh)","sdate:#1 edate:#2",,INDEX(MO_SNA_FPStartDate,0,COLUMN()),INDEX(MO_Common_QEndDate,0,COLUMN())),"N/A")</f>
        <v/>
      </c>
      <c r="AC1059" s="1888">
        <f>IFERROR(_xll.TR(MO.Ticker.Thomson,"MAX(TR.Pricehigh)","sdate:#1 edate:#2",,INDEX(MO_SNA_FPStartDate,0,COLUMN()),INDEX(MO_Common_QEndDate,0,COLUMN())),"N/A")</f>
        <v/>
      </c>
      <c r="AD1059" s="1888">
        <f>IFERROR(_xll.TR(MO.Ticker.Thomson,"MAX(TR.Pricehigh)","sdate:#1 edate:#2",,INDEX(MO_SNA_FPStartDate,0,COLUMN()),INDEX(MO_Common_QEndDate,0,COLUMN())),"N/A")</f>
        <v/>
      </c>
      <c r="AE1059" s="1888">
        <f>IFERROR(_xll.TR(MO.Ticker.Thomson,"MAX(TR.Pricehigh)","sdate:#1 edate:#2",,INDEX(MO_SNA_FPStartDate,0,COLUMN()),INDEX(MO_Common_QEndDate,0,COLUMN())),"N/A")</f>
        <v/>
      </c>
      <c r="AF1059" s="1888">
        <f>IFERROR(_xll.TR(MO.Ticker.Thomson,"MAX(TR.Pricehigh)","sdate:#1 edate:#2",,INDEX(MO_SNA_FPStartDate,0,COLUMN()),INDEX(MO_Common_QEndDate,0,COLUMN())),"N/A")</f>
        <v/>
      </c>
      <c r="AG1059" s="1888">
        <f>IFERROR(_xll.TR(MO.Ticker.Thomson,"MAX(TR.Pricehigh)","sdate:#1 edate:#2",,INDEX(MO_SNA_FPStartDate,0,COLUMN()),INDEX(MO_Common_QEndDate,0,COLUMN())),"N/A")</f>
        <v/>
      </c>
      <c r="AH1059" s="1888">
        <f>IFERROR(_xll.TR(MO.Ticker.Thomson,"MAX(TR.Pricehigh)","sdate:#1 edate:#2",,INDEX(MO_SNA_FPStartDate,0,COLUMN()),INDEX(MO_Common_QEndDate,0,COLUMN())),"N/A")</f>
        <v/>
      </c>
      <c r="AI1059" s="1888">
        <f>IFERROR(_xll.TR(MO.Ticker.Thomson,"MAX(TR.Pricehigh)","sdate:#1 edate:#2",,INDEX(MO_SNA_FPStartDate,0,COLUMN()),INDEX(MO_Common_QEndDate,0,COLUMN())),"N/A")</f>
        <v/>
      </c>
      <c r="AJ1059" s="1888">
        <f>IFERROR(_xll.TR(MO.Ticker.Thomson,"MAX(TR.Pricehigh)","sdate:#1 edate:#2",,INDEX(MO_SNA_FPStartDate,0,COLUMN()),INDEX(MO_Common_QEndDate,0,COLUMN())),"N/A")</f>
        <v/>
      </c>
      <c r="AK1059" s="1888">
        <f>IFERROR(_xll.TR(MO.Ticker.Thomson,"MAX(TR.Pricehigh)","sdate:#1 edate:#2",,INDEX(MO_SNA_FPStartDate,0,COLUMN()),INDEX(MO_Common_QEndDate,0,COLUMN())),"N/A")</f>
        <v/>
      </c>
      <c r="AL1059" s="1888">
        <f>IFERROR(_xll.TR(MO.Ticker.Thomson,"MAX(TR.Pricehigh)","sdate:#1 edate:#2",,INDEX(MO_SNA_FPStartDate,0,COLUMN()),INDEX(MO_Common_QEndDate,0,COLUMN())),"N/A")</f>
        <v/>
      </c>
      <c r="AM1059" s="1888">
        <f>IFERROR(_xll.TR(MO.Ticker.Thomson,"MAX(TR.Pricehigh)","sdate:#1 edate:#2",,INDEX(MO_SNA_FPStartDate,0,COLUMN()),INDEX(MO_Common_QEndDate,0,COLUMN())),"N/A")</f>
        <v/>
      </c>
      <c r="AN1059" s="1888">
        <f>IFERROR(_xll.TR(MO.Ticker.Thomson,"MAX(TR.Pricehigh)","sdate:#1 edate:#2",,INDEX(MO_SNA_FPStartDate,0,COLUMN()),INDEX(MO_Common_QEndDate,0,COLUMN())),"N/A")</f>
        <v/>
      </c>
      <c r="AO1059" s="1888">
        <f>IFERROR(_xll.TR(MO.Ticker.Thomson,"MAX(TR.Pricehigh)","sdate:#1 edate:#2",,INDEX(MO_SNA_FPStartDate,0,COLUMN()),INDEX(MO_Common_QEndDate,0,COLUMN())),"N/A")</f>
        <v/>
      </c>
      <c r="AP1059" s="1888">
        <f>IFERROR(_xll.TR(MO.Ticker.Thomson,"MAX(TR.Pricehigh)","sdate:#1 edate:#2",,INDEX(MO_SNA_FPStartDate,0,COLUMN()),INDEX(MO_Common_QEndDate,0,COLUMN())),"N/A")</f>
        <v/>
      </c>
      <c r="AQ1059" s="1888">
        <f>IFERROR(_xll.TR(MO.Ticker.Thomson,"MAX(TR.Pricehigh)","sdate:#1 edate:#2",,INDEX(MO_SNA_FPStartDate,0,COLUMN()),INDEX(MO_Common_QEndDate,0,COLUMN())),"N/A")</f>
        <v/>
      </c>
      <c r="AR1059" s="1888">
        <f>IFERROR(_xll.TR(MO.Ticker.Thomson,"MAX(TR.Pricehigh)","sdate:#1 edate:#2",,INDEX(MO_SNA_FPStartDate,0,COLUMN()),INDEX(MO_Common_QEndDate,0,COLUMN())),"N/A")</f>
        <v/>
      </c>
      <c r="AS1059" s="1888">
        <f>IFERROR(_xll.TR(MO.Ticker.Thomson,"MAX(TR.Pricehigh)","sdate:#1 edate:#2",,INDEX(MO_SNA_FPStartDate,0,COLUMN()),INDEX(MO_Common_QEndDate,0,COLUMN())),"N/A")</f>
        <v/>
      </c>
      <c r="AT1059" s="1888">
        <f>IFERROR(_xll.TR(MO.Ticker.Thomson,"MAX(TR.Pricehigh)","sdate:#1 edate:#2",,INDEX(MO_SNA_FPStartDate,0,COLUMN()),INDEX(MO_Common_QEndDate,0,COLUMN())),"N/A")</f>
        <v/>
      </c>
      <c r="AU1059" s="1888">
        <f>IFERROR(_xll.TR(MO.Ticker.Thomson,"MAX(TR.Pricehigh)","sdate:#1 edate:#2",,INDEX(MO_SNA_FPStartDate,0,COLUMN()),INDEX(MO_Common_QEndDate,0,COLUMN())),"N/A")</f>
        <v/>
      </c>
      <c r="AV1059" s="1888">
        <f>IFERROR(_xll.TR(MO.Ticker.Thomson,"MAX(TR.Pricehigh)","sdate:#1 edate:#2",,INDEX(MO_SNA_FPStartDate,0,COLUMN()),INDEX(MO_Common_QEndDate,0,COLUMN())),"N/A")</f>
        <v/>
      </c>
      <c r="AW1059" s="1888">
        <f>IFERROR(_xll.TR(MO.Ticker.Thomson,"MAX(TR.Pricehigh)","sdate:#1 edate:#2",,INDEX(MO_SNA_FPStartDate,0,COLUMN()),INDEX(MO_Common_QEndDate,0,COLUMN())),"N/A")</f>
        <v/>
      </c>
      <c r="AX1059" s="1888">
        <f>IFERROR(_xll.TR(MO.Ticker.Thomson,"MAX(TR.Pricehigh)","sdate:#1 edate:#2",,INDEX(MO_SNA_FPStartDate,0,COLUMN()),INDEX(MO_Common_QEndDate,0,COLUMN())),"N/A")</f>
        <v/>
      </c>
      <c r="AY1059" s="1888">
        <f>IFERROR(_xll.TR(MO.Ticker.Thomson,"MAX(TR.Pricehigh)","sdate:#1 edate:#2",,INDEX(MO_SNA_FPStartDate,0,COLUMN()),INDEX(MO_Common_QEndDate,0,COLUMN())),"N/A")</f>
        <v/>
      </c>
      <c r="AZ1059" s="1888">
        <f>IFERROR(_xll.TR(MO.Ticker.Thomson,"MAX(TR.Pricehigh)","sdate:#1 edate:#2",,INDEX(MO_SNA_FPStartDate,0,COLUMN()),INDEX(MO_Common_QEndDate,0,COLUMN())),"N/A")</f>
        <v/>
      </c>
      <c r="BA1059" s="1888">
        <f>IFERROR(_xll.TR(MO.Ticker.Thomson,"MAX(TR.Pricehigh)","sdate:#1 edate:#2",,INDEX(MO_SNA_FPStartDate,0,COLUMN()),INDEX(MO_Common_QEndDate,0,COLUMN())),"N/A")</f>
        <v/>
      </c>
      <c r="BB1059" s="1888">
        <f>IFERROR(_xll.TR(MO.Ticker.Thomson,"MAX(TR.Pricehigh)","sdate:#1 edate:#2",,INDEX(MO_SNA_FPStartDate,0,COLUMN()),INDEX(MO_Common_QEndDate,0,COLUMN())),"N/A")</f>
        <v/>
      </c>
      <c r="BC1059" s="1888">
        <f>IFERROR(_xll.TR(MO.Ticker.Thomson,"MAX(TR.Pricehigh)","sdate:#1 edate:#2",,INDEX(MO_SNA_FPStartDate,0,COLUMN()),INDEX(MO_Common_QEndDate,0,COLUMN())),"N/A")</f>
        <v/>
      </c>
      <c r="BD1059" s="1888">
        <f>IFERROR(_xll.TR(MO.Ticker.Thomson,"MAX(TR.Pricehigh)","sdate:#1 edate:#2",,INDEX(MO_SNA_FPStartDate,0,COLUMN()),INDEX(MO_Common_QEndDate,0,COLUMN())),"N/A")</f>
        <v/>
      </c>
      <c r="BE1059" s="1888">
        <f>IFERROR(_xll.TR(MO.Ticker.Thomson,"MAX(TR.Pricehigh)","sdate:#1 edate:#2",,INDEX(MO_SNA_FPStartDate,0,COLUMN()),INDEX(MO_Common_QEndDate,0,COLUMN())),"N/A")</f>
        <v/>
      </c>
      <c r="BF1059" s="1888">
        <f>IFERROR(_xll.TR(MO.Ticker.Thomson,"MAX(TR.Pricehigh)","sdate:#1 edate:#2",,INDEX(MO_SNA_FPStartDate,0,COLUMN()),INDEX(MO_Common_QEndDate,0,COLUMN())),"N/A")</f>
        <v/>
      </c>
      <c r="BG1059" s="1888">
        <f>IFERROR(_xll.TR(MO.Ticker.Thomson,"MAX(TR.Pricehigh)","sdate:#1 edate:#2",,INDEX(MO_SNA_FPStartDate,0,COLUMN()),INDEX(MO_Common_QEndDate,0,COLUMN())),"N/A")</f>
        <v/>
      </c>
      <c r="BH1059" s="1888">
        <f>IFERROR(_xll.TR(MO.Ticker.Thomson,"MAX(TR.Pricehigh)","sdate:#1 edate:#2",,INDEX(MO_SNA_FPStartDate,0,COLUMN()),INDEX(MO_Common_QEndDate,0,COLUMN())),"N/A")</f>
        <v/>
      </c>
      <c r="BI1059" s="1888">
        <f>IFERROR(_xll.TR(MO.Ticker.Thomson,"MAX(TR.Pricehigh)","sdate:#1 edate:#2",,INDEX(MO_SNA_FPStartDate,0,COLUMN()),INDEX(MO_Common_QEndDate,0,COLUMN())),"N/A")</f>
        <v/>
      </c>
      <c r="BJ1059" s="1888">
        <f>IFERROR(_xll.TR(MO.Ticker.Thomson,"MAX(TR.Pricehigh)","sdate:#1 edate:#2",,INDEX(MO_SNA_FPStartDate,0,COLUMN()),INDEX(MO_Common_QEndDate,0,COLUMN())),"N/A")</f>
        <v/>
      </c>
      <c r="BK1059" s="1888">
        <f>IFERROR(_xll.TR(MO.Ticker.Thomson,"MAX(TR.Pricehigh)","sdate:#1 edate:#2",,INDEX(MO_SNA_FPStartDate,0,COLUMN()),INDEX(MO_Common_QEndDate,0,COLUMN())),"N/A")</f>
        <v/>
      </c>
      <c r="BL1059" s="1888">
        <f>IFERROR(_xll.TR(MO.Ticker.Thomson,"MAX(TR.Pricehigh)","sdate:#1 edate:#2",,INDEX(MO_SNA_FPStartDate,0,COLUMN()),INDEX(MO_Common_QEndDate,0,COLUMN())),"N/A")</f>
        <v/>
      </c>
      <c r="BM1059" s="1888">
        <f>IFERROR(_xll.TR(MO.Ticker.Thomson,"MAX(TR.Pricehigh)","sdate:#1 edate:#2",,INDEX(MO_SNA_FPStartDate,0,COLUMN()),INDEX(MO_Common_QEndDate,0,COLUMN())),"N/A")</f>
        <v/>
      </c>
      <c r="BN1059" s="1888">
        <f>IFERROR(_xll.TR(MO.Ticker.Thomson,"MAX(TR.Pricehigh)","sdate:#1 edate:#2",,INDEX(MO_SNA_FPStartDate,0,COLUMN()),INDEX(MO_Common_QEndDate,0,COLUMN())),"N/A")</f>
        <v/>
      </c>
      <c r="BO1059" s="1890">
        <f>IFERROR(_xll.TR(MO.Ticker.Thomson,"MAX(TR.Pricehigh)","sdate:#1 edate:#2",,INDEX(MO_SNA_FPStartDate,0,COLUMN()),INDEX(MO_Common_QEndDate,0,COLUMN())),"N/A")</f>
        <v/>
      </c>
      <c r="BP1059" s="1888">
        <f>IFERROR(_xll.TR(MO.Ticker.Thomson,"MAX(TR.Pricehigh)","sdate:#1 edate:#2",,INDEX(MO_SNA_FPStartDate,0,COLUMN()),INDEX(MO_Common_QEndDate,0,COLUMN())),"N/A")</f>
        <v/>
      </c>
      <c r="BQ1059" s="1888">
        <f>IFERROR(_xll.TR(MO.Ticker.Thomson,"MAX(TR.Pricehigh)","sdate:#1 edate:#2",,INDEX(MO_SNA_FPStartDate,0,COLUMN()),INDEX(MO_Common_QEndDate,0,COLUMN())),"N/A")</f>
        <v/>
      </c>
      <c r="BR1059" s="1888">
        <f>IFERROR(_xll.TR(MO.Ticker.Thomson,"MAX(TR.Pricehigh)","sdate:#1 edate:#2",,INDEX(MO_SNA_FPStartDate,0,COLUMN()),INDEX(MO_Common_QEndDate,0,COLUMN())),"N/A")</f>
        <v/>
      </c>
      <c r="BS1059" s="1888">
        <f>IFERROR(_xll.TR(MO.Ticker.Thomson,"MAX(TR.Pricehigh)","sdate:#1 edate:#2",,INDEX(MO_SNA_FPStartDate,0,COLUMN()),INDEX(MO_Common_QEndDate,0,COLUMN())),"N/A")</f>
        <v/>
      </c>
      <c r="BT1059" s="1888">
        <f>IFERROR(_xll.TR(MO.Ticker.Thomson,"MAX(TR.Pricehigh)","sdate:#1 edate:#2",,INDEX(MO_SNA_FPStartDate,0,COLUMN()),INDEX(MO_Common_QEndDate,0,COLUMN())),"N/A")</f>
        <v/>
      </c>
      <c r="BU1059" s="1888">
        <f>IFERROR(_xll.TR(MO.Ticker.Thomson,"MAX(TR.Pricehigh)","sdate:#1 edate:#2",,INDEX(MO_SNA_FPStartDate,0,COLUMN()),INDEX(MO_Common_QEndDate,0,COLUMN())),"N/A")</f>
        <v/>
      </c>
      <c r="BV1059" s="1888">
        <f>IFERROR(_xll.TR(MO.Ticker.Thomson,"MAX(TR.Pricehigh)","sdate:#1 edate:#2",,INDEX(MO_SNA_FPStartDate,0,COLUMN()),INDEX(MO_Common_QEndDate,0,COLUMN())),"N/A")</f>
        <v/>
      </c>
      <c r="BW1059" s="1888">
        <f>IFERROR(_xll.TR(MO.Ticker.Thomson,"MAX(TR.Pricehigh)","sdate:#1 edate:#2",,INDEX(MO_SNA_FPStartDate,0,COLUMN()),INDEX(MO_Common_QEndDate,0,COLUMN())),"N/A")</f>
        <v/>
      </c>
      <c r="BX1059" s="1888">
        <f>IFERROR(_xll.TR(MO.Ticker.Thomson,"MAX(TR.Pricehigh)","sdate:#1 edate:#2",,INDEX(MO_SNA_FPStartDate,0,COLUMN()),INDEX(MO_Common_QEndDate,0,COLUMN())),"N/A")</f>
        <v/>
      </c>
      <c r="BY1059" s="1888">
        <f>IFERROR(_xll.TR(MO.Ticker.Thomson,"MAX(TR.Pricehigh)","sdate:#1 edate:#2",,INDEX(MO_SNA_FPStartDate,0,COLUMN()),INDEX(MO_Common_QEndDate,0,COLUMN())),"N/A")</f>
        <v/>
      </c>
      <c r="BZ1059" s="1888">
        <f>IFERROR(_xll.TR(MO.Ticker.Thomson,"MAX(TR.Pricehigh)","sdate:#1 edate:#2",,INDEX(MO_SNA_FPStartDate,0,COLUMN()),INDEX(MO_Common_QEndDate,0,COLUMN())),"N/A")</f>
        <v/>
      </c>
      <c r="CA1059" s="1888">
        <f>IFERROR(_xll.TR(MO.Ticker.Thomson,"MAX(TR.Pricehigh)","sdate:#1 edate:#2",,INDEX(MO_SNA_FPStartDate,0,COLUMN()),INDEX(MO_Common_QEndDate,0,COLUMN())),"N/A")</f>
        <v/>
      </c>
      <c r="CB1059" s="1891">
        <f>IFERROR(_xll.TR(MO.Ticker.Thomson,"MAX(TR.Pricehigh)","sdate:#1 edate:#2",,INDEX(MO_SNA_FPStartDate,0,COLUMN()),INDEX(MO_Common_QEndDate,0,COLUMN())),"N/A")</f>
        <v/>
      </c>
      <c r="CC1059" s="1892" t="n"/>
    </row>
    <row r="1060" hidden="1" outlineLevel="1" ht="14.4" customFormat="1" customHeight="1" s="1275">
      <c r="A1060" s="1897" t="n"/>
      <c r="B1060" s="1277" t="n"/>
      <c r="C1060" s="1814" t="n"/>
      <c r="D1060" s="1814" t="n"/>
      <c r="E1060" s="1277" t="n"/>
      <c r="F1060" s="1277" t="n"/>
      <c r="G1060" s="1277" t="n"/>
      <c r="H1060" s="1277" t="n"/>
      <c r="I1060" s="1277" t="n"/>
      <c r="J1060" s="1277" t="n"/>
      <c r="K1060" s="1277" t="n"/>
      <c r="L1060" s="1277" t="n"/>
      <c r="M1060" s="1277" t="n"/>
      <c r="N1060" s="1277" t="n"/>
      <c r="O1060" s="1277" t="n"/>
      <c r="P1060" s="1277" t="n"/>
      <c r="Q1060" s="1277" t="n"/>
      <c r="R1060" s="1277" t="n"/>
      <c r="S1060" s="1277" t="n"/>
      <c r="T1060" s="1277" t="n"/>
      <c r="U1060" s="1277" t="n"/>
      <c r="V1060" s="1277" t="n"/>
      <c r="W1060" s="1277" t="n"/>
      <c r="X1060" s="1277" t="n"/>
      <c r="Y1060" s="1277" t="n"/>
      <c r="Z1060" s="1277" t="n"/>
      <c r="AA1060" s="1277" t="n"/>
      <c r="AB1060" s="1277" t="n"/>
      <c r="AC1060" s="1277" t="n"/>
      <c r="AD1060" s="1277" t="n"/>
      <c r="AE1060" s="1277" t="n"/>
      <c r="AF1060" s="1277" t="n"/>
      <c r="AG1060" s="1277" t="n"/>
      <c r="AH1060" s="1277" t="n"/>
      <c r="AI1060" s="1277" t="n"/>
      <c r="AJ1060" s="1277" t="n"/>
      <c r="AK1060" s="1277" t="n"/>
      <c r="AL1060" s="1277" t="n"/>
      <c r="AM1060" s="1277" t="n"/>
      <c r="AN1060" s="1277" t="n"/>
      <c r="AO1060" s="1277" t="n"/>
      <c r="AP1060" s="1277" t="n"/>
      <c r="AQ1060" s="1277" t="n"/>
      <c r="AR1060" s="1277" t="n"/>
      <c r="AS1060" s="1277" t="n"/>
      <c r="AT1060" s="1277" t="n"/>
      <c r="AU1060" s="1277" t="n"/>
      <c r="AV1060" s="1277" t="n"/>
      <c r="AW1060" s="1277" t="n"/>
      <c r="AX1060" s="1277" t="n"/>
      <c r="AY1060" s="1277" t="n"/>
      <c r="AZ1060" s="1277" t="n"/>
      <c r="BA1060" s="1277" t="n"/>
      <c r="BB1060" s="1277" t="n"/>
      <c r="BC1060" s="1277" t="n"/>
      <c r="BD1060" s="1277" t="n"/>
      <c r="BE1060" s="1277" t="n"/>
      <c r="BF1060" s="1277" t="n"/>
      <c r="BG1060" s="1277" t="n"/>
      <c r="BH1060" s="1277" t="n"/>
      <c r="BI1060" s="1277" t="n"/>
      <c r="BJ1060" s="1277" t="n"/>
      <c r="BK1060" s="1277" t="n"/>
      <c r="BL1060" s="1277" t="n"/>
      <c r="BM1060" s="1277" t="n"/>
      <c r="BN1060" s="1277" t="n"/>
      <c r="BO1060" s="1809" t="n"/>
      <c r="BP1060" s="1277" t="n"/>
      <c r="BQ1060" s="1277" t="n"/>
      <c r="BR1060" s="1277" t="n"/>
      <c r="BS1060" s="1277" t="n"/>
      <c r="BT1060" s="1277" t="n"/>
      <c r="BU1060" s="1277" t="n"/>
      <c r="BV1060" s="1277" t="n"/>
      <c r="BW1060" s="1277" t="n"/>
      <c r="BX1060" s="1277" t="n"/>
      <c r="BY1060" s="1277" t="n"/>
      <c r="BZ1060" s="1277" t="n"/>
      <c r="CA1060" s="1277" t="n"/>
      <c r="CB1060" s="1898" t="n"/>
      <c r="CC1060" s="1858" t="n"/>
    </row>
    <row r="1061" collapsed="1" ht="14.4" customFormat="1" customHeight="1" s="1750">
      <c r="A1061" s="1887">
        <f>"Stock Low: "&amp;IF(OR(MO.RealTimeStockPriceToggle=FALSE,VLOOKUP(MO.DataSourceName,MO_SPT_StockLow_Sources,COLUMN()+2,FALSE)="N/A"),"Real-Time Off Source",MO.DataSourceName)</f>
        <v/>
      </c>
      <c r="B1061" s="1888" t="n"/>
      <c r="C1061" s="1889">
        <f>IF(OR(MO.RealTimeStockPriceToggle=FALSE,VLOOKUP(MO.DataSourceName,MO_SPT_StockLow_Sources,COLUMN(),FALSE)="N/A"),VLOOKUP("Real-Time Off Source",MO_SPT_StockLow_Sources,COLUMN(),FALSE),VLOOKUP(MO.DataSourceName,MO_SPT_StockLow_Sources,COLUMN(),FALSE))</f>
        <v/>
      </c>
      <c r="D1061" s="1889">
        <f>IF(OR(MO.RealTimeStockPriceToggle=FALSE,VLOOKUP(MO.DataSourceName,MO_SPT_StockLow_Sources,COLUMN(),FALSE)="N/A"),VLOOKUP("Real-Time Off Source",MO_SPT_StockLow_Sources,COLUMN(),FALSE),VLOOKUP(MO.DataSourceName,MO_SPT_StockLow_Sources,COLUMN(),FALSE))</f>
        <v/>
      </c>
      <c r="E1061" s="1888">
        <f>IF(OR(MO.RealTimeStockPriceToggle=FALSE,VLOOKUP(MO.DataSourceName,MO_SPT_StockLow_Sources,COLUMN(),FALSE)="N/A"),VLOOKUP("Real-Time Off Source",MO_SPT_StockLow_Sources,COLUMN(),FALSE),VLOOKUP(MO.DataSourceName,MO_SPT_StockLow_Sources,COLUMN(),FALSE))</f>
        <v/>
      </c>
      <c r="F1061" s="1888">
        <f>IF(OR(MO.RealTimeStockPriceToggle=FALSE,VLOOKUP(MO.DataSourceName,MO_SPT_StockLow_Sources,COLUMN(),FALSE)="N/A"),VLOOKUP("Real-Time Off Source",MO_SPT_StockLow_Sources,COLUMN(),FALSE),VLOOKUP(MO.DataSourceName,MO_SPT_StockLow_Sources,COLUMN(),FALSE))</f>
        <v/>
      </c>
      <c r="G1061" s="1888">
        <f>IF(OR(MO.RealTimeStockPriceToggle=FALSE,VLOOKUP(MO.DataSourceName,MO_SPT_StockLow_Sources,COLUMN(),FALSE)="N/A"),VLOOKUP("Real-Time Off Source",MO_SPT_StockLow_Sources,COLUMN(),FALSE),VLOOKUP(MO.DataSourceName,MO_SPT_StockLow_Sources,COLUMN(),FALSE))</f>
        <v/>
      </c>
      <c r="H1061" s="1888">
        <f>IF(OR(MO.RealTimeStockPriceToggle=FALSE,VLOOKUP(MO.DataSourceName,MO_SPT_StockLow_Sources,COLUMN(),FALSE)="N/A"),VLOOKUP("Real-Time Off Source",MO_SPT_StockLow_Sources,COLUMN(),FALSE),VLOOKUP(MO.DataSourceName,MO_SPT_StockLow_Sources,COLUMN(),FALSE))</f>
        <v/>
      </c>
      <c r="I1061" s="1888">
        <f>IF(OR(MO.RealTimeStockPriceToggle=FALSE,VLOOKUP(MO.DataSourceName,MO_SPT_StockLow_Sources,COLUMN(),FALSE)="N/A"),VLOOKUP("Real-Time Off Source",MO_SPT_StockLow_Sources,COLUMN(),FALSE),VLOOKUP(MO.DataSourceName,MO_SPT_StockLow_Sources,COLUMN(),FALSE))</f>
        <v/>
      </c>
      <c r="J1061" s="1888">
        <f>IF(OR(MO.RealTimeStockPriceToggle=FALSE,VLOOKUP(MO.DataSourceName,MO_SPT_StockLow_Sources,COLUMN(),FALSE)="N/A"),VLOOKUP("Real-Time Off Source",MO_SPT_StockLow_Sources,COLUMN(),FALSE),VLOOKUP(MO.DataSourceName,MO_SPT_StockLow_Sources,COLUMN(),FALSE))</f>
        <v/>
      </c>
      <c r="K1061" s="1888">
        <f>IF(OR(MO.RealTimeStockPriceToggle=FALSE,VLOOKUP(MO.DataSourceName,MO_SPT_StockLow_Sources,COLUMN(),FALSE)="N/A"),VLOOKUP("Real-Time Off Source",MO_SPT_StockLow_Sources,COLUMN(),FALSE),VLOOKUP(MO.DataSourceName,MO_SPT_StockLow_Sources,COLUMN(),FALSE))</f>
        <v/>
      </c>
      <c r="L1061" s="1888">
        <f>IF(OR(MO.RealTimeStockPriceToggle=FALSE,VLOOKUP(MO.DataSourceName,MO_SPT_StockLow_Sources,COLUMN(),FALSE)="N/A"),VLOOKUP("Real-Time Off Source",MO_SPT_StockLow_Sources,COLUMN(),FALSE),VLOOKUP(MO.DataSourceName,MO_SPT_StockLow_Sources,COLUMN(),FALSE))</f>
        <v/>
      </c>
      <c r="M1061" s="1888">
        <f>IF(OR(MO.RealTimeStockPriceToggle=FALSE,VLOOKUP(MO.DataSourceName,MO_SPT_StockLow_Sources,COLUMN(),FALSE)="N/A"),VLOOKUP("Real-Time Off Source",MO_SPT_StockLow_Sources,COLUMN(),FALSE),VLOOKUP(MO.DataSourceName,MO_SPT_StockLow_Sources,COLUMN(),FALSE))</f>
        <v/>
      </c>
      <c r="N1061" s="1888">
        <f>IF(OR(MO.RealTimeStockPriceToggle=FALSE,VLOOKUP(MO.DataSourceName,MO_SPT_StockLow_Sources,COLUMN(),FALSE)="N/A"),VLOOKUP("Real-Time Off Source",MO_SPT_StockLow_Sources,COLUMN(),FALSE),VLOOKUP(MO.DataSourceName,MO_SPT_StockLow_Sources,COLUMN(),FALSE))</f>
        <v/>
      </c>
      <c r="O1061" s="1888">
        <f>IF(OR(MO.RealTimeStockPriceToggle=FALSE,VLOOKUP(MO.DataSourceName,MO_SPT_StockLow_Sources,COLUMN(),FALSE)="N/A"),VLOOKUP("Real-Time Off Source",MO_SPT_StockLow_Sources,COLUMN(),FALSE),VLOOKUP(MO.DataSourceName,MO_SPT_StockLow_Sources,COLUMN(),FALSE))</f>
        <v/>
      </c>
      <c r="P1061" s="1888">
        <f>IF(OR(MO.RealTimeStockPriceToggle=FALSE,VLOOKUP(MO.DataSourceName,MO_SPT_StockLow_Sources,COLUMN(),FALSE)="N/A"),VLOOKUP("Real-Time Off Source",MO_SPT_StockLow_Sources,COLUMN(),FALSE),VLOOKUP(MO.DataSourceName,MO_SPT_StockLow_Sources,COLUMN(),FALSE))</f>
        <v/>
      </c>
      <c r="Q1061" s="1888">
        <f>IF(OR(MO.RealTimeStockPriceToggle=FALSE,VLOOKUP(MO.DataSourceName,MO_SPT_StockLow_Sources,COLUMN(),FALSE)="N/A"),VLOOKUP("Real-Time Off Source",MO_SPT_StockLow_Sources,COLUMN(),FALSE),VLOOKUP(MO.DataSourceName,MO_SPT_StockLow_Sources,COLUMN(),FALSE))</f>
        <v/>
      </c>
      <c r="R1061" s="1888">
        <f>IF(OR(MO.RealTimeStockPriceToggle=FALSE,VLOOKUP(MO.DataSourceName,MO_SPT_StockLow_Sources,COLUMN(),FALSE)="N/A"),VLOOKUP("Real-Time Off Source",MO_SPT_StockLow_Sources,COLUMN(),FALSE),VLOOKUP(MO.DataSourceName,MO_SPT_StockLow_Sources,COLUMN(),FALSE))</f>
        <v/>
      </c>
      <c r="S1061" s="1888">
        <f>IF(OR(MO.RealTimeStockPriceToggle=FALSE,VLOOKUP(MO.DataSourceName,MO_SPT_StockLow_Sources,COLUMN(),FALSE)="N/A"),VLOOKUP("Real-Time Off Source",MO_SPT_StockLow_Sources,COLUMN(),FALSE),VLOOKUP(MO.DataSourceName,MO_SPT_StockLow_Sources,COLUMN(),FALSE))</f>
        <v/>
      </c>
      <c r="T1061" s="1888">
        <f>IF(OR(MO.RealTimeStockPriceToggle=FALSE,VLOOKUP(MO.DataSourceName,MO_SPT_StockLow_Sources,COLUMN(),FALSE)="N/A"),VLOOKUP("Real-Time Off Source",MO_SPT_StockLow_Sources,COLUMN(),FALSE),VLOOKUP(MO.DataSourceName,MO_SPT_StockLow_Sources,COLUMN(),FALSE))</f>
        <v/>
      </c>
      <c r="U1061" s="1888">
        <f>IF(OR(MO.RealTimeStockPriceToggle=FALSE,VLOOKUP(MO.DataSourceName,MO_SPT_StockLow_Sources,COLUMN(),FALSE)="N/A"),VLOOKUP("Real-Time Off Source",MO_SPT_StockLow_Sources,COLUMN(),FALSE),VLOOKUP(MO.DataSourceName,MO_SPT_StockLow_Sources,COLUMN(),FALSE))</f>
        <v/>
      </c>
      <c r="V1061" s="1888">
        <f>IF(OR(MO.RealTimeStockPriceToggle=FALSE,VLOOKUP(MO.DataSourceName,MO_SPT_StockLow_Sources,COLUMN(),FALSE)="N/A"),VLOOKUP("Real-Time Off Source",MO_SPT_StockLow_Sources,COLUMN(),FALSE),VLOOKUP(MO.DataSourceName,MO_SPT_StockLow_Sources,COLUMN(),FALSE))</f>
        <v/>
      </c>
      <c r="W1061" s="1888">
        <f>IF(OR(MO.RealTimeStockPriceToggle=FALSE,VLOOKUP(MO.DataSourceName,MO_SPT_StockLow_Sources,COLUMN(),FALSE)="N/A"),VLOOKUP("Real-Time Off Source",MO_SPT_StockLow_Sources,COLUMN(),FALSE),VLOOKUP(MO.DataSourceName,MO_SPT_StockLow_Sources,COLUMN(),FALSE))</f>
        <v/>
      </c>
      <c r="X1061" s="1888">
        <f>IF(OR(MO.RealTimeStockPriceToggle=FALSE,VLOOKUP(MO.DataSourceName,MO_SPT_StockLow_Sources,COLUMN(),FALSE)="N/A"),VLOOKUP("Real-Time Off Source",MO_SPT_StockLow_Sources,COLUMN(),FALSE),VLOOKUP(MO.DataSourceName,MO_SPT_StockLow_Sources,COLUMN(),FALSE))</f>
        <v/>
      </c>
      <c r="Y1061" s="1888">
        <f>IF(OR(MO.RealTimeStockPriceToggle=FALSE,VLOOKUP(MO.DataSourceName,MO_SPT_StockLow_Sources,COLUMN(),FALSE)="N/A"),VLOOKUP("Real-Time Off Source",MO_SPT_StockLow_Sources,COLUMN(),FALSE),VLOOKUP(MO.DataSourceName,MO_SPT_StockLow_Sources,COLUMN(),FALSE))</f>
        <v/>
      </c>
      <c r="Z1061" s="1888">
        <f>IF(OR(MO.RealTimeStockPriceToggle=FALSE,VLOOKUP(MO.DataSourceName,MO_SPT_StockLow_Sources,COLUMN(),FALSE)="N/A"),VLOOKUP("Real-Time Off Source",MO_SPT_StockLow_Sources,COLUMN(),FALSE),VLOOKUP(MO.DataSourceName,MO_SPT_StockLow_Sources,COLUMN(),FALSE))</f>
        <v/>
      </c>
      <c r="AA1061" s="1888">
        <f>IF(OR(MO.RealTimeStockPriceToggle=FALSE,VLOOKUP(MO.DataSourceName,MO_SPT_StockLow_Sources,COLUMN(),FALSE)="N/A"),VLOOKUP("Real-Time Off Source",MO_SPT_StockLow_Sources,COLUMN(),FALSE),VLOOKUP(MO.DataSourceName,MO_SPT_StockLow_Sources,COLUMN(),FALSE))</f>
        <v/>
      </c>
      <c r="AB1061" s="1888">
        <f>IF(OR(MO.RealTimeStockPriceToggle=FALSE,VLOOKUP(MO.DataSourceName,MO_SPT_StockLow_Sources,COLUMN(),FALSE)="N/A"),VLOOKUP("Real-Time Off Source",MO_SPT_StockLow_Sources,COLUMN(),FALSE),VLOOKUP(MO.DataSourceName,MO_SPT_StockLow_Sources,COLUMN(),FALSE))</f>
        <v/>
      </c>
      <c r="AC1061" s="1888">
        <f>IF(OR(MO.RealTimeStockPriceToggle=FALSE,VLOOKUP(MO.DataSourceName,MO_SPT_StockLow_Sources,COLUMN(),FALSE)="N/A"),VLOOKUP("Real-Time Off Source",MO_SPT_StockLow_Sources,COLUMN(),FALSE),VLOOKUP(MO.DataSourceName,MO_SPT_StockLow_Sources,COLUMN(),FALSE))</f>
        <v/>
      </c>
      <c r="AD1061" s="1888">
        <f>IF(OR(MO.RealTimeStockPriceToggle=FALSE,VLOOKUP(MO.DataSourceName,MO_SPT_StockLow_Sources,COLUMN(),FALSE)="N/A"),VLOOKUP("Real-Time Off Source",MO_SPT_StockLow_Sources,COLUMN(),FALSE),VLOOKUP(MO.DataSourceName,MO_SPT_StockLow_Sources,COLUMN(),FALSE))</f>
        <v/>
      </c>
      <c r="AE1061" s="1888">
        <f>IF(OR(MO.RealTimeStockPriceToggle=FALSE,VLOOKUP(MO.DataSourceName,MO_SPT_StockLow_Sources,COLUMN(),FALSE)="N/A"),VLOOKUP("Real-Time Off Source",MO_SPT_StockLow_Sources,COLUMN(),FALSE),VLOOKUP(MO.DataSourceName,MO_SPT_StockLow_Sources,COLUMN(),FALSE))</f>
        <v/>
      </c>
      <c r="AF1061" s="1888">
        <f>IF(OR(MO.RealTimeStockPriceToggle=FALSE,VLOOKUP(MO.DataSourceName,MO_SPT_StockLow_Sources,COLUMN(),FALSE)="N/A"),VLOOKUP("Real-Time Off Source",MO_SPT_StockLow_Sources,COLUMN(),FALSE),VLOOKUP(MO.DataSourceName,MO_SPT_StockLow_Sources,COLUMN(),FALSE))</f>
        <v/>
      </c>
      <c r="AG1061" s="1888">
        <f>IF(OR(MO.RealTimeStockPriceToggle=FALSE,VLOOKUP(MO.DataSourceName,MO_SPT_StockLow_Sources,COLUMN(),FALSE)="N/A"),VLOOKUP("Real-Time Off Source",MO_SPT_StockLow_Sources,COLUMN(),FALSE),VLOOKUP(MO.DataSourceName,MO_SPT_StockLow_Sources,COLUMN(),FALSE))</f>
        <v/>
      </c>
      <c r="AH1061" s="1888">
        <f>IF(OR(MO.RealTimeStockPriceToggle=FALSE,VLOOKUP(MO.DataSourceName,MO_SPT_StockLow_Sources,COLUMN(),FALSE)="N/A"),VLOOKUP("Real-Time Off Source",MO_SPT_StockLow_Sources,COLUMN(),FALSE),VLOOKUP(MO.DataSourceName,MO_SPT_StockLow_Sources,COLUMN(),FALSE))</f>
        <v/>
      </c>
      <c r="AI1061" s="1888">
        <f>IF(OR(MO.RealTimeStockPriceToggle=FALSE,VLOOKUP(MO.DataSourceName,MO_SPT_StockLow_Sources,COLUMN(),FALSE)="N/A"),VLOOKUP("Real-Time Off Source",MO_SPT_StockLow_Sources,COLUMN(),FALSE),VLOOKUP(MO.DataSourceName,MO_SPT_StockLow_Sources,COLUMN(),FALSE))</f>
        <v/>
      </c>
      <c r="AJ1061" s="1888">
        <f>IF(OR(MO.RealTimeStockPriceToggle=FALSE,VLOOKUP(MO.DataSourceName,MO_SPT_StockLow_Sources,COLUMN(),FALSE)="N/A"),VLOOKUP("Real-Time Off Source",MO_SPT_StockLow_Sources,COLUMN(),FALSE),VLOOKUP(MO.DataSourceName,MO_SPT_StockLow_Sources,COLUMN(),FALSE))</f>
        <v/>
      </c>
      <c r="AK1061" s="1888">
        <f>IF(OR(MO.RealTimeStockPriceToggle=FALSE,VLOOKUP(MO.DataSourceName,MO_SPT_StockLow_Sources,COLUMN(),FALSE)="N/A"),VLOOKUP("Real-Time Off Source",MO_SPT_StockLow_Sources,COLUMN(),FALSE),VLOOKUP(MO.DataSourceName,MO_SPT_StockLow_Sources,COLUMN(),FALSE))</f>
        <v/>
      </c>
      <c r="AL1061" s="1888">
        <f>IF(OR(MO.RealTimeStockPriceToggle=FALSE,VLOOKUP(MO.DataSourceName,MO_SPT_StockLow_Sources,COLUMN(),FALSE)="N/A"),VLOOKUP("Real-Time Off Source",MO_SPT_StockLow_Sources,COLUMN(),FALSE),VLOOKUP(MO.DataSourceName,MO_SPT_StockLow_Sources,COLUMN(),FALSE))</f>
        <v/>
      </c>
      <c r="AM1061" s="1888">
        <f>IF(OR(MO.RealTimeStockPriceToggle=FALSE,VLOOKUP(MO.DataSourceName,MO_SPT_StockLow_Sources,COLUMN(),FALSE)="N/A"),VLOOKUP("Real-Time Off Source",MO_SPT_StockLow_Sources,COLUMN(),FALSE),VLOOKUP(MO.DataSourceName,MO_SPT_StockLow_Sources,COLUMN(),FALSE))</f>
        <v/>
      </c>
      <c r="AN1061" s="1888">
        <f>IF(OR(MO.RealTimeStockPriceToggle=FALSE,VLOOKUP(MO.DataSourceName,MO_SPT_StockLow_Sources,COLUMN(),FALSE)="N/A"),VLOOKUP("Real-Time Off Source",MO_SPT_StockLow_Sources,COLUMN(),FALSE),VLOOKUP(MO.DataSourceName,MO_SPT_StockLow_Sources,COLUMN(),FALSE))</f>
        <v/>
      </c>
      <c r="AO1061" s="1888">
        <f>IF(OR(MO.RealTimeStockPriceToggle=FALSE,VLOOKUP(MO.DataSourceName,MO_SPT_StockLow_Sources,COLUMN(),FALSE)="N/A"),VLOOKUP("Real-Time Off Source",MO_SPT_StockLow_Sources,COLUMN(),FALSE),VLOOKUP(MO.DataSourceName,MO_SPT_StockLow_Sources,COLUMN(),FALSE))</f>
        <v/>
      </c>
      <c r="AP1061" s="1888">
        <f>IF(OR(MO.RealTimeStockPriceToggle=FALSE,VLOOKUP(MO.DataSourceName,MO_SPT_StockLow_Sources,COLUMN(),FALSE)="N/A"),VLOOKUP("Real-Time Off Source",MO_SPT_StockLow_Sources,COLUMN(),FALSE),VLOOKUP(MO.DataSourceName,MO_SPT_StockLow_Sources,COLUMN(),FALSE))</f>
        <v/>
      </c>
      <c r="AQ1061" s="1888">
        <f>IF(OR(MO.RealTimeStockPriceToggle=FALSE,VLOOKUP(MO.DataSourceName,MO_SPT_StockLow_Sources,COLUMN(),FALSE)="N/A"),VLOOKUP("Real-Time Off Source",MO_SPT_StockLow_Sources,COLUMN(),FALSE),VLOOKUP(MO.DataSourceName,MO_SPT_StockLow_Sources,COLUMN(),FALSE))</f>
        <v/>
      </c>
      <c r="AR1061" s="1888">
        <f>IF(OR(MO.RealTimeStockPriceToggle=FALSE,VLOOKUP(MO.DataSourceName,MO_SPT_StockLow_Sources,COLUMN(),FALSE)="N/A"),VLOOKUP("Real-Time Off Source",MO_SPT_StockLow_Sources,COLUMN(),FALSE),VLOOKUP(MO.DataSourceName,MO_SPT_StockLow_Sources,COLUMN(),FALSE))</f>
        <v/>
      </c>
      <c r="AS1061" s="1888">
        <f>IF(OR(MO.RealTimeStockPriceToggle=FALSE,VLOOKUP(MO.DataSourceName,MO_SPT_StockLow_Sources,COLUMN(),FALSE)="N/A"),VLOOKUP("Real-Time Off Source",MO_SPT_StockLow_Sources,COLUMN(),FALSE),VLOOKUP(MO.DataSourceName,MO_SPT_StockLow_Sources,COLUMN(),FALSE))</f>
        <v/>
      </c>
      <c r="AT1061" s="1888">
        <f>IF(OR(MO.RealTimeStockPriceToggle=FALSE,VLOOKUP(MO.DataSourceName,MO_SPT_StockLow_Sources,COLUMN(),FALSE)="N/A"),VLOOKUP("Real-Time Off Source",MO_SPT_StockLow_Sources,COLUMN(),FALSE),VLOOKUP(MO.DataSourceName,MO_SPT_StockLow_Sources,COLUMN(),FALSE))</f>
        <v/>
      </c>
      <c r="AU1061" s="1888">
        <f>IF(OR(MO.RealTimeStockPriceToggle=FALSE,VLOOKUP(MO.DataSourceName,MO_SPT_StockLow_Sources,COLUMN(),FALSE)="N/A"),VLOOKUP("Real-Time Off Source",MO_SPT_StockLow_Sources,COLUMN(),FALSE),VLOOKUP(MO.DataSourceName,MO_SPT_StockLow_Sources,COLUMN(),FALSE))</f>
        <v/>
      </c>
      <c r="AV1061" s="1888">
        <f>IF(OR(MO.RealTimeStockPriceToggle=FALSE,VLOOKUP(MO.DataSourceName,MO_SPT_StockLow_Sources,COLUMN(),FALSE)="N/A"),VLOOKUP("Real-Time Off Source",MO_SPT_StockLow_Sources,COLUMN(),FALSE),VLOOKUP(MO.DataSourceName,MO_SPT_StockLow_Sources,COLUMN(),FALSE))</f>
        <v/>
      </c>
      <c r="AW1061" s="1888">
        <f>IF(OR(MO.RealTimeStockPriceToggle=FALSE,VLOOKUP(MO.DataSourceName,MO_SPT_StockLow_Sources,COLUMN(),FALSE)="N/A"),VLOOKUP("Real-Time Off Source",MO_SPT_StockLow_Sources,COLUMN(),FALSE),VLOOKUP(MO.DataSourceName,MO_SPT_StockLow_Sources,COLUMN(),FALSE))</f>
        <v/>
      </c>
      <c r="AX1061" s="1888">
        <f>IF(OR(MO.RealTimeStockPriceToggle=FALSE,VLOOKUP(MO.DataSourceName,MO_SPT_StockLow_Sources,COLUMN(),FALSE)="N/A"),VLOOKUP("Real-Time Off Source",MO_SPT_StockLow_Sources,COLUMN(),FALSE),VLOOKUP(MO.DataSourceName,MO_SPT_StockLow_Sources,COLUMN(),FALSE))</f>
        <v/>
      </c>
      <c r="AY1061" s="1888">
        <f>IF(OR(MO.RealTimeStockPriceToggle=FALSE,VLOOKUP(MO.DataSourceName,MO_SPT_StockLow_Sources,COLUMN(),FALSE)="N/A"),VLOOKUP("Real-Time Off Source",MO_SPT_StockLow_Sources,COLUMN(),FALSE),VLOOKUP(MO.DataSourceName,MO_SPT_StockLow_Sources,COLUMN(),FALSE))</f>
        <v/>
      </c>
      <c r="AZ1061" s="1888">
        <f>IF(OR(MO.RealTimeStockPriceToggle=FALSE,VLOOKUP(MO.DataSourceName,MO_SPT_StockLow_Sources,COLUMN(),FALSE)="N/A"),VLOOKUP("Real-Time Off Source",MO_SPT_StockLow_Sources,COLUMN(),FALSE),VLOOKUP(MO.DataSourceName,MO_SPT_StockLow_Sources,COLUMN(),FALSE))</f>
        <v/>
      </c>
      <c r="BA1061" s="1888">
        <f>IF(OR(MO.RealTimeStockPriceToggle=FALSE,VLOOKUP(MO.DataSourceName,MO_SPT_StockLow_Sources,COLUMN(),FALSE)="N/A"),VLOOKUP("Real-Time Off Source",MO_SPT_StockLow_Sources,COLUMN(),FALSE),VLOOKUP(MO.DataSourceName,MO_SPT_StockLow_Sources,COLUMN(),FALSE))</f>
        <v/>
      </c>
      <c r="BB1061" s="1888">
        <f>IF(OR(MO.RealTimeStockPriceToggle=FALSE,VLOOKUP(MO.DataSourceName,MO_SPT_StockLow_Sources,COLUMN(),FALSE)="N/A"),VLOOKUP("Real-Time Off Source",MO_SPT_StockLow_Sources,COLUMN(),FALSE),VLOOKUP(MO.DataSourceName,MO_SPT_StockLow_Sources,COLUMN(),FALSE))</f>
        <v/>
      </c>
      <c r="BC1061" s="1888">
        <f>IF(OR(MO.RealTimeStockPriceToggle=FALSE,VLOOKUP(MO.DataSourceName,MO_SPT_StockLow_Sources,COLUMN(),FALSE)="N/A"),VLOOKUP("Real-Time Off Source",MO_SPT_StockLow_Sources,COLUMN(),FALSE),VLOOKUP(MO.DataSourceName,MO_SPT_StockLow_Sources,COLUMN(),FALSE))</f>
        <v/>
      </c>
      <c r="BD1061" s="1888">
        <f>IF(OR(MO.RealTimeStockPriceToggle=FALSE,VLOOKUP(MO.DataSourceName,MO_SPT_StockLow_Sources,COLUMN(),FALSE)="N/A"),VLOOKUP("Real-Time Off Source",MO_SPT_StockLow_Sources,COLUMN(),FALSE),VLOOKUP(MO.DataSourceName,MO_SPT_StockLow_Sources,COLUMN(),FALSE))</f>
        <v/>
      </c>
      <c r="BE1061" s="1888">
        <f>IF(OR(MO.RealTimeStockPriceToggle=FALSE,VLOOKUP(MO.DataSourceName,MO_SPT_StockLow_Sources,COLUMN(),FALSE)="N/A"),VLOOKUP("Real-Time Off Source",MO_SPT_StockLow_Sources,COLUMN(),FALSE),VLOOKUP(MO.DataSourceName,MO_SPT_StockLow_Sources,COLUMN(),FALSE))</f>
        <v/>
      </c>
      <c r="BF1061" s="1888">
        <f>IF(OR(MO.RealTimeStockPriceToggle=FALSE,VLOOKUP(MO.DataSourceName,MO_SPT_StockLow_Sources,COLUMN(),FALSE)="N/A"),VLOOKUP("Real-Time Off Source",MO_SPT_StockLow_Sources,COLUMN(),FALSE),VLOOKUP(MO.DataSourceName,MO_SPT_StockLow_Sources,COLUMN(),FALSE))</f>
        <v/>
      </c>
      <c r="BG1061" s="1888">
        <f>IF(OR(MO.RealTimeStockPriceToggle=FALSE,VLOOKUP(MO.DataSourceName,MO_SPT_StockLow_Sources,COLUMN(),FALSE)="N/A"),VLOOKUP("Real-Time Off Source",MO_SPT_StockLow_Sources,COLUMN(),FALSE),VLOOKUP(MO.DataSourceName,MO_SPT_StockLow_Sources,COLUMN(),FALSE))</f>
        <v/>
      </c>
      <c r="BH1061" s="1888">
        <f>IF(OR(MO.RealTimeStockPriceToggle=FALSE,VLOOKUP(MO.DataSourceName,MO_SPT_StockLow_Sources,COLUMN(),FALSE)="N/A"),VLOOKUP("Real-Time Off Source",MO_SPT_StockLow_Sources,COLUMN(),FALSE),VLOOKUP(MO.DataSourceName,MO_SPT_StockLow_Sources,COLUMN(),FALSE))</f>
        <v/>
      </c>
      <c r="BI1061" s="1888">
        <f>IF(OR(MO.RealTimeStockPriceToggle=FALSE,VLOOKUP(MO.DataSourceName,MO_SPT_StockLow_Sources,COLUMN(),FALSE)="N/A"),VLOOKUP("Real-Time Off Source",MO_SPT_StockLow_Sources,COLUMN(),FALSE),VLOOKUP(MO.DataSourceName,MO_SPT_StockLow_Sources,COLUMN(),FALSE))</f>
        <v/>
      </c>
      <c r="BJ1061" s="1888">
        <f>IF(OR(MO.RealTimeStockPriceToggle=FALSE,VLOOKUP(MO.DataSourceName,MO_SPT_StockLow_Sources,COLUMN(),FALSE)="N/A"),VLOOKUP("Real-Time Off Source",MO_SPT_StockLow_Sources,COLUMN(),FALSE),VLOOKUP(MO.DataSourceName,MO_SPT_StockLow_Sources,COLUMN(),FALSE))</f>
        <v/>
      </c>
      <c r="BK1061" s="1888">
        <f>IF(OR(MO.RealTimeStockPriceToggle=FALSE,VLOOKUP(MO.DataSourceName,MO_SPT_StockLow_Sources,COLUMN(),FALSE)="N/A"),VLOOKUP("Real-Time Off Source",MO_SPT_StockLow_Sources,COLUMN(),FALSE),VLOOKUP(MO.DataSourceName,MO_SPT_StockLow_Sources,COLUMN(),FALSE))</f>
        <v/>
      </c>
      <c r="BL1061" s="1888">
        <f>IF(OR(MO.RealTimeStockPriceToggle=FALSE,VLOOKUP(MO.DataSourceName,MO_SPT_StockLow_Sources,COLUMN(),FALSE)="N/A"),VLOOKUP("Real-Time Off Source",MO_SPT_StockLow_Sources,COLUMN(),FALSE),VLOOKUP(MO.DataSourceName,MO_SPT_StockLow_Sources,COLUMN(),FALSE))</f>
        <v/>
      </c>
      <c r="BM1061" s="1888">
        <f>IF(OR(MO.RealTimeStockPriceToggle=FALSE,VLOOKUP(MO.DataSourceName,MO_SPT_StockLow_Sources,COLUMN(),FALSE)="N/A"),VLOOKUP("Real-Time Off Source",MO_SPT_StockLow_Sources,COLUMN(),FALSE),VLOOKUP(MO.DataSourceName,MO_SPT_StockLow_Sources,COLUMN(),FALSE))</f>
        <v/>
      </c>
      <c r="BN1061" s="1888">
        <f>IF(OR(MO.RealTimeStockPriceToggle=FALSE,VLOOKUP(MO.DataSourceName,MO_SPT_StockLow_Sources,COLUMN(),FALSE)="N/A"),VLOOKUP("Real-Time Off Source",MO_SPT_StockLow_Sources,COLUMN(),FALSE),VLOOKUP(MO.DataSourceName,MO_SPT_StockLow_Sources,COLUMN(),FALSE))</f>
        <v/>
      </c>
      <c r="BO1061" s="1890">
        <f>IF(OR(MO.RealTimeStockPriceToggle=FALSE,VLOOKUP(MO.DataSourceName,MO_SPT_StockLow_Sources,COLUMN(),FALSE)="N/A"),VLOOKUP("Real-Time Off Source",MO_SPT_StockLow_Sources,COLUMN(),FALSE),VLOOKUP(MO.DataSourceName,MO_SPT_StockLow_Sources,COLUMN(),FALSE))</f>
        <v/>
      </c>
      <c r="BP1061" s="1888">
        <f>IF(OR(MO.RealTimeStockPriceToggle=FALSE,VLOOKUP(MO.DataSourceName,MO_SPT_StockLow_Sources,COLUMN(),FALSE)="N/A"),VLOOKUP("Real-Time Off Source",MO_SPT_StockLow_Sources,COLUMN(),FALSE),VLOOKUP(MO.DataSourceName,MO_SPT_StockLow_Sources,COLUMN(),FALSE))</f>
        <v/>
      </c>
      <c r="BQ1061" s="1888">
        <f>IF(OR(MO.RealTimeStockPriceToggle=FALSE,VLOOKUP(MO.DataSourceName,MO_SPT_StockLow_Sources,COLUMN(),FALSE)="N/A"),VLOOKUP("Real-Time Off Source",MO_SPT_StockLow_Sources,COLUMN(),FALSE),VLOOKUP(MO.DataSourceName,MO_SPT_StockLow_Sources,COLUMN(),FALSE))</f>
        <v/>
      </c>
      <c r="BR1061" s="1888">
        <f>IF(OR(MO.RealTimeStockPriceToggle=FALSE,VLOOKUP(MO.DataSourceName,MO_SPT_StockLow_Sources,COLUMN(),FALSE)="N/A"),VLOOKUP("Real-Time Off Source",MO_SPT_StockLow_Sources,COLUMN(),FALSE),VLOOKUP(MO.DataSourceName,MO_SPT_StockLow_Sources,COLUMN(),FALSE))</f>
        <v/>
      </c>
      <c r="BS1061" s="1888">
        <f>IF(OR(MO.RealTimeStockPriceToggle=FALSE,VLOOKUP(MO.DataSourceName,MO_SPT_StockLow_Sources,COLUMN(),FALSE)="N/A"),VLOOKUP("Real-Time Off Source",MO_SPT_StockLow_Sources,COLUMN(),FALSE),VLOOKUP(MO.DataSourceName,MO_SPT_StockLow_Sources,COLUMN(),FALSE))</f>
        <v/>
      </c>
      <c r="BT1061" s="1888">
        <f>IF(OR(MO.RealTimeStockPriceToggle=FALSE,VLOOKUP(MO.DataSourceName,MO_SPT_StockLow_Sources,COLUMN(),FALSE)="N/A"),VLOOKUP("Real-Time Off Source",MO_SPT_StockLow_Sources,COLUMN(),FALSE),VLOOKUP(MO.DataSourceName,MO_SPT_StockLow_Sources,COLUMN(),FALSE))</f>
        <v/>
      </c>
      <c r="BU1061" s="1888">
        <f>IF(OR(MO.RealTimeStockPriceToggle=FALSE,VLOOKUP(MO.DataSourceName,MO_SPT_StockLow_Sources,COLUMN(),FALSE)="N/A"),VLOOKUP("Real-Time Off Source",MO_SPT_StockLow_Sources,COLUMN(),FALSE),VLOOKUP(MO.DataSourceName,MO_SPT_StockLow_Sources,COLUMN(),FALSE))</f>
        <v/>
      </c>
      <c r="BV1061" s="1888">
        <f>IF(OR(MO.RealTimeStockPriceToggle=FALSE,VLOOKUP(MO.DataSourceName,MO_SPT_StockLow_Sources,COLUMN(),FALSE)="N/A"),VLOOKUP("Real-Time Off Source",MO_SPT_StockLow_Sources,COLUMN(),FALSE),VLOOKUP(MO.DataSourceName,MO_SPT_StockLow_Sources,COLUMN(),FALSE))</f>
        <v/>
      </c>
      <c r="BW1061" s="1888">
        <f>IF(OR(MO.RealTimeStockPriceToggle=FALSE,VLOOKUP(MO.DataSourceName,MO_SPT_StockLow_Sources,COLUMN(),FALSE)="N/A"),VLOOKUP("Real-Time Off Source",MO_SPT_StockLow_Sources,COLUMN(),FALSE),VLOOKUP(MO.DataSourceName,MO_SPT_StockLow_Sources,COLUMN(),FALSE))</f>
        <v/>
      </c>
      <c r="BX1061" s="1888">
        <f>IF(OR(MO.RealTimeStockPriceToggle=FALSE,VLOOKUP(MO.DataSourceName,MO_SPT_StockLow_Sources,COLUMN(),FALSE)="N/A"),VLOOKUP("Real-Time Off Source",MO_SPT_StockLow_Sources,COLUMN(),FALSE),VLOOKUP(MO.DataSourceName,MO_SPT_StockLow_Sources,COLUMN(),FALSE))</f>
        <v/>
      </c>
      <c r="BY1061" s="1888">
        <f>IF(OR(MO.RealTimeStockPriceToggle=FALSE,VLOOKUP(MO.DataSourceName,MO_SPT_StockLow_Sources,COLUMN(),FALSE)="N/A"),VLOOKUP("Real-Time Off Source",MO_SPT_StockLow_Sources,COLUMN(),FALSE),VLOOKUP(MO.DataSourceName,MO_SPT_StockLow_Sources,COLUMN(),FALSE))</f>
        <v/>
      </c>
      <c r="BZ1061" s="1888">
        <f>IF(OR(MO.RealTimeStockPriceToggle=FALSE,VLOOKUP(MO.DataSourceName,MO_SPT_StockLow_Sources,COLUMN(),FALSE)="N/A"),VLOOKUP("Real-Time Off Source",MO_SPT_StockLow_Sources,COLUMN(),FALSE),VLOOKUP(MO.DataSourceName,MO_SPT_StockLow_Sources,COLUMN(),FALSE))</f>
        <v/>
      </c>
      <c r="CA1061" s="1888">
        <f>IF(OR(MO.RealTimeStockPriceToggle=FALSE,VLOOKUP(MO.DataSourceName,MO_SPT_StockLow_Sources,COLUMN(),FALSE)="N/A"),VLOOKUP("Real-Time Off Source",MO_SPT_StockLow_Sources,COLUMN(),FALSE),VLOOKUP(MO.DataSourceName,MO_SPT_StockLow_Sources,COLUMN(),FALSE))</f>
        <v/>
      </c>
      <c r="CB1061" s="1891">
        <f>IF(OR(MO.RealTimeStockPriceToggle=FALSE,VLOOKUP(MO.DataSourceName,MO_SPT_StockLow_Sources,COLUMN(),FALSE)="N/A"),VLOOKUP("Real-Time Off Source",MO_SPT_StockLow_Sources,COLUMN(),FALSE),VLOOKUP(MO.DataSourceName,MO_SPT_StockLow_Sources,COLUMN(),FALSE))</f>
        <v/>
      </c>
      <c r="CC1061" s="1892" t="n"/>
    </row>
    <row r="1062" hidden="1" outlineLevel="1" ht="14.4" customFormat="1" customHeight="1" s="1750">
      <c r="A1062" s="1893" t="inlineStr">
        <is>
          <t>Real-Time Off Source</t>
        </is>
      </c>
      <c r="B1062" s="1888" t="n"/>
      <c r="C1062" s="1894" t="n">
        <v>6.45</v>
      </c>
      <c r="D1062" s="1894" t="n">
        <v>8.779999999999999</v>
      </c>
      <c r="E1062" s="1895" t="n">
        <v>10.56</v>
      </c>
      <c r="F1062" s="1895" t="n">
        <v>12.23</v>
      </c>
      <c r="G1062" s="1895" t="n">
        <v>15.41</v>
      </c>
      <c r="H1062" s="1895" t="n">
        <v>15.61</v>
      </c>
      <c r="I1062" s="1895" t="n">
        <v>18.6</v>
      </c>
      <c r="J1062" s="1895" t="n">
        <v>19.18</v>
      </c>
      <c r="K1062" s="1895" t="n">
        <v>18.85</v>
      </c>
      <c r="L1062" s="1895" t="n">
        <v>15.61</v>
      </c>
      <c r="M1062" s="1895" t="n">
        <v>19.4167</v>
      </c>
      <c r="N1062" s="1895" t="n">
        <v>21.1539</v>
      </c>
      <c r="O1062" s="1895" t="n">
        <v>18.0737</v>
      </c>
      <c r="P1062" s="1895" t="n">
        <v>20.0005</v>
      </c>
      <c r="Q1062" s="1895" t="n">
        <v>18.0737</v>
      </c>
      <c r="R1062" s="1895" t="n">
        <v>19.7308</v>
      </c>
      <c r="S1062" s="1895" t="n">
        <v>21.9852</v>
      </c>
      <c r="T1062" s="1895" t="n">
        <v>26.15</v>
      </c>
      <c r="U1062" s="1895" t="n">
        <v>28.55</v>
      </c>
      <c r="V1062" s="1895" t="n">
        <v>19.7308</v>
      </c>
      <c r="W1062" s="1895" t="n">
        <v>29.29</v>
      </c>
      <c r="X1062" s="1895" t="n">
        <v>31.61</v>
      </c>
      <c r="Y1062" s="1895" t="n">
        <v>34.5</v>
      </c>
      <c r="Z1062" s="1895" t="n">
        <v>38.13</v>
      </c>
      <c r="AA1062" s="1895" t="n">
        <v>29.29</v>
      </c>
      <c r="AB1062" s="1895" t="n">
        <v>38.9719</v>
      </c>
      <c r="AC1062" s="1895" t="n">
        <v>35.51</v>
      </c>
      <c r="AD1062" s="1895" t="n">
        <v>36.39</v>
      </c>
      <c r="AE1062" s="1895" t="n">
        <v>35.29</v>
      </c>
      <c r="AF1062" s="1895" t="n">
        <v>35.29</v>
      </c>
      <c r="AG1062" s="1895" t="n">
        <v>34.36</v>
      </c>
      <c r="AH1062" s="1895" t="n">
        <v>37.65</v>
      </c>
      <c r="AI1062" s="1895" t="n">
        <v>39.32</v>
      </c>
      <c r="AJ1062" s="1895" t="n">
        <v>46.43</v>
      </c>
      <c r="AK1062" s="1895" t="n">
        <v>34.36</v>
      </c>
      <c r="AL1062" s="1895" t="n">
        <v>43.89</v>
      </c>
      <c r="AM1062" s="1895" t="n">
        <v>46.51</v>
      </c>
      <c r="AN1062" s="1895" t="n">
        <v>56.82</v>
      </c>
      <c r="AO1062" s="1895" t="n">
        <v>80.8</v>
      </c>
      <c r="AP1062" s="1895" t="n">
        <v>43.89</v>
      </c>
      <c r="AQ1062" s="1895" t="n">
        <v>108.96</v>
      </c>
      <c r="AR1062" s="1895" t="n">
        <v>108.21</v>
      </c>
      <c r="AS1062" s="1895" t="n">
        <v>108.12</v>
      </c>
      <c r="AT1062" s="1895" t="n">
        <v>109.02</v>
      </c>
      <c r="AU1062" s="1895" t="n">
        <v>108.12</v>
      </c>
      <c r="AV1062" s="1895" t="n">
        <v>99.29000000000001</v>
      </c>
      <c r="AW1062" s="1895" t="n">
        <v>81.75</v>
      </c>
      <c r="AX1062" s="1895" t="n">
        <v>68.56</v>
      </c>
      <c r="AY1062" s="1895" t="n">
        <v>60.28</v>
      </c>
      <c r="AZ1062" s="1895" t="n">
        <v>60.28</v>
      </c>
      <c r="BA1062" s="1895" t="n">
        <v>74.03</v>
      </c>
      <c r="BB1062" s="1895" t="n">
        <v>82.25</v>
      </c>
      <c r="BC1062" s="1895" t="n">
        <v>84.29000000000001</v>
      </c>
      <c r="BD1062" s="1895" t="n">
        <v>85.41</v>
      </c>
      <c r="BE1062" s="1895" t="n">
        <v>74.03</v>
      </c>
      <c r="BF1062" s="1895" t="n">
        <v>99.13</v>
      </c>
      <c r="BG1062" s="1895" t="n">
        <v>127.7</v>
      </c>
      <c r="BH1062" s="1895" t="n">
        <v>147.95</v>
      </c>
      <c r="BI1062" s="1895" t="n">
        <v>172.07</v>
      </c>
      <c r="BJ1062" s="1895" t="n">
        <v>99.13</v>
      </c>
      <c r="BK1062" s="1895" t="n">
        <v>165.25</v>
      </c>
      <c r="BL1062" s="1895" t="n">
        <v>141.37</v>
      </c>
      <c r="BM1062" s="1895" t="n">
        <v>224.68</v>
      </c>
      <c r="BN1062" s="1895" t="n">
        <v>275.06</v>
      </c>
      <c r="BO1062" s="1896" t="n">
        <v>141.37</v>
      </c>
      <c r="BP1062" s="1888" t="n"/>
      <c r="BQ1062" s="1888" t="n"/>
      <c r="BR1062" s="1888" t="n"/>
      <c r="BS1062" s="1888" t="n"/>
      <c r="BT1062" s="1888" t="n"/>
      <c r="BU1062" s="1888" t="n"/>
      <c r="BV1062" s="1888" t="n"/>
      <c r="BW1062" s="1888" t="n"/>
      <c r="BX1062" s="1888" t="n"/>
      <c r="BY1062" s="1888" t="n"/>
      <c r="BZ1062" s="1888" t="n"/>
      <c r="CA1062" s="1888" t="n"/>
      <c r="CB1062" s="1891" t="n"/>
      <c r="CC1062" s="1892" t="n"/>
    </row>
    <row r="1063" hidden="1" outlineLevel="1" ht="14.4" customFormat="1" customHeight="1" s="1750">
      <c r="A1063" s="1893" t="inlineStr">
        <is>
          <t>Bloomberg</t>
        </is>
      </c>
      <c r="B1063" s="1888" t="n"/>
      <c r="C1063" s="1889">
        <f>IFERROR(BDP(MO.Ticker.Bloomberg&amp;" Equity","INTERVAL_LOW","MARKET_DATA_OVERRIDE=PX_LAST","START_DATE_OVERRIDE",TEXT(INDEX(MO_SNA_FPStartDate,0,COLUMN()),"YYYYMMDD"),"END_DATE_OVERRIDE",TEXT(INDEX(MO_Common_QEndDate,0,COLUMN()),"YYYYMMDD")),"N/A")</f>
        <v/>
      </c>
      <c r="D1063" s="1889">
        <f>IFERROR(BDP(MO.Ticker.Bloomberg&amp;" Equity","INTERVAL_LOW","MARKET_DATA_OVERRIDE=PX_LAST","START_DATE_OVERRIDE",TEXT(INDEX(MO_SNA_FPStartDate,0,COLUMN()),"YYYYMMDD"),"END_DATE_OVERRIDE",TEXT(INDEX(MO_Common_QEndDate,0,COLUMN()),"YYYYMMDD")),"N/A")</f>
        <v/>
      </c>
      <c r="E1063" s="1888">
        <f>IFERROR(BDP(MO.Ticker.Bloomberg&amp;" Equity","INTERVAL_LOW","MARKET_DATA_OVERRIDE=PX_LAST","START_DATE_OVERRIDE",TEXT(INDEX(MO_SNA_FPStartDate,0,COLUMN()),"YYYYMMDD"),"END_DATE_OVERRIDE",TEXT(INDEX(MO_Common_QEndDate,0,COLUMN()),"YYYYMMDD")),"N/A")</f>
        <v/>
      </c>
      <c r="F1063" s="1888">
        <f>IFERROR(BDP(MO.Ticker.Bloomberg&amp;" Equity","INTERVAL_LOW","MARKET_DATA_OVERRIDE=PX_LAST","START_DATE_OVERRIDE",TEXT(INDEX(MO_SNA_FPStartDate,0,COLUMN()),"YYYYMMDD"),"END_DATE_OVERRIDE",TEXT(INDEX(MO_Common_QEndDate,0,COLUMN()),"YYYYMMDD")),"N/A")</f>
        <v/>
      </c>
      <c r="G1063" s="1888">
        <f>IFERROR(BDP(MO.Ticker.Bloomberg&amp;" Equity","INTERVAL_LOW","MARKET_DATA_OVERRIDE=PX_LAST","START_DATE_OVERRIDE",TEXT(INDEX(MO_SNA_FPStartDate,0,COLUMN()),"YYYYMMDD"),"END_DATE_OVERRIDE",TEXT(INDEX(MO_Common_QEndDate,0,COLUMN()),"YYYYMMDD")),"N/A")</f>
        <v/>
      </c>
      <c r="H1063" s="1888">
        <f>IFERROR(BDP(MO.Ticker.Bloomberg&amp;" Equity","INTERVAL_LOW","MARKET_DATA_OVERRIDE=PX_LAST","START_DATE_OVERRIDE",TEXT(INDEX(MO_SNA_FPStartDate,0,COLUMN()),"YYYYMMDD"),"END_DATE_OVERRIDE",TEXT(INDEX(MO_Common_QEndDate,0,COLUMN()),"YYYYMMDD")),"N/A")</f>
        <v/>
      </c>
      <c r="I1063" s="1888">
        <f>IFERROR(BDP(MO.Ticker.Bloomberg&amp;" Equity","INTERVAL_LOW","MARKET_DATA_OVERRIDE=PX_LAST","START_DATE_OVERRIDE",TEXT(INDEX(MO_SNA_FPStartDate,0,COLUMN()),"YYYYMMDD"),"END_DATE_OVERRIDE",TEXT(INDEX(MO_Common_QEndDate,0,COLUMN()),"YYYYMMDD")),"N/A")</f>
        <v/>
      </c>
      <c r="J1063" s="1888">
        <f>IFERROR(BDP(MO.Ticker.Bloomberg&amp;" Equity","INTERVAL_LOW","MARKET_DATA_OVERRIDE=PX_LAST","START_DATE_OVERRIDE",TEXT(INDEX(MO_SNA_FPStartDate,0,COLUMN()),"YYYYMMDD"),"END_DATE_OVERRIDE",TEXT(INDEX(MO_Common_QEndDate,0,COLUMN()),"YYYYMMDD")),"N/A")</f>
        <v/>
      </c>
      <c r="K1063" s="1888">
        <f>IFERROR(BDP(MO.Ticker.Bloomberg&amp;" Equity","INTERVAL_LOW","MARKET_DATA_OVERRIDE=PX_LAST","START_DATE_OVERRIDE",TEXT(INDEX(MO_SNA_FPStartDate,0,COLUMN()),"YYYYMMDD"),"END_DATE_OVERRIDE",TEXT(INDEX(MO_Common_QEndDate,0,COLUMN()),"YYYYMMDD")),"N/A")</f>
        <v/>
      </c>
      <c r="L1063" s="1888">
        <f>IFERROR(BDP(MO.Ticker.Bloomberg&amp;" Equity","INTERVAL_LOW","MARKET_DATA_OVERRIDE=PX_LAST","START_DATE_OVERRIDE",TEXT(INDEX(MO_SNA_FPStartDate,0,COLUMN()),"YYYYMMDD"),"END_DATE_OVERRIDE",TEXT(INDEX(MO_Common_QEndDate,0,COLUMN()),"YYYYMMDD")),"N/A")</f>
        <v/>
      </c>
      <c r="M1063" s="1888">
        <f>IFERROR(BDP(MO.Ticker.Bloomberg&amp;" Equity","INTERVAL_LOW","MARKET_DATA_OVERRIDE=PX_LAST","START_DATE_OVERRIDE",TEXT(INDEX(MO_SNA_FPStartDate,0,COLUMN()),"YYYYMMDD"),"END_DATE_OVERRIDE",TEXT(INDEX(MO_Common_QEndDate,0,COLUMN()),"YYYYMMDD")),"N/A")</f>
        <v/>
      </c>
      <c r="N1063" s="1888">
        <f>IFERROR(BDP(MO.Ticker.Bloomberg&amp;" Equity","INTERVAL_LOW","MARKET_DATA_OVERRIDE=PX_LAST","START_DATE_OVERRIDE",TEXT(INDEX(MO_SNA_FPStartDate,0,COLUMN()),"YYYYMMDD"),"END_DATE_OVERRIDE",TEXT(INDEX(MO_Common_QEndDate,0,COLUMN()),"YYYYMMDD")),"N/A")</f>
        <v/>
      </c>
      <c r="O1063" s="1888">
        <f>IFERROR(BDP(MO.Ticker.Bloomberg&amp;" Equity","INTERVAL_LOW","MARKET_DATA_OVERRIDE=PX_LAST","START_DATE_OVERRIDE",TEXT(INDEX(MO_SNA_FPStartDate,0,COLUMN()),"YYYYMMDD"),"END_DATE_OVERRIDE",TEXT(INDEX(MO_Common_QEndDate,0,COLUMN()),"YYYYMMDD")),"N/A")</f>
        <v/>
      </c>
      <c r="P1063" s="1888">
        <f>IFERROR(BDP(MO.Ticker.Bloomberg&amp;" Equity","INTERVAL_LOW","MARKET_DATA_OVERRIDE=PX_LAST","START_DATE_OVERRIDE",TEXT(INDEX(MO_SNA_FPStartDate,0,COLUMN()),"YYYYMMDD"),"END_DATE_OVERRIDE",TEXT(INDEX(MO_Common_QEndDate,0,COLUMN()),"YYYYMMDD")),"N/A")</f>
        <v/>
      </c>
      <c r="Q1063" s="1888">
        <f>IFERROR(BDP(MO.Ticker.Bloomberg&amp;" Equity","INTERVAL_LOW","MARKET_DATA_OVERRIDE=PX_LAST","START_DATE_OVERRIDE",TEXT(INDEX(MO_SNA_FPStartDate,0,COLUMN()),"YYYYMMDD"),"END_DATE_OVERRIDE",TEXT(INDEX(MO_Common_QEndDate,0,COLUMN()),"YYYYMMDD")),"N/A")</f>
        <v/>
      </c>
      <c r="R1063" s="1888">
        <f>IFERROR(BDP(MO.Ticker.Bloomberg&amp;" Equity","INTERVAL_LOW","MARKET_DATA_OVERRIDE=PX_LAST","START_DATE_OVERRIDE",TEXT(INDEX(MO_SNA_FPStartDate,0,COLUMN()),"YYYYMMDD"),"END_DATE_OVERRIDE",TEXT(INDEX(MO_Common_QEndDate,0,COLUMN()),"YYYYMMDD")),"N/A")</f>
        <v/>
      </c>
      <c r="S1063" s="1888">
        <f>IFERROR(BDP(MO.Ticker.Bloomberg&amp;" Equity","INTERVAL_LOW","MARKET_DATA_OVERRIDE=PX_LAST","START_DATE_OVERRIDE",TEXT(INDEX(MO_SNA_FPStartDate,0,COLUMN()),"YYYYMMDD"),"END_DATE_OVERRIDE",TEXT(INDEX(MO_Common_QEndDate,0,COLUMN()),"YYYYMMDD")),"N/A")</f>
        <v/>
      </c>
      <c r="T1063" s="1888">
        <f>IFERROR(BDP(MO.Ticker.Bloomberg&amp;" Equity","INTERVAL_LOW","MARKET_DATA_OVERRIDE=PX_LAST","START_DATE_OVERRIDE",TEXT(INDEX(MO_SNA_FPStartDate,0,COLUMN()),"YYYYMMDD"),"END_DATE_OVERRIDE",TEXT(INDEX(MO_Common_QEndDate,0,COLUMN()),"YYYYMMDD")),"N/A")</f>
        <v/>
      </c>
      <c r="U1063" s="1888">
        <f>IFERROR(BDP(MO.Ticker.Bloomberg&amp;" Equity","INTERVAL_LOW","MARKET_DATA_OVERRIDE=PX_LAST","START_DATE_OVERRIDE",TEXT(INDEX(MO_SNA_FPStartDate,0,COLUMN()),"YYYYMMDD"),"END_DATE_OVERRIDE",TEXT(INDEX(MO_Common_QEndDate,0,COLUMN()),"YYYYMMDD")),"N/A")</f>
        <v/>
      </c>
      <c r="V1063" s="1888">
        <f>IFERROR(BDP(MO.Ticker.Bloomberg&amp;" Equity","INTERVAL_LOW","MARKET_DATA_OVERRIDE=PX_LAST","START_DATE_OVERRIDE",TEXT(INDEX(MO_SNA_FPStartDate,0,COLUMN()),"YYYYMMDD"),"END_DATE_OVERRIDE",TEXT(INDEX(MO_Common_QEndDate,0,COLUMN()),"YYYYMMDD")),"N/A")</f>
        <v/>
      </c>
      <c r="W1063" s="1888">
        <f>IFERROR(BDP(MO.Ticker.Bloomberg&amp;" Equity","INTERVAL_LOW","MARKET_DATA_OVERRIDE=PX_LAST","START_DATE_OVERRIDE",TEXT(INDEX(MO_SNA_FPStartDate,0,COLUMN()),"YYYYMMDD"),"END_DATE_OVERRIDE",TEXT(INDEX(MO_Common_QEndDate,0,COLUMN()),"YYYYMMDD")),"N/A")</f>
        <v/>
      </c>
      <c r="X1063" s="1888">
        <f>IFERROR(BDP(MO.Ticker.Bloomberg&amp;" Equity","INTERVAL_LOW","MARKET_DATA_OVERRIDE=PX_LAST","START_DATE_OVERRIDE",TEXT(INDEX(MO_SNA_FPStartDate,0,COLUMN()),"YYYYMMDD"),"END_DATE_OVERRIDE",TEXT(INDEX(MO_Common_QEndDate,0,COLUMN()),"YYYYMMDD")),"N/A")</f>
        <v/>
      </c>
      <c r="Y1063" s="1888">
        <f>IFERROR(BDP(MO.Ticker.Bloomberg&amp;" Equity","INTERVAL_LOW","MARKET_DATA_OVERRIDE=PX_LAST","START_DATE_OVERRIDE",TEXT(INDEX(MO_SNA_FPStartDate,0,COLUMN()),"YYYYMMDD"),"END_DATE_OVERRIDE",TEXT(INDEX(MO_Common_QEndDate,0,COLUMN()),"YYYYMMDD")),"N/A")</f>
        <v/>
      </c>
      <c r="Z1063" s="1888">
        <f>IFERROR(BDP(MO.Ticker.Bloomberg&amp;" Equity","INTERVAL_LOW","MARKET_DATA_OVERRIDE=PX_LAST","START_DATE_OVERRIDE",TEXT(INDEX(MO_SNA_FPStartDate,0,COLUMN()),"YYYYMMDD"),"END_DATE_OVERRIDE",TEXT(INDEX(MO_Common_QEndDate,0,COLUMN()),"YYYYMMDD")),"N/A")</f>
        <v/>
      </c>
      <c r="AA1063" s="1888">
        <f>IFERROR(BDP(MO.Ticker.Bloomberg&amp;" Equity","INTERVAL_LOW","MARKET_DATA_OVERRIDE=PX_LAST","START_DATE_OVERRIDE",TEXT(INDEX(MO_SNA_FPStartDate,0,COLUMN()),"YYYYMMDD"),"END_DATE_OVERRIDE",TEXT(INDEX(MO_Common_QEndDate,0,COLUMN()),"YYYYMMDD")),"N/A")</f>
        <v/>
      </c>
      <c r="AB1063" s="1888">
        <f>IFERROR(BDP(MO.Ticker.Bloomberg&amp;" Equity","INTERVAL_LOW","MARKET_DATA_OVERRIDE=PX_LAST","START_DATE_OVERRIDE",TEXT(INDEX(MO_SNA_FPStartDate,0,COLUMN()),"YYYYMMDD"),"END_DATE_OVERRIDE",TEXT(INDEX(MO_Common_QEndDate,0,COLUMN()),"YYYYMMDD")),"N/A")</f>
        <v/>
      </c>
      <c r="AC1063" s="1888">
        <f>IFERROR(BDP(MO.Ticker.Bloomberg&amp;" Equity","INTERVAL_LOW","MARKET_DATA_OVERRIDE=PX_LAST","START_DATE_OVERRIDE",TEXT(INDEX(MO_SNA_FPStartDate,0,COLUMN()),"YYYYMMDD"),"END_DATE_OVERRIDE",TEXT(INDEX(MO_Common_QEndDate,0,COLUMN()),"YYYYMMDD")),"N/A")</f>
        <v/>
      </c>
      <c r="AD1063" s="1888">
        <f>IFERROR(BDP(MO.Ticker.Bloomberg&amp;" Equity","INTERVAL_LOW","MARKET_DATA_OVERRIDE=PX_LAST","START_DATE_OVERRIDE",TEXT(INDEX(MO_SNA_FPStartDate,0,COLUMN()),"YYYYMMDD"),"END_DATE_OVERRIDE",TEXT(INDEX(MO_Common_QEndDate,0,COLUMN()),"YYYYMMDD")),"N/A")</f>
        <v/>
      </c>
      <c r="AE1063" s="1888">
        <f>IFERROR(BDP(MO.Ticker.Bloomberg&amp;" Equity","INTERVAL_LOW","MARKET_DATA_OVERRIDE=PX_LAST","START_DATE_OVERRIDE",TEXT(INDEX(MO_SNA_FPStartDate,0,COLUMN()),"YYYYMMDD"),"END_DATE_OVERRIDE",TEXT(INDEX(MO_Common_QEndDate,0,COLUMN()),"YYYYMMDD")),"N/A")</f>
        <v/>
      </c>
      <c r="AF1063" s="1888">
        <f>IFERROR(BDP(MO.Ticker.Bloomberg&amp;" Equity","INTERVAL_LOW","MARKET_DATA_OVERRIDE=PX_LAST","START_DATE_OVERRIDE",TEXT(INDEX(MO_SNA_FPStartDate,0,COLUMN()),"YYYYMMDD"),"END_DATE_OVERRIDE",TEXT(INDEX(MO_Common_QEndDate,0,COLUMN()),"YYYYMMDD")),"N/A")</f>
        <v/>
      </c>
      <c r="AG1063" s="1888">
        <f>IFERROR(BDP(MO.Ticker.Bloomberg&amp;" Equity","INTERVAL_LOW","MARKET_DATA_OVERRIDE=PX_LAST","START_DATE_OVERRIDE",TEXT(INDEX(MO_SNA_FPStartDate,0,COLUMN()),"YYYYMMDD"),"END_DATE_OVERRIDE",TEXT(INDEX(MO_Common_QEndDate,0,COLUMN()),"YYYYMMDD")),"N/A")</f>
        <v/>
      </c>
      <c r="AH1063" s="1888">
        <f>IFERROR(BDP(MO.Ticker.Bloomberg&amp;" Equity","INTERVAL_LOW","MARKET_DATA_OVERRIDE=PX_LAST","START_DATE_OVERRIDE",TEXT(INDEX(MO_SNA_FPStartDate,0,COLUMN()),"YYYYMMDD"),"END_DATE_OVERRIDE",TEXT(INDEX(MO_Common_QEndDate,0,COLUMN()),"YYYYMMDD")),"N/A")</f>
        <v/>
      </c>
      <c r="AI1063" s="1888">
        <f>IFERROR(BDP(MO.Ticker.Bloomberg&amp;" Equity","INTERVAL_LOW","MARKET_DATA_OVERRIDE=PX_LAST","START_DATE_OVERRIDE",TEXT(INDEX(MO_SNA_FPStartDate,0,COLUMN()),"YYYYMMDD"),"END_DATE_OVERRIDE",TEXT(INDEX(MO_Common_QEndDate,0,COLUMN()),"YYYYMMDD")),"N/A")</f>
        <v/>
      </c>
      <c r="AJ1063" s="1888">
        <f>IFERROR(BDP(MO.Ticker.Bloomberg&amp;" Equity","INTERVAL_LOW","MARKET_DATA_OVERRIDE=PX_LAST","START_DATE_OVERRIDE",TEXT(INDEX(MO_SNA_FPStartDate,0,COLUMN()),"YYYYMMDD"),"END_DATE_OVERRIDE",TEXT(INDEX(MO_Common_QEndDate,0,COLUMN()),"YYYYMMDD")),"N/A")</f>
        <v/>
      </c>
      <c r="AK1063" s="1888">
        <f>IFERROR(BDP(MO.Ticker.Bloomberg&amp;" Equity","INTERVAL_LOW","MARKET_DATA_OVERRIDE=PX_LAST","START_DATE_OVERRIDE",TEXT(INDEX(MO_SNA_FPStartDate,0,COLUMN()),"YYYYMMDD"),"END_DATE_OVERRIDE",TEXT(INDEX(MO_Common_QEndDate,0,COLUMN()),"YYYYMMDD")),"N/A")</f>
        <v/>
      </c>
      <c r="AL1063" s="1888">
        <f>IFERROR(BDP(MO.Ticker.Bloomberg&amp;" Equity","INTERVAL_LOW","MARKET_DATA_OVERRIDE=PX_LAST","START_DATE_OVERRIDE",TEXT(INDEX(MO_SNA_FPStartDate,0,COLUMN()),"YYYYMMDD"),"END_DATE_OVERRIDE",TEXT(INDEX(MO_Common_QEndDate,0,COLUMN()),"YYYYMMDD")),"N/A")</f>
        <v/>
      </c>
      <c r="AM1063" s="1888">
        <f>IFERROR(BDP(MO.Ticker.Bloomberg&amp;" Equity","INTERVAL_LOW","MARKET_DATA_OVERRIDE=PX_LAST","START_DATE_OVERRIDE",TEXT(INDEX(MO_SNA_FPStartDate,0,COLUMN()),"YYYYMMDD"),"END_DATE_OVERRIDE",TEXT(INDEX(MO_Common_QEndDate,0,COLUMN()),"YYYYMMDD")),"N/A")</f>
        <v/>
      </c>
      <c r="AN1063" s="1888">
        <f>IFERROR(BDP(MO.Ticker.Bloomberg&amp;" Equity","INTERVAL_LOW","MARKET_DATA_OVERRIDE=PX_LAST","START_DATE_OVERRIDE",TEXT(INDEX(MO_SNA_FPStartDate,0,COLUMN()),"YYYYMMDD"),"END_DATE_OVERRIDE",TEXT(INDEX(MO_Common_QEndDate,0,COLUMN()),"YYYYMMDD")),"N/A")</f>
        <v/>
      </c>
      <c r="AO1063" s="1888">
        <f>IFERROR(BDP(MO.Ticker.Bloomberg&amp;" Equity","INTERVAL_LOW","MARKET_DATA_OVERRIDE=PX_LAST","START_DATE_OVERRIDE",TEXT(INDEX(MO_SNA_FPStartDate,0,COLUMN()),"YYYYMMDD"),"END_DATE_OVERRIDE",TEXT(INDEX(MO_Common_QEndDate,0,COLUMN()),"YYYYMMDD")),"N/A")</f>
        <v/>
      </c>
      <c r="AP1063" s="1888">
        <f>IFERROR(BDP(MO.Ticker.Bloomberg&amp;" Equity","INTERVAL_LOW","MARKET_DATA_OVERRIDE=PX_LAST","START_DATE_OVERRIDE",TEXT(INDEX(MO_SNA_FPStartDate,0,COLUMN()),"YYYYMMDD"),"END_DATE_OVERRIDE",TEXT(INDEX(MO_Common_QEndDate,0,COLUMN()),"YYYYMMDD")),"N/A")</f>
        <v/>
      </c>
      <c r="AQ1063" s="1888">
        <f>IFERROR(BDP(MO.Ticker.Bloomberg&amp;" Equity","INTERVAL_LOW","MARKET_DATA_OVERRIDE=PX_LAST","START_DATE_OVERRIDE",TEXT(INDEX(MO_SNA_FPStartDate,0,COLUMN()),"YYYYMMDD"),"END_DATE_OVERRIDE",TEXT(INDEX(MO_Common_QEndDate,0,COLUMN()),"YYYYMMDD")),"N/A")</f>
        <v/>
      </c>
      <c r="AR1063" s="1888">
        <f>IFERROR(BDP(MO.Ticker.Bloomberg&amp;" Equity","INTERVAL_LOW","MARKET_DATA_OVERRIDE=PX_LAST","START_DATE_OVERRIDE",TEXT(INDEX(MO_SNA_FPStartDate,0,COLUMN()),"YYYYMMDD"),"END_DATE_OVERRIDE",TEXT(INDEX(MO_Common_QEndDate,0,COLUMN()),"YYYYMMDD")),"N/A")</f>
        <v/>
      </c>
      <c r="AS1063" s="1888">
        <f>IFERROR(BDP(MO.Ticker.Bloomberg&amp;" Equity","INTERVAL_LOW","MARKET_DATA_OVERRIDE=PX_LAST","START_DATE_OVERRIDE",TEXT(INDEX(MO_SNA_FPStartDate,0,COLUMN()),"YYYYMMDD"),"END_DATE_OVERRIDE",TEXT(INDEX(MO_Common_QEndDate,0,COLUMN()),"YYYYMMDD")),"N/A")</f>
        <v/>
      </c>
      <c r="AT1063" s="1888">
        <f>IFERROR(BDP(MO.Ticker.Bloomberg&amp;" Equity","INTERVAL_LOW","MARKET_DATA_OVERRIDE=PX_LAST","START_DATE_OVERRIDE",TEXT(INDEX(MO_SNA_FPStartDate,0,COLUMN()),"YYYYMMDD"),"END_DATE_OVERRIDE",TEXT(INDEX(MO_Common_QEndDate,0,COLUMN()),"YYYYMMDD")),"N/A")</f>
        <v/>
      </c>
      <c r="AU1063" s="1888">
        <f>IFERROR(BDP(MO.Ticker.Bloomberg&amp;" Equity","INTERVAL_LOW","MARKET_DATA_OVERRIDE=PX_LAST","START_DATE_OVERRIDE",TEXT(INDEX(MO_SNA_FPStartDate,0,COLUMN()),"YYYYMMDD"),"END_DATE_OVERRIDE",TEXT(INDEX(MO_Common_QEndDate,0,COLUMN()),"YYYYMMDD")),"N/A")</f>
        <v/>
      </c>
      <c r="AV1063" s="1888">
        <f>IFERROR(BDP(MO.Ticker.Bloomberg&amp;" Equity","INTERVAL_LOW","MARKET_DATA_OVERRIDE=PX_LAST","START_DATE_OVERRIDE",TEXT(INDEX(MO_SNA_FPStartDate,0,COLUMN()),"YYYYMMDD"),"END_DATE_OVERRIDE",TEXT(INDEX(MO_Common_QEndDate,0,COLUMN()),"YYYYMMDD")),"N/A")</f>
        <v/>
      </c>
      <c r="AW1063" s="1888">
        <f>IFERROR(BDP(MO.Ticker.Bloomberg&amp;" Equity","INTERVAL_LOW","MARKET_DATA_OVERRIDE=PX_LAST","START_DATE_OVERRIDE",TEXT(INDEX(MO_SNA_FPStartDate,0,COLUMN()),"YYYYMMDD"),"END_DATE_OVERRIDE",TEXT(INDEX(MO_Common_QEndDate,0,COLUMN()),"YYYYMMDD")),"N/A")</f>
        <v/>
      </c>
      <c r="AX1063" s="1888">
        <f>IFERROR(BDP(MO.Ticker.Bloomberg&amp;" Equity","INTERVAL_LOW","MARKET_DATA_OVERRIDE=PX_LAST","START_DATE_OVERRIDE",TEXT(INDEX(MO_SNA_FPStartDate,0,COLUMN()),"YYYYMMDD"),"END_DATE_OVERRIDE",TEXT(INDEX(MO_Common_QEndDate,0,COLUMN()),"YYYYMMDD")),"N/A")</f>
        <v/>
      </c>
      <c r="AY1063" s="1888">
        <f>IFERROR(BDP(MO.Ticker.Bloomberg&amp;" Equity","INTERVAL_LOW","MARKET_DATA_OVERRIDE=PX_LAST","START_DATE_OVERRIDE",TEXT(INDEX(MO_SNA_FPStartDate,0,COLUMN()),"YYYYMMDD"),"END_DATE_OVERRIDE",TEXT(INDEX(MO_Common_QEndDate,0,COLUMN()),"YYYYMMDD")),"N/A")</f>
        <v/>
      </c>
      <c r="AZ1063" s="1888">
        <f>IFERROR(BDP(MO.Ticker.Bloomberg&amp;" Equity","INTERVAL_LOW","MARKET_DATA_OVERRIDE=PX_LAST","START_DATE_OVERRIDE",TEXT(INDEX(MO_SNA_FPStartDate,0,COLUMN()),"YYYYMMDD"),"END_DATE_OVERRIDE",TEXT(INDEX(MO_Common_QEndDate,0,COLUMN()),"YYYYMMDD")),"N/A")</f>
        <v/>
      </c>
      <c r="BA1063" s="1888">
        <f>IFERROR(BDP(MO.Ticker.Bloomberg&amp;" Equity","INTERVAL_LOW","MARKET_DATA_OVERRIDE=PX_LAST","START_DATE_OVERRIDE",TEXT(INDEX(MO_SNA_FPStartDate,0,COLUMN()),"YYYYMMDD"),"END_DATE_OVERRIDE",TEXT(INDEX(MO_Common_QEndDate,0,COLUMN()),"YYYYMMDD")),"N/A")</f>
        <v/>
      </c>
      <c r="BB1063" s="1888">
        <f>IFERROR(BDP(MO.Ticker.Bloomberg&amp;" Equity","INTERVAL_LOW","MARKET_DATA_OVERRIDE=PX_LAST","START_DATE_OVERRIDE",TEXT(INDEX(MO_SNA_FPStartDate,0,COLUMN()),"YYYYMMDD"),"END_DATE_OVERRIDE",TEXT(INDEX(MO_Common_QEndDate,0,COLUMN()),"YYYYMMDD")),"N/A")</f>
        <v/>
      </c>
      <c r="BC1063" s="1888">
        <f>IFERROR(BDP(MO.Ticker.Bloomberg&amp;" Equity","INTERVAL_LOW","MARKET_DATA_OVERRIDE=PX_LAST","START_DATE_OVERRIDE",TEXT(INDEX(MO_SNA_FPStartDate,0,COLUMN()),"YYYYMMDD"),"END_DATE_OVERRIDE",TEXT(INDEX(MO_Common_QEndDate,0,COLUMN()),"YYYYMMDD")),"N/A")</f>
        <v/>
      </c>
      <c r="BD1063" s="1888">
        <f>IFERROR(BDP(MO.Ticker.Bloomberg&amp;" Equity","INTERVAL_LOW","MARKET_DATA_OVERRIDE=PX_LAST","START_DATE_OVERRIDE",TEXT(INDEX(MO_SNA_FPStartDate,0,COLUMN()),"YYYYMMDD"),"END_DATE_OVERRIDE",TEXT(INDEX(MO_Common_QEndDate,0,COLUMN()),"YYYYMMDD")),"N/A")</f>
        <v/>
      </c>
      <c r="BE1063" s="1888">
        <f>IFERROR(BDP(MO.Ticker.Bloomberg&amp;" Equity","INTERVAL_LOW","MARKET_DATA_OVERRIDE=PX_LAST","START_DATE_OVERRIDE",TEXT(INDEX(MO_SNA_FPStartDate,0,COLUMN()),"YYYYMMDD"),"END_DATE_OVERRIDE",TEXT(INDEX(MO_Common_QEndDate,0,COLUMN()),"YYYYMMDD")),"N/A")</f>
        <v/>
      </c>
      <c r="BF1063" s="1888">
        <f>IFERROR(BDP(MO.Ticker.Bloomberg&amp;" Equity","INTERVAL_LOW","MARKET_DATA_OVERRIDE=PX_LAST","START_DATE_OVERRIDE",TEXT(INDEX(MO_SNA_FPStartDate,0,COLUMN()),"YYYYMMDD"),"END_DATE_OVERRIDE",TEXT(INDEX(MO_Common_QEndDate,0,COLUMN()),"YYYYMMDD")),"N/A")</f>
        <v/>
      </c>
      <c r="BG1063" s="1888">
        <f>IFERROR(BDP(MO.Ticker.Bloomberg&amp;" Equity","INTERVAL_LOW","MARKET_DATA_OVERRIDE=PX_LAST","START_DATE_OVERRIDE",TEXT(INDEX(MO_SNA_FPStartDate,0,COLUMN()),"YYYYMMDD"),"END_DATE_OVERRIDE",TEXT(INDEX(MO_Common_QEndDate,0,COLUMN()),"YYYYMMDD")),"N/A")</f>
        <v/>
      </c>
      <c r="BH1063" s="1888">
        <f>IFERROR(BDP(MO.Ticker.Bloomberg&amp;" Equity","INTERVAL_LOW","MARKET_DATA_OVERRIDE=PX_LAST","START_DATE_OVERRIDE",TEXT(INDEX(MO_SNA_FPStartDate,0,COLUMN()),"YYYYMMDD"),"END_DATE_OVERRIDE",TEXT(INDEX(MO_Common_QEndDate,0,COLUMN()),"YYYYMMDD")),"N/A")</f>
        <v/>
      </c>
      <c r="BI1063" s="1888">
        <f>IFERROR(BDP(MO.Ticker.Bloomberg&amp;" Equity","INTERVAL_LOW","MARKET_DATA_OVERRIDE=PX_LAST","START_DATE_OVERRIDE",TEXT(INDEX(MO_SNA_FPStartDate,0,COLUMN()),"YYYYMMDD"),"END_DATE_OVERRIDE",TEXT(INDEX(MO_Common_QEndDate,0,COLUMN()),"YYYYMMDD")),"N/A")</f>
        <v/>
      </c>
      <c r="BJ1063" s="1888">
        <f>IFERROR(BDP(MO.Ticker.Bloomberg&amp;" Equity","INTERVAL_LOW","MARKET_DATA_OVERRIDE=PX_LAST","START_DATE_OVERRIDE",TEXT(INDEX(MO_SNA_FPStartDate,0,COLUMN()),"YYYYMMDD"),"END_DATE_OVERRIDE",TEXT(INDEX(MO_Common_QEndDate,0,COLUMN()),"YYYYMMDD")),"N/A")</f>
        <v/>
      </c>
      <c r="BK1063" s="1888">
        <f>IFERROR(BDP(MO.Ticker.Bloomberg&amp;" Equity","INTERVAL_LOW","MARKET_DATA_OVERRIDE=PX_LAST","START_DATE_OVERRIDE",TEXT(INDEX(MO_SNA_FPStartDate,0,COLUMN()),"YYYYMMDD"),"END_DATE_OVERRIDE",TEXT(INDEX(MO_Common_QEndDate,0,COLUMN()),"YYYYMMDD")),"N/A")</f>
        <v/>
      </c>
      <c r="BL1063" s="1888">
        <f>IFERROR(BDP(MO.Ticker.Bloomberg&amp;" Equity","INTERVAL_LOW","MARKET_DATA_OVERRIDE=PX_LAST","START_DATE_OVERRIDE",TEXT(INDEX(MO_SNA_FPStartDate,0,COLUMN()),"YYYYMMDD"),"END_DATE_OVERRIDE",TEXT(INDEX(MO_Common_QEndDate,0,COLUMN()),"YYYYMMDD")),"N/A")</f>
        <v/>
      </c>
      <c r="BM1063" s="1888">
        <f>IFERROR(BDP(MO.Ticker.Bloomberg&amp;" Equity","INTERVAL_LOW","MARKET_DATA_OVERRIDE=PX_LAST","START_DATE_OVERRIDE",TEXT(INDEX(MO_SNA_FPStartDate,0,COLUMN()),"YYYYMMDD"),"END_DATE_OVERRIDE",TEXT(INDEX(MO_Common_QEndDate,0,COLUMN()),"YYYYMMDD")),"N/A")</f>
        <v/>
      </c>
      <c r="BN1063" s="1888">
        <f>IFERROR(BDP(MO.Ticker.Bloomberg&amp;" Equity","INTERVAL_LOW","MARKET_DATA_OVERRIDE=PX_LAST","START_DATE_OVERRIDE",TEXT(INDEX(MO_SNA_FPStartDate,0,COLUMN()),"YYYYMMDD"),"END_DATE_OVERRIDE",TEXT(INDEX(MO_Common_QEndDate,0,COLUMN()),"YYYYMMDD")),"N/A")</f>
        <v/>
      </c>
      <c r="BO1063" s="1890">
        <f>IFERROR(BDP(MO.Ticker.Bloomberg&amp;" Equity","INTERVAL_LOW","MARKET_DATA_OVERRIDE=PX_LAST","START_DATE_OVERRIDE",TEXT(INDEX(MO_SNA_FPStartDate,0,COLUMN()),"YYYYMMDD"),"END_DATE_OVERRIDE",TEXT(INDEX(MO_Common_QEndDate,0,COLUMN()),"YYYYMMDD")),"N/A")</f>
        <v/>
      </c>
      <c r="BP1063" s="1888">
        <f>IFERROR(BDP(MO.Ticker.Bloomberg&amp;" Equity","INTERVAL_LOW","MARKET_DATA_OVERRIDE=PX_LAST","START_DATE_OVERRIDE",TEXT(INDEX(MO_SNA_FPStartDate,0,COLUMN()),"YYYYMMDD"),"END_DATE_OVERRIDE",TEXT(INDEX(MO_Common_QEndDate,0,COLUMN()),"YYYYMMDD")),"N/A")</f>
        <v/>
      </c>
      <c r="BQ1063" s="1888">
        <f>IFERROR(BDP(MO.Ticker.Bloomberg&amp;" Equity","INTERVAL_LOW","MARKET_DATA_OVERRIDE=PX_LAST","START_DATE_OVERRIDE",TEXT(INDEX(MO_SNA_FPStartDate,0,COLUMN()),"YYYYMMDD"),"END_DATE_OVERRIDE",TEXT(INDEX(MO_Common_QEndDate,0,COLUMN()),"YYYYMMDD")),"N/A")</f>
        <v/>
      </c>
      <c r="BR1063" s="1888">
        <f>IFERROR(BDP(MO.Ticker.Bloomberg&amp;" Equity","INTERVAL_LOW","MARKET_DATA_OVERRIDE=PX_LAST","START_DATE_OVERRIDE",TEXT(INDEX(MO_SNA_FPStartDate,0,COLUMN()),"YYYYMMDD"),"END_DATE_OVERRIDE",TEXT(INDEX(MO_Common_QEndDate,0,COLUMN()),"YYYYMMDD")),"N/A")</f>
        <v/>
      </c>
      <c r="BS1063" s="1888">
        <f>IFERROR(BDP(MO.Ticker.Bloomberg&amp;" Equity","INTERVAL_LOW","MARKET_DATA_OVERRIDE=PX_LAST","START_DATE_OVERRIDE",TEXT(INDEX(MO_SNA_FPStartDate,0,COLUMN()),"YYYYMMDD"),"END_DATE_OVERRIDE",TEXT(INDEX(MO_Common_QEndDate,0,COLUMN()),"YYYYMMDD")),"N/A")</f>
        <v/>
      </c>
      <c r="BT1063" s="1888">
        <f>IFERROR(BDP(MO.Ticker.Bloomberg&amp;" Equity","INTERVAL_LOW","MARKET_DATA_OVERRIDE=PX_LAST","START_DATE_OVERRIDE",TEXT(INDEX(MO_SNA_FPStartDate,0,COLUMN()),"YYYYMMDD"),"END_DATE_OVERRIDE",TEXT(INDEX(MO_Common_QEndDate,0,COLUMN()),"YYYYMMDD")),"N/A")</f>
        <v/>
      </c>
      <c r="BU1063" s="1888">
        <f>IFERROR(BDP(MO.Ticker.Bloomberg&amp;" Equity","INTERVAL_LOW","MARKET_DATA_OVERRIDE=PX_LAST","START_DATE_OVERRIDE",TEXT(INDEX(MO_SNA_FPStartDate,0,COLUMN()),"YYYYMMDD"),"END_DATE_OVERRIDE",TEXT(INDEX(MO_Common_QEndDate,0,COLUMN()),"YYYYMMDD")),"N/A")</f>
        <v/>
      </c>
      <c r="BV1063" s="1888">
        <f>IFERROR(BDP(MO.Ticker.Bloomberg&amp;" Equity","INTERVAL_LOW","MARKET_DATA_OVERRIDE=PX_LAST","START_DATE_OVERRIDE",TEXT(INDEX(MO_SNA_FPStartDate,0,COLUMN()),"YYYYMMDD"),"END_DATE_OVERRIDE",TEXT(INDEX(MO_Common_QEndDate,0,COLUMN()),"YYYYMMDD")),"N/A")</f>
        <v/>
      </c>
      <c r="BW1063" s="1888">
        <f>IFERROR(BDP(MO.Ticker.Bloomberg&amp;" Equity","INTERVAL_LOW","MARKET_DATA_OVERRIDE=PX_LAST","START_DATE_OVERRIDE",TEXT(INDEX(MO_SNA_FPStartDate,0,COLUMN()),"YYYYMMDD"),"END_DATE_OVERRIDE",TEXT(INDEX(MO_Common_QEndDate,0,COLUMN()),"YYYYMMDD")),"N/A")</f>
        <v/>
      </c>
      <c r="BX1063" s="1888">
        <f>IFERROR(BDP(MO.Ticker.Bloomberg&amp;" Equity","INTERVAL_LOW","MARKET_DATA_OVERRIDE=PX_LAST","START_DATE_OVERRIDE",TEXT(INDEX(MO_SNA_FPStartDate,0,COLUMN()),"YYYYMMDD"),"END_DATE_OVERRIDE",TEXT(INDEX(MO_Common_QEndDate,0,COLUMN()),"YYYYMMDD")),"N/A")</f>
        <v/>
      </c>
      <c r="BY1063" s="1888">
        <f>IFERROR(BDP(MO.Ticker.Bloomberg&amp;" Equity","INTERVAL_LOW","MARKET_DATA_OVERRIDE=PX_LAST","START_DATE_OVERRIDE",TEXT(INDEX(MO_SNA_FPStartDate,0,COLUMN()),"YYYYMMDD"),"END_DATE_OVERRIDE",TEXT(INDEX(MO_Common_QEndDate,0,COLUMN()),"YYYYMMDD")),"N/A")</f>
        <v/>
      </c>
      <c r="BZ1063" s="1888">
        <f>IFERROR(BDP(MO.Ticker.Bloomberg&amp;" Equity","INTERVAL_LOW","MARKET_DATA_OVERRIDE=PX_LAST","START_DATE_OVERRIDE",TEXT(INDEX(MO_SNA_FPStartDate,0,COLUMN()),"YYYYMMDD"),"END_DATE_OVERRIDE",TEXT(INDEX(MO_Common_QEndDate,0,COLUMN()),"YYYYMMDD")),"N/A")</f>
        <v/>
      </c>
      <c r="CA1063" s="1888">
        <f>IFERROR(BDP(MO.Ticker.Bloomberg&amp;" Equity","INTERVAL_LOW","MARKET_DATA_OVERRIDE=PX_LAST","START_DATE_OVERRIDE",TEXT(INDEX(MO_SNA_FPStartDate,0,COLUMN()),"YYYYMMDD"),"END_DATE_OVERRIDE",TEXT(INDEX(MO_Common_QEndDate,0,COLUMN()),"YYYYMMDD")),"N/A")</f>
        <v/>
      </c>
      <c r="CB1063" s="1891">
        <f>IFERROR(BDP(MO.Ticker.Bloomberg&amp;" Equity","INTERVAL_LOW","MARKET_DATA_OVERRIDE=PX_LAST","START_DATE_OVERRIDE",TEXT(INDEX(MO_SNA_FPStartDate,0,COLUMN()),"YYYYMMDD"),"END_DATE_OVERRIDE",TEXT(INDEX(MO_Common_QEndDate,0,COLUMN()),"YYYYMMDD")),"N/A")</f>
        <v/>
      </c>
      <c r="CC1063" s="1892" t="n"/>
    </row>
    <row r="1064" hidden="1" outlineLevel="1" ht="14.4" customFormat="1" customHeight="1" s="1750">
      <c r="A1064" s="1893" t="inlineStr">
        <is>
          <t>Capital IQ</t>
        </is>
      </c>
      <c r="B1064" s="1888" t="n"/>
      <c r="C1064" s="1889">
        <f>IFERROR(CIQLO(MO.Ticker.CapIQ,"IQ_LASTSALEPRICE",INDEX(MO_SNA_FPStartDate,0,COLUMN()),INDEX(MO_Common_QEndDate,0,COLUMN())),"N/A")</f>
        <v/>
      </c>
      <c r="D1064" s="1889">
        <f>IFERROR(CIQLO(MO.Ticker.CapIQ,"IQ_LASTSALEPRICE",INDEX(MO_SNA_FPStartDate,0,COLUMN()),INDEX(MO_Common_QEndDate,0,COLUMN())),"N/A")</f>
        <v/>
      </c>
      <c r="E1064" s="1888">
        <f>IFERROR(CIQLO(MO.Ticker.CapIQ,"IQ_LASTSALEPRICE",INDEX(MO_SNA_FPStartDate,0,COLUMN()),INDEX(MO_Common_QEndDate,0,COLUMN())),"N/A")</f>
        <v/>
      </c>
      <c r="F1064" s="1888">
        <f>IFERROR(CIQLO(MO.Ticker.CapIQ,"IQ_LASTSALEPRICE",INDEX(MO_SNA_FPStartDate,0,COLUMN()),INDEX(MO_Common_QEndDate,0,COLUMN())),"N/A")</f>
        <v/>
      </c>
      <c r="G1064" s="1888">
        <f>IFERROR(CIQLO(MO.Ticker.CapIQ,"IQ_LASTSALEPRICE",INDEX(MO_SNA_FPStartDate,0,COLUMN()),INDEX(MO_Common_QEndDate,0,COLUMN())),"N/A")</f>
        <v/>
      </c>
      <c r="H1064" s="1888">
        <f>IFERROR(CIQLO(MO.Ticker.CapIQ,"IQ_LASTSALEPRICE",INDEX(MO_SNA_FPStartDate,0,COLUMN()),INDEX(MO_Common_QEndDate,0,COLUMN())),"N/A")</f>
        <v/>
      </c>
      <c r="I1064" s="1888">
        <f>IFERROR(CIQLO(MO.Ticker.CapIQ,"IQ_LASTSALEPRICE",INDEX(MO_SNA_FPStartDate,0,COLUMN()),INDEX(MO_Common_QEndDate,0,COLUMN())),"N/A")</f>
        <v/>
      </c>
      <c r="J1064" s="1888">
        <f>IFERROR(CIQLO(MO.Ticker.CapIQ,"IQ_LASTSALEPRICE",INDEX(MO_SNA_FPStartDate,0,COLUMN()),INDEX(MO_Common_QEndDate,0,COLUMN())),"N/A")</f>
        <v/>
      </c>
      <c r="K1064" s="1888">
        <f>IFERROR(CIQLO(MO.Ticker.CapIQ,"IQ_LASTSALEPRICE",INDEX(MO_SNA_FPStartDate,0,COLUMN()),INDEX(MO_Common_QEndDate,0,COLUMN())),"N/A")</f>
        <v/>
      </c>
      <c r="L1064" s="1888">
        <f>IFERROR(CIQLO(MO.Ticker.CapIQ,"IQ_LASTSALEPRICE",INDEX(MO_SNA_FPStartDate,0,COLUMN()),INDEX(MO_Common_QEndDate,0,COLUMN())),"N/A")</f>
        <v/>
      </c>
      <c r="M1064" s="1888">
        <f>IFERROR(CIQLO(MO.Ticker.CapIQ,"IQ_LASTSALEPRICE",INDEX(MO_SNA_FPStartDate,0,COLUMN()),INDEX(MO_Common_QEndDate,0,COLUMN())),"N/A")</f>
        <v/>
      </c>
      <c r="N1064" s="1888">
        <f>IFERROR(CIQLO(MO.Ticker.CapIQ,"IQ_LASTSALEPRICE",INDEX(MO_SNA_FPStartDate,0,COLUMN()),INDEX(MO_Common_QEndDate,0,COLUMN())),"N/A")</f>
        <v/>
      </c>
      <c r="O1064" s="1888">
        <f>IFERROR(CIQLO(MO.Ticker.CapIQ,"IQ_LASTSALEPRICE",INDEX(MO_SNA_FPStartDate,0,COLUMN()),INDEX(MO_Common_QEndDate,0,COLUMN())),"N/A")</f>
        <v/>
      </c>
      <c r="P1064" s="1888">
        <f>IFERROR(CIQLO(MO.Ticker.CapIQ,"IQ_LASTSALEPRICE",INDEX(MO_SNA_FPStartDate,0,COLUMN()),INDEX(MO_Common_QEndDate,0,COLUMN())),"N/A")</f>
        <v/>
      </c>
      <c r="Q1064" s="1888">
        <f>IFERROR(CIQLO(MO.Ticker.CapIQ,"IQ_LASTSALEPRICE",INDEX(MO_SNA_FPStartDate,0,COLUMN()),INDEX(MO_Common_QEndDate,0,COLUMN())),"N/A")</f>
        <v/>
      </c>
      <c r="R1064" s="1888">
        <f>IFERROR(CIQLO(MO.Ticker.CapIQ,"IQ_LASTSALEPRICE",INDEX(MO_SNA_FPStartDate,0,COLUMN()),INDEX(MO_Common_QEndDate,0,COLUMN())),"N/A")</f>
        <v/>
      </c>
      <c r="S1064" s="1888">
        <f>IFERROR(CIQLO(MO.Ticker.CapIQ,"IQ_LASTSALEPRICE",INDEX(MO_SNA_FPStartDate,0,COLUMN()),INDEX(MO_Common_QEndDate,0,COLUMN())),"N/A")</f>
        <v/>
      </c>
      <c r="T1064" s="1888">
        <f>IFERROR(CIQLO(MO.Ticker.CapIQ,"IQ_LASTSALEPRICE",INDEX(MO_SNA_FPStartDate,0,COLUMN()),INDEX(MO_Common_QEndDate,0,COLUMN())),"N/A")</f>
        <v/>
      </c>
      <c r="U1064" s="1888">
        <f>IFERROR(CIQLO(MO.Ticker.CapIQ,"IQ_LASTSALEPRICE",INDEX(MO_SNA_FPStartDate,0,COLUMN()),INDEX(MO_Common_QEndDate,0,COLUMN())),"N/A")</f>
        <v/>
      </c>
      <c r="V1064" s="1888">
        <f>IFERROR(CIQLO(MO.Ticker.CapIQ,"IQ_LASTSALEPRICE",INDEX(MO_SNA_FPStartDate,0,COLUMN()),INDEX(MO_Common_QEndDate,0,COLUMN())),"N/A")</f>
        <v/>
      </c>
      <c r="W1064" s="1888">
        <f>IFERROR(CIQLO(MO.Ticker.CapIQ,"IQ_LASTSALEPRICE",INDEX(MO_SNA_FPStartDate,0,COLUMN()),INDEX(MO_Common_QEndDate,0,COLUMN())),"N/A")</f>
        <v/>
      </c>
      <c r="X1064" s="1888">
        <f>IFERROR(CIQLO(MO.Ticker.CapIQ,"IQ_LASTSALEPRICE",INDEX(MO_SNA_FPStartDate,0,COLUMN()),INDEX(MO_Common_QEndDate,0,COLUMN())),"N/A")</f>
        <v/>
      </c>
      <c r="Y1064" s="1888">
        <f>IFERROR(CIQLO(MO.Ticker.CapIQ,"IQ_LASTSALEPRICE",INDEX(MO_SNA_FPStartDate,0,COLUMN()),INDEX(MO_Common_QEndDate,0,COLUMN())),"N/A")</f>
        <v/>
      </c>
      <c r="Z1064" s="1888">
        <f>IFERROR(CIQLO(MO.Ticker.CapIQ,"IQ_LASTSALEPRICE",INDEX(MO_SNA_FPStartDate,0,COLUMN()),INDEX(MO_Common_QEndDate,0,COLUMN())),"N/A")</f>
        <v/>
      </c>
      <c r="AA1064" s="1888">
        <f>IFERROR(CIQLO(MO.Ticker.CapIQ,"IQ_LASTSALEPRICE",INDEX(MO_SNA_FPStartDate,0,COLUMN()),INDEX(MO_Common_QEndDate,0,COLUMN())),"N/A")</f>
        <v/>
      </c>
      <c r="AB1064" s="1888">
        <f>IFERROR(CIQLO(MO.Ticker.CapIQ,"IQ_LASTSALEPRICE",INDEX(MO_SNA_FPStartDate,0,COLUMN()),INDEX(MO_Common_QEndDate,0,COLUMN())),"N/A")</f>
        <v/>
      </c>
      <c r="AC1064" s="1888">
        <f>IFERROR(CIQLO(MO.Ticker.CapIQ,"IQ_LASTSALEPRICE",INDEX(MO_SNA_FPStartDate,0,COLUMN()),INDEX(MO_Common_QEndDate,0,COLUMN())),"N/A")</f>
        <v/>
      </c>
      <c r="AD1064" s="1888">
        <f>IFERROR(CIQLO(MO.Ticker.CapIQ,"IQ_LASTSALEPRICE",INDEX(MO_SNA_FPStartDate,0,COLUMN()),INDEX(MO_Common_QEndDate,0,COLUMN())),"N/A")</f>
        <v/>
      </c>
      <c r="AE1064" s="1888">
        <f>IFERROR(CIQLO(MO.Ticker.CapIQ,"IQ_LASTSALEPRICE",INDEX(MO_SNA_FPStartDate,0,COLUMN()),INDEX(MO_Common_QEndDate,0,COLUMN())),"N/A")</f>
        <v/>
      </c>
      <c r="AF1064" s="1888">
        <f>IFERROR(CIQLO(MO.Ticker.CapIQ,"IQ_LASTSALEPRICE",INDEX(MO_SNA_FPStartDate,0,COLUMN()),INDEX(MO_Common_QEndDate,0,COLUMN())),"N/A")</f>
        <v/>
      </c>
      <c r="AG1064" s="1888">
        <f>IFERROR(CIQLO(MO.Ticker.CapIQ,"IQ_LASTSALEPRICE",INDEX(MO_SNA_FPStartDate,0,COLUMN()),INDEX(MO_Common_QEndDate,0,COLUMN())),"N/A")</f>
        <v/>
      </c>
      <c r="AH1064" s="1888">
        <f>IFERROR(CIQLO(MO.Ticker.CapIQ,"IQ_LASTSALEPRICE",INDEX(MO_SNA_FPStartDate,0,COLUMN()),INDEX(MO_Common_QEndDate,0,COLUMN())),"N/A")</f>
        <v/>
      </c>
      <c r="AI1064" s="1888">
        <f>IFERROR(CIQLO(MO.Ticker.CapIQ,"IQ_LASTSALEPRICE",INDEX(MO_SNA_FPStartDate,0,COLUMN()),INDEX(MO_Common_QEndDate,0,COLUMN())),"N/A")</f>
        <v/>
      </c>
      <c r="AJ1064" s="1888">
        <f>IFERROR(CIQLO(MO.Ticker.CapIQ,"IQ_LASTSALEPRICE",INDEX(MO_SNA_FPStartDate,0,COLUMN()),INDEX(MO_Common_QEndDate,0,COLUMN())),"N/A")</f>
        <v/>
      </c>
      <c r="AK1064" s="1888">
        <f>IFERROR(CIQLO(MO.Ticker.CapIQ,"IQ_LASTSALEPRICE",INDEX(MO_SNA_FPStartDate,0,COLUMN()),INDEX(MO_Common_QEndDate,0,COLUMN())),"N/A")</f>
        <v/>
      </c>
      <c r="AL1064" s="1888">
        <f>IFERROR(CIQLO(MO.Ticker.CapIQ,"IQ_LASTSALEPRICE",INDEX(MO_SNA_FPStartDate,0,COLUMN()),INDEX(MO_Common_QEndDate,0,COLUMN())),"N/A")</f>
        <v/>
      </c>
      <c r="AM1064" s="1888">
        <f>IFERROR(CIQLO(MO.Ticker.CapIQ,"IQ_LASTSALEPRICE",INDEX(MO_SNA_FPStartDate,0,COLUMN()),INDEX(MO_Common_QEndDate,0,COLUMN())),"N/A")</f>
        <v/>
      </c>
      <c r="AN1064" s="1888">
        <f>IFERROR(CIQLO(MO.Ticker.CapIQ,"IQ_LASTSALEPRICE",INDEX(MO_SNA_FPStartDate,0,COLUMN()),INDEX(MO_Common_QEndDate,0,COLUMN())),"N/A")</f>
        <v/>
      </c>
      <c r="AO1064" s="1888">
        <f>IFERROR(CIQLO(MO.Ticker.CapIQ,"IQ_LASTSALEPRICE",INDEX(MO_SNA_FPStartDate,0,COLUMN()),INDEX(MO_Common_QEndDate,0,COLUMN())),"N/A")</f>
        <v/>
      </c>
      <c r="AP1064" s="1888">
        <f>IFERROR(CIQLO(MO.Ticker.CapIQ,"IQ_LASTSALEPRICE",INDEX(MO_SNA_FPStartDate,0,COLUMN()),INDEX(MO_Common_QEndDate,0,COLUMN())),"N/A")</f>
        <v/>
      </c>
      <c r="AQ1064" s="1888">
        <f>IFERROR(CIQLO(MO.Ticker.CapIQ,"IQ_LASTSALEPRICE",INDEX(MO_SNA_FPStartDate,0,COLUMN()),INDEX(MO_Common_QEndDate,0,COLUMN())),"N/A")</f>
        <v/>
      </c>
      <c r="AR1064" s="1888">
        <f>IFERROR(CIQLO(MO.Ticker.CapIQ,"IQ_LASTSALEPRICE",INDEX(MO_SNA_FPStartDate,0,COLUMN()),INDEX(MO_Common_QEndDate,0,COLUMN())),"N/A")</f>
        <v/>
      </c>
      <c r="AS1064" s="1888">
        <f>IFERROR(CIQLO(MO.Ticker.CapIQ,"IQ_LASTSALEPRICE",INDEX(MO_SNA_FPStartDate,0,COLUMN()),INDEX(MO_Common_QEndDate,0,COLUMN())),"N/A")</f>
        <v/>
      </c>
      <c r="AT1064" s="1888">
        <f>IFERROR(CIQLO(MO.Ticker.CapIQ,"IQ_LASTSALEPRICE",INDEX(MO_SNA_FPStartDate,0,COLUMN()),INDEX(MO_Common_QEndDate,0,COLUMN())),"N/A")</f>
        <v/>
      </c>
      <c r="AU1064" s="1888">
        <f>IFERROR(CIQLO(MO.Ticker.CapIQ,"IQ_LASTSALEPRICE",INDEX(MO_SNA_FPStartDate,0,COLUMN()),INDEX(MO_Common_QEndDate,0,COLUMN())),"N/A")</f>
        <v/>
      </c>
      <c r="AV1064" s="1888">
        <f>IFERROR(CIQLO(MO.Ticker.CapIQ,"IQ_LASTSALEPRICE",INDEX(MO_SNA_FPStartDate,0,COLUMN()),INDEX(MO_Common_QEndDate,0,COLUMN())),"N/A")</f>
        <v/>
      </c>
      <c r="AW1064" s="1888">
        <f>IFERROR(CIQLO(MO.Ticker.CapIQ,"IQ_LASTSALEPRICE",INDEX(MO_SNA_FPStartDate,0,COLUMN()),INDEX(MO_Common_QEndDate,0,COLUMN())),"N/A")</f>
        <v/>
      </c>
      <c r="AX1064" s="1888">
        <f>IFERROR(CIQLO(MO.Ticker.CapIQ,"IQ_LASTSALEPRICE",INDEX(MO_SNA_FPStartDate,0,COLUMN()),INDEX(MO_Common_QEndDate,0,COLUMN())),"N/A")</f>
        <v/>
      </c>
      <c r="AY1064" s="1888">
        <f>IFERROR(CIQLO(MO.Ticker.CapIQ,"IQ_LASTSALEPRICE",INDEX(MO_SNA_FPStartDate,0,COLUMN()),INDEX(MO_Common_QEndDate,0,COLUMN())),"N/A")</f>
        <v/>
      </c>
      <c r="AZ1064" s="1888">
        <f>IFERROR(CIQLO(MO.Ticker.CapIQ,"IQ_LASTSALEPRICE",INDEX(MO_SNA_FPStartDate,0,COLUMN()),INDEX(MO_Common_QEndDate,0,COLUMN())),"N/A")</f>
        <v/>
      </c>
      <c r="BA1064" s="1888">
        <f>IFERROR(CIQLO(MO.Ticker.CapIQ,"IQ_LASTSALEPRICE",INDEX(MO_SNA_FPStartDate,0,COLUMN()),INDEX(MO_Common_QEndDate,0,COLUMN())),"N/A")</f>
        <v/>
      </c>
      <c r="BB1064" s="1888">
        <f>IFERROR(CIQLO(MO.Ticker.CapIQ,"IQ_LASTSALEPRICE",INDEX(MO_SNA_FPStartDate,0,COLUMN()),INDEX(MO_Common_QEndDate,0,COLUMN())),"N/A")</f>
        <v/>
      </c>
      <c r="BC1064" s="1888">
        <f>IFERROR(CIQLO(MO.Ticker.CapIQ,"IQ_LASTSALEPRICE",INDEX(MO_SNA_FPStartDate,0,COLUMN()),INDEX(MO_Common_QEndDate,0,COLUMN())),"N/A")</f>
        <v/>
      </c>
      <c r="BD1064" s="1888">
        <f>IFERROR(CIQLO(MO.Ticker.CapIQ,"IQ_LASTSALEPRICE",INDEX(MO_SNA_FPStartDate,0,COLUMN()),INDEX(MO_Common_QEndDate,0,COLUMN())),"N/A")</f>
        <v/>
      </c>
      <c r="BE1064" s="1888">
        <f>IFERROR(CIQLO(MO.Ticker.CapIQ,"IQ_LASTSALEPRICE",INDEX(MO_SNA_FPStartDate,0,COLUMN()),INDEX(MO_Common_QEndDate,0,COLUMN())),"N/A")</f>
        <v/>
      </c>
      <c r="BF1064" s="1888">
        <f>IFERROR(CIQLO(MO.Ticker.CapIQ,"IQ_LASTSALEPRICE",INDEX(MO_SNA_FPStartDate,0,COLUMN()),INDEX(MO_Common_QEndDate,0,COLUMN())),"N/A")</f>
        <v/>
      </c>
      <c r="BG1064" s="1888">
        <f>IFERROR(CIQLO(MO.Ticker.CapIQ,"IQ_LASTSALEPRICE",INDEX(MO_SNA_FPStartDate,0,COLUMN()),INDEX(MO_Common_QEndDate,0,COLUMN())),"N/A")</f>
        <v/>
      </c>
      <c r="BH1064" s="1888">
        <f>IFERROR(CIQLO(MO.Ticker.CapIQ,"IQ_LASTSALEPRICE",INDEX(MO_SNA_FPStartDate,0,COLUMN()),INDEX(MO_Common_QEndDate,0,COLUMN())),"N/A")</f>
        <v/>
      </c>
      <c r="BI1064" s="1888">
        <f>IFERROR(CIQLO(MO.Ticker.CapIQ,"IQ_LASTSALEPRICE",INDEX(MO_SNA_FPStartDate,0,COLUMN()),INDEX(MO_Common_QEndDate,0,COLUMN())),"N/A")</f>
        <v/>
      </c>
      <c r="BJ1064" s="1888">
        <f>IFERROR(CIQLO(MO.Ticker.CapIQ,"IQ_LASTSALEPRICE",INDEX(MO_SNA_FPStartDate,0,COLUMN()),INDEX(MO_Common_QEndDate,0,COLUMN())),"N/A")</f>
        <v/>
      </c>
      <c r="BK1064" s="1888">
        <f>IFERROR(CIQLO(MO.Ticker.CapIQ,"IQ_LASTSALEPRICE",INDEX(MO_SNA_FPStartDate,0,COLUMN()),INDEX(MO_Common_QEndDate,0,COLUMN())),"N/A")</f>
        <v/>
      </c>
      <c r="BL1064" s="1888">
        <f>IFERROR(CIQLO(MO.Ticker.CapIQ,"IQ_LASTSALEPRICE",INDEX(MO_SNA_FPStartDate,0,COLUMN()),INDEX(MO_Common_QEndDate,0,COLUMN())),"N/A")</f>
        <v/>
      </c>
      <c r="BM1064" s="1888">
        <f>IFERROR(CIQLO(MO.Ticker.CapIQ,"IQ_LASTSALEPRICE",INDEX(MO_SNA_FPStartDate,0,COLUMN()),INDEX(MO_Common_QEndDate,0,COLUMN())),"N/A")</f>
        <v/>
      </c>
      <c r="BN1064" s="1888">
        <f>IFERROR(CIQLO(MO.Ticker.CapIQ,"IQ_LASTSALEPRICE",INDEX(MO_SNA_FPStartDate,0,COLUMN()),INDEX(MO_Common_QEndDate,0,COLUMN())),"N/A")</f>
        <v/>
      </c>
      <c r="BO1064" s="1890">
        <f>IFERROR(CIQLO(MO.Ticker.CapIQ,"IQ_LASTSALEPRICE",INDEX(MO_SNA_FPStartDate,0,COLUMN()),INDEX(MO_Common_QEndDate,0,COLUMN())),"N/A")</f>
        <v/>
      </c>
      <c r="BP1064" s="1888">
        <f>IFERROR(CIQLO(MO.Ticker.CapIQ,"IQ_LASTSALEPRICE",INDEX(MO_SNA_FPStartDate,0,COLUMN()),INDEX(MO_Common_QEndDate,0,COLUMN())),"N/A")</f>
        <v/>
      </c>
      <c r="BQ1064" s="1888">
        <f>IFERROR(CIQLO(MO.Ticker.CapIQ,"IQ_LASTSALEPRICE",INDEX(MO_SNA_FPStartDate,0,COLUMN()),INDEX(MO_Common_QEndDate,0,COLUMN())),"N/A")</f>
        <v/>
      </c>
      <c r="BR1064" s="1888">
        <f>IFERROR(CIQLO(MO.Ticker.CapIQ,"IQ_LASTSALEPRICE",INDEX(MO_SNA_FPStartDate,0,COLUMN()),INDEX(MO_Common_QEndDate,0,COLUMN())),"N/A")</f>
        <v/>
      </c>
      <c r="BS1064" s="1888">
        <f>IFERROR(CIQLO(MO.Ticker.CapIQ,"IQ_LASTSALEPRICE",INDEX(MO_SNA_FPStartDate,0,COLUMN()),INDEX(MO_Common_QEndDate,0,COLUMN())),"N/A")</f>
        <v/>
      </c>
      <c r="BT1064" s="1888">
        <f>IFERROR(CIQLO(MO.Ticker.CapIQ,"IQ_LASTSALEPRICE",INDEX(MO_SNA_FPStartDate,0,COLUMN()),INDEX(MO_Common_QEndDate,0,COLUMN())),"N/A")</f>
        <v/>
      </c>
      <c r="BU1064" s="1888">
        <f>IFERROR(CIQLO(MO.Ticker.CapIQ,"IQ_LASTSALEPRICE",INDEX(MO_SNA_FPStartDate,0,COLUMN()),INDEX(MO_Common_QEndDate,0,COLUMN())),"N/A")</f>
        <v/>
      </c>
      <c r="BV1064" s="1888">
        <f>IFERROR(CIQLO(MO.Ticker.CapIQ,"IQ_LASTSALEPRICE",INDEX(MO_SNA_FPStartDate,0,COLUMN()),INDEX(MO_Common_QEndDate,0,COLUMN())),"N/A")</f>
        <v/>
      </c>
      <c r="BW1064" s="1888">
        <f>IFERROR(CIQLO(MO.Ticker.CapIQ,"IQ_LASTSALEPRICE",INDEX(MO_SNA_FPStartDate,0,COLUMN()),INDEX(MO_Common_QEndDate,0,COLUMN())),"N/A")</f>
        <v/>
      </c>
      <c r="BX1064" s="1888">
        <f>IFERROR(CIQLO(MO.Ticker.CapIQ,"IQ_LASTSALEPRICE",INDEX(MO_SNA_FPStartDate,0,COLUMN()),INDEX(MO_Common_QEndDate,0,COLUMN())),"N/A")</f>
        <v/>
      </c>
      <c r="BY1064" s="1888">
        <f>IFERROR(CIQLO(MO.Ticker.CapIQ,"IQ_LASTSALEPRICE",INDEX(MO_SNA_FPStartDate,0,COLUMN()),INDEX(MO_Common_QEndDate,0,COLUMN())),"N/A")</f>
        <v/>
      </c>
      <c r="BZ1064" s="1888">
        <f>IFERROR(CIQLO(MO.Ticker.CapIQ,"IQ_LASTSALEPRICE",INDEX(MO_SNA_FPStartDate,0,COLUMN()),INDEX(MO_Common_QEndDate,0,COLUMN())),"N/A")</f>
        <v/>
      </c>
      <c r="CA1064" s="1888">
        <f>IFERROR(CIQLO(MO.Ticker.CapIQ,"IQ_LASTSALEPRICE",INDEX(MO_SNA_FPStartDate,0,COLUMN()),INDEX(MO_Common_QEndDate,0,COLUMN())),"N/A")</f>
        <v/>
      </c>
      <c r="CB1064" s="1891">
        <f>IFERROR(CIQLO(MO.Ticker.CapIQ,"IQ_LASTSALEPRICE",INDEX(MO_SNA_FPStartDate,0,COLUMN()),INDEX(MO_Common_QEndDate,0,COLUMN())),"N/A")</f>
        <v/>
      </c>
      <c r="CC1064" s="1892" t="n"/>
    </row>
    <row r="1065" hidden="1" outlineLevel="1" ht="14.4" customFormat="1" customHeight="1" s="1750">
      <c r="A1065" s="1893" t="inlineStr">
        <is>
          <t>FactSet</t>
        </is>
      </c>
      <c r="B1065" s="1888" t="n"/>
      <c r="C1065" s="1889">
        <f>IFERROR(FDS(MO.Ticker.FactSet,"P_PRICE_LOW"&amp;"("&amp;INDEX(MO_SNA_FPStartDate,0,COLUMN())&amp;","&amp;INDEX(MO_Common_QEndDate,0,COLUMN())&amp;",,,,""PRICE"",""CLOSE"")"),"N/A")</f>
        <v/>
      </c>
      <c r="D1065" s="1889">
        <f>IFERROR(FDS(MO.Ticker.FactSet,"P_PRICE_LOW"&amp;"("&amp;INDEX(MO_SNA_FPStartDate,0,COLUMN())&amp;","&amp;INDEX(MO_Common_QEndDate,0,COLUMN())&amp;",,,,""PRICE"",""CLOSE"")"),"N/A")</f>
        <v/>
      </c>
      <c r="E1065" s="1888">
        <f>IFERROR(FDS(MO.Ticker.FactSet,"P_PRICE_LOW"&amp;"("&amp;INDEX(MO_SNA_FPStartDate,0,COLUMN())&amp;","&amp;INDEX(MO_Common_QEndDate,0,COLUMN())&amp;",,,,""PRICE"",""CLOSE"")"),"N/A")</f>
        <v/>
      </c>
      <c r="F1065" s="1888">
        <f>IFERROR(FDS(MO.Ticker.FactSet,"P_PRICE_LOW"&amp;"("&amp;INDEX(MO_SNA_FPStartDate,0,COLUMN())&amp;","&amp;INDEX(MO_Common_QEndDate,0,COLUMN())&amp;",,,,""PRICE"",""CLOSE"")"),"N/A")</f>
        <v/>
      </c>
      <c r="G1065" s="1888">
        <f>IFERROR(FDS(MO.Ticker.FactSet,"P_PRICE_LOW"&amp;"("&amp;INDEX(MO_SNA_FPStartDate,0,COLUMN())&amp;","&amp;INDEX(MO_Common_QEndDate,0,COLUMN())&amp;",,,,""PRICE"",""CLOSE"")"),"N/A")</f>
        <v/>
      </c>
      <c r="H1065" s="1888">
        <f>IFERROR(FDS(MO.Ticker.FactSet,"P_PRICE_LOW"&amp;"("&amp;INDEX(MO_SNA_FPStartDate,0,COLUMN())&amp;","&amp;INDEX(MO_Common_QEndDate,0,COLUMN())&amp;",,,,""PRICE"",""CLOSE"")"),"N/A")</f>
        <v/>
      </c>
      <c r="I1065" s="1888">
        <f>IFERROR(FDS(MO.Ticker.FactSet,"P_PRICE_LOW"&amp;"("&amp;INDEX(MO_SNA_FPStartDate,0,COLUMN())&amp;","&amp;INDEX(MO_Common_QEndDate,0,COLUMN())&amp;",,,,""PRICE"",""CLOSE"")"),"N/A")</f>
        <v/>
      </c>
      <c r="J1065" s="1888">
        <f>IFERROR(FDS(MO.Ticker.FactSet,"P_PRICE_LOW"&amp;"("&amp;INDEX(MO_SNA_FPStartDate,0,COLUMN())&amp;","&amp;INDEX(MO_Common_QEndDate,0,COLUMN())&amp;",,,,""PRICE"",""CLOSE"")"),"N/A")</f>
        <v/>
      </c>
      <c r="K1065" s="1888">
        <f>IFERROR(FDS(MO.Ticker.FactSet,"P_PRICE_LOW"&amp;"("&amp;INDEX(MO_SNA_FPStartDate,0,COLUMN())&amp;","&amp;INDEX(MO_Common_QEndDate,0,COLUMN())&amp;",,,,""PRICE"",""CLOSE"")"),"N/A")</f>
        <v/>
      </c>
      <c r="L1065" s="1888">
        <f>IFERROR(FDS(MO.Ticker.FactSet,"P_PRICE_LOW"&amp;"("&amp;INDEX(MO_SNA_FPStartDate,0,COLUMN())&amp;","&amp;INDEX(MO_Common_QEndDate,0,COLUMN())&amp;",,,,""PRICE"",""CLOSE"")"),"N/A")</f>
        <v/>
      </c>
      <c r="M1065" s="1888">
        <f>IFERROR(FDS(MO.Ticker.FactSet,"P_PRICE_LOW"&amp;"("&amp;INDEX(MO_SNA_FPStartDate,0,COLUMN())&amp;","&amp;INDEX(MO_Common_QEndDate,0,COLUMN())&amp;",,,,""PRICE"",""CLOSE"")"),"N/A")</f>
        <v/>
      </c>
      <c r="N1065" s="1888">
        <f>IFERROR(FDS(MO.Ticker.FactSet,"P_PRICE_LOW"&amp;"("&amp;INDEX(MO_SNA_FPStartDate,0,COLUMN())&amp;","&amp;INDEX(MO_Common_QEndDate,0,COLUMN())&amp;",,,,""PRICE"",""CLOSE"")"),"N/A")</f>
        <v/>
      </c>
      <c r="O1065" s="1888">
        <f>IFERROR(FDS(MO.Ticker.FactSet,"P_PRICE_LOW"&amp;"("&amp;INDEX(MO_SNA_FPStartDate,0,COLUMN())&amp;","&amp;INDEX(MO_Common_QEndDate,0,COLUMN())&amp;",,,,""PRICE"",""CLOSE"")"),"N/A")</f>
        <v/>
      </c>
      <c r="P1065" s="1888">
        <f>IFERROR(FDS(MO.Ticker.FactSet,"P_PRICE_LOW"&amp;"("&amp;INDEX(MO_SNA_FPStartDate,0,COLUMN())&amp;","&amp;INDEX(MO_Common_QEndDate,0,COLUMN())&amp;",,,,""PRICE"",""CLOSE"")"),"N/A")</f>
        <v/>
      </c>
      <c r="Q1065" s="1888">
        <f>IFERROR(FDS(MO.Ticker.FactSet,"P_PRICE_LOW"&amp;"("&amp;INDEX(MO_SNA_FPStartDate,0,COLUMN())&amp;","&amp;INDEX(MO_Common_QEndDate,0,COLUMN())&amp;",,,,""PRICE"",""CLOSE"")"),"N/A")</f>
        <v/>
      </c>
      <c r="R1065" s="1888">
        <f>IFERROR(FDS(MO.Ticker.FactSet,"P_PRICE_LOW"&amp;"("&amp;INDEX(MO_SNA_FPStartDate,0,COLUMN())&amp;","&amp;INDEX(MO_Common_QEndDate,0,COLUMN())&amp;",,,,""PRICE"",""CLOSE"")"),"N/A")</f>
        <v/>
      </c>
      <c r="S1065" s="1888">
        <f>IFERROR(FDS(MO.Ticker.FactSet,"P_PRICE_LOW"&amp;"("&amp;INDEX(MO_SNA_FPStartDate,0,COLUMN())&amp;","&amp;INDEX(MO_Common_QEndDate,0,COLUMN())&amp;",,,,""PRICE"",""CLOSE"")"),"N/A")</f>
        <v/>
      </c>
      <c r="T1065" s="1888">
        <f>IFERROR(FDS(MO.Ticker.FactSet,"P_PRICE_LOW"&amp;"("&amp;INDEX(MO_SNA_FPStartDate,0,COLUMN())&amp;","&amp;INDEX(MO_Common_QEndDate,0,COLUMN())&amp;",,,,""PRICE"",""CLOSE"")"),"N/A")</f>
        <v/>
      </c>
      <c r="U1065" s="1888">
        <f>IFERROR(FDS(MO.Ticker.FactSet,"P_PRICE_LOW"&amp;"("&amp;INDEX(MO_SNA_FPStartDate,0,COLUMN())&amp;","&amp;INDEX(MO_Common_QEndDate,0,COLUMN())&amp;",,,,""PRICE"",""CLOSE"")"),"N/A")</f>
        <v/>
      </c>
      <c r="V1065" s="1888">
        <f>IFERROR(FDS(MO.Ticker.FactSet,"P_PRICE_LOW"&amp;"("&amp;INDEX(MO_SNA_FPStartDate,0,COLUMN())&amp;","&amp;INDEX(MO_Common_QEndDate,0,COLUMN())&amp;",,,,""PRICE"",""CLOSE"")"),"N/A")</f>
        <v/>
      </c>
      <c r="W1065" s="1888">
        <f>IFERROR(FDS(MO.Ticker.FactSet,"P_PRICE_LOW"&amp;"("&amp;INDEX(MO_SNA_FPStartDate,0,COLUMN())&amp;","&amp;INDEX(MO_Common_QEndDate,0,COLUMN())&amp;",,,,""PRICE"",""CLOSE"")"),"N/A")</f>
        <v/>
      </c>
      <c r="X1065" s="1888">
        <f>IFERROR(FDS(MO.Ticker.FactSet,"P_PRICE_LOW"&amp;"("&amp;INDEX(MO_SNA_FPStartDate,0,COLUMN())&amp;","&amp;INDEX(MO_Common_QEndDate,0,COLUMN())&amp;",,,,""PRICE"",""CLOSE"")"),"N/A")</f>
        <v/>
      </c>
      <c r="Y1065" s="1888">
        <f>IFERROR(FDS(MO.Ticker.FactSet,"P_PRICE_LOW"&amp;"("&amp;INDEX(MO_SNA_FPStartDate,0,COLUMN())&amp;","&amp;INDEX(MO_Common_QEndDate,0,COLUMN())&amp;",,,,""PRICE"",""CLOSE"")"),"N/A")</f>
        <v/>
      </c>
      <c r="Z1065" s="1888">
        <f>IFERROR(FDS(MO.Ticker.FactSet,"P_PRICE_LOW"&amp;"("&amp;INDEX(MO_SNA_FPStartDate,0,COLUMN())&amp;","&amp;INDEX(MO_Common_QEndDate,0,COLUMN())&amp;",,,,""PRICE"",""CLOSE"")"),"N/A")</f>
        <v/>
      </c>
      <c r="AA1065" s="1888">
        <f>IFERROR(FDS(MO.Ticker.FactSet,"P_PRICE_LOW"&amp;"("&amp;INDEX(MO_SNA_FPStartDate,0,COLUMN())&amp;","&amp;INDEX(MO_Common_QEndDate,0,COLUMN())&amp;",,,,""PRICE"",""CLOSE"")"),"N/A")</f>
        <v/>
      </c>
      <c r="AB1065" s="1888">
        <f>IFERROR(FDS(MO.Ticker.FactSet,"P_PRICE_LOW"&amp;"("&amp;INDEX(MO_SNA_FPStartDate,0,COLUMN())&amp;","&amp;INDEX(MO_Common_QEndDate,0,COLUMN())&amp;",,,,""PRICE"",""CLOSE"")"),"N/A")</f>
        <v/>
      </c>
      <c r="AC1065" s="1888">
        <f>IFERROR(FDS(MO.Ticker.FactSet,"P_PRICE_LOW"&amp;"("&amp;INDEX(MO_SNA_FPStartDate,0,COLUMN())&amp;","&amp;INDEX(MO_Common_QEndDate,0,COLUMN())&amp;",,,,""PRICE"",""CLOSE"")"),"N/A")</f>
        <v/>
      </c>
      <c r="AD1065" s="1888">
        <f>IFERROR(FDS(MO.Ticker.FactSet,"P_PRICE_LOW"&amp;"("&amp;INDEX(MO_SNA_FPStartDate,0,COLUMN())&amp;","&amp;INDEX(MO_Common_QEndDate,0,COLUMN())&amp;",,,,""PRICE"",""CLOSE"")"),"N/A")</f>
        <v/>
      </c>
      <c r="AE1065" s="1888">
        <f>IFERROR(FDS(MO.Ticker.FactSet,"P_PRICE_LOW"&amp;"("&amp;INDEX(MO_SNA_FPStartDate,0,COLUMN())&amp;","&amp;INDEX(MO_Common_QEndDate,0,COLUMN())&amp;",,,,""PRICE"",""CLOSE"")"),"N/A")</f>
        <v/>
      </c>
      <c r="AF1065" s="1888">
        <f>IFERROR(FDS(MO.Ticker.FactSet,"P_PRICE_LOW"&amp;"("&amp;INDEX(MO_SNA_FPStartDate,0,COLUMN())&amp;","&amp;INDEX(MO_Common_QEndDate,0,COLUMN())&amp;",,,,""PRICE"",""CLOSE"")"),"N/A")</f>
        <v/>
      </c>
      <c r="AG1065" s="1888">
        <f>IFERROR(FDS(MO.Ticker.FactSet,"P_PRICE_LOW"&amp;"("&amp;INDEX(MO_SNA_FPStartDate,0,COLUMN())&amp;","&amp;INDEX(MO_Common_QEndDate,0,COLUMN())&amp;",,,,""PRICE"",""CLOSE"")"),"N/A")</f>
        <v/>
      </c>
      <c r="AH1065" s="1888">
        <f>IFERROR(FDS(MO.Ticker.FactSet,"P_PRICE_LOW"&amp;"("&amp;INDEX(MO_SNA_FPStartDate,0,COLUMN())&amp;","&amp;INDEX(MO_Common_QEndDate,0,COLUMN())&amp;",,,,""PRICE"",""CLOSE"")"),"N/A")</f>
        <v/>
      </c>
      <c r="AI1065" s="1888">
        <f>IFERROR(FDS(MO.Ticker.FactSet,"P_PRICE_LOW"&amp;"("&amp;INDEX(MO_SNA_FPStartDate,0,COLUMN())&amp;","&amp;INDEX(MO_Common_QEndDate,0,COLUMN())&amp;",,,,""PRICE"",""CLOSE"")"),"N/A")</f>
        <v/>
      </c>
      <c r="AJ1065" s="1888">
        <f>IFERROR(FDS(MO.Ticker.FactSet,"P_PRICE_LOW"&amp;"("&amp;INDEX(MO_SNA_FPStartDate,0,COLUMN())&amp;","&amp;INDEX(MO_Common_QEndDate,0,COLUMN())&amp;",,,,""PRICE"",""CLOSE"")"),"N/A")</f>
        <v/>
      </c>
      <c r="AK1065" s="1888">
        <f>IFERROR(FDS(MO.Ticker.FactSet,"P_PRICE_LOW"&amp;"("&amp;INDEX(MO_SNA_FPStartDate,0,COLUMN())&amp;","&amp;INDEX(MO_Common_QEndDate,0,COLUMN())&amp;",,,,""PRICE"",""CLOSE"")"),"N/A")</f>
        <v/>
      </c>
      <c r="AL1065" s="1888">
        <f>IFERROR(FDS(MO.Ticker.FactSet,"P_PRICE_LOW"&amp;"("&amp;INDEX(MO_SNA_FPStartDate,0,COLUMN())&amp;","&amp;INDEX(MO_Common_QEndDate,0,COLUMN())&amp;",,,,""PRICE"",""CLOSE"")"),"N/A")</f>
        <v/>
      </c>
      <c r="AM1065" s="1888">
        <f>IFERROR(FDS(MO.Ticker.FactSet,"P_PRICE_LOW"&amp;"("&amp;INDEX(MO_SNA_FPStartDate,0,COLUMN())&amp;","&amp;INDEX(MO_Common_QEndDate,0,COLUMN())&amp;",,,,""PRICE"",""CLOSE"")"),"N/A")</f>
        <v/>
      </c>
      <c r="AN1065" s="1888">
        <f>IFERROR(FDS(MO.Ticker.FactSet,"P_PRICE_LOW"&amp;"("&amp;INDEX(MO_SNA_FPStartDate,0,COLUMN())&amp;","&amp;INDEX(MO_Common_QEndDate,0,COLUMN())&amp;",,,,""PRICE"",""CLOSE"")"),"N/A")</f>
        <v/>
      </c>
      <c r="AO1065" s="1888">
        <f>IFERROR(FDS(MO.Ticker.FactSet,"P_PRICE_LOW"&amp;"("&amp;INDEX(MO_SNA_FPStartDate,0,COLUMN())&amp;","&amp;INDEX(MO_Common_QEndDate,0,COLUMN())&amp;",,,,""PRICE"",""CLOSE"")"),"N/A")</f>
        <v/>
      </c>
      <c r="AP1065" s="1888">
        <f>IFERROR(FDS(MO.Ticker.FactSet,"P_PRICE_LOW"&amp;"("&amp;INDEX(MO_SNA_FPStartDate,0,COLUMN())&amp;","&amp;INDEX(MO_Common_QEndDate,0,COLUMN())&amp;",,,,""PRICE"",""CLOSE"")"),"N/A")</f>
        <v/>
      </c>
      <c r="AQ1065" s="1888">
        <f>IFERROR(FDS(MO.Ticker.FactSet,"P_PRICE_LOW"&amp;"("&amp;INDEX(MO_SNA_FPStartDate,0,COLUMN())&amp;","&amp;INDEX(MO_Common_QEndDate,0,COLUMN())&amp;",,,,""PRICE"",""CLOSE"")"),"N/A")</f>
        <v/>
      </c>
      <c r="AR1065" s="1888">
        <f>IFERROR(FDS(MO.Ticker.FactSet,"P_PRICE_LOW"&amp;"("&amp;INDEX(MO_SNA_FPStartDate,0,COLUMN())&amp;","&amp;INDEX(MO_Common_QEndDate,0,COLUMN())&amp;",,,,""PRICE"",""CLOSE"")"),"N/A")</f>
        <v/>
      </c>
      <c r="AS1065" s="1888">
        <f>IFERROR(FDS(MO.Ticker.FactSet,"P_PRICE_LOW"&amp;"("&amp;INDEX(MO_SNA_FPStartDate,0,COLUMN())&amp;","&amp;INDEX(MO_Common_QEndDate,0,COLUMN())&amp;",,,,""PRICE"",""CLOSE"")"),"N/A")</f>
        <v/>
      </c>
      <c r="AT1065" s="1888">
        <f>IFERROR(FDS(MO.Ticker.FactSet,"P_PRICE_LOW"&amp;"("&amp;INDEX(MO_SNA_FPStartDate,0,COLUMN())&amp;","&amp;INDEX(MO_Common_QEndDate,0,COLUMN())&amp;",,,,""PRICE"",""CLOSE"")"),"N/A")</f>
        <v/>
      </c>
      <c r="AU1065" s="1888">
        <f>IFERROR(FDS(MO.Ticker.FactSet,"P_PRICE_LOW"&amp;"("&amp;INDEX(MO_SNA_FPStartDate,0,COLUMN())&amp;","&amp;INDEX(MO_Common_QEndDate,0,COLUMN())&amp;",,,,""PRICE"",""CLOSE"")"),"N/A")</f>
        <v/>
      </c>
      <c r="AV1065" s="1888">
        <f>IFERROR(FDS(MO.Ticker.FactSet,"P_PRICE_LOW"&amp;"("&amp;INDEX(MO_SNA_FPStartDate,0,COLUMN())&amp;","&amp;INDEX(MO_Common_QEndDate,0,COLUMN())&amp;",,,,""PRICE"",""CLOSE"")"),"N/A")</f>
        <v/>
      </c>
      <c r="AW1065" s="1888">
        <f>IFERROR(FDS(MO.Ticker.FactSet,"P_PRICE_LOW"&amp;"("&amp;INDEX(MO_SNA_FPStartDate,0,COLUMN())&amp;","&amp;INDEX(MO_Common_QEndDate,0,COLUMN())&amp;",,,,""PRICE"",""CLOSE"")"),"N/A")</f>
        <v/>
      </c>
      <c r="AX1065" s="1888">
        <f>IFERROR(FDS(MO.Ticker.FactSet,"P_PRICE_LOW"&amp;"("&amp;INDEX(MO_SNA_FPStartDate,0,COLUMN())&amp;","&amp;INDEX(MO_Common_QEndDate,0,COLUMN())&amp;",,,,""PRICE"",""CLOSE"")"),"N/A")</f>
        <v/>
      </c>
      <c r="AY1065" s="1888">
        <f>IFERROR(FDS(MO.Ticker.FactSet,"P_PRICE_LOW"&amp;"("&amp;INDEX(MO_SNA_FPStartDate,0,COLUMN())&amp;","&amp;INDEX(MO_Common_QEndDate,0,COLUMN())&amp;",,,,""PRICE"",""CLOSE"")"),"N/A")</f>
        <v/>
      </c>
      <c r="AZ1065" s="1888">
        <f>IFERROR(FDS(MO.Ticker.FactSet,"P_PRICE_LOW"&amp;"("&amp;INDEX(MO_SNA_FPStartDate,0,COLUMN())&amp;","&amp;INDEX(MO_Common_QEndDate,0,COLUMN())&amp;",,,,""PRICE"",""CLOSE"")"),"N/A")</f>
        <v/>
      </c>
      <c r="BA1065" s="1888">
        <f>IFERROR(FDS(MO.Ticker.FactSet,"P_PRICE_LOW"&amp;"("&amp;INDEX(MO_SNA_FPStartDate,0,COLUMN())&amp;","&amp;INDEX(MO_Common_QEndDate,0,COLUMN())&amp;",,,,""PRICE"",""CLOSE"")"),"N/A")</f>
        <v/>
      </c>
      <c r="BB1065" s="1888">
        <f>IFERROR(FDS(MO.Ticker.FactSet,"P_PRICE_LOW"&amp;"("&amp;INDEX(MO_SNA_FPStartDate,0,COLUMN())&amp;","&amp;INDEX(MO_Common_QEndDate,0,COLUMN())&amp;",,,,""PRICE"",""CLOSE"")"),"N/A")</f>
        <v/>
      </c>
      <c r="BC1065" s="1888">
        <f>IFERROR(FDS(MO.Ticker.FactSet,"P_PRICE_LOW"&amp;"("&amp;INDEX(MO_SNA_FPStartDate,0,COLUMN())&amp;","&amp;INDEX(MO_Common_QEndDate,0,COLUMN())&amp;",,,,""PRICE"",""CLOSE"")"),"N/A")</f>
        <v/>
      </c>
      <c r="BD1065" s="1888">
        <f>IFERROR(FDS(MO.Ticker.FactSet,"P_PRICE_LOW"&amp;"("&amp;INDEX(MO_SNA_FPStartDate,0,COLUMN())&amp;","&amp;INDEX(MO_Common_QEndDate,0,COLUMN())&amp;",,,,""PRICE"",""CLOSE"")"),"N/A")</f>
        <v/>
      </c>
      <c r="BE1065" s="1888">
        <f>IFERROR(FDS(MO.Ticker.FactSet,"P_PRICE_LOW"&amp;"("&amp;INDEX(MO_SNA_FPStartDate,0,COLUMN())&amp;","&amp;INDEX(MO_Common_QEndDate,0,COLUMN())&amp;",,,,""PRICE"",""CLOSE"")"),"N/A")</f>
        <v/>
      </c>
      <c r="BF1065" s="1888">
        <f>IFERROR(FDS(MO.Ticker.FactSet,"P_PRICE_LOW"&amp;"("&amp;INDEX(MO_SNA_FPStartDate,0,COLUMN())&amp;","&amp;INDEX(MO_Common_QEndDate,0,COLUMN())&amp;",,,,""PRICE"",""CLOSE"")"),"N/A")</f>
        <v/>
      </c>
      <c r="BG1065" s="1888">
        <f>IFERROR(FDS(MO.Ticker.FactSet,"P_PRICE_LOW"&amp;"("&amp;INDEX(MO_SNA_FPStartDate,0,COLUMN())&amp;","&amp;INDEX(MO_Common_QEndDate,0,COLUMN())&amp;",,,,""PRICE"",""CLOSE"")"),"N/A")</f>
        <v/>
      </c>
      <c r="BH1065" s="1888">
        <f>IFERROR(FDS(MO.Ticker.FactSet,"P_PRICE_LOW"&amp;"("&amp;INDEX(MO_SNA_FPStartDate,0,COLUMN())&amp;","&amp;INDEX(MO_Common_QEndDate,0,COLUMN())&amp;",,,,""PRICE"",""CLOSE"")"),"N/A")</f>
        <v/>
      </c>
      <c r="BI1065" s="1888">
        <f>IFERROR(FDS(MO.Ticker.FactSet,"P_PRICE_LOW"&amp;"("&amp;INDEX(MO_SNA_FPStartDate,0,COLUMN())&amp;","&amp;INDEX(MO_Common_QEndDate,0,COLUMN())&amp;",,,,""PRICE"",""CLOSE"")"),"N/A")</f>
        <v/>
      </c>
      <c r="BJ1065" s="1888">
        <f>IFERROR(FDS(MO.Ticker.FactSet,"P_PRICE_LOW"&amp;"("&amp;INDEX(MO_SNA_FPStartDate,0,COLUMN())&amp;","&amp;INDEX(MO_Common_QEndDate,0,COLUMN())&amp;",,,,""PRICE"",""CLOSE"")"),"N/A")</f>
        <v/>
      </c>
      <c r="BK1065" s="1888">
        <f>IFERROR(FDS(MO.Ticker.FactSet,"P_PRICE_LOW"&amp;"("&amp;INDEX(MO_SNA_FPStartDate,0,COLUMN())&amp;","&amp;INDEX(MO_Common_QEndDate,0,COLUMN())&amp;",,,,""PRICE"",""CLOSE"")"),"N/A")</f>
        <v/>
      </c>
      <c r="BL1065" s="1888">
        <f>IFERROR(FDS(MO.Ticker.FactSet,"P_PRICE_LOW"&amp;"("&amp;INDEX(MO_SNA_FPStartDate,0,COLUMN())&amp;","&amp;INDEX(MO_Common_QEndDate,0,COLUMN())&amp;",,,,""PRICE"",""CLOSE"")"),"N/A")</f>
        <v/>
      </c>
      <c r="BM1065" s="1888">
        <f>IFERROR(FDS(MO.Ticker.FactSet,"P_PRICE_LOW"&amp;"("&amp;INDEX(MO_SNA_FPStartDate,0,COLUMN())&amp;","&amp;INDEX(MO_Common_QEndDate,0,COLUMN())&amp;",,,,""PRICE"",""CLOSE"")"),"N/A")</f>
        <v/>
      </c>
      <c r="BN1065" s="1888">
        <f>IFERROR(FDS(MO.Ticker.FactSet,"P_PRICE_LOW"&amp;"("&amp;INDEX(MO_SNA_FPStartDate,0,COLUMN())&amp;","&amp;INDEX(MO_Common_QEndDate,0,COLUMN())&amp;",,,,""PRICE"",""CLOSE"")"),"N/A")</f>
        <v/>
      </c>
      <c r="BO1065" s="1890">
        <f>IFERROR(FDS(MO.Ticker.FactSet,"P_PRICE_LOW"&amp;"("&amp;INDEX(MO_SNA_FPStartDate,0,COLUMN())&amp;","&amp;INDEX(MO_Common_QEndDate,0,COLUMN())&amp;",,,,""PRICE"",""CLOSE"")"),"N/A")</f>
        <v/>
      </c>
      <c r="BP1065" s="1888">
        <f>IFERROR(FDS(MO.Ticker.FactSet,"P_PRICE_LOW"&amp;"("&amp;INDEX(MO_SNA_FPStartDate,0,COLUMN())&amp;","&amp;INDEX(MO_Common_QEndDate,0,COLUMN())&amp;",,,,""PRICE"",""CLOSE"")"),"N/A")</f>
        <v/>
      </c>
      <c r="BQ1065" s="1888">
        <f>IFERROR(FDS(MO.Ticker.FactSet,"P_PRICE_LOW"&amp;"("&amp;INDEX(MO_SNA_FPStartDate,0,COLUMN())&amp;","&amp;INDEX(MO_Common_QEndDate,0,COLUMN())&amp;",,,,""PRICE"",""CLOSE"")"),"N/A")</f>
        <v/>
      </c>
      <c r="BR1065" s="1888">
        <f>IFERROR(FDS(MO.Ticker.FactSet,"P_PRICE_LOW"&amp;"("&amp;INDEX(MO_SNA_FPStartDate,0,COLUMN())&amp;","&amp;INDEX(MO_Common_QEndDate,0,COLUMN())&amp;",,,,""PRICE"",""CLOSE"")"),"N/A")</f>
        <v/>
      </c>
      <c r="BS1065" s="1888">
        <f>IFERROR(FDS(MO.Ticker.FactSet,"P_PRICE_LOW"&amp;"("&amp;INDEX(MO_SNA_FPStartDate,0,COLUMN())&amp;","&amp;INDEX(MO_Common_QEndDate,0,COLUMN())&amp;",,,,""PRICE"",""CLOSE"")"),"N/A")</f>
        <v/>
      </c>
      <c r="BT1065" s="1888">
        <f>IFERROR(FDS(MO.Ticker.FactSet,"P_PRICE_LOW"&amp;"("&amp;INDEX(MO_SNA_FPStartDate,0,COLUMN())&amp;","&amp;INDEX(MO_Common_QEndDate,0,COLUMN())&amp;",,,,""PRICE"",""CLOSE"")"),"N/A")</f>
        <v/>
      </c>
      <c r="BU1065" s="1888">
        <f>IFERROR(FDS(MO.Ticker.FactSet,"P_PRICE_LOW"&amp;"("&amp;INDEX(MO_SNA_FPStartDate,0,COLUMN())&amp;","&amp;INDEX(MO_Common_QEndDate,0,COLUMN())&amp;",,,,""PRICE"",""CLOSE"")"),"N/A")</f>
        <v/>
      </c>
      <c r="BV1065" s="1888">
        <f>IFERROR(FDS(MO.Ticker.FactSet,"P_PRICE_LOW"&amp;"("&amp;INDEX(MO_SNA_FPStartDate,0,COLUMN())&amp;","&amp;INDEX(MO_Common_QEndDate,0,COLUMN())&amp;",,,,""PRICE"",""CLOSE"")"),"N/A")</f>
        <v/>
      </c>
      <c r="BW1065" s="1888">
        <f>IFERROR(FDS(MO.Ticker.FactSet,"P_PRICE_LOW"&amp;"("&amp;INDEX(MO_SNA_FPStartDate,0,COLUMN())&amp;","&amp;INDEX(MO_Common_QEndDate,0,COLUMN())&amp;",,,,""PRICE"",""CLOSE"")"),"N/A")</f>
        <v/>
      </c>
      <c r="BX1065" s="1888">
        <f>IFERROR(FDS(MO.Ticker.FactSet,"P_PRICE_LOW"&amp;"("&amp;INDEX(MO_SNA_FPStartDate,0,COLUMN())&amp;","&amp;INDEX(MO_Common_QEndDate,0,COLUMN())&amp;",,,,""PRICE"",""CLOSE"")"),"N/A")</f>
        <v/>
      </c>
      <c r="BY1065" s="1888">
        <f>IFERROR(FDS(MO.Ticker.FactSet,"P_PRICE_LOW"&amp;"("&amp;INDEX(MO_SNA_FPStartDate,0,COLUMN())&amp;","&amp;INDEX(MO_Common_QEndDate,0,COLUMN())&amp;",,,,""PRICE"",""CLOSE"")"),"N/A")</f>
        <v/>
      </c>
      <c r="BZ1065" s="1888">
        <f>IFERROR(FDS(MO.Ticker.FactSet,"P_PRICE_LOW"&amp;"("&amp;INDEX(MO_SNA_FPStartDate,0,COLUMN())&amp;","&amp;INDEX(MO_Common_QEndDate,0,COLUMN())&amp;",,,,""PRICE"",""CLOSE"")"),"N/A")</f>
        <v/>
      </c>
      <c r="CA1065" s="1888">
        <f>IFERROR(FDS(MO.Ticker.FactSet,"P_PRICE_LOW"&amp;"("&amp;INDEX(MO_SNA_FPStartDate,0,COLUMN())&amp;","&amp;INDEX(MO_Common_QEndDate,0,COLUMN())&amp;",,,,""PRICE"",""CLOSE"")"),"N/A")</f>
        <v/>
      </c>
      <c r="CB1065" s="1891">
        <f>IFERROR(FDS(MO.Ticker.FactSet,"P_PRICE_LOW"&amp;"("&amp;INDEX(MO_SNA_FPStartDate,0,COLUMN())&amp;","&amp;INDEX(MO_Common_QEndDate,0,COLUMN())&amp;",,,,""PRICE"",""CLOSE"")"),"N/A")</f>
        <v/>
      </c>
      <c r="CC1065" s="1892" t="n"/>
    </row>
    <row r="1066" hidden="1" outlineLevel="1" ht="14.4" customFormat="1" customHeight="1" s="1750">
      <c r="A1066" s="1893" t="inlineStr">
        <is>
          <t>Refinitiv</t>
        </is>
      </c>
      <c r="B1066" s="1888" t="n"/>
      <c r="C1066" s="1889">
        <f>IFERROR(_xll.TR(MO.Ticker.Thomson,"Min(TR.PriceLow)","sdate:#1 edate:#2",,INDEX(MO_SNA_FPStartDate,0,COLUMN()),INDEX(MO_Common_QEndDate,0,COLUMN())),"N/A")</f>
        <v/>
      </c>
      <c r="D1066" s="1889">
        <f>IFERROR(_xll.TR(MO.Ticker.Thomson,"Min(TR.PriceLow)","sdate:#1 edate:#2",,INDEX(MO_SNA_FPStartDate,0,COLUMN()),INDEX(MO_Common_QEndDate,0,COLUMN())),"N/A")</f>
        <v/>
      </c>
      <c r="E1066" s="1888">
        <f>IFERROR(_xll.TR(MO.Ticker.Thomson,"Min(TR.PriceLow)","sdate:#1 edate:#2",,INDEX(MO_SNA_FPStartDate,0,COLUMN()),INDEX(MO_Common_QEndDate,0,COLUMN())),"N/A")</f>
        <v/>
      </c>
      <c r="F1066" s="1888">
        <f>IFERROR(_xll.TR(MO.Ticker.Thomson,"Min(TR.PriceLow)","sdate:#1 edate:#2",,INDEX(MO_SNA_FPStartDate,0,COLUMN()),INDEX(MO_Common_QEndDate,0,COLUMN())),"N/A")</f>
        <v/>
      </c>
      <c r="G1066" s="1888">
        <f>IFERROR(_xll.TR(MO.Ticker.Thomson,"Min(TR.PriceLow)","sdate:#1 edate:#2",,INDEX(MO_SNA_FPStartDate,0,COLUMN()),INDEX(MO_Common_QEndDate,0,COLUMN())),"N/A")</f>
        <v/>
      </c>
      <c r="H1066" s="1888">
        <f>IFERROR(_xll.TR(MO.Ticker.Thomson,"Min(TR.PriceLow)","sdate:#1 edate:#2",,INDEX(MO_SNA_FPStartDate,0,COLUMN()),INDEX(MO_Common_QEndDate,0,COLUMN())),"N/A")</f>
        <v/>
      </c>
      <c r="I1066" s="1888">
        <f>IFERROR(_xll.TR(MO.Ticker.Thomson,"Min(TR.PriceLow)","sdate:#1 edate:#2",,INDEX(MO_SNA_FPStartDate,0,COLUMN()),INDEX(MO_Common_QEndDate,0,COLUMN())),"N/A")</f>
        <v/>
      </c>
      <c r="J1066" s="1888">
        <f>IFERROR(_xll.TR(MO.Ticker.Thomson,"Min(TR.PriceLow)","sdate:#1 edate:#2",,INDEX(MO_SNA_FPStartDate,0,COLUMN()),INDEX(MO_Common_QEndDate,0,COLUMN())),"N/A")</f>
        <v/>
      </c>
      <c r="K1066" s="1888">
        <f>IFERROR(_xll.TR(MO.Ticker.Thomson,"Min(TR.PriceLow)","sdate:#1 edate:#2",,INDEX(MO_SNA_FPStartDate,0,COLUMN()),INDEX(MO_Common_QEndDate,0,COLUMN())),"N/A")</f>
        <v/>
      </c>
      <c r="L1066" s="1888">
        <f>IFERROR(_xll.TR(MO.Ticker.Thomson,"Min(TR.PriceLow)","sdate:#1 edate:#2",,INDEX(MO_SNA_FPStartDate,0,COLUMN()),INDEX(MO_Common_QEndDate,0,COLUMN())),"N/A")</f>
        <v/>
      </c>
      <c r="M1066" s="1888">
        <f>IFERROR(_xll.TR(MO.Ticker.Thomson,"Min(TR.PriceLow)","sdate:#1 edate:#2",,INDEX(MO_SNA_FPStartDate,0,COLUMN()),INDEX(MO_Common_QEndDate,0,COLUMN())),"N/A")</f>
        <v/>
      </c>
      <c r="N1066" s="1888">
        <f>IFERROR(_xll.TR(MO.Ticker.Thomson,"Min(TR.PriceLow)","sdate:#1 edate:#2",,INDEX(MO_SNA_FPStartDate,0,COLUMN()),INDEX(MO_Common_QEndDate,0,COLUMN())),"N/A")</f>
        <v/>
      </c>
      <c r="O1066" s="1888">
        <f>IFERROR(_xll.TR(MO.Ticker.Thomson,"Min(TR.PriceLow)","sdate:#1 edate:#2",,INDEX(MO_SNA_FPStartDate,0,COLUMN()),INDEX(MO_Common_QEndDate,0,COLUMN())),"N/A")</f>
        <v/>
      </c>
      <c r="P1066" s="1888">
        <f>IFERROR(_xll.TR(MO.Ticker.Thomson,"Min(TR.PriceLow)","sdate:#1 edate:#2",,INDEX(MO_SNA_FPStartDate,0,COLUMN()),INDEX(MO_Common_QEndDate,0,COLUMN())),"N/A")</f>
        <v/>
      </c>
      <c r="Q1066" s="1888">
        <f>IFERROR(_xll.TR(MO.Ticker.Thomson,"Min(TR.PriceLow)","sdate:#1 edate:#2",,INDEX(MO_SNA_FPStartDate,0,COLUMN()),INDEX(MO_Common_QEndDate,0,COLUMN())),"N/A")</f>
        <v/>
      </c>
      <c r="R1066" s="1888">
        <f>IFERROR(_xll.TR(MO.Ticker.Thomson,"Min(TR.PriceLow)","sdate:#1 edate:#2",,INDEX(MO_SNA_FPStartDate,0,COLUMN()),INDEX(MO_Common_QEndDate,0,COLUMN())),"N/A")</f>
        <v/>
      </c>
      <c r="S1066" s="1888">
        <f>IFERROR(_xll.TR(MO.Ticker.Thomson,"Min(TR.PriceLow)","sdate:#1 edate:#2",,INDEX(MO_SNA_FPStartDate,0,COLUMN()),INDEX(MO_Common_QEndDate,0,COLUMN())),"N/A")</f>
        <v/>
      </c>
      <c r="T1066" s="1888">
        <f>IFERROR(_xll.TR(MO.Ticker.Thomson,"Min(TR.PriceLow)","sdate:#1 edate:#2",,INDEX(MO_SNA_FPStartDate,0,COLUMN()),INDEX(MO_Common_QEndDate,0,COLUMN())),"N/A")</f>
        <v/>
      </c>
      <c r="U1066" s="1888">
        <f>IFERROR(_xll.TR(MO.Ticker.Thomson,"Min(TR.PriceLow)","sdate:#1 edate:#2",,INDEX(MO_SNA_FPStartDate,0,COLUMN()),INDEX(MO_Common_QEndDate,0,COLUMN())),"N/A")</f>
        <v/>
      </c>
      <c r="V1066" s="1888">
        <f>IFERROR(_xll.TR(MO.Ticker.Thomson,"Min(TR.PriceLow)","sdate:#1 edate:#2",,INDEX(MO_SNA_FPStartDate,0,COLUMN()),INDEX(MO_Common_QEndDate,0,COLUMN())),"N/A")</f>
        <v/>
      </c>
      <c r="W1066" s="1888">
        <f>IFERROR(_xll.TR(MO.Ticker.Thomson,"Min(TR.PriceLow)","sdate:#1 edate:#2",,INDEX(MO_SNA_FPStartDate,0,COLUMN()),INDEX(MO_Common_QEndDate,0,COLUMN())),"N/A")</f>
        <v/>
      </c>
      <c r="X1066" s="1888">
        <f>IFERROR(_xll.TR(MO.Ticker.Thomson,"Min(TR.PriceLow)","sdate:#1 edate:#2",,INDEX(MO_SNA_FPStartDate,0,COLUMN()),INDEX(MO_Common_QEndDate,0,COLUMN())),"N/A")</f>
        <v/>
      </c>
      <c r="Y1066" s="1888">
        <f>IFERROR(_xll.TR(MO.Ticker.Thomson,"Min(TR.PriceLow)","sdate:#1 edate:#2",,INDEX(MO_SNA_FPStartDate,0,COLUMN()),INDEX(MO_Common_QEndDate,0,COLUMN())),"N/A")</f>
        <v/>
      </c>
      <c r="Z1066" s="1888">
        <f>IFERROR(_xll.TR(MO.Ticker.Thomson,"Min(TR.PriceLow)","sdate:#1 edate:#2",,INDEX(MO_SNA_FPStartDate,0,COLUMN()),INDEX(MO_Common_QEndDate,0,COLUMN())),"N/A")</f>
        <v/>
      </c>
      <c r="AA1066" s="1888">
        <f>IFERROR(_xll.TR(MO.Ticker.Thomson,"Min(TR.PriceLow)","sdate:#1 edate:#2",,INDEX(MO_SNA_FPStartDate,0,COLUMN()),INDEX(MO_Common_QEndDate,0,COLUMN())),"N/A")</f>
        <v/>
      </c>
      <c r="AB1066" s="1888">
        <f>IFERROR(_xll.TR(MO.Ticker.Thomson,"Min(TR.PriceLow)","sdate:#1 edate:#2",,INDEX(MO_SNA_FPStartDate,0,COLUMN()),INDEX(MO_Common_QEndDate,0,COLUMN())),"N/A")</f>
        <v/>
      </c>
      <c r="AC1066" s="1888">
        <f>IFERROR(_xll.TR(MO.Ticker.Thomson,"Min(TR.PriceLow)","sdate:#1 edate:#2",,INDEX(MO_SNA_FPStartDate,0,COLUMN()),INDEX(MO_Common_QEndDate,0,COLUMN())),"N/A")</f>
        <v/>
      </c>
      <c r="AD1066" s="1888">
        <f>IFERROR(_xll.TR(MO.Ticker.Thomson,"Min(TR.PriceLow)","sdate:#1 edate:#2",,INDEX(MO_SNA_FPStartDate,0,COLUMN()),INDEX(MO_Common_QEndDate,0,COLUMN())),"N/A")</f>
        <v/>
      </c>
      <c r="AE1066" s="1888">
        <f>IFERROR(_xll.TR(MO.Ticker.Thomson,"Min(TR.PriceLow)","sdate:#1 edate:#2",,INDEX(MO_SNA_FPStartDate,0,COLUMN()),INDEX(MO_Common_QEndDate,0,COLUMN())),"N/A")</f>
        <v/>
      </c>
      <c r="AF1066" s="1888">
        <f>IFERROR(_xll.TR(MO.Ticker.Thomson,"Min(TR.PriceLow)","sdate:#1 edate:#2",,INDEX(MO_SNA_FPStartDate,0,COLUMN()),INDEX(MO_Common_QEndDate,0,COLUMN())),"N/A")</f>
        <v/>
      </c>
      <c r="AG1066" s="1888">
        <f>IFERROR(_xll.TR(MO.Ticker.Thomson,"Min(TR.PriceLow)","sdate:#1 edate:#2",,INDEX(MO_SNA_FPStartDate,0,COLUMN()),INDEX(MO_Common_QEndDate,0,COLUMN())),"N/A")</f>
        <v/>
      </c>
      <c r="AH1066" s="1888">
        <f>IFERROR(_xll.TR(MO.Ticker.Thomson,"Min(TR.PriceLow)","sdate:#1 edate:#2",,INDEX(MO_SNA_FPStartDate,0,COLUMN()),INDEX(MO_Common_QEndDate,0,COLUMN())),"N/A")</f>
        <v/>
      </c>
      <c r="AI1066" s="1888">
        <f>IFERROR(_xll.TR(MO.Ticker.Thomson,"Min(TR.PriceLow)","sdate:#1 edate:#2",,INDEX(MO_SNA_FPStartDate,0,COLUMN()),INDEX(MO_Common_QEndDate,0,COLUMN())),"N/A")</f>
        <v/>
      </c>
      <c r="AJ1066" s="1888">
        <f>IFERROR(_xll.TR(MO.Ticker.Thomson,"Min(TR.PriceLow)","sdate:#1 edate:#2",,INDEX(MO_SNA_FPStartDate,0,COLUMN()),INDEX(MO_Common_QEndDate,0,COLUMN())),"N/A")</f>
        <v/>
      </c>
      <c r="AK1066" s="1888">
        <f>IFERROR(_xll.TR(MO.Ticker.Thomson,"Min(TR.PriceLow)","sdate:#1 edate:#2",,INDEX(MO_SNA_FPStartDate,0,COLUMN()),INDEX(MO_Common_QEndDate,0,COLUMN())),"N/A")</f>
        <v/>
      </c>
      <c r="AL1066" s="1888">
        <f>IFERROR(_xll.TR(MO.Ticker.Thomson,"Min(TR.PriceLow)","sdate:#1 edate:#2",,INDEX(MO_SNA_FPStartDate,0,COLUMN()),INDEX(MO_Common_QEndDate,0,COLUMN())),"N/A")</f>
        <v/>
      </c>
      <c r="AM1066" s="1888">
        <f>IFERROR(_xll.TR(MO.Ticker.Thomson,"Min(TR.PriceLow)","sdate:#1 edate:#2",,INDEX(MO_SNA_FPStartDate,0,COLUMN()),INDEX(MO_Common_QEndDate,0,COLUMN())),"N/A")</f>
        <v/>
      </c>
      <c r="AN1066" s="1888">
        <f>IFERROR(_xll.TR(MO.Ticker.Thomson,"Min(TR.PriceLow)","sdate:#1 edate:#2",,INDEX(MO_SNA_FPStartDate,0,COLUMN()),INDEX(MO_Common_QEndDate,0,COLUMN())),"N/A")</f>
        <v/>
      </c>
      <c r="AO1066" s="1888">
        <f>IFERROR(_xll.TR(MO.Ticker.Thomson,"Min(TR.PriceLow)","sdate:#1 edate:#2",,INDEX(MO_SNA_FPStartDate,0,COLUMN()),INDEX(MO_Common_QEndDate,0,COLUMN())),"N/A")</f>
        <v/>
      </c>
      <c r="AP1066" s="1888">
        <f>IFERROR(_xll.TR(MO.Ticker.Thomson,"Min(TR.PriceLow)","sdate:#1 edate:#2",,INDEX(MO_SNA_FPStartDate,0,COLUMN()),INDEX(MO_Common_QEndDate,0,COLUMN())),"N/A")</f>
        <v/>
      </c>
      <c r="AQ1066" s="1888">
        <f>IFERROR(_xll.TR(MO.Ticker.Thomson,"Min(TR.PriceLow)","sdate:#1 edate:#2",,INDEX(MO_SNA_FPStartDate,0,COLUMN()),INDEX(MO_Common_QEndDate,0,COLUMN())),"N/A")</f>
        <v/>
      </c>
      <c r="AR1066" s="1888">
        <f>IFERROR(_xll.TR(MO.Ticker.Thomson,"Min(TR.PriceLow)","sdate:#1 edate:#2",,INDEX(MO_SNA_FPStartDate,0,COLUMN()),INDEX(MO_Common_QEndDate,0,COLUMN())),"N/A")</f>
        <v/>
      </c>
      <c r="AS1066" s="1888">
        <f>IFERROR(_xll.TR(MO.Ticker.Thomson,"Min(TR.PriceLow)","sdate:#1 edate:#2",,INDEX(MO_SNA_FPStartDate,0,COLUMN()),INDEX(MO_Common_QEndDate,0,COLUMN())),"N/A")</f>
        <v/>
      </c>
      <c r="AT1066" s="1888">
        <f>IFERROR(_xll.TR(MO.Ticker.Thomson,"Min(TR.PriceLow)","sdate:#1 edate:#2",,INDEX(MO_SNA_FPStartDate,0,COLUMN()),INDEX(MO_Common_QEndDate,0,COLUMN())),"N/A")</f>
        <v/>
      </c>
      <c r="AU1066" s="1888">
        <f>IFERROR(_xll.TR(MO.Ticker.Thomson,"Min(TR.PriceLow)","sdate:#1 edate:#2",,INDEX(MO_SNA_FPStartDate,0,COLUMN()),INDEX(MO_Common_QEndDate,0,COLUMN())),"N/A")</f>
        <v/>
      </c>
      <c r="AV1066" s="1888">
        <f>IFERROR(_xll.TR(MO.Ticker.Thomson,"Min(TR.PriceLow)","sdate:#1 edate:#2",,INDEX(MO_SNA_FPStartDate,0,COLUMN()),INDEX(MO_Common_QEndDate,0,COLUMN())),"N/A")</f>
        <v/>
      </c>
      <c r="AW1066" s="1888">
        <f>IFERROR(_xll.TR(MO.Ticker.Thomson,"Min(TR.PriceLow)","sdate:#1 edate:#2",,INDEX(MO_SNA_FPStartDate,0,COLUMN()),INDEX(MO_Common_QEndDate,0,COLUMN())),"N/A")</f>
        <v/>
      </c>
      <c r="AX1066" s="1888">
        <f>IFERROR(_xll.TR(MO.Ticker.Thomson,"Min(TR.PriceLow)","sdate:#1 edate:#2",,INDEX(MO_SNA_FPStartDate,0,COLUMN()),INDEX(MO_Common_QEndDate,0,COLUMN())),"N/A")</f>
        <v/>
      </c>
      <c r="AY1066" s="1888">
        <f>IFERROR(_xll.TR(MO.Ticker.Thomson,"Min(TR.PriceLow)","sdate:#1 edate:#2",,INDEX(MO_SNA_FPStartDate,0,COLUMN()),INDEX(MO_Common_QEndDate,0,COLUMN())),"N/A")</f>
        <v/>
      </c>
      <c r="AZ1066" s="1888">
        <f>IFERROR(_xll.TR(MO.Ticker.Thomson,"Min(TR.PriceLow)","sdate:#1 edate:#2",,INDEX(MO_SNA_FPStartDate,0,COLUMN()),INDEX(MO_Common_QEndDate,0,COLUMN())),"N/A")</f>
        <v/>
      </c>
      <c r="BA1066" s="1888">
        <f>IFERROR(_xll.TR(MO.Ticker.Thomson,"Min(TR.PriceLow)","sdate:#1 edate:#2",,INDEX(MO_SNA_FPStartDate,0,COLUMN()),INDEX(MO_Common_QEndDate,0,COLUMN())),"N/A")</f>
        <v/>
      </c>
      <c r="BB1066" s="1888">
        <f>IFERROR(_xll.TR(MO.Ticker.Thomson,"Min(TR.PriceLow)","sdate:#1 edate:#2",,INDEX(MO_SNA_FPStartDate,0,COLUMN()),INDEX(MO_Common_QEndDate,0,COLUMN())),"N/A")</f>
        <v/>
      </c>
      <c r="BC1066" s="1888">
        <f>IFERROR(_xll.TR(MO.Ticker.Thomson,"Min(TR.PriceLow)","sdate:#1 edate:#2",,INDEX(MO_SNA_FPStartDate,0,COLUMN()),INDEX(MO_Common_QEndDate,0,COLUMN())),"N/A")</f>
        <v/>
      </c>
      <c r="BD1066" s="1888">
        <f>IFERROR(_xll.TR(MO.Ticker.Thomson,"Min(TR.PriceLow)","sdate:#1 edate:#2",,INDEX(MO_SNA_FPStartDate,0,COLUMN()),INDEX(MO_Common_QEndDate,0,COLUMN())),"N/A")</f>
        <v/>
      </c>
      <c r="BE1066" s="1888">
        <f>IFERROR(_xll.TR(MO.Ticker.Thomson,"Min(TR.PriceLow)","sdate:#1 edate:#2",,INDEX(MO_SNA_FPStartDate,0,COLUMN()),INDEX(MO_Common_QEndDate,0,COLUMN())),"N/A")</f>
        <v/>
      </c>
      <c r="BF1066" s="1888">
        <f>IFERROR(_xll.TR(MO.Ticker.Thomson,"Min(TR.PriceLow)","sdate:#1 edate:#2",,INDEX(MO_SNA_FPStartDate,0,COLUMN()),INDEX(MO_Common_QEndDate,0,COLUMN())),"N/A")</f>
        <v/>
      </c>
      <c r="BG1066" s="1888">
        <f>IFERROR(_xll.TR(MO.Ticker.Thomson,"Min(TR.PriceLow)","sdate:#1 edate:#2",,INDEX(MO_SNA_FPStartDate,0,COLUMN()),INDEX(MO_Common_QEndDate,0,COLUMN())),"N/A")</f>
        <v/>
      </c>
      <c r="BH1066" s="1888">
        <f>IFERROR(_xll.TR(MO.Ticker.Thomson,"Min(TR.PriceLow)","sdate:#1 edate:#2",,INDEX(MO_SNA_FPStartDate,0,COLUMN()),INDEX(MO_Common_QEndDate,0,COLUMN())),"N/A")</f>
        <v/>
      </c>
      <c r="BI1066" s="1888">
        <f>IFERROR(_xll.TR(MO.Ticker.Thomson,"Min(TR.PriceLow)","sdate:#1 edate:#2",,INDEX(MO_SNA_FPStartDate,0,COLUMN()),INDEX(MO_Common_QEndDate,0,COLUMN())),"N/A")</f>
        <v/>
      </c>
      <c r="BJ1066" s="1888">
        <f>IFERROR(_xll.TR(MO.Ticker.Thomson,"Min(TR.PriceLow)","sdate:#1 edate:#2",,INDEX(MO_SNA_FPStartDate,0,COLUMN()),INDEX(MO_Common_QEndDate,0,COLUMN())),"N/A")</f>
        <v/>
      </c>
      <c r="BK1066" s="1888">
        <f>IFERROR(_xll.TR(MO.Ticker.Thomson,"Min(TR.PriceLow)","sdate:#1 edate:#2",,INDEX(MO_SNA_FPStartDate,0,COLUMN()),INDEX(MO_Common_QEndDate,0,COLUMN())),"N/A")</f>
        <v/>
      </c>
      <c r="BL1066" s="1888">
        <f>IFERROR(_xll.TR(MO.Ticker.Thomson,"Min(TR.PriceLow)","sdate:#1 edate:#2",,INDEX(MO_SNA_FPStartDate,0,COLUMN()),INDEX(MO_Common_QEndDate,0,COLUMN())),"N/A")</f>
        <v/>
      </c>
      <c r="BM1066" s="1888">
        <f>IFERROR(_xll.TR(MO.Ticker.Thomson,"Min(TR.PriceLow)","sdate:#1 edate:#2",,INDEX(MO_SNA_FPStartDate,0,COLUMN()),INDEX(MO_Common_QEndDate,0,COLUMN())),"N/A")</f>
        <v/>
      </c>
      <c r="BN1066" s="1888">
        <f>IFERROR(_xll.TR(MO.Ticker.Thomson,"Min(TR.PriceLow)","sdate:#1 edate:#2",,INDEX(MO_SNA_FPStartDate,0,COLUMN()),INDEX(MO_Common_QEndDate,0,COLUMN())),"N/A")</f>
        <v/>
      </c>
      <c r="BO1066" s="1890">
        <f>IFERROR(_xll.TR(MO.Ticker.Thomson,"Min(TR.PriceLow)","sdate:#1 edate:#2",,INDEX(MO_SNA_FPStartDate,0,COLUMN()),INDEX(MO_Common_QEndDate,0,COLUMN())),"N/A")</f>
        <v/>
      </c>
      <c r="BP1066" s="1888">
        <f>IFERROR(_xll.TR(MO.Ticker.Thomson,"Min(TR.PriceLow)","sdate:#1 edate:#2",,INDEX(MO_SNA_FPStartDate,0,COLUMN()),INDEX(MO_Common_QEndDate,0,COLUMN())),"N/A")</f>
        <v/>
      </c>
      <c r="BQ1066" s="1888">
        <f>IFERROR(_xll.TR(MO.Ticker.Thomson,"Min(TR.PriceLow)","sdate:#1 edate:#2",,INDEX(MO_SNA_FPStartDate,0,COLUMN()),INDEX(MO_Common_QEndDate,0,COLUMN())),"N/A")</f>
        <v/>
      </c>
      <c r="BR1066" s="1888">
        <f>IFERROR(_xll.TR(MO.Ticker.Thomson,"Min(TR.PriceLow)","sdate:#1 edate:#2",,INDEX(MO_SNA_FPStartDate,0,COLUMN()),INDEX(MO_Common_QEndDate,0,COLUMN())),"N/A")</f>
        <v/>
      </c>
      <c r="BS1066" s="1888">
        <f>IFERROR(_xll.TR(MO.Ticker.Thomson,"Min(TR.PriceLow)","sdate:#1 edate:#2",,INDEX(MO_SNA_FPStartDate,0,COLUMN()),INDEX(MO_Common_QEndDate,0,COLUMN())),"N/A")</f>
        <v/>
      </c>
      <c r="BT1066" s="1888">
        <f>IFERROR(_xll.TR(MO.Ticker.Thomson,"Min(TR.PriceLow)","sdate:#1 edate:#2",,INDEX(MO_SNA_FPStartDate,0,COLUMN()),INDEX(MO_Common_QEndDate,0,COLUMN())),"N/A")</f>
        <v/>
      </c>
      <c r="BU1066" s="1888">
        <f>IFERROR(_xll.TR(MO.Ticker.Thomson,"Min(TR.PriceLow)","sdate:#1 edate:#2",,INDEX(MO_SNA_FPStartDate,0,COLUMN()),INDEX(MO_Common_QEndDate,0,COLUMN())),"N/A")</f>
        <v/>
      </c>
      <c r="BV1066" s="1888">
        <f>IFERROR(_xll.TR(MO.Ticker.Thomson,"Min(TR.PriceLow)","sdate:#1 edate:#2",,INDEX(MO_SNA_FPStartDate,0,COLUMN()),INDEX(MO_Common_QEndDate,0,COLUMN())),"N/A")</f>
        <v/>
      </c>
      <c r="BW1066" s="1888">
        <f>IFERROR(_xll.TR(MO.Ticker.Thomson,"Min(TR.PriceLow)","sdate:#1 edate:#2",,INDEX(MO_SNA_FPStartDate,0,COLUMN()),INDEX(MO_Common_QEndDate,0,COLUMN())),"N/A")</f>
        <v/>
      </c>
      <c r="BX1066" s="1888">
        <f>IFERROR(_xll.TR(MO.Ticker.Thomson,"Min(TR.PriceLow)","sdate:#1 edate:#2",,INDEX(MO_SNA_FPStartDate,0,COLUMN()),INDEX(MO_Common_QEndDate,0,COLUMN())),"N/A")</f>
        <v/>
      </c>
      <c r="BY1066" s="1888">
        <f>IFERROR(_xll.TR(MO.Ticker.Thomson,"Min(TR.PriceLow)","sdate:#1 edate:#2",,INDEX(MO_SNA_FPStartDate,0,COLUMN()),INDEX(MO_Common_QEndDate,0,COLUMN())),"N/A")</f>
        <v/>
      </c>
      <c r="BZ1066" s="1888">
        <f>IFERROR(_xll.TR(MO.Ticker.Thomson,"Min(TR.PriceLow)","sdate:#1 edate:#2",,INDEX(MO_SNA_FPStartDate,0,COLUMN()),INDEX(MO_Common_QEndDate,0,COLUMN())),"N/A")</f>
        <v/>
      </c>
      <c r="CA1066" s="1888">
        <f>IFERROR(_xll.TR(MO.Ticker.Thomson,"Min(TR.PriceLow)","sdate:#1 edate:#2",,INDEX(MO_SNA_FPStartDate,0,COLUMN()),INDEX(MO_Common_QEndDate,0,COLUMN())),"N/A")</f>
        <v/>
      </c>
      <c r="CB1066" s="1891">
        <f>IFERROR(_xll.TR(MO.Ticker.Thomson,"Min(TR.PriceLow)","sdate:#1 edate:#2",,INDEX(MO_SNA_FPStartDate,0,COLUMN()),INDEX(MO_Common_QEndDate,0,COLUMN())),"N/A")</f>
        <v/>
      </c>
      <c r="CC1066" s="1892" t="n"/>
    </row>
    <row r="1067" hidden="1" outlineLevel="1" ht="14.4" customFormat="1" customHeight="1" s="1275">
      <c r="A1067" s="1897" t="n"/>
      <c r="B1067" s="1277" t="n"/>
      <c r="C1067" s="1814" t="n"/>
      <c r="D1067" s="1814" t="n"/>
      <c r="E1067" s="1277" t="n"/>
      <c r="F1067" s="1277" t="n"/>
      <c r="G1067" s="1277" t="n"/>
      <c r="H1067" s="1277" t="n"/>
      <c r="I1067" s="1277" t="n"/>
      <c r="J1067" s="1277" t="n"/>
      <c r="K1067" s="1277" t="n"/>
      <c r="L1067" s="1277" t="n"/>
      <c r="M1067" s="1277" t="n"/>
      <c r="N1067" s="1277" t="n"/>
      <c r="O1067" s="1277" t="n"/>
      <c r="P1067" s="1277" t="n"/>
      <c r="Q1067" s="1277" t="n"/>
      <c r="R1067" s="1277" t="n"/>
      <c r="S1067" s="1277" t="n"/>
      <c r="T1067" s="1277" t="n"/>
      <c r="U1067" s="1277" t="n"/>
      <c r="V1067" s="1277" t="n"/>
      <c r="W1067" s="1277" t="n"/>
      <c r="X1067" s="1277" t="n"/>
      <c r="Y1067" s="1277" t="n"/>
      <c r="Z1067" s="1277" t="n"/>
      <c r="AA1067" s="1277" t="n"/>
      <c r="AB1067" s="1277" t="n"/>
      <c r="AC1067" s="1277" t="n"/>
      <c r="AD1067" s="1277" t="n"/>
      <c r="AE1067" s="1277" t="n"/>
      <c r="AF1067" s="1277" t="n"/>
      <c r="AG1067" s="1277" t="n"/>
      <c r="AH1067" s="1277" t="n"/>
      <c r="AI1067" s="1277" t="n"/>
      <c r="AJ1067" s="1277" t="n"/>
      <c r="AK1067" s="1277" t="n"/>
      <c r="AL1067" s="1277" t="n"/>
      <c r="AM1067" s="1277" t="n"/>
      <c r="AN1067" s="1277" t="n"/>
      <c r="AO1067" s="1277" t="n"/>
      <c r="AP1067" s="1277" t="n"/>
      <c r="AQ1067" s="1277" t="n"/>
      <c r="AR1067" s="1277" t="n"/>
      <c r="AS1067" s="1277" t="n"/>
      <c r="AT1067" s="1277" t="n"/>
      <c r="AU1067" s="1277" t="n"/>
      <c r="AV1067" s="1277" t="n"/>
      <c r="AW1067" s="1277" t="n"/>
      <c r="AX1067" s="1277" t="n"/>
      <c r="AY1067" s="1277" t="n"/>
      <c r="AZ1067" s="1277" t="n"/>
      <c r="BA1067" s="1277" t="n"/>
      <c r="BB1067" s="1277" t="n"/>
      <c r="BC1067" s="1277" t="n"/>
      <c r="BD1067" s="1277" t="n"/>
      <c r="BE1067" s="1277" t="n"/>
      <c r="BF1067" s="1277" t="n"/>
      <c r="BG1067" s="1277" t="n"/>
      <c r="BH1067" s="1277" t="n"/>
      <c r="BI1067" s="1277" t="n"/>
      <c r="BJ1067" s="1277" t="n"/>
      <c r="BK1067" s="1277" t="n"/>
      <c r="BL1067" s="1277" t="n"/>
      <c r="BM1067" s="1277" t="n"/>
      <c r="BN1067" s="1277" t="n"/>
      <c r="BO1067" s="1809" t="n"/>
      <c r="BP1067" s="1277" t="n"/>
      <c r="BQ1067" s="1277" t="n"/>
      <c r="BR1067" s="1277" t="n"/>
      <c r="BS1067" s="1277" t="n"/>
      <c r="BT1067" s="1277" t="n"/>
      <c r="BU1067" s="1277" t="n"/>
      <c r="BV1067" s="1277" t="n"/>
      <c r="BW1067" s="1277" t="n"/>
      <c r="BX1067" s="1277" t="n"/>
      <c r="BY1067" s="1277" t="n"/>
      <c r="BZ1067" s="1277" t="n"/>
      <c r="CA1067" s="1277" t="n"/>
      <c r="CB1067" s="1898" t="n"/>
      <c r="CC1067" s="1858" t="n"/>
    </row>
    <row r="1068" collapsed="1" ht="14.4" customFormat="1" customHeight="1" s="1750">
      <c r="A1068" s="1887">
        <f>"Stock Average: "&amp;IF(OR(MO.RealTimeStockPriceToggle=FALSE,VLOOKUP(MO.DataSourceName,MO_SPT_StockAverage_Sources,COLUMN()+2,FALSE)="N/A"),"Real-Time Off Source",MO.DataSourceName)</f>
        <v/>
      </c>
      <c r="B1068" s="1888" t="n"/>
      <c r="C1068" s="1889">
        <f>IF(OR(MO.RealTimeStockPriceToggle=FALSE,VLOOKUP(MO.DataSourceName,MO_SPT_StockAverage_Sources,COLUMN(),FALSE)="N/A"),VLOOKUP("Real-Time Off Source",MO_SPT_StockAverage_Sources,COLUMN(),FALSE),VLOOKUP(MO.DataSourceName,MO_SPT_StockAverage_Sources,COLUMN(),FALSE))</f>
        <v/>
      </c>
      <c r="D1068" s="1889">
        <f>IF(OR(MO.RealTimeStockPriceToggle=FALSE,VLOOKUP(MO.DataSourceName,MO_SPT_StockAverage_Sources,COLUMN(),FALSE)="N/A"),VLOOKUP("Real-Time Off Source",MO_SPT_StockAverage_Sources,COLUMN(),FALSE),VLOOKUP(MO.DataSourceName,MO_SPT_StockAverage_Sources,COLUMN(),FALSE))</f>
        <v/>
      </c>
      <c r="E1068" s="1888">
        <f>IF(OR(MO.RealTimeStockPriceToggle=FALSE,VLOOKUP(MO.DataSourceName,MO_SPT_StockAverage_Sources,COLUMN(),FALSE)="N/A"),VLOOKUP("Real-Time Off Source",MO_SPT_StockAverage_Sources,COLUMN(),FALSE),VLOOKUP(MO.DataSourceName,MO_SPT_StockAverage_Sources,COLUMN(),FALSE))</f>
        <v/>
      </c>
      <c r="F1068" s="1888">
        <f>IF(OR(MO.RealTimeStockPriceToggle=FALSE,VLOOKUP(MO.DataSourceName,MO_SPT_StockAverage_Sources,COLUMN(),FALSE)="N/A"),VLOOKUP("Real-Time Off Source",MO_SPT_StockAverage_Sources,COLUMN(),FALSE),VLOOKUP(MO.DataSourceName,MO_SPT_StockAverage_Sources,COLUMN(),FALSE))</f>
        <v/>
      </c>
      <c r="G1068" s="1888">
        <f>IF(OR(MO.RealTimeStockPriceToggle=FALSE,VLOOKUP(MO.DataSourceName,MO_SPT_StockAverage_Sources,COLUMN(),FALSE)="N/A"),VLOOKUP("Real-Time Off Source",MO_SPT_StockAverage_Sources,COLUMN(),FALSE),VLOOKUP(MO.DataSourceName,MO_SPT_StockAverage_Sources,COLUMN(),FALSE))</f>
        <v/>
      </c>
      <c r="H1068" s="1888">
        <f>IF(OR(MO.RealTimeStockPriceToggle=FALSE,VLOOKUP(MO.DataSourceName,MO_SPT_StockAverage_Sources,COLUMN(),FALSE)="N/A"),VLOOKUP("Real-Time Off Source",MO_SPT_StockAverage_Sources,COLUMN(),FALSE),VLOOKUP(MO.DataSourceName,MO_SPT_StockAverage_Sources,COLUMN(),FALSE))</f>
        <v/>
      </c>
      <c r="I1068" s="1888">
        <f>IF(OR(MO.RealTimeStockPriceToggle=FALSE,VLOOKUP(MO.DataSourceName,MO_SPT_StockAverage_Sources,COLUMN(),FALSE)="N/A"),VLOOKUP("Real-Time Off Source",MO_SPT_StockAverage_Sources,COLUMN(),FALSE),VLOOKUP(MO.DataSourceName,MO_SPT_StockAverage_Sources,COLUMN(),FALSE))</f>
        <v/>
      </c>
      <c r="J1068" s="1888">
        <f>IF(OR(MO.RealTimeStockPriceToggle=FALSE,VLOOKUP(MO.DataSourceName,MO_SPT_StockAverage_Sources,COLUMN(),FALSE)="N/A"),VLOOKUP("Real-Time Off Source",MO_SPT_StockAverage_Sources,COLUMN(),FALSE),VLOOKUP(MO.DataSourceName,MO_SPT_StockAverage_Sources,COLUMN(),FALSE))</f>
        <v/>
      </c>
      <c r="K1068" s="1888">
        <f>IF(OR(MO.RealTimeStockPriceToggle=FALSE,VLOOKUP(MO.DataSourceName,MO_SPT_StockAverage_Sources,COLUMN(),FALSE)="N/A"),VLOOKUP("Real-Time Off Source",MO_SPT_StockAverage_Sources,COLUMN(),FALSE),VLOOKUP(MO.DataSourceName,MO_SPT_StockAverage_Sources,COLUMN(),FALSE))</f>
        <v/>
      </c>
      <c r="L1068" s="1888">
        <f>IF(OR(MO.RealTimeStockPriceToggle=FALSE,VLOOKUP(MO.DataSourceName,MO_SPT_StockAverage_Sources,COLUMN(),FALSE)="N/A"),VLOOKUP("Real-Time Off Source",MO_SPT_StockAverage_Sources,COLUMN(),FALSE),VLOOKUP(MO.DataSourceName,MO_SPT_StockAverage_Sources,COLUMN(),FALSE))</f>
        <v/>
      </c>
      <c r="M1068" s="1888">
        <f>IF(OR(MO.RealTimeStockPriceToggle=FALSE,VLOOKUP(MO.DataSourceName,MO_SPT_StockAverage_Sources,COLUMN(),FALSE)="N/A"),VLOOKUP("Real-Time Off Source",MO_SPT_StockAverage_Sources,COLUMN(),FALSE),VLOOKUP(MO.DataSourceName,MO_SPT_StockAverage_Sources,COLUMN(),FALSE))</f>
        <v/>
      </c>
      <c r="N1068" s="1888">
        <f>IF(OR(MO.RealTimeStockPriceToggle=FALSE,VLOOKUP(MO.DataSourceName,MO_SPT_StockAverage_Sources,COLUMN(),FALSE)="N/A"),VLOOKUP("Real-Time Off Source",MO_SPT_StockAverage_Sources,COLUMN(),FALSE),VLOOKUP(MO.DataSourceName,MO_SPT_StockAverage_Sources,COLUMN(),FALSE))</f>
        <v/>
      </c>
      <c r="O1068" s="1888">
        <f>IF(OR(MO.RealTimeStockPriceToggle=FALSE,VLOOKUP(MO.DataSourceName,MO_SPT_StockAverage_Sources,COLUMN(),FALSE)="N/A"),VLOOKUP("Real-Time Off Source",MO_SPT_StockAverage_Sources,COLUMN(),FALSE),VLOOKUP(MO.DataSourceName,MO_SPT_StockAverage_Sources,COLUMN(),FALSE))</f>
        <v/>
      </c>
      <c r="P1068" s="1888">
        <f>IF(OR(MO.RealTimeStockPriceToggle=FALSE,VLOOKUP(MO.DataSourceName,MO_SPT_StockAverage_Sources,COLUMN(),FALSE)="N/A"),VLOOKUP("Real-Time Off Source",MO_SPT_StockAverage_Sources,COLUMN(),FALSE),VLOOKUP(MO.DataSourceName,MO_SPT_StockAverage_Sources,COLUMN(),FALSE))</f>
        <v/>
      </c>
      <c r="Q1068" s="1888">
        <f>IF(OR(MO.RealTimeStockPriceToggle=FALSE,VLOOKUP(MO.DataSourceName,MO_SPT_StockAverage_Sources,COLUMN(),FALSE)="N/A"),VLOOKUP("Real-Time Off Source",MO_SPT_StockAverage_Sources,COLUMN(),FALSE),VLOOKUP(MO.DataSourceName,MO_SPT_StockAverage_Sources,COLUMN(),FALSE))</f>
        <v/>
      </c>
      <c r="R1068" s="1888">
        <f>IF(OR(MO.RealTimeStockPriceToggle=FALSE,VLOOKUP(MO.DataSourceName,MO_SPT_StockAverage_Sources,COLUMN(),FALSE)="N/A"),VLOOKUP("Real-Time Off Source",MO_SPT_StockAverage_Sources,COLUMN(),FALSE),VLOOKUP(MO.DataSourceName,MO_SPT_StockAverage_Sources,COLUMN(),FALSE))</f>
        <v/>
      </c>
      <c r="S1068" s="1888">
        <f>IF(OR(MO.RealTimeStockPriceToggle=FALSE,VLOOKUP(MO.DataSourceName,MO_SPT_StockAverage_Sources,COLUMN(),FALSE)="N/A"),VLOOKUP("Real-Time Off Source",MO_SPT_StockAverage_Sources,COLUMN(),FALSE),VLOOKUP(MO.DataSourceName,MO_SPT_StockAverage_Sources,COLUMN(),FALSE))</f>
        <v/>
      </c>
      <c r="T1068" s="1888">
        <f>IF(OR(MO.RealTimeStockPriceToggle=FALSE,VLOOKUP(MO.DataSourceName,MO_SPT_StockAverage_Sources,COLUMN(),FALSE)="N/A"),VLOOKUP("Real-Time Off Source",MO_SPT_StockAverage_Sources,COLUMN(),FALSE),VLOOKUP(MO.DataSourceName,MO_SPT_StockAverage_Sources,COLUMN(),FALSE))</f>
        <v/>
      </c>
      <c r="U1068" s="1888">
        <f>IF(OR(MO.RealTimeStockPriceToggle=FALSE,VLOOKUP(MO.DataSourceName,MO_SPT_StockAverage_Sources,COLUMN(),FALSE)="N/A"),VLOOKUP("Real-Time Off Source",MO_SPT_StockAverage_Sources,COLUMN(),FALSE),VLOOKUP(MO.DataSourceName,MO_SPT_StockAverage_Sources,COLUMN(),FALSE))</f>
        <v/>
      </c>
      <c r="V1068" s="1888">
        <f>IF(OR(MO.RealTimeStockPriceToggle=FALSE,VLOOKUP(MO.DataSourceName,MO_SPT_StockAverage_Sources,COLUMN(),FALSE)="N/A"),VLOOKUP("Real-Time Off Source",MO_SPT_StockAverage_Sources,COLUMN(),FALSE),VLOOKUP(MO.DataSourceName,MO_SPT_StockAverage_Sources,COLUMN(),FALSE))</f>
        <v/>
      </c>
      <c r="W1068" s="1888">
        <f>IF(OR(MO.RealTimeStockPriceToggle=FALSE,VLOOKUP(MO.DataSourceName,MO_SPT_StockAverage_Sources,COLUMN(),FALSE)="N/A"),VLOOKUP("Real-Time Off Source",MO_SPT_StockAverage_Sources,COLUMN(),FALSE),VLOOKUP(MO.DataSourceName,MO_SPT_StockAverage_Sources,COLUMN(),FALSE))</f>
        <v/>
      </c>
      <c r="X1068" s="1888">
        <f>IF(OR(MO.RealTimeStockPriceToggle=FALSE,VLOOKUP(MO.DataSourceName,MO_SPT_StockAverage_Sources,COLUMN(),FALSE)="N/A"),VLOOKUP("Real-Time Off Source",MO_SPT_StockAverage_Sources,COLUMN(),FALSE),VLOOKUP(MO.DataSourceName,MO_SPT_StockAverage_Sources,COLUMN(),FALSE))</f>
        <v/>
      </c>
      <c r="Y1068" s="1888">
        <f>IF(OR(MO.RealTimeStockPriceToggle=FALSE,VLOOKUP(MO.DataSourceName,MO_SPT_StockAverage_Sources,COLUMN(),FALSE)="N/A"),VLOOKUP("Real-Time Off Source",MO_SPT_StockAverage_Sources,COLUMN(),FALSE),VLOOKUP(MO.DataSourceName,MO_SPT_StockAverage_Sources,COLUMN(),FALSE))</f>
        <v/>
      </c>
      <c r="Z1068" s="1888">
        <f>IF(OR(MO.RealTimeStockPriceToggle=FALSE,VLOOKUP(MO.DataSourceName,MO_SPT_StockAverage_Sources,COLUMN(),FALSE)="N/A"),VLOOKUP("Real-Time Off Source",MO_SPT_StockAverage_Sources,COLUMN(),FALSE),VLOOKUP(MO.DataSourceName,MO_SPT_StockAverage_Sources,COLUMN(),FALSE))</f>
        <v/>
      </c>
      <c r="AA1068" s="1888">
        <f>IF(OR(MO.RealTimeStockPriceToggle=FALSE,VLOOKUP(MO.DataSourceName,MO_SPT_StockAverage_Sources,COLUMN(),FALSE)="N/A"),VLOOKUP("Real-Time Off Source",MO_SPT_StockAverage_Sources,COLUMN(),FALSE),VLOOKUP(MO.DataSourceName,MO_SPT_StockAverage_Sources,COLUMN(),FALSE))</f>
        <v/>
      </c>
      <c r="AB1068" s="1888">
        <f>IF(OR(MO.RealTimeStockPriceToggle=FALSE,VLOOKUP(MO.DataSourceName,MO_SPT_StockAverage_Sources,COLUMN(),FALSE)="N/A"),VLOOKUP("Real-Time Off Source",MO_SPT_StockAverage_Sources,COLUMN(),FALSE),VLOOKUP(MO.DataSourceName,MO_SPT_StockAverage_Sources,COLUMN(),FALSE))</f>
        <v/>
      </c>
      <c r="AC1068" s="1888">
        <f>IF(OR(MO.RealTimeStockPriceToggle=FALSE,VLOOKUP(MO.DataSourceName,MO_SPT_StockAverage_Sources,COLUMN(),FALSE)="N/A"),VLOOKUP("Real-Time Off Source",MO_SPT_StockAverage_Sources,COLUMN(),FALSE),VLOOKUP(MO.DataSourceName,MO_SPT_StockAverage_Sources,COLUMN(),FALSE))</f>
        <v/>
      </c>
      <c r="AD1068" s="1888">
        <f>IF(OR(MO.RealTimeStockPriceToggle=FALSE,VLOOKUP(MO.DataSourceName,MO_SPT_StockAverage_Sources,COLUMN(),FALSE)="N/A"),VLOOKUP("Real-Time Off Source",MO_SPT_StockAverage_Sources,COLUMN(),FALSE),VLOOKUP(MO.DataSourceName,MO_SPT_StockAverage_Sources,COLUMN(),FALSE))</f>
        <v/>
      </c>
      <c r="AE1068" s="1888">
        <f>IF(OR(MO.RealTimeStockPriceToggle=FALSE,VLOOKUP(MO.DataSourceName,MO_SPT_StockAverage_Sources,COLUMN(),FALSE)="N/A"),VLOOKUP("Real-Time Off Source",MO_SPT_StockAverage_Sources,COLUMN(),FALSE),VLOOKUP(MO.DataSourceName,MO_SPT_StockAverage_Sources,COLUMN(),FALSE))</f>
        <v/>
      </c>
      <c r="AF1068" s="1888">
        <f>IF(OR(MO.RealTimeStockPriceToggle=FALSE,VLOOKUP(MO.DataSourceName,MO_SPT_StockAverage_Sources,COLUMN(),FALSE)="N/A"),VLOOKUP("Real-Time Off Source",MO_SPT_StockAverage_Sources,COLUMN(),FALSE),VLOOKUP(MO.DataSourceName,MO_SPT_StockAverage_Sources,COLUMN(),FALSE))</f>
        <v/>
      </c>
      <c r="AG1068" s="1888">
        <f>IF(OR(MO.RealTimeStockPriceToggle=FALSE,VLOOKUP(MO.DataSourceName,MO_SPT_StockAverage_Sources,COLUMN(),FALSE)="N/A"),VLOOKUP("Real-Time Off Source",MO_SPT_StockAverage_Sources,COLUMN(),FALSE),VLOOKUP(MO.DataSourceName,MO_SPT_StockAverage_Sources,COLUMN(),FALSE))</f>
        <v/>
      </c>
      <c r="AH1068" s="1888">
        <f>IF(OR(MO.RealTimeStockPriceToggle=FALSE,VLOOKUP(MO.DataSourceName,MO_SPT_StockAverage_Sources,COLUMN(),FALSE)="N/A"),VLOOKUP("Real-Time Off Source",MO_SPT_StockAverage_Sources,COLUMN(),FALSE),VLOOKUP(MO.DataSourceName,MO_SPT_StockAverage_Sources,COLUMN(),FALSE))</f>
        <v/>
      </c>
      <c r="AI1068" s="1888">
        <f>IF(OR(MO.RealTimeStockPriceToggle=FALSE,VLOOKUP(MO.DataSourceName,MO_SPT_StockAverage_Sources,COLUMN(),FALSE)="N/A"),VLOOKUP("Real-Time Off Source",MO_SPT_StockAverage_Sources,COLUMN(),FALSE),VLOOKUP(MO.DataSourceName,MO_SPT_StockAverage_Sources,COLUMN(),FALSE))</f>
        <v/>
      </c>
      <c r="AJ1068" s="1888">
        <f>IF(OR(MO.RealTimeStockPriceToggle=FALSE,VLOOKUP(MO.DataSourceName,MO_SPT_StockAverage_Sources,COLUMN(),FALSE)="N/A"),VLOOKUP("Real-Time Off Source",MO_SPT_StockAverage_Sources,COLUMN(),FALSE),VLOOKUP(MO.DataSourceName,MO_SPT_StockAverage_Sources,COLUMN(),FALSE))</f>
        <v/>
      </c>
      <c r="AK1068" s="1888">
        <f>IF(OR(MO.RealTimeStockPriceToggle=FALSE,VLOOKUP(MO.DataSourceName,MO_SPT_StockAverage_Sources,COLUMN(),FALSE)="N/A"),VLOOKUP("Real-Time Off Source",MO_SPT_StockAverage_Sources,COLUMN(),FALSE),VLOOKUP(MO.DataSourceName,MO_SPT_StockAverage_Sources,COLUMN(),FALSE))</f>
        <v/>
      </c>
      <c r="AL1068" s="1888">
        <f>IF(OR(MO.RealTimeStockPriceToggle=FALSE,VLOOKUP(MO.DataSourceName,MO_SPT_StockAverage_Sources,COLUMN(),FALSE)="N/A"),VLOOKUP("Real-Time Off Source",MO_SPT_StockAverage_Sources,COLUMN(),FALSE),VLOOKUP(MO.DataSourceName,MO_SPT_StockAverage_Sources,COLUMN(),FALSE))</f>
        <v/>
      </c>
      <c r="AM1068" s="1888">
        <f>IF(OR(MO.RealTimeStockPriceToggle=FALSE,VLOOKUP(MO.DataSourceName,MO_SPT_StockAverage_Sources,COLUMN(),FALSE)="N/A"),VLOOKUP("Real-Time Off Source",MO_SPT_StockAverage_Sources,COLUMN(),FALSE),VLOOKUP(MO.DataSourceName,MO_SPT_StockAverage_Sources,COLUMN(),FALSE))</f>
        <v/>
      </c>
      <c r="AN1068" s="1888">
        <f>IF(OR(MO.RealTimeStockPriceToggle=FALSE,VLOOKUP(MO.DataSourceName,MO_SPT_StockAverage_Sources,COLUMN(),FALSE)="N/A"),VLOOKUP("Real-Time Off Source",MO_SPT_StockAverage_Sources,COLUMN(),FALSE),VLOOKUP(MO.DataSourceName,MO_SPT_StockAverage_Sources,COLUMN(),FALSE))</f>
        <v/>
      </c>
      <c r="AO1068" s="1888">
        <f>IF(OR(MO.RealTimeStockPriceToggle=FALSE,VLOOKUP(MO.DataSourceName,MO_SPT_StockAverage_Sources,COLUMN(),FALSE)="N/A"),VLOOKUP("Real-Time Off Source",MO_SPT_StockAverage_Sources,COLUMN(),FALSE),VLOOKUP(MO.DataSourceName,MO_SPT_StockAverage_Sources,COLUMN(),FALSE))</f>
        <v/>
      </c>
      <c r="AP1068" s="1888">
        <f>IF(OR(MO.RealTimeStockPriceToggle=FALSE,VLOOKUP(MO.DataSourceName,MO_SPT_StockAverage_Sources,COLUMN(),FALSE)="N/A"),VLOOKUP("Real-Time Off Source",MO_SPT_StockAverage_Sources,COLUMN(),FALSE),VLOOKUP(MO.DataSourceName,MO_SPT_StockAverage_Sources,COLUMN(),FALSE))</f>
        <v/>
      </c>
      <c r="AQ1068" s="1888">
        <f>IF(OR(MO.RealTimeStockPriceToggle=FALSE,VLOOKUP(MO.DataSourceName,MO_SPT_StockAverage_Sources,COLUMN(),FALSE)="N/A"),VLOOKUP("Real-Time Off Source",MO_SPT_StockAverage_Sources,COLUMN(),FALSE),VLOOKUP(MO.DataSourceName,MO_SPT_StockAverage_Sources,COLUMN(),FALSE))</f>
        <v/>
      </c>
      <c r="AR1068" s="1888">
        <f>IF(OR(MO.RealTimeStockPriceToggle=FALSE,VLOOKUP(MO.DataSourceName,MO_SPT_StockAverage_Sources,COLUMN(),FALSE)="N/A"),VLOOKUP("Real-Time Off Source",MO_SPT_StockAverage_Sources,COLUMN(),FALSE),VLOOKUP(MO.DataSourceName,MO_SPT_StockAverage_Sources,COLUMN(),FALSE))</f>
        <v/>
      </c>
      <c r="AS1068" s="1888">
        <f>IF(OR(MO.RealTimeStockPriceToggle=FALSE,VLOOKUP(MO.DataSourceName,MO_SPT_StockAverage_Sources,COLUMN(),FALSE)="N/A"),VLOOKUP("Real-Time Off Source",MO_SPT_StockAverage_Sources,COLUMN(),FALSE),VLOOKUP(MO.DataSourceName,MO_SPT_StockAverage_Sources,COLUMN(),FALSE))</f>
        <v/>
      </c>
      <c r="AT1068" s="1888">
        <f>IF(OR(MO.RealTimeStockPriceToggle=FALSE,VLOOKUP(MO.DataSourceName,MO_SPT_StockAverage_Sources,COLUMN(),FALSE)="N/A"),VLOOKUP("Real-Time Off Source",MO_SPT_StockAverage_Sources,COLUMN(),FALSE),VLOOKUP(MO.DataSourceName,MO_SPT_StockAverage_Sources,COLUMN(),FALSE))</f>
        <v/>
      </c>
      <c r="AU1068" s="1888">
        <f>IF(OR(MO.RealTimeStockPriceToggle=FALSE,VLOOKUP(MO.DataSourceName,MO_SPT_StockAverage_Sources,COLUMN(),FALSE)="N/A"),VLOOKUP("Real-Time Off Source",MO_SPT_StockAverage_Sources,COLUMN(),FALSE),VLOOKUP(MO.DataSourceName,MO_SPT_StockAverage_Sources,COLUMN(),FALSE))</f>
        <v/>
      </c>
      <c r="AV1068" s="1888">
        <f>IF(OR(MO.RealTimeStockPriceToggle=FALSE,VLOOKUP(MO.DataSourceName,MO_SPT_StockAverage_Sources,COLUMN(),FALSE)="N/A"),VLOOKUP("Real-Time Off Source",MO_SPT_StockAverage_Sources,COLUMN(),FALSE),VLOOKUP(MO.DataSourceName,MO_SPT_StockAverage_Sources,COLUMN(),FALSE))</f>
        <v/>
      </c>
      <c r="AW1068" s="1888">
        <f>IF(OR(MO.RealTimeStockPriceToggle=FALSE,VLOOKUP(MO.DataSourceName,MO_SPT_StockAverage_Sources,COLUMN(),FALSE)="N/A"),VLOOKUP("Real-Time Off Source",MO_SPT_StockAverage_Sources,COLUMN(),FALSE),VLOOKUP(MO.DataSourceName,MO_SPT_StockAverage_Sources,COLUMN(),FALSE))</f>
        <v/>
      </c>
      <c r="AX1068" s="1888">
        <f>IF(OR(MO.RealTimeStockPriceToggle=FALSE,VLOOKUP(MO.DataSourceName,MO_SPT_StockAverage_Sources,COLUMN(),FALSE)="N/A"),VLOOKUP("Real-Time Off Source",MO_SPT_StockAverage_Sources,COLUMN(),FALSE),VLOOKUP(MO.DataSourceName,MO_SPT_StockAverage_Sources,COLUMN(),FALSE))</f>
        <v/>
      </c>
      <c r="AY1068" s="1888">
        <f>IF(OR(MO.RealTimeStockPriceToggle=FALSE,VLOOKUP(MO.DataSourceName,MO_SPT_StockAverage_Sources,COLUMN(),FALSE)="N/A"),VLOOKUP("Real-Time Off Source",MO_SPT_StockAverage_Sources,COLUMN(),FALSE),VLOOKUP(MO.DataSourceName,MO_SPT_StockAverage_Sources,COLUMN(),FALSE))</f>
        <v/>
      </c>
      <c r="AZ1068" s="1888">
        <f>IF(OR(MO.RealTimeStockPriceToggle=FALSE,VLOOKUP(MO.DataSourceName,MO_SPT_StockAverage_Sources,COLUMN(),FALSE)="N/A"),VLOOKUP("Real-Time Off Source",MO_SPT_StockAverage_Sources,COLUMN(),FALSE),VLOOKUP(MO.DataSourceName,MO_SPT_StockAverage_Sources,COLUMN(),FALSE))</f>
        <v/>
      </c>
      <c r="BA1068" s="1888">
        <f>IF(OR(MO.RealTimeStockPriceToggle=FALSE,VLOOKUP(MO.DataSourceName,MO_SPT_StockAverage_Sources,COLUMN(),FALSE)="N/A"),VLOOKUP("Real-Time Off Source",MO_SPT_StockAverage_Sources,COLUMN(),FALSE),VLOOKUP(MO.DataSourceName,MO_SPT_StockAverage_Sources,COLUMN(),FALSE))</f>
        <v/>
      </c>
      <c r="BB1068" s="1888">
        <f>IF(OR(MO.RealTimeStockPriceToggle=FALSE,VLOOKUP(MO.DataSourceName,MO_SPT_StockAverage_Sources,COLUMN(),FALSE)="N/A"),VLOOKUP("Real-Time Off Source",MO_SPT_StockAverage_Sources,COLUMN(),FALSE),VLOOKUP(MO.DataSourceName,MO_SPT_StockAverage_Sources,COLUMN(),FALSE))</f>
        <v/>
      </c>
      <c r="BC1068" s="1888">
        <f>IF(OR(MO.RealTimeStockPriceToggle=FALSE,VLOOKUP(MO.DataSourceName,MO_SPT_StockAverage_Sources,COLUMN(),FALSE)="N/A"),VLOOKUP("Real-Time Off Source",MO_SPT_StockAverage_Sources,COLUMN(),FALSE),VLOOKUP(MO.DataSourceName,MO_SPT_StockAverage_Sources,COLUMN(),FALSE))</f>
        <v/>
      </c>
      <c r="BD1068" s="1888">
        <f>IF(OR(MO.RealTimeStockPriceToggle=FALSE,VLOOKUP(MO.DataSourceName,MO_SPT_StockAverage_Sources,COLUMN(),FALSE)="N/A"),VLOOKUP("Real-Time Off Source",MO_SPT_StockAverage_Sources,COLUMN(),FALSE),VLOOKUP(MO.DataSourceName,MO_SPT_StockAverage_Sources,COLUMN(),FALSE))</f>
        <v/>
      </c>
      <c r="BE1068" s="1888">
        <f>IF(OR(MO.RealTimeStockPriceToggle=FALSE,VLOOKUP(MO.DataSourceName,MO_SPT_StockAverage_Sources,COLUMN(),FALSE)="N/A"),VLOOKUP("Real-Time Off Source",MO_SPT_StockAverage_Sources,COLUMN(),FALSE),VLOOKUP(MO.DataSourceName,MO_SPT_StockAverage_Sources,COLUMN(),FALSE))</f>
        <v/>
      </c>
      <c r="BF1068" s="1888">
        <f>IF(OR(MO.RealTimeStockPriceToggle=FALSE,VLOOKUP(MO.DataSourceName,MO_SPT_StockAverage_Sources,COLUMN(),FALSE)="N/A"),VLOOKUP("Real-Time Off Source",MO_SPT_StockAverage_Sources,COLUMN(),FALSE),VLOOKUP(MO.DataSourceName,MO_SPT_StockAverage_Sources,COLUMN(),FALSE))</f>
        <v/>
      </c>
      <c r="BG1068" s="1888">
        <f>IF(OR(MO.RealTimeStockPriceToggle=FALSE,VLOOKUP(MO.DataSourceName,MO_SPT_StockAverage_Sources,COLUMN(),FALSE)="N/A"),VLOOKUP("Real-Time Off Source",MO_SPT_StockAverage_Sources,COLUMN(),FALSE),VLOOKUP(MO.DataSourceName,MO_SPT_StockAverage_Sources,COLUMN(),FALSE))</f>
        <v/>
      </c>
      <c r="BH1068" s="1888">
        <f>IF(OR(MO.RealTimeStockPriceToggle=FALSE,VLOOKUP(MO.DataSourceName,MO_SPT_StockAverage_Sources,COLUMN(),FALSE)="N/A"),VLOOKUP("Real-Time Off Source",MO_SPT_StockAverage_Sources,COLUMN(),FALSE),VLOOKUP(MO.DataSourceName,MO_SPT_StockAverage_Sources,COLUMN(),FALSE))</f>
        <v/>
      </c>
      <c r="BI1068" s="1888">
        <f>IF(OR(MO.RealTimeStockPriceToggle=FALSE,VLOOKUP(MO.DataSourceName,MO_SPT_StockAverage_Sources,COLUMN(),FALSE)="N/A"),VLOOKUP("Real-Time Off Source",MO_SPT_StockAverage_Sources,COLUMN(),FALSE),VLOOKUP(MO.DataSourceName,MO_SPT_StockAverage_Sources,COLUMN(),FALSE))</f>
        <v/>
      </c>
      <c r="BJ1068" s="1888">
        <f>IF(OR(MO.RealTimeStockPriceToggle=FALSE,VLOOKUP(MO.DataSourceName,MO_SPT_StockAverage_Sources,COLUMN(),FALSE)="N/A"),VLOOKUP("Real-Time Off Source",MO_SPT_StockAverage_Sources,COLUMN(),FALSE),VLOOKUP(MO.DataSourceName,MO_SPT_StockAverage_Sources,COLUMN(),FALSE))</f>
        <v/>
      </c>
      <c r="BK1068" s="1888">
        <f>IF(OR(MO.RealTimeStockPriceToggle=FALSE,VLOOKUP(MO.DataSourceName,MO_SPT_StockAverage_Sources,COLUMN(),FALSE)="N/A"),VLOOKUP("Real-Time Off Source",MO_SPT_StockAverage_Sources,COLUMN(),FALSE),VLOOKUP(MO.DataSourceName,MO_SPT_StockAverage_Sources,COLUMN(),FALSE))</f>
        <v/>
      </c>
      <c r="BL1068" s="1888">
        <f>IF(OR(MO.RealTimeStockPriceToggle=FALSE,VLOOKUP(MO.DataSourceName,MO_SPT_StockAverage_Sources,COLUMN(),FALSE)="N/A"),VLOOKUP("Real-Time Off Source",MO_SPT_StockAverage_Sources,COLUMN(),FALSE),VLOOKUP(MO.DataSourceName,MO_SPT_StockAverage_Sources,COLUMN(),FALSE))</f>
        <v/>
      </c>
      <c r="BM1068" s="1888">
        <f>IF(OR(MO.RealTimeStockPriceToggle=FALSE,VLOOKUP(MO.DataSourceName,MO_SPT_StockAverage_Sources,COLUMN(),FALSE)="N/A"),VLOOKUP("Real-Time Off Source",MO_SPT_StockAverage_Sources,COLUMN(),FALSE),VLOOKUP(MO.DataSourceName,MO_SPT_StockAverage_Sources,COLUMN(),FALSE))</f>
        <v/>
      </c>
      <c r="BN1068" s="1888">
        <f>IF(OR(MO.RealTimeStockPriceToggle=FALSE,VLOOKUP(MO.DataSourceName,MO_SPT_StockAverage_Sources,COLUMN(),FALSE)="N/A"),VLOOKUP("Real-Time Off Source",MO_SPT_StockAverage_Sources,COLUMN(),FALSE),VLOOKUP(MO.DataSourceName,MO_SPT_StockAverage_Sources,COLUMN(),FALSE))</f>
        <v/>
      </c>
      <c r="BO1068" s="1890">
        <f>IF(OR(MO.RealTimeStockPriceToggle=FALSE,VLOOKUP(MO.DataSourceName,MO_SPT_StockAverage_Sources,COLUMN(),FALSE)="N/A"),VLOOKUP("Real-Time Off Source",MO_SPT_StockAverage_Sources,COLUMN(),FALSE),VLOOKUP(MO.DataSourceName,MO_SPT_StockAverage_Sources,COLUMN(),FALSE))</f>
        <v/>
      </c>
      <c r="BP1068" s="1888">
        <f>IF(OR(MO.RealTimeStockPriceToggle=FALSE,VLOOKUP(MO.DataSourceName,MO_SPT_StockAverage_Sources,COLUMN(),FALSE)="N/A"),VLOOKUP("Real-Time Off Source",MO_SPT_StockAverage_Sources,COLUMN(),FALSE),VLOOKUP(MO.DataSourceName,MO_SPT_StockAverage_Sources,COLUMN(),FALSE))</f>
        <v/>
      </c>
      <c r="BQ1068" s="1888">
        <f>IF(OR(MO.RealTimeStockPriceToggle=FALSE,VLOOKUP(MO.DataSourceName,MO_SPT_StockAverage_Sources,COLUMN(),FALSE)="N/A"),VLOOKUP("Real-Time Off Source",MO_SPT_StockAverage_Sources,COLUMN(),FALSE),VLOOKUP(MO.DataSourceName,MO_SPT_StockAverage_Sources,COLUMN(),FALSE))</f>
        <v/>
      </c>
      <c r="BR1068" s="1888">
        <f>IF(OR(MO.RealTimeStockPriceToggle=FALSE,VLOOKUP(MO.DataSourceName,MO_SPT_StockAverage_Sources,COLUMN(),FALSE)="N/A"),VLOOKUP("Real-Time Off Source",MO_SPT_StockAverage_Sources,COLUMN(),FALSE),VLOOKUP(MO.DataSourceName,MO_SPT_StockAverage_Sources,COLUMN(),FALSE))</f>
        <v/>
      </c>
      <c r="BS1068" s="1888">
        <f>IF(OR(MO.RealTimeStockPriceToggle=FALSE,VLOOKUP(MO.DataSourceName,MO_SPT_StockAverage_Sources,COLUMN(),FALSE)="N/A"),VLOOKUP("Real-Time Off Source",MO_SPT_StockAverage_Sources,COLUMN(),FALSE),VLOOKUP(MO.DataSourceName,MO_SPT_StockAverage_Sources,COLUMN(),FALSE))</f>
        <v/>
      </c>
      <c r="BT1068" s="1888">
        <f>IF(OR(MO.RealTimeStockPriceToggle=FALSE,VLOOKUP(MO.DataSourceName,MO_SPT_StockAverage_Sources,COLUMN(),FALSE)="N/A"),VLOOKUP("Real-Time Off Source",MO_SPT_StockAverage_Sources,COLUMN(),FALSE),VLOOKUP(MO.DataSourceName,MO_SPT_StockAverage_Sources,COLUMN(),FALSE))</f>
        <v/>
      </c>
      <c r="BU1068" s="1888">
        <f>IF(OR(MO.RealTimeStockPriceToggle=FALSE,VLOOKUP(MO.DataSourceName,MO_SPT_StockAverage_Sources,COLUMN(),FALSE)="N/A"),VLOOKUP("Real-Time Off Source",MO_SPT_StockAverage_Sources,COLUMN(),FALSE),VLOOKUP(MO.DataSourceName,MO_SPT_StockAverage_Sources,COLUMN(),FALSE))</f>
        <v/>
      </c>
      <c r="BV1068" s="1888">
        <f>IF(OR(MO.RealTimeStockPriceToggle=FALSE,VLOOKUP(MO.DataSourceName,MO_SPT_StockAverage_Sources,COLUMN(),FALSE)="N/A"),VLOOKUP("Real-Time Off Source",MO_SPT_StockAverage_Sources,COLUMN(),FALSE),VLOOKUP(MO.DataSourceName,MO_SPT_StockAverage_Sources,COLUMN(),FALSE))</f>
        <v/>
      </c>
      <c r="BW1068" s="1888">
        <f>IF(OR(MO.RealTimeStockPriceToggle=FALSE,VLOOKUP(MO.DataSourceName,MO_SPT_StockAverage_Sources,COLUMN(),FALSE)="N/A"),VLOOKUP("Real-Time Off Source",MO_SPT_StockAverage_Sources,COLUMN(),FALSE),VLOOKUP(MO.DataSourceName,MO_SPT_StockAverage_Sources,COLUMN(),FALSE))</f>
        <v/>
      </c>
      <c r="BX1068" s="1888">
        <f>IF(OR(MO.RealTimeStockPriceToggle=FALSE,VLOOKUP(MO.DataSourceName,MO_SPT_StockAverage_Sources,COLUMN(),FALSE)="N/A"),VLOOKUP("Real-Time Off Source",MO_SPT_StockAverage_Sources,COLUMN(),FALSE),VLOOKUP(MO.DataSourceName,MO_SPT_StockAverage_Sources,COLUMN(),FALSE))</f>
        <v/>
      </c>
      <c r="BY1068" s="1888">
        <f>IF(OR(MO.RealTimeStockPriceToggle=FALSE,VLOOKUP(MO.DataSourceName,MO_SPT_StockAverage_Sources,COLUMN(),FALSE)="N/A"),VLOOKUP("Real-Time Off Source",MO_SPT_StockAverage_Sources,COLUMN(),FALSE),VLOOKUP(MO.DataSourceName,MO_SPT_StockAverage_Sources,COLUMN(),FALSE))</f>
        <v/>
      </c>
      <c r="BZ1068" s="1888">
        <f>IF(OR(MO.RealTimeStockPriceToggle=FALSE,VLOOKUP(MO.DataSourceName,MO_SPT_StockAverage_Sources,COLUMN(),FALSE)="N/A"),VLOOKUP("Real-Time Off Source",MO_SPT_StockAverage_Sources,COLUMN(),FALSE),VLOOKUP(MO.DataSourceName,MO_SPT_StockAverage_Sources,COLUMN(),FALSE))</f>
        <v/>
      </c>
      <c r="CA1068" s="1888">
        <f>IF(OR(MO.RealTimeStockPriceToggle=FALSE,VLOOKUP(MO.DataSourceName,MO_SPT_StockAverage_Sources,COLUMN(),FALSE)="N/A"),VLOOKUP("Real-Time Off Source",MO_SPT_StockAverage_Sources,COLUMN(),FALSE),VLOOKUP(MO.DataSourceName,MO_SPT_StockAverage_Sources,COLUMN(),FALSE))</f>
        <v/>
      </c>
      <c r="CB1068" s="1891">
        <f>IF(OR(MO.RealTimeStockPriceToggle=FALSE,VLOOKUP(MO.DataSourceName,MO_SPT_StockAverage_Sources,COLUMN(),FALSE)="N/A"),VLOOKUP("Real-Time Off Source",MO_SPT_StockAverage_Sources,COLUMN(),FALSE),VLOOKUP(MO.DataSourceName,MO_SPT_StockAverage_Sources,COLUMN(),FALSE))</f>
        <v/>
      </c>
      <c r="CC1068" s="1892" t="n"/>
    </row>
    <row r="1069" hidden="1" outlineLevel="1" ht="14.4" customFormat="1" customHeight="1" s="1750">
      <c r="A1069" s="1893" t="inlineStr">
        <is>
          <t>Real-Time Off Source</t>
        </is>
      </c>
      <c r="B1069" s="1888" t="n"/>
      <c r="C1069" s="1894" t="n">
        <v>8.73</v>
      </c>
      <c r="D1069" s="1894" t="n">
        <v>9.779999999999999</v>
      </c>
      <c r="E1069" s="1895" t="n">
        <v>11.71</v>
      </c>
      <c r="F1069" s="1895" t="n">
        <v>14.515</v>
      </c>
      <c r="G1069" s="1895" t="n">
        <v>17.32</v>
      </c>
      <c r="H1069" s="1895" t="n">
        <v>17.295</v>
      </c>
      <c r="I1069" s="1895" t="n">
        <v>19.585</v>
      </c>
      <c r="J1069" s="1895" t="n">
        <v>20.575</v>
      </c>
      <c r="K1069" s="1895" t="n">
        <v>20.8</v>
      </c>
      <c r="L1069" s="1895" t="n">
        <v>19.56375</v>
      </c>
      <c r="M1069" s="1895" t="n">
        <v>21.40135</v>
      </c>
      <c r="N1069" s="1895" t="n">
        <v>22.44275</v>
      </c>
      <c r="O1069" s="1895" t="n">
        <v>20.1884</v>
      </c>
      <c r="P1069" s="1895" t="n">
        <v>21.3445</v>
      </c>
      <c r="Q1069" s="1895" t="n">
        <v>21.34425</v>
      </c>
      <c r="R1069" s="1895" t="n">
        <v>22.6114</v>
      </c>
      <c r="S1069" s="1895" t="n">
        <v>24.1076</v>
      </c>
      <c r="T1069" s="1895" t="n">
        <v>28.405</v>
      </c>
      <c r="U1069" s="1895" t="n">
        <v>30.05</v>
      </c>
      <c r="V1069" s="1895" t="n">
        <v>26.2935</v>
      </c>
      <c r="W1069" s="1895" t="n">
        <v>31.32</v>
      </c>
      <c r="X1069" s="1895" t="n">
        <v>34.22</v>
      </c>
      <c r="Y1069" s="1895" t="n">
        <v>36.4</v>
      </c>
      <c r="Z1069" s="1895" t="n">
        <v>40.56</v>
      </c>
      <c r="AA1069" s="1895" t="n">
        <v>35.625</v>
      </c>
      <c r="AB1069" s="1895" t="n">
        <v>42.0860114754098</v>
      </c>
      <c r="AC1069" s="1895" t="n">
        <v>38.2554453125</v>
      </c>
      <c r="AD1069" s="1895" t="n">
        <v>41.4220634920635</v>
      </c>
      <c r="AE1069" s="1895" t="n">
        <v>38.0661904761905</v>
      </c>
      <c r="AF1069" s="1895" t="n">
        <v>39.9336860557769</v>
      </c>
      <c r="AG1069" s="1895" t="n">
        <v>38.1462295081967</v>
      </c>
      <c r="AH1069" s="1895" t="n">
        <v>41.1642857142857</v>
      </c>
      <c r="AI1069" s="1895" t="n">
        <v>42.6453125</v>
      </c>
      <c r="AJ1069" s="1895" t="n">
        <v>53.040625</v>
      </c>
      <c r="AK1069" s="1895" t="n">
        <v>43.8260714285714</v>
      </c>
      <c r="AL1069" s="1895" t="n">
        <v>54.6953225806452</v>
      </c>
      <c r="AM1069" s="1895" t="n">
        <v>52.7026984126984</v>
      </c>
      <c r="AN1069" s="1895" t="n">
        <v>75.9915625</v>
      </c>
      <c r="AO1069" s="1895" t="n">
        <v>94.8484375</v>
      </c>
      <c r="AP1069" s="1895" t="n">
        <v>69.7436363636364</v>
      </c>
      <c r="AQ1069" s="1895" t="n">
        <v>123.867704918033</v>
      </c>
      <c r="AR1069" s="1895" t="n">
        <v>117.167777777778</v>
      </c>
      <c r="AS1069" s="1895" t="n">
        <v>117.40453125</v>
      </c>
      <c r="AT1069" s="1895" t="n">
        <v>117.1290625</v>
      </c>
      <c r="AU1069" s="1895" t="n">
        <v>118.839880952381</v>
      </c>
      <c r="AV1069" s="1895" t="n">
        <v>116.943225806452</v>
      </c>
      <c r="AW1069" s="1895" t="n">
        <v>92.47322580645159</v>
      </c>
      <c r="AX1069" s="1895" t="n">
        <v>82.65406249999999</v>
      </c>
      <c r="AY1069" s="1895" t="n">
        <v>72.3420634920635</v>
      </c>
      <c r="AZ1069" s="1895" t="n">
        <v>90.9610756972112</v>
      </c>
      <c r="BA1069" s="1895" t="n">
        <v>89.7641935483871</v>
      </c>
      <c r="BB1069" s="1895" t="n">
        <v>93.0670967741935</v>
      </c>
      <c r="BC1069" s="1895" t="n">
        <v>94.5619047619047</v>
      </c>
      <c r="BD1069" s="1895" t="n">
        <v>95.36714285714289</v>
      </c>
      <c r="BE1069" s="1895" t="n">
        <v>93.20428</v>
      </c>
      <c r="BF1069" s="1895" t="n">
        <v>124.202459016393</v>
      </c>
      <c r="BG1069" s="1895" t="n">
        <v>151.68746031746</v>
      </c>
      <c r="BH1069" s="1895" t="n">
        <v>170.4040625</v>
      </c>
      <c r="BI1069" s="1895" t="n">
        <v>193.5315625</v>
      </c>
      <c r="BJ1069" s="1895" t="n">
        <v>160.414841269841</v>
      </c>
      <c r="BK1069" s="1895" t="n">
        <v>194.335</v>
      </c>
      <c r="BL1069" s="1895" t="n">
        <v>185.254516129032</v>
      </c>
      <c r="BM1069" s="1895" t="n">
        <v>244.53703125</v>
      </c>
      <c r="BN1069" s="1895" t="n">
        <v>293.41671875</v>
      </c>
      <c r="BO1069" s="1896" t="n">
        <v>230.29968</v>
      </c>
      <c r="BP1069" s="1888" t="n"/>
      <c r="BQ1069" s="1888" t="n"/>
      <c r="BR1069" s="1888" t="n"/>
      <c r="BS1069" s="1888" t="n"/>
      <c r="BT1069" s="1888" t="n"/>
      <c r="BU1069" s="1888" t="n"/>
      <c r="BV1069" s="1888" t="n"/>
      <c r="BW1069" s="1888" t="n"/>
      <c r="BX1069" s="1888" t="n"/>
      <c r="BY1069" s="1888" t="n"/>
      <c r="BZ1069" s="1888" t="n"/>
      <c r="CA1069" s="1888" t="n"/>
      <c r="CB1069" s="1891" t="n"/>
      <c r="CC1069" s="1892" t="n"/>
    </row>
    <row r="1070" hidden="1" outlineLevel="1" ht="14.4" customFormat="1" customHeight="1" s="1750">
      <c r="A1070" s="1893" t="inlineStr">
        <is>
          <t>Bloomberg</t>
        </is>
      </c>
      <c r="B1070" s="1888" t="n"/>
      <c r="C1070" s="1889">
        <f>IFERROR(BDP(MO.Ticker.Bloomberg&amp;" Equity","INTERVAL_AVG","MARKET_DATA_OVERRIDE=PX_LAST","START_DATE_OVERRIDE",TEXT(INDEX(MO_SNA_FPStartDate,0,COLUMN()),"YYYYMMDD"),"END_DATE_OVERRIDE",TEXT(INDEX(MO_Common_QEndDate,0,COLUMN()),"YYYYMMDD")),"N/A")</f>
        <v/>
      </c>
      <c r="D1070" s="1889">
        <f>IFERROR(BDP(MO.Ticker.Bloomberg&amp;" Equity","INTERVAL_AVG","MARKET_DATA_OVERRIDE=PX_LAST","START_DATE_OVERRIDE",TEXT(INDEX(MO_SNA_FPStartDate,0,COLUMN()),"YYYYMMDD"),"END_DATE_OVERRIDE",TEXT(INDEX(MO_Common_QEndDate,0,COLUMN()),"YYYYMMDD")),"N/A")</f>
        <v/>
      </c>
      <c r="E1070" s="1888">
        <f>IFERROR(BDP(MO.Ticker.Bloomberg&amp;" Equity","INTERVAL_AVG","MARKET_DATA_OVERRIDE=PX_LAST","START_DATE_OVERRIDE",TEXT(INDEX(MO_SNA_FPStartDate,0,COLUMN()),"YYYYMMDD"),"END_DATE_OVERRIDE",TEXT(INDEX(MO_Common_QEndDate,0,COLUMN()),"YYYYMMDD")),"N/A")</f>
        <v/>
      </c>
      <c r="F1070" s="1888">
        <f>IFERROR(BDP(MO.Ticker.Bloomberg&amp;" Equity","INTERVAL_AVG","MARKET_DATA_OVERRIDE=PX_LAST","START_DATE_OVERRIDE",TEXT(INDEX(MO_SNA_FPStartDate,0,COLUMN()),"YYYYMMDD"),"END_DATE_OVERRIDE",TEXT(INDEX(MO_Common_QEndDate,0,COLUMN()),"YYYYMMDD")),"N/A")</f>
        <v/>
      </c>
      <c r="G1070" s="1888">
        <f>IFERROR(BDP(MO.Ticker.Bloomberg&amp;" Equity","INTERVAL_AVG","MARKET_DATA_OVERRIDE=PX_LAST","START_DATE_OVERRIDE",TEXT(INDEX(MO_SNA_FPStartDate,0,COLUMN()),"YYYYMMDD"),"END_DATE_OVERRIDE",TEXT(INDEX(MO_Common_QEndDate,0,COLUMN()),"YYYYMMDD")),"N/A")</f>
        <v/>
      </c>
      <c r="H1070" s="1888">
        <f>IFERROR(BDP(MO.Ticker.Bloomberg&amp;" Equity","INTERVAL_AVG","MARKET_DATA_OVERRIDE=PX_LAST","START_DATE_OVERRIDE",TEXT(INDEX(MO_SNA_FPStartDate,0,COLUMN()),"YYYYMMDD"),"END_DATE_OVERRIDE",TEXT(INDEX(MO_Common_QEndDate,0,COLUMN()),"YYYYMMDD")),"N/A")</f>
        <v/>
      </c>
      <c r="I1070" s="1888">
        <f>IFERROR(BDP(MO.Ticker.Bloomberg&amp;" Equity","INTERVAL_AVG","MARKET_DATA_OVERRIDE=PX_LAST","START_DATE_OVERRIDE",TEXT(INDEX(MO_SNA_FPStartDate,0,COLUMN()),"YYYYMMDD"),"END_DATE_OVERRIDE",TEXT(INDEX(MO_Common_QEndDate,0,COLUMN()),"YYYYMMDD")),"N/A")</f>
        <v/>
      </c>
      <c r="J1070" s="1888">
        <f>IFERROR(BDP(MO.Ticker.Bloomberg&amp;" Equity","INTERVAL_AVG","MARKET_DATA_OVERRIDE=PX_LAST","START_DATE_OVERRIDE",TEXT(INDEX(MO_SNA_FPStartDate,0,COLUMN()),"YYYYMMDD"),"END_DATE_OVERRIDE",TEXT(INDEX(MO_Common_QEndDate,0,COLUMN()),"YYYYMMDD")),"N/A")</f>
        <v/>
      </c>
      <c r="K1070" s="1888">
        <f>IFERROR(BDP(MO.Ticker.Bloomberg&amp;" Equity","INTERVAL_AVG","MARKET_DATA_OVERRIDE=PX_LAST","START_DATE_OVERRIDE",TEXT(INDEX(MO_SNA_FPStartDate,0,COLUMN()),"YYYYMMDD"),"END_DATE_OVERRIDE",TEXT(INDEX(MO_Common_QEndDate,0,COLUMN()),"YYYYMMDD")),"N/A")</f>
        <v/>
      </c>
      <c r="L1070" s="1888">
        <f>IFERROR(BDP(MO.Ticker.Bloomberg&amp;" Equity","INTERVAL_AVG","MARKET_DATA_OVERRIDE=PX_LAST","START_DATE_OVERRIDE",TEXT(INDEX(MO_SNA_FPStartDate,0,COLUMN()),"YYYYMMDD"),"END_DATE_OVERRIDE",TEXT(INDEX(MO_Common_QEndDate,0,COLUMN()),"YYYYMMDD")),"N/A")</f>
        <v/>
      </c>
      <c r="M1070" s="1888">
        <f>IFERROR(BDP(MO.Ticker.Bloomberg&amp;" Equity","INTERVAL_AVG","MARKET_DATA_OVERRIDE=PX_LAST","START_DATE_OVERRIDE",TEXT(INDEX(MO_SNA_FPStartDate,0,COLUMN()),"YYYYMMDD"),"END_DATE_OVERRIDE",TEXT(INDEX(MO_Common_QEndDate,0,COLUMN()),"YYYYMMDD")),"N/A")</f>
        <v/>
      </c>
      <c r="N1070" s="1888">
        <f>IFERROR(BDP(MO.Ticker.Bloomberg&amp;" Equity","INTERVAL_AVG","MARKET_DATA_OVERRIDE=PX_LAST","START_DATE_OVERRIDE",TEXT(INDEX(MO_SNA_FPStartDate,0,COLUMN()),"YYYYMMDD"),"END_DATE_OVERRIDE",TEXT(INDEX(MO_Common_QEndDate,0,COLUMN()),"YYYYMMDD")),"N/A")</f>
        <v/>
      </c>
      <c r="O1070" s="1888">
        <f>IFERROR(BDP(MO.Ticker.Bloomberg&amp;" Equity","INTERVAL_AVG","MARKET_DATA_OVERRIDE=PX_LAST","START_DATE_OVERRIDE",TEXT(INDEX(MO_SNA_FPStartDate,0,COLUMN()),"YYYYMMDD"),"END_DATE_OVERRIDE",TEXT(INDEX(MO_Common_QEndDate,0,COLUMN()),"YYYYMMDD")),"N/A")</f>
        <v/>
      </c>
      <c r="P1070" s="1888">
        <f>IFERROR(BDP(MO.Ticker.Bloomberg&amp;" Equity","INTERVAL_AVG","MARKET_DATA_OVERRIDE=PX_LAST","START_DATE_OVERRIDE",TEXT(INDEX(MO_SNA_FPStartDate,0,COLUMN()),"YYYYMMDD"),"END_DATE_OVERRIDE",TEXT(INDEX(MO_Common_QEndDate,0,COLUMN()),"YYYYMMDD")),"N/A")</f>
        <v/>
      </c>
      <c r="Q1070" s="1888">
        <f>IFERROR(BDP(MO.Ticker.Bloomberg&amp;" Equity","INTERVAL_AVG","MARKET_DATA_OVERRIDE=PX_LAST","START_DATE_OVERRIDE",TEXT(INDEX(MO_SNA_FPStartDate,0,COLUMN()),"YYYYMMDD"),"END_DATE_OVERRIDE",TEXT(INDEX(MO_Common_QEndDate,0,COLUMN()),"YYYYMMDD")),"N/A")</f>
        <v/>
      </c>
      <c r="R1070" s="1888">
        <f>IFERROR(BDP(MO.Ticker.Bloomberg&amp;" Equity","INTERVAL_AVG","MARKET_DATA_OVERRIDE=PX_LAST","START_DATE_OVERRIDE",TEXT(INDEX(MO_SNA_FPStartDate,0,COLUMN()),"YYYYMMDD"),"END_DATE_OVERRIDE",TEXT(INDEX(MO_Common_QEndDate,0,COLUMN()),"YYYYMMDD")),"N/A")</f>
        <v/>
      </c>
      <c r="S1070" s="1888">
        <f>IFERROR(BDP(MO.Ticker.Bloomberg&amp;" Equity","INTERVAL_AVG","MARKET_DATA_OVERRIDE=PX_LAST","START_DATE_OVERRIDE",TEXT(INDEX(MO_SNA_FPStartDate,0,COLUMN()),"YYYYMMDD"),"END_DATE_OVERRIDE",TEXT(INDEX(MO_Common_QEndDate,0,COLUMN()),"YYYYMMDD")),"N/A")</f>
        <v/>
      </c>
      <c r="T1070" s="1888">
        <f>IFERROR(BDP(MO.Ticker.Bloomberg&amp;" Equity","INTERVAL_AVG","MARKET_DATA_OVERRIDE=PX_LAST","START_DATE_OVERRIDE",TEXT(INDEX(MO_SNA_FPStartDate,0,COLUMN()),"YYYYMMDD"),"END_DATE_OVERRIDE",TEXT(INDEX(MO_Common_QEndDate,0,COLUMN()),"YYYYMMDD")),"N/A")</f>
        <v/>
      </c>
      <c r="U1070" s="1888">
        <f>IFERROR(BDP(MO.Ticker.Bloomberg&amp;" Equity","INTERVAL_AVG","MARKET_DATA_OVERRIDE=PX_LAST","START_DATE_OVERRIDE",TEXT(INDEX(MO_SNA_FPStartDate,0,COLUMN()),"YYYYMMDD"),"END_DATE_OVERRIDE",TEXT(INDEX(MO_Common_QEndDate,0,COLUMN()),"YYYYMMDD")),"N/A")</f>
        <v/>
      </c>
      <c r="V1070" s="1888">
        <f>IFERROR(BDP(MO.Ticker.Bloomberg&amp;" Equity","INTERVAL_AVG","MARKET_DATA_OVERRIDE=PX_LAST","START_DATE_OVERRIDE",TEXT(INDEX(MO_SNA_FPStartDate,0,COLUMN()),"YYYYMMDD"),"END_DATE_OVERRIDE",TEXT(INDEX(MO_Common_QEndDate,0,COLUMN()),"YYYYMMDD")),"N/A")</f>
        <v/>
      </c>
      <c r="W1070" s="1888">
        <f>IFERROR(BDP(MO.Ticker.Bloomberg&amp;" Equity","INTERVAL_AVG","MARKET_DATA_OVERRIDE=PX_LAST","START_DATE_OVERRIDE",TEXT(INDEX(MO_SNA_FPStartDate,0,COLUMN()),"YYYYMMDD"),"END_DATE_OVERRIDE",TEXT(INDEX(MO_Common_QEndDate,0,COLUMN()),"YYYYMMDD")),"N/A")</f>
        <v/>
      </c>
      <c r="X1070" s="1888">
        <f>IFERROR(BDP(MO.Ticker.Bloomberg&amp;" Equity","INTERVAL_AVG","MARKET_DATA_OVERRIDE=PX_LAST","START_DATE_OVERRIDE",TEXT(INDEX(MO_SNA_FPStartDate,0,COLUMN()),"YYYYMMDD"),"END_DATE_OVERRIDE",TEXT(INDEX(MO_Common_QEndDate,0,COLUMN()),"YYYYMMDD")),"N/A")</f>
        <v/>
      </c>
      <c r="Y1070" s="1888">
        <f>IFERROR(BDP(MO.Ticker.Bloomberg&amp;" Equity","INTERVAL_AVG","MARKET_DATA_OVERRIDE=PX_LAST","START_DATE_OVERRIDE",TEXT(INDEX(MO_SNA_FPStartDate,0,COLUMN()),"YYYYMMDD"),"END_DATE_OVERRIDE",TEXT(INDEX(MO_Common_QEndDate,0,COLUMN()),"YYYYMMDD")),"N/A")</f>
        <v/>
      </c>
      <c r="Z1070" s="1888">
        <f>IFERROR(BDP(MO.Ticker.Bloomberg&amp;" Equity","INTERVAL_AVG","MARKET_DATA_OVERRIDE=PX_LAST","START_DATE_OVERRIDE",TEXT(INDEX(MO_SNA_FPStartDate,0,COLUMN()),"YYYYMMDD"),"END_DATE_OVERRIDE",TEXT(INDEX(MO_Common_QEndDate,0,COLUMN()),"YYYYMMDD")),"N/A")</f>
        <v/>
      </c>
      <c r="AA1070" s="1888">
        <f>IFERROR(BDP(MO.Ticker.Bloomberg&amp;" Equity","INTERVAL_AVG","MARKET_DATA_OVERRIDE=PX_LAST","START_DATE_OVERRIDE",TEXT(INDEX(MO_SNA_FPStartDate,0,COLUMN()),"YYYYMMDD"),"END_DATE_OVERRIDE",TEXT(INDEX(MO_Common_QEndDate,0,COLUMN()),"YYYYMMDD")),"N/A")</f>
        <v/>
      </c>
      <c r="AB1070" s="1888">
        <f>IFERROR(BDP(MO.Ticker.Bloomberg&amp;" Equity","INTERVAL_AVG","MARKET_DATA_OVERRIDE=PX_LAST","START_DATE_OVERRIDE",TEXT(INDEX(MO_SNA_FPStartDate,0,COLUMN()),"YYYYMMDD"),"END_DATE_OVERRIDE",TEXT(INDEX(MO_Common_QEndDate,0,COLUMN()),"YYYYMMDD")),"N/A")</f>
        <v/>
      </c>
      <c r="AC1070" s="1888">
        <f>IFERROR(BDP(MO.Ticker.Bloomberg&amp;" Equity","INTERVAL_AVG","MARKET_DATA_OVERRIDE=PX_LAST","START_DATE_OVERRIDE",TEXT(INDEX(MO_SNA_FPStartDate,0,COLUMN()),"YYYYMMDD"),"END_DATE_OVERRIDE",TEXT(INDEX(MO_Common_QEndDate,0,COLUMN()),"YYYYMMDD")),"N/A")</f>
        <v/>
      </c>
      <c r="AD1070" s="1888">
        <f>IFERROR(BDP(MO.Ticker.Bloomberg&amp;" Equity","INTERVAL_AVG","MARKET_DATA_OVERRIDE=PX_LAST","START_DATE_OVERRIDE",TEXT(INDEX(MO_SNA_FPStartDate,0,COLUMN()),"YYYYMMDD"),"END_DATE_OVERRIDE",TEXT(INDEX(MO_Common_QEndDate,0,COLUMN()),"YYYYMMDD")),"N/A")</f>
        <v/>
      </c>
      <c r="AE1070" s="1888">
        <f>IFERROR(BDP(MO.Ticker.Bloomberg&amp;" Equity","INTERVAL_AVG","MARKET_DATA_OVERRIDE=PX_LAST","START_DATE_OVERRIDE",TEXT(INDEX(MO_SNA_FPStartDate,0,COLUMN()),"YYYYMMDD"),"END_DATE_OVERRIDE",TEXT(INDEX(MO_Common_QEndDate,0,COLUMN()),"YYYYMMDD")),"N/A")</f>
        <v/>
      </c>
      <c r="AF1070" s="1888">
        <f>IFERROR(BDP(MO.Ticker.Bloomberg&amp;" Equity","INTERVAL_AVG","MARKET_DATA_OVERRIDE=PX_LAST","START_DATE_OVERRIDE",TEXT(INDEX(MO_SNA_FPStartDate,0,COLUMN()),"YYYYMMDD"),"END_DATE_OVERRIDE",TEXT(INDEX(MO_Common_QEndDate,0,COLUMN()),"YYYYMMDD")),"N/A")</f>
        <v/>
      </c>
      <c r="AG1070" s="1888">
        <f>IFERROR(BDP(MO.Ticker.Bloomberg&amp;" Equity","INTERVAL_AVG","MARKET_DATA_OVERRIDE=PX_LAST","START_DATE_OVERRIDE",TEXT(INDEX(MO_SNA_FPStartDate,0,COLUMN()),"YYYYMMDD"),"END_DATE_OVERRIDE",TEXT(INDEX(MO_Common_QEndDate,0,COLUMN()),"YYYYMMDD")),"N/A")</f>
        <v/>
      </c>
      <c r="AH1070" s="1888">
        <f>IFERROR(BDP(MO.Ticker.Bloomberg&amp;" Equity","INTERVAL_AVG","MARKET_DATA_OVERRIDE=PX_LAST","START_DATE_OVERRIDE",TEXT(INDEX(MO_SNA_FPStartDate,0,COLUMN()),"YYYYMMDD"),"END_DATE_OVERRIDE",TEXT(INDEX(MO_Common_QEndDate,0,COLUMN()),"YYYYMMDD")),"N/A")</f>
        <v/>
      </c>
      <c r="AI1070" s="1888">
        <f>IFERROR(BDP(MO.Ticker.Bloomberg&amp;" Equity","INTERVAL_AVG","MARKET_DATA_OVERRIDE=PX_LAST","START_DATE_OVERRIDE",TEXT(INDEX(MO_SNA_FPStartDate,0,COLUMN()),"YYYYMMDD"),"END_DATE_OVERRIDE",TEXT(INDEX(MO_Common_QEndDate,0,COLUMN()),"YYYYMMDD")),"N/A")</f>
        <v/>
      </c>
      <c r="AJ1070" s="1888">
        <f>IFERROR(BDP(MO.Ticker.Bloomberg&amp;" Equity","INTERVAL_AVG","MARKET_DATA_OVERRIDE=PX_LAST","START_DATE_OVERRIDE",TEXT(INDEX(MO_SNA_FPStartDate,0,COLUMN()),"YYYYMMDD"),"END_DATE_OVERRIDE",TEXT(INDEX(MO_Common_QEndDate,0,COLUMN()),"YYYYMMDD")),"N/A")</f>
        <v/>
      </c>
      <c r="AK1070" s="1888">
        <f>IFERROR(BDP(MO.Ticker.Bloomberg&amp;" Equity","INTERVAL_AVG","MARKET_DATA_OVERRIDE=PX_LAST","START_DATE_OVERRIDE",TEXT(INDEX(MO_SNA_FPStartDate,0,COLUMN()),"YYYYMMDD"),"END_DATE_OVERRIDE",TEXT(INDEX(MO_Common_QEndDate,0,COLUMN()),"YYYYMMDD")),"N/A")</f>
        <v/>
      </c>
      <c r="AL1070" s="1888">
        <f>IFERROR(BDP(MO.Ticker.Bloomberg&amp;" Equity","INTERVAL_AVG","MARKET_DATA_OVERRIDE=PX_LAST","START_DATE_OVERRIDE",TEXT(INDEX(MO_SNA_FPStartDate,0,COLUMN()),"YYYYMMDD"),"END_DATE_OVERRIDE",TEXT(INDEX(MO_Common_QEndDate,0,COLUMN()),"YYYYMMDD")),"N/A")</f>
        <v/>
      </c>
      <c r="AM1070" s="1888">
        <f>IFERROR(BDP(MO.Ticker.Bloomberg&amp;" Equity","INTERVAL_AVG","MARKET_DATA_OVERRIDE=PX_LAST","START_DATE_OVERRIDE",TEXT(INDEX(MO_SNA_FPStartDate,0,COLUMN()),"YYYYMMDD"),"END_DATE_OVERRIDE",TEXT(INDEX(MO_Common_QEndDate,0,COLUMN()),"YYYYMMDD")),"N/A")</f>
        <v/>
      </c>
      <c r="AN1070" s="1888">
        <f>IFERROR(BDP(MO.Ticker.Bloomberg&amp;" Equity","INTERVAL_AVG","MARKET_DATA_OVERRIDE=PX_LAST","START_DATE_OVERRIDE",TEXT(INDEX(MO_SNA_FPStartDate,0,COLUMN()),"YYYYMMDD"),"END_DATE_OVERRIDE",TEXT(INDEX(MO_Common_QEndDate,0,COLUMN()),"YYYYMMDD")),"N/A")</f>
        <v/>
      </c>
      <c r="AO1070" s="1888">
        <f>IFERROR(BDP(MO.Ticker.Bloomberg&amp;" Equity","INTERVAL_AVG","MARKET_DATA_OVERRIDE=PX_LAST","START_DATE_OVERRIDE",TEXT(INDEX(MO_SNA_FPStartDate,0,COLUMN()),"YYYYMMDD"),"END_DATE_OVERRIDE",TEXT(INDEX(MO_Common_QEndDate,0,COLUMN()),"YYYYMMDD")),"N/A")</f>
        <v/>
      </c>
      <c r="AP1070" s="1888">
        <f>IFERROR(BDP(MO.Ticker.Bloomberg&amp;" Equity","INTERVAL_AVG","MARKET_DATA_OVERRIDE=PX_LAST","START_DATE_OVERRIDE",TEXT(INDEX(MO_SNA_FPStartDate,0,COLUMN()),"YYYYMMDD"),"END_DATE_OVERRIDE",TEXT(INDEX(MO_Common_QEndDate,0,COLUMN()),"YYYYMMDD")),"N/A")</f>
        <v/>
      </c>
      <c r="AQ1070" s="1888">
        <f>IFERROR(BDP(MO.Ticker.Bloomberg&amp;" Equity","INTERVAL_AVG","MARKET_DATA_OVERRIDE=PX_LAST","START_DATE_OVERRIDE",TEXT(INDEX(MO_SNA_FPStartDate,0,COLUMN()),"YYYYMMDD"),"END_DATE_OVERRIDE",TEXT(INDEX(MO_Common_QEndDate,0,COLUMN()),"YYYYMMDD")),"N/A")</f>
        <v/>
      </c>
      <c r="AR1070" s="1888">
        <f>IFERROR(BDP(MO.Ticker.Bloomberg&amp;" Equity","INTERVAL_AVG","MARKET_DATA_OVERRIDE=PX_LAST","START_DATE_OVERRIDE",TEXT(INDEX(MO_SNA_FPStartDate,0,COLUMN()),"YYYYMMDD"),"END_DATE_OVERRIDE",TEXT(INDEX(MO_Common_QEndDate,0,COLUMN()),"YYYYMMDD")),"N/A")</f>
        <v/>
      </c>
      <c r="AS1070" s="1888">
        <f>IFERROR(BDP(MO.Ticker.Bloomberg&amp;" Equity","INTERVAL_AVG","MARKET_DATA_OVERRIDE=PX_LAST","START_DATE_OVERRIDE",TEXT(INDEX(MO_SNA_FPStartDate,0,COLUMN()),"YYYYMMDD"),"END_DATE_OVERRIDE",TEXT(INDEX(MO_Common_QEndDate,0,COLUMN()),"YYYYMMDD")),"N/A")</f>
        <v/>
      </c>
      <c r="AT1070" s="1888">
        <f>IFERROR(BDP(MO.Ticker.Bloomberg&amp;" Equity","INTERVAL_AVG","MARKET_DATA_OVERRIDE=PX_LAST","START_DATE_OVERRIDE",TEXT(INDEX(MO_SNA_FPStartDate,0,COLUMN()),"YYYYMMDD"),"END_DATE_OVERRIDE",TEXT(INDEX(MO_Common_QEndDate,0,COLUMN()),"YYYYMMDD")),"N/A")</f>
        <v/>
      </c>
      <c r="AU1070" s="1888">
        <f>IFERROR(BDP(MO.Ticker.Bloomberg&amp;" Equity","INTERVAL_AVG","MARKET_DATA_OVERRIDE=PX_LAST","START_DATE_OVERRIDE",TEXT(INDEX(MO_SNA_FPStartDate,0,COLUMN()),"YYYYMMDD"),"END_DATE_OVERRIDE",TEXT(INDEX(MO_Common_QEndDate,0,COLUMN()),"YYYYMMDD")),"N/A")</f>
        <v/>
      </c>
      <c r="AV1070" s="1888">
        <f>IFERROR(BDP(MO.Ticker.Bloomberg&amp;" Equity","INTERVAL_AVG","MARKET_DATA_OVERRIDE=PX_LAST","START_DATE_OVERRIDE",TEXT(INDEX(MO_SNA_FPStartDate,0,COLUMN()),"YYYYMMDD"),"END_DATE_OVERRIDE",TEXT(INDEX(MO_Common_QEndDate,0,COLUMN()),"YYYYMMDD")),"N/A")</f>
        <v/>
      </c>
      <c r="AW1070" s="1888">
        <f>IFERROR(BDP(MO.Ticker.Bloomberg&amp;" Equity","INTERVAL_AVG","MARKET_DATA_OVERRIDE=PX_LAST","START_DATE_OVERRIDE",TEXT(INDEX(MO_SNA_FPStartDate,0,COLUMN()),"YYYYMMDD"),"END_DATE_OVERRIDE",TEXT(INDEX(MO_Common_QEndDate,0,COLUMN()),"YYYYMMDD")),"N/A")</f>
        <v/>
      </c>
      <c r="AX1070" s="1888">
        <f>IFERROR(BDP(MO.Ticker.Bloomberg&amp;" Equity","INTERVAL_AVG","MARKET_DATA_OVERRIDE=PX_LAST","START_DATE_OVERRIDE",TEXT(INDEX(MO_SNA_FPStartDate,0,COLUMN()),"YYYYMMDD"),"END_DATE_OVERRIDE",TEXT(INDEX(MO_Common_QEndDate,0,COLUMN()),"YYYYMMDD")),"N/A")</f>
        <v/>
      </c>
      <c r="AY1070" s="1888">
        <f>IFERROR(BDP(MO.Ticker.Bloomberg&amp;" Equity","INTERVAL_AVG","MARKET_DATA_OVERRIDE=PX_LAST","START_DATE_OVERRIDE",TEXT(INDEX(MO_SNA_FPStartDate,0,COLUMN()),"YYYYMMDD"),"END_DATE_OVERRIDE",TEXT(INDEX(MO_Common_QEndDate,0,COLUMN()),"YYYYMMDD")),"N/A")</f>
        <v/>
      </c>
      <c r="AZ1070" s="1888">
        <f>IFERROR(BDP(MO.Ticker.Bloomberg&amp;" Equity","INTERVAL_AVG","MARKET_DATA_OVERRIDE=PX_LAST","START_DATE_OVERRIDE",TEXT(INDEX(MO_SNA_FPStartDate,0,COLUMN()),"YYYYMMDD"),"END_DATE_OVERRIDE",TEXT(INDEX(MO_Common_QEndDate,0,COLUMN()),"YYYYMMDD")),"N/A")</f>
        <v/>
      </c>
      <c r="BA1070" s="1888">
        <f>IFERROR(BDP(MO.Ticker.Bloomberg&amp;" Equity","INTERVAL_AVG","MARKET_DATA_OVERRIDE=PX_LAST","START_DATE_OVERRIDE",TEXT(INDEX(MO_SNA_FPStartDate,0,COLUMN()),"YYYYMMDD"),"END_DATE_OVERRIDE",TEXT(INDEX(MO_Common_QEndDate,0,COLUMN()),"YYYYMMDD")),"N/A")</f>
        <v/>
      </c>
      <c r="BB1070" s="1888">
        <f>IFERROR(BDP(MO.Ticker.Bloomberg&amp;" Equity","INTERVAL_AVG","MARKET_DATA_OVERRIDE=PX_LAST","START_DATE_OVERRIDE",TEXT(INDEX(MO_SNA_FPStartDate,0,COLUMN()),"YYYYMMDD"),"END_DATE_OVERRIDE",TEXT(INDEX(MO_Common_QEndDate,0,COLUMN()),"YYYYMMDD")),"N/A")</f>
        <v/>
      </c>
      <c r="BC1070" s="1888">
        <f>IFERROR(BDP(MO.Ticker.Bloomberg&amp;" Equity","INTERVAL_AVG","MARKET_DATA_OVERRIDE=PX_LAST","START_DATE_OVERRIDE",TEXT(INDEX(MO_SNA_FPStartDate,0,COLUMN()),"YYYYMMDD"),"END_DATE_OVERRIDE",TEXT(INDEX(MO_Common_QEndDate,0,COLUMN()),"YYYYMMDD")),"N/A")</f>
        <v/>
      </c>
      <c r="BD1070" s="1888">
        <f>IFERROR(BDP(MO.Ticker.Bloomberg&amp;" Equity","INTERVAL_AVG","MARKET_DATA_OVERRIDE=PX_LAST","START_DATE_OVERRIDE",TEXT(INDEX(MO_SNA_FPStartDate,0,COLUMN()),"YYYYMMDD"),"END_DATE_OVERRIDE",TEXT(INDEX(MO_Common_QEndDate,0,COLUMN()),"YYYYMMDD")),"N/A")</f>
        <v/>
      </c>
      <c r="BE1070" s="1888">
        <f>IFERROR(BDP(MO.Ticker.Bloomberg&amp;" Equity","INTERVAL_AVG","MARKET_DATA_OVERRIDE=PX_LAST","START_DATE_OVERRIDE",TEXT(INDEX(MO_SNA_FPStartDate,0,COLUMN()),"YYYYMMDD"),"END_DATE_OVERRIDE",TEXT(INDEX(MO_Common_QEndDate,0,COLUMN()),"YYYYMMDD")),"N/A")</f>
        <v/>
      </c>
      <c r="BF1070" s="1888">
        <f>IFERROR(BDP(MO.Ticker.Bloomberg&amp;" Equity","INTERVAL_AVG","MARKET_DATA_OVERRIDE=PX_LAST","START_DATE_OVERRIDE",TEXT(INDEX(MO_SNA_FPStartDate,0,COLUMN()),"YYYYMMDD"),"END_DATE_OVERRIDE",TEXT(INDEX(MO_Common_QEndDate,0,COLUMN()),"YYYYMMDD")),"N/A")</f>
        <v/>
      </c>
      <c r="BG1070" s="1888">
        <f>IFERROR(BDP(MO.Ticker.Bloomberg&amp;" Equity","INTERVAL_AVG","MARKET_DATA_OVERRIDE=PX_LAST","START_DATE_OVERRIDE",TEXT(INDEX(MO_SNA_FPStartDate,0,COLUMN()),"YYYYMMDD"),"END_DATE_OVERRIDE",TEXT(INDEX(MO_Common_QEndDate,0,COLUMN()),"YYYYMMDD")),"N/A")</f>
        <v/>
      </c>
      <c r="BH1070" s="1888">
        <f>IFERROR(BDP(MO.Ticker.Bloomberg&amp;" Equity","INTERVAL_AVG","MARKET_DATA_OVERRIDE=PX_LAST","START_DATE_OVERRIDE",TEXT(INDEX(MO_SNA_FPStartDate,0,COLUMN()),"YYYYMMDD"),"END_DATE_OVERRIDE",TEXT(INDEX(MO_Common_QEndDate,0,COLUMN()),"YYYYMMDD")),"N/A")</f>
        <v/>
      </c>
      <c r="BI1070" s="1888">
        <f>IFERROR(BDP(MO.Ticker.Bloomberg&amp;" Equity","INTERVAL_AVG","MARKET_DATA_OVERRIDE=PX_LAST","START_DATE_OVERRIDE",TEXT(INDEX(MO_SNA_FPStartDate,0,COLUMN()),"YYYYMMDD"),"END_DATE_OVERRIDE",TEXT(INDEX(MO_Common_QEndDate,0,COLUMN()),"YYYYMMDD")),"N/A")</f>
        <v/>
      </c>
      <c r="BJ1070" s="1888">
        <f>IFERROR(BDP(MO.Ticker.Bloomberg&amp;" Equity","INTERVAL_AVG","MARKET_DATA_OVERRIDE=PX_LAST","START_DATE_OVERRIDE",TEXT(INDEX(MO_SNA_FPStartDate,0,COLUMN()),"YYYYMMDD"),"END_DATE_OVERRIDE",TEXT(INDEX(MO_Common_QEndDate,0,COLUMN()),"YYYYMMDD")),"N/A")</f>
        <v/>
      </c>
      <c r="BK1070" s="1888">
        <f>IFERROR(BDP(MO.Ticker.Bloomberg&amp;" Equity","INTERVAL_AVG","MARKET_DATA_OVERRIDE=PX_LAST","START_DATE_OVERRIDE",TEXT(INDEX(MO_SNA_FPStartDate,0,COLUMN()),"YYYYMMDD"),"END_DATE_OVERRIDE",TEXT(INDEX(MO_Common_QEndDate,0,COLUMN()),"YYYYMMDD")),"N/A")</f>
        <v/>
      </c>
      <c r="BL1070" s="1888">
        <f>IFERROR(BDP(MO.Ticker.Bloomberg&amp;" Equity","INTERVAL_AVG","MARKET_DATA_OVERRIDE=PX_LAST","START_DATE_OVERRIDE",TEXT(INDEX(MO_SNA_FPStartDate,0,COLUMN()),"YYYYMMDD"),"END_DATE_OVERRIDE",TEXT(INDEX(MO_Common_QEndDate,0,COLUMN()),"YYYYMMDD")),"N/A")</f>
        <v/>
      </c>
      <c r="BM1070" s="1888">
        <f>IFERROR(BDP(MO.Ticker.Bloomberg&amp;" Equity","INTERVAL_AVG","MARKET_DATA_OVERRIDE=PX_LAST","START_DATE_OVERRIDE",TEXT(INDEX(MO_SNA_FPStartDate,0,COLUMN()),"YYYYMMDD"),"END_DATE_OVERRIDE",TEXT(INDEX(MO_Common_QEndDate,0,COLUMN()),"YYYYMMDD")),"N/A")</f>
        <v/>
      </c>
      <c r="BN1070" s="1888">
        <f>IFERROR(BDP(MO.Ticker.Bloomberg&amp;" Equity","INTERVAL_AVG","MARKET_DATA_OVERRIDE=PX_LAST","START_DATE_OVERRIDE",TEXT(INDEX(MO_SNA_FPStartDate,0,COLUMN()),"YYYYMMDD"),"END_DATE_OVERRIDE",TEXT(INDEX(MO_Common_QEndDate,0,COLUMN()),"YYYYMMDD")),"N/A")</f>
        <v/>
      </c>
      <c r="BO1070" s="1890">
        <f>IFERROR(BDP(MO.Ticker.Bloomberg&amp;" Equity","INTERVAL_AVG","MARKET_DATA_OVERRIDE=PX_LAST","START_DATE_OVERRIDE",TEXT(INDEX(MO_SNA_FPStartDate,0,COLUMN()),"YYYYMMDD"),"END_DATE_OVERRIDE",TEXT(INDEX(MO_Common_QEndDate,0,COLUMN()),"YYYYMMDD")),"N/A")</f>
        <v/>
      </c>
      <c r="BP1070" s="1888">
        <f>IFERROR(BDP(MO.Ticker.Bloomberg&amp;" Equity","INTERVAL_AVG","MARKET_DATA_OVERRIDE=PX_LAST","START_DATE_OVERRIDE",TEXT(INDEX(MO_SNA_FPStartDate,0,COLUMN()),"YYYYMMDD"),"END_DATE_OVERRIDE",TEXT(INDEX(MO_Common_QEndDate,0,COLUMN()),"YYYYMMDD")),"N/A")</f>
        <v/>
      </c>
      <c r="BQ1070" s="1888">
        <f>IFERROR(BDP(MO.Ticker.Bloomberg&amp;" Equity","INTERVAL_AVG","MARKET_DATA_OVERRIDE=PX_LAST","START_DATE_OVERRIDE",TEXT(INDEX(MO_SNA_FPStartDate,0,COLUMN()),"YYYYMMDD"),"END_DATE_OVERRIDE",TEXT(INDEX(MO_Common_QEndDate,0,COLUMN()),"YYYYMMDD")),"N/A")</f>
        <v/>
      </c>
      <c r="BR1070" s="1888">
        <f>IFERROR(BDP(MO.Ticker.Bloomberg&amp;" Equity","INTERVAL_AVG","MARKET_DATA_OVERRIDE=PX_LAST","START_DATE_OVERRIDE",TEXT(INDEX(MO_SNA_FPStartDate,0,COLUMN()),"YYYYMMDD"),"END_DATE_OVERRIDE",TEXT(INDEX(MO_Common_QEndDate,0,COLUMN()),"YYYYMMDD")),"N/A")</f>
        <v/>
      </c>
      <c r="BS1070" s="1888">
        <f>IFERROR(BDP(MO.Ticker.Bloomberg&amp;" Equity","INTERVAL_AVG","MARKET_DATA_OVERRIDE=PX_LAST","START_DATE_OVERRIDE",TEXT(INDEX(MO_SNA_FPStartDate,0,COLUMN()),"YYYYMMDD"),"END_DATE_OVERRIDE",TEXT(INDEX(MO_Common_QEndDate,0,COLUMN()),"YYYYMMDD")),"N/A")</f>
        <v/>
      </c>
      <c r="BT1070" s="1888">
        <f>IFERROR(BDP(MO.Ticker.Bloomberg&amp;" Equity","INTERVAL_AVG","MARKET_DATA_OVERRIDE=PX_LAST","START_DATE_OVERRIDE",TEXT(INDEX(MO_SNA_FPStartDate,0,COLUMN()),"YYYYMMDD"),"END_DATE_OVERRIDE",TEXT(INDEX(MO_Common_QEndDate,0,COLUMN()),"YYYYMMDD")),"N/A")</f>
        <v/>
      </c>
      <c r="BU1070" s="1888">
        <f>IFERROR(BDP(MO.Ticker.Bloomberg&amp;" Equity","INTERVAL_AVG","MARKET_DATA_OVERRIDE=PX_LAST","START_DATE_OVERRIDE",TEXT(INDEX(MO_SNA_FPStartDate,0,COLUMN()),"YYYYMMDD"),"END_DATE_OVERRIDE",TEXT(INDEX(MO_Common_QEndDate,0,COLUMN()),"YYYYMMDD")),"N/A")</f>
        <v/>
      </c>
      <c r="BV1070" s="1888">
        <f>IFERROR(BDP(MO.Ticker.Bloomberg&amp;" Equity","INTERVAL_AVG","MARKET_DATA_OVERRIDE=PX_LAST","START_DATE_OVERRIDE",TEXT(INDEX(MO_SNA_FPStartDate,0,COLUMN()),"YYYYMMDD"),"END_DATE_OVERRIDE",TEXT(INDEX(MO_Common_QEndDate,0,COLUMN()),"YYYYMMDD")),"N/A")</f>
        <v/>
      </c>
      <c r="BW1070" s="1888">
        <f>IFERROR(BDP(MO.Ticker.Bloomberg&amp;" Equity","INTERVAL_AVG","MARKET_DATA_OVERRIDE=PX_LAST","START_DATE_OVERRIDE",TEXT(INDEX(MO_SNA_FPStartDate,0,COLUMN()),"YYYYMMDD"),"END_DATE_OVERRIDE",TEXT(INDEX(MO_Common_QEndDate,0,COLUMN()),"YYYYMMDD")),"N/A")</f>
        <v/>
      </c>
      <c r="BX1070" s="1888">
        <f>IFERROR(BDP(MO.Ticker.Bloomberg&amp;" Equity","INTERVAL_AVG","MARKET_DATA_OVERRIDE=PX_LAST","START_DATE_OVERRIDE",TEXT(INDEX(MO_SNA_FPStartDate,0,COLUMN()),"YYYYMMDD"),"END_DATE_OVERRIDE",TEXT(INDEX(MO_Common_QEndDate,0,COLUMN()),"YYYYMMDD")),"N/A")</f>
        <v/>
      </c>
      <c r="BY1070" s="1888">
        <f>IFERROR(BDP(MO.Ticker.Bloomberg&amp;" Equity","INTERVAL_AVG","MARKET_DATA_OVERRIDE=PX_LAST","START_DATE_OVERRIDE",TEXT(INDEX(MO_SNA_FPStartDate,0,COLUMN()),"YYYYMMDD"),"END_DATE_OVERRIDE",TEXT(INDEX(MO_Common_QEndDate,0,COLUMN()),"YYYYMMDD")),"N/A")</f>
        <v/>
      </c>
      <c r="BZ1070" s="1888">
        <f>IFERROR(BDP(MO.Ticker.Bloomberg&amp;" Equity","INTERVAL_AVG","MARKET_DATA_OVERRIDE=PX_LAST","START_DATE_OVERRIDE",TEXT(INDEX(MO_SNA_FPStartDate,0,COLUMN()),"YYYYMMDD"),"END_DATE_OVERRIDE",TEXT(INDEX(MO_Common_QEndDate,0,COLUMN()),"YYYYMMDD")),"N/A")</f>
        <v/>
      </c>
      <c r="CA1070" s="1888">
        <f>IFERROR(BDP(MO.Ticker.Bloomberg&amp;" Equity","INTERVAL_AVG","MARKET_DATA_OVERRIDE=PX_LAST","START_DATE_OVERRIDE",TEXT(INDEX(MO_SNA_FPStartDate,0,COLUMN()),"YYYYMMDD"),"END_DATE_OVERRIDE",TEXT(INDEX(MO_Common_QEndDate,0,COLUMN()),"YYYYMMDD")),"N/A")</f>
        <v/>
      </c>
      <c r="CB1070" s="1891">
        <f>IFERROR(BDP(MO.Ticker.Bloomberg&amp;" Equity","INTERVAL_AVG","MARKET_DATA_OVERRIDE=PX_LAST","START_DATE_OVERRIDE",TEXT(INDEX(MO_SNA_FPStartDate,0,COLUMN()),"YYYYMMDD"),"END_DATE_OVERRIDE",TEXT(INDEX(MO_Common_QEndDate,0,COLUMN()),"YYYYMMDD")),"N/A")</f>
        <v/>
      </c>
      <c r="CC1070" s="1892" t="n"/>
    </row>
    <row r="1071" hidden="1" outlineLevel="1" ht="14.4" customFormat="1" customHeight="1" s="1750">
      <c r="A1071" s="1893" t="inlineStr">
        <is>
          <t>Capital IQ</t>
        </is>
      </c>
      <c r="B1071" s="1888" t="n"/>
      <c r="C1071" s="1889">
        <f>IFERROR(CIQAVG(MO.Ticker.CapIQ,"IQ_LASTSALEPRICE",INDEX(MO_SNA_FPStartDate,0,COLUMN()),INDEX(MO_Common_QEndDate,0,COLUMN())),"N/A")</f>
        <v/>
      </c>
      <c r="D1071" s="1889">
        <f>IFERROR(CIQAVG(MO.Ticker.CapIQ,"IQ_LASTSALEPRICE",INDEX(MO_SNA_FPStartDate,0,COLUMN()),INDEX(MO_Common_QEndDate,0,COLUMN())),"N/A")</f>
        <v/>
      </c>
      <c r="E1071" s="1888">
        <f>IFERROR(CIQAVG(MO.Ticker.CapIQ,"IQ_LASTSALEPRICE",INDEX(MO_SNA_FPStartDate,0,COLUMN()),INDEX(MO_Common_QEndDate,0,COLUMN())),"N/A")</f>
        <v/>
      </c>
      <c r="F1071" s="1888">
        <f>IFERROR(CIQAVG(MO.Ticker.CapIQ,"IQ_LASTSALEPRICE",INDEX(MO_SNA_FPStartDate,0,COLUMN()),INDEX(MO_Common_QEndDate,0,COLUMN())),"N/A")</f>
        <v/>
      </c>
      <c r="G1071" s="1888">
        <f>IFERROR(CIQAVG(MO.Ticker.CapIQ,"IQ_LASTSALEPRICE",INDEX(MO_SNA_FPStartDate,0,COLUMN()),INDEX(MO_Common_QEndDate,0,COLUMN())),"N/A")</f>
        <v/>
      </c>
      <c r="H1071" s="1888">
        <f>IFERROR(CIQAVG(MO.Ticker.CapIQ,"IQ_LASTSALEPRICE",INDEX(MO_SNA_FPStartDate,0,COLUMN()),INDEX(MO_Common_QEndDate,0,COLUMN())),"N/A")</f>
        <v/>
      </c>
      <c r="I1071" s="1888">
        <f>IFERROR(CIQAVG(MO.Ticker.CapIQ,"IQ_LASTSALEPRICE",INDEX(MO_SNA_FPStartDate,0,COLUMN()),INDEX(MO_Common_QEndDate,0,COLUMN())),"N/A")</f>
        <v/>
      </c>
      <c r="J1071" s="1888">
        <f>IFERROR(CIQAVG(MO.Ticker.CapIQ,"IQ_LASTSALEPRICE",INDEX(MO_SNA_FPStartDate,0,COLUMN()),INDEX(MO_Common_QEndDate,0,COLUMN())),"N/A")</f>
        <v/>
      </c>
      <c r="K1071" s="1888">
        <f>IFERROR(CIQAVG(MO.Ticker.CapIQ,"IQ_LASTSALEPRICE",INDEX(MO_SNA_FPStartDate,0,COLUMN()),INDEX(MO_Common_QEndDate,0,COLUMN())),"N/A")</f>
        <v/>
      </c>
      <c r="L1071" s="1888">
        <f>IFERROR(CIQAVG(MO.Ticker.CapIQ,"IQ_LASTSALEPRICE",INDEX(MO_SNA_FPStartDate,0,COLUMN()),INDEX(MO_Common_QEndDate,0,COLUMN())),"N/A")</f>
        <v/>
      </c>
      <c r="M1071" s="1888">
        <f>IFERROR(CIQAVG(MO.Ticker.CapIQ,"IQ_LASTSALEPRICE",INDEX(MO_SNA_FPStartDate,0,COLUMN()),INDEX(MO_Common_QEndDate,0,COLUMN())),"N/A")</f>
        <v/>
      </c>
      <c r="N1071" s="1888">
        <f>IFERROR(CIQAVG(MO.Ticker.CapIQ,"IQ_LASTSALEPRICE",INDEX(MO_SNA_FPStartDate,0,COLUMN()),INDEX(MO_Common_QEndDate,0,COLUMN())),"N/A")</f>
        <v/>
      </c>
      <c r="O1071" s="1888">
        <f>IFERROR(CIQAVG(MO.Ticker.CapIQ,"IQ_LASTSALEPRICE",INDEX(MO_SNA_FPStartDate,0,COLUMN()),INDEX(MO_Common_QEndDate,0,COLUMN())),"N/A")</f>
        <v/>
      </c>
      <c r="P1071" s="1888">
        <f>IFERROR(CIQAVG(MO.Ticker.CapIQ,"IQ_LASTSALEPRICE",INDEX(MO_SNA_FPStartDate,0,COLUMN()),INDEX(MO_Common_QEndDate,0,COLUMN())),"N/A")</f>
        <v/>
      </c>
      <c r="Q1071" s="1888">
        <f>IFERROR(CIQAVG(MO.Ticker.CapIQ,"IQ_LASTSALEPRICE",INDEX(MO_SNA_FPStartDate,0,COLUMN()),INDEX(MO_Common_QEndDate,0,COLUMN())),"N/A")</f>
        <v/>
      </c>
      <c r="R1071" s="1888">
        <f>IFERROR(CIQAVG(MO.Ticker.CapIQ,"IQ_LASTSALEPRICE",INDEX(MO_SNA_FPStartDate,0,COLUMN()),INDEX(MO_Common_QEndDate,0,COLUMN())),"N/A")</f>
        <v/>
      </c>
      <c r="S1071" s="1888">
        <f>IFERROR(CIQAVG(MO.Ticker.CapIQ,"IQ_LASTSALEPRICE",INDEX(MO_SNA_FPStartDate,0,COLUMN()),INDEX(MO_Common_QEndDate,0,COLUMN())),"N/A")</f>
        <v/>
      </c>
      <c r="T1071" s="1888">
        <f>IFERROR(CIQAVG(MO.Ticker.CapIQ,"IQ_LASTSALEPRICE",INDEX(MO_SNA_FPStartDate,0,COLUMN()),INDEX(MO_Common_QEndDate,0,COLUMN())),"N/A")</f>
        <v/>
      </c>
      <c r="U1071" s="1888">
        <f>IFERROR(CIQAVG(MO.Ticker.CapIQ,"IQ_LASTSALEPRICE",INDEX(MO_SNA_FPStartDate,0,COLUMN()),INDEX(MO_Common_QEndDate,0,COLUMN())),"N/A")</f>
        <v/>
      </c>
      <c r="V1071" s="1888">
        <f>IFERROR(CIQAVG(MO.Ticker.CapIQ,"IQ_LASTSALEPRICE",INDEX(MO_SNA_FPStartDate,0,COLUMN()),INDEX(MO_Common_QEndDate,0,COLUMN())),"N/A")</f>
        <v/>
      </c>
      <c r="W1071" s="1888">
        <f>IFERROR(CIQAVG(MO.Ticker.CapIQ,"IQ_LASTSALEPRICE",INDEX(MO_SNA_FPStartDate,0,COLUMN()),INDEX(MO_Common_QEndDate,0,COLUMN())),"N/A")</f>
        <v/>
      </c>
      <c r="X1071" s="1888">
        <f>IFERROR(CIQAVG(MO.Ticker.CapIQ,"IQ_LASTSALEPRICE",INDEX(MO_SNA_FPStartDate,0,COLUMN()),INDEX(MO_Common_QEndDate,0,COLUMN())),"N/A")</f>
        <v/>
      </c>
      <c r="Y1071" s="1888">
        <f>IFERROR(CIQAVG(MO.Ticker.CapIQ,"IQ_LASTSALEPRICE",INDEX(MO_SNA_FPStartDate,0,COLUMN()),INDEX(MO_Common_QEndDate,0,COLUMN())),"N/A")</f>
        <v/>
      </c>
      <c r="Z1071" s="1888">
        <f>IFERROR(CIQAVG(MO.Ticker.CapIQ,"IQ_LASTSALEPRICE",INDEX(MO_SNA_FPStartDate,0,COLUMN()),INDEX(MO_Common_QEndDate,0,COLUMN())),"N/A")</f>
        <v/>
      </c>
      <c r="AA1071" s="1888">
        <f>IFERROR(CIQAVG(MO.Ticker.CapIQ,"IQ_LASTSALEPRICE",INDEX(MO_SNA_FPStartDate,0,COLUMN()),INDEX(MO_Common_QEndDate,0,COLUMN())),"N/A")</f>
        <v/>
      </c>
      <c r="AB1071" s="1888">
        <f>IFERROR(CIQAVG(MO.Ticker.CapIQ,"IQ_LASTSALEPRICE",INDEX(MO_SNA_FPStartDate,0,COLUMN()),INDEX(MO_Common_QEndDate,0,COLUMN())),"N/A")</f>
        <v/>
      </c>
      <c r="AC1071" s="1888">
        <f>IFERROR(CIQAVG(MO.Ticker.CapIQ,"IQ_LASTSALEPRICE",INDEX(MO_SNA_FPStartDate,0,COLUMN()),INDEX(MO_Common_QEndDate,0,COLUMN())),"N/A")</f>
        <v/>
      </c>
      <c r="AD1071" s="1888">
        <f>IFERROR(CIQAVG(MO.Ticker.CapIQ,"IQ_LASTSALEPRICE",INDEX(MO_SNA_FPStartDate,0,COLUMN()),INDEX(MO_Common_QEndDate,0,COLUMN())),"N/A")</f>
        <v/>
      </c>
      <c r="AE1071" s="1888">
        <f>IFERROR(CIQAVG(MO.Ticker.CapIQ,"IQ_LASTSALEPRICE",INDEX(MO_SNA_FPStartDate,0,COLUMN()),INDEX(MO_Common_QEndDate,0,COLUMN())),"N/A")</f>
        <v/>
      </c>
      <c r="AF1071" s="1888">
        <f>IFERROR(CIQAVG(MO.Ticker.CapIQ,"IQ_LASTSALEPRICE",INDEX(MO_SNA_FPStartDate,0,COLUMN()),INDEX(MO_Common_QEndDate,0,COLUMN())),"N/A")</f>
        <v/>
      </c>
      <c r="AG1071" s="1888">
        <f>IFERROR(CIQAVG(MO.Ticker.CapIQ,"IQ_LASTSALEPRICE",INDEX(MO_SNA_FPStartDate,0,COLUMN()),INDEX(MO_Common_QEndDate,0,COLUMN())),"N/A")</f>
        <v/>
      </c>
      <c r="AH1071" s="1888">
        <f>IFERROR(CIQAVG(MO.Ticker.CapIQ,"IQ_LASTSALEPRICE",INDEX(MO_SNA_FPStartDate,0,COLUMN()),INDEX(MO_Common_QEndDate,0,COLUMN())),"N/A")</f>
        <v/>
      </c>
      <c r="AI1071" s="1888">
        <f>IFERROR(CIQAVG(MO.Ticker.CapIQ,"IQ_LASTSALEPRICE",INDEX(MO_SNA_FPStartDate,0,COLUMN()),INDEX(MO_Common_QEndDate,0,COLUMN())),"N/A")</f>
        <v/>
      </c>
      <c r="AJ1071" s="1888">
        <f>IFERROR(CIQAVG(MO.Ticker.CapIQ,"IQ_LASTSALEPRICE",INDEX(MO_SNA_FPStartDate,0,COLUMN()),INDEX(MO_Common_QEndDate,0,COLUMN())),"N/A")</f>
        <v/>
      </c>
      <c r="AK1071" s="1888">
        <f>IFERROR(CIQAVG(MO.Ticker.CapIQ,"IQ_LASTSALEPRICE",INDEX(MO_SNA_FPStartDate,0,COLUMN()),INDEX(MO_Common_QEndDate,0,COLUMN())),"N/A")</f>
        <v/>
      </c>
      <c r="AL1071" s="1888">
        <f>IFERROR(CIQAVG(MO.Ticker.CapIQ,"IQ_LASTSALEPRICE",INDEX(MO_SNA_FPStartDate,0,COLUMN()),INDEX(MO_Common_QEndDate,0,COLUMN())),"N/A")</f>
        <v/>
      </c>
      <c r="AM1071" s="1888">
        <f>IFERROR(CIQAVG(MO.Ticker.CapIQ,"IQ_LASTSALEPRICE",INDEX(MO_SNA_FPStartDate,0,COLUMN()),INDEX(MO_Common_QEndDate,0,COLUMN())),"N/A")</f>
        <v/>
      </c>
      <c r="AN1071" s="1888">
        <f>IFERROR(CIQAVG(MO.Ticker.CapIQ,"IQ_LASTSALEPRICE",INDEX(MO_SNA_FPStartDate,0,COLUMN()),INDEX(MO_Common_QEndDate,0,COLUMN())),"N/A")</f>
        <v/>
      </c>
      <c r="AO1071" s="1888">
        <f>IFERROR(CIQAVG(MO.Ticker.CapIQ,"IQ_LASTSALEPRICE",INDEX(MO_SNA_FPStartDate,0,COLUMN()),INDEX(MO_Common_QEndDate,0,COLUMN())),"N/A")</f>
        <v/>
      </c>
      <c r="AP1071" s="1888">
        <f>IFERROR(CIQAVG(MO.Ticker.CapIQ,"IQ_LASTSALEPRICE",INDEX(MO_SNA_FPStartDate,0,COLUMN()),INDEX(MO_Common_QEndDate,0,COLUMN())),"N/A")</f>
        <v/>
      </c>
      <c r="AQ1071" s="1888">
        <f>IFERROR(CIQAVG(MO.Ticker.CapIQ,"IQ_LASTSALEPRICE",INDEX(MO_SNA_FPStartDate,0,COLUMN()),INDEX(MO_Common_QEndDate,0,COLUMN())),"N/A")</f>
        <v/>
      </c>
      <c r="AR1071" s="1888">
        <f>IFERROR(CIQAVG(MO.Ticker.CapIQ,"IQ_LASTSALEPRICE",INDEX(MO_SNA_FPStartDate,0,COLUMN()),INDEX(MO_Common_QEndDate,0,COLUMN())),"N/A")</f>
        <v/>
      </c>
      <c r="AS1071" s="1888">
        <f>IFERROR(CIQAVG(MO.Ticker.CapIQ,"IQ_LASTSALEPRICE",INDEX(MO_SNA_FPStartDate,0,COLUMN()),INDEX(MO_Common_QEndDate,0,COLUMN())),"N/A")</f>
        <v/>
      </c>
      <c r="AT1071" s="1888">
        <f>IFERROR(CIQAVG(MO.Ticker.CapIQ,"IQ_LASTSALEPRICE",INDEX(MO_SNA_FPStartDate,0,COLUMN()),INDEX(MO_Common_QEndDate,0,COLUMN())),"N/A")</f>
        <v/>
      </c>
      <c r="AU1071" s="1888">
        <f>IFERROR(CIQAVG(MO.Ticker.CapIQ,"IQ_LASTSALEPRICE",INDEX(MO_SNA_FPStartDate,0,COLUMN()),INDEX(MO_Common_QEndDate,0,COLUMN())),"N/A")</f>
        <v/>
      </c>
      <c r="AV1071" s="1888">
        <f>IFERROR(CIQAVG(MO.Ticker.CapIQ,"IQ_LASTSALEPRICE",INDEX(MO_SNA_FPStartDate,0,COLUMN()),INDEX(MO_Common_QEndDate,0,COLUMN())),"N/A")</f>
        <v/>
      </c>
      <c r="AW1071" s="1888">
        <f>IFERROR(CIQAVG(MO.Ticker.CapIQ,"IQ_LASTSALEPRICE",INDEX(MO_SNA_FPStartDate,0,COLUMN()),INDEX(MO_Common_QEndDate,0,COLUMN())),"N/A")</f>
        <v/>
      </c>
      <c r="AX1071" s="1888">
        <f>IFERROR(CIQAVG(MO.Ticker.CapIQ,"IQ_LASTSALEPRICE",INDEX(MO_SNA_FPStartDate,0,COLUMN()),INDEX(MO_Common_QEndDate,0,COLUMN())),"N/A")</f>
        <v/>
      </c>
      <c r="AY1071" s="1888">
        <f>IFERROR(CIQAVG(MO.Ticker.CapIQ,"IQ_LASTSALEPRICE",INDEX(MO_SNA_FPStartDate,0,COLUMN()),INDEX(MO_Common_QEndDate,0,COLUMN())),"N/A")</f>
        <v/>
      </c>
      <c r="AZ1071" s="1888">
        <f>IFERROR(CIQAVG(MO.Ticker.CapIQ,"IQ_LASTSALEPRICE",INDEX(MO_SNA_FPStartDate,0,COLUMN()),INDEX(MO_Common_QEndDate,0,COLUMN())),"N/A")</f>
        <v/>
      </c>
      <c r="BA1071" s="1888">
        <f>IFERROR(CIQAVG(MO.Ticker.CapIQ,"IQ_LASTSALEPRICE",INDEX(MO_SNA_FPStartDate,0,COLUMN()),INDEX(MO_Common_QEndDate,0,COLUMN())),"N/A")</f>
        <v/>
      </c>
      <c r="BB1071" s="1888">
        <f>IFERROR(CIQAVG(MO.Ticker.CapIQ,"IQ_LASTSALEPRICE",INDEX(MO_SNA_FPStartDate,0,COLUMN()),INDEX(MO_Common_QEndDate,0,COLUMN())),"N/A")</f>
        <v/>
      </c>
      <c r="BC1071" s="1888">
        <f>IFERROR(CIQAVG(MO.Ticker.CapIQ,"IQ_LASTSALEPRICE",INDEX(MO_SNA_FPStartDate,0,COLUMN()),INDEX(MO_Common_QEndDate,0,COLUMN())),"N/A")</f>
        <v/>
      </c>
      <c r="BD1071" s="1888">
        <f>IFERROR(CIQAVG(MO.Ticker.CapIQ,"IQ_LASTSALEPRICE",INDEX(MO_SNA_FPStartDate,0,COLUMN()),INDEX(MO_Common_QEndDate,0,COLUMN())),"N/A")</f>
        <v/>
      </c>
      <c r="BE1071" s="1888">
        <f>IFERROR(CIQAVG(MO.Ticker.CapIQ,"IQ_LASTSALEPRICE",INDEX(MO_SNA_FPStartDate,0,COLUMN()),INDEX(MO_Common_QEndDate,0,COLUMN())),"N/A")</f>
        <v/>
      </c>
      <c r="BF1071" s="1888">
        <f>IFERROR(CIQAVG(MO.Ticker.CapIQ,"IQ_LASTSALEPRICE",INDEX(MO_SNA_FPStartDate,0,COLUMN()),INDEX(MO_Common_QEndDate,0,COLUMN())),"N/A")</f>
        <v/>
      </c>
      <c r="BG1071" s="1888">
        <f>IFERROR(CIQAVG(MO.Ticker.CapIQ,"IQ_LASTSALEPRICE",INDEX(MO_SNA_FPStartDate,0,COLUMN()),INDEX(MO_Common_QEndDate,0,COLUMN())),"N/A")</f>
        <v/>
      </c>
      <c r="BH1071" s="1888">
        <f>IFERROR(CIQAVG(MO.Ticker.CapIQ,"IQ_LASTSALEPRICE",INDEX(MO_SNA_FPStartDate,0,COLUMN()),INDEX(MO_Common_QEndDate,0,COLUMN())),"N/A")</f>
        <v/>
      </c>
      <c r="BI1071" s="1888">
        <f>IFERROR(CIQAVG(MO.Ticker.CapIQ,"IQ_LASTSALEPRICE",INDEX(MO_SNA_FPStartDate,0,COLUMN()),INDEX(MO_Common_QEndDate,0,COLUMN())),"N/A")</f>
        <v/>
      </c>
      <c r="BJ1071" s="1888">
        <f>IFERROR(CIQAVG(MO.Ticker.CapIQ,"IQ_LASTSALEPRICE",INDEX(MO_SNA_FPStartDate,0,COLUMN()),INDEX(MO_Common_QEndDate,0,COLUMN())),"N/A")</f>
        <v/>
      </c>
      <c r="BK1071" s="1888">
        <f>IFERROR(CIQAVG(MO.Ticker.CapIQ,"IQ_LASTSALEPRICE",INDEX(MO_SNA_FPStartDate,0,COLUMN()),INDEX(MO_Common_QEndDate,0,COLUMN())),"N/A")</f>
        <v/>
      </c>
      <c r="BL1071" s="1888">
        <f>IFERROR(CIQAVG(MO.Ticker.CapIQ,"IQ_LASTSALEPRICE",INDEX(MO_SNA_FPStartDate,0,COLUMN()),INDEX(MO_Common_QEndDate,0,COLUMN())),"N/A")</f>
        <v/>
      </c>
      <c r="BM1071" s="1888">
        <f>IFERROR(CIQAVG(MO.Ticker.CapIQ,"IQ_LASTSALEPRICE",INDEX(MO_SNA_FPStartDate,0,COLUMN()),INDEX(MO_Common_QEndDate,0,COLUMN())),"N/A")</f>
        <v/>
      </c>
      <c r="BN1071" s="1888">
        <f>IFERROR(CIQAVG(MO.Ticker.CapIQ,"IQ_LASTSALEPRICE",INDEX(MO_SNA_FPStartDate,0,COLUMN()),INDEX(MO_Common_QEndDate,0,COLUMN())),"N/A")</f>
        <v/>
      </c>
      <c r="BO1071" s="1890">
        <f>IFERROR(CIQAVG(MO.Ticker.CapIQ,"IQ_LASTSALEPRICE",INDEX(MO_SNA_FPStartDate,0,COLUMN()),INDEX(MO_Common_QEndDate,0,COLUMN())),"N/A")</f>
        <v/>
      </c>
      <c r="BP1071" s="1888">
        <f>IFERROR(CIQAVG(MO.Ticker.CapIQ,"IQ_LASTSALEPRICE",INDEX(MO_SNA_FPStartDate,0,COLUMN()),INDEX(MO_Common_QEndDate,0,COLUMN())),"N/A")</f>
        <v/>
      </c>
      <c r="BQ1071" s="1888">
        <f>IFERROR(CIQAVG(MO.Ticker.CapIQ,"IQ_LASTSALEPRICE",INDEX(MO_SNA_FPStartDate,0,COLUMN()),INDEX(MO_Common_QEndDate,0,COLUMN())),"N/A")</f>
        <v/>
      </c>
      <c r="BR1071" s="1888">
        <f>IFERROR(CIQAVG(MO.Ticker.CapIQ,"IQ_LASTSALEPRICE",INDEX(MO_SNA_FPStartDate,0,COLUMN()),INDEX(MO_Common_QEndDate,0,COLUMN())),"N/A")</f>
        <v/>
      </c>
      <c r="BS1071" s="1888">
        <f>IFERROR(CIQAVG(MO.Ticker.CapIQ,"IQ_LASTSALEPRICE",INDEX(MO_SNA_FPStartDate,0,COLUMN()),INDEX(MO_Common_QEndDate,0,COLUMN())),"N/A")</f>
        <v/>
      </c>
      <c r="BT1071" s="1888">
        <f>IFERROR(CIQAVG(MO.Ticker.CapIQ,"IQ_LASTSALEPRICE",INDEX(MO_SNA_FPStartDate,0,COLUMN()),INDEX(MO_Common_QEndDate,0,COLUMN())),"N/A")</f>
        <v/>
      </c>
      <c r="BU1071" s="1888">
        <f>IFERROR(CIQAVG(MO.Ticker.CapIQ,"IQ_LASTSALEPRICE",INDEX(MO_SNA_FPStartDate,0,COLUMN()),INDEX(MO_Common_QEndDate,0,COLUMN())),"N/A")</f>
        <v/>
      </c>
      <c r="BV1071" s="1888">
        <f>IFERROR(CIQAVG(MO.Ticker.CapIQ,"IQ_LASTSALEPRICE",INDEX(MO_SNA_FPStartDate,0,COLUMN()),INDEX(MO_Common_QEndDate,0,COLUMN())),"N/A")</f>
        <v/>
      </c>
      <c r="BW1071" s="1888">
        <f>IFERROR(CIQAVG(MO.Ticker.CapIQ,"IQ_LASTSALEPRICE",INDEX(MO_SNA_FPStartDate,0,COLUMN()),INDEX(MO_Common_QEndDate,0,COLUMN())),"N/A")</f>
        <v/>
      </c>
      <c r="BX1071" s="1888">
        <f>IFERROR(CIQAVG(MO.Ticker.CapIQ,"IQ_LASTSALEPRICE",INDEX(MO_SNA_FPStartDate,0,COLUMN()),INDEX(MO_Common_QEndDate,0,COLUMN())),"N/A")</f>
        <v/>
      </c>
      <c r="BY1071" s="1888">
        <f>IFERROR(CIQAVG(MO.Ticker.CapIQ,"IQ_LASTSALEPRICE",INDEX(MO_SNA_FPStartDate,0,COLUMN()),INDEX(MO_Common_QEndDate,0,COLUMN())),"N/A")</f>
        <v/>
      </c>
      <c r="BZ1071" s="1888">
        <f>IFERROR(CIQAVG(MO.Ticker.CapIQ,"IQ_LASTSALEPRICE",INDEX(MO_SNA_FPStartDate,0,COLUMN()),INDEX(MO_Common_QEndDate,0,COLUMN())),"N/A")</f>
        <v/>
      </c>
      <c r="CA1071" s="1888">
        <f>IFERROR(CIQAVG(MO.Ticker.CapIQ,"IQ_LASTSALEPRICE",INDEX(MO_SNA_FPStartDate,0,COLUMN()),INDEX(MO_Common_QEndDate,0,COLUMN())),"N/A")</f>
        <v/>
      </c>
      <c r="CB1071" s="1891">
        <f>IFERROR(CIQAVG(MO.Ticker.CapIQ,"IQ_LASTSALEPRICE",INDEX(MO_SNA_FPStartDate,0,COLUMN()),INDEX(MO_Common_QEndDate,0,COLUMN())),"N/A")</f>
        <v/>
      </c>
      <c r="CC1071" s="1892" t="n"/>
    </row>
    <row r="1072" hidden="1" outlineLevel="1" ht="14.4" customFormat="1" customHeight="1" s="1750">
      <c r="A1072" s="1893" t="inlineStr">
        <is>
          <t>FactSet</t>
        </is>
      </c>
      <c r="B1072" s="1888" t="n"/>
      <c r="C1072" s="1889">
        <f>IFERROR(FDS(MO.Ticker.FactSet,"P_PRICE_AVG"&amp;"("&amp;INDEX(MO_SNA_FPStartDate,0,COLUMN())&amp;","&amp;INDEX(MO_Common_QEndDate,0,COLUMN())&amp;",,,,""PRICE"",""CLOSE"")"),"N/A")</f>
        <v/>
      </c>
      <c r="D1072" s="1889">
        <f>IFERROR(FDS(MO.Ticker.FactSet,"P_PRICE_AVG"&amp;"("&amp;INDEX(MO_SNA_FPStartDate,0,COLUMN())&amp;","&amp;INDEX(MO_Common_QEndDate,0,COLUMN())&amp;",,,,""PRICE"",""CLOSE"")"),"N/A")</f>
        <v/>
      </c>
      <c r="E1072" s="1888">
        <f>IFERROR(FDS(MO.Ticker.FactSet,"P_PRICE_AVG"&amp;"("&amp;INDEX(MO_SNA_FPStartDate,0,COLUMN())&amp;","&amp;INDEX(MO_Common_QEndDate,0,COLUMN())&amp;",,,,""PRICE"",""CLOSE"")"),"N/A")</f>
        <v/>
      </c>
      <c r="F1072" s="1888">
        <f>IFERROR(FDS(MO.Ticker.FactSet,"P_PRICE_AVG"&amp;"("&amp;INDEX(MO_SNA_FPStartDate,0,COLUMN())&amp;","&amp;INDEX(MO_Common_QEndDate,0,COLUMN())&amp;",,,,""PRICE"",""CLOSE"")"),"N/A")</f>
        <v/>
      </c>
      <c r="G1072" s="1888">
        <f>IFERROR(FDS(MO.Ticker.FactSet,"P_PRICE_AVG"&amp;"("&amp;INDEX(MO_SNA_FPStartDate,0,COLUMN())&amp;","&amp;INDEX(MO_Common_QEndDate,0,COLUMN())&amp;",,,,""PRICE"",""CLOSE"")"),"N/A")</f>
        <v/>
      </c>
      <c r="H1072" s="1888">
        <f>IFERROR(FDS(MO.Ticker.FactSet,"P_PRICE_AVG"&amp;"("&amp;INDEX(MO_SNA_FPStartDate,0,COLUMN())&amp;","&amp;INDEX(MO_Common_QEndDate,0,COLUMN())&amp;",,,,""PRICE"",""CLOSE"")"),"N/A")</f>
        <v/>
      </c>
      <c r="I1072" s="1888">
        <f>IFERROR(FDS(MO.Ticker.FactSet,"P_PRICE_AVG"&amp;"("&amp;INDEX(MO_SNA_FPStartDate,0,COLUMN())&amp;","&amp;INDEX(MO_Common_QEndDate,0,COLUMN())&amp;",,,,""PRICE"",""CLOSE"")"),"N/A")</f>
        <v/>
      </c>
      <c r="J1072" s="1888">
        <f>IFERROR(FDS(MO.Ticker.FactSet,"P_PRICE_AVG"&amp;"("&amp;INDEX(MO_SNA_FPStartDate,0,COLUMN())&amp;","&amp;INDEX(MO_Common_QEndDate,0,COLUMN())&amp;",,,,""PRICE"",""CLOSE"")"),"N/A")</f>
        <v/>
      </c>
      <c r="K1072" s="1888">
        <f>IFERROR(FDS(MO.Ticker.FactSet,"P_PRICE_AVG"&amp;"("&amp;INDEX(MO_SNA_FPStartDate,0,COLUMN())&amp;","&amp;INDEX(MO_Common_QEndDate,0,COLUMN())&amp;",,,,""PRICE"",""CLOSE"")"),"N/A")</f>
        <v/>
      </c>
      <c r="L1072" s="1888">
        <f>IFERROR(FDS(MO.Ticker.FactSet,"P_PRICE_AVG"&amp;"("&amp;INDEX(MO_SNA_FPStartDate,0,COLUMN())&amp;","&amp;INDEX(MO_Common_QEndDate,0,COLUMN())&amp;",,,,""PRICE"",""CLOSE"")"),"N/A")</f>
        <v/>
      </c>
      <c r="M1072" s="1888">
        <f>IFERROR(FDS(MO.Ticker.FactSet,"P_PRICE_AVG"&amp;"("&amp;INDEX(MO_SNA_FPStartDate,0,COLUMN())&amp;","&amp;INDEX(MO_Common_QEndDate,0,COLUMN())&amp;",,,,""PRICE"",""CLOSE"")"),"N/A")</f>
        <v/>
      </c>
      <c r="N1072" s="1888">
        <f>IFERROR(FDS(MO.Ticker.FactSet,"P_PRICE_AVG"&amp;"("&amp;INDEX(MO_SNA_FPStartDate,0,COLUMN())&amp;","&amp;INDEX(MO_Common_QEndDate,0,COLUMN())&amp;",,,,""PRICE"",""CLOSE"")"),"N/A")</f>
        <v/>
      </c>
      <c r="O1072" s="1888">
        <f>IFERROR(FDS(MO.Ticker.FactSet,"P_PRICE_AVG"&amp;"("&amp;INDEX(MO_SNA_FPStartDate,0,COLUMN())&amp;","&amp;INDEX(MO_Common_QEndDate,0,COLUMN())&amp;",,,,""PRICE"",""CLOSE"")"),"N/A")</f>
        <v/>
      </c>
      <c r="P1072" s="1888">
        <f>IFERROR(FDS(MO.Ticker.FactSet,"P_PRICE_AVG"&amp;"("&amp;INDEX(MO_SNA_FPStartDate,0,COLUMN())&amp;","&amp;INDEX(MO_Common_QEndDate,0,COLUMN())&amp;",,,,""PRICE"",""CLOSE"")"),"N/A")</f>
        <v/>
      </c>
      <c r="Q1072" s="1888">
        <f>IFERROR(FDS(MO.Ticker.FactSet,"P_PRICE_AVG"&amp;"("&amp;INDEX(MO_SNA_FPStartDate,0,COLUMN())&amp;","&amp;INDEX(MO_Common_QEndDate,0,COLUMN())&amp;",,,,""PRICE"",""CLOSE"")"),"N/A")</f>
        <v/>
      </c>
      <c r="R1072" s="1888">
        <f>IFERROR(FDS(MO.Ticker.FactSet,"P_PRICE_AVG"&amp;"("&amp;INDEX(MO_SNA_FPStartDate,0,COLUMN())&amp;","&amp;INDEX(MO_Common_QEndDate,0,COLUMN())&amp;",,,,""PRICE"",""CLOSE"")"),"N/A")</f>
        <v/>
      </c>
      <c r="S1072" s="1888">
        <f>IFERROR(FDS(MO.Ticker.FactSet,"P_PRICE_AVG"&amp;"("&amp;INDEX(MO_SNA_FPStartDate,0,COLUMN())&amp;","&amp;INDEX(MO_Common_QEndDate,0,COLUMN())&amp;",,,,""PRICE"",""CLOSE"")"),"N/A")</f>
        <v/>
      </c>
      <c r="T1072" s="1888">
        <f>IFERROR(FDS(MO.Ticker.FactSet,"P_PRICE_AVG"&amp;"("&amp;INDEX(MO_SNA_FPStartDate,0,COLUMN())&amp;","&amp;INDEX(MO_Common_QEndDate,0,COLUMN())&amp;",,,,""PRICE"",""CLOSE"")"),"N/A")</f>
        <v/>
      </c>
      <c r="U1072" s="1888">
        <f>IFERROR(FDS(MO.Ticker.FactSet,"P_PRICE_AVG"&amp;"("&amp;INDEX(MO_SNA_FPStartDate,0,COLUMN())&amp;","&amp;INDEX(MO_Common_QEndDate,0,COLUMN())&amp;",,,,""PRICE"",""CLOSE"")"),"N/A")</f>
        <v/>
      </c>
      <c r="V1072" s="1888">
        <f>IFERROR(FDS(MO.Ticker.FactSet,"P_PRICE_AVG"&amp;"("&amp;INDEX(MO_SNA_FPStartDate,0,COLUMN())&amp;","&amp;INDEX(MO_Common_QEndDate,0,COLUMN())&amp;",,,,""PRICE"",""CLOSE"")"),"N/A")</f>
        <v/>
      </c>
      <c r="W1072" s="1888">
        <f>IFERROR(FDS(MO.Ticker.FactSet,"P_PRICE_AVG"&amp;"("&amp;INDEX(MO_SNA_FPStartDate,0,COLUMN())&amp;","&amp;INDEX(MO_Common_QEndDate,0,COLUMN())&amp;",,,,""PRICE"",""CLOSE"")"),"N/A")</f>
        <v/>
      </c>
      <c r="X1072" s="1888">
        <f>IFERROR(FDS(MO.Ticker.FactSet,"P_PRICE_AVG"&amp;"("&amp;INDEX(MO_SNA_FPStartDate,0,COLUMN())&amp;","&amp;INDEX(MO_Common_QEndDate,0,COLUMN())&amp;",,,,""PRICE"",""CLOSE"")"),"N/A")</f>
        <v/>
      </c>
      <c r="Y1072" s="1888">
        <f>IFERROR(FDS(MO.Ticker.FactSet,"P_PRICE_AVG"&amp;"("&amp;INDEX(MO_SNA_FPStartDate,0,COLUMN())&amp;","&amp;INDEX(MO_Common_QEndDate,0,COLUMN())&amp;",,,,""PRICE"",""CLOSE"")"),"N/A")</f>
        <v/>
      </c>
      <c r="Z1072" s="1888">
        <f>IFERROR(FDS(MO.Ticker.FactSet,"P_PRICE_AVG"&amp;"("&amp;INDEX(MO_SNA_FPStartDate,0,COLUMN())&amp;","&amp;INDEX(MO_Common_QEndDate,0,COLUMN())&amp;",,,,""PRICE"",""CLOSE"")"),"N/A")</f>
        <v/>
      </c>
      <c r="AA1072" s="1888">
        <f>IFERROR(FDS(MO.Ticker.FactSet,"P_PRICE_AVG"&amp;"("&amp;INDEX(MO_SNA_FPStartDate,0,COLUMN())&amp;","&amp;INDEX(MO_Common_QEndDate,0,COLUMN())&amp;",,,,""PRICE"",""CLOSE"")"),"N/A")</f>
        <v/>
      </c>
      <c r="AB1072" s="1888">
        <f>IFERROR(FDS(MO.Ticker.FactSet,"P_PRICE_AVG"&amp;"("&amp;INDEX(MO_SNA_FPStartDate,0,COLUMN())&amp;","&amp;INDEX(MO_Common_QEndDate,0,COLUMN())&amp;",,,,""PRICE"",""CLOSE"")"),"N/A")</f>
        <v/>
      </c>
      <c r="AC1072" s="1888">
        <f>IFERROR(FDS(MO.Ticker.FactSet,"P_PRICE_AVG"&amp;"("&amp;INDEX(MO_SNA_FPStartDate,0,COLUMN())&amp;","&amp;INDEX(MO_Common_QEndDate,0,COLUMN())&amp;",,,,""PRICE"",""CLOSE"")"),"N/A")</f>
        <v/>
      </c>
      <c r="AD1072" s="1888">
        <f>IFERROR(FDS(MO.Ticker.FactSet,"P_PRICE_AVG"&amp;"("&amp;INDEX(MO_SNA_FPStartDate,0,COLUMN())&amp;","&amp;INDEX(MO_Common_QEndDate,0,COLUMN())&amp;",,,,""PRICE"",""CLOSE"")"),"N/A")</f>
        <v/>
      </c>
      <c r="AE1072" s="1888">
        <f>IFERROR(FDS(MO.Ticker.FactSet,"P_PRICE_AVG"&amp;"("&amp;INDEX(MO_SNA_FPStartDate,0,COLUMN())&amp;","&amp;INDEX(MO_Common_QEndDate,0,COLUMN())&amp;",,,,""PRICE"",""CLOSE"")"),"N/A")</f>
        <v/>
      </c>
      <c r="AF1072" s="1888">
        <f>IFERROR(FDS(MO.Ticker.FactSet,"P_PRICE_AVG"&amp;"("&amp;INDEX(MO_SNA_FPStartDate,0,COLUMN())&amp;","&amp;INDEX(MO_Common_QEndDate,0,COLUMN())&amp;",,,,""PRICE"",""CLOSE"")"),"N/A")</f>
        <v/>
      </c>
      <c r="AG1072" s="1888">
        <f>IFERROR(FDS(MO.Ticker.FactSet,"P_PRICE_AVG"&amp;"("&amp;INDEX(MO_SNA_FPStartDate,0,COLUMN())&amp;","&amp;INDEX(MO_Common_QEndDate,0,COLUMN())&amp;",,,,""PRICE"",""CLOSE"")"),"N/A")</f>
        <v/>
      </c>
      <c r="AH1072" s="1888">
        <f>IFERROR(FDS(MO.Ticker.FactSet,"P_PRICE_AVG"&amp;"("&amp;INDEX(MO_SNA_FPStartDate,0,COLUMN())&amp;","&amp;INDEX(MO_Common_QEndDate,0,COLUMN())&amp;",,,,""PRICE"",""CLOSE"")"),"N/A")</f>
        <v/>
      </c>
      <c r="AI1072" s="1888">
        <f>IFERROR(FDS(MO.Ticker.FactSet,"P_PRICE_AVG"&amp;"("&amp;INDEX(MO_SNA_FPStartDate,0,COLUMN())&amp;","&amp;INDEX(MO_Common_QEndDate,0,COLUMN())&amp;",,,,""PRICE"",""CLOSE"")"),"N/A")</f>
        <v/>
      </c>
      <c r="AJ1072" s="1888">
        <f>IFERROR(FDS(MO.Ticker.FactSet,"P_PRICE_AVG"&amp;"("&amp;INDEX(MO_SNA_FPStartDate,0,COLUMN())&amp;","&amp;INDEX(MO_Common_QEndDate,0,COLUMN())&amp;",,,,""PRICE"",""CLOSE"")"),"N/A")</f>
        <v/>
      </c>
      <c r="AK1072" s="1888">
        <f>IFERROR(FDS(MO.Ticker.FactSet,"P_PRICE_AVG"&amp;"("&amp;INDEX(MO_SNA_FPStartDate,0,COLUMN())&amp;","&amp;INDEX(MO_Common_QEndDate,0,COLUMN())&amp;",,,,""PRICE"",""CLOSE"")"),"N/A")</f>
        <v/>
      </c>
      <c r="AL1072" s="1888">
        <f>IFERROR(FDS(MO.Ticker.FactSet,"P_PRICE_AVG"&amp;"("&amp;INDEX(MO_SNA_FPStartDate,0,COLUMN())&amp;","&amp;INDEX(MO_Common_QEndDate,0,COLUMN())&amp;",,,,""PRICE"",""CLOSE"")"),"N/A")</f>
        <v/>
      </c>
      <c r="AM1072" s="1888">
        <f>IFERROR(FDS(MO.Ticker.FactSet,"P_PRICE_AVG"&amp;"("&amp;INDEX(MO_SNA_FPStartDate,0,COLUMN())&amp;","&amp;INDEX(MO_Common_QEndDate,0,COLUMN())&amp;",,,,""PRICE"",""CLOSE"")"),"N/A")</f>
        <v/>
      </c>
      <c r="AN1072" s="1888">
        <f>IFERROR(FDS(MO.Ticker.FactSet,"P_PRICE_AVG"&amp;"("&amp;INDEX(MO_SNA_FPStartDate,0,COLUMN())&amp;","&amp;INDEX(MO_Common_QEndDate,0,COLUMN())&amp;",,,,""PRICE"",""CLOSE"")"),"N/A")</f>
        <v/>
      </c>
      <c r="AO1072" s="1888">
        <f>IFERROR(FDS(MO.Ticker.FactSet,"P_PRICE_AVG"&amp;"("&amp;INDEX(MO_SNA_FPStartDate,0,COLUMN())&amp;","&amp;INDEX(MO_Common_QEndDate,0,COLUMN())&amp;",,,,""PRICE"",""CLOSE"")"),"N/A")</f>
        <v/>
      </c>
      <c r="AP1072" s="1888">
        <f>IFERROR(FDS(MO.Ticker.FactSet,"P_PRICE_AVG"&amp;"("&amp;INDEX(MO_SNA_FPStartDate,0,COLUMN())&amp;","&amp;INDEX(MO_Common_QEndDate,0,COLUMN())&amp;",,,,""PRICE"",""CLOSE"")"),"N/A")</f>
        <v/>
      </c>
      <c r="AQ1072" s="1888">
        <f>IFERROR(FDS(MO.Ticker.FactSet,"P_PRICE_AVG"&amp;"("&amp;INDEX(MO_SNA_FPStartDate,0,COLUMN())&amp;","&amp;INDEX(MO_Common_QEndDate,0,COLUMN())&amp;",,,,""PRICE"",""CLOSE"")"),"N/A")</f>
        <v/>
      </c>
      <c r="AR1072" s="1888">
        <f>IFERROR(FDS(MO.Ticker.FactSet,"P_PRICE_AVG"&amp;"("&amp;INDEX(MO_SNA_FPStartDate,0,COLUMN())&amp;","&amp;INDEX(MO_Common_QEndDate,0,COLUMN())&amp;",,,,""PRICE"",""CLOSE"")"),"N/A")</f>
        <v/>
      </c>
      <c r="AS1072" s="1888">
        <f>IFERROR(FDS(MO.Ticker.FactSet,"P_PRICE_AVG"&amp;"("&amp;INDEX(MO_SNA_FPStartDate,0,COLUMN())&amp;","&amp;INDEX(MO_Common_QEndDate,0,COLUMN())&amp;",,,,""PRICE"",""CLOSE"")"),"N/A")</f>
        <v/>
      </c>
      <c r="AT1072" s="1888">
        <f>IFERROR(FDS(MO.Ticker.FactSet,"P_PRICE_AVG"&amp;"("&amp;INDEX(MO_SNA_FPStartDate,0,COLUMN())&amp;","&amp;INDEX(MO_Common_QEndDate,0,COLUMN())&amp;",,,,""PRICE"",""CLOSE"")"),"N/A")</f>
        <v/>
      </c>
      <c r="AU1072" s="1888">
        <f>IFERROR(FDS(MO.Ticker.FactSet,"P_PRICE_AVG"&amp;"("&amp;INDEX(MO_SNA_FPStartDate,0,COLUMN())&amp;","&amp;INDEX(MO_Common_QEndDate,0,COLUMN())&amp;",,,,""PRICE"",""CLOSE"")"),"N/A")</f>
        <v/>
      </c>
      <c r="AV1072" s="1888">
        <f>IFERROR(FDS(MO.Ticker.FactSet,"P_PRICE_AVG"&amp;"("&amp;INDEX(MO_SNA_FPStartDate,0,COLUMN())&amp;","&amp;INDEX(MO_Common_QEndDate,0,COLUMN())&amp;",,,,""PRICE"",""CLOSE"")"),"N/A")</f>
        <v/>
      </c>
      <c r="AW1072" s="1888">
        <f>IFERROR(FDS(MO.Ticker.FactSet,"P_PRICE_AVG"&amp;"("&amp;INDEX(MO_SNA_FPStartDate,0,COLUMN())&amp;","&amp;INDEX(MO_Common_QEndDate,0,COLUMN())&amp;",,,,""PRICE"",""CLOSE"")"),"N/A")</f>
        <v/>
      </c>
      <c r="AX1072" s="1888">
        <f>IFERROR(FDS(MO.Ticker.FactSet,"P_PRICE_AVG"&amp;"("&amp;INDEX(MO_SNA_FPStartDate,0,COLUMN())&amp;","&amp;INDEX(MO_Common_QEndDate,0,COLUMN())&amp;",,,,""PRICE"",""CLOSE"")"),"N/A")</f>
        <v/>
      </c>
      <c r="AY1072" s="1888">
        <f>IFERROR(FDS(MO.Ticker.FactSet,"P_PRICE_AVG"&amp;"("&amp;INDEX(MO_SNA_FPStartDate,0,COLUMN())&amp;","&amp;INDEX(MO_Common_QEndDate,0,COLUMN())&amp;",,,,""PRICE"",""CLOSE"")"),"N/A")</f>
        <v/>
      </c>
      <c r="AZ1072" s="1888">
        <f>IFERROR(FDS(MO.Ticker.FactSet,"P_PRICE_AVG"&amp;"("&amp;INDEX(MO_SNA_FPStartDate,0,COLUMN())&amp;","&amp;INDEX(MO_Common_QEndDate,0,COLUMN())&amp;",,,,""PRICE"",""CLOSE"")"),"N/A")</f>
        <v/>
      </c>
      <c r="BA1072" s="1888">
        <f>IFERROR(FDS(MO.Ticker.FactSet,"P_PRICE_AVG"&amp;"("&amp;INDEX(MO_SNA_FPStartDate,0,COLUMN())&amp;","&amp;INDEX(MO_Common_QEndDate,0,COLUMN())&amp;",,,,""PRICE"",""CLOSE"")"),"N/A")</f>
        <v/>
      </c>
      <c r="BB1072" s="1888">
        <f>IFERROR(FDS(MO.Ticker.FactSet,"P_PRICE_AVG"&amp;"("&amp;INDEX(MO_SNA_FPStartDate,0,COLUMN())&amp;","&amp;INDEX(MO_Common_QEndDate,0,COLUMN())&amp;",,,,""PRICE"",""CLOSE"")"),"N/A")</f>
        <v/>
      </c>
      <c r="BC1072" s="1888">
        <f>IFERROR(FDS(MO.Ticker.FactSet,"P_PRICE_AVG"&amp;"("&amp;INDEX(MO_SNA_FPStartDate,0,COLUMN())&amp;","&amp;INDEX(MO_Common_QEndDate,0,COLUMN())&amp;",,,,""PRICE"",""CLOSE"")"),"N/A")</f>
        <v/>
      </c>
      <c r="BD1072" s="1888">
        <f>IFERROR(FDS(MO.Ticker.FactSet,"P_PRICE_AVG"&amp;"("&amp;INDEX(MO_SNA_FPStartDate,0,COLUMN())&amp;","&amp;INDEX(MO_Common_QEndDate,0,COLUMN())&amp;",,,,""PRICE"",""CLOSE"")"),"N/A")</f>
        <v/>
      </c>
      <c r="BE1072" s="1888">
        <f>IFERROR(FDS(MO.Ticker.FactSet,"P_PRICE_AVG"&amp;"("&amp;INDEX(MO_SNA_FPStartDate,0,COLUMN())&amp;","&amp;INDEX(MO_Common_QEndDate,0,COLUMN())&amp;",,,,""PRICE"",""CLOSE"")"),"N/A")</f>
        <v/>
      </c>
      <c r="BF1072" s="1888">
        <f>IFERROR(FDS(MO.Ticker.FactSet,"P_PRICE_AVG"&amp;"("&amp;INDEX(MO_SNA_FPStartDate,0,COLUMN())&amp;","&amp;INDEX(MO_Common_QEndDate,0,COLUMN())&amp;",,,,""PRICE"",""CLOSE"")"),"N/A")</f>
        <v/>
      </c>
      <c r="BG1072" s="1888">
        <f>IFERROR(FDS(MO.Ticker.FactSet,"P_PRICE_AVG"&amp;"("&amp;INDEX(MO_SNA_FPStartDate,0,COLUMN())&amp;","&amp;INDEX(MO_Common_QEndDate,0,COLUMN())&amp;",,,,""PRICE"",""CLOSE"")"),"N/A")</f>
        <v/>
      </c>
      <c r="BH1072" s="1888">
        <f>IFERROR(FDS(MO.Ticker.FactSet,"P_PRICE_AVG"&amp;"("&amp;INDEX(MO_SNA_FPStartDate,0,COLUMN())&amp;","&amp;INDEX(MO_Common_QEndDate,0,COLUMN())&amp;",,,,""PRICE"",""CLOSE"")"),"N/A")</f>
        <v/>
      </c>
      <c r="BI1072" s="1888">
        <f>IFERROR(FDS(MO.Ticker.FactSet,"P_PRICE_AVG"&amp;"("&amp;INDEX(MO_SNA_FPStartDate,0,COLUMN())&amp;","&amp;INDEX(MO_Common_QEndDate,0,COLUMN())&amp;",,,,""PRICE"",""CLOSE"")"),"N/A")</f>
        <v/>
      </c>
      <c r="BJ1072" s="1888">
        <f>IFERROR(FDS(MO.Ticker.FactSet,"P_PRICE_AVG"&amp;"("&amp;INDEX(MO_SNA_FPStartDate,0,COLUMN())&amp;","&amp;INDEX(MO_Common_QEndDate,0,COLUMN())&amp;",,,,""PRICE"",""CLOSE"")"),"N/A")</f>
        <v/>
      </c>
      <c r="BK1072" s="1888">
        <f>IFERROR(FDS(MO.Ticker.FactSet,"P_PRICE_AVG"&amp;"("&amp;INDEX(MO_SNA_FPStartDate,0,COLUMN())&amp;","&amp;INDEX(MO_Common_QEndDate,0,COLUMN())&amp;",,,,""PRICE"",""CLOSE"")"),"N/A")</f>
        <v/>
      </c>
      <c r="BL1072" s="1888">
        <f>IFERROR(FDS(MO.Ticker.FactSet,"P_PRICE_AVG"&amp;"("&amp;INDEX(MO_SNA_FPStartDate,0,COLUMN())&amp;","&amp;INDEX(MO_Common_QEndDate,0,COLUMN())&amp;",,,,""PRICE"",""CLOSE"")"),"N/A")</f>
        <v/>
      </c>
      <c r="BM1072" s="1888">
        <f>IFERROR(FDS(MO.Ticker.FactSet,"P_PRICE_AVG"&amp;"("&amp;INDEX(MO_SNA_FPStartDate,0,COLUMN())&amp;","&amp;INDEX(MO_Common_QEndDate,0,COLUMN())&amp;",,,,""PRICE"",""CLOSE"")"),"N/A")</f>
        <v/>
      </c>
      <c r="BN1072" s="1888">
        <f>IFERROR(FDS(MO.Ticker.FactSet,"P_PRICE_AVG"&amp;"("&amp;INDEX(MO_SNA_FPStartDate,0,COLUMN())&amp;","&amp;INDEX(MO_Common_QEndDate,0,COLUMN())&amp;",,,,""PRICE"",""CLOSE"")"),"N/A")</f>
        <v/>
      </c>
      <c r="BO1072" s="1890">
        <f>IFERROR(FDS(MO.Ticker.FactSet,"P_PRICE_AVG"&amp;"("&amp;INDEX(MO_SNA_FPStartDate,0,COLUMN())&amp;","&amp;INDEX(MO_Common_QEndDate,0,COLUMN())&amp;",,,,""PRICE"",""CLOSE"")"),"N/A")</f>
        <v/>
      </c>
      <c r="BP1072" s="1888">
        <f>IFERROR(FDS(MO.Ticker.FactSet,"P_PRICE_AVG"&amp;"("&amp;INDEX(MO_SNA_FPStartDate,0,COLUMN())&amp;","&amp;INDEX(MO_Common_QEndDate,0,COLUMN())&amp;",,,,""PRICE"",""CLOSE"")"),"N/A")</f>
        <v/>
      </c>
      <c r="BQ1072" s="1888">
        <f>IFERROR(FDS(MO.Ticker.FactSet,"P_PRICE_AVG"&amp;"("&amp;INDEX(MO_SNA_FPStartDate,0,COLUMN())&amp;","&amp;INDEX(MO_Common_QEndDate,0,COLUMN())&amp;",,,,""PRICE"",""CLOSE"")"),"N/A")</f>
        <v/>
      </c>
      <c r="BR1072" s="1888">
        <f>IFERROR(FDS(MO.Ticker.FactSet,"P_PRICE_AVG"&amp;"("&amp;INDEX(MO_SNA_FPStartDate,0,COLUMN())&amp;","&amp;INDEX(MO_Common_QEndDate,0,COLUMN())&amp;",,,,""PRICE"",""CLOSE"")"),"N/A")</f>
        <v/>
      </c>
      <c r="BS1072" s="1888">
        <f>IFERROR(FDS(MO.Ticker.FactSet,"P_PRICE_AVG"&amp;"("&amp;INDEX(MO_SNA_FPStartDate,0,COLUMN())&amp;","&amp;INDEX(MO_Common_QEndDate,0,COLUMN())&amp;",,,,""PRICE"",""CLOSE"")"),"N/A")</f>
        <v/>
      </c>
      <c r="BT1072" s="1888">
        <f>IFERROR(FDS(MO.Ticker.FactSet,"P_PRICE_AVG"&amp;"("&amp;INDEX(MO_SNA_FPStartDate,0,COLUMN())&amp;","&amp;INDEX(MO_Common_QEndDate,0,COLUMN())&amp;",,,,""PRICE"",""CLOSE"")"),"N/A")</f>
        <v/>
      </c>
      <c r="BU1072" s="1888">
        <f>IFERROR(FDS(MO.Ticker.FactSet,"P_PRICE_AVG"&amp;"("&amp;INDEX(MO_SNA_FPStartDate,0,COLUMN())&amp;","&amp;INDEX(MO_Common_QEndDate,0,COLUMN())&amp;",,,,""PRICE"",""CLOSE"")"),"N/A")</f>
        <v/>
      </c>
      <c r="BV1072" s="1888">
        <f>IFERROR(FDS(MO.Ticker.FactSet,"P_PRICE_AVG"&amp;"("&amp;INDEX(MO_SNA_FPStartDate,0,COLUMN())&amp;","&amp;INDEX(MO_Common_QEndDate,0,COLUMN())&amp;",,,,""PRICE"",""CLOSE"")"),"N/A")</f>
        <v/>
      </c>
      <c r="BW1072" s="1888">
        <f>IFERROR(FDS(MO.Ticker.FactSet,"P_PRICE_AVG"&amp;"("&amp;INDEX(MO_SNA_FPStartDate,0,COLUMN())&amp;","&amp;INDEX(MO_Common_QEndDate,0,COLUMN())&amp;",,,,""PRICE"",""CLOSE"")"),"N/A")</f>
        <v/>
      </c>
      <c r="BX1072" s="1888">
        <f>IFERROR(FDS(MO.Ticker.FactSet,"P_PRICE_AVG"&amp;"("&amp;INDEX(MO_SNA_FPStartDate,0,COLUMN())&amp;","&amp;INDEX(MO_Common_QEndDate,0,COLUMN())&amp;",,,,""PRICE"",""CLOSE"")"),"N/A")</f>
        <v/>
      </c>
      <c r="BY1072" s="1888">
        <f>IFERROR(FDS(MO.Ticker.FactSet,"P_PRICE_AVG"&amp;"("&amp;INDEX(MO_SNA_FPStartDate,0,COLUMN())&amp;","&amp;INDEX(MO_Common_QEndDate,0,COLUMN())&amp;",,,,""PRICE"",""CLOSE"")"),"N/A")</f>
        <v/>
      </c>
      <c r="BZ1072" s="1888">
        <f>IFERROR(FDS(MO.Ticker.FactSet,"P_PRICE_AVG"&amp;"("&amp;INDEX(MO_SNA_FPStartDate,0,COLUMN())&amp;","&amp;INDEX(MO_Common_QEndDate,0,COLUMN())&amp;",,,,""PRICE"",""CLOSE"")"),"N/A")</f>
        <v/>
      </c>
      <c r="CA1072" s="1888">
        <f>IFERROR(FDS(MO.Ticker.FactSet,"P_PRICE_AVG"&amp;"("&amp;INDEX(MO_SNA_FPStartDate,0,COLUMN())&amp;","&amp;INDEX(MO_Common_QEndDate,0,COLUMN())&amp;",,,,""PRICE"",""CLOSE"")"),"N/A")</f>
        <v/>
      </c>
      <c r="CB1072" s="1891">
        <f>IFERROR(FDS(MO.Ticker.FactSet,"P_PRICE_AVG"&amp;"("&amp;INDEX(MO_SNA_FPStartDate,0,COLUMN())&amp;","&amp;INDEX(MO_Common_QEndDate,0,COLUMN())&amp;",,,,""PRICE"",""CLOSE"")"),"N/A")</f>
        <v/>
      </c>
      <c r="CC1072" s="1892" t="n"/>
    </row>
    <row r="1073" hidden="1" outlineLevel="1" ht="14.4" customFormat="1" customHeight="1" s="1750">
      <c r="A1073" s="1893" t="inlineStr">
        <is>
          <t>Refinitiv</t>
        </is>
      </c>
      <c r="B1073" s="1888" t="n"/>
      <c r="C1073" s="1889">
        <f>IFERROR(_xll.TR(MO.Ticker.Thomson,"AVG(TR.Priceclose)","sdate:#1 edate:#2",,INDEX(MO_SNA_FPStartDate,0,COLUMN()),INDEX(MO_Common_QEndDate,0,COLUMN())),"N/A")</f>
        <v/>
      </c>
      <c r="D1073" s="1889">
        <f>IFERROR(_xll.TR(MO.Ticker.Thomson,"AVG(TR.Priceclose)","sdate:#1 edate:#2",,INDEX(MO_SNA_FPStartDate,0,COLUMN()),INDEX(MO_Common_QEndDate,0,COLUMN())),"N/A")</f>
        <v/>
      </c>
      <c r="E1073" s="1888">
        <f>IFERROR(_xll.TR(MO.Ticker.Thomson,"AVG(TR.Priceclose)","sdate:#1 edate:#2",,INDEX(MO_SNA_FPStartDate,0,COLUMN()),INDEX(MO_Common_QEndDate,0,COLUMN())),"N/A")</f>
        <v/>
      </c>
      <c r="F1073" s="1888">
        <f>IFERROR(_xll.TR(MO.Ticker.Thomson,"AVG(TR.Priceclose)","sdate:#1 edate:#2",,INDEX(MO_SNA_FPStartDate,0,COLUMN()),INDEX(MO_Common_QEndDate,0,COLUMN())),"N/A")</f>
        <v/>
      </c>
      <c r="G1073" s="1888">
        <f>IFERROR(_xll.TR(MO.Ticker.Thomson,"AVG(TR.Priceclose)","sdate:#1 edate:#2",,INDEX(MO_SNA_FPStartDate,0,COLUMN()),INDEX(MO_Common_QEndDate,0,COLUMN())),"N/A")</f>
        <v/>
      </c>
      <c r="H1073" s="1888">
        <f>IFERROR(_xll.TR(MO.Ticker.Thomson,"AVG(TR.Priceclose)","sdate:#1 edate:#2",,INDEX(MO_SNA_FPStartDate,0,COLUMN()),INDEX(MO_Common_QEndDate,0,COLUMN())),"N/A")</f>
        <v/>
      </c>
      <c r="I1073" s="1888">
        <f>IFERROR(_xll.TR(MO.Ticker.Thomson,"AVG(TR.Priceclose)","sdate:#1 edate:#2",,INDEX(MO_SNA_FPStartDate,0,COLUMN()),INDEX(MO_Common_QEndDate,0,COLUMN())),"N/A")</f>
        <v/>
      </c>
      <c r="J1073" s="1888">
        <f>IFERROR(_xll.TR(MO.Ticker.Thomson,"AVG(TR.Priceclose)","sdate:#1 edate:#2",,INDEX(MO_SNA_FPStartDate,0,COLUMN()),INDEX(MO_Common_QEndDate,0,COLUMN())),"N/A")</f>
        <v/>
      </c>
      <c r="K1073" s="1888">
        <f>IFERROR(_xll.TR(MO.Ticker.Thomson,"AVG(TR.Priceclose)","sdate:#1 edate:#2",,INDEX(MO_SNA_FPStartDate,0,COLUMN()),INDEX(MO_Common_QEndDate,0,COLUMN())),"N/A")</f>
        <v/>
      </c>
      <c r="L1073" s="1888">
        <f>IFERROR(_xll.TR(MO.Ticker.Thomson,"AVG(TR.Priceclose)","sdate:#1 edate:#2",,INDEX(MO_SNA_FPStartDate,0,COLUMN()),INDEX(MO_Common_QEndDate,0,COLUMN())),"N/A")</f>
        <v/>
      </c>
      <c r="M1073" s="1888">
        <f>IFERROR(_xll.TR(MO.Ticker.Thomson,"AVG(TR.Priceclose)","sdate:#1 edate:#2",,INDEX(MO_SNA_FPStartDate,0,COLUMN()),INDEX(MO_Common_QEndDate,0,COLUMN())),"N/A")</f>
        <v/>
      </c>
      <c r="N1073" s="1888">
        <f>IFERROR(_xll.TR(MO.Ticker.Thomson,"AVG(TR.Priceclose)","sdate:#1 edate:#2",,INDEX(MO_SNA_FPStartDate,0,COLUMN()),INDEX(MO_Common_QEndDate,0,COLUMN())),"N/A")</f>
        <v/>
      </c>
      <c r="O1073" s="1888">
        <f>IFERROR(_xll.TR(MO.Ticker.Thomson,"AVG(TR.Priceclose)","sdate:#1 edate:#2",,INDEX(MO_SNA_FPStartDate,0,COLUMN()),INDEX(MO_Common_QEndDate,0,COLUMN())),"N/A")</f>
        <v/>
      </c>
      <c r="P1073" s="1888">
        <f>IFERROR(_xll.TR(MO.Ticker.Thomson,"AVG(TR.Priceclose)","sdate:#1 edate:#2",,INDEX(MO_SNA_FPStartDate,0,COLUMN()),INDEX(MO_Common_QEndDate,0,COLUMN())),"N/A")</f>
        <v/>
      </c>
      <c r="Q1073" s="1888">
        <f>IFERROR(_xll.TR(MO.Ticker.Thomson,"AVG(TR.Priceclose)","sdate:#1 edate:#2",,INDEX(MO_SNA_FPStartDate,0,COLUMN()),INDEX(MO_Common_QEndDate,0,COLUMN())),"N/A")</f>
        <v/>
      </c>
      <c r="R1073" s="1888">
        <f>IFERROR(_xll.TR(MO.Ticker.Thomson,"AVG(TR.Priceclose)","sdate:#1 edate:#2",,INDEX(MO_SNA_FPStartDate,0,COLUMN()),INDEX(MO_Common_QEndDate,0,COLUMN())),"N/A")</f>
        <v/>
      </c>
      <c r="S1073" s="1888">
        <f>IFERROR(_xll.TR(MO.Ticker.Thomson,"AVG(TR.Priceclose)","sdate:#1 edate:#2",,INDEX(MO_SNA_FPStartDate,0,COLUMN()),INDEX(MO_Common_QEndDate,0,COLUMN())),"N/A")</f>
        <v/>
      </c>
      <c r="T1073" s="1888">
        <f>IFERROR(_xll.TR(MO.Ticker.Thomson,"AVG(TR.Priceclose)","sdate:#1 edate:#2",,INDEX(MO_SNA_FPStartDate,0,COLUMN()),INDEX(MO_Common_QEndDate,0,COLUMN())),"N/A")</f>
        <v/>
      </c>
      <c r="U1073" s="1888">
        <f>IFERROR(_xll.TR(MO.Ticker.Thomson,"AVG(TR.Priceclose)","sdate:#1 edate:#2",,INDEX(MO_SNA_FPStartDate,0,COLUMN()),INDEX(MO_Common_QEndDate,0,COLUMN())),"N/A")</f>
        <v/>
      </c>
      <c r="V1073" s="1888">
        <f>IFERROR(_xll.TR(MO.Ticker.Thomson,"AVG(TR.Priceclose)","sdate:#1 edate:#2",,INDEX(MO_SNA_FPStartDate,0,COLUMN()),INDEX(MO_Common_QEndDate,0,COLUMN())),"N/A")</f>
        <v/>
      </c>
      <c r="W1073" s="1888">
        <f>IFERROR(_xll.TR(MO.Ticker.Thomson,"AVG(TR.Priceclose)","sdate:#1 edate:#2",,INDEX(MO_SNA_FPStartDate,0,COLUMN()),INDEX(MO_Common_QEndDate,0,COLUMN())),"N/A")</f>
        <v/>
      </c>
      <c r="X1073" s="1888">
        <f>IFERROR(_xll.TR(MO.Ticker.Thomson,"AVG(TR.Priceclose)","sdate:#1 edate:#2",,INDEX(MO_SNA_FPStartDate,0,COLUMN()),INDEX(MO_Common_QEndDate,0,COLUMN())),"N/A")</f>
        <v/>
      </c>
      <c r="Y1073" s="1888">
        <f>IFERROR(_xll.TR(MO.Ticker.Thomson,"AVG(TR.Priceclose)","sdate:#1 edate:#2",,INDEX(MO_SNA_FPStartDate,0,COLUMN()),INDEX(MO_Common_QEndDate,0,COLUMN())),"N/A")</f>
        <v/>
      </c>
      <c r="Z1073" s="1888">
        <f>IFERROR(_xll.TR(MO.Ticker.Thomson,"AVG(TR.Priceclose)","sdate:#1 edate:#2",,INDEX(MO_SNA_FPStartDate,0,COLUMN()),INDEX(MO_Common_QEndDate,0,COLUMN())),"N/A")</f>
        <v/>
      </c>
      <c r="AA1073" s="1888">
        <f>IFERROR(_xll.TR(MO.Ticker.Thomson,"AVG(TR.Priceclose)","sdate:#1 edate:#2",,INDEX(MO_SNA_FPStartDate,0,COLUMN()),INDEX(MO_Common_QEndDate,0,COLUMN())),"N/A")</f>
        <v/>
      </c>
      <c r="AB1073" s="1888">
        <f>IFERROR(_xll.TR(MO.Ticker.Thomson,"AVG(TR.Priceclose)","sdate:#1 edate:#2",,INDEX(MO_SNA_FPStartDate,0,COLUMN()),INDEX(MO_Common_QEndDate,0,COLUMN())),"N/A")</f>
        <v/>
      </c>
      <c r="AC1073" s="1888">
        <f>IFERROR(_xll.TR(MO.Ticker.Thomson,"AVG(TR.Priceclose)","sdate:#1 edate:#2",,INDEX(MO_SNA_FPStartDate,0,COLUMN()),INDEX(MO_Common_QEndDate,0,COLUMN())),"N/A")</f>
        <v/>
      </c>
      <c r="AD1073" s="1888">
        <f>IFERROR(_xll.TR(MO.Ticker.Thomson,"AVG(TR.Priceclose)","sdate:#1 edate:#2",,INDEX(MO_SNA_FPStartDate,0,COLUMN()),INDEX(MO_Common_QEndDate,0,COLUMN())),"N/A")</f>
        <v/>
      </c>
      <c r="AE1073" s="1888">
        <f>IFERROR(_xll.TR(MO.Ticker.Thomson,"AVG(TR.Priceclose)","sdate:#1 edate:#2",,INDEX(MO_SNA_FPStartDate,0,COLUMN()),INDEX(MO_Common_QEndDate,0,COLUMN())),"N/A")</f>
        <v/>
      </c>
      <c r="AF1073" s="1888">
        <f>IFERROR(_xll.TR(MO.Ticker.Thomson,"AVG(TR.Priceclose)","sdate:#1 edate:#2",,INDEX(MO_SNA_FPStartDate,0,COLUMN()),INDEX(MO_Common_QEndDate,0,COLUMN())),"N/A")</f>
        <v/>
      </c>
      <c r="AG1073" s="1888">
        <f>IFERROR(_xll.TR(MO.Ticker.Thomson,"AVG(TR.Priceclose)","sdate:#1 edate:#2",,INDEX(MO_SNA_FPStartDate,0,COLUMN()),INDEX(MO_Common_QEndDate,0,COLUMN())),"N/A")</f>
        <v/>
      </c>
      <c r="AH1073" s="1888">
        <f>IFERROR(_xll.TR(MO.Ticker.Thomson,"AVG(TR.Priceclose)","sdate:#1 edate:#2",,INDEX(MO_SNA_FPStartDate,0,COLUMN()),INDEX(MO_Common_QEndDate,0,COLUMN())),"N/A")</f>
        <v/>
      </c>
      <c r="AI1073" s="1888">
        <f>IFERROR(_xll.TR(MO.Ticker.Thomson,"AVG(TR.Priceclose)","sdate:#1 edate:#2",,INDEX(MO_SNA_FPStartDate,0,COLUMN()),INDEX(MO_Common_QEndDate,0,COLUMN())),"N/A")</f>
        <v/>
      </c>
      <c r="AJ1073" s="1888">
        <f>IFERROR(_xll.TR(MO.Ticker.Thomson,"AVG(TR.Priceclose)","sdate:#1 edate:#2",,INDEX(MO_SNA_FPStartDate,0,COLUMN()),INDEX(MO_Common_QEndDate,0,COLUMN())),"N/A")</f>
        <v/>
      </c>
      <c r="AK1073" s="1888">
        <f>IFERROR(_xll.TR(MO.Ticker.Thomson,"AVG(TR.Priceclose)","sdate:#1 edate:#2",,INDEX(MO_SNA_FPStartDate,0,COLUMN()),INDEX(MO_Common_QEndDate,0,COLUMN())),"N/A")</f>
        <v/>
      </c>
      <c r="AL1073" s="1888">
        <f>IFERROR(_xll.TR(MO.Ticker.Thomson,"AVG(TR.Priceclose)","sdate:#1 edate:#2",,INDEX(MO_SNA_FPStartDate,0,COLUMN()),INDEX(MO_Common_QEndDate,0,COLUMN())),"N/A")</f>
        <v/>
      </c>
      <c r="AM1073" s="1888">
        <f>IFERROR(_xll.TR(MO.Ticker.Thomson,"AVG(TR.Priceclose)","sdate:#1 edate:#2",,INDEX(MO_SNA_FPStartDate,0,COLUMN()),INDEX(MO_Common_QEndDate,0,COLUMN())),"N/A")</f>
        <v/>
      </c>
      <c r="AN1073" s="1888">
        <f>IFERROR(_xll.TR(MO.Ticker.Thomson,"AVG(TR.Priceclose)","sdate:#1 edate:#2",,INDEX(MO_SNA_FPStartDate,0,COLUMN()),INDEX(MO_Common_QEndDate,0,COLUMN())),"N/A")</f>
        <v/>
      </c>
      <c r="AO1073" s="1888">
        <f>IFERROR(_xll.TR(MO.Ticker.Thomson,"AVG(TR.Priceclose)","sdate:#1 edate:#2",,INDEX(MO_SNA_FPStartDate,0,COLUMN()),INDEX(MO_Common_QEndDate,0,COLUMN())),"N/A")</f>
        <v/>
      </c>
      <c r="AP1073" s="1888">
        <f>IFERROR(_xll.TR(MO.Ticker.Thomson,"AVG(TR.Priceclose)","sdate:#1 edate:#2",,INDEX(MO_SNA_FPStartDate,0,COLUMN()),INDEX(MO_Common_QEndDate,0,COLUMN())),"N/A")</f>
        <v/>
      </c>
      <c r="AQ1073" s="1888">
        <f>IFERROR(_xll.TR(MO.Ticker.Thomson,"AVG(TR.Priceclose)","sdate:#1 edate:#2",,INDEX(MO_SNA_FPStartDate,0,COLUMN()),INDEX(MO_Common_QEndDate,0,COLUMN())),"N/A")</f>
        <v/>
      </c>
      <c r="AR1073" s="1888">
        <f>IFERROR(_xll.TR(MO.Ticker.Thomson,"AVG(TR.Priceclose)","sdate:#1 edate:#2",,INDEX(MO_SNA_FPStartDate,0,COLUMN()),INDEX(MO_Common_QEndDate,0,COLUMN())),"N/A")</f>
        <v/>
      </c>
      <c r="AS1073" s="1888">
        <f>IFERROR(_xll.TR(MO.Ticker.Thomson,"AVG(TR.Priceclose)","sdate:#1 edate:#2",,INDEX(MO_SNA_FPStartDate,0,COLUMN()),INDEX(MO_Common_QEndDate,0,COLUMN())),"N/A")</f>
        <v/>
      </c>
      <c r="AT1073" s="1888">
        <f>IFERROR(_xll.TR(MO.Ticker.Thomson,"AVG(TR.Priceclose)","sdate:#1 edate:#2",,INDEX(MO_SNA_FPStartDate,0,COLUMN()),INDEX(MO_Common_QEndDate,0,COLUMN())),"N/A")</f>
        <v/>
      </c>
      <c r="AU1073" s="1888">
        <f>IFERROR(_xll.TR(MO.Ticker.Thomson,"AVG(TR.Priceclose)","sdate:#1 edate:#2",,INDEX(MO_SNA_FPStartDate,0,COLUMN()),INDEX(MO_Common_QEndDate,0,COLUMN())),"N/A")</f>
        <v/>
      </c>
      <c r="AV1073" s="1888">
        <f>IFERROR(_xll.TR(MO.Ticker.Thomson,"AVG(TR.Priceclose)","sdate:#1 edate:#2",,INDEX(MO_SNA_FPStartDate,0,COLUMN()),INDEX(MO_Common_QEndDate,0,COLUMN())),"N/A")</f>
        <v/>
      </c>
      <c r="AW1073" s="1888">
        <f>IFERROR(_xll.TR(MO.Ticker.Thomson,"AVG(TR.Priceclose)","sdate:#1 edate:#2",,INDEX(MO_SNA_FPStartDate,0,COLUMN()),INDEX(MO_Common_QEndDate,0,COLUMN())),"N/A")</f>
        <v/>
      </c>
      <c r="AX1073" s="1888">
        <f>IFERROR(_xll.TR(MO.Ticker.Thomson,"AVG(TR.Priceclose)","sdate:#1 edate:#2",,INDEX(MO_SNA_FPStartDate,0,COLUMN()),INDEX(MO_Common_QEndDate,0,COLUMN())),"N/A")</f>
        <v/>
      </c>
      <c r="AY1073" s="1888">
        <f>IFERROR(_xll.TR(MO.Ticker.Thomson,"AVG(TR.Priceclose)","sdate:#1 edate:#2",,INDEX(MO_SNA_FPStartDate,0,COLUMN()),INDEX(MO_Common_QEndDate,0,COLUMN())),"N/A")</f>
        <v/>
      </c>
      <c r="AZ1073" s="1888">
        <f>IFERROR(_xll.TR(MO.Ticker.Thomson,"AVG(TR.Priceclose)","sdate:#1 edate:#2",,INDEX(MO_SNA_FPStartDate,0,COLUMN()),INDEX(MO_Common_QEndDate,0,COLUMN())),"N/A")</f>
        <v/>
      </c>
      <c r="BA1073" s="1888">
        <f>IFERROR(_xll.TR(MO.Ticker.Thomson,"AVG(TR.Priceclose)","sdate:#1 edate:#2",,INDEX(MO_SNA_FPStartDate,0,COLUMN()),INDEX(MO_Common_QEndDate,0,COLUMN())),"N/A")</f>
        <v/>
      </c>
      <c r="BB1073" s="1888">
        <f>IFERROR(_xll.TR(MO.Ticker.Thomson,"AVG(TR.Priceclose)","sdate:#1 edate:#2",,INDEX(MO_SNA_FPStartDate,0,COLUMN()),INDEX(MO_Common_QEndDate,0,COLUMN())),"N/A")</f>
        <v/>
      </c>
      <c r="BC1073" s="1888">
        <f>IFERROR(_xll.TR(MO.Ticker.Thomson,"AVG(TR.Priceclose)","sdate:#1 edate:#2",,INDEX(MO_SNA_FPStartDate,0,COLUMN()),INDEX(MO_Common_QEndDate,0,COLUMN())),"N/A")</f>
        <v/>
      </c>
      <c r="BD1073" s="1888">
        <f>IFERROR(_xll.TR(MO.Ticker.Thomson,"AVG(TR.Priceclose)","sdate:#1 edate:#2",,INDEX(MO_SNA_FPStartDate,0,COLUMN()),INDEX(MO_Common_QEndDate,0,COLUMN())),"N/A")</f>
        <v/>
      </c>
      <c r="BE1073" s="1888">
        <f>IFERROR(_xll.TR(MO.Ticker.Thomson,"AVG(TR.Priceclose)","sdate:#1 edate:#2",,INDEX(MO_SNA_FPStartDate,0,COLUMN()),INDEX(MO_Common_QEndDate,0,COLUMN())),"N/A")</f>
        <v/>
      </c>
      <c r="BF1073" s="1888">
        <f>IFERROR(_xll.TR(MO.Ticker.Thomson,"AVG(TR.Priceclose)","sdate:#1 edate:#2",,INDEX(MO_SNA_FPStartDate,0,COLUMN()),INDEX(MO_Common_QEndDate,0,COLUMN())),"N/A")</f>
        <v/>
      </c>
      <c r="BG1073" s="1888">
        <f>IFERROR(_xll.TR(MO.Ticker.Thomson,"AVG(TR.Priceclose)","sdate:#1 edate:#2",,INDEX(MO_SNA_FPStartDate,0,COLUMN()),INDEX(MO_Common_QEndDate,0,COLUMN())),"N/A")</f>
        <v/>
      </c>
      <c r="BH1073" s="1888">
        <f>IFERROR(_xll.TR(MO.Ticker.Thomson,"AVG(TR.Priceclose)","sdate:#1 edate:#2",,INDEX(MO_SNA_FPStartDate,0,COLUMN()),INDEX(MO_Common_QEndDate,0,COLUMN())),"N/A")</f>
        <v/>
      </c>
      <c r="BI1073" s="1888">
        <f>IFERROR(_xll.TR(MO.Ticker.Thomson,"AVG(TR.Priceclose)","sdate:#1 edate:#2",,INDEX(MO_SNA_FPStartDate,0,COLUMN()),INDEX(MO_Common_QEndDate,0,COLUMN())),"N/A")</f>
        <v/>
      </c>
      <c r="BJ1073" s="1888">
        <f>IFERROR(_xll.TR(MO.Ticker.Thomson,"AVG(TR.Priceclose)","sdate:#1 edate:#2",,INDEX(MO_SNA_FPStartDate,0,COLUMN()),INDEX(MO_Common_QEndDate,0,COLUMN())),"N/A")</f>
        <v/>
      </c>
      <c r="BK1073" s="1888">
        <f>IFERROR(_xll.TR(MO.Ticker.Thomson,"AVG(TR.Priceclose)","sdate:#1 edate:#2",,INDEX(MO_SNA_FPStartDate,0,COLUMN()),INDEX(MO_Common_QEndDate,0,COLUMN())),"N/A")</f>
        <v/>
      </c>
      <c r="BL1073" s="1888">
        <f>IFERROR(_xll.TR(MO.Ticker.Thomson,"AVG(TR.Priceclose)","sdate:#1 edate:#2",,INDEX(MO_SNA_FPStartDate,0,COLUMN()),INDEX(MO_Common_QEndDate,0,COLUMN())),"N/A")</f>
        <v/>
      </c>
      <c r="BM1073" s="1888">
        <f>IFERROR(_xll.TR(MO.Ticker.Thomson,"AVG(TR.Priceclose)","sdate:#1 edate:#2",,INDEX(MO_SNA_FPStartDate,0,COLUMN()),INDEX(MO_Common_QEndDate,0,COLUMN())),"N/A")</f>
        <v/>
      </c>
      <c r="BN1073" s="1888">
        <f>IFERROR(_xll.TR(MO.Ticker.Thomson,"AVG(TR.Priceclose)","sdate:#1 edate:#2",,INDEX(MO_SNA_FPStartDate,0,COLUMN()),INDEX(MO_Common_QEndDate,0,COLUMN())),"N/A")</f>
        <v/>
      </c>
      <c r="BO1073" s="1890">
        <f>IFERROR(_xll.TR(MO.Ticker.Thomson,"AVG(TR.Priceclose)","sdate:#1 edate:#2",,INDEX(MO_SNA_FPStartDate,0,COLUMN()),INDEX(MO_Common_QEndDate,0,COLUMN())),"N/A")</f>
        <v/>
      </c>
      <c r="BP1073" s="1888">
        <f>IFERROR(_xll.TR(MO.Ticker.Thomson,"AVG(TR.Priceclose)","sdate:#1 edate:#2",,INDEX(MO_SNA_FPStartDate,0,COLUMN()),INDEX(MO_Common_QEndDate,0,COLUMN())),"N/A")</f>
        <v/>
      </c>
      <c r="BQ1073" s="1888">
        <f>IFERROR(_xll.TR(MO.Ticker.Thomson,"AVG(TR.Priceclose)","sdate:#1 edate:#2",,INDEX(MO_SNA_FPStartDate,0,COLUMN()),INDEX(MO_Common_QEndDate,0,COLUMN())),"N/A")</f>
        <v/>
      </c>
      <c r="BR1073" s="1888">
        <f>IFERROR(_xll.TR(MO.Ticker.Thomson,"AVG(TR.Priceclose)","sdate:#1 edate:#2",,INDEX(MO_SNA_FPStartDate,0,COLUMN()),INDEX(MO_Common_QEndDate,0,COLUMN())),"N/A")</f>
        <v/>
      </c>
      <c r="BS1073" s="1888">
        <f>IFERROR(_xll.TR(MO.Ticker.Thomson,"AVG(TR.Priceclose)","sdate:#1 edate:#2",,INDEX(MO_SNA_FPStartDate,0,COLUMN()),INDEX(MO_Common_QEndDate,0,COLUMN())),"N/A")</f>
        <v/>
      </c>
      <c r="BT1073" s="1888">
        <f>IFERROR(_xll.TR(MO.Ticker.Thomson,"AVG(TR.Priceclose)","sdate:#1 edate:#2",,INDEX(MO_SNA_FPStartDate,0,COLUMN()),INDEX(MO_Common_QEndDate,0,COLUMN())),"N/A")</f>
        <v/>
      </c>
      <c r="BU1073" s="1888">
        <f>IFERROR(_xll.TR(MO.Ticker.Thomson,"AVG(TR.Priceclose)","sdate:#1 edate:#2",,INDEX(MO_SNA_FPStartDate,0,COLUMN()),INDEX(MO_Common_QEndDate,0,COLUMN())),"N/A")</f>
        <v/>
      </c>
      <c r="BV1073" s="1888">
        <f>IFERROR(_xll.TR(MO.Ticker.Thomson,"AVG(TR.Priceclose)","sdate:#1 edate:#2",,INDEX(MO_SNA_FPStartDate,0,COLUMN()),INDEX(MO_Common_QEndDate,0,COLUMN())),"N/A")</f>
        <v/>
      </c>
      <c r="BW1073" s="1888">
        <f>IFERROR(_xll.TR(MO.Ticker.Thomson,"AVG(TR.Priceclose)","sdate:#1 edate:#2",,INDEX(MO_SNA_FPStartDate,0,COLUMN()),INDEX(MO_Common_QEndDate,0,COLUMN())),"N/A")</f>
        <v/>
      </c>
      <c r="BX1073" s="1888">
        <f>IFERROR(_xll.TR(MO.Ticker.Thomson,"AVG(TR.Priceclose)","sdate:#1 edate:#2",,INDEX(MO_SNA_FPStartDate,0,COLUMN()),INDEX(MO_Common_QEndDate,0,COLUMN())),"N/A")</f>
        <v/>
      </c>
      <c r="BY1073" s="1888">
        <f>IFERROR(_xll.TR(MO.Ticker.Thomson,"AVG(TR.Priceclose)","sdate:#1 edate:#2",,INDEX(MO_SNA_FPStartDate,0,COLUMN()),INDEX(MO_Common_QEndDate,0,COLUMN())),"N/A")</f>
        <v/>
      </c>
      <c r="BZ1073" s="1888">
        <f>IFERROR(_xll.TR(MO.Ticker.Thomson,"AVG(TR.Priceclose)","sdate:#1 edate:#2",,INDEX(MO_SNA_FPStartDate,0,COLUMN()),INDEX(MO_Common_QEndDate,0,COLUMN())),"N/A")</f>
        <v/>
      </c>
      <c r="CA1073" s="1888">
        <f>IFERROR(_xll.TR(MO.Ticker.Thomson,"AVG(TR.Priceclose)","sdate:#1 edate:#2",,INDEX(MO_SNA_FPStartDate,0,COLUMN()),INDEX(MO_Common_QEndDate,0,COLUMN())),"N/A")</f>
        <v/>
      </c>
      <c r="CB1073" s="1891">
        <f>IFERROR(_xll.TR(MO.Ticker.Thomson,"AVG(TR.Priceclose)","sdate:#1 edate:#2",,INDEX(MO_SNA_FPStartDate,0,COLUMN()),INDEX(MO_Common_QEndDate,0,COLUMN())),"N/A")</f>
        <v/>
      </c>
      <c r="CC1073" s="1892" t="n"/>
    </row>
    <row r="1074" hidden="1" outlineLevel="1" ht="14.4" customFormat="1" customHeight="1" s="1275">
      <c r="A1074" s="1897" t="n"/>
      <c r="B1074" s="1277" t="n"/>
      <c r="C1074" s="1814" t="n"/>
      <c r="D1074" s="1814" t="n"/>
      <c r="E1074" s="1277" t="n"/>
      <c r="F1074" s="1277" t="n"/>
      <c r="G1074" s="1277" t="n"/>
      <c r="H1074" s="1277" t="n"/>
      <c r="I1074" s="1277" t="n"/>
      <c r="J1074" s="1277" t="n"/>
      <c r="K1074" s="1277" t="n"/>
      <c r="L1074" s="1277" t="n"/>
      <c r="M1074" s="1277" t="n"/>
      <c r="N1074" s="1277" t="n"/>
      <c r="O1074" s="1277" t="n"/>
      <c r="P1074" s="1277" t="n"/>
      <c r="Q1074" s="1277" t="n"/>
      <c r="R1074" s="1277" t="n"/>
      <c r="S1074" s="1277" t="n"/>
      <c r="T1074" s="1277" t="n"/>
      <c r="U1074" s="1277" t="n"/>
      <c r="V1074" s="1277" t="n"/>
      <c r="W1074" s="1277" t="n"/>
      <c r="X1074" s="1277" t="n"/>
      <c r="Y1074" s="1277" t="n"/>
      <c r="Z1074" s="1277" t="n"/>
      <c r="AA1074" s="1277" t="n"/>
      <c r="AB1074" s="1277" t="n"/>
      <c r="AC1074" s="1277" t="n"/>
      <c r="AD1074" s="1277" t="n"/>
      <c r="AE1074" s="1277" t="n"/>
      <c r="AF1074" s="1277" t="n"/>
      <c r="AG1074" s="1277" t="n"/>
      <c r="AH1074" s="1277" t="n"/>
      <c r="AI1074" s="1277" t="n"/>
      <c r="AJ1074" s="1277" t="n"/>
      <c r="AK1074" s="1277" t="n"/>
      <c r="AL1074" s="1277" t="n"/>
      <c r="AM1074" s="1277" t="n"/>
      <c r="AN1074" s="1277" t="n"/>
      <c r="AO1074" s="1277" t="n"/>
      <c r="AP1074" s="1277" t="n"/>
      <c r="AQ1074" s="1277" t="n"/>
      <c r="AR1074" s="1277" t="n"/>
      <c r="AS1074" s="1277" t="n"/>
      <c r="AT1074" s="1277" t="n"/>
      <c r="AU1074" s="1277" t="n"/>
      <c r="AV1074" s="1277" t="n"/>
      <c r="AW1074" s="1277" t="n"/>
      <c r="AX1074" s="1277" t="n"/>
      <c r="AY1074" s="1277" t="n"/>
      <c r="AZ1074" s="1277" t="n"/>
      <c r="BA1074" s="1277" t="n"/>
      <c r="BB1074" s="1277" t="n"/>
      <c r="BC1074" s="1277" t="n"/>
      <c r="BD1074" s="1277" t="n"/>
      <c r="BE1074" s="1277" t="n"/>
      <c r="BF1074" s="1277" t="n"/>
      <c r="BG1074" s="1277" t="n"/>
      <c r="BH1074" s="1277" t="n"/>
      <c r="BI1074" s="1277" t="n"/>
      <c r="BJ1074" s="1277" t="n"/>
      <c r="BK1074" s="1277" t="n"/>
      <c r="BL1074" s="1277" t="n"/>
      <c r="BM1074" s="1277" t="n"/>
      <c r="BN1074" s="1277" t="n"/>
      <c r="BO1074" s="1809" t="n"/>
      <c r="BP1074" s="1277" t="n"/>
      <c r="BQ1074" s="1277" t="n"/>
      <c r="BR1074" s="1277" t="n"/>
      <c r="BS1074" s="1277" t="n"/>
      <c r="BT1074" s="1277" t="n"/>
      <c r="BU1074" s="1277" t="n"/>
      <c r="BV1074" s="1277" t="n"/>
      <c r="BW1074" s="1277" t="n"/>
      <c r="BX1074" s="1277" t="n"/>
      <c r="BY1074" s="1277" t="n"/>
      <c r="BZ1074" s="1277" t="n"/>
      <c r="CA1074" s="1277" t="n"/>
      <c r="CB1074" s="1898" t="n"/>
      <c r="CC1074" s="1858" t="n"/>
    </row>
    <row r="1075" collapsed="1" ht="14.4" customFormat="1" customHeight="1" s="1518">
      <c r="A1075" s="1899">
        <f>"FX Average: "&amp;IF(OR(MO.RealTimeStockPriceToggle=FALSE,VLOOKUP(MO.DataSourceName,MO_SPT_FXAverage_Sources,COLUMN()+2,FALSE)="N/A"),"Real-Time Off Source",MO.DataSourceName)</f>
        <v/>
      </c>
      <c r="B1075" s="1524" t="n"/>
      <c r="C1075" s="1900">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D1075" s="1900">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E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F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G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H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I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J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K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L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M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N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O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P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Q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R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S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T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U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V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W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X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Y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Z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A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B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C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D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E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F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G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H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I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J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K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L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M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N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O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P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Q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R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S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T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U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V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W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X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Y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Z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A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B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C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D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E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F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G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H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I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J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K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L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M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N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O1075" s="190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P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Q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R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S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T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U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V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W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X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Y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Z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A1075" s="1524">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B1075" s="1902">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C1075" s="1903" t="n"/>
    </row>
    <row r="1076" hidden="1" outlineLevel="1" ht="14.4" customFormat="1" customHeight="1" s="1518">
      <c r="A1076" s="1904" t="inlineStr">
        <is>
          <t>Real-Time Off Source</t>
        </is>
      </c>
      <c r="B1076" s="1524" t="n"/>
      <c r="C1076" s="1905" t="n">
        <v>0.0302896634615385</v>
      </c>
      <c r="D1076" s="1905" t="n">
        <v>0.03174174418604651</v>
      </c>
      <c r="E1076" s="1522" t="n">
        <v>0.03400869337016572</v>
      </c>
      <c r="F1076" s="1522" t="n">
        <v>0.03382504945054944</v>
      </c>
      <c r="G1076" s="1522" t="n">
        <v>0.03372150684931503</v>
      </c>
      <c r="H1076" s="1522" t="n">
        <v>0.03265092222222224</v>
      </c>
      <c r="I1076" s="1522" t="n">
        <v>0.0332143111111111</v>
      </c>
      <c r="J1076" s="1522" t="n">
        <v>0.03327635164835164</v>
      </c>
      <c r="K1076" s="1522" t="n">
        <v>0.03241002352941175</v>
      </c>
      <c r="L1076" s="1522" t="n">
        <v>0.03289570505617977</v>
      </c>
      <c r="M1076" s="1522" t="n">
        <v>0.03165217391304349</v>
      </c>
      <c r="N1076" s="1522" t="n">
        <v>0.03228875</v>
      </c>
      <c r="O1076" s="1522" t="n">
        <v>0.03107449350649348</v>
      </c>
      <c r="P1076" s="1522" t="n">
        <v>0.03056927536231883</v>
      </c>
      <c r="Q1076" s="1522" t="n">
        <v>0.0314207322033898</v>
      </c>
      <c r="R1076" s="1522" t="n">
        <v>0.03013852459016394</v>
      </c>
      <c r="S1076" s="1522" t="n">
        <v>0.0308476923076923</v>
      </c>
      <c r="T1076" s="1522" t="n">
        <v>0.03153484848484849</v>
      </c>
      <c r="U1076" s="1522" t="n">
        <v>0.03147598461538461</v>
      </c>
      <c r="V1076" s="1522" t="n">
        <v>0.03101474319066147</v>
      </c>
      <c r="W1076" s="1522" t="n">
        <v>0.03218303125000001</v>
      </c>
      <c r="X1076" s="1522" t="n">
        <v>0.03304638461538462</v>
      </c>
      <c r="Y1076" s="1522" t="n">
        <v>0.0330342923076923</v>
      </c>
      <c r="Z1076" s="1522" t="n">
        <v>0.033204796875</v>
      </c>
      <c r="AA1076" s="1522" t="n">
        <v>0.03286846899224808</v>
      </c>
      <c r="AB1076" s="1522" t="n">
        <v>0.03413333846153845</v>
      </c>
      <c r="AC1076" s="1522" t="n">
        <v>0.03358889230769231</v>
      </c>
      <c r="AD1076" s="1522" t="n">
        <v>0.03263436923076923</v>
      </c>
      <c r="AE1076" s="1522" t="n">
        <v>0.03246121212121211</v>
      </c>
      <c r="AF1076" s="1522" t="n">
        <v>0.03320160536398469</v>
      </c>
      <c r="AG1076" s="1522" t="n">
        <v>0.0324450625</v>
      </c>
      <c r="AH1076" s="1522" t="n">
        <v>0.03215536923076923</v>
      </c>
      <c r="AI1076" s="1522" t="n">
        <v>0.03207466666666666</v>
      </c>
      <c r="AJ1076" s="1522" t="n">
        <v>0.03285513636363636</v>
      </c>
      <c r="AK1076" s="1522" t="n">
        <v>0.03238295019157086</v>
      </c>
      <c r="AL1076" s="1522" t="n">
        <v>0.03326306153846154</v>
      </c>
      <c r="AM1076" s="1522" t="n">
        <v>0.03351163076923077</v>
      </c>
      <c r="AN1076" s="1522" t="n">
        <v>0.03410540909090909</v>
      </c>
      <c r="AO1076" s="1522" t="n">
        <v>0.03514350000000001</v>
      </c>
      <c r="AP1076" s="1522" t="n">
        <v>0.03401062213740458</v>
      </c>
      <c r="AQ1076" s="1522" t="n">
        <v>0.03565049999999999</v>
      </c>
      <c r="AR1076" s="1522" t="n">
        <v>0.0357532686567164</v>
      </c>
      <c r="AS1076" s="1522" t="n">
        <v>0.03591319780219781</v>
      </c>
      <c r="AT1076" s="1522" t="n">
        <v>0.03596782022471911</v>
      </c>
      <c r="AU1076" s="1522" t="n">
        <v>0.03584031511254022</v>
      </c>
      <c r="AV1076" s="1522" t="n">
        <v>0.03574516853932586</v>
      </c>
      <c r="AW1076" s="1522" t="n">
        <v>0.03401309890109892</v>
      </c>
      <c r="AX1076" s="1522" t="n">
        <v>0.03293711956521739</v>
      </c>
      <c r="AY1076" s="1522" t="n">
        <v>0.03193992391304346</v>
      </c>
      <c r="AZ1076" s="1522" t="n">
        <v>0.0336406593406593</v>
      </c>
      <c r="BA1076" s="1522" t="n">
        <v>0.03290195555555556</v>
      </c>
      <c r="BB1076" s="1522" t="n">
        <v>0.03258867032967033</v>
      </c>
      <c r="BC1076" s="1522" t="n">
        <v>0.03157903260869564</v>
      </c>
      <c r="BD1076" s="1522" t="n">
        <v>0.0314652</v>
      </c>
      <c r="BE1076" s="1522" t="n">
        <v>0.03213191184573003</v>
      </c>
      <c r="BF1076" s="1522" t="n">
        <v>0.03182073626373624</v>
      </c>
      <c r="BG1076" s="1522" t="n">
        <v>0.03091935274725273</v>
      </c>
      <c r="BH1076" s="1522" t="n">
        <v>0.03100004239130436</v>
      </c>
      <c r="BI1076" s="1522" t="n">
        <v>0.03092554782608696</v>
      </c>
      <c r="BJ1076" s="1522" t="n">
        <v>0.03116530710382511</v>
      </c>
      <c r="BK1076" s="1522" t="n">
        <v>0.03040349325842695</v>
      </c>
      <c r="BL1076" s="1522" t="n">
        <v>0.03252397011494255</v>
      </c>
      <c r="BM1076" s="1522" t="n">
        <v>0.03340150108695653</v>
      </c>
      <c r="BN1076" s="1522" t="n">
        <v>0.03221616043956044</v>
      </c>
      <c r="BO1076" s="1906" t="n">
        <v>0.032145139275766</v>
      </c>
      <c r="BP1076" s="1524">
        <f>MO.MRFX.Hardcoded</f>
        <v/>
      </c>
      <c r="BQ1076" s="1524">
        <f>MO.MRFX.Hardcoded</f>
        <v/>
      </c>
      <c r="BR1076" s="1524">
        <f>MO.MRFX.Hardcoded</f>
        <v/>
      </c>
      <c r="BS1076" s="1524">
        <f>MO.MRFX.Hardcoded</f>
        <v/>
      </c>
      <c r="BT1076" s="1524">
        <f>MO.MRFX.Hardcoded</f>
        <v/>
      </c>
      <c r="BU1076" s="1524">
        <f>MO.MRFX.Hardcoded</f>
        <v/>
      </c>
      <c r="BV1076" s="1524">
        <f>MO.MRFX.Hardcoded</f>
        <v/>
      </c>
      <c r="BW1076" s="1524">
        <f>MO.MRFX.Hardcoded</f>
        <v/>
      </c>
      <c r="BX1076" s="1524">
        <f>MO.MRFX.Hardcoded</f>
        <v/>
      </c>
      <c r="BY1076" s="1524">
        <f>MO.MRFX.Hardcoded</f>
        <v/>
      </c>
      <c r="BZ1076" s="1524">
        <f>MO.MRFX.Hardcoded</f>
        <v/>
      </c>
      <c r="CA1076" s="1524">
        <f>MO.MRFX.Hardcoded</f>
        <v/>
      </c>
      <c r="CB1076" s="1902">
        <f>MO.MRFX.Hardcoded</f>
        <v/>
      </c>
      <c r="CC1076" s="1903" t="n"/>
    </row>
    <row r="1077" hidden="1" outlineLevel="1" ht="14.4" customFormat="1" customHeight="1" s="1518">
      <c r="A1077" s="1904" t="inlineStr">
        <is>
          <t>Bloomberg</t>
        </is>
      </c>
      <c r="B1077" s="1524" t="n"/>
      <c r="C1077" s="1900">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D1077" s="1900">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E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F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G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H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I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J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K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L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M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N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O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P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Q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R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S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T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U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V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W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X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Y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Z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A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B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C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D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E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F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G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H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I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J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K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L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M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N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O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P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Q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R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S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T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U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V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W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X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Y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Z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A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B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C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D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E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F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G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H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I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J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K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L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M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N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O1077" s="190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P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Q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R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S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T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U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V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W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X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Y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Z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CA1077" s="1524">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CB1077" s="1902">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CC1077" s="1903" t="n"/>
    </row>
    <row r="1078" hidden="1" outlineLevel="1" ht="14.4" customFormat="1" customHeight="1" s="1518">
      <c r="A1078" s="1904" t="inlineStr">
        <is>
          <t>Capital IQ</t>
        </is>
      </c>
      <c r="B1078" s="1524" t="n"/>
      <c r="C1078" s="1900">
        <f>IFERROR(IF(INDEX(MO_Common_QEndDate,0,COLUMN())&gt;TODAY(),CIQ("$"&amp;HP.TradeCurrency&amp;MO.ReportCurrency,"IQ_LASTSALEPRICE"),CIQAVG("$"&amp;HP.TradeCurrency&amp;MO.ReportCurrency,"IQ_LASTSALEPRICE",INDEX(MO_SNA_FPStartDate,0,COLUMN()),INDEX(MO_Common_QEndDate,0,COLUMN()))),"N/A")</f>
        <v/>
      </c>
      <c r="D1078" s="1900">
        <f>IFERROR(IF(INDEX(MO_Common_QEndDate,0,COLUMN())&gt;TODAY(),CIQ("$"&amp;HP.TradeCurrency&amp;MO.ReportCurrency,"IQ_LASTSALEPRICE"),CIQAVG("$"&amp;HP.TradeCurrency&amp;MO.ReportCurrency,"IQ_LASTSALEPRICE",INDEX(MO_SNA_FPStartDate,0,COLUMN()),INDEX(MO_Common_QEndDate,0,COLUMN()))),"N/A")</f>
        <v/>
      </c>
      <c r="E1078" s="1524">
        <f>IFERROR(IF(INDEX(MO_Common_QEndDate,0,COLUMN())&gt;TODAY(),CIQ("$"&amp;HP.TradeCurrency&amp;MO.ReportCurrency,"IQ_LASTSALEPRICE"),CIQAVG("$"&amp;HP.TradeCurrency&amp;MO.ReportCurrency,"IQ_LASTSALEPRICE",INDEX(MO_SNA_FPStartDate,0,COLUMN()),INDEX(MO_Common_QEndDate,0,COLUMN()))),"N/A")</f>
        <v/>
      </c>
      <c r="F1078" s="1524">
        <f>IFERROR(IF(INDEX(MO_Common_QEndDate,0,COLUMN())&gt;TODAY(),CIQ("$"&amp;HP.TradeCurrency&amp;MO.ReportCurrency,"IQ_LASTSALEPRICE"),CIQAVG("$"&amp;HP.TradeCurrency&amp;MO.ReportCurrency,"IQ_LASTSALEPRICE",INDEX(MO_SNA_FPStartDate,0,COLUMN()),INDEX(MO_Common_QEndDate,0,COLUMN()))),"N/A")</f>
        <v/>
      </c>
      <c r="G1078" s="1524">
        <f>IFERROR(IF(INDEX(MO_Common_QEndDate,0,COLUMN())&gt;TODAY(),CIQ("$"&amp;HP.TradeCurrency&amp;MO.ReportCurrency,"IQ_LASTSALEPRICE"),CIQAVG("$"&amp;HP.TradeCurrency&amp;MO.ReportCurrency,"IQ_LASTSALEPRICE",INDEX(MO_SNA_FPStartDate,0,COLUMN()),INDEX(MO_Common_QEndDate,0,COLUMN()))),"N/A")</f>
        <v/>
      </c>
      <c r="H1078" s="1524">
        <f>IFERROR(IF(INDEX(MO_Common_QEndDate,0,COLUMN())&gt;TODAY(),CIQ("$"&amp;HP.TradeCurrency&amp;MO.ReportCurrency,"IQ_LASTSALEPRICE"),CIQAVG("$"&amp;HP.TradeCurrency&amp;MO.ReportCurrency,"IQ_LASTSALEPRICE",INDEX(MO_SNA_FPStartDate,0,COLUMN()),INDEX(MO_Common_QEndDate,0,COLUMN()))),"N/A")</f>
        <v/>
      </c>
      <c r="I1078" s="1524">
        <f>IFERROR(IF(INDEX(MO_Common_QEndDate,0,COLUMN())&gt;TODAY(),CIQ("$"&amp;HP.TradeCurrency&amp;MO.ReportCurrency,"IQ_LASTSALEPRICE"),CIQAVG("$"&amp;HP.TradeCurrency&amp;MO.ReportCurrency,"IQ_LASTSALEPRICE",INDEX(MO_SNA_FPStartDate,0,COLUMN()),INDEX(MO_Common_QEndDate,0,COLUMN()))),"N/A")</f>
        <v/>
      </c>
      <c r="J1078" s="1524">
        <f>IFERROR(IF(INDEX(MO_Common_QEndDate,0,COLUMN())&gt;TODAY(),CIQ("$"&amp;HP.TradeCurrency&amp;MO.ReportCurrency,"IQ_LASTSALEPRICE"),CIQAVG("$"&amp;HP.TradeCurrency&amp;MO.ReportCurrency,"IQ_LASTSALEPRICE",INDEX(MO_SNA_FPStartDate,0,COLUMN()),INDEX(MO_Common_QEndDate,0,COLUMN()))),"N/A")</f>
        <v/>
      </c>
      <c r="K1078" s="1524">
        <f>IFERROR(IF(INDEX(MO_Common_QEndDate,0,COLUMN())&gt;TODAY(),CIQ("$"&amp;HP.TradeCurrency&amp;MO.ReportCurrency,"IQ_LASTSALEPRICE"),CIQAVG("$"&amp;HP.TradeCurrency&amp;MO.ReportCurrency,"IQ_LASTSALEPRICE",INDEX(MO_SNA_FPStartDate,0,COLUMN()),INDEX(MO_Common_QEndDate,0,COLUMN()))),"N/A")</f>
        <v/>
      </c>
      <c r="L1078" s="1524">
        <f>IFERROR(IF(INDEX(MO_Common_QEndDate,0,COLUMN())&gt;TODAY(),CIQ("$"&amp;HP.TradeCurrency&amp;MO.ReportCurrency,"IQ_LASTSALEPRICE"),CIQAVG("$"&amp;HP.TradeCurrency&amp;MO.ReportCurrency,"IQ_LASTSALEPRICE",INDEX(MO_SNA_FPStartDate,0,COLUMN()),INDEX(MO_Common_QEndDate,0,COLUMN()))),"N/A")</f>
        <v/>
      </c>
      <c r="M1078" s="1524">
        <f>IFERROR(IF(INDEX(MO_Common_QEndDate,0,COLUMN())&gt;TODAY(),CIQ("$"&amp;HP.TradeCurrency&amp;MO.ReportCurrency,"IQ_LASTSALEPRICE"),CIQAVG("$"&amp;HP.TradeCurrency&amp;MO.ReportCurrency,"IQ_LASTSALEPRICE",INDEX(MO_SNA_FPStartDate,0,COLUMN()),INDEX(MO_Common_QEndDate,0,COLUMN()))),"N/A")</f>
        <v/>
      </c>
      <c r="N1078" s="1524">
        <f>IFERROR(IF(INDEX(MO_Common_QEndDate,0,COLUMN())&gt;TODAY(),CIQ("$"&amp;HP.TradeCurrency&amp;MO.ReportCurrency,"IQ_LASTSALEPRICE"),CIQAVG("$"&amp;HP.TradeCurrency&amp;MO.ReportCurrency,"IQ_LASTSALEPRICE",INDEX(MO_SNA_FPStartDate,0,COLUMN()),INDEX(MO_Common_QEndDate,0,COLUMN()))),"N/A")</f>
        <v/>
      </c>
      <c r="O1078" s="1524">
        <f>IFERROR(IF(INDEX(MO_Common_QEndDate,0,COLUMN())&gt;TODAY(),CIQ("$"&amp;HP.TradeCurrency&amp;MO.ReportCurrency,"IQ_LASTSALEPRICE"),CIQAVG("$"&amp;HP.TradeCurrency&amp;MO.ReportCurrency,"IQ_LASTSALEPRICE",INDEX(MO_SNA_FPStartDate,0,COLUMN()),INDEX(MO_Common_QEndDate,0,COLUMN()))),"N/A")</f>
        <v/>
      </c>
      <c r="P1078" s="1524">
        <f>IFERROR(IF(INDEX(MO_Common_QEndDate,0,COLUMN())&gt;TODAY(),CIQ("$"&amp;HP.TradeCurrency&amp;MO.ReportCurrency,"IQ_LASTSALEPRICE"),CIQAVG("$"&amp;HP.TradeCurrency&amp;MO.ReportCurrency,"IQ_LASTSALEPRICE",INDEX(MO_SNA_FPStartDate,0,COLUMN()),INDEX(MO_Common_QEndDate,0,COLUMN()))),"N/A")</f>
        <v/>
      </c>
      <c r="Q1078" s="1524">
        <f>IFERROR(IF(INDEX(MO_Common_QEndDate,0,COLUMN())&gt;TODAY(),CIQ("$"&amp;HP.TradeCurrency&amp;MO.ReportCurrency,"IQ_LASTSALEPRICE"),CIQAVG("$"&amp;HP.TradeCurrency&amp;MO.ReportCurrency,"IQ_LASTSALEPRICE",INDEX(MO_SNA_FPStartDate,0,COLUMN()),INDEX(MO_Common_QEndDate,0,COLUMN()))),"N/A")</f>
        <v/>
      </c>
      <c r="R1078" s="1524">
        <f>IFERROR(IF(INDEX(MO_Common_QEndDate,0,COLUMN())&gt;TODAY(),CIQ("$"&amp;HP.TradeCurrency&amp;MO.ReportCurrency,"IQ_LASTSALEPRICE"),CIQAVG("$"&amp;HP.TradeCurrency&amp;MO.ReportCurrency,"IQ_LASTSALEPRICE",INDEX(MO_SNA_FPStartDate,0,COLUMN()),INDEX(MO_Common_QEndDate,0,COLUMN()))),"N/A")</f>
        <v/>
      </c>
      <c r="S1078" s="1524">
        <f>IFERROR(IF(INDEX(MO_Common_QEndDate,0,COLUMN())&gt;TODAY(),CIQ("$"&amp;HP.TradeCurrency&amp;MO.ReportCurrency,"IQ_LASTSALEPRICE"),CIQAVG("$"&amp;HP.TradeCurrency&amp;MO.ReportCurrency,"IQ_LASTSALEPRICE",INDEX(MO_SNA_FPStartDate,0,COLUMN()),INDEX(MO_Common_QEndDate,0,COLUMN()))),"N/A")</f>
        <v/>
      </c>
      <c r="T1078" s="1524">
        <f>IFERROR(IF(INDEX(MO_Common_QEndDate,0,COLUMN())&gt;TODAY(),CIQ("$"&amp;HP.TradeCurrency&amp;MO.ReportCurrency,"IQ_LASTSALEPRICE"),CIQAVG("$"&amp;HP.TradeCurrency&amp;MO.ReportCurrency,"IQ_LASTSALEPRICE",INDEX(MO_SNA_FPStartDate,0,COLUMN()),INDEX(MO_Common_QEndDate,0,COLUMN()))),"N/A")</f>
        <v/>
      </c>
      <c r="U1078" s="1524">
        <f>IFERROR(IF(INDEX(MO_Common_QEndDate,0,COLUMN())&gt;TODAY(),CIQ("$"&amp;HP.TradeCurrency&amp;MO.ReportCurrency,"IQ_LASTSALEPRICE"),CIQAVG("$"&amp;HP.TradeCurrency&amp;MO.ReportCurrency,"IQ_LASTSALEPRICE",INDEX(MO_SNA_FPStartDate,0,COLUMN()),INDEX(MO_Common_QEndDate,0,COLUMN()))),"N/A")</f>
        <v/>
      </c>
      <c r="V1078" s="1524">
        <f>IFERROR(IF(INDEX(MO_Common_QEndDate,0,COLUMN())&gt;TODAY(),CIQ("$"&amp;HP.TradeCurrency&amp;MO.ReportCurrency,"IQ_LASTSALEPRICE"),CIQAVG("$"&amp;HP.TradeCurrency&amp;MO.ReportCurrency,"IQ_LASTSALEPRICE",INDEX(MO_SNA_FPStartDate,0,COLUMN()),INDEX(MO_Common_QEndDate,0,COLUMN()))),"N/A")</f>
        <v/>
      </c>
      <c r="W1078" s="1524">
        <f>IFERROR(IF(INDEX(MO_Common_QEndDate,0,COLUMN())&gt;TODAY(),CIQ("$"&amp;HP.TradeCurrency&amp;MO.ReportCurrency,"IQ_LASTSALEPRICE"),CIQAVG("$"&amp;HP.TradeCurrency&amp;MO.ReportCurrency,"IQ_LASTSALEPRICE",INDEX(MO_SNA_FPStartDate,0,COLUMN()),INDEX(MO_Common_QEndDate,0,COLUMN()))),"N/A")</f>
        <v/>
      </c>
      <c r="X1078" s="1524">
        <f>IFERROR(IF(INDEX(MO_Common_QEndDate,0,COLUMN())&gt;TODAY(),CIQ("$"&amp;HP.TradeCurrency&amp;MO.ReportCurrency,"IQ_LASTSALEPRICE"),CIQAVG("$"&amp;HP.TradeCurrency&amp;MO.ReportCurrency,"IQ_LASTSALEPRICE",INDEX(MO_SNA_FPStartDate,0,COLUMN()),INDEX(MO_Common_QEndDate,0,COLUMN()))),"N/A")</f>
        <v/>
      </c>
      <c r="Y1078" s="1524">
        <f>IFERROR(IF(INDEX(MO_Common_QEndDate,0,COLUMN())&gt;TODAY(),CIQ("$"&amp;HP.TradeCurrency&amp;MO.ReportCurrency,"IQ_LASTSALEPRICE"),CIQAVG("$"&amp;HP.TradeCurrency&amp;MO.ReportCurrency,"IQ_LASTSALEPRICE",INDEX(MO_SNA_FPStartDate,0,COLUMN()),INDEX(MO_Common_QEndDate,0,COLUMN()))),"N/A")</f>
        <v/>
      </c>
      <c r="Z1078" s="1524">
        <f>IFERROR(IF(INDEX(MO_Common_QEndDate,0,COLUMN())&gt;TODAY(),CIQ("$"&amp;HP.TradeCurrency&amp;MO.ReportCurrency,"IQ_LASTSALEPRICE"),CIQAVG("$"&amp;HP.TradeCurrency&amp;MO.ReportCurrency,"IQ_LASTSALEPRICE",INDEX(MO_SNA_FPStartDate,0,COLUMN()),INDEX(MO_Common_QEndDate,0,COLUMN()))),"N/A")</f>
        <v/>
      </c>
      <c r="AA1078" s="1524">
        <f>IFERROR(IF(INDEX(MO_Common_QEndDate,0,COLUMN())&gt;TODAY(),CIQ("$"&amp;HP.TradeCurrency&amp;MO.ReportCurrency,"IQ_LASTSALEPRICE"),CIQAVG("$"&amp;HP.TradeCurrency&amp;MO.ReportCurrency,"IQ_LASTSALEPRICE",INDEX(MO_SNA_FPStartDate,0,COLUMN()),INDEX(MO_Common_QEndDate,0,COLUMN()))),"N/A")</f>
        <v/>
      </c>
      <c r="AB1078" s="1524">
        <f>IFERROR(IF(INDEX(MO_Common_QEndDate,0,COLUMN())&gt;TODAY(),CIQ("$"&amp;HP.TradeCurrency&amp;MO.ReportCurrency,"IQ_LASTSALEPRICE"),CIQAVG("$"&amp;HP.TradeCurrency&amp;MO.ReportCurrency,"IQ_LASTSALEPRICE",INDEX(MO_SNA_FPStartDate,0,COLUMN()),INDEX(MO_Common_QEndDate,0,COLUMN()))),"N/A")</f>
        <v/>
      </c>
      <c r="AC1078" s="1524">
        <f>IFERROR(IF(INDEX(MO_Common_QEndDate,0,COLUMN())&gt;TODAY(),CIQ("$"&amp;HP.TradeCurrency&amp;MO.ReportCurrency,"IQ_LASTSALEPRICE"),CIQAVG("$"&amp;HP.TradeCurrency&amp;MO.ReportCurrency,"IQ_LASTSALEPRICE",INDEX(MO_SNA_FPStartDate,0,COLUMN()),INDEX(MO_Common_QEndDate,0,COLUMN()))),"N/A")</f>
        <v/>
      </c>
      <c r="AD1078" s="1524">
        <f>IFERROR(IF(INDEX(MO_Common_QEndDate,0,COLUMN())&gt;TODAY(),CIQ("$"&amp;HP.TradeCurrency&amp;MO.ReportCurrency,"IQ_LASTSALEPRICE"),CIQAVG("$"&amp;HP.TradeCurrency&amp;MO.ReportCurrency,"IQ_LASTSALEPRICE",INDEX(MO_SNA_FPStartDate,0,COLUMN()),INDEX(MO_Common_QEndDate,0,COLUMN()))),"N/A")</f>
        <v/>
      </c>
      <c r="AE1078" s="1524">
        <f>IFERROR(IF(INDEX(MO_Common_QEndDate,0,COLUMN())&gt;TODAY(),CIQ("$"&amp;HP.TradeCurrency&amp;MO.ReportCurrency,"IQ_LASTSALEPRICE"),CIQAVG("$"&amp;HP.TradeCurrency&amp;MO.ReportCurrency,"IQ_LASTSALEPRICE",INDEX(MO_SNA_FPStartDate,0,COLUMN()),INDEX(MO_Common_QEndDate,0,COLUMN()))),"N/A")</f>
        <v/>
      </c>
      <c r="AF1078" s="1524">
        <f>IFERROR(IF(INDEX(MO_Common_QEndDate,0,COLUMN())&gt;TODAY(),CIQ("$"&amp;HP.TradeCurrency&amp;MO.ReportCurrency,"IQ_LASTSALEPRICE"),CIQAVG("$"&amp;HP.TradeCurrency&amp;MO.ReportCurrency,"IQ_LASTSALEPRICE",INDEX(MO_SNA_FPStartDate,0,COLUMN()),INDEX(MO_Common_QEndDate,0,COLUMN()))),"N/A")</f>
        <v/>
      </c>
      <c r="AG1078" s="1524">
        <f>IFERROR(IF(INDEX(MO_Common_QEndDate,0,COLUMN())&gt;TODAY(),CIQ("$"&amp;HP.TradeCurrency&amp;MO.ReportCurrency,"IQ_LASTSALEPRICE"),CIQAVG("$"&amp;HP.TradeCurrency&amp;MO.ReportCurrency,"IQ_LASTSALEPRICE",INDEX(MO_SNA_FPStartDate,0,COLUMN()),INDEX(MO_Common_QEndDate,0,COLUMN()))),"N/A")</f>
        <v/>
      </c>
      <c r="AH1078" s="1524">
        <f>IFERROR(IF(INDEX(MO_Common_QEndDate,0,COLUMN())&gt;TODAY(),CIQ("$"&amp;HP.TradeCurrency&amp;MO.ReportCurrency,"IQ_LASTSALEPRICE"),CIQAVG("$"&amp;HP.TradeCurrency&amp;MO.ReportCurrency,"IQ_LASTSALEPRICE",INDEX(MO_SNA_FPStartDate,0,COLUMN()),INDEX(MO_Common_QEndDate,0,COLUMN()))),"N/A")</f>
        <v/>
      </c>
      <c r="AI1078" s="1524">
        <f>IFERROR(IF(INDEX(MO_Common_QEndDate,0,COLUMN())&gt;TODAY(),CIQ("$"&amp;HP.TradeCurrency&amp;MO.ReportCurrency,"IQ_LASTSALEPRICE"),CIQAVG("$"&amp;HP.TradeCurrency&amp;MO.ReportCurrency,"IQ_LASTSALEPRICE",INDEX(MO_SNA_FPStartDate,0,COLUMN()),INDEX(MO_Common_QEndDate,0,COLUMN()))),"N/A")</f>
        <v/>
      </c>
      <c r="AJ1078" s="1524">
        <f>IFERROR(IF(INDEX(MO_Common_QEndDate,0,COLUMN())&gt;TODAY(),CIQ("$"&amp;HP.TradeCurrency&amp;MO.ReportCurrency,"IQ_LASTSALEPRICE"),CIQAVG("$"&amp;HP.TradeCurrency&amp;MO.ReportCurrency,"IQ_LASTSALEPRICE",INDEX(MO_SNA_FPStartDate,0,COLUMN()),INDEX(MO_Common_QEndDate,0,COLUMN()))),"N/A")</f>
        <v/>
      </c>
      <c r="AK1078" s="1524">
        <f>IFERROR(IF(INDEX(MO_Common_QEndDate,0,COLUMN())&gt;TODAY(),CIQ("$"&amp;HP.TradeCurrency&amp;MO.ReportCurrency,"IQ_LASTSALEPRICE"),CIQAVG("$"&amp;HP.TradeCurrency&amp;MO.ReportCurrency,"IQ_LASTSALEPRICE",INDEX(MO_SNA_FPStartDate,0,COLUMN()),INDEX(MO_Common_QEndDate,0,COLUMN()))),"N/A")</f>
        <v/>
      </c>
      <c r="AL1078" s="1524">
        <f>IFERROR(IF(INDEX(MO_Common_QEndDate,0,COLUMN())&gt;TODAY(),CIQ("$"&amp;HP.TradeCurrency&amp;MO.ReportCurrency,"IQ_LASTSALEPRICE"),CIQAVG("$"&amp;HP.TradeCurrency&amp;MO.ReportCurrency,"IQ_LASTSALEPRICE",INDEX(MO_SNA_FPStartDate,0,COLUMN()),INDEX(MO_Common_QEndDate,0,COLUMN()))),"N/A")</f>
        <v/>
      </c>
      <c r="AM1078" s="1524">
        <f>IFERROR(IF(INDEX(MO_Common_QEndDate,0,COLUMN())&gt;TODAY(),CIQ("$"&amp;HP.TradeCurrency&amp;MO.ReportCurrency,"IQ_LASTSALEPRICE"),CIQAVG("$"&amp;HP.TradeCurrency&amp;MO.ReportCurrency,"IQ_LASTSALEPRICE",INDEX(MO_SNA_FPStartDate,0,COLUMN()),INDEX(MO_Common_QEndDate,0,COLUMN()))),"N/A")</f>
        <v/>
      </c>
      <c r="AN1078" s="1524">
        <f>IFERROR(IF(INDEX(MO_Common_QEndDate,0,COLUMN())&gt;TODAY(),CIQ("$"&amp;HP.TradeCurrency&amp;MO.ReportCurrency,"IQ_LASTSALEPRICE"),CIQAVG("$"&amp;HP.TradeCurrency&amp;MO.ReportCurrency,"IQ_LASTSALEPRICE",INDEX(MO_SNA_FPStartDate,0,COLUMN()),INDEX(MO_Common_QEndDate,0,COLUMN()))),"N/A")</f>
        <v/>
      </c>
      <c r="AO1078" s="1524">
        <f>IFERROR(IF(INDEX(MO_Common_QEndDate,0,COLUMN())&gt;TODAY(),CIQ("$"&amp;HP.TradeCurrency&amp;MO.ReportCurrency,"IQ_LASTSALEPRICE"),CIQAVG("$"&amp;HP.TradeCurrency&amp;MO.ReportCurrency,"IQ_LASTSALEPRICE",INDEX(MO_SNA_FPStartDate,0,COLUMN()),INDEX(MO_Common_QEndDate,0,COLUMN()))),"N/A")</f>
        <v/>
      </c>
      <c r="AP1078" s="1524">
        <f>IFERROR(IF(INDEX(MO_Common_QEndDate,0,COLUMN())&gt;TODAY(),CIQ("$"&amp;HP.TradeCurrency&amp;MO.ReportCurrency,"IQ_LASTSALEPRICE"),CIQAVG("$"&amp;HP.TradeCurrency&amp;MO.ReportCurrency,"IQ_LASTSALEPRICE",INDEX(MO_SNA_FPStartDate,0,COLUMN()),INDEX(MO_Common_QEndDate,0,COLUMN()))),"N/A")</f>
        <v/>
      </c>
      <c r="AQ1078" s="1524">
        <f>IFERROR(IF(INDEX(MO_Common_QEndDate,0,COLUMN())&gt;TODAY(),CIQ("$"&amp;HP.TradeCurrency&amp;MO.ReportCurrency,"IQ_LASTSALEPRICE"),CIQAVG("$"&amp;HP.TradeCurrency&amp;MO.ReportCurrency,"IQ_LASTSALEPRICE",INDEX(MO_SNA_FPStartDate,0,COLUMN()),INDEX(MO_Common_QEndDate,0,COLUMN()))),"N/A")</f>
        <v/>
      </c>
      <c r="AR1078" s="1524">
        <f>IFERROR(IF(INDEX(MO_Common_QEndDate,0,COLUMN())&gt;TODAY(),CIQ("$"&amp;HP.TradeCurrency&amp;MO.ReportCurrency,"IQ_LASTSALEPRICE"),CIQAVG("$"&amp;HP.TradeCurrency&amp;MO.ReportCurrency,"IQ_LASTSALEPRICE",INDEX(MO_SNA_FPStartDate,0,COLUMN()),INDEX(MO_Common_QEndDate,0,COLUMN()))),"N/A")</f>
        <v/>
      </c>
      <c r="AS1078" s="1524">
        <f>IFERROR(IF(INDEX(MO_Common_QEndDate,0,COLUMN())&gt;TODAY(),CIQ("$"&amp;HP.TradeCurrency&amp;MO.ReportCurrency,"IQ_LASTSALEPRICE"),CIQAVG("$"&amp;HP.TradeCurrency&amp;MO.ReportCurrency,"IQ_LASTSALEPRICE",INDEX(MO_SNA_FPStartDate,0,COLUMN()),INDEX(MO_Common_QEndDate,0,COLUMN()))),"N/A")</f>
        <v/>
      </c>
      <c r="AT1078" s="1524">
        <f>IFERROR(IF(INDEX(MO_Common_QEndDate,0,COLUMN())&gt;TODAY(),CIQ("$"&amp;HP.TradeCurrency&amp;MO.ReportCurrency,"IQ_LASTSALEPRICE"),CIQAVG("$"&amp;HP.TradeCurrency&amp;MO.ReportCurrency,"IQ_LASTSALEPRICE",INDEX(MO_SNA_FPStartDate,0,COLUMN()),INDEX(MO_Common_QEndDate,0,COLUMN()))),"N/A")</f>
        <v/>
      </c>
      <c r="AU1078" s="1524">
        <f>IFERROR(IF(INDEX(MO_Common_QEndDate,0,COLUMN())&gt;TODAY(),CIQ("$"&amp;HP.TradeCurrency&amp;MO.ReportCurrency,"IQ_LASTSALEPRICE"),CIQAVG("$"&amp;HP.TradeCurrency&amp;MO.ReportCurrency,"IQ_LASTSALEPRICE",INDEX(MO_SNA_FPStartDate,0,COLUMN()),INDEX(MO_Common_QEndDate,0,COLUMN()))),"N/A")</f>
        <v/>
      </c>
      <c r="AV1078" s="1524">
        <f>IFERROR(IF(INDEX(MO_Common_QEndDate,0,COLUMN())&gt;TODAY(),CIQ("$"&amp;HP.TradeCurrency&amp;MO.ReportCurrency,"IQ_LASTSALEPRICE"),CIQAVG("$"&amp;HP.TradeCurrency&amp;MO.ReportCurrency,"IQ_LASTSALEPRICE",INDEX(MO_SNA_FPStartDate,0,COLUMN()),INDEX(MO_Common_QEndDate,0,COLUMN()))),"N/A")</f>
        <v/>
      </c>
      <c r="AW1078" s="1524">
        <f>IFERROR(IF(INDEX(MO_Common_QEndDate,0,COLUMN())&gt;TODAY(),CIQ("$"&amp;HP.TradeCurrency&amp;MO.ReportCurrency,"IQ_LASTSALEPRICE"),CIQAVG("$"&amp;HP.TradeCurrency&amp;MO.ReportCurrency,"IQ_LASTSALEPRICE",INDEX(MO_SNA_FPStartDate,0,COLUMN()),INDEX(MO_Common_QEndDate,0,COLUMN()))),"N/A")</f>
        <v/>
      </c>
      <c r="AX1078" s="1524">
        <f>IFERROR(IF(INDEX(MO_Common_QEndDate,0,COLUMN())&gt;TODAY(),CIQ("$"&amp;HP.TradeCurrency&amp;MO.ReportCurrency,"IQ_LASTSALEPRICE"),CIQAVG("$"&amp;HP.TradeCurrency&amp;MO.ReportCurrency,"IQ_LASTSALEPRICE",INDEX(MO_SNA_FPStartDate,0,COLUMN()),INDEX(MO_Common_QEndDate,0,COLUMN()))),"N/A")</f>
        <v/>
      </c>
      <c r="AY1078" s="1524">
        <f>IFERROR(IF(INDEX(MO_Common_QEndDate,0,COLUMN())&gt;TODAY(),CIQ("$"&amp;HP.TradeCurrency&amp;MO.ReportCurrency,"IQ_LASTSALEPRICE"),CIQAVG("$"&amp;HP.TradeCurrency&amp;MO.ReportCurrency,"IQ_LASTSALEPRICE",INDEX(MO_SNA_FPStartDate,0,COLUMN()),INDEX(MO_Common_QEndDate,0,COLUMN()))),"N/A")</f>
        <v/>
      </c>
      <c r="AZ1078" s="1524">
        <f>IFERROR(IF(INDEX(MO_Common_QEndDate,0,COLUMN())&gt;TODAY(),CIQ("$"&amp;HP.TradeCurrency&amp;MO.ReportCurrency,"IQ_LASTSALEPRICE"),CIQAVG("$"&amp;HP.TradeCurrency&amp;MO.ReportCurrency,"IQ_LASTSALEPRICE",INDEX(MO_SNA_FPStartDate,0,COLUMN()),INDEX(MO_Common_QEndDate,0,COLUMN()))),"N/A")</f>
        <v/>
      </c>
      <c r="BA1078" s="1524">
        <f>IFERROR(IF(INDEX(MO_Common_QEndDate,0,COLUMN())&gt;TODAY(),CIQ("$"&amp;HP.TradeCurrency&amp;MO.ReportCurrency,"IQ_LASTSALEPRICE"),CIQAVG("$"&amp;HP.TradeCurrency&amp;MO.ReportCurrency,"IQ_LASTSALEPRICE",INDEX(MO_SNA_FPStartDate,0,COLUMN()),INDEX(MO_Common_QEndDate,0,COLUMN()))),"N/A")</f>
        <v/>
      </c>
      <c r="BB1078" s="1524">
        <f>IFERROR(IF(INDEX(MO_Common_QEndDate,0,COLUMN())&gt;TODAY(),CIQ("$"&amp;HP.TradeCurrency&amp;MO.ReportCurrency,"IQ_LASTSALEPRICE"),CIQAVG("$"&amp;HP.TradeCurrency&amp;MO.ReportCurrency,"IQ_LASTSALEPRICE",INDEX(MO_SNA_FPStartDate,0,COLUMN()),INDEX(MO_Common_QEndDate,0,COLUMN()))),"N/A")</f>
        <v/>
      </c>
      <c r="BC1078" s="1524">
        <f>IFERROR(IF(INDEX(MO_Common_QEndDate,0,COLUMN())&gt;TODAY(),CIQ("$"&amp;HP.TradeCurrency&amp;MO.ReportCurrency,"IQ_LASTSALEPRICE"),CIQAVG("$"&amp;HP.TradeCurrency&amp;MO.ReportCurrency,"IQ_LASTSALEPRICE",INDEX(MO_SNA_FPStartDate,0,COLUMN()),INDEX(MO_Common_QEndDate,0,COLUMN()))),"N/A")</f>
        <v/>
      </c>
      <c r="BD1078" s="1524">
        <f>IFERROR(IF(INDEX(MO_Common_QEndDate,0,COLUMN())&gt;TODAY(),CIQ("$"&amp;HP.TradeCurrency&amp;MO.ReportCurrency,"IQ_LASTSALEPRICE"),CIQAVG("$"&amp;HP.TradeCurrency&amp;MO.ReportCurrency,"IQ_LASTSALEPRICE",INDEX(MO_SNA_FPStartDate,0,COLUMN()),INDEX(MO_Common_QEndDate,0,COLUMN()))),"N/A")</f>
        <v/>
      </c>
      <c r="BE1078" s="1524">
        <f>IFERROR(IF(INDEX(MO_Common_QEndDate,0,COLUMN())&gt;TODAY(),CIQ("$"&amp;HP.TradeCurrency&amp;MO.ReportCurrency,"IQ_LASTSALEPRICE"),CIQAVG("$"&amp;HP.TradeCurrency&amp;MO.ReportCurrency,"IQ_LASTSALEPRICE",INDEX(MO_SNA_FPStartDate,0,COLUMN()),INDEX(MO_Common_QEndDate,0,COLUMN()))),"N/A")</f>
        <v/>
      </c>
      <c r="BF1078" s="1524">
        <f>IFERROR(IF(INDEX(MO_Common_QEndDate,0,COLUMN())&gt;TODAY(),CIQ("$"&amp;HP.TradeCurrency&amp;MO.ReportCurrency,"IQ_LASTSALEPRICE"),CIQAVG("$"&amp;HP.TradeCurrency&amp;MO.ReportCurrency,"IQ_LASTSALEPRICE",INDEX(MO_SNA_FPStartDate,0,COLUMN()),INDEX(MO_Common_QEndDate,0,COLUMN()))),"N/A")</f>
        <v/>
      </c>
      <c r="BG1078" s="1524">
        <f>IFERROR(IF(INDEX(MO_Common_QEndDate,0,COLUMN())&gt;TODAY(),CIQ("$"&amp;HP.TradeCurrency&amp;MO.ReportCurrency,"IQ_LASTSALEPRICE"),CIQAVG("$"&amp;HP.TradeCurrency&amp;MO.ReportCurrency,"IQ_LASTSALEPRICE",INDEX(MO_SNA_FPStartDate,0,COLUMN()),INDEX(MO_Common_QEndDate,0,COLUMN()))),"N/A")</f>
        <v/>
      </c>
      <c r="BH1078" s="1524">
        <f>IFERROR(IF(INDEX(MO_Common_QEndDate,0,COLUMN())&gt;TODAY(),CIQ("$"&amp;HP.TradeCurrency&amp;MO.ReportCurrency,"IQ_LASTSALEPRICE"),CIQAVG("$"&amp;HP.TradeCurrency&amp;MO.ReportCurrency,"IQ_LASTSALEPRICE",INDEX(MO_SNA_FPStartDate,0,COLUMN()),INDEX(MO_Common_QEndDate,0,COLUMN()))),"N/A")</f>
        <v/>
      </c>
      <c r="BI1078" s="1524">
        <f>IFERROR(IF(INDEX(MO_Common_QEndDate,0,COLUMN())&gt;TODAY(),CIQ("$"&amp;HP.TradeCurrency&amp;MO.ReportCurrency,"IQ_LASTSALEPRICE"),CIQAVG("$"&amp;HP.TradeCurrency&amp;MO.ReportCurrency,"IQ_LASTSALEPRICE",INDEX(MO_SNA_FPStartDate,0,COLUMN()),INDEX(MO_Common_QEndDate,0,COLUMN()))),"N/A")</f>
        <v/>
      </c>
      <c r="BJ1078" s="1524">
        <f>IFERROR(IF(INDEX(MO_Common_QEndDate,0,COLUMN())&gt;TODAY(),CIQ("$"&amp;HP.TradeCurrency&amp;MO.ReportCurrency,"IQ_LASTSALEPRICE"),CIQAVG("$"&amp;HP.TradeCurrency&amp;MO.ReportCurrency,"IQ_LASTSALEPRICE",INDEX(MO_SNA_FPStartDate,0,COLUMN()),INDEX(MO_Common_QEndDate,0,COLUMN()))),"N/A")</f>
        <v/>
      </c>
      <c r="BK1078" s="1524">
        <f>IFERROR(IF(INDEX(MO_Common_QEndDate,0,COLUMN())&gt;TODAY(),CIQ("$"&amp;HP.TradeCurrency&amp;MO.ReportCurrency,"IQ_LASTSALEPRICE"),CIQAVG("$"&amp;HP.TradeCurrency&amp;MO.ReportCurrency,"IQ_LASTSALEPRICE",INDEX(MO_SNA_FPStartDate,0,COLUMN()),INDEX(MO_Common_QEndDate,0,COLUMN()))),"N/A")</f>
        <v/>
      </c>
      <c r="BL1078" s="1524">
        <f>IFERROR(IF(INDEX(MO_Common_QEndDate,0,COLUMN())&gt;TODAY(),CIQ("$"&amp;HP.TradeCurrency&amp;MO.ReportCurrency,"IQ_LASTSALEPRICE"),CIQAVG("$"&amp;HP.TradeCurrency&amp;MO.ReportCurrency,"IQ_LASTSALEPRICE",INDEX(MO_SNA_FPStartDate,0,COLUMN()),INDEX(MO_Common_QEndDate,0,COLUMN()))),"N/A")</f>
        <v/>
      </c>
      <c r="BM1078" s="1524">
        <f>IFERROR(IF(INDEX(MO_Common_QEndDate,0,COLUMN())&gt;TODAY(),CIQ("$"&amp;HP.TradeCurrency&amp;MO.ReportCurrency,"IQ_LASTSALEPRICE"),CIQAVG("$"&amp;HP.TradeCurrency&amp;MO.ReportCurrency,"IQ_LASTSALEPRICE",INDEX(MO_SNA_FPStartDate,0,COLUMN()),INDEX(MO_Common_QEndDate,0,COLUMN()))),"N/A")</f>
        <v/>
      </c>
      <c r="BN1078" s="1524">
        <f>IFERROR(IF(INDEX(MO_Common_QEndDate,0,COLUMN())&gt;TODAY(),CIQ("$"&amp;HP.TradeCurrency&amp;MO.ReportCurrency,"IQ_LASTSALEPRICE"),CIQAVG("$"&amp;HP.TradeCurrency&amp;MO.ReportCurrency,"IQ_LASTSALEPRICE",INDEX(MO_SNA_FPStartDate,0,COLUMN()),INDEX(MO_Common_QEndDate,0,COLUMN()))),"N/A")</f>
        <v/>
      </c>
      <c r="BO1078" s="1901">
        <f>IFERROR(IF(INDEX(MO_Common_QEndDate,0,COLUMN())&gt;TODAY(),CIQ("$"&amp;HP.TradeCurrency&amp;MO.ReportCurrency,"IQ_LASTSALEPRICE"),CIQAVG("$"&amp;HP.TradeCurrency&amp;MO.ReportCurrency,"IQ_LASTSALEPRICE",INDEX(MO_SNA_FPStartDate,0,COLUMN()),INDEX(MO_Common_QEndDate,0,COLUMN()))),"N/A")</f>
        <v/>
      </c>
      <c r="BP1078" s="1524">
        <f>IFERROR(IF(INDEX(MO_Common_QEndDate,0,COLUMN())&gt;TODAY(),CIQ("$"&amp;HP.TradeCurrency&amp;MO.ReportCurrency,"IQ_LASTSALEPRICE"),CIQAVG("$"&amp;HP.TradeCurrency&amp;MO.ReportCurrency,"IQ_LASTSALEPRICE",INDEX(MO_SNA_FPStartDate,0,COLUMN()),INDEX(MO_Common_QEndDate,0,COLUMN()))),"N/A")</f>
        <v/>
      </c>
      <c r="BQ1078" s="1524">
        <f>IFERROR(IF(INDEX(MO_Common_QEndDate,0,COLUMN())&gt;TODAY(),CIQ("$"&amp;HP.TradeCurrency&amp;MO.ReportCurrency,"IQ_LASTSALEPRICE"),CIQAVG("$"&amp;HP.TradeCurrency&amp;MO.ReportCurrency,"IQ_LASTSALEPRICE",INDEX(MO_SNA_FPStartDate,0,COLUMN()),INDEX(MO_Common_QEndDate,0,COLUMN()))),"N/A")</f>
        <v/>
      </c>
      <c r="BR1078" s="1524">
        <f>IFERROR(IF(INDEX(MO_Common_QEndDate,0,COLUMN())&gt;TODAY(),CIQ("$"&amp;HP.TradeCurrency&amp;MO.ReportCurrency,"IQ_LASTSALEPRICE"),CIQAVG("$"&amp;HP.TradeCurrency&amp;MO.ReportCurrency,"IQ_LASTSALEPRICE",INDEX(MO_SNA_FPStartDate,0,COLUMN()),INDEX(MO_Common_QEndDate,0,COLUMN()))),"N/A")</f>
        <v/>
      </c>
      <c r="BS1078" s="1524">
        <f>IFERROR(IF(INDEX(MO_Common_QEndDate,0,COLUMN())&gt;TODAY(),CIQ("$"&amp;HP.TradeCurrency&amp;MO.ReportCurrency,"IQ_LASTSALEPRICE"),CIQAVG("$"&amp;HP.TradeCurrency&amp;MO.ReportCurrency,"IQ_LASTSALEPRICE",INDEX(MO_SNA_FPStartDate,0,COLUMN()),INDEX(MO_Common_QEndDate,0,COLUMN()))),"N/A")</f>
        <v/>
      </c>
      <c r="BT1078" s="1524">
        <f>IFERROR(IF(INDEX(MO_Common_QEndDate,0,COLUMN())&gt;TODAY(),CIQ("$"&amp;HP.TradeCurrency&amp;MO.ReportCurrency,"IQ_LASTSALEPRICE"),CIQAVG("$"&amp;HP.TradeCurrency&amp;MO.ReportCurrency,"IQ_LASTSALEPRICE",INDEX(MO_SNA_FPStartDate,0,COLUMN()),INDEX(MO_Common_QEndDate,0,COLUMN()))),"N/A")</f>
        <v/>
      </c>
      <c r="BU1078" s="1524">
        <f>IFERROR(IF(INDEX(MO_Common_QEndDate,0,COLUMN())&gt;TODAY(),CIQ("$"&amp;HP.TradeCurrency&amp;MO.ReportCurrency,"IQ_LASTSALEPRICE"),CIQAVG("$"&amp;HP.TradeCurrency&amp;MO.ReportCurrency,"IQ_LASTSALEPRICE",INDEX(MO_SNA_FPStartDate,0,COLUMN()),INDEX(MO_Common_QEndDate,0,COLUMN()))),"N/A")</f>
        <v/>
      </c>
      <c r="BV1078" s="1524">
        <f>IFERROR(IF(INDEX(MO_Common_QEndDate,0,COLUMN())&gt;TODAY(),CIQ("$"&amp;HP.TradeCurrency&amp;MO.ReportCurrency,"IQ_LASTSALEPRICE"),CIQAVG("$"&amp;HP.TradeCurrency&amp;MO.ReportCurrency,"IQ_LASTSALEPRICE",INDEX(MO_SNA_FPStartDate,0,COLUMN()),INDEX(MO_Common_QEndDate,0,COLUMN()))),"N/A")</f>
        <v/>
      </c>
      <c r="BW1078" s="1524">
        <f>IFERROR(IF(INDEX(MO_Common_QEndDate,0,COLUMN())&gt;TODAY(),CIQ("$"&amp;HP.TradeCurrency&amp;MO.ReportCurrency,"IQ_LASTSALEPRICE"),CIQAVG("$"&amp;HP.TradeCurrency&amp;MO.ReportCurrency,"IQ_LASTSALEPRICE",INDEX(MO_SNA_FPStartDate,0,COLUMN()),INDEX(MO_Common_QEndDate,0,COLUMN()))),"N/A")</f>
        <v/>
      </c>
      <c r="BX1078" s="1524">
        <f>IFERROR(IF(INDEX(MO_Common_QEndDate,0,COLUMN())&gt;TODAY(),CIQ("$"&amp;HP.TradeCurrency&amp;MO.ReportCurrency,"IQ_LASTSALEPRICE"),CIQAVG("$"&amp;HP.TradeCurrency&amp;MO.ReportCurrency,"IQ_LASTSALEPRICE",INDEX(MO_SNA_FPStartDate,0,COLUMN()),INDEX(MO_Common_QEndDate,0,COLUMN()))),"N/A")</f>
        <v/>
      </c>
      <c r="BY1078" s="1524">
        <f>IFERROR(IF(INDEX(MO_Common_QEndDate,0,COLUMN())&gt;TODAY(),CIQ("$"&amp;HP.TradeCurrency&amp;MO.ReportCurrency,"IQ_LASTSALEPRICE"),CIQAVG("$"&amp;HP.TradeCurrency&amp;MO.ReportCurrency,"IQ_LASTSALEPRICE",INDEX(MO_SNA_FPStartDate,0,COLUMN()),INDEX(MO_Common_QEndDate,0,COLUMN()))),"N/A")</f>
        <v/>
      </c>
      <c r="BZ1078" s="1524">
        <f>IFERROR(IF(INDEX(MO_Common_QEndDate,0,COLUMN())&gt;TODAY(),CIQ("$"&amp;HP.TradeCurrency&amp;MO.ReportCurrency,"IQ_LASTSALEPRICE"),CIQAVG("$"&amp;HP.TradeCurrency&amp;MO.ReportCurrency,"IQ_LASTSALEPRICE",INDEX(MO_SNA_FPStartDate,0,COLUMN()),INDEX(MO_Common_QEndDate,0,COLUMN()))),"N/A")</f>
        <v/>
      </c>
      <c r="CA1078" s="1524">
        <f>IFERROR(IF(INDEX(MO_Common_QEndDate,0,COLUMN())&gt;TODAY(),CIQ("$"&amp;HP.TradeCurrency&amp;MO.ReportCurrency,"IQ_LASTSALEPRICE"),CIQAVG("$"&amp;HP.TradeCurrency&amp;MO.ReportCurrency,"IQ_LASTSALEPRICE",INDEX(MO_SNA_FPStartDate,0,COLUMN()),INDEX(MO_Common_QEndDate,0,COLUMN()))),"N/A")</f>
        <v/>
      </c>
      <c r="CB1078" s="1902">
        <f>IFERROR(IF(INDEX(MO_Common_QEndDate,0,COLUMN())&gt;TODAY(),CIQ("$"&amp;HP.TradeCurrency&amp;MO.ReportCurrency,"IQ_LASTSALEPRICE"),CIQAVG("$"&amp;HP.TradeCurrency&amp;MO.ReportCurrency,"IQ_LASTSALEPRICE",INDEX(MO_SNA_FPStartDate,0,COLUMN()),INDEX(MO_Common_QEndDate,0,COLUMN()))),"N/A")</f>
        <v/>
      </c>
      <c r="CC1078" s="1903" t="n"/>
    </row>
    <row r="1079" hidden="1" outlineLevel="1" ht="14.4" customFormat="1" customHeight="1" s="1518">
      <c r="A1079" s="1904" t="inlineStr">
        <is>
          <t>FactSet</t>
        </is>
      </c>
      <c r="B1079" s="1524" t="n"/>
      <c r="C1079" s="1900">
        <f>IFERROR(IF(INDEX(MO_Common_QEndDate,0,COLUMN())&gt;TODAY(),FDS(MO.ReportCurrency&amp;HP.TradeCurrency,"FG_PRICE(NOW)"),FDS(MO.ReportCurrency&amp;HP.TradeCurrency,"P_PRICE_AVG("&amp;INDEX(MO_SNA_FPStartDate,0,COLUMN())&amp;","&amp;INDEX(MO_Common_QEndDate,0,COLUMN())&amp;",,,,0)")),"N/A")</f>
        <v/>
      </c>
      <c r="D1079" s="1900">
        <f>IFERROR(IF(INDEX(MO_Common_QEndDate,0,COLUMN())&gt;TODAY(),FDS(MO.ReportCurrency&amp;HP.TradeCurrency,"FG_PRICE(NOW)"),FDS(MO.ReportCurrency&amp;HP.TradeCurrency,"P_PRICE_AVG("&amp;INDEX(MO_SNA_FPStartDate,0,COLUMN())&amp;","&amp;INDEX(MO_Common_QEndDate,0,COLUMN())&amp;",,,,0)")),"N/A")</f>
        <v/>
      </c>
      <c r="E1079" s="1524">
        <f>IFERROR(IF(INDEX(MO_Common_QEndDate,0,COLUMN())&gt;TODAY(),FDS(MO.ReportCurrency&amp;HP.TradeCurrency,"FG_PRICE(NOW)"),FDS(MO.ReportCurrency&amp;HP.TradeCurrency,"P_PRICE_AVG("&amp;INDEX(MO_SNA_FPStartDate,0,COLUMN())&amp;","&amp;INDEX(MO_Common_QEndDate,0,COLUMN())&amp;",,,,0)")),"N/A")</f>
        <v/>
      </c>
      <c r="F1079" s="1524">
        <f>IFERROR(IF(INDEX(MO_Common_QEndDate,0,COLUMN())&gt;TODAY(),FDS(MO.ReportCurrency&amp;HP.TradeCurrency,"FG_PRICE(NOW)"),FDS(MO.ReportCurrency&amp;HP.TradeCurrency,"P_PRICE_AVG("&amp;INDEX(MO_SNA_FPStartDate,0,COLUMN())&amp;","&amp;INDEX(MO_Common_QEndDate,0,COLUMN())&amp;",,,,0)")),"N/A")</f>
        <v/>
      </c>
      <c r="G1079" s="1524">
        <f>IFERROR(IF(INDEX(MO_Common_QEndDate,0,COLUMN())&gt;TODAY(),FDS(MO.ReportCurrency&amp;HP.TradeCurrency,"FG_PRICE(NOW)"),FDS(MO.ReportCurrency&amp;HP.TradeCurrency,"P_PRICE_AVG("&amp;INDEX(MO_SNA_FPStartDate,0,COLUMN())&amp;","&amp;INDEX(MO_Common_QEndDate,0,COLUMN())&amp;",,,,0)")),"N/A")</f>
        <v/>
      </c>
      <c r="H1079" s="1524">
        <f>IFERROR(IF(INDEX(MO_Common_QEndDate,0,COLUMN())&gt;TODAY(),FDS(MO.ReportCurrency&amp;HP.TradeCurrency,"FG_PRICE(NOW)"),FDS(MO.ReportCurrency&amp;HP.TradeCurrency,"P_PRICE_AVG("&amp;INDEX(MO_SNA_FPStartDate,0,COLUMN())&amp;","&amp;INDEX(MO_Common_QEndDate,0,COLUMN())&amp;",,,,0)")),"N/A")</f>
        <v/>
      </c>
      <c r="I1079" s="1524">
        <f>IFERROR(IF(INDEX(MO_Common_QEndDate,0,COLUMN())&gt;TODAY(),FDS(MO.ReportCurrency&amp;HP.TradeCurrency,"FG_PRICE(NOW)"),FDS(MO.ReportCurrency&amp;HP.TradeCurrency,"P_PRICE_AVG("&amp;INDEX(MO_SNA_FPStartDate,0,COLUMN())&amp;","&amp;INDEX(MO_Common_QEndDate,0,COLUMN())&amp;",,,,0)")),"N/A")</f>
        <v/>
      </c>
      <c r="J1079" s="1524">
        <f>IFERROR(IF(INDEX(MO_Common_QEndDate,0,COLUMN())&gt;TODAY(),FDS(MO.ReportCurrency&amp;HP.TradeCurrency,"FG_PRICE(NOW)"),FDS(MO.ReportCurrency&amp;HP.TradeCurrency,"P_PRICE_AVG("&amp;INDEX(MO_SNA_FPStartDate,0,COLUMN())&amp;","&amp;INDEX(MO_Common_QEndDate,0,COLUMN())&amp;",,,,0)")),"N/A")</f>
        <v/>
      </c>
      <c r="K1079" s="1524">
        <f>IFERROR(IF(INDEX(MO_Common_QEndDate,0,COLUMN())&gt;TODAY(),FDS(MO.ReportCurrency&amp;HP.TradeCurrency,"FG_PRICE(NOW)"),FDS(MO.ReportCurrency&amp;HP.TradeCurrency,"P_PRICE_AVG("&amp;INDEX(MO_SNA_FPStartDate,0,COLUMN())&amp;","&amp;INDEX(MO_Common_QEndDate,0,COLUMN())&amp;",,,,0)")),"N/A")</f>
        <v/>
      </c>
      <c r="L1079" s="1524">
        <f>IFERROR(IF(INDEX(MO_Common_QEndDate,0,COLUMN())&gt;TODAY(),FDS(MO.ReportCurrency&amp;HP.TradeCurrency,"FG_PRICE(NOW)"),FDS(MO.ReportCurrency&amp;HP.TradeCurrency,"P_PRICE_AVG("&amp;INDEX(MO_SNA_FPStartDate,0,COLUMN())&amp;","&amp;INDEX(MO_Common_QEndDate,0,COLUMN())&amp;",,,,0)")),"N/A")</f>
        <v/>
      </c>
      <c r="M1079" s="1524">
        <f>IFERROR(IF(INDEX(MO_Common_QEndDate,0,COLUMN())&gt;TODAY(),FDS(MO.ReportCurrency&amp;HP.TradeCurrency,"FG_PRICE(NOW)"),FDS(MO.ReportCurrency&amp;HP.TradeCurrency,"P_PRICE_AVG("&amp;INDEX(MO_SNA_FPStartDate,0,COLUMN())&amp;","&amp;INDEX(MO_Common_QEndDate,0,COLUMN())&amp;",,,,0)")),"N/A")</f>
        <v/>
      </c>
      <c r="N1079" s="1524">
        <f>IFERROR(IF(INDEX(MO_Common_QEndDate,0,COLUMN())&gt;TODAY(),FDS(MO.ReportCurrency&amp;HP.TradeCurrency,"FG_PRICE(NOW)"),FDS(MO.ReportCurrency&amp;HP.TradeCurrency,"P_PRICE_AVG("&amp;INDEX(MO_SNA_FPStartDate,0,COLUMN())&amp;","&amp;INDEX(MO_Common_QEndDate,0,COLUMN())&amp;",,,,0)")),"N/A")</f>
        <v/>
      </c>
      <c r="O1079" s="1524">
        <f>IFERROR(IF(INDEX(MO_Common_QEndDate,0,COLUMN())&gt;TODAY(),FDS(MO.ReportCurrency&amp;HP.TradeCurrency,"FG_PRICE(NOW)"),FDS(MO.ReportCurrency&amp;HP.TradeCurrency,"P_PRICE_AVG("&amp;INDEX(MO_SNA_FPStartDate,0,COLUMN())&amp;","&amp;INDEX(MO_Common_QEndDate,0,COLUMN())&amp;",,,,0)")),"N/A")</f>
        <v/>
      </c>
      <c r="P1079" s="1524">
        <f>IFERROR(IF(INDEX(MO_Common_QEndDate,0,COLUMN())&gt;TODAY(),FDS(MO.ReportCurrency&amp;HP.TradeCurrency,"FG_PRICE(NOW)"),FDS(MO.ReportCurrency&amp;HP.TradeCurrency,"P_PRICE_AVG("&amp;INDEX(MO_SNA_FPStartDate,0,COLUMN())&amp;","&amp;INDEX(MO_Common_QEndDate,0,COLUMN())&amp;",,,,0)")),"N/A")</f>
        <v/>
      </c>
      <c r="Q1079" s="1524">
        <f>IFERROR(IF(INDEX(MO_Common_QEndDate,0,COLUMN())&gt;TODAY(),FDS(MO.ReportCurrency&amp;HP.TradeCurrency,"FG_PRICE(NOW)"),FDS(MO.ReportCurrency&amp;HP.TradeCurrency,"P_PRICE_AVG("&amp;INDEX(MO_SNA_FPStartDate,0,COLUMN())&amp;","&amp;INDEX(MO_Common_QEndDate,0,COLUMN())&amp;",,,,0)")),"N/A")</f>
        <v/>
      </c>
      <c r="R1079" s="1524">
        <f>IFERROR(IF(INDEX(MO_Common_QEndDate,0,COLUMN())&gt;TODAY(),FDS(MO.ReportCurrency&amp;HP.TradeCurrency,"FG_PRICE(NOW)"),FDS(MO.ReportCurrency&amp;HP.TradeCurrency,"P_PRICE_AVG("&amp;INDEX(MO_SNA_FPStartDate,0,COLUMN())&amp;","&amp;INDEX(MO_Common_QEndDate,0,COLUMN())&amp;",,,,0)")),"N/A")</f>
        <v/>
      </c>
      <c r="S1079" s="1524">
        <f>IFERROR(IF(INDEX(MO_Common_QEndDate,0,COLUMN())&gt;TODAY(),FDS(MO.ReportCurrency&amp;HP.TradeCurrency,"FG_PRICE(NOW)"),FDS(MO.ReportCurrency&amp;HP.TradeCurrency,"P_PRICE_AVG("&amp;INDEX(MO_SNA_FPStartDate,0,COLUMN())&amp;","&amp;INDEX(MO_Common_QEndDate,0,COLUMN())&amp;",,,,0)")),"N/A")</f>
        <v/>
      </c>
      <c r="T1079" s="1524">
        <f>IFERROR(IF(INDEX(MO_Common_QEndDate,0,COLUMN())&gt;TODAY(),FDS(MO.ReportCurrency&amp;HP.TradeCurrency,"FG_PRICE(NOW)"),FDS(MO.ReportCurrency&amp;HP.TradeCurrency,"P_PRICE_AVG("&amp;INDEX(MO_SNA_FPStartDate,0,COLUMN())&amp;","&amp;INDEX(MO_Common_QEndDate,0,COLUMN())&amp;",,,,0)")),"N/A")</f>
        <v/>
      </c>
      <c r="U1079" s="1524">
        <f>IFERROR(IF(INDEX(MO_Common_QEndDate,0,COLUMN())&gt;TODAY(),FDS(MO.ReportCurrency&amp;HP.TradeCurrency,"FG_PRICE(NOW)"),FDS(MO.ReportCurrency&amp;HP.TradeCurrency,"P_PRICE_AVG("&amp;INDEX(MO_SNA_FPStartDate,0,COLUMN())&amp;","&amp;INDEX(MO_Common_QEndDate,0,COLUMN())&amp;",,,,0)")),"N/A")</f>
        <v/>
      </c>
      <c r="V1079" s="1524">
        <f>IFERROR(IF(INDEX(MO_Common_QEndDate,0,COLUMN())&gt;TODAY(),FDS(MO.ReportCurrency&amp;HP.TradeCurrency,"FG_PRICE(NOW)"),FDS(MO.ReportCurrency&amp;HP.TradeCurrency,"P_PRICE_AVG("&amp;INDEX(MO_SNA_FPStartDate,0,COLUMN())&amp;","&amp;INDEX(MO_Common_QEndDate,0,COLUMN())&amp;",,,,0)")),"N/A")</f>
        <v/>
      </c>
      <c r="W1079" s="1524">
        <f>IFERROR(IF(INDEX(MO_Common_QEndDate,0,COLUMN())&gt;TODAY(),FDS(MO.ReportCurrency&amp;HP.TradeCurrency,"FG_PRICE(NOW)"),FDS(MO.ReportCurrency&amp;HP.TradeCurrency,"P_PRICE_AVG("&amp;INDEX(MO_SNA_FPStartDate,0,COLUMN())&amp;","&amp;INDEX(MO_Common_QEndDate,0,COLUMN())&amp;",,,,0)")),"N/A")</f>
        <v/>
      </c>
      <c r="X1079" s="1524">
        <f>IFERROR(IF(INDEX(MO_Common_QEndDate,0,COLUMN())&gt;TODAY(),FDS(MO.ReportCurrency&amp;HP.TradeCurrency,"FG_PRICE(NOW)"),FDS(MO.ReportCurrency&amp;HP.TradeCurrency,"P_PRICE_AVG("&amp;INDEX(MO_SNA_FPStartDate,0,COLUMN())&amp;","&amp;INDEX(MO_Common_QEndDate,0,COLUMN())&amp;",,,,0)")),"N/A")</f>
        <v/>
      </c>
      <c r="Y1079" s="1524">
        <f>IFERROR(IF(INDEX(MO_Common_QEndDate,0,COLUMN())&gt;TODAY(),FDS(MO.ReportCurrency&amp;HP.TradeCurrency,"FG_PRICE(NOW)"),FDS(MO.ReportCurrency&amp;HP.TradeCurrency,"P_PRICE_AVG("&amp;INDEX(MO_SNA_FPStartDate,0,COLUMN())&amp;","&amp;INDEX(MO_Common_QEndDate,0,COLUMN())&amp;",,,,0)")),"N/A")</f>
        <v/>
      </c>
      <c r="Z1079" s="1524">
        <f>IFERROR(IF(INDEX(MO_Common_QEndDate,0,COLUMN())&gt;TODAY(),FDS(MO.ReportCurrency&amp;HP.TradeCurrency,"FG_PRICE(NOW)"),FDS(MO.ReportCurrency&amp;HP.TradeCurrency,"P_PRICE_AVG("&amp;INDEX(MO_SNA_FPStartDate,0,COLUMN())&amp;","&amp;INDEX(MO_Common_QEndDate,0,COLUMN())&amp;",,,,0)")),"N/A")</f>
        <v/>
      </c>
      <c r="AA1079" s="1524">
        <f>IFERROR(IF(INDEX(MO_Common_QEndDate,0,COLUMN())&gt;TODAY(),FDS(MO.ReportCurrency&amp;HP.TradeCurrency,"FG_PRICE(NOW)"),FDS(MO.ReportCurrency&amp;HP.TradeCurrency,"P_PRICE_AVG("&amp;INDEX(MO_SNA_FPStartDate,0,COLUMN())&amp;","&amp;INDEX(MO_Common_QEndDate,0,COLUMN())&amp;",,,,0)")),"N/A")</f>
        <v/>
      </c>
      <c r="AB1079" s="1524">
        <f>IFERROR(IF(INDEX(MO_Common_QEndDate,0,COLUMN())&gt;TODAY(),FDS(MO.ReportCurrency&amp;HP.TradeCurrency,"FG_PRICE(NOW)"),FDS(MO.ReportCurrency&amp;HP.TradeCurrency,"P_PRICE_AVG("&amp;INDEX(MO_SNA_FPStartDate,0,COLUMN())&amp;","&amp;INDEX(MO_Common_QEndDate,0,COLUMN())&amp;",,,,0)")),"N/A")</f>
        <v/>
      </c>
      <c r="AC1079" s="1524">
        <f>IFERROR(IF(INDEX(MO_Common_QEndDate,0,COLUMN())&gt;TODAY(),FDS(MO.ReportCurrency&amp;HP.TradeCurrency,"FG_PRICE(NOW)"),FDS(MO.ReportCurrency&amp;HP.TradeCurrency,"P_PRICE_AVG("&amp;INDEX(MO_SNA_FPStartDate,0,COLUMN())&amp;","&amp;INDEX(MO_Common_QEndDate,0,COLUMN())&amp;",,,,0)")),"N/A")</f>
        <v/>
      </c>
      <c r="AD1079" s="1524">
        <f>IFERROR(IF(INDEX(MO_Common_QEndDate,0,COLUMN())&gt;TODAY(),FDS(MO.ReportCurrency&amp;HP.TradeCurrency,"FG_PRICE(NOW)"),FDS(MO.ReportCurrency&amp;HP.TradeCurrency,"P_PRICE_AVG("&amp;INDEX(MO_SNA_FPStartDate,0,COLUMN())&amp;","&amp;INDEX(MO_Common_QEndDate,0,COLUMN())&amp;",,,,0)")),"N/A")</f>
        <v/>
      </c>
      <c r="AE1079" s="1524">
        <f>IFERROR(IF(INDEX(MO_Common_QEndDate,0,COLUMN())&gt;TODAY(),FDS(MO.ReportCurrency&amp;HP.TradeCurrency,"FG_PRICE(NOW)"),FDS(MO.ReportCurrency&amp;HP.TradeCurrency,"P_PRICE_AVG("&amp;INDEX(MO_SNA_FPStartDate,0,COLUMN())&amp;","&amp;INDEX(MO_Common_QEndDate,0,COLUMN())&amp;",,,,0)")),"N/A")</f>
        <v/>
      </c>
      <c r="AF1079" s="1524">
        <f>IFERROR(IF(INDEX(MO_Common_QEndDate,0,COLUMN())&gt;TODAY(),FDS(MO.ReportCurrency&amp;HP.TradeCurrency,"FG_PRICE(NOW)"),FDS(MO.ReportCurrency&amp;HP.TradeCurrency,"P_PRICE_AVG("&amp;INDEX(MO_SNA_FPStartDate,0,COLUMN())&amp;","&amp;INDEX(MO_Common_QEndDate,0,COLUMN())&amp;",,,,0)")),"N/A")</f>
        <v/>
      </c>
      <c r="AG1079" s="1524">
        <f>IFERROR(IF(INDEX(MO_Common_QEndDate,0,COLUMN())&gt;TODAY(),FDS(MO.ReportCurrency&amp;HP.TradeCurrency,"FG_PRICE(NOW)"),FDS(MO.ReportCurrency&amp;HP.TradeCurrency,"P_PRICE_AVG("&amp;INDEX(MO_SNA_FPStartDate,0,COLUMN())&amp;","&amp;INDEX(MO_Common_QEndDate,0,COLUMN())&amp;",,,,0)")),"N/A")</f>
        <v/>
      </c>
      <c r="AH1079" s="1524">
        <f>IFERROR(IF(INDEX(MO_Common_QEndDate,0,COLUMN())&gt;TODAY(),FDS(MO.ReportCurrency&amp;HP.TradeCurrency,"FG_PRICE(NOW)"),FDS(MO.ReportCurrency&amp;HP.TradeCurrency,"P_PRICE_AVG("&amp;INDEX(MO_SNA_FPStartDate,0,COLUMN())&amp;","&amp;INDEX(MO_Common_QEndDate,0,COLUMN())&amp;",,,,0)")),"N/A")</f>
        <v/>
      </c>
      <c r="AI1079" s="1524">
        <f>IFERROR(IF(INDEX(MO_Common_QEndDate,0,COLUMN())&gt;TODAY(),FDS(MO.ReportCurrency&amp;HP.TradeCurrency,"FG_PRICE(NOW)"),FDS(MO.ReportCurrency&amp;HP.TradeCurrency,"P_PRICE_AVG("&amp;INDEX(MO_SNA_FPStartDate,0,COLUMN())&amp;","&amp;INDEX(MO_Common_QEndDate,0,COLUMN())&amp;",,,,0)")),"N/A")</f>
        <v/>
      </c>
      <c r="AJ1079" s="1524">
        <f>IFERROR(IF(INDEX(MO_Common_QEndDate,0,COLUMN())&gt;TODAY(),FDS(MO.ReportCurrency&amp;HP.TradeCurrency,"FG_PRICE(NOW)"),FDS(MO.ReportCurrency&amp;HP.TradeCurrency,"P_PRICE_AVG("&amp;INDEX(MO_SNA_FPStartDate,0,COLUMN())&amp;","&amp;INDEX(MO_Common_QEndDate,0,COLUMN())&amp;",,,,0)")),"N/A")</f>
        <v/>
      </c>
      <c r="AK1079" s="1524">
        <f>IFERROR(IF(INDEX(MO_Common_QEndDate,0,COLUMN())&gt;TODAY(),FDS(MO.ReportCurrency&amp;HP.TradeCurrency,"FG_PRICE(NOW)"),FDS(MO.ReportCurrency&amp;HP.TradeCurrency,"P_PRICE_AVG("&amp;INDEX(MO_SNA_FPStartDate,0,COLUMN())&amp;","&amp;INDEX(MO_Common_QEndDate,0,COLUMN())&amp;",,,,0)")),"N/A")</f>
        <v/>
      </c>
      <c r="AL1079" s="1524">
        <f>IFERROR(IF(INDEX(MO_Common_QEndDate,0,COLUMN())&gt;TODAY(),FDS(MO.ReportCurrency&amp;HP.TradeCurrency,"FG_PRICE(NOW)"),FDS(MO.ReportCurrency&amp;HP.TradeCurrency,"P_PRICE_AVG("&amp;INDEX(MO_SNA_FPStartDate,0,COLUMN())&amp;","&amp;INDEX(MO_Common_QEndDate,0,COLUMN())&amp;",,,,0)")),"N/A")</f>
        <v/>
      </c>
      <c r="AM1079" s="1524">
        <f>IFERROR(IF(INDEX(MO_Common_QEndDate,0,COLUMN())&gt;TODAY(),FDS(MO.ReportCurrency&amp;HP.TradeCurrency,"FG_PRICE(NOW)"),FDS(MO.ReportCurrency&amp;HP.TradeCurrency,"P_PRICE_AVG("&amp;INDEX(MO_SNA_FPStartDate,0,COLUMN())&amp;","&amp;INDEX(MO_Common_QEndDate,0,COLUMN())&amp;",,,,0)")),"N/A")</f>
        <v/>
      </c>
      <c r="AN1079" s="1524">
        <f>IFERROR(IF(INDEX(MO_Common_QEndDate,0,COLUMN())&gt;TODAY(),FDS(MO.ReportCurrency&amp;HP.TradeCurrency,"FG_PRICE(NOW)"),FDS(MO.ReportCurrency&amp;HP.TradeCurrency,"P_PRICE_AVG("&amp;INDEX(MO_SNA_FPStartDate,0,COLUMN())&amp;","&amp;INDEX(MO_Common_QEndDate,0,COLUMN())&amp;",,,,0)")),"N/A")</f>
        <v/>
      </c>
      <c r="AO1079" s="1524">
        <f>IFERROR(IF(INDEX(MO_Common_QEndDate,0,COLUMN())&gt;TODAY(),FDS(MO.ReportCurrency&amp;HP.TradeCurrency,"FG_PRICE(NOW)"),FDS(MO.ReportCurrency&amp;HP.TradeCurrency,"P_PRICE_AVG("&amp;INDEX(MO_SNA_FPStartDate,0,COLUMN())&amp;","&amp;INDEX(MO_Common_QEndDate,0,COLUMN())&amp;",,,,0)")),"N/A")</f>
        <v/>
      </c>
      <c r="AP1079" s="1524">
        <f>IFERROR(IF(INDEX(MO_Common_QEndDate,0,COLUMN())&gt;TODAY(),FDS(MO.ReportCurrency&amp;HP.TradeCurrency,"FG_PRICE(NOW)"),FDS(MO.ReportCurrency&amp;HP.TradeCurrency,"P_PRICE_AVG("&amp;INDEX(MO_SNA_FPStartDate,0,COLUMN())&amp;","&amp;INDEX(MO_Common_QEndDate,0,COLUMN())&amp;",,,,0)")),"N/A")</f>
        <v/>
      </c>
      <c r="AQ1079" s="1524">
        <f>IFERROR(IF(INDEX(MO_Common_QEndDate,0,COLUMN())&gt;TODAY(),FDS(MO.ReportCurrency&amp;HP.TradeCurrency,"FG_PRICE(NOW)"),FDS(MO.ReportCurrency&amp;HP.TradeCurrency,"P_PRICE_AVG("&amp;INDEX(MO_SNA_FPStartDate,0,COLUMN())&amp;","&amp;INDEX(MO_Common_QEndDate,0,COLUMN())&amp;",,,,0)")),"N/A")</f>
        <v/>
      </c>
      <c r="AR1079" s="1524">
        <f>IFERROR(IF(INDEX(MO_Common_QEndDate,0,COLUMN())&gt;TODAY(),FDS(MO.ReportCurrency&amp;HP.TradeCurrency,"FG_PRICE(NOW)"),FDS(MO.ReportCurrency&amp;HP.TradeCurrency,"P_PRICE_AVG("&amp;INDEX(MO_SNA_FPStartDate,0,COLUMN())&amp;","&amp;INDEX(MO_Common_QEndDate,0,COLUMN())&amp;",,,,0)")),"N/A")</f>
        <v/>
      </c>
      <c r="AS1079" s="1524">
        <f>IFERROR(IF(INDEX(MO_Common_QEndDate,0,COLUMN())&gt;TODAY(),FDS(MO.ReportCurrency&amp;HP.TradeCurrency,"FG_PRICE(NOW)"),FDS(MO.ReportCurrency&amp;HP.TradeCurrency,"P_PRICE_AVG("&amp;INDEX(MO_SNA_FPStartDate,0,COLUMN())&amp;","&amp;INDEX(MO_Common_QEndDate,0,COLUMN())&amp;",,,,0)")),"N/A")</f>
        <v/>
      </c>
      <c r="AT1079" s="1524">
        <f>IFERROR(IF(INDEX(MO_Common_QEndDate,0,COLUMN())&gt;TODAY(),FDS(MO.ReportCurrency&amp;HP.TradeCurrency,"FG_PRICE(NOW)"),FDS(MO.ReportCurrency&amp;HP.TradeCurrency,"P_PRICE_AVG("&amp;INDEX(MO_SNA_FPStartDate,0,COLUMN())&amp;","&amp;INDEX(MO_Common_QEndDate,0,COLUMN())&amp;",,,,0)")),"N/A")</f>
        <v/>
      </c>
      <c r="AU1079" s="1524">
        <f>IFERROR(IF(INDEX(MO_Common_QEndDate,0,COLUMN())&gt;TODAY(),FDS(MO.ReportCurrency&amp;HP.TradeCurrency,"FG_PRICE(NOW)"),FDS(MO.ReportCurrency&amp;HP.TradeCurrency,"P_PRICE_AVG("&amp;INDEX(MO_SNA_FPStartDate,0,COLUMN())&amp;","&amp;INDEX(MO_Common_QEndDate,0,COLUMN())&amp;",,,,0)")),"N/A")</f>
        <v/>
      </c>
      <c r="AV1079" s="1524">
        <f>IFERROR(IF(INDEX(MO_Common_QEndDate,0,COLUMN())&gt;TODAY(),FDS(MO.ReportCurrency&amp;HP.TradeCurrency,"FG_PRICE(NOW)"),FDS(MO.ReportCurrency&amp;HP.TradeCurrency,"P_PRICE_AVG("&amp;INDEX(MO_SNA_FPStartDate,0,COLUMN())&amp;","&amp;INDEX(MO_Common_QEndDate,0,COLUMN())&amp;",,,,0)")),"N/A")</f>
        <v/>
      </c>
      <c r="AW1079" s="1524">
        <f>IFERROR(IF(INDEX(MO_Common_QEndDate,0,COLUMN())&gt;TODAY(),FDS(MO.ReportCurrency&amp;HP.TradeCurrency,"FG_PRICE(NOW)"),FDS(MO.ReportCurrency&amp;HP.TradeCurrency,"P_PRICE_AVG("&amp;INDEX(MO_SNA_FPStartDate,0,COLUMN())&amp;","&amp;INDEX(MO_Common_QEndDate,0,COLUMN())&amp;",,,,0)")),"N/A")</f>
        <v/>
      </c>
      <c r="AX1079" s="1524">
        <f>IFERROR(IF(INDEX(MO_Common_QEndDate,0,COLUMN())&gt;TODAY(),FDS(MO.ReportCurrency&amp;HP.TradeCurrency,"FG_PRICE(NOW)"),FDS(MO.ReportCurrency&amp;HP.TradeCurrency,"P_PRICE_AVG("&amp;INDEX(MO_SNA_FPStartDate,0,COLUMN())&amp;","&amp;INDEX(MO_Common_QEndDate,0,COLUMN())&amp;",,,,0)")),"N/A")</f>
        <v/>
      </c>
      <c r="AY1079" s="1524">
        <f>IFERROR(IF(INDEX(MO_Common_QEndDate,0,COLUMN())&gt;TODAY(),FDS(MO.ReportCurrency&amp;HP.TradeCurrency,"FG_PRICE(NOW)"),FDS(MO.ReportCurrency&amp;HP.TradeCurrency,"P_PRICE_AVG("&amp;INDEX(MO_SNA_FPStartDate,0,COLUMN())&amp;","&amp;INDEX(MO_Common_QEndDate,0,COLUMN())&amp;",,,,0)")),"N/A")</f>
        <v/>
      </c>
      <c r="AZ1079" s="1524">
        <f>IFERROR(IF(INDEX(MO_Common_QEndDate,0,COLUMN())&gt;TODAY(),FDS(MO.ReportCurrency&amp;HP.TradeCurrency,"FG_PRICE(NOW)"),FDS(MO.ReportCurrency&amp;HP.TradeCurrency,"P_PRICE_AVG("&amp;INDEX(MO_SNA_FPStartDate,0,COLUMN())&amp;","&amp;INDEX(MO_Common_QEndDate,0,COLUMN())&amp;",,,,0)")),"N/A")</f>
        <v/>
      </c>
      <c r="BA1079" s="1524">
        <f>IFERROR(IF(INDEX(MO_Common_QEndDate,0,COLUMN())&gt;TODAY(),FDS(MO.ReportCurrency&amp;HP.TradeCurrency,"FG_PRICE(NOW)"),FDS(MO.ReportCurrency&amp;HP.TradeCurrency,"P_PRICE_AVG("&amp;INDEX(MO_SNA_FPStartDate,0,COLUMN())&amp;","&amp;INDEX(MO_Common_QEndDate,0,COLUMN())&amp;",,,,0)")),"N/A")</f>
        <v/>
      </c>
      <c r="BB1079" s="1524">
        <f>IFERROR(IF(INDEX(MO_Common_QEndDate,0,COLUMN())&gt;TODAY(),FDS(MO.ReportCurrency&amp;HP.TradeCurrency,"FG_PRICE(NOW)"),FDS(MO.ReportCurrency&amp;HP.TradeCurrency,"P_PRICE_AVG("&amp;INDEX(MO_SNA_FPStartDate,0,COLUMN())&amp;","&amp;INDEX(MO_Common_QEndDate,0,COLUMN())&amp;",,,,0)")),"N/A")</f>
        <v/>
      </c>
      <c r="BC1079" s="1524">
        <f>IFERROR(IF(INDEX(MO_Common_QEndDate,0,COLUMN())&gt;TODAY(),FDS(MO.ReportCurrency&amp;HP.TradeCurrency,"FG_PRICE(NOW)"),FDS(MO.ReportCurrency&amp;HP.TradeCurrency,"P_PRICE_AVG("&amp;INDEX(MO_SNA_FPStartDate,0,COLUMN())&amp;","&amp;INDEX(MO_Common_QEndDate,0,COLUMN())&amp;",,,,0)")),"N/A")</f>
        <v/>
      </c>
      <c r="BD1079" s="1524">
        <f>IFERROR(IF(INDEX(MO_Common_QEndDate,0,COLUMN())&gt;TODAY(),FDS(MO.ReportCurrency&amp;HP.TradeCurrency,"FG_PRICE(NOW)"),FDS(MO.ReportCurrency&amp;HP.TradeCurrency,"P_PRICE_AVG("&amp;INDEX(MO_SNA_FPStartDate,0,COLUMN())&amp;","&amp;INDEX(MO_Common_QEndDate,0,COLUMN())&amp;",,,,0)")),"N/A")</f>
        <v/>
      </c>
      <c r="BE1079" s="1524">
        <f>IFERROR(IF(INDEX(MO_Common_QEndDate,0,COLUMN())&gt;TODAY(),FDS(MO.ReportCurrency&amp;HP.TradeCurrency,"FG_PRICE(NOW)"),FDS(MO.ReportCurrency&amp;HP.TradeCurrency,"P_PRICE_AVG("&amp;INDEX(MO_SNA_FPStartDate,0,COLUMN())&amp;","&amp;INDEX(MO_Common_QEndDate,0,COLUMN())&amp;",,,,0)")),"N/A")</f>
        <v/>
      </c>
      <c r="BF1079" s="1524">
        <f>IFERROR(IF(INDEX(MO_Common_QEndDate,0,COLUMN())&gt;TODAY(),FDS(MO.ReportCurrency&amp;HP.TradeCurrency,"FG_PRICE(NOW)"),FDS(MO.ReportCurrency&amp;HP.TradeCurrency,"P_PRICE_AVG("&amp;INDEX(MO_SNA_FPStartDate,0,COLUMN())&amp;","&amp;INDEX(MO_Common_QEndDate,0,COLUMN())&amp;",,,,0)")),"N/A")</f>
        <v/>
      </c>
      <c r="BG1079" s="1524">
        <f>IFERROR(IF(INDEX(MO_Common_QEndDate,0,COLUMN())&gt;TODAY(),FDS(MO.ReportCurrency&amp;HP.TradeCurrency,"FG_PRICE(NOW)"),FDS(MO.ReportCurrency&amp;HP.TradeCurrency,"P_PRICE_AVG("&amp;INDEX(MO_SNA_FPStartDate,0,COLUMN())&amp;","&amp;INDEX(MO_Common_QEndDate,0,COLUMN())&amp;",,,,0)")),"N/A")</f>
        <v/>
      </c>
      <c r="BH1079" s="1524">
        <f>IFERROR(IF(INDEX(MO_Common_QEndDate,0,COLUMN())&gt;TODAY(),FDS(MO.ReportCurrency&amp;HP.TradeCurrency,"FG_PRICE(NOW)"),FDS(MO.ReportCurrency&amp;HP.TradeCurrency,"P_PRICE_AVG("&amp;INDEX(MO_SNA_FPStartDate,0,COLUMN())&amp;","&amp;INDEX(MO_Common_QEndDate,0,COLUMN())&amp;",,,,0)")),"N/A")</f>
        <v/>
      </c>
      <c r="BI1079" s="1524">
        <f>IFERROR(IF(INDEX(MO_Common_QEndDate,0,COLUMN())&gt;TODAY(),FDS(MO.ReportCurrency&amp;HP.TradeCurrency,"FG_PRICE(NOW)"),FDS(MO.ReportCurrency&amp;HP.TradeCurrency,"P_PRICE_AVG("&amp;INDEX(MO_SNA_FPStartDate,0,COLUMN())&amp;","&amp;INDEX(MO_Common_QEndDate,0,COLUMN())&amp;",,,,0)")),"N/A")</f>
        <v/>
      </c>
      <c r="BJ1079" s="1524">
        <f>IFERROR(IF(INDEX(MO_Common_QEndDate,0,COLUMN())&gt;TODAY(),FDS(MO.ReportCurrency&amp;HP.TradeCurrency,"FG_PRICE(NOW)"),FDS(MO.ReportCurrency&amp;HP.TradeCurrency,"P_PRICE_AVG("&amp;INDEX(MO_SNA_FPStartDate,0,COLUMN())&amp;","&amp;INDEX(MO_Common_QEndDate,0,COLUMN())&amp;",,,,0)")),"N/A")</f>
        <v/>
      </c>
      <c r="BK1079" s="1524">
        <f>IFERROR(IF(INDEX(MO_Common_QEndDate,0,COLUMN())&gt;TODAY(),FDS(MO.ReportCurrency&amp;HP.TradeCurrency,"FG_PRICE(NOW)"),FDS(MO.ReportCurrency&amp;HP.TradeCurrency,"P_PRICE_AVG("&amp;INDEX(MO_SNA_FPStartDate,0,COLUMN())&amp;","&amp;INDEX(MO_Common_QEndDate,0,COLUMN())&amp;",,,,0)")),"N/A")</f>
        <v/>
      </c>
      <c r="BL1079" s="1524">
        <f>IFERROR(IF(INDEX(MO_Common_QEndDate,0,COLUMN())&gt;TODAY(),FDS(MO.ReportCurrency&amp;HP.TradeCurrency,"FG_PRICE(NOW)"),FDS(MO.ReportCurrency&amp;HP.TradeCurrency,"P_PRICE_AVG("&amp;INDEX(MO_SNA_FPStartDate,0,COLUMN())&amp;","&amp;INDEX(MO_Common_QEndDate,0,COLUMN())&amp;",,,,0)")),"N/A")</f>
        <v/>
      </c>
      <c r="BM1079" s="1524">
        <f>IFERROR(IF(INDEX(MO_Common_QEndDate,0,COLUMN())&gt;TODAY(),FDS(MO.ReportCurrency&amp;HP.TradeCurrency,"FG_PRICE(NOW)"),FDS(MO.ReportCurrency&amp;HP.TradeCurrency,"P_PRICE_AVG("&amp;INDEX(MO_SNA_FPStartDate,0,COLUMN())&amp;","&amp;INDEX(MO_Common_QEndDate,0,COLUMN())&amp;",,,,0)")),"N/A")</f>
        <v/>
      </c>
      <c r="BN1079" s="1524">
        <f>IFERROR(IF(INDEX(MO_Common_QEndDate,0,COLUMN())&gt;TODAY(),FDS(MO.ReportCurrency&amp;HP.TradeCurrency,"FG_PRICE(NOW)"),FDS(MO.ReportCurrency&amp;HP.TradeCurrency,"P_PRICE_AVG("&amp;INDEX(MO_SNA_FPStartDate,0,COLUMN())&amp;","&amp;INDEX(MO_Common_QEndDate,0,COLUMN())&amp;",,,,0)")),"N/A")</f>
        <v/>
      </c>
      <c r="BO1079" s="1901">
        <f>IFERROR(IF(INDEX(MO_Common_QEndDate,0,COLUMN())&gt;TODAY(),FDS(MO.ReportCurrency&amp;HP.TradeCurrency,"FG_PRICE(NOW)"),FDS(MO.ReportCurrency&amp;HP.TradeCurrency,"P_PRICE_AVG("&amp;INDEX(MO_SNA_FPStartDate,0,COLUMN())&amp;","&amp;INDEX(MO_Common_QEndDate,0,COLUMN())&amp;",,,,0)")),"N/A")</f>
        <v/>
      </c>
      <c r="BP1079" s="1524">
        <f>IFERROR(IF(INDEX(MO_Common_QEndDate,0,COLUMN())&gt;TODAY(),FDS(MO.ReportCurrency&amp;HP.TradeCurrency,"FG_PRICE(NOW)"),FDS(MO.ReportCurrency&amp;HP.TradeCurrency,"P_PRICE_AVG("&amp;INDEX(MO_SNA_FPStartDate,0,COLUMN())&amp;","&amp;INDEX(MO_Common_QEndDate,0,COLUMN())&amp;",,,,0)")),"N/A")</f>
        <v/>
      </c>
      <c r="BQ1079" s="1524">
        <f>IFERROR(IF(INDEX(MO_Common_QEndDate,0,COLUMN())&gt;TODAY(),FDS(MO.ReportCurrency&amp;HP.TradeCurrency,"FG_PRICE(NOW)"),FDS(MO.ReportCurrency&amp;HP.TradeCurrency,"P_PRICE_AVG("&amp;INDEX(MO_SNA_FPStartDate,0,COLUMN())&amp;","&amp;INDEX(MO_Common_QEndDate,0,COLUMN())&amp;",,,,0)")),"N/A")</f>
        <v/>
      </c>
      <c r="BR1079" s="1524">
        <f>IFERROR(IF(INDEX(MO_Common_QEndDate,0,COLUMN())&gt;TODAY(),FDS(MO.ReportCurrency&amp;HP.TradeCurrency,"FG_PRICE(NOW)"),FDS(MO.ReportCurrency&amp;HP.TradeCurrency,"P_PRICE_AVG("&amp;INDEX(MO_SNA_FPStartDate,0,COLUMN())&amp;","&amp;INDEX(MO_Common_QEndDate,0,COLUMN())&amp;",,,,0)")),"N/A")</f>
        <v/>
      </c>
      <c r="BS1079" s="1524">
        <f>IFERROR(IF(INDEX(MO_Common_QEndDate,0,COLUMN())&gt;TODAY(),FDS(MO.ReportCurrency&amp;HP.TradeCurrency,"FG_PRICE(NOW)"),FDS(MO.ReportCurrency&amp;HP.TradeCurrency,"P_PRICE_AVG("&amp;INDEX(MO_SNA_FPStartDate,0,COLUMN())&amp;","&amp;INDEX(MO_Common_QEndDate,0,COLUMN())&amp;",,,,0)")),"N/A")</f>
        <v/>
      </c>
      <c r="BT1079" s="1524">
        <f>IFERROR(IF(INDEX(MO_Common_QEndDate,0,COLUMN())&gt;TODAY(),FDS(MO.ReportCurrency&amp;HP.TradeCurrency,"FG_PRICE(NOW)"),FDS(MO.ReportCurrency&amp;HP.TradeCurrency,"P_PRICE_AVG("&amp;INDEX(MO_SNA_FPStartDate,0,COLUMN())&amp;","&amp;INDEX(MO_Common_QEndDate,0,COLUMN())&amp;",,,,0)")),"N/A")</f>
        <v/>
      </c>
      <c r="BU1079" s="1524">
        <f>IFERROR(IF(INDEX(MO_Common_QEndDate,0,COLUMN())&gt;TODAY(),FDS(MO.ReportCurrency&amp;HP.TradeCurrency,"FG_PRICE(NOW)"),FDS(MO.ReportCurrency&amp;HP.TradeCurrency,"P_PRICE_AVG("&amp;INDEX(MO_SNA_FPStartDate,0,COLUMN())&amp;","&amp;INDEX(MO_Common_QEndDate,0,COLUMN())&amp;",,,,0)")),"N/A")</f>
        <v/>
      </c>
      <c r="BV1079" s="1524">
        <f>IFERROR(IF(INDEX(MO_Common_QEndDate,0,COLUMN())&gt;TODAY(),FDS(MO.ReportCurrency&amp;HP.TradeCurrency,"FG_PRICE(NOW)"),FDS(MO.ReportCurrency&amp;HP.TradeCurrency,"P_PRICE_AVG("&amp;INDEX(MO_SNA_FPStartDate,0,COLUMN())&amp;","&amp;INDEX(MO_Common_QEndDate,0,COLUMN())&amp;",,,,0)")),"N/A")</f>
        <v/>
      </c>
      <c r="BW1079" s="1524">
        <f>IFERROR(IF(INDEX(MO_Common_QEndDate,0,COLUMN())&gt;TODAY(),FDS(MO.ReportCurrency&amp;HP.TradeCurrency,"FG_PRICE(NOW)"),FDS(MO.ReportCurrency&amp;HP.TradeCurrency,"P_PRICE_AVG("&amp;INDEX(MO_SNA_FPStartDate,0,COLUMN())&amp;","&amp;INDEX(MO_Common_QEndDate,0,COLUMN())&amp;",,,,0)")),"N/A")</f>
        <v/>
      </c>
      <c r="BX1079" s="1524">
        <f>IFERROR(IF(INDEX(MO_Common_QEndDate,0,COLUMN())&gt;TODAY(),FDS(MO.ReportCurrency&amp;HP.TradeCurrency,"FG_PRICE(NOW)"),FDS(MO.ReportCurrency&amp;HP.TradeCurrency,"P_PRICE_AVG("&amp;INDEX(MO_SNA_FPStartDate,0,COLUMN())&amp;","&amp;INDEX(MO_Common_QEndDate,0,COLUMN())&amp;",,,,0)")),"N/A")</f>
        <v/>
      </c>
      <c r="BY1079" s="1524">
        <f>IFERROR(IF(INDEX(MO_Common_QEndDate,0,COLUMN())&gt;TODAY(),FDS(MO.ReportCurrency&amp;HP.TradeCurrency,"FG_PRICE(NOW)"),FDS(MO.ReportCurrency&amp;HP.TradeCurrency,"P_PRICE_AVG("&amp;INDEX(MO_SNA_FPStartDate,0,COLUMN())&amp;","&amp;INDEX(MO_Common_QEndDate,0,COLUMN())&amp;",,,,0)")),"N/A")</f>
        <v/>
      </c>
      <c r="BZ1079" s="1524">
        <f>IFERROR(IF(INDEX(MO_Common_QEndDate,0,COLUMN())&gt;TODAY(),FDS(MO.ReportCurrency&amp;HP.TradeCurrency,"FG_PRICE(NOW)"),FDS(MO.ReportCurrency&amp;HP.TradeCurrency,"P_PRICE_AVG("&amp;INDEX(MO_SNA_FPStartDate,0,COLUMN())&amp;","&amp;INDEX(MO_Common_QEndDate,0,COLUMN())&amp;",,,,0)")),"N/A")</f>
        <v/>
      </c>
      <c r="CA1079" s="1524">
        <f>IFERROR(IF(INDEX(MO_Common_QEndDate,0,COLUMN())&gt;TODAY(),FDS(MO.ReportCurrency&amp;HP.TradeCurrency,"FG_PRICE(NOW)"),FDS(MO.ReportCurrency&amp;HP.TradeCurrency,"P_PRICE_AVG("&amp;INDEX(MO_SNA_FPStartDate,0,COLUMN())&amp;","&amp;INDEX(MO_Common_QEndDate,0,COLUMN())&amp;",,,,0)")),"N/A")</f>
        <v/>
      </c>
      <c r="CB1079" s="1902">
        <f>IFERROR(IF(INDEX(MO_Common_QEndDate,0,COLUMN())&gt;TODAY(),FDS(MO.ReportCurrency&amp;HP.TradeCurrency,"FG_PRICE(NOW)"),FDS(MO.ReportCurrency&amp;HP.TradeCurrency,"P_PRICE_AVG("&amp;INDEX(MO_SNA_FPStartDate,0,COLUMN())&amp;","&amp;INDEX(MO_Common_QEndDate,0,COLUMN())&amp;",,,,0)")),"N/A")</f>
        <v/>
      </c>
      <c r="CC1079" s="1903" t="n"/>
    </row>
    <row r="1080" hidden="1" outlineLevel="1" ht="14.4" customFormat="1" customHeight="1" s="1518">
      <c r="A1080" s="1904" t="inlineStr">
        <is>
          <t>Refinitiv</t>
        </is>
      </c>
      <c r="B1080" s="1524" t="n"/>
      <c r="C1080" s="1900">
        <f>"N/A"</f>
        <v/>
      </c>
      <c r="D1080" s="1900">
        <f>"N/A"</f>
        <v/>
      </c>
      <c r="E1080" s="1524">
        <f>"N/A"</f>
        <v/>
      </c>
      <c r="F1080" s="1524">
        <f>"N/A"</f>
        <v/>
      </c>
      <c r="G1080" s="1524">
        <f>"N/A"</f>
        <v/>
      </c>
      <c r="H1080" s="1524">
        <f>"N/A"</f>
        <v/>
      </c>
      <c r="I1080" s="1524">
        <f>"N/A"</f>
        <v/>
      </c>
      <c r="J1080" s="1524">
        <f>"N/A"</f>
        <v/>
      </c>
      <c r="K1080" s="1524">
        <f>"N/A"</f>
        <v/>
      </c>
      <c r="L1080" s="1524">
        <f>"N/A"</f>
        <v/>
      </c>
      <c r="M1080" s="1524">
        <f>"N/A"</f>
        <v/>
      </c>
      <c r="N1080" s="1524">
        <f>"N/A"</f>
        <v/>
      </c>
      <c r="O1080" s="1524">
        <f>"N/A"</f>
        <v/>
      </c>
      <c r="P1080" s="1524">
        <f>"N/A"</f>
        <v/>
      </c>
      <c r="Q1080" s="1524">
        <f>"N/A"</f>
        <v/>
      </c>
      <c r="R1080" s="1524">
        <f>"N/A"</f>
        <v/>
      </c>
      <c r="S1080" s="1524">
        <f>"N/A"</f>
        <v/>
      </c>
      <c r="T1080" s="1524">
        <f>"N/A"</f>
        <v/>
      </c>
      <c r="U1080" s="1524">
        <f>"N/A"</f>
        <v/>
      </c>
      <c r="V1080" s="1524">
        <f>"N/A"</f>
        <v/>
      </c>
      <c r="W1080" s="1524">
        <f>"N/A"</f>
        <v/>
      </c>
      <c r="X1080" s="1524">
        <f>"N/A"</f>
        <v/>
      </c>
      <c r="Y1080" s="1524">
        <f>"N/A"</f>
        <v/>
      </c>
      <c r="Z1080" s="1524">
        <f>"N/A"</f>
        <v/>
      </c>
      <c r="AA1080" s="1524">
        <f>"N/A"</f>
        <v/>
      </c>
      <c r="AB1080" s="1524">
        <f>"N/A"</f>
        <v/>
      </c>
      <c r="AC1080" s="1524">
        <f>"N/A"</f>
        <v/>
      </c>
      <c r="AD1080" s="1524">
        <f>"N/A"</f>
        <v/>
      </c>
      <c r="AE1080" s="1524">
        <f>"N/A"</f>
        <v/>
      </c>
      <c r="AF1080" s="1524">
        <f>"N/A"</f>
        <v/>
      </c>
      <c r="AG1080" s="1524">
        <f>"N/A"</f>
        <v/>
      </c>
      <c r="AH1080" s="1524">
        <f>"N/A"</f>
        <v/>
      </c>
      <c r="AI1080" s="1524">
        <f>"N/A"</f>
        <v/>
      </c>
      <c r="AJ1080" s="1524">
        <f>"N/A"</f>
        <v/>
      </c>
      <c r="AK1080" s="1524">
        <f>"N/A"</f>
        <v/>
      </c>
      <c r="AL1080" s="1524">
        <f>"N/A"</f>
        <v/>
      </c>
      <c r="AM1080" s="1524">
        <f>"N/A"</f>
        <v/>
      </c>
      <c r="AN1080" s="1524">
        <f>"N/A"</f>
        <v/>
      </c>
      <c r="AO1080" s="1524">
        <f>"N/A"</f>
        <v/>
      </c>
      <c r="AP1080" s="1524">
        <f>"N/A"</f>
        <v/>
      </c>
      <c r="AQ1080" s="1524">
        <f>"N/A"</f>
        <v/>
      </c>
      <c r="AR1080" s="1524">
        <f>"N/A"</f>
        <v/>
      </c>
      <c r="AS1080" s="1524">
        <f>"N/A"</f>
        <v/>
      </c>
      <c r="AT1080" s="1524">
        <f>"N/A"</f>
        <v/>
      </c>
      <c r="AU1080" s="1524">
        <f>"N/A"</f>
        <v/>
      </c>
      <c r="AV1080" s="1524">
        <f>"N/A"</f>
        <v/>
      </c>
      <c r="AW1080" s="1524">
        <f>"N/A"</f>
        <v/>
      </c>
      <c r="AX1080" s="1524">
        <f>"N/A"</f>
        <v/>
      </c>
      <c r="AY1080" s="1524">
        <f>"N/A"</f>
        <v/>
      </c>
      <c r="AZ1080" s="1524">
        <f>"N/A"</f>
        <v/>
      </c>
      <c r="BA1080" s="1524">
        <f>"N/A"</f>
        <v/>
      </c>
      <c r="BB1080" s="1524">
        <f>"N/A"</f>
        <v/>
      </c>
      <c r="BC1080" s="1524">
        <f>"N/A"</f>
        <v/>
      </c>
      <c r="BD1080" s="1524">
        <f>"N/A"</f>
        <v/>
      </c>
      <c r="BE1080" s="1524">
        <f>"N/A"</f>
        <v/>
      </c>
      <c r="BF1080" s="1524">
        <f>"N/A"</f>
        <v/>
      </c>
      <c r="BG1080" s="1524">
        <f>"N/A"</f>
        <v/>
      </c>
      <c r="BH1080" s="1524">
        <f>"N/A"</f>
        <v/>
      </c>
      <c r="BI1080" s="1524">
        <f>"N/A"</f>
        <v/>
      </c>
      <c r="BJ1080" s="1524">
        <f>"N/A"</f>
        <v/>
      </c>
      <c r="BK1080" s="1524">
        <f>"N/A"</f>
        <v/>
      </c>
      <c r="BL1080" s="1524">
        <f>"N/A"</f>
        <v/>
      </c>
      <c r="BM1080" s="1524">
        <f>"N/A"</f>
        <v/>
      </c>
      <c r="BN1080" s="1524">
        <f>"N/A"</f>
        <v/>
      </c>
      <c r="BO1080" s="1901">
        <f>"N/A"</f>
        <v/>
      </c>
      <c r="BP1080" s="1524">
        <f>"N/A"</f>
        <v/>
      </c>
      <c r="BQ1080" s="1524">
        <f>"N/A"</f>
        <v/>
      </c>
      <c r="BR1080" s="1524">
        <f>"N/A"</f>
        <v/>
      </c>
      <c r="BS1080" s="1524">
        <f>"N/A"</f>
        <v/>
      </c>
      <c r="BT1080" s="1524">
        <f>"N/A"</f>
        <v/>
      </c>
      <c r="BU1080" s="1524">
        <f>"N/A"</f>
        <v/>
      </c>
      <c r="BV1080" s="1524">
        <f>"N/A"</f>
        <v/>
      </c>
      <c r="BW1080" s="1524">
        <f>"N/A"</f>
        <v/>
      </c>
      <c r="BX1080" s="1524">
        <f>"N/A"</f>
        <v/>
      </c>
      <c r="BY1080" s="1524">
        <f>"N/A"</f>
        <v/>
      </c>
      <c r="BZ1080" s="1524">
        <f>"N/A"</f>
        <v/>
      </c>
      <c r="CA1080" s="1524">
        <f>"N/A"</f>
        <v/>
      </c>
      <c r="CB1080" s="1902">
        <f>"N/A"</f>
        <v/>
      </c>
      <c r="CC1080" s="1903" t="n"/>
    </row>
    <row r="1081" hidden="1" outlineLevel="1" collapsed="1" ht="14.4" customFormat="1" customHeight="1" s="1275">
      <c r="A1081" s="1897" t="n"/>
      <c r="B1081" s="1277" t="n"/>
      <c r="C1081" s="1814" t="n"/>
      <c r="D1081" s="1814" t="n"/>
      <c r="E1081" s="1277" t="n"/>
      <c r="F1081" s="1277" t="n"/>
      <c r="G1081" s="1277" t="n"/>
      <c r="H1081" s="1277" t="n"/>
      <c r="I1081" s="1277" t="n"/>
      <c r="J1081" s="1277" t="n"/>
      <c r="K1081" s="1277" t="n"/>
      <c r="L1081" s="1277" t="n"/>
      <c r="M1081" s="1277" t="n"/>
      <c r="N1081" s="1277" t="n"/>
      <c r="O1081" s="1277" t="n"/>
      <c r="P1081" s="1277" t="n"/>
      <c r="Q1081" s="1277" t="n"/>
      <c r="R1081" s="1277" t="n"/>
      <c r="S1081" s="1277" t="n"/>
      <c r="T1081" s="1277" t="n"/>
      <c r="U1081" s="1277" t="n"/>
      <c r="V1081" s="1277" t="n"/>
      <c r="W1081" s="1277" t="n"/>
      <c r="X1081" s="1277" t="n"/>
      <c r="Y1081" s="1277" t="n"/>
      <c r="Z1081" s="1277" t="n"/>
      <c r="AA1081" s="1277" t="n"/>
      <c r="AB1081" s="1277" t="n"/>
      <c r="AC1081" s="1277" t="n"/>
      <c r="AD1081" s="1277" t="n"/>
      <c r="AE1081" s="1277" t="n"/>
      <c r="AF1081" s="1277" t="n"/>
      <c r="AG1081" s="1277" t="n"/>
      <c r="AH1081" s="1277" t="n"/>
      <c r="AI1081" s="1277" t="n"/>
      <c r="AJ1081" s="1277" t="n"/>
      <c r="AK1081" s="1277" t="n"/>
      <c r="AL1081" s="1277" t="n"/>
      <c r="AM1081" s="1277" t="n"/>
      <c r="AN1081" s="1277" t="n"/>
      <c r="AO1081" s="1277" t="n"/>
      <c r="AP1081" s="1277" t="n"/>
      <c r="AQ1081" s="1277" t="n"/>
      <c r="AR1081" s="1277" t="n"/>
      <c r="AS1081" s="1277" t="n"/>
      <c r="AT1081" s="1277" t="n"/>
      <c r="AU1081" s="1277" t="n"/>
      <c r="AV1081" s="1277" t="n"/>
      <c r="AW1081" s="1277" t="n"/>
      <c r="AX1081" s="1277" t="n"/>
      <c r="AY1081" s="1277" t="n"/>
      <c r="AZ1081" s="1277" t="n"/>
      <c r="BA1081" s="1277" t="n"/>
      <c r="BB1081" s="1277" t="n"/>
      <c r="BC1081" s="1277" t="n"/>
      <c r="BD1081" s="1277" t="n"/>
      <c r="BE1081" s="1277" t="n"/>
      <c r="BF1081" s="1277" t="n"/>
      <c r="BG1081" s="1277" t="n"/>
      <c r="BH1081" s="1277" t="n"/>
      <c r="BI1081" s="1277" t="n"/>
      <c r="BJ1081" s="1277" t="n"/>
      <c r="BK1081" s="1277" t="n"/>
      <c r="BL1081" s="1277" t="n"/>
      <c r="BM1081" s="1277" t="n"/>
      <c r="BN1081" s="1277" t="n"/>
      <c r="BO1081" s="1809" t="n"/>
      <c r="BP1081" s="1277" t="n"/>
      <c r="BQ1081" s="1277" t="n"/>
      <c r="BR1081" s="1277" t="n"/>
      <c r="BS1081" s="1277" t="n"/>
      <c r="BT1081" s="1277" t="n"/>
      <c r="BU1081" s="1277" t="n"/>
      <c r="BV1081" s="1277" t="n"/>
      <c r="BW1081" s="1277" t="n"/>
      <c r="BX1081" s="1277" t="n"/>
      <c r="BY1081" s="1277" t="n"/>
      <c r="BZ1081" s="1277" t="n"/>
      <c r="CA1081" s="1277" t="n"/>
      <c r="CB1081" s="1898" t="n"/>
      <c r="CC1081" s="1858" t="n"/>
    </row>
    <row r="1082" collapsed="1" ht="14.4" customFormat="1" customHeight="1" s="1275">
      <c r="A1082" s="1897" t="inlineStr">
        <is>
          <t>Last Working Day In Period</t>
        </is>
      </c>
      <c r="B1082" s="1277" t="n"/>
      <c r="C1082" s="647">
        <f>WORKDAY(INDEX(MO_Common_QEndDate,0,COLUMN()),-1)</f>
        <v/>
      </c>
      <c r="D1082" s="647">
        <f>WORKDAY(INDEX(MO_Common_QEndDate,0,COLUMN()),-1)</f>
        <v/>
      </c>
      <c r="E1082" s="416">
        <f>WORKDAY(INDEX(MO_Common_QEndDate,0,COLUMN()),-1)</f>
        <v/>
      </c>
      <c r="F1082" s="416">
        <f>WORKDAY(INDEX(MO_Common_QEndDate,0,COLUMN()),-1)</f>
        <v/>
      </c>
      <c r="G1082" s="416">
        <f>WORKDAY(INDEX(MO_Common_QEndDate,0,COLUMN()),-1)</f>
        <v/>
      </c>
      <c r="H1082" s="416">
        <f>WORKDAY(INDEX(MO_Common_QEndDate,0,COLUMN()),-1)</f>
        <v/>
      </c>
      <c r="I1082" s="416">
        <f>WORKDAY(INDEX(MO_Common_QEndDate,0,COLUMN()),-1)</f>
        <v/>
      </c>
      <c r="J1082" s="416">
        <f>WORKDAY(INDEX(MO_Common_QEndDate,0,COLUMN()),-1)</f>
        <v/>
      </c>
      <c r="K1082" s="416">
        <f>WORKDAY(INDEX(MO_Common_QEndDate,0,COLUMN()),-1)</f>
        <v/>
      </c>
      <c r="L1082" s="416">
        <f>WORKDAY(INDEX(MO_Common_QEndDate,0,COLUMN()),-1)</f>
        <v/>
      </c>
      <c r="M1082" s="416">
        <f>WORKDAY(INDEX(MO_Common_QEndDate,0,COLUMN()),-1)</f>
        <v/>
      </c>
      <c r="N1082" s="416">
        <f>WORKDAY(INDEX(MO_Common_QEndDate,0,COLUMN()),-1)</f>
        <v/>
      </c>
      <c r="O1082" s="416">
        <f>WORKDAY(INDEX(MO_Common_QEndDate,0,COLUMN()),-1)</f>
        <v/>
      </c>
      <c r="P1082" s="416">
        <f>WORKDAY(INDEX(MO_Common_QEndDate,0,COLUMN()),-1)</f>
        <v/>
      </c>
      <c r="Q1082" s="416">
        <f>WORKDAY(INDEX(MO_Common_QEndDate,0,COLUMN()),-1)</f>
        <v/>
      </c>
      <c r="R1082" s="416">
        <f>WORKDAY(INDEX(MO_Common_QEndDate,0,COLUMN()),-1)</f>
        <v/>
      </c>
      <c r="S1082" s="416">
        <f>WORKDAY(INDEX(MO_Common_QEndDate,0,COLUMN()),-1)</f>
        <v/>
      </c>
      <c r="T1082" s="416">
        <f>WORKDAY(INDEX(MO_Common_QEndDate,0,COLUMN()),-1)</f>
        <v/>
      </c>
      <c r="U1082" s="416">
        <f>WORKDAY(INDEX(MO_Common_QEndDate,0,COLUMN()),-1)</f>
        <v/>
      </c>
      <c r="V1082" s="416">
        <f>WORKDAY(INDEX(MO_Common_QEndDate,0,COLUMN()),-1)</f>
        <v/>
      </c>
      <c r="W1082" s="416">
        <f>WORKDAY(INDEX(MO_Common_QEndDate,0,COLUMN()),-1)</f>
        <v/>
      </c>
      <c r="X1082" s="416">
        <f>WORKDAY(INDEX(MO_Common_QEndDate,0,COLUMN()),-1)</f>
        <v/>
      </c>
      <c r="Y1082" s="416">
        <f>WORKDAY(INDEX(MO_Common_QEndDate,0,COLUMN()),-1)</f>
        <v/>
      </c>
      <c r="Z1082" s="416">
        <f>WORKDAY(INDEX(MO_Common_QEndDate,0,COLUMN()),-1)</f>
        <v/>
      </c>
      <c r="AA1082" s="416">
        <f>WORKDAY(INDEX(MO_Common_QEndDate,0,COLUMN()),-1)</f>
        <v/>
      </c>
      <c r="AB1082" s="416">
        <f>WORKDAY(INDEX(MO_Common_QEndDate,0,COLUMN()),-1)</f>
        <v/>
      </c>
      <c r="AC1082" s="416">
        <f>WORKDAY(INDEX(MO_Common_QEndDate,0,COLUMN()),-1)</f>
        <v/>
      </c>
      <c r="AD1082" s="416">
        <f>WORKDAY(INDEX(MO_Common_QEndDate,0,COLUMN()),-1)</f>
        <v/>
      </c>
      <c r="AE1082" s="416">
        <f>WORKDAY(INDEX(MO_Common_QEndDate,0,COLUMN()),-1)</f>
        <v/>
      </c>
      <c r="AF1082" s="416">
        <f>WORKDAY(INDEX(MO_Common_QEndDate,0,COLUMN()),-1)</f>
        <v/>
      </c>
      <c r="AG1082" s="416">
        <f>WORKDAY(INDEX(MO_Common_QEndDate,0,COLUMN()),-1)</f>
        <v/>
      </c>
      <c r="AH1082" s="416">
        <f>WORKDAY(INDEX(MO_Common_QEndDate,0,COLUMN()),-1)</f>
        <v/>
      </c>
      <c r="AI1082" s="416">
        <f>WORKDAY(INDEX(MO_Common_QEndDate,0,COLUMN()),-1)</f>
        <v/>
      </c>
      <c r="AJ1082" s="416">
        <f>WORKDAY(INDEX(MO_Common_QEndDate,0,COLUMN()),-1)</f>
        <v/>
      </c>
      <c r="AK1082" s="416">
        <f>WORKDAY(INDEX(MO_Common_QEndDate,0,COLUMN()),-1)</f>
        <v/>
      </c>
      <c r="AL1082" s="416">
        <f>WORKDAY(INDEX(MO_Common_QEndDate,0,COLUMN()),-1)</f>
        <v/>
      </c>
      <c r="AM1082" s="416">
        <f>WORKDAY(INDEX(MO_Common_QEndDate,0,COLUMN()),-1)</f>
        <v/>
      </c>
      <c r="AN1082" s="416">
        <f>WORKDAY(INDEX(MO_Common_QEndDate,0,COLUMN()),-1)</f>
        <v/>
      </c>
      <c r="AO1082" s="416">
        <f>WORKDAY(INDEX(MO_Common_QEndDate,0,COLUMN()),-1)</f>
        <v/>
      </c>
      <c r="AP1082" s="416">
        <f>WORKDAY(INDEX(MO_Common_QEndDate,0,COLUMN()),-1)</f>
        <v/>
      </c>
      <c r="AQ1082" s="416">
        <f>WORKDAY(INDEX(MO_Common_QEndDate,0,COLUMN()),-1)</f>
        <v/>
      </c>
      <c r="AR1082" s="416">
        <f>WORKDAY(INDEX(MO_Common_QEndDate,0,COLUMN()),-1)</f>
        <v/>
      </c>
      <c r="AS1082" s="416">
        <f>WORKDAY(INDEX(MO_Common_QEndDate,0,COLUMN()),-1)</f>
        <v/>
      </c>
      <c r="AT1082" s="416">
        <f>WORKDAY(INDEX(MO_Common_QEndDate,0,COLUMN()),-1)</f>
        <v/>
      </c>
      <c r="AU1082" s="416">
        <f>WORKDAY(INDEX(MO_Common_QEndDate,0,COLUMN()),-1)</f>
        <v/>
      </c>
      <c r="AV1082" s="416">
        <f>WORKDAY(INDEX(MO_Common_QEndDate,0,COLUMN()),-1)</f>
        <v/>
      </c>
      <c r="AW1082" s="416">
        <f>WORKDAY(INDEX(MO_Common_QEndDate,0,COLUMN()),-1)</f>
        <v/>
      </c>
      <c r="AX1082" s="416">
        <f>WORKDAY(INDEX(MO_Common_QEndDate,0,COLUMN()),-1)</f>
        <v/>
      </c>
      <c r="AY1082" s="416">
        <f>WORKDAY(INDEX(MO_Common_QEndDate,0,COLUMN()),-1)</f>
        <v/>
      </c>
      <c r="AZ1082" s="416">
        <f>WORKDAY(INDEX(MO_Common_QEndDate,0,COLUMN()),-1)</f>
        <v/>
      </c>
      <c r="BA1082" s="416">
        <f>WORKDAY(INDEX(MO_Common_QEndDate,0,COLUMN()),-1)</f>
        <v/>
      </c>
      <c r="BB1082" s="416">
        <f>WORKDAY(INDEX(MO_Common_QEndDate,0,COLUMN()),-1)</f>
        <v/>
      </c>
      <c r="BC1082" s="416">
        <f>WORKDAY(INDEX(MO_Common_QEndDate,0,COLUMN()),-1)</f>
        <v/>
      </c>
      <c r="BD1082" s="416">
        <f>WORKDAY(INDEX(MO_Common_QEndDate,0,COLUMN()),-1)</f>
        <v/>
      </c>
      <c r="BE1082" s="416">
        <f>WORKDAY(INDEX(MO_Common_QEndDate,0,COLUMN()),-1)</f>
        <v/>
      </c>
      <c r="BF1082" s="416">
        <f>WORKDAY(INDEX(MO_Common_QEndDate,0,COLUMN()),-1)</f>
        <v/>
      </c>
      <c r="BG1082" s="416">
        <f>WORKDAY(INDEX(MO_Common_QEndDate,0,COLUMN()),-1)</f>
        <v/>
      </c>
      <c r="BH1082" s="416">
        <f>WORKDAY(INDEX(MO_Common_QEndDate,0,COLUMN()),-1)</f>
        <v/>
      </c>
      <c r="BI1082" s="416">
        <f>WORKDAY(INDEX(MO_Common_QEndDate,0,COLUMN()),-1)</f>
        <v/>
      </c>
      <c r="BJ1082" s="416">
        <f>WORKDAY(INDEX(MO_Common_QEndDate,0,COLUMN()),-1)</f>
        <v/>
      </c>
      <c r="BK1082" s="416">
        <f>WORKDAY(INDEX(MO_Common_QEndDate,0,COLUMN()),-1)</f>
        <v/>
      </c>
      <c r="BL1082" s="416">
        <f>WORKDAY(INDEX(MO_Common_QEndDate,0,COLUMN()),-1)</f>
        <v/>
      </c>
      <c r="BM1082" s="416">
        <f>WORKDAY(INDEX(MO_Common_QEndDate,0,COLUMN()),-1)</f>
        <v/>
      </c>
      <c r="BN1082" s="416">
        <f>WORKDAY(INDEX(MO_Common_QEndDate,0,COLUMN()),-1)</f>
        <v/>
      </c>
      <c r="BO1082" s="587">
        <f>WORKDAY(INDEX(MO_Common_QEndDate,0,COLUMN()),-1)</f>
        <v/>
      </c>
      <c r="BP1082" s="416">
        <f>WORKDAY(INDEX(MO_Common_QEndDate,0,COLUMN()),-1)</f>
        <v/>
      </c>
      <c r="BQ1082" s="416">
        <f>WORKDAY(INDEX(MO_Common_QEndDate,0,COLUMN()),-1)</f>
        <v/>
      </c>
      <c r="BR1082" s="416">
        <f>WORKDAY(INDEX(MO_Common_QEndDate,0,COLUMN()),-1)</f>
        <v/>
      </c>
      <c r="BS1082" s="416">
        <f>WORKDAY(INDEX(MO_Common_QEndDate,0,COLUMN()),-1)</f>
        <v/>
      </c>
      <c r="BT1082" s="416">
        <f>WORKDAY(INDEX(MO_Common_QEndDate,0,COLUMN()),-1)</f>
        <v/>
      </c>
      <c r="BU1082" s="416">
        <f>WORKDAY(INDEX(MO_Common_QEndDate,0,COLUMN()),-1)</f>
        <v/>
      </c>
      <c r="BV1082" s="416">
        <f>WORKDAY(INDEX(MO_Common_QEndDate,0,COLUMN()),-1)</f>
        <v/>
      </c>
      <c r="BW1082" s="416">
        <f>WORKDAY(INDEX(MO_Common_QEndDate,0,COLUMN()),-1)</f>
        <v/>
      </c>
      <c r="BX1082" s="416">
        <f>WORKDAY(INDEX(MO_Common_QEndDate,0,COLUMN()),-1)</f>
        <v/>
      </c>
      <c r="BY1082" s="416">
        <f>WORKDAY(INDEX(MO_Common_QEndDate,0,COLUMN()),-1)</f>
        <v/>
      </c>
      <c r="BZ1082" s="416">
        <f>WORKDAY(INDEX(MO_Common_QEndDate,0,COLUMN()),-1)</f>
        <v/>
      </c>
      <c r="CA1082" s="416">
        <f>WORKDAY(INDEX(MO_Common_QEndDate,0,COLUMN()),-1)</f>
        <v/>
      </c>
      <c r="CB1082" s="417">
        <f>WORKDAY(INDEX(MO_Common_QEndDate,0,COLUMN()),-1)</f>
        <v/>
      </c>
      <c r="CC1082" s="1858" t="n"/>
    </row>
    <row r="1083" collapsed="1" ht="14.4" customFormat="1" customHeight="1" s="1275">
      <c r="A1083" s="1897" t="inlineStr">
        <is>
          <t>Stock Price EoP</t>
        </is>
      </c>
      <c r="B1083" s="1277" t="n"/>
      <c r="C1083" s="1907" t="n">
        <v>11.28</v>
      </c>
      <c r="D1083" s="1907" t="n">
        <v>12.4</v>
      </c>
      <c r="E1083" s="1908" t="n">
        <v>12.91</v>
      </c>
      <c r="F1083" s="1908" t="n">
        <v>17.13</v>
      </c>
      <c r="G1083" s="1908" t="n">
        <v>17.58</v>
      </c>
      <c r="H1083" s="1908" t="n">
        <v>19.64</v>
      </c>
      <c r="I1083" s="1908" t="n">
        <v>21.28</v>
      </c>
      <c r="J1083" s="1908" t="n">
        <v>19.95</v>
      </c>
      <c r="K1083" s="1908" t="n">
        <v>22.44</v>
      </c>
      <c r="L1083" s="1908" t="n">
        <v>22.44</v>
      </c>
      <c r="M1083" s="1908" t="n">
        <v>23.25</v>
      </c>
      <c r="N1083" s="1908" t="n">
        <v>22.38</v>
      </c>
      <c r="O1083" s="1908" t="n">
        <v>19.89</v>
      </c>
      <c r="P1083" s="1908" t="n">
        <v>22.88</v>
      </c>
      <c r="Q1083" s="1908" t="n">
        <v>22.88</v>
      </c>
      <c r="R1083" s="1908" t="n">
        <v>26.46</v>
      </c>
      <c r="S1083" s="1908" t="n">
        <v>25.8</v>
      </c>
      <c r="T1083" s="1908" t="n">
        <v>30.4</v>
      </c>
      <c r="U1083" s="1908" t="n">
        <v>28.75</v>
      </c>
      <c r="V1083" s="1908" t="n">
        <v>28.75</v>
      </c>
      <c r="W1083" s="1908" t="n">
        <v>33.07</v>
      </c>
      <c r="X1083" s="1908" t="n">
        <v>34.81</v>
      </c>
      <c r="Y1083" s="1908" t="n">
        <v>37.55</v>
      </c>
      <c r="Z1083" s="1908" t="n">
        <v>39.65</v>
      </c>
      <c r="AA1083" s="1908" t="n">
        <v>39.65</v>
      </c>
      <c r="AB1083" s="1908" t="n">
        <v>43.76</v>
      </c>
      <c r="AC1083" s="1908" t="n">
        <v>36.56</v>
      </c>
      <c r="AD1083" s="1908" t="n">
        <v>44.16</v>
      </c>
      <c r="AE1083" s="1908" t="n">
        <v>37.14</v>
      </c>
      <c r="AF1083" s="1908" t="n">
        <v>37.14</v>
      </c>
      <c r="AG1083" s="1908" t="n">
        <v>40.96</v>
      </c>
      <c r="AH1083" s="1908" t="n">
        <v>39.17</v>
      </c>
      <c r="AI1083" s="1908" t="n">
        <v>45.51</v>
      </c>
      <c r="AJ1083" s="1908" t="n">
        <v>57.85</v>
      </c>
      <c r="AK1083" s="1908" t="n">
        <v>57.85</v>
      </c>
      <c r="AL1083" s="1908" t="n">
        <v>47.82</v>
      </c>
      <c r="AM1083" s="1908" t="n">
        <v>56.39</v>
      </c>
      <c r="AN1083" s="1908" t="n">
        <v>80.51000000000001</v>
      </c>
      <c r="AO1083" s="1908" t="n">
        <v>108.9</v>
      </c>
      <c r="AP1083" s="1908" t="n">
        <v>108.9</v>
      </c>
      <c r="AQ1083" s="1908" t="n">
        <v>115.07</v>
      </c>
      <c r="AR1083" s="1908" t="n">
        <v>120.23</v>
      </c>
      <c r="AS1083" s="1908" t="n">
        <v>111.62</v>
      </c>
      <c r="AT1083" s="1908" t="n">
        <v>120.42</v>
      </c>
      <c r="AU1083" s="1908" t="n">
        <v>120.42</v>
      </c>
      <c r="AV1083" s="1908" t="n">
        <v>106.73</v>
      </c>
      <c r="AW1083" s="1908" t="n">
        <v>83.65000000000001</v>
      </c>
      <c r="AX1083" s="1908" t="n">
        <v>69.28</v>
      </c>
      <c r="AY1083" s="1908" t="n">
        <v>74.48999999999999</v>
      </c>
      <c r="AZ1083" s="1908" t="n">
        <v>74.48999999999999</v>
      </c>
      <c r="BA1083" s="1908" t="n">
        <v>92.47</v>
      </c>
      <c r="BB1083" s="1908" t="n">
        <v>100.64</v>
      </c>
      <c r="BC1083" s="1908" t="n">
        <v>86.90000000000001</v>
      </c>
      <c r="BD1083" s="1908" t="n">
        <v>104</v>
      </c>
      <c r="BE1083" s="1908" t="n">
        <v>104</v>
      </c>
      <c r="BF1083" s="1908" t="n">
        <v>136.05</v>
      </c>
      <c r="BG1083" s="1908" t="n">
        <v>173.81</v>
      </c>
      <c r="BH1083" s="1908" t="n">
        <v>177.97</v>
      </c>
      <c r="BI1083" s="1908" t="n">
        <v>200.39</v>
      </c>
      <c r="BJ1083" s="1908" t="n">
        <v>200.39</v>
      </c>
      <c r="BK1083" s="1908" t="n">
        <v>165.25</v>
      </c>
      <c r="BL1083" s="1908" t="n">
        <v>228.57</v>
      </c>
      <c r="BM1083" s="1908" t="n">
        <v>273.23</v>
      </c>
      <c r="BN1083" s="1908" t="n">
        <v>299.58</v>
      </c>
      <c r="BO1083" s="1909" t="n">
        <v>299.58</v>
      </c>
      <c r="BP1083" s="1910" t="n"/>
      <c r="BQ1083" s="1910" t="n"/>
      <c r="BR1083" s="1910" t="n"/>
      <c r="BS1083" s="1910" t="n"/>
      <c r="BT1083" s="1910" t="n"/>
      <c r="BU1083" s="1910" t="n"/>
      <c r="BV1083" s="1910" t="n"/>
      <c r="BW1083" s="1910" t="n"/>
      <c r="BX1083" s="1910" t="n"/>
      <c r="BY1083" s="1910" t="n"/>
      <c r="BZ1083" s="1910" t="n"/>
      <c r="CA1083" s="1910" t="n"/>
      <c r="CB1083" s="1911" t="n"/>
      <c r="CC1083" s="1858" t="n"/>
    </row>
    <row r="1084" collapsed="1" ht="14.4" customFormat="1" customHeight="1" s="1275">
      <c r="A1084" s="1897" t="inlineStr">
        <is>
          <t>FX EoP</t>
        </is>
      </c>
      <c r="B1084" s="1277" t="n"/>
      <c r="C1084" s="1905" t="n">
        <v>0.031274</v>
      </c>
      <c r="D1084" s="1905" t="n">
        <v>0.034282</v>
      </c>
      <c r="E1084" s="1522" t="n">
        <v>0.0331</v>
      </c>
      <c r="F1084" s="1522" t="n">
        <v>0.034435</v>
      </c>
      <c r="G1084" s="1522" t="n">
        <v>0.033551</v>
      </c>
      <c r="H1084" s="1522" t="n">
        <v>0.032776</v>
      </c>
      <c r="I1084" s="1522" t="n">
        <v>0.033476</v>
      </c>
      <c r="J1084" s="1522" t="n">
        <v>0.032873</v>
      </c>
      <c r="K1084" s="1522" t="n">
        <v>0.03157</v>
      </c>
      <c r="L1084" s="1522" t="n">
        <v>0.03157</v>
      </c>
      <c r="M1084" s="1522" t="n">
        <v>0.0319</v>
      </c>
      <c r="N1084" s="1522" t="n">
        <v>0.0322</v>
      </c>
      <c r="O1084" s="1522" t="n">
        <v>0.0302</v>
      </c>
      <c r="P1084" s="1522" t="n">
        <v>0.030245</v>
      </c>
      <c r="Q1084" s="1522" t="n">
        <v>0.030245</v>
      </c>
      <c r="R1084" s="1522" t="n">
        <v>0.030985</v>
      </c>
      <c r="S1084" s="1522" t="n">
        <v>0.030975</v>
      </c>
      <c r="T1084" s="1522" t="n">
        <v>0.031926</v>
      </c>
      <c r="U1084" s="1522" t="n">
        <v>0.03099</v>
      </c>
      <c r="V1084" s="1522" t="n">
        <v>0.03099</v>
      </c>
      <c r="W1084" s="1522" t="n">
        <v>0.03297</v>
      </c>
      <c r="X1084" s="1522" t="n">
        <v>0.03286</v>
      </c>
      <c r="Y1084" s="1522" t="n">
        <v>0.032975</v>
      </c>
      <c r="Z1084" s="1522" t="n">
        <v>0.03351</v>
      </c>
      <c r="AA1084" s="1522" t="n">
        <v>0.03351</v>
      </c>
      <c r="AB1084" s="1522" t="n">
        <v>0.034495</v>
      </c>
      <c r="AC1084" s="1522" t="n">
        <v>0.03281</v>
      </c>
      <c r="AD1084" s="1522" t="n">
        <v>0.032829</v>
      </c>
      <c r="AE1084" s="1522" t="n">
        <v>0.032701</v>
      </c>
      <c r="AF1084" s="1522" t="n">
        <v>0.032701</v>
      </c>
      <c r="AG1084" s="1522" t="n">
        <v>0.032411</v>
      </c>
      <c r="AH1084" s="1522" t="n">
        <v>0.032286</v>
      </c>
      <c r="AI1084" s="1522" t="n">
        <v>0.032208</v>
      </c>
      <c r="AJ1084" s="1522" t="n">
        <v>0.033429</v>
      </c>
      <c r="AK1084" s="1522" t="n">
        <v>0.033429</v>
      </c>
      <c r="AL1084" s="1522" t="n">
        <v>0.033063</v>
      </c>
      <c r="AM1084" s="1522" t="n">
        <v>0.034001</v>
      </c>
      <c r="AN1084" s="1522" t="n">
        <v>0.03457</v>
      </c>
      <c r="AO1084" s="1522" t="n">
        <v>0.035591</v>
      </c>
      <c r="AP1084" s="1522" t="n">
        <v>0.035591</v>
      </c>
      <c r="AQ1084" s="1522" t="n">
        <v>0.035223</v>
      </c>
      <c r="AR1084" s="1522" t="n">
        <v>0.03592</v>
      </c>
      <c r="AS1084" s="1522" t="n">
        <v>0.035935</v>
      </c>
      <c r="AT1084" s="1522" t="n">
        <v>0.036079</v>
      </c>
      <c r="AU1084" s="1522" t="n">
        <v>0.036079</v>
      </c>
      <c r="AV1084" s="1522" t="n">
        <v>0.034927</v>
      </c>
      <c r="AW1084" s="1522" t="n">
        <v>0.033703</v>
      </c>
      <c r="AX1084" s="1522" t="n">
        <v>0.031429</v>
      </c>
      <c r="AY1084" s="1522" t="n">
        <v>0.032613</v>
      </c>
      <c r="AZ1084" s="1522" t="n">
        <v>0.032613</v>
      </c>
      <c r="BA1084" s="1522" t="n">
        <v>0.032744</v>
      </c>
      <c r="BB1084" s="1522" t="n">
        <v>0.032091</v>
      </c>
      <c r="BC1084" s="1522" t="n">
        <v>0.031011</v>
      </c>
      <c r="BD1084" s="1522" t="n">
        <v>0.032591</v>
      </c>
      <c r="BE1084" s="1522" t="n">
        <v>0.032591</v>
      </c>
      <c r="BF1084" s="1522" t="n">
        <v>0.0312999</v>
      </c>
      <c r="BG1084" s="1522" t="n">
        <v>0.0307513</v>
      </c>
      <c r="BH1084" s="1522" t="n">
        <v>0.0316306</v>
      </c>
      <c r="BI1084" s="1522" t="n">
        <v>0.0304429</v>
      </c>
      <c r="BJ1084" s="1522" t="n">
        <v>0.0304429</v>
      </c>
      <c r="BK1084" s="1522" t="n">
        <v>0.0300715</v>
      </c>
      <c r="BL1084" s="1522" t="n">
        <v>0.0342213</v>
      </c>
      <c r="BM1084" s="1522" t="n">
        <v>0.0328331</v>
      </c>
      <c r="BN1084" s="1522" t="n">
        <v>0.031812</v>
      </c>
      <c r="BO1084" s="1906" t="n">
        <v>0.031812</v>
      </c>
      <c r="BP1084" s="1524" t="n"/>
      <c r="BQ1084" s="1524" t="n"/>
      <c r="BR1084" s="1524" t="n"/>
      <c r="BS1084" s="1524" t="n"/>
      <c r="BT1084" s="1524" t="n"/>
      <c r="BU1084" s="1524" t="n"/>
      <c r="BV1084" s="1524" t="n"/>
      <c r="BW1084" s="1524" t="n"/>
      <c r="BX1084" s="1524" t="n"/>
      <c r="BY1084" s="1524" t="n"/>
      <c r="BZ1084" s="1524" t="n"/>
      <c r="CA1084" s="1524" t="n"/>
      <c r="CB1084" s="1902" t="n"/>
      <c r="CC1084" s="1858" t="n"/>
    </row>
    <row r="1085" collapsed="1" ht="14.4" customFormat="1" customHeight="1" s="1275">
      <c r="A1085" s="1912" t="n"/>
      <c r="B1085" s="1365" t="n"/>
      <c r="C1085" s="1913" t="n"/>
      <c r="D1085" s="1913" t="n"/>
      <c r="E1085" s="1914" t="n"/>
      <c r="F1085" s="1914" t="n"/>
      <c r="G1085" s="1914" t="n"/>
      <c r="H1085" s="1914" t="n"/>
      <c r="I1085" s="1914" t="n"/>
      <c r="J1085" s="1914" t="n"/>
      <c r="K1085" s="1914" t="n"/>
      <c r="L1085" s="1914" t="n"/>
      <c r="M1085" s="1914" t="n"/>
      <c r="N1085" s="1914" t="n"/>
      <c r="O1085" s="1914" t="n"/>
      <c r="P1085" s="1914" t="n"/>
      <c r="Q1085" s="1914" t="n"/>
      <c r="R1085" s="1914" t="n"/>
      <c r="S1085" s="1914" t="n"/>
      <c r="T1085" s="1914" t="n"/>
      <c r="U1085" s="1914" t="n"/>
      <c r="V1085" s="1914" t="n"/>
      <c r="W1085" s="1914" t="n"/>
      <c r="X1085" s="1914" t="n"/>
      <c r="Y1085" s="1914" t="n"/>
      <c r="Z1085" s="1914" t="n"/>
      <c r="AA1085" s="1914" t="n"/>
      <c r="AB1085" s="1914" t="n"/>
      <c r="AC1085" s="1914" t="n"/>
      <c r="AD1085" s="1914" t="n"/>
      <c r="AE1085" s="1914" t="n"/>
      <c r="AF1085" s="1914" t="n"/>
      <c r="AG1085" s="1914" t="n"/>
      <c r="AH1085" s="1914" t="n"/>
      <c r="AI1085" s="1914" t="n"/>
      <c r="AJ1085" s="1914" t="n"/>
      <c r="AK1085" s="1914" t="n"/>
      <c r="AL1085" s="1914" t="n"/>
      <c r="AM1085" s="1914" t="n"/>
      <c r="AN1085" s="1914" t="n"/>
      <c r="AO1085" s="1914" t="n"/>
      <c r="AP1085" s="1914" t="n"/>
      <c r="AQ1085" s="1914" t="n"/>
      <c r="AR1085" s="1914" t="n"/>
      <c r="AS1085" s="1914" t="n"/>
      <c r="AT1085" s="1914" t="n"/>
      <c r="AU1085" s="1914" t="n"/>
      <c r="AV1085" s="1914" t="n"/>
      <c r="AW1085" s="1914" t="n"/>
      <c r="AX1085" s="1914" t="n"/>
      <c r="AY1085" s="1914" t="n"/>
      <c r="AZ1085" s="1914" t="n"/>
      <c r="BA1085" s="1914" t="n"/>
      <c r="BB1085" s="1914" t="n"/>
      <c r="BC1085" s="1914" t="n"/>
      <c r="BD1085" s="1914" t="n"/>
      <c r="BE1085" s="1914" t="n"/>
      <c r="BF1085" s="1914" t="n"/>
      <c r="BG1085" s="1914" t="n"/>
      <c r="BH1085" s="1914" t="n"/>
      <c r="BI1085" s="1914" t="n"/>
      <c r="BJ1085" s="1914" t="n"/>
      <c r="BK1085" s="1914" t="n"/>
      <c r="BL1085" s="1914" t="n"/>
      <c r="BM1085" s="1914" t="n"/>
      <c r="BN1085" s="1914" t="n"/>
      <c r="BO1085" s="1915" t="n"/>
      <c r="BP1085" s="1914" t="n"/>
      <c r="BQ1085" s="1914" t="n"/>
      <c r="BR1085" s="1914" t="n"/>
      <c r="BS1085" s="1914" t="n"/>
      <c r="BT1085" s="1914" t="n"/>
      <c r="BU1085" s="1914" t="n"/>
      <c r="BV1085" s="1914" t="n"/>
      <c r="BW1085" s="1914" t="n"/>
      <c r="BX1085" s="1914" t="n"/>
      <c r="BY1085" s="1914" t="n"/>
      <c r="BZ1085" s="1914" t="n"/>
      <c r="CA1085" s="1914" t="n"/>
      <c r="CB1085" s="1916" t="n"/>
      <c r="CC1085" s="1858" t="n"/>
    </row>
    <row r="1086" ht="14.4" customFormat="1" customHeight="1" s="1275">
      <c r="A1086" s="1823" t="n"/>
      <c r="B1086" s="1878" t="n"/>
      <c r="C1086" s="1883" t="n"/>
      <c r="D1086" s="1883" t="n"/>
      <c r="E1086" s="1882" t="n"/>
      <c r="F1086" s="1882" t="n"/>
      <c r="G1086" s="1882" t="n"/>
      <c r="H1086" s="1882" t="n"/>
      <c r="I1086" s="1882" t="n"/>
      <c r="J1086" s="1882" t="n"/>
      <c r="K1086" s="1882" t="n"/>
      <c r="L1086" s="1882" t="n"/>
      <c r="M1086" s="1882" t="n"/>
      <c r="N1086" s="1882" t="n"/>
      <c r="O1086" s="1882" t="n"/>
      <c r="P1086" s="1882" t="n"/>
      <c r="Q1086" s="1882" t="n"/>
      <c r="R1086" s="1882" t="n"/>
      <c r="S1086" s="1882" t="n"/>
      <c r="T1086" s="1882" t="n"/>
      <c r="U1086" s="1882" t="n"/>
      <c r="V1086" s="1882" t="n"/>
      <c r="W1086" s="1882" t="n"/>
      <c r="X1086" s="1882" t="n"/>
      <c r="Y1086" s="1882" t="n"/>
      <c r="Z1086" s="1882" t="n"/>
      <c r="AA1086" s="1882" t="n"/>
      <c r="AB1086" s="1882" t="n"/>
      <c r="AC1086" s="1882" t="n"/>
      <c r="AD1086" s="1882" t="n"/>
      <c r="AE1086" s="1882" t="n"/>
      <c r="AF1086" s="1882" t="n"/>
      <c r="AG1086" s="1882" t="n"/>
      <c r="AH1086" s="1882" t="n"/>
      <c r="AI1086" s="1882" t="n"/>
      <c r="AJ1086" s="1882" t="n"/>
      <c r="AK1086" s="1882" t="n"/>
      <c r="AL1086" s="1882" t="n"/>
      <c r="AM1086" s="1882" t="n"/>
      <c r="AN1086" s="1882" t="n"/>
      <c r="AO1086" s="1882" t="n"/>
      <c r="AP1086" s="1882" t="n"/>
      <c r="AQ1086" s="1882" t="n"/>
      <c r="AR1086" s="1882" t="n"/>
      <c r="AS1086" s="1882" t="n"/>
      <c r="AT1086" s="1882" t="n"/>
      <c r="AU1086" s="1882" t="n"/>
      <c r="AV1086" s="1882" t="n"/>
      <c r="AW1086" s="1882" t="n"/>
      <c r="AX1086" s="1882" t="n"/>
      <c r="AY1086" s="1882" t="n"/>
      <c r="AZ1086" s="1882" t="n"/>
      <c r="BA1086" s="1882" t="n"/>
      <c r="BB1086" s="1882" t="n"/>
      <c r="BC1086" s="1882" t="n"/>
      <c r="BD1086" s="1882" t="n"/>
      <c r="BE1086" s="1882" t="n"/>
      <c r="BF1086" s="1882" t="n"/>
      <c r="BG1086" s="1882" t="n"/>
      <c r="BH1086" s="1882" t="n"/>
      <c r="BI1086" s="1882" t="n"/>
      <c r="BJ1086" s="1882" t="n"/>
      <c r="BK1086" s="1882" t="n"/>
      <c r="BL1086" s="1882" t="n"/>
      <c r="BM1086" s="1882" t="n"/>
      <c r="BN1086" s="1882" t="n"/>
      <c r="BO1086" s="1884" t="n"/>
      <c r="BP1086" s="1882" t="n"/>
      <c r="BQ1086" s="1882" t="n"/>
      <c r="BR1086" s="1882" t="n"/>
      <c r="BS1086" s="1882" t="n"/>
      <c r="BT1086" s="1882" t="n"/>
      <c r="BU1086" s="1882" t="n"/>
      <c r="BV1086" s="1882" t="n"/>
      <c r="BW1086" s="1882" t="n"/>
      <c r="BX1086" s="1882" t="n"/>
      <c r="BY1086" s="1882" t="n"/>
      <c r="BZ1086" s="1882" t="n"/>
      <c r="CA1086" s="1882" t="n"/>
      <c r="CB1086" s="1882" t="n"/>
      <c r="CC1086" s="1280" t="n"/>
    </row>
    <row r="1087" ht="14.4" customFormat="1" customHeight="1" s="1275">
      <c r="A1087" s="1917" t="inlineStr">
        <is>
          <t>General Table</t>
        </is>
      </c>
      <c r="B1087" s="1882" t="n"/>
      <c r="C1087" s="1277" t="n"/>
      <c r="D1087" s="1277" t="n"/>
      <c r="E1087" s="1277" t="n"/>
      <c r="F1087" s="1277" t="n"/>
      <c r="G1087" s="1277" t="n"/>
      <c r="H1087" s="1277" t="n"/>
      <c r="I1087" s="1277" t="n"/>
      <c r="J1087" s="1277" t="n"/>
      <c r="K1087" s="1277" t="n"/>
      <c r="L1087" s="1277" t="n"/>
      <c r="M1087" s="1277" t="n"/>
      <c r="N1087" s="1277" t="n"/>
      <c r="O1087" s="1277" t="n"/>
      <c r="P1087" s="1277" t="n"/>
      <c r="Q1087" s="1277" t="n"/>
      <c r="R1087" s="1277" t="n"/>
      <c r="S1087" s="1277" t="n"/>
      <c r="T1087" s="1277" t="n"/>
      <c r="U1087" s="1277" t="n"/>
      <c r="V1087" s="1277" t="n"/>
      <c r="W1087" s="1277" t="n"/>
      <c r="X1087" s="1277" t="n"/>
      <c r="Y1087" s="1277" t="n"/>
      <c r="Z1087" s="1277" t="n"/>
      <c r="AA1087" s="1277" t="n"/>
      <c r="AB1087" s="1277" t="n"/>
      <c r="AC1087" s="1277" t="n"/>
      <c r="AD1087" s="1277" t="n"/>
      <c r="AE1087" s="1277" t="n"/>
      <c r="AF1087" s="1277" t="n"/>
      <c r="AG1087" s="1277" t="n"/>
      <c r="AH1087" s="1277" t="n"/>
      <c r="AI1087" s="1277" t="n"/>
      <c r="AJ1087" s="1277" t="n"/>
      <c r="AK1087" s="1277" t="n"/>
      <c r="AL1087" s="1277" t="n"/>
      <c r="AM1087" s="1277" t="n"/>
      <c r="AN1087" s="1277" t="n"/>
      <c r="AO1087" s="1277" t="n"/>
      <c r="AP1087" s="1277" t="n"/>
      <c r="AQ1087" s="1277" t="n"/>
      <c r="AR1087" s="1277" t="n"/>
      <c r="AS1087" s="1277" t="n"/>
      <c r="AT1087" s="1277" t="n"/>
      <c r="AU1087" s="1277" t="n"/>
      <c r="AV1087" s="1277" t="n"/>
      <c r="AW1087" s="1277" t="n"/>
      <c r="AX1087" s="1277" t="n"/>
      <c r="AY1087" s="1277" t="n"/>
      <c r="AZ1087" s="1277" t="n"/>
      <c r="BA1087" s="1277" t="n"/>
      <c r="BB1087" s="1277" t="n"/>
      <c r="BC1087" s="1277" t="n"/>
      <c r="BD1087" s="1277" t="n"/>
      <c r="BE1087" s="1277" t="n"/>
      <c r="BF1087" s="1277" t="n"/>
      <c r="BG1087" s="1277" t="n"/>
      <c r="BH1087" s="1277" t="n"/>
      <c r="BI1087" s="1277" t="n"/>
      <c r="BJ1087" s="1277" t="n"/>
      <c r="BK1087" s="1277" t="n"/>
      <c r="BL1087" s="1277" t="n"/>
      <c r="BM1087" s="1277" t="n"/>
      <c r="BN1087" s="1277" t="n"/>
      <c r="BO1087" s="1809" t="n"/>
      <c r="BP1087" s="1277" t="n"/>
      <c r="BQ1087" s="1277" t="n"/>
      <c r="BR1087" s="1277" t="n"/>
      <c r="BS1087" s="1277" t="n"/>
      <c r="BT1087" s="1277" t="n"/>
      <c r="BU1087" s="1277" t="n"/>
      <c r="BV1087" s="1277" t="n"/>
      <c r="BW1087" s="1277" t="n"/>
      <c r="BX1087" s="1277" t="n"/>
      <c r="BY1087" s="1277" t="n"/>
      <c r="BZ1087" s="1277" t="n"/>
      <c r="CA1087" s="1277" t="n"/>
      <c r="CB1087" s="1277" t="n"/>
      <c r="CC1087" s="1280" t="n"/>
    </row>
    <row r="1088" ht="14.4" customFormat="1" customHeight="1" s="1750">
      <c r="A1088" s="1751" t="inlineStr">
        <is>
          <t>Last Price</t>
        </is>
      </c>
      <c r="B1088" s="1888">
        <f>FP.LastPrice</f>
        <v/>
      </c>
      <c r="C1088" s="1888" t="n"/>
      <c r="D1088" s="1888" t="n"/>
      <c r="E1088" s="1888" t="n"/>
      <c r="F1088" s="1888" t="n"/>
      <c r="G1088" s="1888" t="n"/>
      <c r="H1088" s="1888" t="n"/>
      <c r="I1088" s="1888" t="n"/>
      <c r="J1088" s="1888" t="n"/>
      <c r="K1088" s="1888" t="n"/>
      <c r="L1088" s="1888" t="n"/>
      <c r="M1088" s="1888" t="n"/>
      <c r="N1088" s="1888" t="n"/>
      <c r="O1088" s="1888" t="n"/>
      <c r="P1088" s="1888" t="n"/>
      <c r="Q1088" s="1888" t="n"/>
      <c r="R1088" s="1888" t="n"/>
      <c r="S1088" s="1888" t="n"/>
      <c r="T1088" s="1888" t="n"/>
      <c r="U1088" s="1888" t="n"/>
      <c r="V1088" s="1888" t="n"/>
      <c r="W1088" s="1888" t="n"/>
      <c r="X1088" s="1888" t="n"/>
      <c r="Y1088" s="1888" t="n"/>
      <c r="Z1088" s="1888" t="n"/>
      <c r="AA1088" s="1888" t="n"/>
      <c r="AB1088" s="1888" t="n"/>
      <c r="AC1088" s="1888" t="n"/>
      <c r="AD1088" s="1888" t="n"/>
      <c r="AE1088" s="1888" t="n"/>
      <c r="AF1088" s="1888" t="n"/>
      <c r="AG1088" s="1888" t="n"/>
      <c r="AH1088" s="1888" t="n"/>
      <c r="AI1088" s="1888" t="n"/>
      <c r="AJ1088" s="1888" t="n"/>
      <c r="AK1088" s="1888" t="n"/>
      <c r="AL1088" s="1888" t="n"/>
      <c r="AM1088" s="1888" t="n"/>
      <c r="AN1088" s="1888" t="n"/>
      <c r="AO1088" s="1888" t="n"/>
      <c r="AP1088" s="1888" t="n"/>
      <c r="AQ1088" s="1888" t="n"/>
      <c r="AR1088" s="1888" t="n"/>
      <c r="AS1088" s="1888" t="n"/>
      <c r="AT1088" s="1888" t="n"/>
      <c r="AU1088" s="1888" t="n"/>
      <c r="AV1088" s="1888" t="n"/>
      <c r="AW1088" s="1888" t="n"/>
      <c r="AX1088" s="1888" t="n"/>
      <c r="AY1088" s="1888" t="n"/>
      <c r="AZ1088" s="1888" t="n"/>
      <c r="BA1088" s="1888" t="n"/>
      <c r="BB1088" s="1888" t="n"/>
      <c r="BC1088" s="1888" t="n"/>
      <c r="BD1088" s="1888" t="n"/>
      <c r="BE1088" s="1888" t="n"/>
      <c r="BF1088" s="1888" t="n"/>
      <c r="BG1088" s="1888" t="n"/>
      <c r="BH1088" s="1888" t="n"/>
      <c r="BI1088" s="1888" t="n"/>
      <c r="BJ1088" s="1888" t="n"/>
      <c r="BK1088" s="1888" t="n"/>
      <c r="BL1088" s="1888" t="n"/>
      <c r="BM1088" s="1888" t="n"/>
      <c r="BN1088" s="1888" t="n"/>
      <c r="BO1088" s="1890" t="n"/>
      <c r="BP1088" s="1888" t="n"/>
      <c r="BQ1088" s="1888" t="n"/>
      <c r="BR1088" s="1888" t="n"/>
      <c r="BS1088" s="1888" t="n"/>
      <c r="BT1088" s="1888" t="n"/>
      <c r="BU1088" s="1888" t="n"/>
      <c r="BV1088" s="1888" t="n"/>
      <c r="BW1088" s="1888" t="n"/>
      <c r="BX1088" s="1888" t="n"/>
      <c r="BY1088" s="1888" t="n"/>
      <c r="BZ1088" s="1888" t="n"/>
      <c r="CA1088" s="1888" t="n"/>
      <c r="CB1088" s="1888" t="n"/>
      <c r="CC1088" s="1758" t="n"/>
    </row>
    <row r="1089" ht="14.4" customHeight="1" s="876">
      <c r="A1089" s="1295" t="inlineStr">
        <is>
          <t>Last Price Date</t>
        </is>
      </c>
      <c r="B1089" s="1918">
        <f>FP.LastPriceDate</f>
        <v/>
      </c>
      <c r="C1089" s="309" t="n"/>
      <c r="D1089" s="309" t="n"/>
      <c r="E1089" s="309" t="n"/>
      <c r="F1089" s="309" t="n"/>
      <c r="G1089" s="309" t="n"/>
      <c r="H1089" s="309" t="n"/>
      <c r="I1089" s="309" t="n"/>
      <c r="J1089" s="309" t="n"/>
      <c r="K1089" s="309" t="n"/>
      <c r="L1089" s="309" t="n"/>
      <c r="M1089" s="309" t="n"/>
      <c r="N1089" s="309" t="n"/>
      <c r="O1089" s="309" t="n"/>
      <c r="P1089" s="309" t="n"/>
      <c r="Q1089" s="309" t="n"/>
      <c r="R1089" s="309" t="n"/>
      <c r="S1089" s="309" t="n"/>
      <c r="T1089" s="309" t="n"/>
      <c r="U1089" s="309" t="n"/>
      <c r="V1089" s="309" t="n"/>
      <c r="W1089" s="309" t="n"/>
      <c r="X1089" s="309" t="n"/>
      <c r="Y1089" s="309" t="n"/>
      <c r="Z1089" s="309" t="n"/>
      <c r="AA1089" s="309" t="n"/>
      <c r="AB1089" s="309" t="n"/>
      <c r="AC1089" s="309" t="n"/>
      <c r="AD1089" s="309" t="n"/>
      <c r="AE1089" s="309" t="n"/>
      <c r="AF1089" s="309" t="n"/>
      <c r="AG1089" s="309" t="n"/>
      <c r="AH1089" s="309" t="n"/>
      <c r="AI1089" s="309" t="n"/>
      <c r="AJ1089" s="309" t="n"/>
      <c r="AK1089" s="309" t="n"/>
      <c r="AL1089" s="309" t="n"/>
      <c r="AM1089" s="309" t="n"/>
      <c r="AN1089" s="309" t="n"/>
      <c r="AO1089" s="309" t="n"/>
      <c r="AP1089" s="309" t="n"/>
      <c r="AQ1089" s="309" t="n"/>
      <c r="AR1089" s="309" t="n"/>
      <c r="AS1089" s="309" t="n"/>
      <c r="AT1089" s="309" t="n"/>
      <c r="AU1089" s="309" t="n"/>
      <c r="AV1089" s="309" t="n"/>
      <c r="AW1089" s="309" t="n"/>
      <c r="AX1089" s="309" t="n"/>
      <c r="AY1089" s="309" t="n"/>
      <c r="AZ1089" s="309" t="n"/>
      <c r="BA1089" s="309" t="n"/>
      <c r="BB1089" s="309" t="n"/>
      <c r="BC1089" s="309" t="n"/>
      <c r="BD1089" s="309" t="n"/>
      <c r="BE1089" s="309" t="n"/>
      <c r="BF1089" s="309" t="n"/>
      <c r="BG1089" s="309" t="n"/>
      <c r="BH1089" s="309" t="n"/>
      <c r="BI1089" s="309" t="n"/>
      <c r="BJ1089" s="309" t="n"/>
      <c r="BK1089" s="309" t="n"/>
      <c r="BL1089" s="309" t="n"/>
      <c r="BM1089" s="309" t="n"/>
      <c r="BN1089" s="309" t="n"/>
      <c r="BO1089" s="381" t="n"/>
      <c r="BP1089" s="309" t="n"/>
      <c r="BQ1089" s="309" t="n"/>
      <c r="BR1089" s="309" t="n"/>
      <c r="BS1089" s="309" t="n"/>
      <c r="BT1089" s="309" t="n"/>
      <c r="BU1089" s="309" t="n"/>
      <c r="BV1089" s="309" t="n"/>
      <c r="BW1089" s="309" t="n"/>
      <c r="BX1089" s="309" t="n"/>
      <c r="BY1089" s="309" t="n"/>
      <c r="BZ1089" s="309" t="n"/>
      <c r="CA1089" s="309" t="n"/>
      <c r="CB1089" s="309" t="n"/>
      <c r="CC1089" s="158" t="n"/>
    </row>
    <row r="1090" ht="14.4" customHeight="1" s="876">
      <c r="A1090" s="1295" t="inlineStr">
        <is>
          <t>Real-Time Stock Price</t>
        </is>
      </c>
      <c r="B1090" s="158">
        <f>IF(FP.RealTimeToggle="ON",TRUE,FALSE)</f>
        <v/>
      </c>
      <c r="C1090" s="309" t="n"/>
      <c r="D1090" s="309" t="n"/>
      <c r="E1090" s="309" t="n"/>
      <c r="F1090" s="309" t="n"/>
      <c r="G1090" s="309" t="n"/>
      <c r="H1090" s="309" t="n"/>
      <c r="I1090" s="309" t="n"/>
      <c r="J1090" s="309" t="n"/>
      <c r="K1090" s="309" t="n"/>
      <c r="L1090" s="309" t="n"/>
      <c r="M1090" s="309" t="n"/>
      <c r="N1090" s="309" t="n"/>
      <c r="O1090" s="309" t="n"/>
      <c r="P1090" s="309" t="n"/>
      <c r="Q1090" s="309" t="n"/>
      <c r="R1090" s="309" t="n"/>
      <c r="S1090" s="309" t="n"/>
      <c r="T1090" s="309" t="n"/>
      <c r="U1090" s="309" t="n"/>
      <c r="V1090" s="309" t="n"/>
      <c r="W1090" s="309" t="n"/>
      <c r="X1090" s="309" t="n"/>
      <c r="Y1090" s="309" t="n"/>
      <c r="Z1090" s="309" t="n"/>
      <c r="AA1090" s="309" t="n"/>
      <c r="AB1090" s="309" t="n"/>
      <c r="AC1090" s="309" t="n"/>
      <c r="AD1090" s="309" t="n"/>
      <c r="AE1090" s="309" t="n"/>
      <c r="AF1090" s="309" t="n"/>
      <c r="AG1090" s="309" t="n"/>
      <c r="AH1090" s="309" t="n"/>
      <c r="AI1090" s="309" t="n"/>
      <c r="AJ1090" s="309" t="n"/>
      <c r="AK1090" s="309" t="n"/>
      <c r="AL1090" s="309" t="n"/>
      <c r="AM1090" s="309" t="n"/>
      <c r="AN1090" s="309" t="n"/>
      <c r="AO1090" s="309" t="n"/>
      <c r="AP1090" s="309" t="n"/>
      <c r="AQ1090" s="309" t="n"/>
      <c r="AR1090" s="309" t="n"/>
      <c r="AS1090" s="309" t="n"/>
      <c r="AT1090" s="309" t="n"/>
      <c r="AU1090" s="309" t="n"/>
      <c r="AV1090" s="309" t="n"/>
      <c r="AW1090" s="309" t="n"/>
      <c r="AX1090" s="309" t="n"/>
      <c r="AY1090" s="309" t="n"/>
      <c r="AZ1090" s="309" t="n"/>
      <c r="BA1090" s="309" t="n"/>
      <c r="BB1090" s="309" t="n"/>
      <c r="BC1090" s="309" t="n"/>
      <c r="BD1090" s="309" t="n"/>
      <c r="BE1090" s="309" t="n"/>
      <c r="BF1090" s="309" t="n"/>
      <c r="BG1090" s="309" t="n"/>
      <c r="BH1090" s="309" t="n"/>
      <c r="BI1090" s="309" t="n"/>
      <c r="BJ1090" s="309" t="n"/>
      <c r="BK1090" s="309" t="n"/>
      <c r="BL1090" s="309" t="n"/>
      <c r="BM1090" s="309" t="n"/>
      <c r="BN1090" s="309" t="n"/>
      <c r="BO1090" s="381" t="n"/>
      <c r="BP1090" s="309" t="n"/>
      <c r="BQ1090" s="309" t="n"/>
      <c r="BR1090" s="309" t="n"/>
      <c r="BS1090" s="309" t="n"/>
      <c r="BT1090" s="309" t="n"/>
      <c r="BU1090" s="309" t="n"/>
      <c r="BV1090" s="309" t="n"/>
      <c r="BW1090" s="309" t="n"/>
      <c r="BX1090" s="309" t="n"/>
      <c r="BY1090" s="309" t="n"/>
      <c r="BZ1090" s="309" t="n"/>
      <c r="CA1090" s="309" t="n"/>
      <c r="CB1090" s="309" t="n"/>
      <c r="CC1090" s="158" t="n"/>
    </row>
    <row r="1091" ht="14.4" customFormat="1" customHeight="1" s="1750">
      <c r="A1091" s="1751" t="inlineStr">
        <is>
          <t>Last Price Formula</t>
        </is>
      </c>
      <c r="B1091" s="1758">
        <f>IFERROR(CHOOSE(MO.DataSourceIndex,BDP(MO.Ticker.Bloomberg&amp;" EQUITY","PX_LAST"),CIQ(MO.Ticker.CapIQ,"IQ_LASTSALEPRICE"),FDS(MO.Ticker.FactSet,"FG_PRICE(NOW)"),_xll.TR(MO.Ticker.Thomson,"TRDPRC_1")),"N/A")</f>
        <v/>
      </c>
      <c r="C1091" s="1919" t="n"/>
      <c r="D1091" s="1919" t="n"/>
      <c r="E1091" s="1919" t="n"/>
      <c r="F1091" s="1919" t="n"/>
      <c r="G1091" s="1919" t="n"/>
      <c r="H1091" s="1919" t="n"/>
      <c r="I1091" s="1919" t="n"/>
      <c r="J1091" s="1919" t="n"/>
      <c r="K1091" s="1919" t="n"/>
      <c r="L1091" s="1919" t="n"/>
      <c r="M1091" s="1919" t="n"/>
      <c r="N1091" s="1919" t="n"/>
      <c r="O1091" s="1919" t="n"/>
      <c r="P1091" s="1919" t="n"/>
      <c r="Q1091" s="1919" t="n"/>
      <c r="R1091" s="1919" t="n"/>
      <c r="S1091" s="1919" t="n"/>
      <c r="T1091" s="1919" t="n"/>
      <c r="U1091" s="1919" t="n"/>
      <c r="V1091" s="1919" t="n"/>
      <c r="W1091" s="1919" t="n"/>
      <c r="X1091" s="1919" t="n"/>
      <c r="Y1091" s="1919" t="n"/>
      <c r="Z1091" s="1919" t="n"/>
      <c r="AA1091" s="1919" t="n"/>
      <c r="AB1091" s="1919" t="n"/>
      <c r="AC1091" s="1919" t="n"/>
      <c r="AD1091" s="1919" t="n"/>
      <c r="AE1091" s="1919" t="n"/>
      <c r="AF1091" s="1919" t="n"/>
      <c r="AG1091" s="1919" t="n"/>
      <c r="AH1091" s="1919" t="n"/>
      <c r="AI1091" s="1919" t="n"/>
      <c r="AJ1091" s="1919" t="n"/>
      <c r="AK1091" s="1919" t="n"/>
      <c r="AL1091" s="1919" t="n"/>
      <c r="AM1091" s="1919" t="n"/>
      <c r="AN1091" s="1919" t="n"/>
      <c r="AO1091" s="1919" t="n"/>
      <c r="AP1091" s="1919" t="n"/>
      <c r="AQ1091" s="1919" t="n"/>
      <c r="AR1091" s="1919" t="n"/>
      <c r="AS1091" s="1919" t="n"/>
      <c r="AT1091" s="1919" t="n"/>
      <c r="AU1091" s="1919" t="n"/>
      <c r="AV1091" s="1919" t="n"/>
      <c r="AW1091" s="1919" t="n"/>
      <c r="AX1091" s="1919" t="n"/>
      <c r="AY1091" s="1919" t="n"/>
      <c r="AZ1091" s="1919" t="n"/>
      <c r="BA1091" s="1919" t="n"/>
      <c r="BB1091" s="1919" t="n"/>
      <c r="BC1091" s="1919" t="n"/>
      <c r="BD1091" s="1919" t="n"/>
      <c r="BE1091" s="1919" t="n"/>
      <c r="BF1091" s="1919" t="n"/>
      <c r="BG1091" s="1919" t="n"/>
      <c r="BH1091" s="1919" t="n"/>
      <c r="BI1091" s="1919" t="n"/>
      <c r="BJ1091" s="1919" t="n"/>
      <c r="BK1091" s="1919" t="n"/>
      <c r="BL1091" s="1919" t="n"/>
      <c r="BM1091" s="1919" t="n"/>
      <c r="BN1091" s="1919" t="n"/>
      <c r="BO1091" s="1920" t="n"/>
      <c r="BP1091" s="1888" t="n"/>
      <c r="BQ1091" s="1888" t="n"/>
      <c r="BR1091" s="1888" t="n"/>
      <c r="BS1091" s="1888" t="n"/>
      <c r="BT1091" s="1888" t="n"/>
      <c r="BU1091" s="1888" t="n"/>
      <c r="BV1091" s="1888" t="n"/>
      <c r="BW1091" s="1888" t="n"/>
      <c r="BX1091" s="1888" t="n"/>
      <c r="BY1091" s="1888" t="n"/>
      <c r="BZ1091" s="1888" t="n"/>
      <c r="CA1091" s="1888" t="n"/>
      <c r="CB1091" s="1888" t="n"/>
      <c r="CC1091" s="1758" t="n"/>
    </row>
    <row r="1092" ht="14.4" customFormat="1" customHeight="1" s="1750">
      <c r="A1092" s="1751" t="inlineStr">
        <is>
          <t>Apply Trade Currency Scaling</t>
        </is>
      </c>
      <c r="B1092" s="1758">
        <f>OR(AND(OR(EXACT(HP.TradeCurrency.HardCoded,"GBp"),EXACT(HP.TradeCurrency.HardCoded,"GBX")),EXACT(HP.ReportCurrency,"GBP")),AND(OR(EXACT(HP.TradeCurrency.HardCoded,"ZAc"),EXACT(HP.TradeCurrency.HardCoded,"ZAC")),EXACT(HP.ReportCurrency,"ZAR")))</f>
        <v/>
      </c>
      <c r="C1092" s="1919" t="n"/>
      <c r="D1092" s="1919" t="n"/>
      <c r="E1092" s="1919" t="n"/>
      <c r="F1092" s="1919" t="n"/>
      <c r="G1092" s="1919" t="n"/>
      <c r="H1092" s="1919" t="n"/>
      <c r="I1092" s="1919" t="n"/>
      <c r="J1092" s="1919" t="n"/>
      <c r="K1092" s="1919" t="n"/>
      <c r="L1092" s="1919" t="n"/>
      <c r="M1092" s="1919" t="n"/>
      <c r="N1092" s="1919" t="n"/>
      <c r="O1092" s="1919" t="n"/>
      <c r="P1092" s="1919" t="n"/>
      <c r="Q1092" s="1919" t="n"/>
      <c r="R1092" s="1919" t="n"/>
      <c r="S1092" s="1919" t="n"/>
      <c r="T1092" s="1919" t="n"/>
      <c r="U1092" s="1919" t="n"/>
      <c r="V1092" s="1919" t="n"/>
      <c r="W1092" s="1919" t="n"/>
      <c r="X1092" s="1919" t="n"/>
      <c r="Y1092" s="1919" t="n"/>
      <c r="Z1092" s="1919" t="n"/>
      <c r="AA1092" s="1919" t="n"/>
      <c r="AB1092" s="1919" t="n"/>
      <c r="AC1092" s="1919" t="n"/>
      <c r="AD1092" s="1919" t="n"/>
      <c r="AE1092" s="1919" t="n"/>
      <c r="AF1092" s="1919" t="n"/>
      <c r="AG1092" s="1919" t="n"/>
      <c r="AH1092" s="1919" t="n"/>
      <c r="AI1092" s="1919" t="n"/>
      <c r="AJ1092" s="1919" t="n"/>
      <c r="AK1092" s="1919" t="n"/>
      <c r="AL1092" s="1919" t="n"/>
      <c r="AM1092" s="1919" t="n"/>
      <c r="AN1092" s="1919" t="n"/>
      <c r="AO1092" s="1919" t="n"/>
      <c r="AP1092" s="1919" t="n"/>
      <c r="AQ1092" s="1919" t="n"/>
      <c r="AR1092" s="1919" t="n"/>
      <c r="AS1092" s="1919" t="n"/>
      <c r="AT1092" s="1919" t="n"/>
      <c r="AU1092" s="1919" t="n"/>
      <c r="AV1092" s="1919" t="n"/>
      <c r="AW1092" s="1919" t="n"/>
      <c r="AX1092" s="1919" t="n"/>
      <c r="AY1092" s="1919" t="n"/>
      <c r="AZ1092" s="1919" t="n"/>
      <c r="BA1092" s="1919" t="n"/>
      <c r="BB1092" s="1919" t="n"/>
      <c r="BC1092" s="1919" t="n"/>
      <c r="BD1092" s="1919" t="n"/>
      <c r="BE1092" s="1919" t="n"/>
      <c r="BF1092" s="1919" t="n"/>
      <c r="BG1092" s="1919" t="n"/>
      <c r="BH1092" s="1919" t="n"/>
      <c r="BI1092" s="1919" t="n"/>
      <c r="BJ1092" s="1919" t="n"/>
      <c r="BK1092" s="1919" t="n"/>
      <c r="BL1092" s="1919" t="n"/>
      <c r="BM1092" s="1919" t="n"/>
      <c r="BN1092" s="1919" t="n"/>
      <c r="BO1092" s="1920" t="n"/>
      <c r="BP1092" s="1888" t="n"/>
      <c r="BQ1092" s="1888" t="n"/>
      <c r="BR1092" s="1888" t="n"/>
      <c r="BS1092" s="1888" t="n"/>
      <c r="BT1092" s="1888" t="n"/>
      <c r="BU1092" s="1888" t="n"/>
      <c r="BV1092" s="1888" t="n"/>
      <c r="BW1092" s="1888" t="n"/>
      <c r="BX1092" s="1888" t="n"/>
      <c r="BY1092" s="1888" t="n"/>
      <c r="BZ1092" s="1888" t="n"/>
      <c r="CA1092" s="1888" t="n"/>
      <c r="CB1092" s="1888" t="n"/>
      <c r="CC1092" s="1758" t="n"/>
    </row>
    <row r="1093" ht="14.4" customFormat="1" customHeight="1" s="1750">
      <c r="A1093" s="1751" t="inlineStr">
        <is>
          <t>Trade Currency</t>
        </is>
      </c>
      <c r="B1093" s="1758">
        <f>IFERROR(CHOOSE(MO.DataSourceIndex,BDP(HP.Ticker&amp;" Equity","CRNCY"),CIQ(HP.Ticker,"IQ_TRADING_CURRENCY"),FDS(HP.Ticker,"P_CURRENCY(""ISO"")"),_xll.TR(HP.Ticker,"Currency")),HP.TradeCurrency.HardCoded)</f>
        <v/>
      </c>
      <c r="C1093" s="1888" t="n"/>
      <c r="D1093" s="1888" t="n"/>
      <c r="E1093" s="1888" t="n"/>
      <c r="F1093" s="1888" t="n"/>
      <c r="G1093" s="1888" t="n"/>
      <c r="H1093" s="1888" t="n"/>
      <c r="I1093" s="1888" t="n"/>
      <c r="J1093" s="1888" t="n"/>
      <c r="K1093" s="1888" t="n"/>
      <c r="L1093" s="1888" t="n"/>
      <c r="M1093" s="1888" t="n"/>
      <c r="N1093" s="1888" t="n"/>
      <c r="O1093" s="1888" t="n"/>
      <c r="P1093" s="1888" t="n"/>
      <c r="Q1093" s="1888" t="n"/>
      <c r="R1093" s="1888" t="n"/>
      <c r="S1093" s="1888" t="n"/>
      <c r="T1093" s="1888" t="n"/>
      <c r="U1093" s="1888" t="n"/>
      <c r="V1093" s="1888" t="n"/>
      <c r="W1093" s="1888" t="n"/>
      <c r="X1093" s="1888" t="n"/>
      <c r="Y1093" s="1888" t="n"/>
      <c r="Z1093" s="1888" t="n"/>
      <c r="AA1093" s="1888" t="n"/>
      <c r="AB1093" s="1888" t="n"/>
      <c r="AC1093" s="1888" t="n"/>
      <c r="AD1093" s="1888" t="n"/>
      <c r="AE1093" s="1888" t="n"/>
      <c r="AF1093" s="1888" t="n"/>
      <c r="AG1093" s="1888" t="n"/>
      <c r="AH1093" s="1888" t="n"/>
      <c r="AI1093" s="1888" t="n"/>
      <c r="AJ1093" s="1888" t="n"/>
      <c r="AK1093" s="1888" t="n"/>
      <c r="AL1093" s="1888" t="n"/>
      <c r="AM1093" s="1888" t="n"/>
      <c r="AN1093" s="1888" t="n"/>
      <c r="AO1093" s="1888" t="n"/>
      <c r="AP1093" s="1888" t="n"/>
      <c r="AQ1093" s="1888" t="n"/>
      <c r="AR1093" s="1888" t="n"/>
      <c r="AS1093" s="1888" t="n"/>
      <c r="AT1093" s="1888" t="n"/>
      <c r="AU1093" s="1888" t="n"/>
      <c r="AV1093" s="1888" t="n"/>
      <c r="AW1093" s="1888" t="n"/>
      <c r="AX1093" s="1888" t="n"/>
      <c r="AY1093" s="1888" t="n"/>
      <c r="AZ1093" s="1888" t="n"/>
      <c r="BA1093" s="1888" t="n"/>
      <c r="BB1093" s="1888" t="n"/>
      <c r="BC1093" s="1888" t="n"/>
      <c r="BD1093" s="1888" t="n"/>
      <c r="BE1093" s="1888" t="n"/>
      <c r="BF1093" s="1888" t="n"/>
      <c r="BG1093" s="1888" t="n"/>
      <c r="BH1093" s="1888" t="n"/>
      <c r="BI1093" s="1888" t="n"/>
      <c r="BJ1093" s="1888" t="n"/>
      <c r="BK1093" s="1888" t="n"/>
      <c r="BL1093" s="1888" t="n"/>
      <c r="BM1093" s="1888" t="n"/>
      <c r="BN1093" s="1888" t="n"/>
      <c r="BO1093" s="1890" t="n"/>
      <c r="BP1093" s="1888" t="n"/>
      <c r="BQ1093" s="1888" t="n"/>
      <c r="BR1093" s="1888" t="n"/>
      <c r="BS1093" s="1888" t="n"/>
      <c r="BT1093" s="1888" t="n"/>
      <c r="BU1093" s="1888" t="n"/>
      <c r="BV1093" s="1888" t="n"/>
      <c r="BW1093" s="1888" t="n"/>
      <c r="BX1093" s="1888" t="n"/>
      <c r="BY1093" s="1888" t="n"/>
      <c r="BZ1093" s="1888" t="n"/>
      <c r="CA1093" s="1888" t="n"/>
      <c r="CB1093" s="1888" t="n"/>
      <c r="CC1093" s="1758" t="n"/>
    </row>
    <row r="1094" ht="14.4" customFormat="1" customHeight="1" s="1750">
      <c r="A1094" s="1751" t="inlineStr">
        <is>
          <t>Trade Currency Hardcoded</t>
        </is>
      </c>
      <c r="B1094" s="1895" t="inlineStr">
        <is>
          <t>USD</t>
        </is>
      </c>
      <c r="C1094" s="1888" t="n"/>
      <c r="D1094" s="1888" t="n"/>
      <c r="E1094" s="1888" t="n"/>
      <c r="F1094" s="1888" t="n"/>
      <c r="G1094" s="1888" t="n"/>
      <c r="H1094" s="1888" t="n"/>
      <c r="I1094" s="1888" t="n"/>
      <c r="J1094" s="1888" t="n"/>
      <c r="K1094" s="1888" t="n"/>
      <c r="L1094" s="1888" t="n"/>
      <c r="M1094" s="1888" t="n"/>
      <c r="N1094" s="1888" t="n"/>
      <c r="O1094" s="1888" t="n"/>
      <c r="P1094" s="1888" t="n"/>
      <c r="Q1094" s="1888" t="n"/>
      <c r="R1094" s="1888" t="n"/>
      <c r="S1094" s="1888" t="n"/>
      <c r="T1094" s="1888" t="n"/>
      <c r="U1094" s="1888" t="n"/>
      <c r="V1094" s="1888" t="n"/>
      <c r="W1094" s="1888" t="n"/>
      <c r="X1094" s="1888" t="n"/>
      <c r="Y1094" s="1888" t="n"/>
      <c r="Z1094" s="1888" t="n"/>
      <c r="AA1094" s="1888" t="n"/>
      <c r="AB1094" s="1888" t="n"/>
      <c r="AC1094" s="1888" t="n"/>
      <c r="AD1094" s="1888" t="n"/>
      <c r="AE1094" s="1888" t="n"/>
      <c r="AF1094" s="1888" t="n"/>
      <c r="AG1094" s="1888" t="n"/>
      <c r="AH1094" s="1888" t="n"/>
      <c r="AI1094" s="1888" t="n"/>
      <c r="AJ1094" s="1888" t="n"/>
      <c r="AK1094" s="1888" t="n"/>
      <c r="AL1094" s="1888" t="n"/>
      <c r="AM1094" s="1888" t="n"/>
      <c r="AN1094" s="1888" t="n"/>
      <c r="AO1094" s="1888" t="n"/>
      <c r="AP1094" s="1888" t="n"/>
      <c r="AQ1094" s="1888" t="n"/>
      <c r="AR1094" s="1888" t="n"/>
      <c r="AS1094" s="1888" t="n"/>
      <c r="AT1094" s="1888" t="n"/>
      <c r="AU1094" s="1888" t="n"/>
      <c r="AV1094" s="1888" t="n"/>
      <c r="AW1094" s="1888" t="n"/>
      <c r="AX1094" s="1888" t="n"/>
      <c r="AY1094" s="1888" t="n"/>
      <c r="AZ1094" s="1888" t="n"/>
      <c r="BA1094" s="1888" t="n"/>
      <c r="BB1094" s="1888" t="n"/>
      <c r="BC1094" s="1888" t="n"/>
      <c r="BD1094" s="1888" t="n"/>
      <c r="BE1094" s="1888" t="n"/>
      <c r="BF1094" s="1888" t="n"/>
      <c r="BG1094" s="1888" t="n"/>
      <c r="BH1094" s="1888" t="n"/>
      <c r="BI1094" s="1888" t="n"/>
      <c r="BJ1094" s="1888" t="n"/>
      <c r="BK1094" s="1888" t="n"/>
      <c r="BL1094" s="1888" t="n"/>
      <c r="BM1094" s="1888" t="n"/>
      <c r="BN1094" s="1888" t="n"/>
      <c r="BO1094" s="1890" t="n"/>
      <c r="BP1094" s="1888" t="n"/>
      <c r="BQ1094" s="1888" t="n"/>
      <c r="BR1094" s="1888" t="n"/>
      <c r="BS1094" s="1888" t="n"/>
      <c r="BT1094" s="1888" t="n"/>
      <c r="BU1094" s="1888" t="n"/>
      <c r="BV1094" s="1888" t="n"/>
      <c r="BW1094" s="1888" t="n"/>
      <c r="BX1094" s="1888" t="n"/>
      <c r="BY1094" s="1888" t="n"/>
      <c r="BZ1094" s="1888" t="n"/>
      <c r="CA1094" s="1888" t="n"/>
      <c r="CB1094" s="1888" t="n"/>
      <c r="CC1094" s="1758" t="n"/>
    </row>
    <row r="1095" ht="14.4" customFormat="1" customHeight="1" s="1750">
      <c r="A1095" s="1751" t="inlineStr">
        <is>
          <t>Model Sheet Currency Hardcoded</t>
        </is>
      </c>
      <c r="B1095" s="1895" t="inlineStr">
        <is>
          <t>TWD</t>
        </is>
      </c>
      <c r="C1095" s="1888" t="n"/>
      <c r="D1095" s="1888" t="n"/>
      <c r="E1095" s="1888" t="n"/>
      <c r="F1095" s="1888" t="n"/>
      <c r="G1095" s="1888" t="n"/>
      <c r="H1095" s="1888" t="n"/>
      <c r="I1095" s="1888" t="n"/>
      <c r="J1095" s="1888" t="n"/>
      <c r="K1095" s="1888" t="n"/>
      <c r="L1095" s="1888" t="n"/>
      <c r="M1095" s="1888" t="n"/>
      <c r="N1095" s="1888" t="n"/>
      <c r="O1095" s="1888" t="n"/>
      <c r="P1095" s="1888" t="n"/>
      <c r="Q1095" s="1888" t="n"/>
      <c r="R1095" s="1888" t="n"/>
      <c r="S1095" s="1888" t="n"/>
      <c r="T1095" s="1888" t="n"/>
      <c r="U1095" s="1888" t="n"/>
      <c r="V1095" s="1888" t="n"/>
      <c r="W1095" s="1888" t="n"/>
      <c r="X1095" s="1888" t="n"/>
      <c r="Y1095" s="1888" t="n"/>
      <c r="Z1095" s="1888" t="n"/>
      <c r="AA1095" s="1888" t="n"/>
      <c r="AB1095" s="1888" t="n"/>
      <c r="AC1095" s="1888" t="n"/>
      <c r="AD1095" s="1888" t="n"/>
      <c r="AE1095" s="1888" t="n"/>
      <c r="AF1095" s="1888" t="n"/>
      <c r="AG1095" s="1888" t="n"/>
      <c r="AH1095" s="1888" t="n"/>
      <c r="AI1095" s="1888" t="n"/>
      <c r="AJ1095" s="1888" t="n"/>
      <c r="AK1095" s="1888" t="n"/>
      <c r="AL1095" s="1888" t="n"/>
      <c r="AM1095" s="1888" t="n"/>
      <c r="AN1095" s="1888" t="n"/>
      <c r="AO1095" s="1888" t="n"/>
      <c r="AP1095" s="1888" t="n"/>
      <c r="AQ1095" s="1888" t="n"/>
      <c r="AR1095" s="1888" t="n"/>
      <c r="AS1095" s="1888" t="n"/>
      <c r="AT1095" s="1888" t="n"/>
      <c r="AU1095" s="1888" t="n"/>
      <c r="AV1095" s="1888" t="n"/>
      <c r="AW1095" s="1888" t="n"/>
      <c r="AX1095" s="1888" t="n"/>
      <c r="AY1095" s="1888" t="n"/>
      <c r="AZ1095" s="1888" t="n"/>
      <c r="BA1095" s="1888" t="n"/>
      <c r="BB1095" s="1888" t="n"/>
      <c r="BC1095" s="1888" t="n"/>
      <c r="BD1095" s="1888" t="n"/>
      <c r="BE1095" s="1888" t="n"/>
      <c r="BF1095" s="1888" t="n"/>
      <c r="BG1095" s="1888" t="n"/>
      <c r="BH1095" s="1888" t="n"/>
      <c r="BI1095" s="1888" t="n"/>
      <c r="BJ1095" s="1888" t="n"/>
      <c r="BK1095" s="1888" t="n"/>
      <c r="BL1095" s="1888" t="n"/>
      <c r="BM1095" s="1888" t="n"/>
      <c r="BN1095" s="1888" t="n"/>
      <c r="BO1095" s="1890" t="n"/>
      <c r="BP1095" s="1888" t="n"/>
      <c r="BQ1095" s="1888" t="n"/>
      <c r="BR1095" s="1888" t="n"/>
      <c r="BS1095" s="1888" t="n"/>
      <c r="BT1095" s="1888" t="n"/>
      <c r="BU1095" s="1888" t="n"/>
      <c r="BV1095" s="1888" t="n"/>
      <c r="BW1095" s="1888" t="n"/>
      <c r="BX1095" s="1888" t="n"/>
      <c r="BY1095" s="1888" t="n"/>
      <c r="BZ1095" s="1888" t="n"/>
      <c r="CA1095" s="1888" t="n"/>
      <c r="CB1095" s="1888" t="n"/>
      <c r="CC1095" s="1758" t="n"/>
    </row>
    <row r="1096" ht="14.4" customFormat="1" customHeight="1" s="1750">
      <c r="A1096" s="1751" t="inlineStr">
        <is>
          <t>Most Recent FX</t>
        </is>
      </c>
      <c r="B1096" s="1526">
        <f>IF(EXACT(MO.ReportFX,HP.TradeCurrency),1,IF(OR(INDEX(MO_SPT_FXAverage,1,MO.MRFPColumnNumber+1)="N/A",ISERROR(INDEX(MO_SPT_FXAverage,1,MO.MRFPColumnNumber+1))),MO.MRFX.Hardcoded,INDEX(MO_SPT_FXAverage,1,MO.MRFPColumnNumber+1)))</f>
        <v/>
      </c>
      <c r="C1096" s="1888" t="n"/>
      <c r="D1096" s="1888" t="n"/>
      <c r="E1096" s="1888" t="n"/>
      <c r="F1096" s="1888" t="n"/>
      <c r="G1096" s="1888" t="n"/>
      <c r="H1096" s="1888" t="n"/>
      <c r="I1096" s="1888" t="n"/>
      <c r="J1096" s="1888" t="n"/>
      <c r="K1096" s="1888" t="n"/>
      <c r="L1096" s="1888" t="n"/>
      <c r="M1096" s="1888" t="n"/>
      <c r="N1096" s="1888" t="n"/>
      <c r="O1096" s="1888" t="n"/>
      <c r="P1096" s="1888" t="n"/>
      <c r="Q1096" s="1888" t="n"/>
      <c r="R1096" s="1888" t="n"/>
      <c r="S1096" s="1888" t="n"/>
      <c r="T1096" s="1888" t="n"/>
      <c r="U1096" s="1888" t="n"/>
      <c r="V1096" s="1888" t="n"/>
      <c r="W1096" s="1888" t="n"/>
      <c r="X1096" s="1888" t="n"/>
      <c r="Y1096" s="1888" t="n"/>
      <c r="Z1096" s="1888" t="n"/>
      <c r="AA1096" s="1888" t="n"/>
      <c r="AB1096" s="1888" t="n"/>
      <c r="AC1096" s="1888" t="n"/>
      <c r="AD1096" s="1888" t="n"/>
      <c r="AE1096" s="1888" t="n"/>
      <c r="AF1096" s="1888" t="n"/>
      <c r="AG1096" s="1888" t="n"/>
      <c r="AH1096" s="1888" t="n"/>
      <c r="AI1096" s="1888" t="n"/>
      <c r="AJ1096" s="1888" t="n"/>
      <c r="AK1096" s="1888" t="n"/>
      <c r="AL1096" s="1888" t="n"/>
      <c r="AM1096" s="1888" t="n"/>
      <c r="AN1096" s="1888" t="n"/>
      <c r="AO1096" s="1888" t="n"/>
      <c r="AP1096" s="1888" t="n"/>
      <c r="AQ1096" s="1888" t="n"/>
      <c r="AR1096" s="1888" t="n"/>
      <c r="AS1096" s="1888" t="n"/>
      <c r="AT1096" s="1888" t="n"/>
      <c r="AU1096" s="1888" t="n"/>
      <c r="AV1096" s="1888" t="n"/>
      <c r="AW1096" s="1888" t="n"/>
      <c r="AX1096" s="1888" t="n"/>
      <c r="AY1096" s="1888" t="n"/>
      <c r="AZ1096" s="1888" t="n"/>
      <c r="BA1096" s="1888" t="n"/>
      <c r="BB1096" s="1888" t="n"/>
      <c r="BC1096" s="1888" t="n"/>
      <c r="BD1096" s="1888" t="n"/>
      <c r="BE1096" s="1888" t="n"/>
      <c r="BF1096" s="1888" t="n"/>
      <c r="BG1096" s="1888" t="n"/>
      <c r="BH1096" s="1888" t="n"/>
      <c r="BI1096" s="1888" t="n"/>
      <c r="BJ1096" s="1888" t="n"/>
      <c r="BK1096" s="1888" t="n"/>
      <c r="BL1096" s="1888" t="n"/>
      <c r="BM1096" s="1888" t="n"/>
      <c r="BN1096" s="1888" t="n"/>
      <c r="BO1096" s="1890" t="n"/>
      <c r="BP1096" s="1888" t="n"/>
      <c r="BQ1096" s="1888" t="n"/>
      <c r="BR1096" s="1888" t="n"/>
      <c r="BS1096" s="1888" t="n"/>
      <c r="BT1096" s="1888" t="n"/>
      <c r="BU1096" s="1888" t="n"/>
      <c r="BV1096" s="1888" t="n"/>
      <c r="BW1096" s="1888" t="n"/>
      <c r="BX1096" s="1888" t="n"/>
      <c r="BY1096" s="1888" t="n"/>
      <c r="BZ1096" s="1888" t="n"/>
      <c r="CA1096" s="1888" t="n"/>
      <c r="CB1096" s="1888" t="n"/>
      <c r="CC1096" s="1758" t="n"/>
    </row>
    <row r="1097" ht="14.4" customFormat="1" customHeight="1" s="1750">
      <c r="A1097" s="1751" t="inlineStr">
        <is>
          <t>Most Recent FX Hardcoded</t>
        </is>
      </c>
      <c r="B1097" s="1522" t="n">
        <v>0.031812</v>
      </c>
      <c r="C1097" s="1888" t="n"/>
      <c r="D1097" s="1888" t="n"/>
      <c r="E1097" s="1888" t="n"/>
      <c r="F1097" s="1888" t="n"/>
      <c r="G1097" s="1888" t="n"/>
      <c r="H1097" s="1888" t="n"/>
      <c r="I1097" s="1888" t="n"/>
      <c r="J1097" s="1888" t="n"/>
      <c r="K1097" s="1888" t="n"/>
      <c r="L1097" s="1888" t="n"/>
      <c r="M1097" s="1888" t="n"/>
      <c r="N1097" s="1888" t="n"/>
      <c r="O1097" s="1888" t="n"/>
      <c r="P1097" s="1888" t="n"/>
      <c r="Q1097" s="1888" t="n"/>
      <c r="R1097" s="1888" t="n"/>
      <c r="S1097" s="1888" t="n"/>
      <c r="T1097" s="1888" t="n"/>
      <c r="U1097" s="1888" t="n"/>
      <c r="V1097" s="1888" t="n"/>
      <c r="W1097" s="1888" t="n"/>
      <c r="X1097" s="1888" t="n"/>
      <c r="Y1097" s="1888" t="n"/>
      <c r="Z1097" s="1888" t="n"/>
      <c r="AA1097" s="1888" t="n"/>
      <c r="AB1097" s="1888" t="n"/>
      <c r="AC1097" s="1888" t="n"/>
      <c r="AD1097" s="1888" t="n"/>
      <c r="AE1097" s="1888" t="n"/>
      <c r="AF1097" s="1888" t="n"/>
      <c r="AG1097" s="1888" t="n"/>
      <c r="AH1097" s="1888" t="n"/>
      <c r="AI1097" s="1888" t="n"/>
      <c r="AJ1097" s="1888" t="n"/>
      <c r="AK1097" s="1888" t="n"/>
      <c r="AL1097" s="1888" t="n"/>
      <c r="AM1097" s="1888" t="n"/>
      <c r="AN1097" s="1888" t="n"/>
      <c r="AO1097" s="1888" t="n"/>
      <c r="AP1097" s="1888" t="n"/>
      <c r="AQ1097" s="1888" t="n"/>
      <c r="AR1097" s="1888" t="n"/>
      <c r="AS1097" s="1888" t="n"/>
      <c r="AT1097" s="1888" t="n"/>
      <c r="AU1097" s="1888" t="n"/>
      <c r="AV1097" s="1888" t="n"/>
      <c r="AW1097" s="1888" t="n"/>
      <c r="AX1097" s="1888" t="n"/>
      <c r="AY1097" s="1888" t="n"/>
      <c r="AZ1097" s="1888" t="n"/>
      <c r="BA1097" s="1888" t="n"/>
      <c r="BB1097" s="1888" t="n"/>
      <c r="BC1097" s="1888" t="n"/>
      <c r="BD1097" s="1888" t="n"/>
      <c r="BE1097" s="1888" t="n"/>
      <c r="BF1097" s="1888" t="n"/>
      <c r="BG1097" s="1888" t="n"/>
      <c r="BH1097" s="1888" t="n"/>
      <c r="BI1097" s="1888" t="n"/>
      <c r="BJ1097" s="1888" t="n"/>
      <c r="BK1097" s="1888" t="n"/>
      <c r="BL1097" s="1888" t="n"/>
      <c r="BM1097" s="1888" t="n"/>
      <c r="BN1097" s="1888" t="n"/>
      <c r="BO1097" s="1890" t="n"/>
      <c r="BP1097" s="1888" t="n"/>
      <c r="BQ1097" s="1888" t="n"/>
      <c r="BR1097" s="1888" t="n"/>
      <c r="BS1097" s="1888" t="n"/>
      <c r="BT1097" s="1888" t="n"/>
      <c r="BU1097" s="1888" t="n"/>
      <c r="BV1097" s="1888" t="n"/>
      <c r="BW1097" s="1888" t="n"/>
      <c r="BX1097" s="1888" t="n"/>
      <c r="BY1097" s="1888" t="n"/>
      <c r="BZ1097" s="1888" t="n"/>
      <c r="CA1097" s="1888" t="n"/>
      <c r="CB1097" s="1888" t="n"/>
      <c r="CC1097" s="1758" t="n"/>
    </row>
    <row r="1098" ht="14.4" customFormat="1" customHeight="1" s="1373">
      <c r="A1098" s="1921" t="inlineStr">
        <is>
          <t>MRFP Column Number</t>
        </is>
      </c>
      <c r="B1098" s="1380">
        <f>MATCH(MO.MRFP,MO_Common_ColumnHeader,0)</f>
        <v/>
      </c>
      <c r="C1098" s="1278" t="n"/>
      <c r="D1098" s="1278" t="n"/>
      <c r="E1098" s="1278" t="n"/>
      <c r="F1098" s="1278" t="n"/>
      <c r="G1098" s="1278" t="n"/>
      <c r="H1098" s="1278" t="n"/>
      <c r="I1098" s="1278" t="n"/>
      <c r="J1098" s="1278" t="n"/>
      <c r="K1098" s="1278" t="n"/>
      <c r="L1098" s="1278" t="n"/>
      <c r="M1098" s="1278" t="n"/>
      <c r="N1098" s="1278" t="n"/>
      <c r="O1098" s="1278" t="n"/>
      <c r="P1098" s="1278" t="n"/>
      <c r="Q1098" s="1278" t="n"/>
      <c r="R1098" s="1278" t="n"/>
      <c r="S1098" s="1278" t="n"/>
      <c r="T1098" s="1278" t="n"/>
      <c r="U1098" s="1278" t="n"/>
      <c r="V1098" s="1278" t="n"/>
      <c r="W1098" s="1278" t="n"/>
      <c r="X1098" s="1278" t="n"/>
      <c r="Y1098" s="1278" t="n"/>
      <c r="Z1098" s="1278" t="n"/>
      <c r="AA1098" s="1278" t="n"/>
      <c r="AB1098" s="1278" t="n"/>
      <c r="AC1098" s="1278" t="n"/>
      <c r="AD1098" s="1278" t="n"/>
      <c r="AE1098" s="1278" t="n"/>
      <c r="AF1098" s="1278" t="n"/>
      <c r="AG1098" s="1278" t="n"/>
      <c r="AH1098" s="1278" t="n"/>
      <c r="AI1098" s="1278" t="n"/>
      <c r="AJ1098" s="1278" t="n"/>
      <c r="AK1098" s="1278" t="n"/>
      <c r="AL1098" s="1278" t="n"/>
      <c r="AM1098" s="1278" t="n"/>
      <c r="AN1098" s="1278" t="n"/>
      <c r="AO1098" s="1278" t="n"/>
      <c r="AP1098" s="1278" t="n"/>
      <c r="AQ1098" s="1278" t="n"/>
      <c r="AR1098" s="1278" t="n"/>
      <c r="AS1098" s="1278" t="n"/>
      <c r="AT1098" s="1278" t="n"/>
      <c r="AU1098" s="1278" t="n"/>
      <c r="AV1098" s="1278" t="n"/>
      <c r="AW1098" s="1278" t="n"/>
      <c r="AX1098" s="1278" t="n"/>
      <c r="AY1098" s="1278" t="n"/>
      <c r="AZ1098" s="1278" t="n"/>
      <c r="BA1098" s="1278" t="n"/>
      <c r="BB1098" s="1278" t="n"/>
      <c r="BC1098" s="1278" t="n"/>
      <c r="BD1098" s="1278" t="n"/>
      <c r="BE1098" s="1278" t="n"/>
      <c r="BF1098" s="1278" t="n"/>
      <c r="BG1098" s="1278" t="n"/>
      <c r="BH1098" s="1278" t="n"/>
      <c r="BI1098" s="1278" t="n"/>
      <c r="BJ1098" s="1278" t="n"/>
      <c r="BK1098" s="1278" t="n"/>
      <c r="BL1098" s="1278" t="n"/>
      <c r="BM1098" s="1278" t="n"/>
      <c r="BN1098" s="1278" t="n"/>
      <c r="BO1098" s="1279" t="n"/>
      <c r="BP1098" s="1278" t="n"/>
      <c r="BQ1098" s="1278" t="n"/>
      <c r="BR1098" s="1278" t="n"/>
      <c r="BS1098" s="1278" t="n"/>
      <c r="BT1098" s="1278" t="n"/>
      <c r="BU1098" s="1278" t="n"/>
      <c r="BV1098" s="1278" t="n"/>
      <c r="BW1098" s="1278" t="n"/>
      <c r="BX1098" s="1278" t="n"/>
      <c r="BY1098" s="1278" t="n"/>
      <c r="BZ1098" s="1278" t="n"/>
      <c r="CA1098" s="1278" t="n"/>
      <c r="CB1098" s="1278" t="n"/>
      <c r="CC1098" s="1380" t="n"/>
    </row>
    <row r="1099" ht="14.4" customFormat="1" customHeight="1" s="1373">
      <c r="A1099" s="1921" t="inlineStr">
        <is>
          <t>Most Recent Fiscal Period (MRFP)</t>
        </is>
      </c>
      <c r="B1099" s="1378" t="inlineStr">
        <is>
          <t>FY2025</t>
        </is>
      </c>
      <c r="C1099" s="1278" t="n"/>
      <c r="D1099" s="1278" t="n"/>
      <c r="E1099" s="1278" t="n"/>
      <c r="F1099" s="1278" t="n"/>
      <c r="G1099" s="1278" t="n"/>
      <c r="H1099" s="1278" t="n"/>
      <c r="I1099" s="1278" t="n"/>
      <c r="J1099" s="1278" t="n"/>
      <c r="K1099" s="1278" t="n"/>
      <c r="L1099" s="1278" t="n"/>
      <c r="M1099" s="1278" t="n"/>
      <c r="N1099" s="1278" t="n"/>
      <c r="O1099" s="1278" t="n"/>
      <c r="P1099" s="1278" t="n"/>
      <c r="Q1099" s="1278" t="n"/>
      <c r="R1099" s="1278" t="n"/>
      <c r="S1099" s="1278" t="n"/>
      <c r="T1099" s="1278" t="n"/>
      <c r="U1099" s="1278" t="n"/>
      <c r="V1099" s="1278" t="n"/>
      <c r="W1099" s="1278" t="n"/>
      <c r="X1099" s="1278" t="n"/>
      <c r="Y1099" s="1278" t="n"/>
      <c r="Z1099" s="1278" t="n"/>
      <c r="AA1099" s="1278" t="n"/>
      <c r="AB1099" s="1278" t="n"/>
      <c r="AC1099" s="1278" t="n"/>
      <c r="AD1099" s="1278" t="n"/>
      <c r="AE1099" s="1278" t="n"/>
      <c r="AF1099" s="1278" t="n"/>
      <c r="AG1099" s="1278" t="n"/>
      <c r="AH1099" s="1278" t="n"/>
      <c r="AI1099" s="1278" t="n"/>
      <c r="AJ1099" s="1278" t="n"/>
      <c r="AK1099" s="1278" t="n"/>
      <c r="AL1099" s="1278" t="n"/>
      <c r="AM1099" s="1278" t="n"/>
      <c r="AN1099" s="1278" t="n"/>
      <c r="AO1099" s="1278" t="n"/>
      <c r="AP1099" s="1278" t="n"/>
      <c r="AQ1099" s="1278" t="n"/>
      <c r="AR1099" s="1278" t="n"/>
      <c r="AS1099" s="1278" t="n"/>
      <c r="AT1099" s="1278" t="n"/>
      <c r="AU1099" s="1278" t="n"/>
      <c r="AV1099" s="1278" t="n"/>
      <c r="AW1099" s="1278" t="n"/>
      <c r="AX1099" s="1278" t="n"/>
      <c r="AY1099" s="1278" t="n"/>
      <c r="AZ1099" s="1278" t="n"/>
      <c r="BA1099" s="1278" t="n"/>
      <c r="BB1099" s="1278" t="n"/>
      <c r="BC1099" s="1278" t="n"/>
      <c r="BD1099" s="1278" t="n"/>
      <c r="BE1099" s="1278" t="n"/>
      <c r="BF1099" s="1278" t="n"/>
      <c r="BG1099" s="1278" t="n"/>
      <c r="BH1099" s="1278" t="n"/>
      <c r="BI1099" s="1278" t="n"/>
      <c r="BJ1099" s="1278" t="n"/>
      <c r="BK1099" s="1278" t="n"/>
      <c r="BL1099" s="1278" t="n"/>
      <c r="BM1099" s="1278" t="n"/>
      <c r="BN1099" s="1278" t="n"/>
      <c r="BO1099" s="1279" t="n"/>
      <c r="BP1099" s="1278" t="n"/>
      <c r="BQ1099" s="1278" t="n"/>
      <c r="BR1099" s="1278" t="n"/>
      <c r="BS1099" s="1278" t="n"/>
      <c r="BT1099" s="1278" t="n"/>
      <c r="BU1099" s="1278" t="n"/>
      <c r="BV1099" s="1278" t="n"/>
      <c r="BW1099" s="1278" t="n"/>
      <c r="BX1099" s="1278" t="n"/>
      <c r="BY1099" s="1278" t="n"/>
      <c r="BZ1099" s="1278" t="n"/>
      <c r="CA1099" s="1278" t="n"/>
      <c r="CB1099" s="1278" t="n"/>
      <c r="CC1099" s="1380" t="n"/>
    </row>
    <row r="1100" ht="14.4" customFormat="1" customHeight="1" s="1373">
      <c r="A1100" s="1921" t="inlineStr">
        <is>
          <t>Current Fiscal Year</t>
        </is>
      </c>
      <c r="B1100" s="1380">
        <f>"FY"&amp;RIGHT(MO.MRFP,4)</f>
        <v/>
      </c>
      <c r="C1100" s="1278" t="n"/>
      <c r="D1100" s="1278" t="n"/>
      <c r="E1100" s="1278" t="n"/>
      <c r="F1100" s="1278" t="n"/>
      <c r="G1100" s="1278" t="n"/>
      <c r="H1100" s="1278" t="n"/>
      <c r="I1100" s="1278" t="n"/>
      <c r="J1100" s="1278" t="n"/>
      <c r="K1100" s="1278" t="n"/>
      <c r="L1100" s="1278" t="n"/>
      <c r="M1100" s="1278" t="n"/>
      <c r="N1100" s="1278" t="n"/>
      <c r="O1100" s="1278" t="n"/>
      <c r="P1100" s="1278" t="n"/>
      <c r="Q1100" s="1278" t="n"/>
      <c r="R1100" s="1278" t="n"/>
      <c r="S1100" s="1278" t="n"/>
      <c r="T1100" s="1278" t="n"/>
      <c r="U1100" s="1278" t="n"/>
      <c r="V1100" s="1278" t="n"/>
      <c r="W1100" s="1278" t="n"/>
      <c r="X1100" s="1278" t="n"/>
      <c r="Y1100" s="1278" t="n"/>
      <c r="Z1100" s="1278" t="n"/>
      <c r="AA1100" s="1278" t="n"/>
      <c r="AB1100" s="1278" t="n"/>
      <c r="AC1100" s="1278" t="n"/>
      <c r="AD1100" s="1278" t="n"/>
      <c r="AE1100" s="1278" t="n"/>
      <c r="AF1100" s="1278" t="n"/>
      <c r="AG1100" s="1278" t="n"/>
      <c r="AH1100" s="1278" t="n"/>
      <c r="AI1100" s="1278" t="n"/>
      <c r="AJ1100" s="1278" t="n"/>
      <c r="AK1100" s="1278" t="n"/>
      <c r="AL1100" s="1278" t="n"/>
      <c r="AM1100" s="1278" t="n"/>
      <c r="AN1100" s="1278" t="n"/>
      <c r="AO1100" s="1278" t="n"/>
      <c r="AP1100" s="1278" t="n"/>
      <c r="AQ1100" s="1278" t="n"/>
      <c r="AR1100" s="1278" t="n"/>
      <c r="AS1100" s="1278" t="n"/>
      <c r="AT1100" s="1278" t="n"/>
      <c r="AU1100" s="1278" t="n"/>
      <c r="AV1100" s="1278" t="n"/>
      <c r="AW1100" s="1278" t="n"/>
      <c r="AX1100" s="1278" t="n"/>
      <c r="AY1100" s="1278" t="n"/>
      <c r="AZ1100" s="1278" t="n"/>
      <c r="BA1100" s="1278" t="n"/>
      <c r="BB1100" s="1278" t="n"/>
      <c r="BC1100" s="1278" t="n"/>
      <c r="BD1100" s="1278" t="n"/>
      <c r="BE1100" s="1278" t="n"/>
      <c r="BF1100" s="1278" t="n"/>
      <c r="BG1100" s="1278" t="n"/>
      <c r="BH1100" s="1278" t="n"/>
      <c r="BI1100" s="1278" t="n"/>
      <c r="BJ1100" s="1278" t="n"/>
      <c r="BK1100" s="1278" t="n"/>
      <c r="BL1100" s="1278" t="n"/>
      <c r="BM1100" s="1278" t="n"/>
      <c r="BN1100" s="1278" t="n"/>
      <c r="BO1100" s="1279" t="n"/>
      <c r="BP1100" s="1278" t="n"/>
      <c r="BQ1100" s="1278" t="n"/>
      <c r="BR1100" s="1278" t="n"/>
      <c r="BS1100" s="1278" t="n"/>
      <c r="BT1100" s="1278" t="n"/>
      <c r="BU1100" s="1278" t="n"/>
      <c r="BV1100" s="1278" t="n"/>
      <c r="BW1100" s="1278" t="n"/>
      <c r="BX1100" s="1278" t="n"/>
      <c r="BY1100" s="1278" t="n"/>
      <c r="BZ1100" s="1278" t="n"/>
      <c r="CA1100" s="1278" t="n"/>
      <c r="CB1100" s="1278" t="n"/>
      <c r="CC1100" s="1380" t="n"/>
    </row>
    <row r="1101" ht="14.4" customFormat="1" customHeight="1" s="1373">
      <c r="A1101" s="1921" t="inlineStr">
        <is>
          <t>First Forecast Fiscal Year</t>
        </is>
      </c>
      <c r="B1101" s="1380">
        <f>"FY"&amp;RIGHT(MO.MRFP,4)+IF(LEFT(MO.MRFP,2)="FY",1,0)</f>
        <v/>
      </c>
      <c r="C1101" s="1278" t="n"/>
      <c r="D1101" s="1278" t="n"/>
      <c r="E1101" s="1278" t="n"/>
      <c r="F1101" s="1278" t="n"/>
      <c r="G1101" s="1278" t="n"/>
      <c r="H1101" s="1278" t="n"/>
      <c r="I1101" s="1278" t="n"/>
      <c r="J1101" s="1278" t="n"/>
      <c r="K1101" s="1278" t="n"/>
      <c r="L1101" s="1278" t="n"/>
      <c r="M1101" s="1278" t="n"/>
      <c r="N1101" s="1278" t="n"/>
      <c r="O1101" s="1278" t="n"/>
      <c r="P1101" s="1278" t="n"/>
      <c r="Q1101" s="1278" t="n"/>
      <c r="R1101" s="1278" t="n"/>
      <c r="S1101" s="1278" t="n"/>
      <c r="T1101" s="1278" t="n"/>
      <c r="U1101" s="1278" t="n"/>
      <c r="V1101" s="1278" t="n"/>
      <c r="W1101" s="1278" t="n"/>
      <c r="X1101" s="1278" t="n"/>
      <c r="Y1101" s="1278" t="n"/>
      <c r="Z1101" s="1278" t="n"/>
      <c r="AA1101" s="1278" t="n"/>
      <c r="AB1101" s="1278" t="n"/>
      <c r="AC1101" s="1278" t="n"/>
      <c r="AD1101" s="1278" t="n"/>
      <c r="AE1101" s="1278" t="n"/>
      <c r="AF1101" s="1278" t="n"/>
      <c r="AG1101" s="1278" t="n"/>
      <c r="AH1101" s="1278" t="n"/>
      <c r="AI1101" s="1278" t="n"/>
      <c r="AJ1101" s="1278" t="n"/>
      <c r="AK1101" s="1278" t="n"/>
      <c r="AL1101" s="1278" t="n"/>
      <c r="AM1101" s="1278" t="n"/>
      <c r="AN1101" s="1278" t="n"/>
      <c r="AO1101" s="1278" t="n"/>
      <c r="AP1101" s="1278" t="n"/>
      <c r="AQ1101" s="1278" t="n"/>
      <c r="AR1101" s="1278" t="n"/>
      <c r="AS1101" s="1278" t="n"/>
      <c r="AT1101" s="1278" t="n"/>
      <c r="AU1101" s="1278" t="n"/>
      <c r="AV1101" s="1278" t="n"/>
      <c r="AW1101" s="1278" t="n"/>
      <c r="AX1101" s="1278" t="n"/>
      <c r="AY1101" s="1278" t="n"/>
      <c r="AZ1101" s="1278" t="n"/>
      <c r="BA1101" s="1278" t="n"/>
      <c r="BB1101" s="1278" t="n"/>
      <c r="BC1101" s="1278" t="n"/>
      <c r="BD1101" s="1278" t="n"/>
      <c r="BE1101" s="1278" t="n"/>
      <c r="BF1101" s="1278" t="n"/>
      <c r="BG1101" s="1278" t="n"/>
      <c r="BH1101" s="1278" t="n"/>
      <c r="BI1101" s="1278" t="n"/>
      <c r="BJ1101" s="1278" t="n"/>
      <c r="BK1101" s="1278" t="n"/>
      <c r="BL1101" s="1278" t="n"/>
      <c r="BM1101" s="1278" t="n"/>
      <c r="BN1101" s="1278" t="n"/>
      <c r="BO1101" s="1279" t="n"/>
      <c r="BP1101" s="1278" t="n"/>
      <c r="BQ1101" s="1278" t="n"/>
      <c r="BR1101" s="1278" t="n"/>
      <c r="BS1101" s="1278" t="n"/>
      <c r="BT1101" s="1278" t="n"/>
      <c r="BU1101" s="1278" t="n"/>
      <c r="BV1101" s="1278" t="n"/>
      <c r="BW1101" s="1278" t="n"/>
      <c r="BX1101" s="1278" t="n"/>
      <c r="BY1101" s="1278" t="n"/>
      <c r="BZ1101" s="1278" t="n"/>
      <c r="CA1101" s="1278" t="n"/>
      <c r="CB1101" s="1278" t="n"/>
      <c r="CC1101" s="1380" t="n"/>
    </row>
    <row r="1102" ht="14.4" customFormat="1" customHeight="1" s="1373">
      <c r="A1102" s="1921" t="inlineStr">
        <is>
          <t>KPI Count</t>
        </is>
      </c>
      <c r="B1102" s="1380">
        <f>COUNTA(tb_KPIs)-1</f>
        <v/>
      </c>
      <c r="C1102" s="1278" t="n"/>
      <c r="D1102" s="1278" t="n"/>
      <c r="E1102" s="1278" t="n"/>
      <c r="F1102" s="1278" t="n"/>
      <c r="G1102" s="1278" t="n"/>
      <c r="H1102" s="1278" t="n"/>
      <c r="I1102" s="1278" t="n"/>
      <c r="J1102" s="1278" t="n"/>
      <c r="K1102" s="1278" t="n"/>
      <c r="L1102" s="1278" t="n"/>
      <c r="M1102" s="1278" t="n"/>
      <c r="N1102" s="1278" t="n"/>
      <c r="O1102" s="1278" t="n"/>
      <c r="P1102" s="1278" t="n"/>
      <c r="Q1102" s="1278" t="n"/>
      <c r="R1102" s="1278" t="n"/>
      <c r="S1102" s="1278" t="n"/>
      <c r="T1102" s="1278" t="n"/>
      <c r="U1102" s="1278" t="n"/>
      <c r="V1102" s="1278" t="n"/>
      <c r="W1102" s="1278" t="n"/>
      <c r="X1102" s="1278" t="n"/>
      <c r="Y1102" s="1278" t="n"/>
      <c r="Z1102" s="1278" t="n"/>
      <c r="AA1102" s="1278" t="n"/>
      <c r="AB1102" s="1278" t="n"/>
      <c r="AC1102" s="1278" t="n"/>
      <c r="AD1102" s="1278" t="n"/>
      <c r="AE1102" s="1278" t="n"/>
      <c r="AF1102" s="1278" t="n"/>
      <c r="AG1102" s="1278" t="n"/>
      <c r="AH1102" s="1278" t="n"/>
      <c r="AI1102" s="1278" t="n"/>
      <c r="AJ1102" s="1278" t="n"/>
      <c r="AK1102" s="1278" t="n"/>
      <c r="AL1102" s="1278" t="n"/>
      <c r="AM1102" s="1278" t="n"/>
      <c r="AN1102" s="1278" t="n"/>
      <c r="AO1102" s="1278" t="n"/>
      <c r="AP1102" s="1278" t="n"/>
      <c r="AQ1102" s="1278" t="n"/>
      <c r="AR1102" s="1278" t="n"/>
      <c r="AS1102" s="1278" t="n"/>
      <c r="AT1102" s="1278" t="n"/>
      <c r="AU1102" s="1278" t="n"/>
      <c r="AV1102" s="1278" t="n"/>
      <c r="AW1102" s="1278" t="n"/>
      <c r="AX1102" s="1278" t="n"/>
      <c r="AY1102" s="1278" t="n"/>
      <c r="AZ1102" s="1278" t="n"/>
      <c r="BA1102" s="1278" t="n"/>
      <c r="BB1102" s="1278" t="n"/>
      <c r="BC1102" s="1278" t="n"/>
      <c r="BD1102" s="1278" t="n"/>
      <c r="BE1102" s="1278" t="n"/>
      <c r="BF1102" s="1278" t="n"/>
      <c r="BG1102" s="1278" t="n"/>
      <c r="BH1102" s="1278" t="n"/>
      <c r="BI1102" s="1278" t="n"/>
      <c r="BJ1102" s="1278" t="n"/>
      <c r="BK1102" s="1278" t="n"/>
      <c r="BL1102" s="1278" t="n"/>
      <c r="BM1102" s="1278" t="n"/>
      <c r="BN1102" s="1278" t="n"/>
      <c r="BO1102" s="1279" t="n"/>
      <c r="BP1102" s="1278" t="n"/>
      <c r="BQ1102" s="1278" t="n"/>
      <c r="BR1102" s="1278" t="n"/>
      <c r="BS1102" s="1278" t="n"/>
      <c r="BT1102" s="1278" t="n"/>
      <c r="BU1102" s="1278" t="n"/>
      <c r="BV1102" s="1278" t="n"/>
      <c r="BW1102" s="1278" t="n"/>
      <c r="BX1102" s="1278" t="n"/>
      <c r="BY1102" s="1278" t="n"/>
      <c r="BZ1102" s="1278" t="n"/>
      <c r="CA1102" s="1278" t="n"/>
      <c r="CB1102" s="1278" t="n"/>
      <c r="CC1102" s="1380" t="n"/>
    </row>
    <row r="1103" ht="14.4" customFormat="1" customHeight="1" s="1373">
      <c r="A1103" s="1922" t="inlineStr">
        <is>
          <t>Data Source Index</t>
        </is>
      </c>
      <c r="B1103" s="1923">
        <f>IF(MO.DataSourceName="Bloomberg",1,IF(MO.DataSourceName="Capital IQ",2,IF(MO.DataSourceName="FactSet",3,IF(MO.DataSourceName="Refinitiv",4,1))))</f>
        <v/>
      </c>
      <c r="C1103" s="1278" t="n"/>
      <c r="D1103" s="1278" t="n"/>
      <c r="E1103" s="1278" t="n"/>
      <c r="F1103" s="1278" t="n"/>
      <c r="G1103" s="1278" t="n"/>
      <c r="H1103" s="1278" t="n"/>
      <c r="I1103" s="1278" t="n"/>
      <c r="J1103" s="1278" t="n"/>
      <c r="K1103" s="1278" t="n"/>
      <c r="L1103" s="1278" t="n"/>
      <c r="M1103" s="1278" t="n"/>
      <c r="N1103" s="1278" t="n"/>
      <c r="O1103" s="1278" t="n"/>
      <c r="P1103" s="1278" t="n"/>
      <c r="Q1103" s="1278" t="n"/>
      <c r="R1103" s="1278" t="n"/>
      <c r="S1103" s="1278" t="n"/>
      <c r="T1103" s="1278" t="n"/>
      <c r="U1103" s="1278" t="n"/>
      <c r="V1103" s="1278" t="n"/>
      <c r="W1103" s="1278" t="n"/>
      <c r="X1103" s="1278" t="n"/>
      <c r="Y1103" s="1278" t="n"/>
      <c r="Z1103" s="1278" t="n"/>
      <c r="AA1103" s="1278" t="n"/>
      <c r="AB1103" s="1278" t="n"/>
      <c r="AC1103" s="1278" t="n"/>
      <c r="AD1103" s="1278" t="n"/>
      <c r="AE1103" s="1278" t="n"/>
      <c r="AF1103" s="1278" t="n"/>
      <c r="AG1103" s="1278" t="n"/>
      <c r="AH1103" s="1278" t="n"/>
      <c r="AI1103" s="1278" t="n"/>
      <c r="AJ1103" s="1278" t="n"/>
      <c r="AK1103" s="1278" t="n"/>
      <c r="AL1103" s="1278" t="n"/>
      <c r="AM1103" s="1278" t="n"/>
      <c r="AN1103" s="1278" t="n"/>
      <c r="AO1103" s="1278" t="n"/>
      <c r="AP1103" s="1278" t="n"/>
      <c r="AQ1103" s="1278" t="n"/>
      <c r="AR1103" s="1278" t="n"/>
      <c r="AS1103" s="1278" t="n"/>
      <c r="AT1103" s="1278" t="n"/>
      <c r="AU1103" s="1278" t="n"/>
      <c r="AV1103" s="1278" t="n"/>
      <c r="AW1103" s="1278" t="n"/>
      <c r="AX1103" s="1278" t="n"/>
      <c r="AY1103" s="1278" t="n"/>
      <c r="AZ1103" s="1278" t="n"/>
      <c r="BA1103" s="1278" t="n"/>
      <c r="BB1103" s="1278" t="n"/>
      <c r="BC1103" s="1278" t="n"/>
      <c r="BD1103" s="1278" t="n"/>
      <c r="BE1103" s="1278" t="n"/>
      <c r="BF1103" s="1278" t="n"/>
      <c r="BG1103" s="1278" t="n"/>
      <c r="BH1103" s="1278" t="n"/>
      <c r="BI1103" s="1278" t="n"/>
      <c r="BJ1103" s="1278" t="n"/>
      <c r="BK1103" s="1278" t="n"/>
      <c r="BL1103" s="1278" t="n"/>
      <c r="BM1103" s="1278" t="n"/>
      <c r="BN1103" s="1278" t="n"/>
      <c r="BO1103" s="1279" t="n"/>
      <c r="BP1103" s="1278" t="n"/>
      <c r="BQ1103" s="1278" t="n"/>
      <c r="BR1103" s="1278" t="n"/>
      <c r="BS1103" s="1278" t="n"/>
      <c r="BT1103" s="1278" t="n"/>
      <c r="BU1103" s="1278" t="n"/>
      <c r="BV1103" s="1278" t="n"/>
      <c r="BW1103" s="1278" t="n"/>
      <c r="BX1103" s="1278" t="n"/>
      <c r="BY1103" s="1278" t="n"/>
      <c r="BZ1103" s="1278" t="n"/>
      <c r="CA1103" s="1278" t="n"/>
      <c r="CB1103" s="1278" t="n"/>
      <c r="CC1103" s="1380" t="n"/>
    </row>
    <row r="1104" ht="14.4" customHeight="1" s="876">
      <c r="A1104" s="362" t="n"/>
      <c r="B1104" s="362" t="n"/>
      <c r="C1104" s="309" t="n"/>
      <c r="D1104" s="309" t="n"/>
      <c r="E1104" s="309" t="n"/>
      <c r="F1104" s="309" t="n"/>
      <c r="G1104" s="309" t="n"/>
      <c r="H1104" s="309" t="n"/>
      <c r="I1104" s="309" t="n"/>
      <c r="J1104" s="309" t="n"/>
      <c r="K1104" s="309" t="n"/>
      <c r="L1104" s="309" t="n"/>
      <c r="M1104" s="309" t="n"/>
      <c r="N1104" s="309" t="n"/>
      <c r="O1104" s="309" t="n"/>
      <c r="P1104" s="309" t="n"/>
      <c r="Q1104" s="309" t="n"/>
      <c r="R1104" s="309" t="n"/>
      <c r="S1104" s="309" t="n"/>
      <c r="T1104" s="309" t="n"/>
      <c r="U1104" s="309" t="n"/>
      <c r="V1104" s="309" t="n"/>
      <c r="W1104" s="309" t="n"/>
      <c r="X1104" s="309" t="n"/>
      <c r="Y1104" s="309" t="n"/>
      <c r="Z1104" s="309" t="n"/>
      <c r="AA1104" s="309" t="n"/>
      <c r="AB1104" s="309" t="n"/>
      <c r="AC1104" s="309" t="n"/>
      <c r="AD1104" s="309" t="n"/>
      <c r="AE1104" s="309" t="n"/>
      <c r="AF1104" s="309" t="n"/>
      <c r="AG1104" s="309" t="n"/>
      <c r="AH1104" s="309" t="n"/>
      <c r="AI1104" s="309" t="n"/>
      <c r="AJ1104" s="309" t="n"/>
      <c r="AK1104" s="309" t="n"/>
      <c r="AL1104" s="309" t="n"/>
      <c r="AM1104" s="309" t="n"/>
      <c r="AN1104" s="309" t="n"/>
      <c r="AO1104" s="309" t="n"/>
      <c r="AP1104" s="309" t="n"/>
      <c r="AQ1104" s="309" t="n"/>
      <c r="AR1104" s="309" t="n"/>
      <c r="AS1104" s="309" t="n"/>
      <c r="AT1104" s="309" t="n"/>
      <c r="AU1104" s="309" t="n"/>
      <c r="AV1104" s="309" t="n"/>
      <c r="AW1104" s="309" t="n"/>
      <c r="AX1104" s="309" t="n"/>
      <c r="AY1104" s="309" t="n"/>
      <c r="AZ1104" s="309" t="n"/>
      <c r="BA1104" s="309" t="n"/>
      <c r="BB1104" s="309" t="n"/>
      <c r="BC1104" s="309" t="n"/>
      <c r="BD1104" s="309" t="n"/>
      <c r="BE1104" s="309" t="n"/>
      <c r="BF1104" s="309" t="n"/>
      <c r="BG1104" s="309" t="n"/>
      <c r="BH1104" s="309" t="n"/>
      <c r="BI1104" s="309" t="n"/>
      <c r="BJ1104" s="309" t="n"/>
      <c r="BK1104" s="309" t="n"/>
      <c r="BL1104" s="309" t="n"/>
      <c r="BM1104" s="309" t="n"/>
      <c r="BN1104" s="309" t="n"/>
      <c r="BO1104" s="381" t="n"/>
      <c r="BP1104" s="309" t="n"/>
      <c r="BQ1104" s="309" t="n"/>
      <c r="BR1104" s="309" t="n"/>
      <c r="BS1104" s="309" t="n"/>
      <c r="BT1104" s="309" t="n"/>
      <c r="BU1104" s="309" t="n"/>
      <c r="BV1104" s="309" t="n"/>
      <c r="BW1104" s="309" t="n"/>
      <c r="BX1104" s="309" t="n"/>
      <c r="BY1104" s="309" t="n"/>
      <c r="BZ1104" s="309" t="n"/>
      <c r="CA1104" s="309" t="n"/>
      <c r="CB1104" s="309" t="n"/>
      <c r="CC1104" s="158" t="n"/>
    </row>
    <row r="1105" ht="14.4" customHeight="1" s="876">
      <c r="A1105" s="1924" t="inlineStr">
        <is>
          <t>Tegus</t>
        </is>
      </c>
      <c r="B1105" s="165" t="n"/>
      <c r="C1105" s="165" t="n"/>
      <c r="D1105" s="165" t="n"/>
      <c r="E1105" s="165" t="n"/>
      <c r="F1105" s="165" t="n"/>
      <c r="G1105" s="165" t="n"/>
      <c r="H1105" s="165" t="n"/>
      <c r="I1105" s="165" t="n"/>
      <c r="J1105" s="165" t="n"/>
      <c r="K1105" s="165" t="n"/>
      <c r="L1105" s="165" t="n"/>
      <c r="M1105" s="165" t="n"/>
      <c r="N1105" s="165" t="n"/>
      <c r="O1105" s="165" t="n"/>
      <c r="P1105" s="165" t="n"/>
      <c r="Q1105" s="165" t="n"/>
      <c r="R1105" s="165" t="n"/>
      <c r="S1105" s="165" t="n"/>
      <c r="T1105" s="165" t="n"/>
      <c r="U1105" s="165" t="n"/>
      <c r="V1105" s="165" t="n"/>
      <c r="W1105" s="165" t="n"/>
      <c r="X1105" s="165" t="n"/>
      <c r="Y1105" s="165" t="n"/>
      <c r="Z1105" s="165" t="n"/>
      <c r="AA1105" s="165" t="n"/>
      <c r="AB1105" s="165" t="n"/>
      <c r="AC1105" s="165" t="n"/>
      <c r="AD1105" s="165" t="n"/>
      <c r="AE1105" s="165" t="n"/>
      <c r="AF1105" s="165" t="n"/>
      <c r="AG1105" s="165" t="n"/>
      <c r="AH1105" s="165" t="n"/>
      <c r="AI1105" s="165" t="n"/>
      <c r="AJ1105" s="165" t="n"/>
      <c r="AK1105" s="165" t="n"/>
      <c r="AL1105" s="165" t="n"/>
      <c r="AM1105" s="165" t="n"/>
      <c r="AN1105" s="165" t="n"/>
      <c r="AO1105" s="165" t="n"/>
      <c r="AP1105" s="165" t="n"/>
      <c r="AQ1105" s="165" t="n"/>
      <c r="AR1105" s="165" t="n"/>
      <c r="AS1105" s="165" t="n"/>
      <c r="AT1105" s="165" t="n"/>
      <c r="AU1105" s="165" t="n"/>
      <c r="AV1105" s="165" t="n"/>
      <c r="AW1105" s="165" t="n"/>
      <c r="AX1105" s="165" t="n"/>
      <c r="AY1105" s="165" t="n"/>
      <c r="AZ1105" s="165" t="n"/>
      <c r="BA1105" s="165" t="n"/>
      <c r="BB1105" s="165" t="n"/>
      <c r="BC1105" s="165" t="n"/>
      <c r="BD1105" s="165" t="n"/>
      <c r="BE1105" s="165" t="n"/>
      <c r="BF1105" s="165" t="n"/>
      <c r="BG1105" s="165" t="n"/>
      <c r="BH1105" s="165" t="n"/>
      <c r="BI1105" s="165" t="n"/>
      <c r="BJ1105" s="165" t="n"/>
      <c r="BK1105" s="165" t="n"/>
      <c r="BL1105" s="165" t="n"/>
      <c r="BM1105" s="165" t="n"/>
      <c r="BN1105" s="165" t="n"/>
      <c r="BO1105" s="165" t="n"/>
      <c r="BP1105" s="165" t="n"/>
      <c r="BQ1105" s="165" t="n"/>
      <c r="BR1105" s="165" t="n"/>
      <c r="BS1105" s="165" t="n"/>
      <c r="BT1105" s="165" t="n"/>
      <c r="BU1105" s="165" t="n"/>
      <c r="BV1105" s="165" t="n"/>
      <c r="BW1105" s="165" t="n"/>
      <c r="BX1105" s="165" t="n"/>
      <c r="BY1105" s="165" t="n"/>
      <c r="BZ1105" s="165" t="n"/>
      <c r="CA1105" s="165" t="n"/>
      <c r="CB1105" s="165" t="n"/>
      <c r="CC1105" s="158" t="n"/>
    </row>
    <row r="1106" ht="14.4" customHeight="1" s="876">
      <c r="A1106" s="158" t="n"/>
      <c r="B1106" s="158" t="n"/>
      <c r="C1106" s="158" t="n"/>
      <c r="D1106" s="158" t="n"/>
      <c r="E1106" s="158" t="n"/>
      <c r="F1106" s="158" t="n"/>
      <c r="G1106" s="158" t="n"/>
      <c r="H1106" s="158" t="n"/>
      <c r="I1106" s="158" t="n"/>
      <c r="J1106" s="158" t="n"/>
      <c r="K1106" s="158" t="n"/>
      <c r="L1106" s="158" t="n"/>
      <c r="M1106" s="158" t="n"/>
      <c r="N1106" s="158" t="n"/>
      <c r="O1106" s="158" t="n"/>
      <c r="P1106" s="158" t="n"/>
      <c r="Q1106" s="158" t="n"/>
      <c r="R1106" s="158" t="n"/>
      <c r="S1106" s="158" t="n"/>
      <c r="T1106" s="158" t="n"/>
      <c r="U1106" s="158" t="n"/>
      <c r="V1106" s="158" t="n"/>
      <c r="W1106" s="158" t="n"/>
      <c r="X1106" s="158" t="n"/>
      <c r="Y1106" s="158" t="n"/>
      <c r="Z1106" s="158" t="n"/>
      <c r="AA1106" s="158" t="n"/>
      <c r="AB1106" s="158" t="n"/>
      <c r="AC1106" s="158" t="n"/>
      <c r="AD1106" s="158" t="n"/>
      <c r="AE1106" s="158" t="n"/>
      <c r="AF1106" s="158" t="n"/>
      <c r="AG1106" s="158" t="n"/>
      <c r="AH1106" s="158" t="n"/>
      <c r="AI1106" s="158" t="n"/>
      <c r="AJ1106" s="158" t="n"/>
      <c r="AK1106" s="158" t="n"/>
      <c r="AL1106" s="158" t="n"/>
      <c r="AM1106" s="158" t="n"/>
      <c r="AN1106" s="158" t="n"/>
      <c r="AO1106" s="158" t="n"/>
      <c r="AP1106" s="158" t="n"/>
      <c r="AQ1106" s="158" t="n"/>
      <c r="AR1106" s="158" t="n"/>
      <c r="AS1106" s="158" t="n"/>
      <c r="AT1106" s="158" t="n"/>
      <c r="AU1106" s="158" t="n"/>
      <c r="AV1106" s="158" t="n"/>
      <c r="AW1106" s="158" t="n"/>
      <c r="AX1106" s="158" t="n"/>
      <c r="AY1106" s="158" t="n"/>
      <c r="AZ1106" s="158" t="n"/>
      <c r="BA1106" s="158" t="n"/>
      <c r="BB1106" s="158" t="n"/>
      <c r="BC1106" s="158" t="n"/>
      <c r="BD1106" s="158" t="n"/>
      <c r="BE1106" s="158" t="n"/>
      <c r="BF1106" s="158" t="n"/>
      <c r="BG1106" s="158" t="n"/>
      <c r="BH1106" s="158" t="n"/>
      <c r="BI1106" s="158" t="n"/>
      <c r="BJ1106" s="158" t="n"/>
      <c r="BK1106" s="158" t="n"/>
      <c r="BL1106" s="158" t="n"/>
      <c r="BM1106" s="158" t="n"/>
      <c r="BN1106" s="158" t="n"/>
      <c r="BO1106" s="158" t="n"/>
      <c r="BP1106" s="158" t="n"/>
      <c r="BQ1106" s="158" t="n"/>
      <c r="BR1106" s="158" t="n"/>
      <c r="BS1106" s="158" t="n"/>
      <c r="BT1106" s="158" t="n"/>
      <c r="BU1106" s="158" t="n"/>
      <c r="BV1106" s="158" t="n"/>
      <c r="BW1106" s="158" t="n"/>
      <c r="BX1106" s="158" t="n"/>
      <c r="BY1106" s="158" t="n"/>
      <c r="BZ1106" s="158" t="n"/>
      <c r="CA1106" s="158" t="n"/>
      <c r="CB1106" s="158" t="n"/>
      <c r="CC1106" s="158" t="n"/>
    </row>
  </sheetData>
  <conditionalFormatting sqref="C821:J821 M821:BM821 BP821:CB821">
    <cfRule type="cellIs" priority="1539" operator="notEqual" dxfId="1">
      <formula>0</formula>
    </cfRule>
    <cfRule type="cellIs" priority="1540" operator="equal" dxfId="0">
      <formula>0</formula>
    </cfRule>
  </conditionalFormatting>
  <conditionalFormatting sqref="C954:CB954">
    <cfRule type="cellIs" priority="1537" operator="notEqual" dxfId="1">
      <formula>0</formula>
    </cfRule>
    <cfRule type="cellIs" priority="1538" operator="equal" dxfId="0">
      <formula>0</formula>
    </cfRule>
  </conditionalFormatting>
  <conditionalFormatting sqref="F366:BM366 BP366:CB366">
    <cfRule type="cellIs" priority="1541" operator="notEqual" dxfId="1">
      <formula>0</formula>
    </cfRule>
    <cfRule type="cellIs" priority="1542" operator="equal" dxfId="0">
      <formula>0</formula>
    </cfRule>
  </conditionalFormatting>
  <conditionalFormatting sqref="C958:CB976 G957:BM957 BP957:CB957">
    <cfRule type="cellIs" priority="1535" operator="notEqual" dxfId="1">
      <formula>0</formula>
    </cfRule>
    <cfRule type="cellIs" priority="1536" operator="equal" dxfId="0">
      <formula>0</formula>
    </cfRule>
  </conditionalFormatting>
  <dataValidations count="1">
    <dataValidation sqref="B497" showDropDown="0" showInputMessage="1" showErrorMessage="1" allowBlank="1" type="list">
      <formula1>OFFSET(tb_ValuationToggle,1,0,4,1)</formula1>
    </dataValidation>
  </dataValidations>
  <hyperlinks>
    <hyperlink xmlns:r="http://schemas.openxmlformats.org/officeDocument/2006/relationships" ref="A1" display="Taiwan Semiconductor Manufacturing Company Ltd." r:id="rId1"/>
  </hyperlinks>
  <pageMargins left="0" right="0" top="0.393700787401575" bottom="0" header="0.196850393700787" footer="0"/>
  <pageSetup orientation="landscape" paperSize="1" scale="23" fitToHeight="0"/>
  <headerFooter>
    <oddHeader>&amp;CTaiwan Semiconductor Manufacturing Company Ltd.&amp;RPage &amp;P</oddHeader>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256"/>
  <sheetViews>
    <sheetView topLeftCell="A1" workbookViewId="0">
      <pane ySplit="5" topLeftCell="A6" activePane="bottomLeft" state="frozenSplit"/>
      <selection pane="topLeft" activeCell="A1" sqref="A1"/>
      <selection pane="bottomLeft" activeCell="A1" sqref="A1"/>
    </sheetView>
  </sheetViews>
  <sheetFormatPr baseColWidth="8" defaultColWidth="8.77428571428571" defaultRowHeight="14.4"/>
  <cols>
    <col width="3.28571428571429" customWidth="1" style="907" min="1" max="1"/>
    <col width="9.28571428571429" bestFit="1" customWidth="1" style="908" min="2" max="2"/>
    <col width="2.71428571428571" customWidth="1" style="908" min="3" max="3"/>
    <col width="40.7142857142857" bestFit="1" customWidth="1" style="909" min="4" max="4"/>
    <col hidden="1" outlineLevel="1" width="26.2857142857143" customWidth="1" style="910" min="5" max="5"/>
    <col collapsed="1" width="14.4285714285714" bestFit="1" customWidth="1" style="908" min="6" max="6"/>
    <col hidden="1" outlineLevel="1" collapsed="1" width="14.4285714285714" customWidth="1" style="908" min="7" max="7"/>
    <col collapsed="1" width="2.71428571428571" customWidth="1" style="908" min="8" max="8"/>
    <col width="10.5714285714286" bestFit="1" customWidth="1" style="908" min="9" max="10"/>
    <col width="10.2857142857143" bestFit="1" customWidth="1" style="908" min="11" max="11"/>
    <col width="2.71428571428571" customWidth="1" style="908" min="12" max="12"/>
    <col width="8.71428571428571" bestFit="1" customWidth="1" style="908" min="13" max="13"/>
    <col width="12" bestFit="1" customWidth="1" style="909" min="14" max="14"/>
    <col width="2.71428571428571" customWidth="1" style="908" min="15" max="15"/>
    <col width="13.5714285714286" bestFit="1" customWidth="1" style="908" min="16" max="16"/>
    <col width="14.4285714285714" bestFit="1" customWidth="1" style="1925" min="17" max="17"/>
    <col width="2.71428571428571" customWidth="1" style="908" min="18" max="18"/>
    <col width="10.7142857142857" bestFit="1" customWidth="1" style="912" min="19" max="19"/>
    <col width="21.7142857142857" bestFit="1" customWidth="1" style="913" min="20" max="20"/>
    <col width="8.71428571428571" customWidth="1" style="908" min="21" max="24"/>
    <col width="8.71428571428571" customWidth="1" style="908" min="25" max="16384"/>
  </cols>
  <sheetData>
    <row r="1" ht="28.8" customHeight="1" s="876">
      <c r="A1" s="92" t="n"/>
      <c r="B1" s="1926">
        <f>MO.CompanyName</f>
        <v/>
      </c>
      <c r="C1" s="166" t="n"/>
      <c r="D1" s="166" t="n"/>
      <c r="E1" s="103" t="n"/>
      <c r="F1" s="166" t="n"/>
      <c r="G1" s="166" t="n"/>
      <c r="H1" s="166" t="n"/>
      <c r="I1" s="166" t="n"/>
      <c r="J1" s="166" t="n"/>
      <c r="K1" s="166" t="n"/>
      <c r="L1" s="166" t="n"/>
      <c r="M1" s="166" t="n"/>
      <c r="N1" s="166" t="n"/>
      <c r="O1" s="166" t="n"/>
      <c r="P1" s="166" t="n"/>
      <c r="Q1" s="1527" t="n"/>
      <c r="R1" s="166" t="n"/>
      <c r="S1" s="105" t="n"/>
      <c r="T1" s="166" t="n"/>
      <c r="U1" s="166" t="n"/>
    </row>
    <row r="2" ht="14.4" customHeight="1" s="876">
      <c r="A2" s="92" t="n"/>
      <c r="B2" s="102" t="inlineStr">
        <is>
          <t>Most Recent Period:</t>
        </is>
      </c>
      <c r="C2" s="166" t="n"/>
      <c r="D2" s="166" t="n"/>
      <c r="E2" s="103" t="n"/>
      <c r="F2" s="166">
        <f>UL.MRQ</f>
        <v/>
      </c>
      <c r="G2" s="166" t="n"/>
      <c r="H2" s="166" t="n"/>
      <c r="I2" s="166" t="n"/>
      <c r="J2" s="166" t="n"/>
      <c r="K2" s="166" t="n"/>
      <c r="L2" s="166" t="n"/>
      <c r="M2" s="166" t="n"/>
      <c r="N2" s="166" t="n"/>
      <c r="O2" s="166" t="n"/>
      <c r="P2" s="166" t="n"/>
      <c r="Q2" s="1527" t="n"/>
      <c r="R2" s="166" t="n"/>
      <c r="S2" s="105" t="n"/>
      <c r="T2" s="166" t="n"/>
      <c r="U2" s="166" t="n"/>
    </row>
    <row r="3" ht="14.4" customHeight="1" s="876">
      <c r="A3" s="92" t="n"/>
      <c r="B3" s="166" t="n"/>
      <c r="C3" s="166" t="n"/>
      <c r="D3" s="166" t="n"/>
      <c r="E3" s="103" t="n"/>
      <c r="F3" s="166" t="n"/>
      <c r="G3" s="166" t="n"/>
      <c r="H3" s="166" t="n"/>
      <c r="I3" s="166" t="n"/>
      <c r="J3" s="166" t="n"/>
      <c r="K3" s="166" t="n"/>
      <c r="L3" s="166" t="n"/>
      <c r="M3" s="166" t="n"/>
      <c r="N3" s="166" t="n"/>
      <c r="O3" s="166" t="n"/>
      <c r="P3" s="166" t="n"/>
      <c r="Q3" s="1527" t="n"/>
      <c r="R3" s="166" t="n"/>
      <c r="S3" s="166" t="n"/>
      <c r="T3" s="166" t="n"/>
      <c r="U3" s="166" t="n"/>
    </row>
    <row r="4" ht="14.4" customFormat="1" customHeight="1" s="914">
      <c r="A4" s="92" t="n"/>
      <c r="B4" s="112" t="n"/>
      <c r="C4" s="121" t="n"/>
      <c r="D4" s="112" t="n"/>
      <c r="E4" s="112" t="n"/>
      <c r="F4" s="112" t="n"/>
      <c r="G4" s="112" t="n"/>
      <c r="H4" s="121" t="n"/>
      <c r="I4" s="113" t="inlineStr">
        <is>
          <t>Guidance</t>
        </is>
      </c>
      <c r="J4" s="113" t="n"/>
      <c r="K4" s="113" t="n"/>
      <c r="L4" s="121" t="n"/>
      <c r="M4" s="113" t="inlineStr">
        <is>
          <t>Model</t>
        </is>
      </c>
      <c r="N4" s="113" t="n"/>
      <c r="O4" s="121" t="n"/>
      <c r="P4" s="113" t="inlineStr">
        <is>
          <t>Difference vs. Mid</t>
        </is>
      </c>
      <c r="Q4" s="113" t="n"/>
      <c r="R4" s="121" t="n"/>
      <c r="S4" s="113" t="inlineStr">
        <is>
          <t>Update Log</t>
        </is>
      </c>
      <c r="T4" s="113" t="n"/>
      <c r="U4" s="105" t="n"/>
    </row>
    <row r="5" ht="14.4" customFormat="1" customHeight="1" s="915">
      <c r="A5" s="92" t="n"/>
      <c r="B5" s="112" t="inlineStr">
        <is>
          <t>Type</t>
        </is>
      </c>
      <c r="C5" s="122" t="n"/>
      <c r="D5" s="112" t="inlineStr">
        <is>
          <t>Item</t>
        </is>
      </c>
      <c r="E5" s="112" t="inlineStr">
        <is>
          <t>Item Name</t>
        </is>
      </c>
      <c r="F5" s="112" t="inlineStr">
        <is>
          <t>Fiscal Period</t>
        </is>
      </c>
      <c r="G5" s="112" t="inlineStr">
        <is>
          <t>Base Period</t>
        </is>
      </c>
      <c r="H5" s="122" t="n"/>
      <c r="I5" s="114" t="inlineStr">
        <is>
          <t>Low</t>
        </is>
      </c>
      <c r="J5" s="114" t="inlineStr">
        <is>
          <t>High</t>
        </is>
      </c>
      <c r="K5" s="114" t="inlineStr">
        <is>
          <t>Mid</t>
        </is>
      </c>
      <c r="L5" s="122" t="n"/>
      <c r="M5" s="112" t="inlineStr">
        <is>
          <t>Type</t>
        </is>
      </c>
      <c r="N5" s="114" t="inlineStr">
        <is>
          <t>Output</t>
        </is>
      </c>
      <c r="O5" s="122" t="n"/>
      <c r="P5" s="114" t="inlineStr">
        <is>
          <t>Absolute</t>
        </is>
      </c>
      <c r="Q5" s="1927" t="inlineStr">
        <is>
          <t>Relative</t>
        </is>
      </c>
      <c r="R5" s="122" t="n"/>
      <c r="S5" s="114" t="inlineStr">
        <is>
          <t>Date</t>
        </is>
      </c>
      <c r="T5" s="114" t="inlineStr">
        <is>
          <t>Link</t>
        </is>
      </c>
      <c r="U5" s="109" t="n"/>
    </row>
    <row r="6" ht="14.4" customHeight="1" s="876">
      <c r="A6" s="92" t="n">
        <v>250</v>
      </c>
      <c r="B6" s="116">
        <f>IF(INDEX(MO_SNA_IsHistoricalPeriod,,MATCH(F6,MO_Common_ColumnHeader,0)),"Historical","Forward")</f>
        <v/>
      </c>
      <c r="C6" s="166" t="n"/>
      <c r="D6" s="123">
        <f>INDEX(INDIRECT(E6),0,COLUMN(MO_Common_Column_A))</f>
        <v/>
      </c>
      <c r="E6" s="117" t="inlineStr">
        <is>
          <t>MO_CFSum_Capex</t>
        </is>
      </c>
      <c r="F6" s="116" t="inlineStr">
        <is>
          <t>FY2026</t>
        </is>
      </c>
      <c r="G6" s="116" t="n"/>
      <c r="H6" s="166" t="n"/>
      <c r="I6" s="1928" t="n">
        <v>-56000</v>
      </c>
      <c r="J6" s="1928" t="n">
        <v>-52000</v>
      </c>
      <c r="K6" s="1928">
        <f>AVERAGE(I6:J6)</f>
        <v/>
      </c>
      <c r="L6" s="166" t="n"/>
      <c r="M6" s="116">
        <f>IF(INDEX(MO_SNA_IsHistoricalPeriod,,MATCH(F6,MO_Common_ColumnHeader,0)),"Actual","Estimate")</f>
        <v/>
      </c>
      <c r="N6" s="1928">
        <f>IFERROR(INDEX(INDIRECT(E6),0,MATCH(F6,MO_Common_ColumnHeader,0)),"N/A")*INDEX(MO_VA_FX_Average,0,MATCH(F6,MO_Common_ColumnHeader,0))</f>
        <v/>
      </c>
      <c r="O6" s="166" t="n"/>
      <c r="P6" s="1929">
        <f>IF(ISNUMBER(N6),N6-K6,"N/A")</f>
        <v/>
      </c>
      <c r="Q6" s="1930">
        <f>IFERROR(IF(ISNUMBER(N6),(N6-K6)/ABS(K6),"N/A"),"N/A")</f>
        <v/>
      </c>
      <c r="R6" s="166" t="n"/>
      <c r="S6" s="119" t="n">
        <v>46037</v>
      </c>
      <c r="T6" s="209" t="inlineStr">
        <is>
          <t>Transcript</t>
        </is>
      </c>
      <c r="U6" s="166" t="n"/>
    </row>
    <row r="7" ht="14.4" customHeight="1" s="876">
      <c r="A7" s="92" t="n">
        <v>249</v>
      </c>
      <c r="B7" s="166" t="n"/>
      <c r="C7" s="166" t="n"/>
      <c r="D7" s="102" t="n"/>
      <c r="E7" s="103" t="n"/>
      <c r="F7" s="166" t="n"/>
      <c r="G7" s="166" t="n"/>
      <c r="H7" s="166" t="n"/>
      <c r="I7" s="1301" t="n"/>
      <c r="J7" s="1301" t="n"/>
      <c r="K7" s="1301" t="n"/>
      <c r="L7" s="166" t="n"/>
      <c r="M7" s="166" t="n"/>
      <c r="N7" s="1301" t="n"/>
      <c r="O7" s="166" t="n"/>
      <c r="P7" s="1931" t="n"/>
      <c r="Q7" s="1932" t="n"/>
      <c r="R7" s="166" t="n"/>
      <c r="S7" s="107" t="n"/>
      <c r="T7" s="126" t="n"/>
      <c r="U7" s="166" t="n"/>
    </row>
    <row r="8" ht="14.4" customHeight="1" s="876">
      <c r="A8" s="92" t="n">
        <v>248</v>
      </c>
      <c r="B8" s="116">
        <f>IF(INDEX(MO_SNA_IsHistoricalPeriod,,MATCH(F8,MO_Common_ColumnHeader,0)),"Historical","Forward")</f>
        <v/>
      </c>
      <c r="C8" s="166" t="n"/>
      <c r="D8" s="123">
        <f>INDEX(INDIRECT(E8),0,COLUMN(MO_Common_Column_A))</f>
        <v/>
      </c>
      <c r="E8" s="117" t="inlineStr">
        <is>
          <t>MO_RIS_REV</t>
        </is>
      </c>
      <c r="F8" s="116" t="inlineStr">
        <is>
          <t>Q1-2026</t>
        </is>
      </c>
      <c r="G8" s="116" t="n"/>
      <c r="H8" s="166" t="n"/>
      <c r="I8" s="1928" t="n">
        <v>34600</v>
      </c>
      <c r="J8" s="1928" t="n">
        <v>35800</v>
      </c>
      <c r="K8" s="1928">
        <f>AVERAGE(I8:J8)</f>
        <v/>
      </c>
      <c r="L8" s="166" t="n"/>
      <c r="M8" s="116">
        <f>IF(INDEX(MO_SNA_IsHistoricalPeriod,,MATCH(F8,MO_Common_ColumnHeader,0)),"Actual","Estimate")</f>
        <v/>
      </c>
      <c r="N8" s="1928">
        <f>IFERROR(INDEX(INDIRECT(E8),0,MATCH(F8,MO_Common_ColumnHeader,0)),"N/A")/INDEX(z_M2B13B0184_MO_OS_Weightedaverageforeignexchangedratereported,0,MATCH(F8,MO_Common_ColumnHeader,0))</f>
        <v/>
      </c>
      <c r="O8" s="166" t="n"/>
      <c r="P8" s="1929">
        <f>IF(ISNUMBER(N8),N8-K8,"N/A")</f>
        <v/>
      </c>
      <c r="Q8" s="1930">
        <f>IFERROR(IF(ISNUMBER(N8),(N8-K8)/ABS(K8),"N/A"),"N/A")</f>
        <v/>
      </c>
      <c r="R8" s="166" t="n"/>
      <c r="S8" s="119" t="n">
        <v>46037</v>
      </c>
      <c r="T8" s="209" t="inlineStr">
        <is>
          <t>Investor Presentation</t>
        </is>
      </c>
      <c r="U8" s="166" t="n"/>
    </row>
    <row r="9" ht="14.4" customHeight="1" s="876">
      <c r="A9" s="92" t="n">
        <v>247</v>
      </c>
      <c r="B9" s="116">
        <f>IF(INDEX(MO_SNA_IsHistoricalPeriod,,MATCH(F9,MO_Common_ColumnHeader,0)),"Historical","Forward")</f>
        <v/>
      </c>
      <c r="C9" s="166" t="n"/>
      <c r="D9" s="123">
        <f>INDEX(INDIRECT(E9),0,COLUMN(MO_Common_Column_A))</f>
        <v/>
      </c>
      <c r="E9" s="117" t="inlineStr">
        <is>
          <t>z_M2B13B0184_MO_OS_Weightedaverageforeignexchangedratereported</t>
        </is>
      </c>
      <c r="F9" s="116" t="inlineStr">
        <is>
          <t>Q1-2026</t>
        </is>
      </c>
      <c r="G9" s="116" t="n"/>
      <c r="H9" s="166" t="n"/>
      <c r="I9" s="1928" t="n">
        <v>31.6</v>
      </c>
      <c r="J9" s="1928" t="n">
        <v>31.6</v>
      </c>
      <c r="K9" s="1928">
        <f>AVERAGE(I9:J9)</f>
        <v/>
      </c>
      <c r="L9" s="166" t="n"/>
      <c r="M9" s="116">
        <f>IF(INDEX(MO_SNA_IsHistoricalPeriod,,MATCH(F9,MO_Common_ColumnHeader,0)),"Actual","Estimate")</f>
        <v/>
      </c>
      <c r="N9" s="1928">
        <f>IFERROR(INDEX(INDIRECT(E9),0,MATCH(F9,MO_Common_ColumnHeader,0)),"N/A")</f>
        <v/>
      </c>
      <c r="O9" s="166" t="n"/>
      <c r="P9" s="1929">
        <f>IF(ISNUMBER(N9),N9-K9,"N/A")</f>
        <v/>
      </c>
      <c r="Q9" s="1930">
        <f>IFERROR(IF(ISNUMBER(N9),(N9-K9)/ABS(K9),"N/A"),"N/A")</f>
        <v/>
      </c>
      <c r="R9" s="166" t="n"/>
      <c r="S9" s="119" t="n">
        <v>46037</v>
      </c>
      <c r="T9" s="209" t="inlineStr">
        <is>
          <t>Investor Presentation</t>
        </is>
      </c>
      <c r="U9" s="166" t="n"/>
    </row>
    <row r="10" ht="14.4" customHeight="1" s="876">
      <c r="A10" s="92" t="n">
        <v>246</v>
      </c>
      <c r="B10" s="116">
        <f>IF(INDEX(MO_SNA_IsHistoricalPeriod,,MATCH(F10,MO_Common_ColumnHeader,0)),"Historical","Forward")</f>
        <v/>
      </c>
      <c r="C10" s="166" t="n"/>
      <c r="D10" s="123">
        <f>INDEX(INDIRECT(E10),0,COLUMN(MO_Common_Column_A))</f>
        <v/>
      </c>
      <c r="E10" s="117" t="inlineStr">
        <is>
          <t>MO_MA_GM</t>
        </is>
      </c>
      <c r="F10" s="116" t="inlineStr">
        <is>
          <t>Q1-2026</t>
        </is>
      </c>
      <c r="G10" s="116" t="n"/>
      <c r="H10" s="166" t="n"/>
      <c r="I10" s="1933" t="n">
        <v>0.63</v>
      </c>
      <c r="J10" s="1933" t="n">
        <v>0.65</v>
      </c>
      <c r="K10" s="1933">
        <f>AVERAGE(I10:J10)</f>
        <v/>
      </c>
      <c r="L10" s="166" t="n"/>
      <c r="M10" s="116">
        <f>IF(INDEX(MO_SNA_IsHistoricalPeriod,,MATCH(F10,MO_Common_ColumnHeader,0)),"Actual","Estimate")</f>
        <v/>
      </c>
      <c r="N10" s="1933">
        <f>IFERROR(INDEX(INDIRECT(E10),0,MATCH(F10,MO_Common_ColumnHeader,0)),"N/A")</f>
        <v/>
      </c>
      <c r="O10" s="166" t="n"/>
      <c r="P10" s="1930">
        <f>IF(ISNUMBER(N10),N10-K10,"N/A")</f>
        <v/>
      </c>
      <c r="Q10" s="1930">
        <f>IFERROR(IF(ISNUMBER(N10),(N10-K10)/ABS(K10),"N/A"),"N/A")</f>
        <v/>
      </c>
      <c r="R10" s="166" t="n"/>
      <c r="S10" s="119" t="n">
        <v>46037</v>
      </c>
      <c r="T10" s="209" t="inlineStr">
        <is>
          <t>Investor Presentation</t>
        </is>
      </c>
      <c r="U10" s="166" t="n"/>
    </row>
    <row r="11" ht="14.4" customHeight="1" s="876">
      <c r="A11" s="92" t="n">
        <v>245</v>
      </c>
      <c r="B11" s="116">
        <f>IF(INDEX(MO_SNA_IsHistoricalPeriod,,MATCH(F11,MO_Common_ColumnHeader,0)),"Historical","Forward")</f>
        <v/>
      </c>
      <c r="C11" s="166" t="n"/>
      <c r="D11" s="123" t="inlineStr">
        <is>
          <t>Operating Profit Margin</t>
        </is>
      </c>
      <c r="E11" s="117" t="n"/>
      <c r="F11" s="116" t="inlineStr">
        <is>
          <t>Q1-2026</t>
        </is>
      </c>
      <c r="G11" s="116" t="n"/>
      <c r="H11" s="166" t="n"/>
      <c r="I11" s="1933" t="n">
        <v>0.54</v>
      </c>
      <c r="J11" s="1933" t="n">
        <v>0.5600000000000001</v>
      </c>
      <c r="K11" s="1933">
        <f>AVERAGE(I11:J11)</f>
        <v/>
      </c>
      <c r="L11" s="166" t="n"/>
      <c r="M11" s="116">
        <f>IF(INDEX(MO_SNA_IsHistoricalPeriod,,MATCH(F11,MO_Common_ColumnHeader,0)),"Actual","Estimate")</f>
        <v/>
      </c>
      <c r="N11" s="1933">
        <f>INDEX(MO_RIS_EBIT,0,MATCH(F11,MO_Common_ColumnHeader,0))/INDEX(MO_RIS_REV,0,MATCH(F11,MO_Common_ColumnHeader,0))</f>
        <v/>
      </c>
      <c r="O11" s="166" t="n"/>
      <c r="P11" s="1930">
        <f>IF(ISNUMBER(N11),N11-K11,"N/A")</f>
        <v/>
      </c>
      <c r="Q11" s="1930">
        <f>IFERROR(IF(ISNUMBER(N11),(N11-K11)/ABS(K11),"N/A"),"N/A")</f>
        <v/>
      </c>
      <c r="R11" s="166" t="n"/>
      <c r="S11" s="119" t="n">
        <v>46037</v>
      </c>
      <c r="T11" s="209" t="inlineStr">
        <is>
          <t>Investor Presentation</t>
        </is>
      </c>
      <c r="U11" s="166" t="n"/>
    </row>
    <row r="12" ht="14.4" customHeight="1" s="876">
      <c r="A12" s="92" t="n">
        <v>244</v>
      </c>
      <c r="B12" s="166" t="n"/>
      <c r="C12" s="166" t="n"/>
      <c r="D12" s="102" t="n"/>
      <c r="E12" s="103" t="n"/>
      <c r="F12" s="166" t="n"/>
      <c r="G12" s="166" t="n"/>
      <c r="H12" s="166" t="n"/>
      <c r="I12" s="1301" t="n"/>
      <c r="J12" s="1301" t="n"/>
      <c r="K12" s="1301" t="n"/>
      <c r="L12" s="166" t="n"/>
      <c r="M12" s="166" t="n"/>
      <c r="N12" s="1301" t="n"/>
      <c r="O12" s="166" t="n"/>
      <c r="P12" s="1931" t="n"/>
      <c r="Q12" s="1932" t="n"/>
      <c r="R12" s="166" t="n"/>
      <c r="S12" s="107" t="n"/>
      <c r="T12" s="126" t="n"/>
      <c r="U12" s="166" t="n"/>
    </row>
    <row r="13" ht="14.4" customHeight="1" s="876">
      <c r="A13" s="92" t="n">
        <v>243</v>
      </c>
      <c r="B13" s="116">
        <f>IF(INDEX(MO_SNA_IsHistoricalPeriod,,MATCH(F13,MO_Common_ColumnHeader,0)),"Historical","Forward")</f>
        <v/>
      </c>
      <c r="C13" s="166" t="n"/>
      <c r="D13" s="123">
        <f>INDEX(INDIRECT(E13),0,COLUMN(MO_Common_Column_A))</f>
        <v/>
      </c>
      <c r="E13" s="117" t="inlineStr">
        <is>
          <t>MO_CFSum_Capex</t>
        </is>
      </c>
      <c r="F13" s="116" t="inlineStr">
        <is>
          <t>FY2025</t>
        </is>
      </c>
      <c r="G13" s="116" t="n"/>
      <c r="H13" s="166" t="n"/>
      <c r="I13" s="1928" t="n">
        <v>-42000</v>
      </c>
      <c r="J13" s="1928" t="n">
        <v>-40000</v>
      </c>
      <c r="K13" s="1928">
        <f>AVERAGE(I13:J13)</f>
        <v/>
      </c>
      <c r="L13" s="166" t="n"/>
      <c r="M13" s="116">
        <f>IF(INDEX(MO_SNA_IsHistoricalPeriod,,MATCH(F13,MO_Common_ColumnHeader,0)),"Actual","Estimate")</f>
        <v/>
      </c>
      <c r="N13" s="1928">
        <f>IFERROR(INDEX(INDIRECT(E13),0,MATCH(F13,MO_Common_ColumnHeader,0)),"N/A")*INDEX(MO_VA_FX_Average,0,MATCH(F13,MO_Common_ColumnHeader,0))</f>
        <v/>
      </c>
      <c r="O13" s="166" t="n"/>
      <c r="P13" s="1929">
        <f>IF(ISNUMBER(N13),N13-K13,"N/A")</f>
        <v/>
      </c>
      <c r="Q13" s="1930">
        <f>IFERROR(IF(ISNUMBER(N13),(N13-K13)/ABS(K13),"N/A"),"N/A")</f>
        <v/>
      </c>
      <c r="R13" s="166" t="n"/>
      <c r="S13" s="119" t="n">
        <v>45946</v>
      </c>
      <c r="T13" s="209" t="inlineStr">
        <is>
          <t>Transcript</t>
        </is>
      </c>
      <c r="U13" s="166" t="n"/>
    </row>
    <row r="14" ht="14.4" customHeight="1" s="876">
      <c r="A14" s="92" t="n">
        <v>242</v>
      </c>
      <c r="B14" s="166" t="n"/>
      <c r="C14" s="166" t="n"/>
      <c r="D14" s="102" t="n"/>
      <c r="E14" s="103" t="n"/>
      <c r="F14" s="166" t="n"/>
      <c r="G14" s="166" t="n"/>
      <c r="H14" s="166" t="n"/>
      <c r="I14" s="1301" t="n"/>
      <c r="J14" s="1301" t="n"/>
      <c r="K14" s="1301" t="n"/>
      <c r="L14" s="166" t="n"/>
      <c r="M14" s="166" t="n"/>
      <c r="N14" s="1301" t="n"/>
      <c r="O14" s="166" t="n"/>
      <c r="P14" s="1931" t="n"/>
      <c r="Q14" s="1932" t="n"/>
      <c r="R14" s="166" t="n"/>
      <c r="S14" s="107" t="n"/>
      <c r="T14" s="126" t="n"/>
      <c r="U14" s="166" t="n"/>
    </row>
    <row r="15" ht="14.4" customHeight="1" s="876">
      <c r="A15" s="92" t="n">
        <v>241</v>
      </c>
      <c r="B15" s="116">
        <f>IF(INDEX(MO_SNA_IsHistoricalPeriod,,MATCH(F15,MO_Common_ColumnHeader,0)),"Historical","Forward")</f>
        <v/>
      </c>
      <c r="C15" s="166" t="n"/>
      <c r="D15" s="123">
        <f>INDEX(INDIRECT(E15),0,COLUMN(MO_Common_Column_A))</f>
        <v/>
      </c>
      <c r="E15" s="117" t="inlineStr">
        <is>
          <t>MO_RIS_REV</t>
        </is>
      </c>
      <c r="F15" s="116" t="inlineStr">
        <is>
          <t>Q4-2025</t>
        </is>
      </c>
      <c r="G15" s="116" t="n"/>
      <c r="H15" s="166" t="n"/>
      <c r="I15" s="1928" t="n">
        <v>32200</v>
      </c>
      <c r="J15" s="1928" t="n">
        <v>33400</v>
      </c>
      <c r="K15" s="1928">
        <f>AVERAGE(I15:J15)</f>
        <v/>
      </c>
      <c r="L15" s="166" t="n"/>
      <c r="M15" s="116">
        <f>IF(INDEX(MO_SNA_IsHistoricalPeriod,,MATCH(F15,MO_Common_ColumnHeader,0)),"Actual","Estimate")</f>
        <v/>
      </c>
      <c r="N15" s="1928">
        <f>IFERROR(INDEX(INDIRECT(E15),0,MATCH(F15,MO_Common_ColumnHeader,0)),"N/A")/INDEX(z_M2B13B0184_MO_OS_Weightedaverageforeignexchangedratereported,0,MATCH(F15,MO_Common_ColumnHeader,0))</f>
        <v/>
      </c>
      <c r="O15" s="166" t="n"/>
      <c r="P15" s="1929">
        <f>IF(ISNUMBER(N15),N15-K15,"N/A")</f>
        <v/>
      </c>
      <c r="Q15" s="1930">
        <f>IFERROR(IF(ISNUMBER(N15),(N15-K15)/ABS(K15),"N/A"),"N/A")</f>
        <v/>
      </c>
      <c r="R15" s="166" t="n"/>
      <c r="S15" s="119" t="n">
        <v>45946</v>
      </c>
      <c r="T15" s="209" t="inlineStr">
        <is>
          <t>Investor Presentation</t>
        </is>
      </c>
      <c r="U15" s="166" t="n"/>
    </row>
    <row r="16" ht="14.4" customHeight="1" s="876">
      <c r="A16" s="92" t="n">
        <v>240</v>
      </c>
      <c r="B16" s="116">
        <f>IF(INDEX(MO_SNA_IsHistoricalPeriod,,MATCH(F16,MO_Common_ColumnHeader,0)),"Historical","Forward")</f>
        <v/>
      </c>
      <c r="C16" s="166" t="n"/>
      <c r="D16" s="123">
        <f>INDEX(INDIRECT(E16),0,COLUMN(MO_Common_Column_A))</f>
        <v/>
      </c>
      <c r="E16" s="117" t="inlineStr">
        <is>
          <t>z_M2B13B0184_MO_OS_Weightedaverageforeignexchangedratereported</t>
        </is>
      </c>
      <c r="F16" s="116" t="inlineStr">
        <is>
          <t>Q4-2025</t>
        </is>
      </c>
      <c r="G16" s="116" t="n"/>
      <c r="H16" s="166" t="n"/>
      <c r="I16" s="1928" t="n">
        <v>30.6</v>
      </c>
      <c r="J16" s="1928" t="n">
        <v>30.6</v>
      </c>
      <c r="K16" s="1928">
        <f>AVERAGE(I16:J16)</f>
        <v/>
      </c>
      <c r="L16" s="166" t="n"/>
      <c r="M16" s="116">
        <f>IF(INDEX(MO_SNA_IsHistoricalPeriod,,MATCH(F16,MO_Common_ColumnHeader,0)),"Actual","Estimate")</f>
        <v/>
      </c>
      <c r="N16" s="1928">
        <f>IFERROR(INDEX(INDIRECT(E16),0,MATCH(F16,MO_Common_ColumnHeader,0)),"N/A")</f>
        <v/>
      </c>
      <c r="O16" s="166" t="n"/>
      <c r="P16" s="1929">
        <f>IF(ISNUMBER(N16),N16-K16,"N/A")</f>
        <v/>
      </c>
      <c r="Q16" s="1930">
        <f>IFERROR(IF(ISNUMBER(N16),(N16-K16)/ABS(K16),"N/A"),"N/A")</f>
        <v/>
      </c>
      <c r="R16" s="166" t="n"/>
      <c r="S16" s="119" t="n">
        <v>45946</v>
      </c>
      <c r="T16" s="209" t="inlineStr">
        <is>
          <t>Investor Presentation</t>
        </is>
      </c>
      <c r="U16" s="166" t="n"/>
    </row>
    <row r="17" ht="14.4" customHeight="1" s="876">
      <c r="A17" s="92" t="n">
        <v>239</v>
      </c>
      <c r="B17" s="116">
        <f>IF(INDEX(MO_SNA_IsHistoricalPeriod,,MATCH(F17,MO_Common_ColumnHeader,0)),"Historical","Forward")</f>
        <v/>
      </c>
      <c r="C17" s="166" t="n"/>
      <c r="D17" s="123">
        <f>INDEX(INDIRECT(E17),0,COLUMN(MO_Common_Column_A))</f>
        <v/>
      </c>
      <c r="E17" s="117" t="inlineStr">
        <is>
          <t>MO_MA_GM</t>
        </is>
      </c>
      <c r="F17" s="116" t="inlineStr">
        <is>
          <t>Q4-2025</t>
        </is>
      </c>
      <c r="G17" s="116" t="n"/>
      <c r="H17" s="166" t="n"/>
      <c r="I17" s="1933" t="n">
        <v>0.59</v>
      </c>
      <c r="J17" s="1933" t="n">
        <v>0.61</v>
      </c>
      <c r="K17" s="1933">
        <f>AVERAGE(I17:J17)</f>
        <v/>
      </c>
      <c r="L17" s="166" t="n"/>
      <c r="M17" s="116">
        <f>IF(INDEX(MO_SNA_IsHistoricalPeriod,,MATCH(F17,MO_Common_ColumnHeader,0)),"Actual","Estimate")</f>
        <v/>
      </c>
      <c r="N17" s="1933">
        <f>IFERROR(INDEX(INDIRECT(E17),0,MATCH(F17,MO_Common_ColumnHeader,0)),"N/A")</f>
        <v/>
      </c>
      <c r="O17" s="166" t="n"/>
      <c r="P17" s="1930">
        <f>IF(ISNUMBER(N17),N17-K17,"N/A")</f>
        <v/>
      </c>
      <c r="Q17" s="1930">
        <f>IFERROR(IF(ISNUMBER(N17),(N17-K17)/ABS(K17),"N/A"),"N/A")</f>
        <v/>
      </c>
      <c r="R17" s="166" t="n"/>
      <c r="S17" s="119" t="n">
        <v>45946</v>
      </c>
      <c r="T17" s="209" t="inlineStr">
        <is>
          <t>Investor Presentation</t>
        </is>
      </c>
      <c r="U17" s="166" t="n"/>
    </row>
    <row r="18" ht="14.4" customHeight="1" s="876">
      <c r="A18" s="92" t="n">
        <v>238</v>
      </c>
      <c r="B18" s="116">
        <f>IF(INDEX(MO_SNA_IsHistoricalPeriod,,MATCH(F18,MO_Common_ColumnHeader,0)),"Historical","Forward")</f>
        <v/>
      </c>
      <c r="C18" s="166" t="n"/>
      <c r="D18" s="123" t="inlineStr">
        <is>
          <t>Operating Profit Margin</t>
        </is>
      </c>
      <c r="E18" s="117" t="n"/>
      <c r="F18" s="116" t="inlineStr">
        <is>
          <t>Q4-2025</t>
        </is>
      </c>
      <c r="G18" s="116" t="n"/>
      <c r="H18" s="166" t="n"/>
      <c r="I18" s="1933" t="n">
        <v>0.49</v>
      </c>
      <c r="J18" s="1933" t="n">
        <v>0.51</v>
      </c>
      <c r="K18" s="1933">
        <f>AVERAGE(I18:J18)</f>
        <v/>
      </c>
      <c r="L18" s="166" t="n"/>
      <c r="M18" s="116">
        <f>IF(INDEX(MO_SNA_IsHistoricalPeriod,,MATCH(F18,MO_Common_ColumnHeader,0)),"Actual","Estimate")</f>
        <v/>
      </c>
      <c r="N18" s="1933">
        <f>INDEX(MO_RIS_EBIT,0,MATCH(F18,MO_Common_ColumnHeader,0))/INDEX(MO_RIS_REV,0,MATCH(F18,MO_Common_ColumnHeader,0))</f>
        <v/>
      </c>
      <c r="O18" s="166" t="n"/>
      <c r="P18" s="1930">
        <f>IF(ISNUMBER(N18),N18-K18,"N/A")</f>
        <v/>
      </c>
      <c r="Q18" s="1930">
        <f>IFERROR(IF(ISNUMBER(N18),(N18-K18)/ABS(K18),"N/A"),"N/A")</f>
        <v/>
      </c>
      <c r="R18" s="166" t="n"/>
      <c r="S18" s="119" t="n">
        <v>45946</v>
      </c>
      <c r="T18" s="209" t="inlineStr">
        <is>
          <t>Investor Presentation</t>
        </is>
      </c>
      <c r="U18" s="166" t="n"/>
    </row>
    <row r="19" ht="14.4" customHeight="1" s="876">
      <c r="A19" s="92" t="n">
        <v>237</v>
      </c>
      <c r="B19" s="166" t="n"/>
      <c r="C19" s="166" t="n"/>
      <c r="D19" s="102" t="n"/>
      <c r="E19" s="103" t="n"/>
      <c r="F19" s="166" t="n"/>
      <c r="G19" s="166" t="n"/>
      <c r="H19" s="166" t="n"/>
      <c r="I19" s="1301" t="n"/>
      <c r="J19" s="1301" t="n"/>
      <c r="K19" s="1301" t="n"/>
      <c r="L19" s="166" t="n"/>
      <c r="M19" s="166" t="n"/>
      <c r="N19" s="1301" t="n"/>
      <c r="O19" s="166" t="n"/>
      <c r="P19" s="1931" t="n"/>
      <c r="Q19" s="1932" t="n"/>
      <c r="R19" s="166" t="n"/>
      <c r="S19" s="107" t="n"/>
      <c r="T19" s="126" t="n"/>
      <c r="U19" s="166" t="n"/>
    </row>
    <row r="20" ht="14.4" customHeight="1" s="876">
      <c r="A20" s="92" t="n">
        <v>236</v>
      </c>
      <c r="B20" s="116">
        <f>IF(INDEX(MO_SNA_IsHistoricalPeriod,,MATCH(F20,MO_Common_ColumnHeader,0)),"Historical","Forward")</f>
        <v/>
      </c>
      <c r="C20" s="166" t="n"/>
      <c r="D20" s="123" t="inlineStr">
        <is>
          <t>Revenue growth in USD</t>
        </is>
      </c>
      <c r="E20" s="117" t="inlineStr">
        <is>
          <t>MO_RIS_REV</t>
        </is>
      </c>
      <c r="F20" s="116" t="inlineStr">
        <is>
          <t>FY2025</t>
        </is>
      </c>
      <c r="G20" s="116" t="inlineStr">
        <is>
          <t>FY2024</t>
        </is>
      </c>
      <c r="H20" s="166" t="n"/>
      <c r="I20" s="1933" t="n">
        <v>0.3</v>
      </c>
      <c r="J20" s="1933" t="n">
        <v>0.3</v>
      </c>
      <c r="K20" s="1933">
        <f>AVERAGE(I20:J20)</f>
        <v/>
      </c>
      <c r="L20" s="166" t="n"/>
      <c r="M20" s="116">
        <f>IF(INDEX(MO_SNA_IsHistoricalPeriod,,MATCH(F20,MO_Common_ColumnHeader,0)),"Actual","Estimate")</f>
        <v/>
      </c>
      <c r="N20" s="1933">
        <f>IFERROR(INDEX(INDIRECT(E20),0,MATCH(F20,MO_Common_ColumnHeader,0)),"N/A")/INDEX(z_M2B13B0184_MO_OS_Weightedaverageforeignexchangedratereported,0,MATCH(F20,MO_Common_ColumnHeader,0))/(IFERROR(INDEX(INDIRECT(E20),0,MATCH(G20,MO_Common_ColumnHeader,0)),"N/A")/INDEX(z_M2B13B0184_MO_OS_Weightedaverageforeignexchangedratereported,0,MATCH(G20,MO_Common_ColumnHeader,0)))-1</f>
        <v/>
      </c>
      <c r="O20" s="166" t="n"/>
      <c r="P20" s="1930">
        <f>IF(ISNUMBER(N20),N20-K20,"N/A")</f>
        <v/>
      </c>
      <c r="Q20" s="1930">
        <f>IFERROR(IF(ISNUMBER(N20),(N20-K20)/ABS(K20),"N/A"),"N/A")</f>
        <v/>
      </c>
      <c r="R20" s="166" t="n"/>
      <c r="S20" s="119" t="n">
        <v>45855</v>
      </c>
      <c r="T20" s="209" t="inlineStr">
        <is>
          <t>Investor Presentation</t>
        </is>
      </c>
      <c r="U20" s="166" t="n"/>
    </row>
    <row r="21" ht="14.4" customHeight="1" s="876">
      <c r="A21" s="92" t="n">
        <v>235</v>
      </c>
      <c r="B21" s="116">
        <f>IF(INDEX(MO_SNA_IsHistoricalPeriod,,MATCH(F21,MO_Common_ColumnHeader,0)),"Historical","Forward")</f>
        <v/>
      </c>
      <c r="C21" s="166" t="n"/>
      <c r="D21" s="123">
        <f>INDEX(INDIRECT(E21),0,COLUMN(MO_Common_Column_A))</f>
        <v/>
      </c>
      <c r="E21" s="117" t="inlineStr">
        <is>
          <t>MO_CFSum_Capex</t>
        </is>
      </c>
      <c r="F21" s="116" t="inlineStr">
        <is>
          <t>FY2025</t>
        </is>
      </c>
      <c r="G21" s="116" t="n"/>
      <c r="H21" s="166" t="n"/>
      <c r="I21" s="1928" t="n">
        <v>-42000</v>
      </c>
      <c r="J21" s="1928" t="n">
        <v>-38000</v>
      </c>
      <c r="K21" s="1928">
        <f>AVERAGE(I21:J21)</f>
        <v/>
      </c>
      <c r="L21" s="166" t="n"/>
      <c r="M21" s="116">
        <f>IF(INDEX(MO_SNA_IsHistoricalPeriod,,MATCH(F21,MO_Common_ColumnHeader,0)),"Actual","Estimate")</f>
        <v/>
      </c>
      <c r="N21" s="1928">
        <f>IFERROR(INDEX(INDIRECT(E21),0,MATCH(F21,MO_Common_ColumnHeader,0)),"N/A")*INDEX(MO_VA_FX_Average,0,MATCH(F21,MO_Common_ColumnHeader,0))</f>
        <v/>
      </c>
      <c r="O21" s="166" t="n"/>
      <c r="P21" s="1929">
        <f>IF(ISNUMBER(N21),N21-K21,"N/A")</f>
        <v/>
      </c>
      <c r="Q21" s="1930">
        <f>IFERROR(IF(ISNUMBER(N21),(N21-K21)/ABS(K21),"N/A"),"N/A")</f>
        <v/>
      </c>
      <c r="R21" s="166" t="n"/>
      <c r="S21" s="119" t="n">
        <v>45855</v>
      </c>
      <c r="T21" s="209" t="inlineStr">
        <is>
          <t>Transcript</t>
        </is>
      </c>
      <c r="U21" s="166" t="n"/>
    </row>
    <row r="22" ht="14.4" customHeight="1" s="876">
      <c r="A22" s="92" t="n">
        <v>234</v>
      </c>
      <c r="B22" s="166" t="n"/>
      <c r="C22" s="166" t="n"/>
      <c r="D22" s="102" t="n"/>
      <c r="E22" s="103" t="n"/>
      <c r="F22" s="166" t="n"/>
      <c r="G22" s="166" t="n"/>
      <c r="H22" s="166" t="n"/>
      <c r="I22" s="1301" t="n"/>
      <c r="J22" s="1301" t="n"/>
      <c r="K22" s="1301" t="n"/>
      <c r="L22" s="166" t="n"/>
      <c r="M22" s="166" t="n"/>
      <c r="N22" s="1301" t="n"/>
      <c r="O22" s="166" t="n"/>
      <c r="P22" s="1931" t="n"/>
      <c r="Q22" s="1932" t="n"/>
      <c r="R22" s="166" t="n"/>
      <c r="S22" s="107" t="n"/>
      <c r="T22" s="126" t="n"/>
      <c r="U22" s="166" t="n"/>
    </row>
    <row r="23" ht="14.4" customHeight="1" s="876">
      <c r="A23" s="92" t="n">
        <v>233</v>
      </c>
      <c r="B23" s="116">
        <f>IF(INDEX(MO_SNA_IsHistoricalPeriod,,MATCH(F23,MO_Common_ColumnHeader,0)),"Historical","Forward")</f>
        <v/>
      </c>
      <c r="C23" s="166" t="n"/>
      <c r="D23" s="123">
        <f>INDEX(INDIRECT(E23),0,COLUMN(MO_Common_Column_A))</f>
        <v/>
      </c>
      <c r="E23" s="117" t="inlineStr">
        <is>
          <t>MO_RIS_REV</t>
        </is>
      </c>
      <c r="F23" s="116" t="inlineStr">
        <is>
          <t>Q3-2025</t>
        </is>
      </c>
      <c r="G23" s="116" t="n"/>
      <c r="H23" s="166" t="n"/>
      <c r="I23" s="1928" t="n">
        <v>31800</v>
      </c>
      <c r="J23" s="1928" t="n">
        <v>33000</v>
      </c>
      <c r="K23" s="1928">
        <f>AVERAGE(I23:J23)</f>
        <v/>
      </c>
      <c r="L23" s="166" t="n"/>
      <c r="M23" s="116">
        <f>IF(INDEX(MO_SNA_IsHistoricalPeriod,,MATCH(F23,MO_Common_ColumnHeader,0)),"Actual","Estimate")</f>
        <v/>
      </c>
      <c r="N23" s="1928">
        <f>IFERROR(INDEX(INDIRECT(E23),0,MATCH(F23,MO_Common_ColumnHeader,0)),"N/A")/INDEX(z_M2B13B0184_MO_OS_Weightedaverageforeignexchangedratereported,0,MATCH(F23,MO_Common_ColumnHeader,0))</f>
        <v/>
      </c>
      <c r="O23" s="166" t="n"/>
      <c r="P23" s="1929">
        <f>IF(ISNUMBER(N23),N23-K23,"N/A")</f>
        <v/>
      </c>
      <c r="Q23" s="1930">
        <f>IFERROR(IF(ISNUMBER(N23),(N23-K23)/ABS(K23),"N/A"),"N/A")</f>
        <v/>
      </c>
      <c r="R23" s="166" t="n"/>
      <c r="S23" s="119" t="n">
        <v>45855</v>
      </c>
      <c r="T23" s="209" t="inlineStr">
        <is>
          <t>Investor Presentation</t>
        </is>
      </c>
      <c r="U23" s="166" t="n"/>
    </row>
    <row r="24" ht="14.4" customHeight="1" s="876">
      <c r="A24" s="92" t="n">
        <v>232</v>
      </c>
      <c r="B24" s="116">
        <f>IF(INDEX(MO_SNA_IsHistoricalPeriod,,MATCH(F24,MO_Common_ColumnHeader,0)),"Historical","Forward")</f>
        <v/>
      </c>
      <c r="C24" s="166" t="n"/>
      <c r="D24" s="123">
        <f>INDEX(INDIRECT(E24),0,COLUMN(MO_Common_Column_A))</f>
        <v/>
      </c>
      <c r="E24" s="117" t="inlineStr">
        <is>
          <t>z_M2B13B0184_MO_OS_Weightedaverageforeignexchangedratereported</t>
        </is>
      </c>
      <c r="F24" s="116" t="inlineStr">
        <is>
          <t>Q3-2025</t>
        </is>
      </c>
      <c r="G24" s="116" t="n"/>
      <c r="H24" s="166" t="n"/>
      <c r="I24" s="1928" t="n">
        <v>29</v>
      </c>
      <c r="J24" s="1928" t="n">
        <v>29</v>
      </c>
      <c r="K24" s="1928">
        <f>AVERAGE(I24:J24)</f>
        <v/>
      </c>
      <c r="L24" s="166" t="n"/>
      <c r="M24" s="116">
        <f>IF(INDEX(MO_SNA_IsHistoricalPeriod,,MATCH(F24,MO_Common_ColumnHeader,0)),"Actual","Estimate")</f>
        <v/>
      </c>
      <c r="N24" s="1928">
        <f>IFERROR(INDEX(INDIRECT(E24),0,MATCH(F24,MO_Common_ColumnHeader,0)),"N/A")</f>
        <v/>
      </c>
      <c r="O24" s="166" t="n"/>
      <c r="P24" s="1929">
        <f>IF(ISNUMBER(N24),N24-K24,"N/A")</f>
        <v/>
      </c>
      <c r="Q24" s="1930">
        <f>IFERROR(IF(ISNUMBER(N24),(N24-K24)/ABS(K24),"N/A"),"N/A")</f>
        <v/>
      </c>
      <c r="R24" s="166" t="n"/>
      <c r="S24" s="119" t="n">
        <v>45855</v>
      </c>
      <c r="T24" s="209" t="inlineStr">
        <is>
          <t>Investor Presentation</t>
        </is>
      </c>
      <c r="U24" s="166" t="n"/>
    </row>
    <row r="25" ht="14.4" customHeight="1" s="876">
      <c r="A25" s="92" t="n">
        <v>231</v>
      </c>
      <c r="B25" s="116">
        <f>IF(INDEX(MO_SNA_IsHistoricalPeriod,,MATCH(F25,MO_Common_ColumnHeader,0)),"Historical","Forward")</f>
        <v/>
      </c>
      <c r="C25" s="166" t="n"/>
      <c r="D25" s="123">
        <f>INDEX(INDIRECT(E25),0,COLUMN(MO_Common_Column_A))</f>
        <v/>
      </c>
      <c r="E25" s="117" t="inlineStr">
        <is>
          <t>MO_MA_GM</t>
        </is>
      </c>
      <c r="F25" s="116" t="inlineStr">
        <is>
          <t>Q3-2025</t>
        </is>
      </c>
      <c r="G25" s="116" t="n"/>
      <c r="H25" s="166" t="n"/>
      <c r="I25" s="1933" t="n">
        <v>0.555</v>
      </c>
      <c r="J25" s="1933" t="n">
        <v>0.575</v>
      </c>
      <c r="K25" s="1933">
        <f>AVERAGE(I25:J25)</f>
        <v/>
      </c>
      <c r="L25" s="166" t="n"/>
      <c r="M25" s="116">
        <f>IF(INDEX(MO_SNA_IsHistoricalPeriod,,MATCH(F25,MO_Common_ColumnHeader,0)),"Actual","Estimate")</f>
        <v/>
      </c>
      <c r="N25" s="1933">
        <f>IFERROR(INDEX(INDIRECT(E25),0,MATCH(F25,MO_Common_ColumnHeader,0)),"N/A")</f>
        <v/>
      </c>
      <c r="O25" s="166" t="n"/>
      <c r="P25" s="1930">
        <f>IF(ISNUMBER(N25),N25-K25,"N/A")</f>
        <v/>
      </c>
      <c r="Q25" s="1930">
        <f>IFERROR(IF(ISNUMBER(N25),(N25-K25)/ABS(K25),"N/A"),"N/A")</f>
        <v/>
      </c>
      <c r="R25" s="166" t="n"/>
      <c r="S25" s="119" t="n">
        <v>45855</v>
      </c>
      <c r="T25" s="209" t="inlineStr">
        <is>
          <t>Investor Presentation</t>
        </is>
      </c>
      <c r="U25" s="166" t="n"/>
    </row>
    <row r="26" ht="14.4" customHeight="1" s="876">
      <c r="A26" s="92" t="n">
        <v>230</v>
      </c>
      <c r="B26" s="116">
        <f>IF(INDEX(MO_SNA_IsHistoricalPeriod,,MATCH(F26,MO_Common_ColumnHeader,0)),"Historical","Forward")</f>
        <v/>
      </c>
      <c r="C26" s="166" t="n"/>
      <c r="D26" s="123" t="inlineStr">
        <is>
          <t>Operating Profit Margin</t>
        </is>
      </c>
      <c r="E26" s="117" t="n"/>
      <c r="F26" s="116" t="inlineStr">
        <is>
          <t>Q3-2025</t>
        </is>
      </c>
      <c r="G26" s="116" t="n"/>
      <c r="H26" s="166" t="n"/>
      <c r="I26" s="1933" t="n">
        <v>0.455</v>
      </c>
      <c r="J26" s="1933" t="n">
        <v>0.475</v>
      </c>
      <c r="K26" s="1933">
        <f>AVERAGE(I26:J26)</f>
        <v/>
      </c>
      <c r="L26" s="166" t="n"/>
      <c r="M26" s="116">
        <f>IF(INDEX(MO_SNA_IsHistoricalPeriod,,MATCH(F26,MO_Common_ColumnHeader,0)),"Actual","Estimate")</f>
        <v/>
      </c>
      <c r="N26" s="1933">
        <f>INDEX(MO_RIS_EBIT,0,MATCH(F26,MO_Common_ColumnHeader,0))/INDEX(MO_RIS_REV,0,MATCH(F26,MO_Common_ColumnHeader,0))</f>
        <v/>
      </c>
      <c r="O26" s="166" t="n"/>
      <c r="P26" s="1930">
        <f>IF(ISNUMBER(N26),N26-K26,"N/A")</f>
        <v/>
      </c>
      <c r="Q26" s="1930">
        <f>IFERROR(IF(ISNUMBER(N26),(N26-K26)/ABS(K26),"N/A"),"N/A")</f>
        <v/>
      </c>
      <c r="R26" s="166" t="n"/>
      <c r="S26" s="119" t="n">
        <v>45855</v>
      </c>
      <c r="T26" s="209" t="inlineStr">
        <is>
          <t>Investor Presentation</t>
        </is>
      </c>
      <c r="U26" s="166" t="n"/>
    </row>
    <row r="27" ht="14.4" customHeight="1" s="876">
      <c r="A27" s="92" t="n">
        <v>229</v>
      </c>
      <c r="B27" s="166" t="n"/>
      <c r="C27" s="166" t="n"/>
      <c r="D27" s="102" t="n"/>
      <c r="E27" s="103" t="n"/>
      <c r="F27" s="166" t="n"/>
      <c r="G27" s="166" t="n"/>
      <c r="H27" s="166" t="n"/>
      <c r="I27" s="1301" t="n"/>
      <c r="J27" s="1301" t="n"/>
      <c r="K27" s="1301" t="n"/>
      <c r="L27" s="166" t="n"/>
      <c r="M27" s="166" t="n"/>
      <c r="N27" s="1301" t="n"/>
      <c r="O27" s="166" t="n"/>
      <c r="P27" s="1931" t="n"/>
      <c r="Q27" s="1932" t="n"/>
      <c r="R27" s="166" t="n"/>
      <c r="S27" s="107" t="n"/>
      <c r="T27" s="126" t="n"/>
      <c r="U27" s="166" t="n"/>
    </row>
    <row r="28" ht="14.4" customHeight="1" s="876">
      <c r="A28" s="92" t="n">
        <v>228</v>
      </c>
      <c r="B28" s="116">
        <f>IF(INDEX(MO_SNA_IsHistoricalPeriod,,MATCH(F28,MO_Common_ColumnHeader,0)),"Historical","Forward")</f>
        <v/>
      </c>
      <c r="C28" s="166" t="n"/>
      <c r="D28" s="123" t="inlineStr">
        <is>
          <t>Revenue growth in USD</t>
        </is>
      </c>
      <c r="E28" s="117" t="inlineStr">
        <is>
          <t>MO_RIS_REV</t>
        </is>
      </c>
      <c r="F28" s="116" t="inlineStr">
        <is>
          <t>FY2025</t>
        </is>
      </c>
      <c r="G28" s="116" t="inlineStr">
        <is>
          <t>FY2024</t>
        </is>
      </c>
      <c r="H28" s="166" t="n"/>
      <c r="I28" s="1933" t="n">
        <v>0.24</v>
      </c>
      <c r="J28" s="1933" t="n">
        <v>0.26</v>
      </c>
      <c r="K28" s="1933">
        <f>AVERAGE(I28:J28)</f>
        <v/>
      </c>
      <c r="L28" s="166" t="n"/>
      <c r="M28" s="116">
        <f>IF(INDEX(MO_SNA_IsHistoricalPeriod,,MATCH(F28,MO_Common_ColumnHeader,0)),"Actual","Estimate")</f>
        <v/>
      </c>
      <c r="N28" s="1933">
        <f>IFERROR(INDEX(INDIRECT(E28),0,MATCH(F28,MO_Common_ColumnHeader,0)),"N/A")/INDEX(z_M2B13B0184_MO_OS_Weightedaverageforeignexchangedratereported,0,MATCH(F28,MO_Common_ColumnHeader,0))/(IFERROR(INDEX(INDIRECT(E28),0,MATCH(G28,MO_Common_ColumnHeader,0)),"N/A")/INDEX(z_M2B13B0184_MO_OS_Weightedaverageforeignexchangedratereported,0,MATCH(G28,MO_Common_ColumnHeader,0)))-1</f>
        <v/>
      </c>
      <c r="O28" s="166" t="n"/>
      <c r="P28" s="1930">
        <f>IF(ISNUMBER(N28),N28-K28,"N/A")</f>
        <v/>
      </c>
      <c r="Q28" s="1930">
        <f>IFERROR(IF(ISNUMBER(N28),(N28-K28)/ABS(K28),"N/A"),"N/A")</f>
        <v/>
      </c>
      <c r="R28" s="166" t="n"/>
      <c r="S28" s="119" t="n">
        <v>45764</v>
      </c>
      <c r="T28" s="209" t="inlineStr">
        <is>
          <t>Investor Presentation</t>
        </is>
      </c>
      <c r="U28" s="166" t="n"/>
    </row>
    <row r="29" ht="14.4" customHeight="1" s="876">
      <c r="A29" s="92" t="n">
        <v>227</v>
      </c>
      <c r="B29" s="116">
        <f>IF(INDEX(MO_SNA_IsHistoricalPeriod,,MATCH(F29,MO_Common_ColumnHeader,0)),"Historical","Forward")</f>
        <v/>
      </c>
      <c r="C29" s="166" t="n"/>
      <c r="D29" s="123">
        <f>INDEX(INDIRECT(E29),0,COLUMN(MO_Common_Column_A))</f>
        <v/>
      </c>
      <c r="E29" s="117" t="inlineStr">
        <is>
          <t>MO_CFSum_Capex</t>
        </is>
      </c>
      <c r="F29" s="116" t="inlineStr">
        <is>
          <t>FY2025</t>
        </is>
      </c>
      <c r="G29" s="116" t="n"/>
      <c r="H29" s="166" t="n"/>
      <c r="I29" s="1928" t="n">
        <v>-42000</v>
      </c>
      <c r="J29" s="1928" t="n">
        <v>-38000</v>
      </c>
      <c r="K29" s="1928">
        <f>AVERAGE(I29:J29)</f>
        <v/>
      </c>
      <c r="L29" s="166" t="n"/>
      <c r="M29" s="116">
        <f>IF(INDEX(MO_SNA_IsHistoricalPeriod,,MATCH(F29,MO_Common_ColumnHeader,0)),"Actual","Estimate")</f>
        <v/>
      </c>
      <c r="N29" s="1928">
        <f>IFERROR(INDEX(INDIRECT(E29),0,MATCH(F29,MO_Common_ColumnHeader,0)),"N/A")*INDEX(MO_VA_FX_Average,0,MATCH(F29,MO_Common_ColumnHeader,0))</f>
        <v/>
      </c>
      <c r="O29" s="166" t="n"/>
      <c r="P29" s="1929">
        <f>IF(ISNUMBER(N29),N29-K29,"N/A")</f>
        <v/>
      </c>
      <c r="Q29" s="1930">
        <f>IFERROR(IF(ISNUMBER(N29),(N29-K29)/ABS(K29),"N/A"),"N/A")</f>
        <v/>
      </c>
      <c r="R29" s="166" t="n"/>
      <c r="S29" s="119" t="n">
        <v>45764</v>
      </c>
      <c r="T29" s="209" t="inlineStr">
        <is>
          <t>Transcript</t>
        </is>
      </c>
      <c r="U29" s="166" t="n"/>
    </row>
    <row r="30" ht="14.4" customHeight="1" s="876">
      <c r="A30" s="92" t="n">
        <v>226</v>
      </c>
      <c r="B30" s="116">
        <f>IF(INDEX(MO_SNA_IsHistoricalPeriod,,MATCH(F30,MO_Common_ColumnHeader,0)),"Historical","Forward")</f>
        <v/>
      </c>
      <c r="C30" s="166" t="n"/>
      <c r="D30" s="123">
        <f>INDEX(INDIRECT(E30),0,COLUMN(MO_Common_Column_A))</f>
        <v/>
      </c>
      <c r="E30" s="117" t="inlineStr">
        <is>
          <t>MO_RIS_TaxRate_Current</t>
        </is>
      </c>
      <c r="F30" s="116" t="inlineStr">
        <is>
          <t>FY2025</t>
        </is>
      </c>
      <c r="G30" s="116" t="n"/>
      <c r="H30" s="166" t="n"/>
      <c r="I30" s="1933" t="n">
        <v>0.16</v>
      </c>
      <c r="J30" s="1933" t="n">
        <v>0.17</v>
      </c>
      <c r="K30" s="1933">
        <f>AVERAGE(I30:J30)</f>
        <v/>
      </c>
      <c r="L30" s="166" t="n"/>
      <c r="M30" s="116">
        <f>IF(INDEX(MO_SNA_IsHistoricalPeriod,,MATCH(F30,MO_Common_ColumnHeader,0)),"Actual","Estimate")</f>
        <v/>
      </c>
      <c r="N30" s="1933">
        <f>IFERROR(INDEX(INDIRECT(E30),0,MATCH(F30,MO_Common_ColumnHeader,0)),"N/A")</f>
        <v/>
      </c>
      <c r="O30" s="166" t="n"/>
      <c r="P30" s="1930">
        <f>IF(ISNUMBER(N30),N30-K30,"N/A")</f>
        <v/>
      </c>
      <c r="Q30" s="1930">
        <f>IFERROR(IF(ISNUMBER(N30),(N30-K30)/ABS(K30),"N/A"),"N/A")</f>
        <v/>
      </c>
      <c r="R30" s="166" t="n"/>
      <c r="S30" s="119" t="n">
        <v>45764</v>
      </c>
      <c r="T30" s="209" t="inlineStr">
        <is>
          <t>Transcript</t>
        </is>
      </c>
      <c r="U30" s="166" t="n"/>
    </row>
    <row r="31" ht="14.4" customHeight="1" s="876">
      <c r="A31" s="92" t="n">
        <v>225</v>
      </c>
      <c r="B31" s="166" t="n"/>
      <c r="C31" s="166" t="n"/>
      <c r="D31" s="102" t="n"/>
      <c r="E31" s="103" t="n"/>
      <c r="F31" s="166" t="n"/>
      <c r="G31" s="166" t="n"/>
      <c r="H31" s="166" t="n"/>
      <c r="I31" s="1301" t="n"/>
      <c r="J31" s="1301" t="n"/>
      <c r="K31" s="1301" t="n"/>
      <c r="L31" s="166" t="n"/>
      <c r="M31" s="166" t="n"/>
      <c r="N31" s="1301" t="n"/>
      <c r="O31" s="166" t="n"/>
      <c r="P31" s="1931" t="n"/>
      <c r="Q31" s="1932" t="n"/>
      <c r="R31" s="166" t="n"/>
      <c r="S31" s="107" t="n"/>
      <c r="T31" s="126" t="n"/>
      <c r="U31" s="166" t="n"/>
    </row>
    <row r="32" ht="14.4" customHeight="1" s="876">
      <c r="A32" s="92" t="n">
        <v>224</v>
      </c>
      <c r="B32" s="116">
        <f>IF(INDEX(MO_SNA_IsHistoricalPeriod,,MATCH(F32,MO_Common_ColumnHeader,0)),"Historical","Forward")</f>
        <v/>
      </c>
      <c r="C32" s="166" t="n"/>
      <c r="D32" s="123">
        <f>INDEX(INDIRECT(E32),0,COLUMN(MO_Common_Column_A))</f>
        <v/>
      </c>
      <c r="E32" s="117" t="inlineStr">
        <is>
          <t>MO_RIS_REV</t>
        </is>
      </c>
      <c r="F32" s="116" t="inlineStr">
        <is>
          <t>Q2-2025</t>
        </is>
      </c>
      <c r="G32" s="116" t="n"/>
      <c r="H32" s="166" t="n"/>
      <c r="I32" s="1928" t="n">
        <v>28400</v>
      </c>
      <c r="J32" s="1928" t="n">
        <v>29200</v>
      </c>
      <c r="K32" s="1928">
        <f>AVERAGE(I32:J32)</f>
        <v/>
      </c>
      <c r="L32" s="166" t="n"/>
      <c r="M32" s="116">
        <f>IF(INDEX(MO_SNA_IsHistoricalPeriod,,MATCH(F32,MO_Common_ColumnHeader,0)),"Actual","Estimate")</f>
        <v/>
      </c>
      <c r="N32" s="1928">
        <f>IFERROR(INDEX(INDIRECT(E32),0,MATCH(F32,MO_Common_ColumnHeader,0)),"N/A")/INDEX(z_M2B13B0184_MO_OS_Weightedaverageforeignexchangedratereported,0,MATCH(F32,MO_Common_ColumnHeader,0))</f>
        <v/>
      </c>
      <c r="O32" s="166" t="n"/>
      <c r="P32" s="1929">
        <f>IF(ISNUMBER(N32),N32-K32,"N/A")</f>
        <v/>
      </c>
      <c r="Q32" s="1930">
        <f>IFERROR(IF(ISNUMBER(N32),(N32-K32)/ABS(K32),"N/A"),"N/A")</f>
        <v/>
      </c>
      <c r="R32" s="166" t="n"/>
      <c r="S32" s="119" t="n">
        <v>45764</v>
      </c>
      <c r="T32" s="209" t="inlineStr">
        <is>
          <t>Investor Presentation</t>
        </is>
      </c>
      <c r="U32" s="166" t="n"/>
    </row>
    <row r="33" ht="14.4" customHeight="1" s="876">
      <c r="A33" s="92" t="n">
        <v>223</v>
      </c>
      <c r="B33" s="116">
        <f>IF(INDEX(MO_SNA_IsHistoricalPeriod,,MATCH(F33,MO_Common_ColumnHeader,0)),"Historical","Forward")</f>
        <v/>
      </c>
      <c r="C33" s="166" t="n"/>
      <c r="D33" s="123">
        <f>INDEX(INDIRECT(E33),0,COLUMN(MO_Common_Column_A))</f>
        <v/>
      </c>
      <c r="E33" s="117" t="inlineStr">
        <is>
          <t>z_M2B13B0184_MO_OS_Weightedaverageforeignexchangedratereported</t>
        </is>
      </c>
      <c r="F33" s="116" t="inlineStr">
        <is>
          <t>Q2-2025</t>
        </is>
      </c>
      <c r="G33" s="116" t="n"/>
      <c r="H33" s="166" t="n"/>
      <c r="I33" s="1928" t="n">
        <v>32.5</v>
      </c>
      <c r="J33" s="1928" t="n">
        <v>32.5</v>
      </c>
      <c r="K33" s="1928">
        <f>AVERAGE(I33:J33)</f>
        <v/>
      </c>
      <c r="L33" s="166" t="n"/>
      <c r="M33" s="116">
        <f>IF(INDEX(MO_SNA_IsHistoricalPeriod,,MATCH(F33,MO_Common_ColumnHeader,0)),"Actual","Estimate")</f>
        <v/>
      </c>
      <c r="N33" s="1928">
        <f>IFERROR(INDEX(INDIRECT(E33),0,MATCH(F33,MO_Common_ColumnHeader,0)),"N/A")</f>
        <v/>
      </c>
      <c r="O33" s="166" t="n"/>
      <c r="P33" s="1929">
        <f>IF(ISNUMBER(N33),N33-K33,"N/A")</f>
        <v/>
      </c>
      <c r="Q33" s="1930">
        <f>IFERROR(IF(ISNUMBER(N33),(N33-K33)/ABS(K33),"N/A"),"N/A")</f>
        <v/>
      </c>
      <c r="R33" s="166" t="n"/>
      <c r="S33" s="119" t="n">
        <v>45764</v>
      </c>
      <c r="T33" s="209" t="inlineStr">
        <is>
          <t>Investor Presentation</t>
        </is>
      </c>
      <c r="U33" s="166" t="n"/>
    </row>
    <row r="34" ht="14.4" customHeight="1" s="876">
      <c r="A34" s="92" t="n">
        <v>222</v>
      </c>
      <c r="B34" s="116">
        <f>IF(INDEX(MO_SNA_IsHistoricalPeriod,,MATCH(F34,MO_Common_ColumnHeader,0)),"Historical","Forward")</f>
        <v/>
      </c>
      <c r="C34" s="166" t="n"/>
      <c r="D34" s="123">
        <f>INDEX(INDIRECT(E34),0,COLUMN(MO_Common_Column_A))</f>
        <v/>
      </c>
      <c r="E34" s="117" t="inlineStr">
        <is>
          <t>MO_MA_GM</t>
        </is>
      </c>
      <c r="F34" s="116" t="inlineStr">
        <is>
          <t>Q2-2025</t>
        </is>
      </c>
      <c r="G34" s="116" t="n"/>
      <c r="H34" s="166" t="n"/>
      <c r="I34" s="1933" t="n">
        <v>0.57</v>
      </c>
      <c r="J34" s="1933" t="n">
        <v>0.59</v>
      </c>
      <c r="K34" s="1933">
        <f>AVERAGE(I34:J34)</f>
        <v/>
      </c>
      <c r="L34" s="166" t="n"/>
      <c r="M34" s="116">
        <f>IF(INDEX(MO_SNA_IsHistoricalPeriod,,MATCH(F34,MO_Common_ColumnHeader,0)),"Actual","Estimate")</f>
        <v/>
      </c>
      <c r="N34" s="1933">
        <f>IFERROR(INDEX(INDIRECT(E34),0,MATCH(F34,MO_Common_ColumnHeader,0)),"N/A")</f>
        <v/>
      </c>
      <c r="O34" s="166" t="n"/>
      <c r="P34" s="1930">
        <f>IF(ISNUMBER(N34),N34-K34,"N/A")</f>
        <v/>
      </c>
      <c r="Q34" s="1930">
        <f>IFERROR(IF(ISNUMBER(N34),(N34-K34)/ABS(K34),"N/A"),"N/A")</f>
        <v/>
      </c>
      <c r="R34" s="166" t="n"/>
      <c r="S34" s="119" t="n">
        <v>45764</v>
      </c>
      <c r="T34" s="209" t="inlineStr">
        <is>
          <t>Investor Presentation</t>
        </is>
      </c>
      <c r="U34" s="166" t="n"/>
    </row>
    <row r="35" ht="14.4" customHeight="1" s="876">
      <c r="A35" s="92" t="n">
        <v>221</v>
      </c>
      <c r="B35" s="116">
        <f>IF(INDEX(MO_SNA_IsHistoricalPeriod,,MATCH(F35,MO_Common_ColumnHeader,0)),"Historical","Forward")</f>
        <v/>
      </c>
      <c r="C35" s="166" t="n"/>
      <c r="D35" s="123" t="inlineStr">
        <is>
          <t>Operating Profit Margin</t>
        </is>
      </c>
      <c r="E35" s="117" t="n"/>
      <c r="F35" s="116" t="inlineStr">
        <is>
          <t>Q2-2025</t>
        </is>
      </c>
      <c r="G35" s="116" t="n"/>
      <c r="H35" s="166" t="n"/>
      <c r="I35" s="1933" t="n">
        <v>0.47</v>
      </c>
      <c r="J35" s="1933" t="n">
        <v>0.49</v>
      </c>
      <c r="K35" s="1933">
        <f>AVERAGE(I35:J35)</f>
        <v/>
      </c>
      <c r="L35" s="166" t="n"/>
      <c r="M35" s="116">
        <f>IF(INDEX(MO_SNA_IsHistoricalPeriod,,MATCH(F35,MO_Common_ColumnHeader,0)),"Actual","Estimate")</f>
        <v/>
      </c>
      <c r="N35" s="1933">
        <f>INDEX(MO_RIS_EBIT,0,MATCH(F35,MO_Common_ColumnHeader,0))/INDEX(MO_RIS_REV,0,MATCH(F35,MO_Common_ColumnHeader,0))</f>
        <v/>
      </c>
      <c r="O35" s="166" t="n"/>
      <c r="P35" s="1930">
        <f>IF(ISNUMBER(N35),N35-K35,"N/A")</f>
        <v/>
      </c>
      <c r="Q35" s="1930">
        <f>IFERROR(IF(ISNUMBER(N35),(N35-K35)/ABS(K35),"N/A"),"N/A")</f>
        <v/>
      </c>
      <c r="R35" s="166" t="n"/>
      <c r="S35" s="119" t="n">
        <v>45764</v>
      </c>
      <c r="T35" s="209" t="inlineStr">
        <is>
          <t>Investor Presentation</t>
        </is>
      </c>
      <c r="U35" s="166" t="n"/>
    </row>
    <row r="36" ht="14.4" customHeight="1" s="876">
      <c r="A36" s="92" t="n">
        <v>220</v>
      </c>
      <c r="B36" s="116">
        <f>IF(INDEX(MO_SNA_IsHistoricalPeriod,,MATCH(F36,MO_Common_ColumnHeader,0)),"Historical","Forward")</f>
        <v/>
      </c>
      <c r="C36" s="166" t="n"/>
      <c r="D36" s="123">
        <f>INDEX(INDIRECT(E36),0,COLUMN(MO_Common_Column_A))</f>
        <v/>
      </c>
      <c r="E36" s="117" t="inlineStr">
        <is>
          <t>MO_RIS_TaxRate_Current</t>
        </is>
      </c>
      <c r="F36" s="116" t="inlineStr">
        <is>
          <t>Q2-2025</t>
        </is>
      </c>
      <c r="G36" s="116" t="n"/>
      <c r="H36" s="166" t="n"/>
      <c r="I36" s="1933" t="n">
        <v>0.2</v>
      </c>
      <c r="J36" s="1933" t="n">
        <v>0.2</v>
      </c>
      <c r="K36" s="1933">
        <f>AVERAGE(I36:J36)</f>
        <v/>
      </c>
      <c r="L36" s="166" t="n"/>
      <c r="M36" s="116">
        <f>IF(INDEX(MO_SNA_IsHistoricalPeriod,,MATCH(F36,MO_Common_ColumnHeader,0)),"Actual","Estimate")</f>
        <v/>
      </c>
      <c r="N36" s="1933">
        <f>IFERROR(INDEX(INDIRECT(E36),0,MATCH(F36,MO_Common_ColumnHeader,0)),"N/A")</f>
        <v/>
      </c>
      <c r="O36" s="166" t="n"/>
      <c r="P36" s="1930">
        <f>IF(ISNUMBER(N36),N36-K36,"N/A")</f>
        <v/>
      </c>
      <c r="Q36" s="1930">
        <f>IFERROR(IF(ISNUMBER(N36),(N36-K36)/ABS(K36),"N/A"),"N/A")</f>
        <v/>
      </c>
      <c r="R36" s="166" t="n"/>
      <c r="S36" s="119" t="n">
        <v>45764</v>
      </c>
      <c r="T36" s="209" t="inlineStr">
        <is>
          <t>Transcript</t>
        </is>
      </c>
      <c r="U36" s="166" t="n"/>
    </row>
    <row r="37" ht="14.4" customHeight="1" s="876">
      <c r="A37" s="92" t="n">
        <v>219</v>
      </c>
      <c r="B37" s="166" t="n"/>
      <c r="C37" s="166" t="n"/>
      <c r="D37" s="102" t="n"/>
      <c r="E37" s="103" t="n"/>
      <c r="F37" s="166" t="n"/>
      <c r="G37" s="166" t="n"/>
      <c r="H37" s="166" t="n"/>
      <c r="I37" s="1301" t="n"/>
      <c r="J37" s="1301" t="n"/>
      <c r="K37" s="1301" t="n"/>
      <c r="L37" s="166" t="n"/>
      <c r="M37" s="166" t="n"/>
      <c r="N37" s="1301" t="n"/>
      <c r="O37" s="166" t="n"/>
      <c r="P37" s="1931" t="n"/>
      <c r="Q37" s="1932" t="n"/>
      <c r="R37" s="166" t="n"/>
      <c r="S37" s="107" t="n"/>
      <c r="T37" s="126" t="n"/>
      <c r="U37" s="166" t="n"/>
    </row>
    <row r="38" ht="14.4" customHeight="1" s="876">
      <c r="A38" s="92" t="n">
        <v>218</v>
      </c>
      <c r="B38" s="116">
        <f>IF(INDEX(MO_SNA_IsHistoricalPeriod,,MATCH(F38,MO_Common_ColumnHeader,0)),"Historical","Forward")</f>
        <v/>
      </c>
      <c r="C38" s="166" t="n"/>
      <c r="D38" s="123">
        <f>INDEX(INDIRECT(E38),0,COLUMN(MO_Common_Column_A))</f>
        <v/>
      </c>
      <c r="E38" s="117" t="inlineStr">
        <is>
          <t>MO_CFSum_Capex</t>
        </is>
      </c>
      <c r="F38" s="116" t="inlineStr">
        <is>
          <t>FY2025</t>
        </is>
      </c>
      <c r="G38" s="116" t="n"/>
      <c r="H38" s="166" t="n"/>
      <c r="I38" s="1928" t="n">
        <v>-42000</v>
      </c>
      <c r="J38" s="1928" t="n">
        <v>-38000</v>
      </c>
      <c r="K38" s="1928">
        <f>AVERAGE(I38:J38)</f>
        <v/>
      </c>
      <c r="L38" s="166" t="n"/>
      <c r="M38" s="116">
        <f>IF(INDEX(MO_SNA_IsHistoricalPeriod,,MATCH(F38,MO_Common_ColumnHeader,0)),"Actual","Estimate")</f>
        <v/>
      </c>
      <c r="N38" s="1928">
        <f>IFERROR(INDEX(INDIRECT(E38),0,MATCH(F38,MO_Common_ColumnHeader,0)),"N/A")*INDEX(MO_VA_FX_Average,0,MATCH(F38,MO_Common_ColumnHeader,0))</f>
        <v/>
      </c>
      <c r="O38" s="166" t="n"/>
      <c r="P38" s="1929">
        <f>IF(ISNUMBER(N38),N38-K38,"N/A")</f>
        <v/>
      </c>
      <c r="Q38" s="1930">
        <f>IFERROR(IF(ISNUMBER(N38),(N38-K38)/ABS(K38),"N/A"),"N/A")</f>
        <v/>
      </c>
      <c r="R38" s="166" t="n"/>
      <c r="S38" s="119" t="n">
        <v>45673</v>
      </c>
      <c r="T38" s="209" t="inlineStr">
        <is>
          <t>Transcript</t>
        </is>
      </c>
      <c r="U38" s="166" t="n"/>
    </row>
    <row r="39" ht="14.4" customHeight="1" s="876">
      <c r="A39" s="92" t="n">
        <v>217</v>
      </c>
      <c r="B39" s="116">
        <f>IF(INDEX(MO_SNA_IsHistoricalPeriod,,MATCH(F39,MO_Common_ColumnHeader,0)),"Historical","Forward")</f>
        <v/>
      </c>
      <c r="C39" s="166" t="n"/>
      <c r="D39" s="123">
        <f>INDEX(INDIRECT(E39),0,COLUMN(MO_Common_Column_A))</f>
        <v/>
      </c>
      <c r="E39" s="117" t="inlineStr">
        <is>
          <t>MO_RIS_TaxRate_Current</t>
        </is>
      </c>
      <c r="F39" s="116" t="inlineStr">
        <is>
          <t>FY2025</t>
        </is>
      </c>
      <c r="G39" s="116" t="n"/>
      <c r="H39" s="166" t="n"/>
      <c r="I39" s="1933" t="n">
        <v>0.16</v>
      </c>
      <c r="J39" s="1933" t="n">
        <v>0.17</v>
      </c>
      <c r="K39" s="1933">
        <f>AVERAGE(I39:J39)</f>
        <v/>
      </c>
      <c r="L39" s="166" t="n"/>
      <c r="M39" s="116">
        <f>IF(INDEX(MO_SNA_IsHistoricalPeriod,,MATCH(F39,MO_Common_ColumnHeader,0)),"Actual","Estimate")</f>
        <v/>
      </c>
      <c r="N39" s="1933">
        <f>IFERROR(INDEX(INDIRECT(E39),0,MATCH(F39,MO_Common_ColumnHeader,0)),"N/A")</f>
        <v/>
      </c>
      <c r="O39" s="166" t="n"/>
      <c r="P39" s="1930">
        <f>IF(ISNUMBER(N39),N39-K39,"N/A")</f>
        <v/>
      </c>
      <c r="Q39" s="1930">
        <f>IFERROR(IF(ISNUMBER(N39),(N39-K39)/ABS(K39),"N/A"),"N/A")</f>
        <v/>
      </c>
      <c r="R39" s="166" t="n"/>
      <c r="S39" s="119" t="n">
        <v>45673</v>
      </c>
      <c r="T39" s="209" t="inlineStr">
        <is>
          <t>Transcript</t>
        </is>
      </c>
      <c r="U39" s="166" t="n"/>
    </row>
    <row r="40" ht="14.4" customHeight="1" s="876">
      <c r="A40" s="92" t="n">
        <v>216</v>
      </c>
      <c r="B40" s="166" t="n"/>
      <c r="C40" s="166" t="n"/>
      <c r="D40" s="102" t="n"/>
      <c r="E40" s="103" t="n"/>
      <c r="F40" s="166" t="n"/>
      <c r="G40" s="166" t="n"/>
      <c r="H40" s="166" t="n"/>
      <c r="I40" s="1301" t="n"/>
      <c r="J40" s="1301" t="n"/>
      <c r="K40" s="1301" t="n"/>
      <c r="L40" s="166" t="n"/>
      <c r="M40" s="166" t="n"/>
      <c r="N40" s="1301" t="n"/>
      <c r="O40" s="166" t="n"/>
      <c r="P40" s="1931" t="n"/>
      <c r="Q40" s="1932" t="n"/>
      <c r="R40" s="166" t="n"/>
      <c r="S40" s="107" t="n"/>
      <c r="T40" s="126" t="n"/>
      <c r="U40" s="166" t="n"/>
    </row>
    <row r="41" ht="14.4" customHeight="1" s="876">
      <c r="A41" s="92" t="n">
        <v>215</v>
      </c>
      <c r="B41" s="116">
        <f>IF(INDEX(MO_SNA_IsHistoricalPeriod,,MATCH(F41,MO_Common_ColumnHeader,0)),"Historical","Forward")</f>
        <v/>
      </c>
      <c r="C41" s="166" t="n"/>
      <c r="D41" s="123">
        <f>INDEX(INDIRECT(E41),0,COLUMN(MO_Common_Column_A))</f>
        <v/>
      </c>
      <c r="E41" s="117" t="inlineStr">
        <is>
          <t>MO_RIS_REV</t>
        </is>
      </c>
      <c r="F41" s="116" t="inlineStr">
        <is>
          <t>Q1-2025</t>
        </is>
      </c>
      <c r="G41" s="116" t="n"/>
      <c r="H41" s="166" t="n"/>
      <c r="I41" s="1928" t="n">
        <v>25000</v>
      </c>
      <c r="J41" s="1928" t="n">
        <v>25800</v>
      </c>
      <c r="K41" s="1928">
        <f>AVERAGE(I41:J41)</f>
        <v/>
      </c>
      <c r="L41" s="166" t="n"/>
      <c r="M41" s="116">
        <f>IF(INDEX(MO_SNA_IsHistoricalPeriod,,MATCH(F41,MO_Common_ColumnHeader,0)),"Actual","Estimate")</f>
        <v/>
      </c>
      <c r="N41" s="1928">
        <f>IFERROR(INDEX(INDIRECT(E41),0,MATCH(F41,MO_Common_ColumnHeader,0)),"N/A")/INDEX(z_M2B13B0184_MO_OS_Weightedaverageforeignexchangedratereported,0,MATCH(F41,MO_Common_ColumnHeader,0))</f>
        <v/>
      </c>
      <c r="O41" s="166" t="n"/>
      <c r="P41" s="1929">
        <f>IF(ISNUMBER(N41),N41-K41,"N/A")</f>
        <v/>
      </c>
      <c r="Q41" s="1930">
        <f>IFERROR(IF(ISNUMBER(N41),(N41-K41)/ABS(K41),"N/A"),"N/A")</f>
        <v/>
      </c>
      <c r="R41" s="166" t="n"/>
      <c r="S41" s="119" t="n">
        <v>45673</v>
      </c>
      <c r="T41" s="209" t="inlineStr">
        <is>
          <t>Investor Presentation</t>
        </is>
      </c>
      <c r="U41" s="166" t="n"/>
    </row>
    <row r="42" ht="14.4" customHeight="1" s="876">
      <c r="A42" s="92" t="n">
        <v>214</v>
      </c>
      <c r="B42" s="116">
        <f>IF(INDEX(MO_SNA_IsHistoricalPeriod,,MATCH(F42,MO_Common_ColumnHeader,0)),"Historical","Forward")</f>
        <v/>
      </c>
      <c r="C42" s="166" t="n"/>
      <c r="D42" s="123">
        <f>INDEX(INDIRECT(E42),0,COLUMN(MO_Common_Column_A))</f>
        <v/>
      </c>
      <c r="E42" s="117" t="inlineStr">
        <is>
          <t>z_M2B13B0184_MO_OS_Weightedaverageforeignexchangedratereported</t>
        </is>
      </c>
      <c r="F42" s="116" t="inlineStr">
        <is>
          <t>Q1-2025</t>
        </is>
      </c>
      <c r="G42" s="116" t="n"/>
      <c r="H42" s="166" t="n"/>
      <c r="I42" s="1928" t="n">
        <v>32.8</v>
      </c>
      <c r="J42" s="1928" t="n">
        <v>32.8</v>
      </c>
      <c r="K42" s="1928">
        <f>AVERAGE(I42:J42)</f>
        <v/>
      </c>
      <c r="L42" s="166" t="n"/>
      <c r="M42" s="116">
        <f>IF(INDEX(MO_SNA_IsHistoricalPeriod,,MATCH(F42,MO_Common_ColumnHeader,0)),"Actual","Estimate")</f>
        <v/>
      </c>
      <c r="N42" s="1928">
        <f>IFERROR(INDEX(INDIRECT(E42),0,MATCH(F42,MO_Common_ColumnHeader,0)),"N/A")</f>
        <v/>
      </c>
      <c r="O42" s="166" t="n"/>
      <c r="P42" s="1929">
        <f>IF(ISNUMBER(N42),N42-K42,"N/A")</f>
        <v/>
      </c>
      <c r="Q42" s="1930">
        <f>IFERROR(IF(ISNUMBER(N42),(N42-K42)/ABS(K42),"N/A"),"N/A")</f>
        <v/>
      </c>
      <c r="R42" s="166" t="n"/>
      <c r="S42" s="119" t="n">
        <v>45673</v>
      </c>
      <c r="T42" s="209" t="inlineStr">
        <is>
          <t>Investor Presentation</t>
        </is>
      </c>
      <c r="U42" s="166" t="n"/>
    </row>
    <row r="43" ht="14.4" customHeight="1" s="876">
      <c r="A43" s="92" t="n">
        <v>213</v>
      </c>
      <c r="B43" s="116">
        <f>IF(INDEX(MO_SNA_IsHistoricalPeriod,,MATCH(F43,MO_Common_ColumnHeader,0)),"Historical","Forward")</f>
        <v/>
      </c>
      <c r="C43" s="166" t="n"/>
      <c r="D43" s="123">
        <f>INDEX(INDIRECT(E43),0,COLUMN(MO_Common_Column_A))</f>
        <v/>
      </c>
      <c r="E43" s="117" t="inlineStr">
        <is>
          <t>MO_MA_GM</t>
        </is>
      </c>
      <c r="F43" s="116" t="inlineStr">
        <is>
          <t>Q1-2025</t>
        </is>
      </c>
      <c r="G43" s="116" t="n"/>
      <c r="H43" s="166" t="n"/>
      <c r="I43" s="1933" t="n">
        <v>0.57</v>
      </c>
      <c r="J43" s="1933" t="n">
        <v>0.59</v>
      </c>
      <c r="K43" s="1933">
        <f>AVERAGE(I43:J43)</f>
        <v/>
      </c>
      <c r="L43" s="166" t="n"/>
      <c r="M43" s="116">
        <f>IF(INDEX(MO_SNA_IsHistoricalPeriod,,MATCH(F43,MO_Common_ColumnHeader,0)),"Actual","Estimate")</f>
        <v/>
      </c>
      <c r="N43" s="1933">
        <f>IFERROR(INDEX(INDIRECT(E43),0,MATCH(F43,MO_Common_ColumnHeader,0)),"N/A")</f>
        <v/>
      </c>
      <c r="O43" s="166" t="n"/>
      <c r="P43" s="1930">
        <f>IF(ISNUMBER(N43),N43-K43,"N/A")</f>
        <v/>
      </c>
      <c r="Q43" s="1930">
        <f>IFERROR(IF(ISNUMBER(N43),(N43-K43)/ABS(K43),"N/A"),"N/A")</f>
        <v/>
      </c>
      <c r="R43" s="166" t="n"/>
      <c r="S43" s="119" t="n">
        <v>45673</v>
      </c>
      <c r="T43" s="209" t="inlineStr">
        <is>
          <t>Investor Presentation</t>
        </is>
      </c>
      <c r="U43" s="166" t="n"/>
    </row>
    <row r="44" ht="14.4" customHeight="1" s="876">
      <c r="A44" s="92" t="n">
        <v>212</v>
      </c>
      <c r="B44" s="116">
        <f>IF(INDEX(MO_SNA_IsHistoricalPeriod,,MATCH(F44,MO_Common_ColumnHeader,0)),"Historical","Forward")</f>
        <v/>
      </c>
      <c r="C44" s="166" t="n"/>
      <c r="D44" s="123" t="inlineStr">
        <is>
          <t>Operating Profit Margin</t>
        </is>
      </c>
      <c r="E44" s="117" t="n"/>
      <c r="F44" s="116" t="inlineStr">
        <is>
          <t>Q1-2025</t>
        </is>
      </c>
      <c r="G44" s="116" t="n"/>
      <c r="H44" s="166" t="n"/>
      <c r="I44" s="1933" t="n">
        <v>0.465</v>
      </c>
      <c r="J44" s="1933" t="n">
        <v>0.485</v>
      </c>
      <c r="K44" s="1933">
        <f>AVERAGE(I44:J44)</f>
        <v/>
      </c>
      <c r="L44" s="166" t="n"/>
      <c r="M44" s="116">
        <f>IF(INDEX(MO_SNA_IsHistoricalPeriod,,MATCH(F44,MO_Common_ColumnHeader,0)),"Actual","Estimate")</f>
        <v/>
      </c>
      <c r="N44" s="1933">
        <f>INDEX(MO_RIS_EBIT,0,MATCH(F44,MO_Common_ColumnHeader,0))/INDEX(MO_RIS_REV,0,MATCH(F44,MO_Common_ColumnHeader,0))</f>
        <v/>
      </c>
      <c r="O44" s="166" t="n"/>
      <c r="P44" s="1930">
        <f>IF(ISNUMBER(N44),N44-K44,"N/A")</f>
        <v/>
      </c>
      <c r="Q44" s="1930">
        <f>IFERROR(IF(ISNUMBER(N44),(N44-K44)/ABS(K44),"N/A"),"N/A")</f>
        <v/>
      </c>
      <c r="R44" s="166" t="n"/>
      <c r="S44" s="119" t="n">
        <v>45673</v>
      </c>
      <c r="T44" s="209" t="inlineStr">
        <is>
          <t>Investor Presentation</t>
        </is>
      </c>
      <c r="U44" s="166" t="n"/>
    </row>
    <row r="45" ht="14.4" customHeight="1" s="876">
      <c r="A45" s="92" t="n">
        <v>211</v>
      </c>
      <c r="B45" s="166" t="n"/>
      <c r="C45" s="166" t="n"/>
      <c r="D45" s="102" t="n"/>
      <c r="E45" s="103" t="n"/>
      <c r="F45" s="166" t="n"/>
      <c r="G45" s="166" t="n"/>
      <c r="H45" s="166" t="n"/>
      <c r="I45" s="1301" t="n"/>
      <c r="J45" s="1301" t="n"/>
      <c r="K45" s="1301" t="n"/>
      <c r="L45" s="166" t="n"/>
      <c r="M45" s="166" t="n"/>
      <c r="N45" s="1301" t="n"/>
      <c r="O45" s="166" t="n"/>
      <c r="P45" s="1931" t="n"/>
      <c r="Q45" s="1932" t="n"/>
      <c r="R45" s="166" t="n"/>
      <c r="S45" s="107" t="n"/>
      <c r="T45" s="126" t="n"/>
      <c r="U45" s="166" t="n"/>
    </row>
    <row r="46" ht="14.4" customHeight="1" s="876">
      <c r="A46" s="92" t="n">
        <v>210</v>
      </c>
      <c r="B46" s="116">
        <f>IF(INDEX(MO_SNA_IsHistoricalPeriod,,MATCH(F46,MO_Common_ColumnHeader,0)),"Historical","Forward")</f>
        <v/>
      </c>
      <c r="C46" s="166" t="n"/>
      <c r="D46" s="123">
        <f>INDEX(INDIRECT(E46),0,COLUMN(MO_Common_Column_A))</f>
        <v/>
      </c>
      <c r="E46" s="117" t="inlineStr">
        <is>
          <t>MO_CFSum_Capex</t>
        </is>
      </c>
      <c r="F46" s="116" t="inlineStr">
        <is>
          <t>FY2024</t>
        </is>
      </c>
      <c r="G46" s="116" t="n"/>
      <c r="H46" s="166" t="n"/>
      <c r="I46" s="1928" t="n">
        <v>-30000</v>
      </c>
      <c r="J46" s="1928" t="n">
        <v>-30000</v>
      </c>
      <c r="K46" s="1928">
        <f>AVERAGE(I46:J46)</f>
        <v/>
      </c>
      <c r="L46" s="166" t="n"/>
      <c r="M46" s="116">
        <f>IF(INDEX(MO_SNA_IsHistoricalPeriod,,MATCH(F46,MO_Common_ColumnHeader,0)),"Actual","Estimate")</f>
        <v/>
      </c>
      <c r="N46" s="1928">
        <f>IFERROR(INDEX(INDIRECT(E46),0,MATCH(F46,MO_Common_ColumnHeader,0)),"N/A")*INDEX(MO_VA_FX_Average,0,MATCH(F46,MO_Common_ColumnHeader,0))</f>
        <v/>
      </c>
      <c r="O46" s="166" t="n"/>
      <c r="P46" s="1929">
        <f>IF(ISNUMBER(N46),N46-K46,"N/A")</f>
        <v/>
      </c>
      <c r="Q46" s="1930">
        <f>IFERROR(IF(ISNUMBER(N46),(N46-K46)/ABS(K46),"N/A"),"N/A")</f>
        <v/>
      </c>
      <c r="R46" s="166" t="n"/>
      <c r="S46" s="119" t="n">
        <v>45582</v>
      </c>
      <c r="T46" s="209" t="inlineStr">
        <is>
          <t>Transcript</t>
        </is>
      </c>
      <c r="U46" s="166" t="n"/>
    </row>
    <row r="47" ht="14.4" customHeight="1" s="876">
      <c r="A47" s="92" t="n">
        <v>209</v>
      </c>
      <c r="B47" s="166" t="n"/>
      <c r="C47" s="166" t="n"/>
      <c r="D47" s="102" t="n"/>
      <c r="E47" s="103" t="n"/>
      <c r="F47" s="166" t="n"/>
      <c r="G47" s="166" t="n"/>
      <c r="H47" s="166" t="n"/>
      <c r="I47" s="1301" t="n"/>
      <c r="J47" s="1301" t="n"/>
      <c r="K47" s="1301" t="n"/>
      <c r="L47" s="166" t="n"/>
      <c r="M47" s="166" t="n"/>
      <c r="N47" s="1301" t="n"/>
      <c r="O47" s="166" t="n"/>
      <c r="P47" s="1931" t="n"/>
      <c r="Q47" s="1932" t="n"/>
      <c r="R47" s="166" t="n"/>
      <c r="S47" s="107" t="n"/>
      <c r="T47" s="126" t="n"/>
      <c r="U47" s="166" t="n"/>
    </row>
    <row r="48" ht="14.4" customHeight="1" s="876">
      <c r="A48" s="92" t="n">
        <v>208</v>
      </c>
      <c r="B48" s="116">
        <f>IF(INDEX(MO_SNA_IsHistoricalPeriod,,MATCH(F48,MO_Common_ColumnHeader,0)),"Historical","Forward")</f>
        <v/>
      </c>
      <c r="C48" s="166" t="n"/>
      <c r="D48" s="123">
        <f>INDEX(INDIRECT(E48),0,COLUMN(MO_Common_Column_A))</f>
        <v/>
      </c>
      <c r="E48" s="117" t="inlineStr">
        <is>
          <t>MO_RIS_REV</t>
        </is>
      </c>
      <c r="F48" s="116" t="inlineStr">
        <is>
          <t>Q4-2024</t>
        </is>
      </c>
      <c r="G48" s="116" t="n"/>
      <c r="H48" s="166" t="n"/>
      <c r="I48" s="1928" t="n">
        <v>26100</v>
      </c>
      <c r="J48" s="1928" t="n">
        <v>26900</v>
      </c>
      <c r="K48" s="1928">
        <f>AVERAGE(I48:J48)</f>
        <v/>
      </c>
      <c r="L48" s="166" t="n"/>
      <c r="M48" s="116">
        <f>IF(INDEX(MO_SNA_IsHistoricalPeriod,,MATCH(F48,MO_Common_ColumnHeader,0)),"Actual","Estimate")</f>
        <v/>
      </c>
      <c r="N48" s="1928">
        <f>IFERROR(INDEX(INDIRECT(E48),0,MATCH(F48,MO_Common_ColumnHeader,0)),"N/A")/INDEX(z_M2B13B0184_MO_OS_Weightedaverageforeignexchangedratereported,0,MATCH(F48,MO_Common_ColumnHeader,0))</f>
        <v/>
      </c>
      <c r="O48" s="166" t="n"/>
      <c r="P48" s="1929">
        <f>IF(ISNUMBER(N48),N48-K48,"N/A")</f>
        <v/>
      </c>
      <c r="Q48" s="1930">
        <f>IFERROR(IF(ISNUMBER(N48),(N48-K48)/ABS(K48),"N/A"),"N/A")</f>
        <v/>
      </c>
      <c r="R48" s="166" t="n"/>
      <c r="S48" s="119" t="n">
        <v>45582</v>
      </c>
      <c r="T48" s="209" t="inlineStr">
        <is>
          <t>Investor Presentation</t>
        </is>
      </c>
      <c r="U48" s="166" t="n"/>
    </row>
    <row r="49" ht="14.4" customHeight="1" s="876">
      <c r="A49" s="92" t="n">
        <v>207</v>
      </c>
      <c r="B49" s="116">
        <f>IF(INDEX(MO_SNA_IsHistoricalPeriod,,MATCH(F49,MO_Common_ColumnHeader,0)),"Historical","Forward")</f>
        <v/>
      </c>
      <c r="C49" s="166" t="n"/>
      <c r="D49" s="123">
        <f>INDEX(INDIRECT(E49),0,COLUMN(MO_Common_Column_A))</f>
        <v/>
      </c>
      <c r="E49" s="117" t="inlineStr">
        <is>
          <t>z_M2B13B0184_MO_OS_Weightedaverageforeignexchangedratereported</t>
        </is>
      </c>
      <c r="F49" s="116" t="inlineStr">
        <is>
          <t>Q4-2024</t>
        </is>
      </c>
      <c r="G49" s="116" t="n"/>
      <c r="H49" s="166" t="n"/>
      <c r="I49" s="1928" t="n">
        <v>32</v>
      </c>
      <c r="J49" s="1928" t="n">
        <v>32</v>
      </c>
      <c r="K49" s="1928">
        <f>AVERAGE(I49:J49)</f>
        <v/>
      </c>
      <c r="L49" s="166" t="n"/>
      <c r="M49" s="116">
        <f>IF(INDEX(MO_SNA_IsHistoricalPeriod,,MATCH(F49,MO_Common_ColumnHeader,0)),"Actual","Estimate")</f>
        <v/>
      </c>
      <c r="N49" s="1928">
        <f>IFERROR(INDEX(INDIRECT(E49),0,MATCH(F49,MO_Common_ColumnHeader,0)),"N/A")</f>
        <v/>
      </c>
      <c r="O49" s="166" t="n"/>
      <c r="P49" s="1929">
        <f>IF(ISNUMBER(N49),N49-K49,"N/A")</f>
        <v/>
      </c>
      <c r="Q49" s="1930">
        <f>IFERROR(IF(ISNUMBER(N49),(N49-K49)/ABS(K49),"N/A"),"N/A")</f>
        <v/>
      </c>
      <c r="R49" s="166" t="n"/>
      <c r="S49" s="119" t="n">
        <v>45582</v>
      </c>
      <c r="T49" s="209" t="inlineStr">
        <is>
          <t>Investor Presentation</t>
        </is>
      </c>
      <c r="U49" s="166" t="n"/>
    </row>
    <row r="50" ht="14.4" customHeight="1" s="876">
      <c r="A50" s="92" t="n">
        <v>206</v>
      </c>
      <c r="B50" s="116">
        <f>IF(INDEX(MO_SNA_IsHistoricalPeriod,,MATCH(F50,MO_Common_ColumnHeader,0)),"Historical","Forward")</f>
        <v/>
      </c>
      <c r="C50" s="166" t="n"/>
      <c r="D50" s="123">
        <f>INDEX(INDIRECT(E50),0,COLUMN(MO_Common_Column_A))</f>
        <v/>
      </c>
      <c r="E50" s="117" t="inlineStr">
        <is>
          <t>MO_MA_GM</t>
        </is>
      </c>
      <c r="F50" s="116" t="inlineStr">
        <is>
          <t>Q4-2024</t>
        </is>
      </c>
      <c r="G50" s="116" t="n"/>
      <c r="H50" s="166" t="n"/>
      <c r="I50" s="1933" t="n">
        <v>0.57</v>
      </c>
      <c r="J50" s="1933" t="n">
        <v>0.59</v>
      </c>
      <c r="K50" s="1933">
        <f>AVERAGE(I50:J50)</f>
        <v/>
      </c>
      <c r="L50" s="166" t="n"/>
      <c r="M50" s="116">
        <f>IF(INDEX(MO_SNA_IsHistoricalPeriod,,MATCH(F50,MO_Common_ColumnHeader,0)),"Actual","Estimate")</f>
        <v/>
      </c>
      <c r="N50" s="1933">
        <f>IFERROR(INDEX(INDIRECT(E50),0,MATCH(F50,MO_Common_ColumnHeader,0)),"N/A")</f>
        <v/>
      </c>
      <c r="O50" s="166" t="n"/>
      <c r="P50" s="1930">
        <f>IF(ISNUMBER(N50),N50-K50,"N/A")</f>
        <v/>
      </c>
      <c r="Q50" s="1930">
        <f>IFERROR(IF(ISNUMBER(N50),(N50-K50)/ABS(K50),"N/A"),"N/A")</f>
        <v/>
      </c>
      <c r="R50" s="166" t="n"/>
      <c r="S50" s="119" t="n">
        <v>45582</v>
      </c>
      <c r="T50" s="209" t="inlineStr">
        <is>
          <t>Investor Presentation</t>
        </is>
      </c>
      <c r="U50" s="166" t="n"/>
    </row>
    <row r="51" ht="14.4" customHeight="1" s="876">
      <c r="A51" s="92" t="n">
        <v>205</v>
      </c>
      <c r="B51" s="116">
        <f>IF(INDEX(MO_SNA_IsHistoricalPeriod,,MATCH(F51,MO_Common_ColumnHeader,0)),"Historical","Forward")</f>
        <v/>
      </c>
      <c r="C51" s="166" t="n"/>
      <c r="D51" s="123" t="inlineStr">
        <is>
          <t>Operating Profit Margin</t>
        </is>
      </c>
      <c r="E51" s="117" t="n"/>
      <c r="F51" s="116" t="inlineStr">
        <is>
          <t>Q4-2024</t>
        </is>
      </c>
      <c r="G51" s="116" t="n"/>
      <c r="H51" s="166" t="n"/>
      <c r="I51" s="1933" t="n">
        <v>0.465</v>
      </c>
      <c r="J51" s="1933" t="n">
        <v>0.485</v>
      </c>
      <c r="K51" s="1933">
        <f>AVERAGE(I51:J51)</f>
        <v/>
      </c>
      <c r="L51" s="166" t="n"/>
      <c r="M51" s="116">
        <f>IF(INDEX(MO_SNA_IsHistoricalPeriod,,MATCH(F51,MO_Common_ColumnHeader,0)),"Actual","Estimate")</f>
        <v/>
      </c>
      <c r="N51" s="1933">
        <f>INDEX(MO_RIS_EBIT,0,MATCH(F51,MO_Common_ColumnHeader,0))/INDEX(MO_RIS_REV,0,MATCH(F51,MO_Common_ColumnHeader,0))</f>
        <v/>
      </c>
      <c r="O51" s="166" t="n"/>
      <c r="P51" s="1930">
        <f>IF(ISNUMBER(N51),N51-K51,"N/A")</f>
        <v/>
      </c>
      <c r="Q51" s="1930">
        <f>IFERROR(IF(ISNUMBER(N51),(N51-K51)/ABS(K51),"N/A"),"N/A")</f>
        <v/>
      </c>
      <c r="R51" s="166" t="n"/>
      <c r="S51" s="119" t="n">
        <v>45582</v>
      </c>
      <c r="T51" s="209" t="inlineStr">
        <is>
          <t>Investor Presentation</t>
        </is>
      </c>
      <c r="U51" s="166" t="n"/>
    </row>
    <row r="52" ht="14.4" customHeight="1" s="876">
      <c r="A52" s="92" t="n">
        <v>204</v>
      </c>
      <c r="B52" s="166" t="n"/>
      <c r="C52" s="166" t="n"/>
      <c r="D52" s="102" t="n"/>
      <c r="E52" s="103" t="n"/>
      <c r="F52" s="166" t="n"/>
      <c r="G52" s="166" t="n"/>
      <c r="H52" s="166" t="n"/>
      <c r="I52" s="1301" t="n"/>
      <c r="J52" s="1301" t="n"/>
      <c r="K52" s="1301" t="n"/>
      <c r="L52" s="166" t="n"/>
      <c r="M52" s="166" t="n"/>
      <c r="N52" s="1301" t="n"/>
      <c r="O52" s="166" t="n"/>
      <c r="P52" s="1931" t="n"/>
      <c r="Q52" s="1932" t="n"/>
      <c r="R52" s="166" t="n"/>
      <c r="S52" s="107" t="n"/>
      <c r="T52" s="126" t="n"/>
      <c r="U52" s="166" t="n"/>
    </row>
    <row r="53" ht="14.4" customHeight="1" s="876">
      <c r="A53" s="92" t="n">
        <v>203</v>
      </c>
      <c r="B53" s="116">
        <f>IF(INDEX(MO_SNA_IsHistoricalPeriod,,MATCH(F53,MO_Common_ColumnHeader,0)),"Historical","Forward")</f>
        <v/>
      </c>
      <c r="C53" s="166" t="n"/>
      <c r="D53" s="123">
        <f>INDEX(INDIRECT(E53),0,COLUMN(MO_Common_Column_A))</f>
        <v/>
      </c>
      <c r="E53" s="117" t="inlineStr">
        <is>
          <t>MO_CFSum_Capex</t>
        </is>
      </c>
      <c r="F53" s="116" t="inlineStr">
        <is>
          <t>FY2024</t>
        </is>
      </c>
      <c r="G53" s="116" t="n"/>
      <c r="H53" s="166" t="n"/>
      <c r="I53" s="1928" t="n">
        <v>-32000</v>
      </c>
      <c r="J53" s="1928" t="n">
        <v>-30000</v>
      </c>
      <c r="K53" s="1928">
        <f>AVERAGE(I53:J53)</f>
        <v/>
      </c>
      <c r="L53" s="166" t="n"/>
      <c r="M53" s="116">
        <f>IF(INDEX(MO_SNA_IsHistoricalPeriod,,MATCH(F53,MO_Common_ColumnHeader,0)),"Actual","Estimate")</f>
        <v/>
      </c>
      <c r="N53" s="1928">
        <f>IFERROR(INDEX(INDIRECT(E53),0,MATCH(F53,MO_Common_ColumnHeader,0)),"N/A")*INDEX(MO_VA_FX_Average,0,MATCH(F53,MO_Common_ColumnHeader,0))</f>
        <v/>
      </c>
      <c r="O53" s="166" t="n"/>
      <c r="P53" s="1929">
        <f>IF(ISNUMBER(N53),N53-K53,"N/A")</f>
        <v/>
      </c>
      <c r="Q53" s="1930">
        <f>IFERROR(IF(ISNUMBER(N53),(N53-K53)/ABS(K53),"N/A"),"N/A")</f>
        <v/>
      </c>
      <c r="R53" s="166" t="n"/>
      <c r="S53" s="119" t="n">
        <v>45491</v>
      </c>
      <c r="T53" s="209" t="inlineStr">
        <is>
          <t>Transcript</t>
        </is>
      </c>
      <c r="U53" s="166" t="n"/>
    </row>
    <row r="54" ht="14.4" customHeight="1" s="876">
      <c r="A54" s="92" t="n">
        <v>202</v>
      </c>
      <c r="B54" s="166" t="n"/>
      <c r="C54" s="166" t="n"/>
      <c r="D54" s="102" t="n"/>
      <c r="E54" s="103" t="n"/>
      <c r="F54" s="166" t="n"/>
      <c r="G54" s="166" t="n"/>
      <c r="H54" s="166" t="n"/>
      <c r="I54" s="1301" t="n"/>
      <c r="J54" s="1301" t="n"/>
      <c r="K54" s="1301" t="n"/>
      <c r="L54" s="166" t="n"/>
      <c r="M54" s="166" t="n"/>
      <c r="N54" s="1301" t="n"/>
      <c r="O54" s="166" t="n"/>
      <c r="P54" s="1931" t="n"/>
      <c r="Q54" s="1932" t="n"/>
      <c r="R54" s="166" t="n"/>
      <c r="S54" s="107" t="n"/>
      <c r="T54" s="126" t="n"/>
      <c r="U54" s="166" t="n"/>
    </row>
    <row r="55" ht="14.4" customHeight="1" s="876">
      <c r="A55" s="92" t="n">
        <v>201</v>
      </c>
      <c r="B55" s="116">
        <f>IF(INDEX(MO_SNA_IsHistoricalPeriod,,MATCH(F55,MO_Common_ColumnHeader,0)),"Historical","Forward")</f>
        <v/>
      </c>
      <c r="C55" s="166" t="n"/>
      <c r="D55" s="123">
        <f>INDEX(INDIRECT(E55),0,COLUMN(MO_Common_Column_A))</f>
        <v/>
      </c>
      <c r="E55" s="117" t="inlineStr">
        <is>
          <t>MO_RIS_REV</t>
        </is>
      </c>
      <c r="F55" s="116" t="inlineStr">
        <is>
          <t>Q3-2024</t>
        </is>
      </c>
      <c r="G55" s="116" t="n"/>
      <c r="H55" s="166" t="n"/>
      <c r="I55" s="1928" t="n">
        <v>22400</v>
      </c>
      <c r="J55" s="1928" t="n">
        <v>23200</v>
      </c>
      <c r="K55" s="1928">
        <f>AVERAGE(I55:J55)</f>
        <v/>
      </c>
      <c r="L55" s="166" t="n"/>
      <c r="M55" s="116">
        <f>IF(INDEX(MO_SNA_IsHistoricalPeriod,,MATCH(F55,MO_Common_ColumnHeader,0)),"Actual","Estimate")</f>
        <v/>
      </c>
      <c r="N55" s="1928">
        <f>IFERROR(INDEX(INDIRECT(E55),0,MATCH(F55,MO_Common_ColumnHeader,0)),"N/A")/INDEX(z_M2B13B0184_MO_OS_Weightedaverageforeignexchangedratereported,0,MATCH(F55,MO_Common_ColumnHeader,0))</f>
        <v/>
      </c>
      <c r="O55" s="166" t="n"/>
      <c r="P55" s="1929">
        <f>IF(ISNUMBER(N55),N55-K55,"N/A")</f>
        <v/>
      </c>
      <c r="Q55" s="1930">
        <f>IFERROR(IF(ISNUMBER(N55),(N55-K55)/ABS(K55),"N/A"),"N/A")</f>
        <v/>
      </c>
      <c r="R55" s="166" t="n"/>
      <c r="S55" s="119" t="n">
        <v>45491</v>
      </c>
      <c r="T55" s="209" t="inlineStr">
        <is>
          <t>Investor Presentation</t>
        </is>
      </c>
      <c r="U55" s="166" t="n"/>
    </row>
    <row r="56" ht="14.4" customHeight="1" s="876">
      <c r="A56" s="92" t="n">
        <v>200</v>
      </c>
      <c r="B56" s="116">
        <f>IF(INDEX(MO_SNA_IsHistoricalPeriod,,MATCH(F56,MO_Common_ColumnHeader,0)),"Historical","Forward")</f>
        <v/>
      </c>
      <c r="C56" s="166" t="n"/>
      <c r="D56" s="123">
        <f>INDEX(INDIRECT(E56),0,COLUMN(MO_Common_Column_A))</f>
        <v/>
      </c>
      <c r="E56" s="117" t="inlineStr">
        <is>
          <t>z_M2B13B0184_MO_OS_Weightedaverageforeignexchangedratereported</t>
        </is>
      </c>
      <c r="F56" s="116" t="inlineStr">
        <is>
          <t>Q3-2024</t>
        </is>
      </c>
      <c r="G56" s="116" t="n"/>
      <c r="H56" s="166" t="n"/>
      <c r="I56" s="1928" t="n">
        <v>32.5</v>
      </c>
      <c r="J56" s="1928" t="n">
        <v>32.5</v>
      </c>
      <c r="K56" s="1928">
        <f>AVERAGE(I56:J56)</f>
        <v/>
      </c>
      <c r="L56" s="166" t="n"/>
      <c r="M56" s="116">
        <f>IF(INDEX(MO_SNA_IsHistoricalPeriod,,MATCH(F56,MO_Common_ColumnHeader,0)),"Actual","Estimate")</f>
        <v/>
      </c>
      <c r="N56" s="1928">
        <f>IFERROR(INDEX(INDIRECT(E56),0,MATCH(F56,MO_Common_ColumnHeader,0)),"N/A")</f>
        <v/>
      </c>
      <c r="O56" s="166" t="n"/>
      <c r="P56" s="1929">
        <f>IF(ISNUMBER(N56),N56-K56,"N/A")</f>
        <v/>
      </c>
      <c r="Q56" s="1930">
        <f>IFERROR(IF(ISNUMBER(N56),(N56-K56)/ABS(K56),"N/A"),"N/A")</f>
        <v/>
      </c>
      <c r="R56" s="166" t="n"/>
      <c r="S56" s="119" t="n">
        <v>45491</v>
      </c>
      <c r="T56" s="209" t="inlineStr">
        <is>
          <t>Investor Presentation</t>
        </is>
      </c>
      <c r="U56" s="166" t="n"/>
    </row>
    <row r="57" ht="14.4" customHeight="1" s="876">
      <c r="A57" s="92" t="n">
        <v>199</v>
      </c>
      <c r="B57" s="116">
        <f>IF(INDEX(MO_SNA_IsHistoricalPeriod,,MATCH(F57,MO_Common_ColumnHeader,0)),"Historical","Forward")</f>
        <v/>
      </c>
      <c r="C57" s="166" t="n"/>
      <c r="D57" s="123">
        <f>INDEX(INDIRECT(E57),0,COLUMN(MO_Common_Column_A))</f>
        <v/>
      </c>
      <c r="E57" s="117" t="inlineStr">
        <is>
          <t>MO_MA_GM</t>
        </is>
      </c>
      <c r="F57" s="116" t="inlineStr">
        <is>
          <t>Q3-2024</t>
        </is>
      </c>
      <c r="G57" s="116" t="n"/>
      <c r="H57" s="166" t="n"/>
      <c r="I57" s="1933" t="n">
        <v>0.535</v>
      </c>
      <c r="J57" s="1933" t="n">
        <v>0.555</v>
      </c>
      <c r="K57" s="1933">
        <f>AVERAGE(I57:J57)</f>
        <v/>
      </c>
      <c r="L57" s="166" t="n"/>
      <c r="M57" s="116">
        <f>IF(INDEX(MO_SNA_IsHistoricalPeriod,,MATCH(F57,MO_Common_ColumnHeader,0)),"Actual","Estimate")</f>
        <v/>
      </c>
      <c r="N57" s="1933">
        <f>IFERROR(INDEX(INDIRECT(E57),0,MATCH(F57,MO_Common_ColumnHeader,0)),"N/A")</f>
        <v/>
      </c>
      <c r="O57" s="166" t="n"/>
      <c r="P57" s="1930">
        <f>IF(ISNUMBER(N57),N57-K57,"N/A")</f>
        <v/>
      </c>
      <c r="Q57" s="1930">
        <f>IFERROR(IF(ISNUMBER(N57),(N57-K57)/ABS(K57),"N/A"),"N/A")</f>
        <v/>
      </c>
      <c r="R57" s="166" t="n"/>
      <c r="S57" s="119" t="n">
        <v>45491</v>
      </c>
      <c r="T57" s="209" t="inlineStr">
        <is>
          <t>Investor Presentation</t>
        </is>
      </c>
      <c r="U57" s="166" t="n"/>
    </row>
    <row r="58" ht="14.4" customHeight="1" s="876">
      <c r="A58" s="92" t="n">
        <v>198</v>
      </c>
      <c r="B58" s="116">
        <f>IF(INDEX(MO_SNA_IsHistoricalPeriod,,MATCH(F58,MO_Common_ColumnHeader,0)),"Historical","Forward")</f>
        <v/>
      </c>
      <c r="C58" s="166" t="n"/>
      <c r="D58" s="123" t="inlineStr">
        <is>
          <t>Operating Profit Margin</t>
        </is>
      </c>
      <c r="E58" s="117" t="n"/>
      <c r="F58" s="116" t="inlineStr">
        <is>
          <t>Q3-2024</t>
        </is>
      </c>
      <c r="G58" s="116" t="n"/>
      <c r="H58" s="166" t="n"/>
      <c r="I58" s="1933" t="n">
        <v>0.425</v>
      </c>
      <c r="J58" s="1933" t="n">
        <v>0.445</v>
      </c>
      <c r="K58" s="1933">
        <f>AVERAGE(I58:J58)</f>
        <v/>
      </c>
      <c r="L58" s="166" t="n"/>
      <c r="M58" s="116">
        <f>IF(INDEX(MO_SNA_IsHistoricalPeriod,,MATCH(F58,MO_Common_ColumnHeader,0)),"Actual","Estimate")</f>
        <v/>
      </c>
      <c r="N58" s="1933">
        <f>INDEX(MO_RIS_EBIT,0,MATCH(F58,MO_Common_ColumnHeader,0))/INDEX(MO_RIS_REV,0,MATCH(F58,MO_Common_ColumnHeader,0))</f>
        <v/>
      </c>
      <c r="O58" s="166" t="n"/>
      <c r="P58" s="1930">
        <f>IF(ISNUMBER(N58),N58-K58,"N/A")</f>
        <v/>
      </c>
      <c r="Q58" s="1930">
        <f>IFERROR(IF(ISNUMBER(N58),(N58-K58)/ABS(K58),"N/A"),"N/A")</f>
        <v/>
      </c>
      <c r="R58" s="166" t="n"/>
      <c r="S58" s="119" t="n">
        <v>45491</v>
      </c>
      <c r="T58" s="209" t="inlineStr">
        <is>
          <t>Investor Presentation</t>
        </is>
      </c>
      <c r="U58" s="166" t="n"/>
    </row>
    <row r="59" ht="14.4" customHeight="1" s="876">
      <c r="A59" s="92" t="n">
        <v>197</v>
      </c>
      <c r="B59" s="166" t="n"/>
      <c r="C59" s="166" t="n"/>
      <c r="D59" s="102" t="n"/>
      <c r="E59" s="103" t="n"/>
      <c r="F59" s="166" t="n"/>
      <c r="G59" s="166" t="n"/>
      <c r="H59" s="166" t="n"/>
      <c r="I59" s="1301" t="n"/>
      <c r="J59" s="1301" t="n"/>
      <c r="K59" s="1301" t="n"/>
      <c r="L59" s="166" t="n"/>
      <c r="M59" s="166" t="n"/>
      <c r="N59" s="1301" t="n"/>
      <c r="O59" s="166" t="n"/>
      <c r="P59" s="1931" t="n"/>
      <c r="Q59" s="1932" t="n"/>
      <c r="R59" s="166" t="n"/>
      <c r="S59" s="107" t="n"/>
      <c r="T59" s="126" t="n"/>
      <c r="U59" s="166" t="n"/>
    </row>
    <row r="60" ht="14.4" customHeight="1" s="876">
      <c r="A60" s="92" t="n">
        <v>196</v>
      </c>
      <c r="B60" s="116">
        <f>IF(INDEX(MO_SNA_IsHistoricalPeriod,,MATCH(F60,MO_Common_ColumnHeader,0)),"Historical","Forward")</f>
        <v/>
      </c>
      <c r="C60" s="166" t="n"/>
      <c r="D60" s="123">
        <f>INDEX(INDIRECT(E60),0,COLUMN(MO_Common_Column_A))</f>
        <v/>
      </c>
      <c r="E60" s="117" t="inlineStr">
        <is>
          <t>MO_CFSum_Capex</t>
        </is>
      </c>
      <c r="F60" s="116" t="inlineStr">
        <is>
          <t>FY2024</t>
        </is>
      </c>
      <c r="G60" s="116" t="n"/>
      <c r="H60" s="166" t="n"/>
      <c r="I60" s="1928" t="n">
        <v>-32000</v>
      </c>
      <c r="J60" s="1928" t="n">
        <v>-28000</v>
      </c>
      <c r="K60" s="1928">
        <f>AVERAGE(I60:J60)</f>
        <v/>
      </c>
      <c r="L60" s="166" t="n"/>
      <c r="M60" s="116">
        <f>IF(INDEX(MO_SNA_IsHistoricalPeriod,,MATCH(F60,MO_Common_ColumnHeader,0)),"Actual","Estimate")</f>
        <v/>
      </c>
      <c r="N60" s="1928">
        <f>IFERROR(INDEX(INDIRECT(E60),0,MATCH(F60,MO_Common_ColumnHeader,0)),"N/A")*INDEX(MO_VA_FX_Average,0,MATCH(F60,MO_Common_ColumnHeader,0))</f>
        <v/>
      </c>
      <c r="O60" s="166" t="n"/>
      <c r="P60" s="1929">
        <f>IF(ISNUMBER(N60),N60-K60,"N/A")</f>
        <v/>
      </c>
      <c r="Q60" s="1930">
        <f>IFERROR(IF(ISNUMBER(N60),(N60-K60)/ABS(K60),"N/A"),"N/A")</f>
        <v/>
      </c>
      <c r="R60" s="166" t="n"/>
      <c r="S60" s="119" t="n">
        <v>45400</v>
      </c>
      <c r="T60" s="209" t="inlineStr">
        <is>
          <t>Transcript</t>
        </is>
      </c>
      <c r="U60" s="166" t="n"/>
    </row>
    <row r="61" ht="14.4" customHeight="1" s="876">
      <c r="A61" s="92" t="n">
        <v>195</v>
      </c>
      <c r="B61" s="116">
        <f>IF(INDEX(MO_SNA_IsHistoricalPeriod,,MATCH(F61,MO_Common_ColumnHeader,0)),"Historical","Forward")</f>
        <v/>
      </c>
      <c r="C61" s="166" t="n"/>
      <c r="D61" s="123">
        <f>INDEX(INDIRECT(E61),0,COLUMN(MO_Common_Column_A))</f>
        <v/>
      </c>
      <c r="E61" s="117" t="inlineStr">
        <is>
          <t>MO_RIS_TaxRate_Current</t>
        </is>
      </c>
      <c r="F61" s="116" t="inlineStr">
        <is>
          <t>FY2024</t>
        </is>
      </c>
      <c r="G61" s="116" t="n"/>
      <c r="H61" s="166" t="n"/>
      <c r="I61" s="1933" t="n">
        <v>0.15</v>
      </c>
      <c r="J61" s="1933" t="n">
        <v>0.16</v>
      </c>
      <c r="K61" s="1933">
        <f>AVERAGE(I61:J61)</f>
        <v/>
      </c>
      <c r="L61" s="166" t="n"/>
      <c r="M61" s="116">
        <f>IF(INDEX(MO_SNA_IsHistoricalPeriod,,MATCH(F61,MO_Common_ColumnHeader,0)),"Actual","Estimate")</f>
        <v/>
      </c>
      <c r="N61" s="1933">
        <f>IFERROR(INDEX(INDIRECT(E61),0,MATCH(F61,MO_Common_ColumnHeader,0)),"N/A")</f>
        <v/>
      </c>
      <c r="O61" s="166" t="n"/>
      <c r="P61" s="1930">
        <f>IF(ISNUMBER(N61),N61-K61,"N/A")</f>
        <v/>
      </c>
      <c r="Q61" s="1930">
        <f>IFERROR(IF(ISNUMBER(N61),(N61-K61)/ABS(K61),"N/A"),"N/A")</f>
        <v/>
      </c>
      <c r="R61" s="166" t="n"/>
      <c r="S61" s="119" t="n">
        <v>45400</v>
      </c>
      <c r="T61" s="209" t="inlineStr">
        <is>
          <t>Transcript</t>
        </is>
      </c>
      <c r="U61" s="166" t="n"/>
    </row>
    <row r="62" ht="14.4" customHeight="1" s="876">
      <c r="A62" s="92" t="n">
        <v>194</v>
      </c>
      <c r="B62" s="166" t="n"/>
      <c r="C62" s="166" t="n"/>
      <c r="D62" s="102" t="n"/>
      <c r="E62" s="103" t="n"/>
      <c r="F62" s="166" t="n"/>
      <c r="G62" s="166" t="n"/>
      <c r="H62" s="166" t="n"/>
      <c r="I62" s="1301" t="n"/>
      <c r="J62" s="1301" t="n"/>
      <c r="K62" s="1301" t="n"/>
      <c r="L62" s="166" t="n"/>
      <c r="M62" s="166" t="n"/>
      <c r="N62" s="1301" t="n"/>
      <c r="O62" s="166" t="n"/>
      <c r="P62" s="1931" t="n"/>
      <c r="Q62" s="1932" t="n"/>
      <c r="R62" s="166" t="n"/>
      <c r="S62" s="107" t="n"/>
      <c r="T62" s="126" t="n"/>
      <c r="U62" s="166" t="n"/>
    </row>
    <row r="63" ht="14.4" customHeight="1" s="876">
      <c r="A63" s="92" t="n">
        <v>193</v>
      </c>
      <c r="B63" s="116">
        <f>IF(INDEX(MO_SNA_IsHistoricalPeriod,,MATCH(F63,MO_Common_ColumnHeader,0)),"Historical","Forward")</f>
        <v/>
      </c>
      <c r="C63" s="166" t="n"/>
      <c r="D63" s="123">
        <f>INDEX(INDIRECT(E63),0,COLUMN(MO_Common_Column_A))</f>
        <v/>
      </c>
      <c r="E63" s="117" t="inlineStr">
        <is>
          <t>MO_RIS_REV</t>
        </is>
      </c>
      <c r="F63" s="116" t="inlineStr">
        <is>
          <t>Q2-2024</t>
        </is>
      </c>
      <c r="G63" s="116" t="n"/>
      <c r="H63" s="166" t="n"/>
      <c r="I63" s="1928" t="n">
        <v>19600</v>
      </c>
      <c r="J63" s="1928" t="n">
        <v>20400</v>
      </c>
      <c r="K63" s="1928">
        <f>AVERAGE(I63:J63)</f>
        <v/>
      </c>
      <c r="L63" s="166" t="n"/>
      <c r="M63" s="116">
        <f>IF(INDEX(MO_SNA_IsHistoricalPeriod,,MATCH(F63,MO_Common_ColumnHeader,0)),"Actual","Estimate")</f>
        <v/>
      </c>
      <c r="N63" s="1928">
        <f>IFERROR(INDEX(INDIRECT(E63),0,MATCH(F63,MO_Common_ColumnHeader,0)),"N/A")/INDEX(z_M2B13B0184_MO_OS_Weightedaverageforeignexchangedratereported,0,MATCH(F63,MO_Common_ColumnHeader,0))</f>
        <v/>
      </c>
      <c r="O63" s="166" t="n"/>
      <c r="P63" s="1929">
        <f>IF(ISNUMBER(N63),N63-K63,"N/A")</f>
        <v/>
      </c>
      <c r="Q63" s="1930">
        <f>IFERROR(IF(ISNUMBER(N63),(N63-K63)/ABS(K63),"N/A"),"N/A")</f>
        <v/>
      </c>
      <c r="R63" s="166" t="n"/>
      <c r="S63" s="119" t="n">
        <v>45400</v>
      </c>
      <c r="T63" s="209" t="inlineStr">
        <is>
          <t>Investor Presentation</t>
        </is>
      </c>
      <c r="U63" s="166" t="n"/>
    </row>
    <row r="64" ht="14.4" customHeight="1" s="876">
      <c r="A64" s="92" t="n">
        <v>192</v>
      </c>
      <c r="B64" s="116">
        <f>IF(INDEX(MO_SNA_IsHistoricalPeriod,,MATCH(F64,MO_Common_ColumnHeader,0)),"Historical","Forward")</f>
        <v/>
      </c>
      <c r="C64" s="166" t="n"/>
      <c r="D64" s="123">
        <f>INDEX(INDIRECT(E64),0,COLUMN(MO_Common_Column_A))</f>
        <v/>
      </c>
      <c r="E64" s="117" t="inlineStr">
        <is>
          <t>z_M2B13B0184_MO_OS_Weightedaverageforeignexchangedratereported</t>
        </is>
      </c>
      <c r="F64" s="116" t="inlineStr">
        <is>
          <t>Q2-2024</t>
        </is>
      </c>
      <c r="G64" s="116" t="n"/>
      <c r="H64" s="166" t="n"/>
      <c r="I64" s="1928" t="n">
        <v>32.3</v>
      </c>
      <c r="J64" s="1928" t="n">
        <v>32.3</v>
      </c>
      <c r="K64" s="1928">
        <f>AVERAGE(I64:J64)</f>
        <v/>
      </c>
      <c r="L64" s="166" t="n"/>
      <c r="M64" s="116">
        <f>IF(INDEX(MO_SNA_IsHistoricalPeriod,,MATCH(F64,MO_Common_ColumnHeader,0)),"Actual","Estimate")</f>
        <v/>
      </c>
      <c r="N64" s="1928">
        <f>IFERROR(INDEX(INDIRECT(E64),0,MATCH(F64,MO_Common_ColumnHeader,0)),"N/A")</f>
        <v/>
      </c>
      <c r="O64" s="166" t="n"/>
      <c r="P64" s="1929">
        <f>IF(ISNUMBER(N64),N64-K64,"N/A")</f>
        <v/>
      </c>
      <c r="Q64" s="1930">
        <f>IFERROR(IF(ISNUMBER(N64),(N64-K64)/ABS(K64),"N/A"),"N/A")</f>
        <v/>
      </c>
      <c r="R64" s="166" t="n"/>
      <c r="S64" s="119" t="n">
        <v>45400</v>
      </c>
      <c r="T64" s="209" t="inlineStr">
        <is>
          <t>Investor Presentation</t>
        </is>
      </c>
      <c r="U64" s="166" t="n"/>
    </row>
    <row r="65" ht="14.4" customHeight="1" s="876">
      <c r="A65" s="92" t="n">
        <v>191</v>
      </c>
      <c r="B65" s="116">
        <f>IF(INDEX(MO_SNA_IsHistoricalPeriod,,MATCH(F65,MO_Common_ColumnHeader,0)),"Historical","Forward")</f>
        <v/>
      </c>
      <c r="C65" s="166" t="n"/>
      <c r="D65" s="123">
        <f>INDEX(INDIRECT(E65),0,COLUMN(MO_Common_Column_A))</f>
        <v/>
      </c>
      <c r="E65" s="117" t="inlineStr">
        <is>
          <t>MO_MA_GM</t>
        </is>
      </c>
      <c r="F65" s="116" t="inlineStr">
        <is>
          <t>Q2-2024</t>
        </is>
      </c>
      <c r="G65" s="116" t="n"/>
      <c r="H65" s="166" t="n"/>
      <c r="I65" s="1933" t="n">
        <v>0.51</v>
      </c>
      <c r="J65" s="1933" t="n">
        <v>0.53</v>
      </c>
      <c r="K65" s="1933">
        <f>AVERAGE(I65:J65)</f>
        <v/>
      </c>
      <c r="L65" s="166" t="n"/>
      <c r="M65" s="116">
        <f>IF(INDEX(MO_SNA_IsHistoricalPeriod,,MATCH(F65,MO_Common_ColumnHeader,0)),"Actual","Estimate")</f>
        <v/>
      </c>
      <c r="N65" s="1933">
        <f>IFERROR(INDEX(INDIRECT(E65),0,MATCH(F65,MO_Common_ColumnHeader,0)),"N/A")</f>
        <v/>
      </c>
      <c r="O65" s="166" t="n"/>
      <c r="P65" s="1930">
        <f>IF(ISNUMBER(N65),N65-K65,"N/A")</f>
        <v/>
      </c>
      <c r="Q65" s="1930">
        <f>IFERROR(IF(ISNUMBER(N65),(N65-K65)/ABS(K65),"N/A"),"N/A")</f>
        <v/>
      </c>
      <c r="R65" s="166" t="n"/>
      <c r="S65" s="119" t="n">
        <v>45400</v>
      </c>
      <c r="T65" s="209" t="inlineStr">
        <is>
          <t>Investor Presentation</t>
        </is>
      </c>
      <c r="U65" s="166" t="n"/>
    </row>
    <row r="66" ht="14.4" customHeight="1" s="876">
      <c r="A66" s="92" t="n">
        <v>190</v>
      </c>
      <c r="B66" s="116">
        <f>IF(INDEX(MO_SNA_IsHistoricalPeriod,,MATCH(F66,MO_Common_ColumnHeader,0)),"Historical","Forward")</f>
        <v/>
      </c>
      <c r="C66" s="166" t="n"/>
      <c r="D66" s="123" t="inlineStr">
        <is>
          <t>Operating Profit Margin</t>
        </is>
      </c>
      <c r="E66" s="117" t="n"/>
      <c r="F66" s="116" t="inlineStr">
        <is>
          <t>Q2-2024</t>
        </is>
      </c>
      <c r="G66" s="116" t="n"/>
      <c r="H66" s="166" t="n"/>
      <c r="I66" s="1933" t="n">
        <v>0.4</v>
      </c>
      <c r="J66" s="1933" t="n">
        <v>0.42</v>
      </c>
      <c r="K66" s="1933">
        <f>AVERAGE(I66:J66)</f>
        <v/>
      </c>
      <c r="L66" s="166" t="n"/>
      <c r="M66" s="116">
        <f>IF(INDEX(MO_SNA_IsHistoricalPeriod,,MATCH(F66,MO_Common_ColumnHeader,0)),"Actual","Estimate")</f>
        <v/>
      </c>
      <c r="N66" s="1933">
        <f>INDEX(MO_RIS_EBIT,0,MATCH(F66,MO_Common_ColumnHeader,0))/INDEX(MO_RIS_REV,0,MATCH(F66,MO_Common_ColumnHeader,0))</f>
        <v/>
      </c>
      <c r="O66" s="166" t="n"/>
      <c r="P66" s="1930">
        <f>IF(ISNUMBER(N66),N66-K66,"N/A")</f>
        <v/>
      </c>
      <c r="Q66" s="1930">
        <f>IFERROR(IF(ISNUMBER(N66),(N66-K66)/ABS(K66),"N/A"),"N/A")</f>
        <v/>
      </c>
      <c r="R66" s="166" t="n"/>
      <c r="S66" s="119" t="n">
        <v>45400</v>
      </c>
      <c r="T66" s="209" t="inlineStr">
        <is>
          <t>Investor Presentation</t>
        </is>
      </c>
      <c r="U66" s="166" t="n"/>
    </row>
    <row r="67" ht="14.4" customHeight="1" s="876">
      <c r="A67" s="92" t="n">
        <v>189</v>
      </c>
      <c r="B67" s="116">
        <f>IF(INDEX(MO_SNA_IsHistoricalPeriod,,MATCH(F67,MO_Common_ColumnHeader,0)),"Historical","Forward")</f>
        <v/>
      </c>
      <c r="C67" s="166" t="n"/>
      <c r="D67" s="123">
        <f>INDEX(INDIRECT(E67),0,COLUMN(MO_Common_Column_A))</f>
        <v/>
      </c>
      <c r="E67" s="117" t="inlineStr">
        <is>
          <t>MO_RIS_TaxRate_Current</t>
        </is>
      </c>
      <c r="F67" s="116" t="inlineStr">
        <is>
          <t>Q2-2024</t>
        </is>
      </c>
      <c r="G67" s="116" t="n"/>
      <c r="H67" s="166" t="n"/>
      <c r="I67" s="1933" t="n">
        <v>0.19</v>
      </c>
      <c r="J67" s="1933" t="n">
        <v>0.19</v>
      </c>
      <c r="K67" s="1933">
        <f>AVERAGE(I67:J67)</f>
        <v/>
      </c>
      <c r="L67" s="166" t="n"/>
      <c r="M67" s="116">
        <f>IF(INDEX(MO_SNA_IsHistoricalPeriod,,MATCH(F67,MO_Common_ColumnHeader,0)),"Actual","Estimate")</f>
        <v/>
      </c>
      <c r="N67" s="1933">
        <f>IFERROR(INDEX(INDIRECT(E67),0,MATCH(F67,MO_Common_ColumnHeader,0)),"N/A")</f>
        <v/>
      </c>
      <c r="O67" s="166" t="n"/>
      <c r="P67" s="1930">
        <f>IF(ISNUMBER(N67),N67-K67,"N/A")</f>
        <v/>
      </c>
      <c r="Q67" s="1930">
        <f>IFERROR(IF(ISNUMBER(N67),(N67-K67)/ABS(K67),"N/A"),"N/A")</f>
        <v/>
      </c>
      <c r="R67" s="166" t="n"/>
      <c r="S67" s="119" t="n">
        <v>45400</v>
      </c>
      <c r="T67" s="209" t="inlineStr">
        <is>
          <t>Transcript</t>
        </is>
      </c>
      <c r="U67" s="166" t="n"/>
    </row>
    <row r="68" ht="14.4" customHeight="1" s="876">
      <c r="A68" s="92" t="n">
        <v>188</v>
      </c>
      <c r="B68" s="166" t="n"/>
      <c r="C68" s="166" t="n"/>
      <c r="D68" s="102" t="n"/>
      <c r="E68" s="103" t="n"/>
      <c r="F68" s="166" t="n"/>
      <c r="G68" s="166" t="n"/>
      <c r="H68" s="166" t="n"/>
      <c r="I68" s="1301" t="n"/>
      <c r="J68" s="1301" t="n"/>
      <c r="K68" s="1301" t="n"/>
      <c r="L68" s="166" t="n"/>
      <c r="M68" s="166" t="n"/>
      <c r="N68" s="1301" t="n"/>
      <c r="O68" s="166" t="n"/>
      <c r="P68" s="1931" t="n"/>
      <c r="Q68" s="1932" t="n"/>
      <c r="R68" s="166" t="n"/>
      <c r="S68" s="107" t="n"/>
      <c r="T68" s="126" t="n"/>
      <c r="U68" s="166" t="n"/>
    </row>
    <row r="69" ht="14.4" customHeight="1" s="876">
      <c r="A69" s="92" t="n">
        <v>187</v>
      </c>
      <c r="B69" s="116">
        <f>IF(INDEX(MO_SNA_IsHistoricalPeriod,,MATCH(F69,MO_Common_ColumnHeader,0)),"Historical","Forward")</f>
        <v/>
      </c>
      <c r="C69" s="166" t="n"/>
      <c r="D69" s="123">
        <f>INDEX(INDIRECT(E69),0,COLUMN(MO_Common_Column_A))</f>
        <v/>
      </c>
      <c r="E69" s="117" t="inlineStr">
        <is>
          <t>MO_CFSum_Capex</t>
        </is>
      </c>
      <c r="F69" s="116" t="inlineStr">
        <is>
          <t>FY2024</t>
        </is>
      </c>
      <c r="G69" s="116" t="n"/>
      <c r="H69" s="166" t="n"/>
      <c r="I69" s="1928" t="n">
        <v>-32000</v>
      </c>
      <c r="J69" s="1928" t="n">
        <v>-28000</v>
      </c>
      <c r="K69" s="1928">
        <f>AVERAGE(I69:J69)</f>
        <v/>
      </c>
      <c r="L69" s="166" t="n"/>
      <c r="M69" s="116">
        <f>IF(INDEX(MO_SNA_IsHistoricalPeriod,,MATCH(F69,MO_Common_ColumnHeader,0)),"Actual","Estimate")</f>
        <v/>
      </c>
      <c r="N69" s="1928">
        <f>IFERROR(INDEX(INDIRECT(E69),0,MATCH(F69,MO_Common_ColumnHeader,0)),"N/A")*INDEX(MO_VA_FX_Average,0,MATCH(F69,MO_Common_ColumnHeader,0))</f>
        <v/>
      </c>
      <c r="O69" s="166" t="n"/>
      <c r="P69" s="1929">
        <f>IF(ISNUMBER(N69),N69-K69,"N/A")</f>
        <v/>
      </c>
      <c r="Q69" s="1930">
        <f>IFERROR(IF(ISNUMBER(N69),(N69-K69)/ABS(K69),"N/A"),"N/A")</f>
        <v/>
      </c>
      <c r="R69" s="166" t="n"/>
      <c r="S69" s="119" t="n">
        <v>45309</v>
      </c>
      <c r="T69" s="209" t="inlineStr">
        <is>
          <t>Transcript</t>
        </is>
      </c>
      <c r="U69" s="166" t="n"/>
    </row>
    <row r="70" ht="14.4" customHeight="1" s="876">
      <c r="A70" s="92" t="n">
        <v>186</v>
      </c>
      <c r="B70" s="166" t="n"/>
      <c r="C70" s="166" t="n"/>
      <c r="D70" s="102" t="n"/>
      <c r="E70" s="103" t="n"/>
      <c r="F70" s="166" t="n"/>
      <c r="G70" s="166" t="n"/>
      <c r="H70" s="166" t="n"/>
      <c r="I70" s="1301" t="n"/>
      <c r="J70" s="1301" t="n"/>
      <c r="K70" s="1301" t="n"/>
      <c r="L70" s="166" t="n"/>
      <c r="M70" s="166" t="n"/>
      <c r="N70" s="1301" t="n"/>
      <c r="O70" s="166" t="n"/>
      <c r="P70" s="1931" t="n"/>
      <c r="Q70" s="1932" t="n"/>
      <c r="R70" s="166" t="n"/>
      <c r="S70" s="107" t="n"/>
      <c r="T70" s="126" t="n"/>
      <c r="U70" s="166" t="n"/>
    </row>
    <row r="71" ht="14.4" customHeight="1" s="876">
      <c r="A71" s="92" t="n">
        <v>185</v>
      </c>
      <c r="B71" s="116">
        <f>IF(INDEX(MO_SNA_IsHistoricalPeriod,,MATCH(F71,MO_Common_ColumnHeader,0)),"Historical","Forward")</f>
        <v/>
      </c>
      <c r="C71" s="166" t="n"/>
      <c r="D71" s="123">
        <f>INDEX(INDIRECT(E71),0,COLUMN(MO_Common_Column_A))</f>
        <v/>
      </c>
      <c r="E71" s="117" t="inlineStr">
        <is>
          <t>MO_RIS_REV</t>
        </is>
      </c>
      <c r="F71" s="116" t="inlineStr">
        <is>
          <t>Q1-2024</t>
        </is>
      </c>
      <c r="G71" s="116" t="n"/>
      <c r="H71" s="166" t="n"/>
      <c r="I71" s="1928" t="n">
        <v>18000</v>
      </c>
      <c r="J71" s="1928" t="n">
        <v>18800</v>
      </c>
      <c r="K71" s="1928">
        <f>AVERAGE(I71:J71)</f>
        <v/>
      </c>
      <c r="L71" s="166" t="n"/>
      <c r="M71" s="116">
        <f>IF(INDEX(MO_SNA_IsHistoricalPeriod,,MATCH(F71,MO_Common_ColumnHeader,0)),"Actual","Estimate")</f>
        <v/>
      </c>
      <c r="N71" s="1928">
        <f>IFERROR(INDEX(INDIRECT(E71),0,MATCH(F71,MO_Common_ColumnHeader,0)),"N/A")/31.1</f>
        <v/>
      </c>
      <c r="O71" s="166" t="n"/>
      <c r="P71" s="1929">
        <f>IF(ISNUMBER(N71),N71-K71,"N/A")</f>
        <v/>
      </c>
      <c r="Q71" s="1930">
        <f>IFERROR(IF(ISNUMBER(N71),(N71-K71)/ABS(K71),"N/A"),"N/A")</f>
        <v/>
      </c>
      <c r="R71" s="166" t="n"/>
      <c r="S71" s="119" t="n">
        <v>45309</v>
      </c>
      <c r="T71" s="209" t="inlineStr">
        <is>
          <t>Investor Presentation</t>
        </is>
      </c>
      <c r="U71" s="166" t="n"/>
    </row>
    <row r="72" ht="14.4" customHeight="1" s="876">
      <c r="A72" s="92" t="n">
        <v>184</v>
      </c>
      <c r="B72" s="116">
        <f>IF(INDEX(MO_SNA_IsHistoricalPeriod,,MATCH(F72,MO_Common_ColumnHeader,0)),"Historical","Forward")</f>
        <v/>
      </c>
      <c r="C72" s="166" t="n"/>
      <c r="D72" s="123">
        <f>INDEX(INDIRECT(E72),0,COLUMN(MO_Common_Column_A))</f>
        <v/>
      </c>
      <c r="E72" s="117" t="inlineStr">
        <is>
          <t>z_M2B13B0184_MO_OS_Weightedaverageforeignexchangedratereported</t>
        </is>
      </c>
      <c r="F72" s="116" t="inlineStr">
        <is>
          <t>Q1-2024</t>
        </is>
      </c>
      <c r="G72" s="116" t="n"/>
      <c r="H72" s="166" t="n"/>
      <c r="I72" s="1928" t="n">
        <v>31.1</v>
      </c>
      <c r="J72" s="1928" t="n">
        <v>31.1</v>
      </c>
      <c r="K72" s="1928">
        <f>AVERAGE(I72:J72)</f>
        <v/>
      </c>
      <c r="L72" s="166" t="n"/>
      <c r="M72" s="116">
        <f>IF(INDEX(MO_SNA_IsHistoricalPeriod,,MATCH(F72,MO_Common_ColumnHeader,0)),"Actual","Estimate")</f>
        <v/>
      </c>
      <c r="N72" s="1928">
        <f>IF(B72="Historical",INDEX(INDIRECT(E72),0,MATCH(F72,MO_Common_ColumnHeader,0)),"N/A")</f>
        <v/>
      </c>
      <c r="O72" s="166" t="n"/>
      <c r="P72" s="1929">
        <f>IF(ISNUMBER(N72),N72-K72,"N/A")</f>
        <v/>
      </c>
      <c r="Q72" s="1930">
        <f>IFERROR(IF(ISNUMBER(N72),(N72-K72)/ABS(K72),"N/A"),"N/A")</f>
        <v/>
      </c>
      <c r="R72" s="166" t="n"/>
      <c r="S72" s="119" t="n">
        <v>45309</v>
      </c>
      <c r="T72" s="209" t="inlineStr">
        <is>
          <t>Investor Presentation</t>
        </is>
      </c>
      <c r="U72" s="166" t="n"/>
    </row>
    <row r="73" ht="14.4" customHeight="1" s="876">
      <c r="A73" s="92" t="n">
        <v>183</v>
      </c>
      <c r="B73" s="116">
        <f>IF(INDEX(MO_SNA_IsHistoricalPeriod,,MATCH(F73,MO_Common_ColumnHeader,0)),"Historical","Forward")</f>
        <v/>
      </c>
      <c r="C73" s="166" t="n"/>
      <c r="D73" s="123">
        <f>INDEX(INDIRECT(E73),0,COLUMN(MO_Common_Column_A))</f>
        <v/>
      </c>
      <c r="E73" s="117" t="inlineStr">
        <is>
          <t>MO_MA_GM</t>
        </is>
      </c>
      <c r="F73" s="116" t="inlineStr">
        <is>
          <t>Q1-2024</t>
        </is>
      </c>
      <c r="G73" s="116" t="n"/>
      <c r="H73" s="166" t="n"/>
      <c r="I73" s="1933" t="n">
        <v>0.52</v>
      </c>
      <c r="J73" s="1933" t="n">
        <v>0.54</v>
      </c>
      <c r="K73" s="1933">
        <f>AVERAGE(I73:J73)</f>
        <v/>
      </c>
      <c r="L73" s="166" t="n"/>
      <c r="M73" s="116">
        <f>IF(INDEX(MO_SNA_IsHistoricalPeriod,,MATCH(F73,MO_Common_ColumnHeader,0)),"Actual","Estimate")</f>
        <v/>
      </c>
      <c r="N73" s="1933">
        <f>IFERROR(INDEX(INDIRECT(E73),0,MATCH(F73,MO_Common_ColumnHeader,0)),"N/A")</f>
        <v/>
      </c>
      <c r="O73" s="166" t="n"/>
      <c r="P73" s="1930">
        <f>IF(ISNUMBER(N73),N73-K73,"N/A")</f>
        <v/>
      </c>
      <c r="Q73" s="1930">
        <f>IFERROR(IF(ISNUMBER(N73),(N73-K73)/ABS(K73),"N/A"),"N/A")</f>
        <v/>
      </c>
      <c r="R73" s="166" t="n"/>
      <c r="S73" s="119" t="n">
        <v>45309</v>
      </c>
      <c r="T73" s="209" t="inlineStr">
        <is>
          <t>Investor Presentation</t>
        </is>
      </c>
      <c r="U73" s="166" t="n"/>
    </row>
    <row r="74" ht="14.4" customHeight="1" s="876">
      <c r="A74" s="92" t="n">
        <v>182</v>
      </c>
      <c r="B74" s="116">
        <f>IF(INDEX(MO_SNA_IsHistoricalPeriod,,MATCH(F74,MO_Common_ColumnHeader,0)),"Historical","Forward")</f>
        <v/>
      </c>
      <c r="C74" s="166" t="n"/>
      <c r="D74" s="123" t="inlineStr">
        <is>
          <t>Operating Profit Margin</t>
        </is>
      </c>
      <c r="E74" s="117" t="n"/>
      <c r="F74" s="116" t="inlineStr">
        <is>
          <t>Q1-2024</t>
        </is>
      </c>
      <c r="G74" s="116" t="n"/>
      <c r="H74" s="166" t="n"/>
      <c r="I74" s="1933" t="n">
        <v>0.4</v>
      </c>
      <c r="J74" s="1933" t="n">
        <v>0.42</v>
      </c>
      <c r="K74" s="1933">
        <f>AVERAGE(I74:J74)</f>
        <v/>
      </c>
      <c r="L74" s="166" t="n"/>
      <c r="M74" s="116">
        <f>IF(INDEX(MO_SNA_IsHistoricalPeriod,,MATCH(F74,MO_Common_ColumnHeader,0)),"Actual","Estimate")</f>
        <v/>
      </c>
      <c r="N74" s="1933">
        <f>INDEX(MO_RIS_EBIT,0,MATCH(F74,MO_Common_ColumnHeader,0))/INDEX(MO_RIS_REV,0,MATCH(F74,MO_Common_ColumnHeader,0))</f>
        <v/>
      </c>
      <c r="O74" s="166" t="n"/>
      <c r="P74" s="1930">
        <f>IF(ISNUMBER(N74),N74-K74,"N/A")</f>
        <v/>
      </c>
      <c r="Q74" s="1930">
        <f>IFERROR(IF(ISNUMBER(N74),(N74-K74)/ABS(K74),"N/A"),"N/A")</f>
        <v/>
      </c>
      <c r="R74" s="166" t="n"/>
      <c r="S74" s="119" t="n">
        <v>45309</v>
      </c>
      <c r="T74" s="209" t="inlineStr">
        <is>
          <t>Investor Presentation</t>
        </is>
      </c>
      <c r="U74" s="166" t="n"/>
    </row>
    <row r="75" ht="14.4" customHeight="1" s="876">
      <c r="A75" s="92" t="n">
        <v>181</v>
      </c>
      <c r="B75" s="166" t="n"/>
      <c r="C75" s="166" t="n"/>
      <c r="D75" s="102" t="n"/>
      <c r="E75" s="103" t="n"/>
      <c r="F75" s="166" t="n"/>
      <c r="G75" s="166" t="n"/>
      <c r="H75" s="166" t="n"/>
      <c r="I75" s="1301" t="n"/>
      <c r="J75" s="1301" t="n"/>
      <c r="K75" s="1301" t="n"/>
      <c r="L75" s="166" t="n"/>
      <c r="M75" s="166" t="n"/>
      <c r="N75" s="1301" t="n"/>
      <c r="O75" s="166" t="n"/>
      <c r="P75" s="1931" t="n"/>
      <c r="Q75" s="1932" t="n"/>
      <c r="R75" s="166" t="n"/>
      <c r="S75" s="107" t="n"/>
      <c r="T75" s="126" t="n"/>
      <c r="U75" s="166" t="n"/>
    </row>
    <row r="76" ht="14.4" customHeight="1" s="876">
      <c r="A76" s="92" t="n">
        <v>180</v>
      </c>
      <c r="B76" s="116">
        <f>IF(INDEX(MO_SNA_IsHistoricalPeriod,,MATCH(F76,MO_Common_ColumnHeader,0)),"Historical","Forward")</f>
        <v/>
      </c>
      <c r="C76" s="166" t="n"/>
      <c r="D76" s="123">
        <f>INDEX(INDIRECT(E76),0,COLUMN(MO_Common_Column_A))</f>
        <v/>
      </c>
      <c r="E76" s="117" t="inlineStr">
        <is>
          <t>MO_CFSum_Capex</t>
        </is>
      </c>
      <c r="F76" s="116" t="inlineStr">
        <is>
          <t>FY2023</t>
        </is>
      </c>
      <c r="G76" s="116" t="n"/>
      <c r="H76" s="166" t="n"/>
      <c r="I76" s="1928" t="n">
        <v>-32000</v>
      </c>
      <c r="J76" s="1928" t="n">
        <v>-32000</v>
      </c>
      <c r="K76" s="1928">
        <f>AVERAGE(I76:J76)</f>
        <v/>
      </c>
      <c r="L76" s="166" t="n"/>
      <c r="M76" s="116">
        <f>IF(INDEX(MO_SNA_IsHistoricalPeriod,,MATCH(F76,MO_Common_ColumnHeader,0)),"Actual","Estimate")</f>
        <v/>
      </c>
      <c r="N76" s="1928">
        <f>IFERROR(INDEX(INDIRECT(E76),0,MATCH(F76,MO_Common_ColumnHeader,0)),"N/A")*INDEX(MO_VA_FX_Average,0,MATCH(F76,MO_Common_ColumnHeader,0))</f>
        <v/>
      </c>
      <c r="O76" s="166" t="n"/>
      <c r="P76" s="1929">
        <f>IF(ISNUMBER(N76),N76-K76,"N/A")</f>
        <v/>
      </c>
      <c r="Q76" s="1930">
        <f>IFERROR(IF(ISNUMBER(N76),(N76-K76)/ABS(K76),"N/A"),"N/A")</f>
        <v/>
      </c>
      <c r="R76" s="166" t="n"/>
      <c r="S76" s="119" t="n">
        <v>45218</v>
      </c>
      <c r="T76" s="209" t="inlineStr">
        <is>
          <t>Transcript</t>
        </is>
      </c>
      <c r="U76" s="166" t="n"/>
    </row>
    <row r="77" ht="14.4" customHeight="1" s="876">
      <c r="A77" s="92" t="n">
        <v>179</v>
      </c>
      <c r="B77" s="166" t="n"/>
      <c r="C77" s="166" t="n"/>
      <c r="D77" s="102" t="n"/>
      <c r="E77" s="103" t="n"/>
      <c r="F77" s="166" t="n"/>
      <c r="G77" s="166" t="n"/>
      <c r="H77" s="166" t="n"/>
      <c r="I77" s="1301" t="n"/>
      <c r="J77" s="1301" t="n"/>
      <c r="K77" s="1301" t="n"/>
      <c r="L77" s="166" t="n"/>
      <c r="M77" s="166" t="n"/>
      <c r="N77" s="1301" t="n"/>
      <c r="O77" s="166" t="n"/>
      <c r="P77" s="1931" t="n"/>
      <c r="Q77" s="1932" t="n"/>
      <c r="R77" s="166" t="n"/>
      <c r="S77" s="107" t="n"/>
      <c r="T77" s="126" t="n"/>
      <c r="U77" s="166" t="n"/>
    </row>
    <row r="78" ht="14.4" customHeight="1" s="876">
      <c r="A78" s="92" t="n">
        <v>178</v>
      </c>
      <c r="B78" s="116">
        <f>IF(INDEX(MO_SNA_IsHistoricalPeriod,,MATCH(F78,MO_Common_ColumnHeader,0)),"Historical","Forward")</f>
        <v/>
      </c>
      <c r="C78" s="166" t="n"/>
      <c r="D78" s="123">
        <f>INDEX(INDIRECT(E78),0,COLUMN(MO_Common_Column_A))</f>
        <v/>
      </c>
      <c r="E78" s="117" t="inlineStr">
        <is>
          <t>MO_RIS_REV</t>
        </is>
      </c>
      <c r="F78" s="116" t="inlineStr">
        <is>
          <t>Q4-2023</t>
        </is>
      </c>
      <c r="G78" s="116" t="n"/>
      <c r="H78" s="166" t="n"/>
      <c r="I78" s="1928" t="n">
        <v>18800</v>
      </c>
      <c r="J78" s="1928" t="n">
        <v>19600</v>
      </c>
      <c r="K78" s="1928">
        <f>AVERAGE(I78:J78)</f>
        <v/>
      </c>
      <c r="L78" s="166" t="n"/>
      <c r="M78" s="116">
        <f>IF(INDEX(MO_SNA_IsHistoricalPeriod,,MATCH(F78,MO_Common_ColumnHeader,0)),"Actual","Estimate")</f>
        <v/>
      </c>
      <c r="N78" s="1928">
        <f>IFERROR(INDEX(INDIRECT(E78),0,MATCH(F78,MO_Common_ColumnHeader,0)),"N/A")/30.8</f>
        <v/>
      </c>
      <c r="O78" s="166" t="n"/>
      <c r="P78" s="1929">
        <f>IF(ISNUMBER(N78),N78-K78,"N/A")</f>
        <v/>
      </c>
      <c r="Q78" s="1930">
        <f>IFERROR(IF(ISNUMBER(N78),(N78-K78)/ABS(K78),"N/A"),"N/A")</f>
        <v/>
      </c>
      <c r="R78" s="166" t="n"/>
      <c r="S78" s="119" t="n">
        <v>45218</v>
      </c>
      <c r="T78" s="209" t="inlineStr">
        <is>
          <t>Investor Presentation</t>
        </is>
      </c>
      <c r="U78" s="166" t="n"/>
    </row>
    <row r="79" ht="14.4" customHeight="1" s="876">
      <c r="A79" s="92" t="n">
        <v>177</v>
      </c>
      <c r="B79" s="116">
        <f>IF(INDEX(MO_SNA_IsHistoricalPeriod,,MATCH(F79,MO_Common_ColumnHeader,0)),"Historical","Forward")</f>
        <v/>
      </c>
      <c r="C79" s="166" t="n"/>
      <c r="D79" s="123">
        <f>INDEX(INDIRECT(E79),0,COLUMN(MO_Common_Column_A))</f>
        <v/>
      </c>
      <c r="E79" s="117" t="inlineStr">
        <is>
          <t>z_M2B13B0184_MO_OS_Weightedaverageforeignexchangedratereported</t>
        </is>
      </c>
      <c r="F79" s="116" t="inlineStr">
        <is>
          <t>Q4-2023</t>
        </is>
      </c>
      <c r="G79" s="116" t="n"/>
      <c r="H79" s="166" t="n"/>
      <c r="I79" s="1928" t="n">
        <v>32</v>
      </c>
      <c r="J79" s="1928" t="n">
        <v>32</v>
      </c>
      <c r="K79" s="1928">
        <f>AVERAGE(I79:J79)</f>
        <v/>
      </c>
      <c r="L79" s="166" t="n"/>
      <c r="M79" s="116">
        <f>IF(INDEX(MO_SNA_IsHistoricalPeriod,,MATCH(F79,MO_Common_ColumnHeader,0)),"Actual","Estimate")</f>
        <v/>
      </c>
      <c r="N79" s="1928">
        <f>IF(B79="Historical",INDEX(INDIRECT(E79),0,MATCH(F79,MO_Common_ColumnHeader,0)),"N/A")</f>
        <v/>
      </c>
      <c r="O79" s="166" t="n"/>
      <c r="P79" s="1929">
        <f>IF(ISNUMBER(N79),N79-K79,"N/A")</f>
        <v/>
      </c>
      <c r="Q79" s="1930">
        <f>IFERROR(IF(ISNUMBER(N79),(N79-K79)/ABS(K79),"N/A"),"N/A")</f>
        <v/>
      </c>
      <c r="R79" s="166" t="n"/>
      <c r="S79" s="119" t="n">
        <v>45218</v>
      </c>
      <c r="T79" s="209" t="inlineStr">
        <is>
          <t>Investor Presentation</t>
        </is>
      </c>
      <c r="U79" s="166" t="n"/>
    </row>
    <row r="80" ht="14.4" customHeight="1" s="876">
      <c r="A80" s="92" t="n">
        <v>176</v>
      </c>
      <c r="B80" s="116">
        <f>IF(INDEX(MO_SNA_IsHistoricalPeriod,,MATCH(F80,MO_Common_ColumnHeader,0)),"Historical","Forward")</f>
        <v/>
      </c>
      <c r="C80" s="166" t="n"/>
      <c r="D80" s="123">
        <f>INDEX(INDIRECT(E80),0,COLUMN(MO_Common_Column_A))</f>
        <v/>
      </c>
      <c r="E80" s="117" t="inlineStr">
        <is>
          <t>MO_MA_GM</t>
        </is>
      </c>
      <c r="F80" s="116" t="inlineStr">
        <is>
          <t>Q4-2023</t>
        </is>
      </c>
      <c r="G80" s="116" t="n"/>
      <c r="H80" s="166" t="n"/>
      <c r="I80" s="1933" t="n">
        <v>0.515</v>
      </c>
      <c r="J80" s="1933" t="n">
        <v>0.535</v>
      </c>
      <c r="K80" s="1933">
        <f>AVERAGE(I80:J80)</f>
        <v/>
      </c>
      <c r="L80" s="166" t="n"/>
      <c r="M80" s="116">
        <f>IF(INDEX(MO_SNA_IsHistoricalPeriod,,MATCH(F80,MO_Common_ColumnHeader,0)),"Actual","Estimate")</f>
        <v/>
      </c>
      <c r="N80" s="1933">
        <f>IFERROR(INDEX(INDIRECT(E80),0,MATCH(F80,MO_Common_ColumnHeader,0)),"N/A")</f>
        <v/>
      </c>
      <c r="O80" s="166" t="n"/>
      <c r="P80" s="1930">
        <f>IF(ISNUMBER(N80),N80-K80,"N/A")</f>
        <v/>
      </c>
      <c r="Q80" s="1930">
        <f>IFERROR(IF(ISNUMBER(N80),(N80-K80)/ABS(K80),"N/A"),"N/A")</f>
        <v/>
      </c>
      <c r="R80" s="166" t="n"/>
      <c r="S80" s="119" t="n">
        <v>45218</v>
      </c>
      <c r="T80" s="209" t="inlineStr">
        <is>
          <t>Investor Presentation</t>
        </is>
      </c>
      <c r="U80" s="166" t="n"/>
    </row>
    <row r="81" ht="14.4" customHeight="1" s="876">
      <c r="A81" s="92" t="n">
        <v>175</v>
      </c>
      <c r="B81" s="116">
        <f>IF(INDEX(MO_SNA_IsHistoricalPeriod,,MATCH(F81,MO_Common_ColumnHeader,0)),"Historical","Forward")</f>
        <v/>
      </c>
      <c r="C81" s="166" t="n"/>
      <c r="D81" s="123" t="inlineStr">
        <is>
          <t>Operating Profit Margin</t>
        </is>
      </c>
      <c r="E81" s="117" t="n"/>
      <c r="F81" s="116" t="inlineStr">
        <is>
          <t>Q4-2023</t>
        </is>
      </c>
      <c r="G81" s="116" t="n"/>
      <c r="H81" s="166" t="n"/>
      <c r="I81" s="1933" t="n">
        <v>0.395</v>
      </c>
      <c r="J81" s="1933" t="n">
        <v>0.415</v>
      </c>
      <c r="K81" s="1933">
        <f>AVERAGE(I81:J81)</f>
        <v/>
      </c>
      <c r="L81" s="166" t="n"/>
      <c r="M81" s="116">
        <f>IF(INDEX(MO_SNA_IsHistoricalPeriod,,MATCH(F81,MO_Common_ColumnHeader,0)),"Actual","Estimate")</f>
        <v/>
      </c>
      <c r="N81" s="1933">
        <f>INDEX(MO_RIS_EBIT,0,MATCH(F81,MO_Common_ColumnHeader,0))/INDEX(MO_RIS_REV,0,MATCH(F81,MO_Common_ColumnHeader,0))</f>
        <v/>
      </c>
      <c r="O81" s="166" t="n"/>
      <c r="P81" s="1930">
        <f>IF(ISNUMBER(N81),N81-K81,"N/A")</f>
        <v/>
      </c>
      <c r="Q81" s="1930">
        <f>IFERROR(IF(ISNUMBER(N81),(N81-K81)/ABS(K81),"N/A"),"N/A")</f>
        <v/>
      </c>
      <c r="R81" s="166" t="n"/>
      <c r="S81" s="119" t="n">
        <v>45218</v>
      </c>
      <c r="T81" s="209" t="inlineStr">
        <is>
          <t>Investor Presentation</t>
        </is>
      </c>
      <c r="U81" s="166" t="n"/>
    </row>
    <row r="82" ht="14.4" customHeight="1" s="876">
      <c r="A82" s="92" t="n">
        <v>174</v>
      </c>
      <c r="B82" s="166" t="n"/>
      <c r="C82" s="166" t="n"/>
      <c r="D82" s="102" t="n"/>
      <c r="E82" s="103" t="n"/>
      <c r="F82" s="166" t="n"/>
      <c r="G82" s="166" t="n"/>
      <c r="H82" s="166" t="n"/>
      <c r="I82" s="1301" t="n"/>
      <c r="J82" s="1301" t="n"/>
      <c r="K82" s="1301" t="n"/>
      <c r="L82" s="166" t="n"/>
      <c r="M82" s="166" t="n"/>
      <c r="N82" s="1301" t="n"/>
      <c r="O82" s="166" t="n"/>
      <c r="P82" s="1931" t="n"/>
      <c r="Q82" s="1932" t="n"/>
      <c r="R82" s="166" t="n"/>
      <c r="S82" s="107" t="n"/>
      <c r="T82" s="126" t="n"/>
      <c r="U82" s="166" t="n"/>
    </row>
    <row r="83" ht="14.4" customHeight="1" s="876">
      <c r="A83" s="92" t="n">
        <v>173</v>
      </c>
      <c r="B83" s="116">
        <f>IF(INDEX(MO_SNA_IsHistoricalPeriod,,MATCH(F83,MO_Common_ColumnHeader,0)),"Historical","Forward")</f>
        <v/>
      </c>
      <c r="C83" s="166" t="n"/>
      <c r="D83" s="123">
        <f>INDEX(INDIRECT(E83),0,COLUMN(MO_Common_Column_A))</f>
        <v/>
      </c>
      <c r="E83" s="117" t="inlineStr">
        <is>
          <t>MO_CFSum_Capex</t>
        </is>
      </c>
      <c r="F83" s="116" t="inlineStr">
        <is>
          <t>FY2023</t>
        </is>
      </c>
      <c r="G83" s="116" t="n"/>
      <c r="H83" s="166" t="n"/>
      <c r="I83" s="1928" t="n">
        <v>-36000</v>
      </c>
      <c r="J83" s="1928" t="n">
        <v>-32000</v>
      </c>
      <c r="K83" s="1928">
        <f>AVERAGE(I83:J83)</f>
        <v/>
      </c>
      <c r="L83" s="166" t="n"/>
      <c r="M83" s="116">
        <f>IF(INDEX(MO_SNA_IsHistoricalPeriod,,MATCH(F83,MO_Common_ColumnHeader,0)),"Actual","Estimate")</f>
        <v/>
      </c>
      <c r="N83" s="1928">
        <f>IFERROR(INDEX(INDIRECT(E83),0,MATCH(F83,MO_Common_ColumnHeader,0)),"N/A")*INDEX(MO_VA_FX_Average,0,MATCH(F83,MO_Common_ColumnHeader,0))</f>
        <v/>
      </c>
      <c r="O83" s="166" t="n"/>
      <c r="P83" s="1929">
        <f>IF(ISNUMBER(N83),N83-K83,"N/A")</f>
        <v/>
      </c>
      <c r="Q83" s="1930">
        <f>IFERROR(IF(ISNUMBER(N83),(N83-K83)/ABS(K83),"N/A"),"N/A")</f>
        <v/>
      </c>
      <c r="R83" s="166" t="n"/>
      <c r="S83" s="119" t="n">
        <v>45127</v>
      </c>
      <c r="T83" s="209" t="inlineStr">
        <is>
          <t>Transcript</t>
        </is>
      </c>
      <c r="U83" s="166" t="n"/>
    </row>
    <row r="84" ht="14.4" customHeight="1" s="876">
      <c r="A84" s="92" t="n">
        <v>172</v>
      </c>
      <c r="B84" s="166" t="n"/>
      <c r="C84" s="166" t="n"/>
      <c r="D84" s="102" t="n"/>
      <c r="E84" s="103" t="n"/>
      <c r="F84" s="166" t="n"/>
      <c r="G84" s="166" t="n"/>
      <c r="H84" s="166" t="n"/>
      <c r="I84" s="1301" t="n"/>
      <c r="J84" s="1301" t="n"/>
      <c r="K84" s="1301" t="n"/>
      <c r="L84" s="166" t="n"/>
      <c r="M84" s="166" t="n"/>
      <c r="N84" s="1301" t="n"/>
      <c r="O84" s="166" t="n"/>
      <c r="P84" s="1931" t="n"/>
      <c r="Q84" s="1932" t="n"/>
      <c r="R84" s="166" t="n"/>
      <c r="S84" s="107" t="n"/>
      <c r="T84" s="126" t="n"/>
      <c r="U84" s="166" t="n"/>
    </row>
    <row r="85" ht="14.4" customHeight="1" s="876">
      <c r="A85" s="92" t="n">
        <v>171</v>
      </c>
      <c r="B85" s="116">
        <f>IF(INDEX(MO_SNA_IsHistoricalPeriod,,MATCH(F85,MO_Common_ColumnHeader,0)),"Historical","Forward")</f>
        <v/>
      </c>
      <c r="C85" s="166" t="n"/>
      <c r="D85" s="123">
        <f>INDEX(INDIRECT(E85),0,COLUMN(MO_Common_Column_A))</f>
        <v/>
      </c>
      <c r="E85" s="117" t="inlineStr">
        <is>
          <t>MO_RIS_REV</t>
        </is>
      </c>
      <c r="F85" s="116" t="inlineStr">
        <is>
          <t>Q3-2023</t>
        </is>
      </c>
      <c r="G85" s="116" t="n"/>
      <c r="H85" s="166" t="n"/>
      <c r="I85" s="1928" t="n">
        <v>16700</v>
      </c>
      <c r="J85" s="1928" t="n">
        <v>17500</v>
      </c>
      <c r="K85" s="1928">
        <f>AVERAGE(I85:J85)</f>
        <v/>
      </c>
      <c r="L85" s="166" t="n"/>
      <c r="M85" s="116">
        <f>IF(INDEX(MO_SNA_IsHistoricalPeriod,,MATCH(F85,MO_Common_ColumnHeader,0)),"Actual","Estimate")</f>
        <v/>
      </c>
      <c r="N85" s="1928">
        <f>IFERROR(INDEX(INDIRECT(E85),0,MATCH(F85,MO_Common_ColumnHeader,0)),"N/A")/INDEX(z_M2B13B0184_MO_OS_Weightedaverageforeignexchangedratereported,0,MATCH(F85,MO_Common_ColumnHeader,0))</f>
        <v/>
      </c>
      <c r="O85" s="166" t="n"/>
      <c r="P85" s="1929">
        <f>IF(ISNUMBER(N85),N85-K85,"N/A")</f>
        <v/>
      </c>
      <c r="Q85" s="1930">
        <f>IFERROR(IF(ISNUMBER(N85),(N85-K85)/ABS(K85),"N/A"),"N/A")</f>
        <v/>
      </c>
      <c r="R85" s="166" t="n"/>
      <c r="S85" s="119" t="n">
        <v>45127</v>
      </c>
      <c r="T85" s="209" t="inlineStr">
        <is>
          <t>Investor Presentation</t>
        </is>
      </c>
      <c r="U85" s="166" t="n"/>
    </row>
    <row r="86" ht="14.4" customHeight="1" s="876">
      <c r="A86" s="92" t="n">
        <v>170</v>
      </c>
      <c r="B86" s="116">
        <f>IF(INDEX(MO_SNA_IsHistoricalPeriod,,MATCH(F86,MO_Common_ColumnHeader,0)),"Historical","Forward")</f>
        <v/>
      </c>
      <c r="C86" s="166" t="n"/>
      <c r="D86" s="123">
        <f>INDEX(INDIRECT(E86),0,COLUMN(MO_Common_Column_A))</f>
        <v/>
      </c>
      <c r="E86" s="117" t="inlineStr">
        <is>
          <t>z_M2B13B0184_MO_OS_Weightedaverageforeignexchangedratereported</t>
        </is>
      </c>
      <c r="F86" s="116" t="inlineStr">
        <is>
          <t>Q3-2023</t>
        </is>
      </c>
      <c r="G86" s="116" t="n"/>
      <c r="H86" s="166" t="n"/>
      <c r="I86" s="1928" t="n">
        <v>30.8</v>
      </c>
      <c r="J86" s="1928" t="n">
        <v>30.8</v>
      </c>
      <c r="K86" s="1928">
        <f>AVERAGE(I86:J86)</f>
        <v/>
      </c>
      <c r="L86" s="166" t="n"/>
      <c r="M86" s="116">
        <f>IF(INDEX(MO_SNA_IsHistoricalPeriod,,MATCH(F86,MO_Common_ColumnHeader,0)),"Actual","Estimate")</f>
        <v/>
      </c>
      <c r="N86" s="1928">
        <f>IFERROR(INDEX(INDIRECT(E86),0,MATCH(F86,MO_Common_ColumnHeader,0)),"N/A")</f>
        <v/>
      </c>
      <c r="O86" s="166" t="n"/>
      <c r="P86" s="1929">
        <f>IF(ISNUMBER(N86),N86-K86,"N/A")</f>
        <v/>
      </c>
      <c r="Q86" s="1930">
        <f>IFERROR(IF(ISNUMBER(N86),(N86-K86)/ABS(K86),"N/A"),"N/A")</f>
        <v/>
      </c>
      <c r="R86" s="166" t="n"/>
      <c r="S86" s="119" t="n">
        <v>45127</v>
      </c>
      <c r="T86" s="209" t="inlineStr">
        <is>
          <t>Investor Presentation</t>
        </is>
      </c>
      <c r="U86" s="166" t="n"/>
    </row>
    <row r="87" ht="14.4" customHeight="1" s="876">
      <c r="A87" s="92" t="n">
        <v>169</v>
      </c>
      <c r="B87" s="116">
        <f>IF(INDEX(MO_SNA_IsHistoricalPeriod,,MATCH(F87,MO_Common_ColumnHeader,0)),"Historical","Forward")</f>
        <v/>
      </c>
      <c r="C87" s="166" t="n"/>
      <c r="D87" s="123">
        <f>INDEX(INDIRECT(E87),0,COLUMN(MO_Common_Column_A))</f>
        <v/>
      </c>
      <c r="E87" s="117" t="inlineStr">
        <is>
          <t>MO_MA_GM</t>
        </is>
      </c>
      <c r="F87" s="116" t="inlineStr">
        <is>
          <t>Q3-2023</t>
        </is>
      </c>
      <c r="G87" s="116" t="n"/>
      <c r="H87" s="166" t="n"/>
      <c r="I87" s="1933" t="n">
        <v>0.515</v>
      </c>
      <c r="J87" s="1933" t="n">
        <v>0.535</v>
      </c>
      <c r="K87" s="1933">
        <f>AVERAGE(I87:J87)</f>
        <v/>
      </c>
      <c r="L87" s="166" t="n"/>
      <c r="M87" s="116">
        <f>IF(INDEX(MO_SNA_IsHistoricalPeriod,,MATCH(F87,MO_Common_ColumnHeader,0)),"Actual","Estimate")</f>
        <v/>
      </c>
      <c r="N87" s="1933">
        <f>IFERROR(INDEX(INDIRECT(E87),0,MATCH(F87,MO_Common_ColumnHeader,0)),"N/A")</f>
        <v/>
      </c>
      <c r="O87" s="166" t="n"/>
      <c r="P87" s="1930">
        <f>IF(ISNUMBER(N87),N87-K87,"N/A")</f>
        <v/>
      </c>
      <c r="Q87" s="1930">
        <f>IFERROR(IF(ISNUMBER(N87),(N87-K87)/ABS(K87),"N/A"),"N/A")</f>
        <v/>
      </c>
      <c r="R87" s="166" t="n"/>
      <c r="S87" s="119" t="n">
        <v>45127</v>
      </c>
      <c r="T87" s="209" t="inlineStr">
        <is>
          <t>Investor Presentation</t>
        </is>
      </c>
      <c r="U87" s="166" t="n"/>
    </row>
    <row r="88" ht="14.4" customHeight="1" s="876">
      <c r="A88" s="92" t="n">
        <v>168</v>
      </c>
      <c r="B88" s="116">
        <f>IF(INDEX(MO_SNA_IsHistoricalPeriod,,MATCH(F88,MO_Common_ColumnHeader,0)),"Historical","Forward")</f>
        <v/>
      </c>
      <c r="C88" s="166" t="n"/>
      <c r="D88" s="123" t="inlineStr">
        <is>
          <t>Operating Profit Margin</t>
        </is>
      </c>
      <c r="E88" s="117" t="n"/>
      <c r="F88" s="116" t="inlineStr">
        <is>
          <t>Q3-2023</t>
        </is>
      </c>
      <c r="G88" s="116" t="n"/>
      <c r="H88" s="166" t="n"/>
      <c r="I88" s="1933" t="n">
        <v>0.38</v>
      </c>
      <c r="J88" s="1933" t="n">
        <v>0.4</v>
      </c>
      <c r="K88" s="1933">
        <f>AVERAGE(I88:J88)</f>
        <v/>
      </c>
      <c r="L88" s="166" t="n"/>
      <c r="M88" s="116">
        <f>IF(INDEX(MO_SNA_IsHistoricalPeriod,,MATCH(F88,MO_Common_ColumnHeader,0)),"Actual","Estimate")</f>
        <v/>
      </c>
      <c r="N88" s="1933">
        <f>INDEX(MO_RIS_EBIT,0,MATCH(F88,MO_Common_ColumnHeader,0))/INDEX(MO_RIS_REV,0,MATCH(F88,MO_Common_ColumnHeader,0))</f>
        <v/>
      </c>
      <c r="O88" s="166" t="n"/>
      <c r="P88" s="1930">
        <f>IF(ISNUMBER(N88),N88-K88,"N/A")</f>
        <v/>
      </c>
      <c r="Q88" s="1930">
        <f>IFERROR(IF(ISNUMBER(N88),(N88-K88)/ABS(K88),"N/A"),"N/A")</f>
        <v/>
      </c>
      <c r="R88" s="166" t="n"/>
      <c r="S88" s="119" t="n">
        <v>45127</v>
      </c>
      <c r="T88" s="209" t="inlineStr">
        <is>
          <t>Investor Presentation</t>
        </is>
      </c>
      <c r="U88" s="166" t="n"/>
    </row>
    <row r="89" ht="14.4" customHeight="1" s="876">
      <c r="A89" s="92" t="n">
        <v>167</v>
      </c>
      <c r="B89" s="166" t="n"/>
      <c r="C89" s="166" t="n"/>
      <c r="D89" s="102" t="n"/>
      <c r="E89" s="103" t="n"/>
      <c r="F89" s="166" t="n"/>
      <c r="G89" s="166" t="n"/>
      <c r="H89" s="166" t="n"/>
      <c r="I89" s="1301" t="n"/>
      <c r="J89" s="1301" t="n"/>
      <c r="K89" s="1301" t="n"/>
      <c r="L89" s="166" t="n"/>
      <c r="M89" s="166" t="n"/>
      <c r="N89" s="1301" t="n"/>
      <c r="O89" s="166" t="n"/>
      <c r="P89" s="1931" t="n"/>
      <c r="Q89" s="1932" t="n"/>
      <c r="R89" s="166" t="n"/>
      <c r="S89" s="107" t="n"/>
      <c r="T89" s="126" t="n"/>
      <c r="U89" s="166" t="n"/>
    </row>
    <row r="90" ht="14.4" customHeight="1" s="876">
      <c r="A90" s="92" t="n">
        <v>166</v>
      </c>
      <c r="B90" s="116">
        <f>IF(INDEX(MO_SNA_IsHistoricalPeriod,,MATCH(F90,MO_Common_ColumnHeader,0)),"Historical","Forward")</f>
        <v/>
      </c>
      <c r="C90" s="166" t="n"/>
      <c r="D90" s="123">
        <f>INDEX(INDIRECT(E90),0,COLUMN(MO_Common_Column_A))</f>
        <v/>
      </c>
      <c r="E90" s="117" t="inlineStr">
        <is>
          <t>MO_CFSum_Capex</t>
        </is>
      </c>
      <c r="F90" s="116" t="inlineStr">
        <is>
          <t>FY2023</t>
        </is>
      </c>
      <c r="G90" s="116" t="n"/>
      <c r="H90" s="166" t="n"/>
      <c r="I90" s="1928" t="n">
        <v>-36000</v>
      </c>
      <c r="J90" s="1928" t="n">
        <v>-32000</v>
      </c>
      <c r="K90" s="1928">
        <f>AVERAGE(I90:J90)</f>
        <v/>
      </c>
      <c r="L90" s="166" t="n"/>
      <c r="M90" s="116">
        <f>IF(INDEX(MO_SNA_IsHistoricalPeriod,,MATCH(F90,MO_Common_ColumnHeader,0)),"Actual","Estimate")</f>
        <v/>
      </c>
      <c r="N90" s="1928">
        <f>IFERROR(INDEX(INDIRECT(E90),0,MATCH(F90,MO_Common_ColumnHeader,0)),"N/A")*INDEX(MO_VA_FX_Average,0,MATCH(F90,MO_Common_ColumnHeader,0))</f>
        <v/>
      </c>
      <c r="O90" s="166" t="n"/>
      <c r="P90" s="1929">
        <f>IF(ISNUMBER(N90),N90-K90,"N/A")</f>
        <v/>
      </c>
      <c r="Q90" s="1930">
        <f>IFERROR(IF(ISNUMBER(N90),(N90-K90)/ABS(K90),"N/A"),"N/A")</f>
        <v/>
      </c>
      <c r="R90" s="166" t="n"/>
      <c r="S90" s="119" t="n">
        <v>45036</v>
      </c>
      <c r="T90" s="209" t="inlineStr">
        <is>
          <t>Transcript</t>
        </is>
      </c>
      <c r="U90" s="166" t="n"/>
    </row>
    <row r="91" ht="14.4" customHeight="1" s="876">
      <c r="A91" s="92" t="n">
        <v>165</v>
      </c>
      <c r="B91" s="166" t="n"/>
      <c r="C91" s="166" t="n"/>
      <c r="D91" s="102" t="n"/>
      <c r="E91" s="103" t="n"/>
      <c r="F91" s="166" t="n"/>
      <c r="G91" s="166" t="n"/>
      <c r="H91" s="166" t="n"/>
      <c r="I91" s="1301" t="n"/>
      <c r="J91" s="1301" t="n"/>
      <c r="K91" s="1301" t="n"/>
      <c r="L91" s="166" t="n"/>
      <c r="M91" s="166" t="n"/>
      <c r="N91" s="1301" t="n"/>
      <c r="O91" s="166" t="n"/>
      <c r="P91" s="1931" t="n"/>
      <c r="Q91" s="1932" t="n"/>
      <c r="R91" s="166" t="n"/>
      <c r="S91" s="107" t="n"/>
      <c r="T91" s="126" t="n"/>
      <c r="U91" s="166" t="n"/>
    </row>
    <row r="92" ht="14.4" customHeight="1" s="876">
      <c r="A92" s="92" t="n">
        <v>164</v>
      </c>
      <c r="B92" s="116">
        <f>IF(INDEX(MO_SNA_IsHistoricalPeriod,,MATCH(F92,MO_Common_ColumnHeader,0)),"Historical","Forward")</f>
        <v/>
      </c>
      <c r="C92" s="166" t="n"/>
      <c r="D92" s="123">
        <f>INDEX(INDIRECT(E92),0,COLUMN(MO_Common_Column_A))</f>
        <v/>
      </c>
      <c r="E92" s="117" t="inlineStr">
        <is>
          <t>MO_RIS_REV</t>
        </is>
      </c>
      <c r="F92" s="116" t="inlineStr">
        <is>
          <t>Q2-2023</t>
        </is>
      </c>
      <c r="G92" s="116" t="n"/>
      <c r="H92" s="166" t="n"/>
      <c r="I92" s="1928" t="n">
        <v>15200</v>
      </c>
      <c r="J92" s="1928" t="n">
        <v>16000</v>
      </c>
      <c r="K92" s="1928">
        <f>AVERAGE(I92:J92)</f>
        <v/>
      </c>
      <c r="L92" s="166" t="n"/>
      <c r="M92" s="116">
        <f>IF(INDEX(MO_SNA_IsHistoricalPeriod,,MATCH(F92,MO_Common_ColumnHeader,0)),"Actual","Estimate")</f>
        <v/>
      </c>
      <c r="N92" s="1928">
        <f>IFERROR(INDEX(INDIRECT(E92),0,MATCH(F92,MO_Common_ColumnHeader,0)),"N/A")/INDEX(z_M2B13B0184_MO_OS_Weightedaverageforeignexchangedratereported,0,MATCH(F92,MO_Common_ColumnHeader,0))</f>
        <v/>
      </c>
      <c r="O92" s="166" t="n"/>
      <c r="P92" s="1929">
        <f>IF(ISNUMBER(N92),N92-K92,"N/A")</f>
        <v/>
      </c>
      <c r="Q92" s="1930">
        <f>IFERROR(IF(ISNUMBER(N92),(N92-K92)/ABS(K92),"N/A"),"N/A")</f>
        <v/>
      </c>
      <c r="R92" s="166" t="n"/>
      <c r="S92" s="119" t="n">
        <v>45036</v>
      </c>
      <c r="T92" s="209" t="inlineStr">
        <is>
          <t>Investor Presentation</t>
        </is>
      </c>
      <c r="U92" s="166" t="n"/>
    </row>
    <row r="93" ht="14.4" customHeight="1" s="876">
      <c r="A93" s="92" t="n">
        <v>163</v>
      </c>
      <c r="B93" s="116">
        <f>IF(INDEX(MO_SNA_IsHistoricalPeriod,,MATCH(F93,MO_Common_ColumnHeader,0)),"Historical","Forward")</f>
        <v/>
      </c>
      <c r="C93" s="166" t="n"/>
      <c r="D93" s="123">
        <f>INDEX(INDIRECT(E93),0,COLUMN(MO_Common_Column_A))</f>
        <v/>
      </c>
      <c r="E93" s="117" t="inlineStr">
        <is>
          <t>z_M2B13B0184_MO_OS_Weightedaverageforeignexchangedratereported</t>
        </is>
      </c>
      <c r="F93" s="116" t="inlineStr">
        <is>
          <t>Q2-2023</t>
        </is>
      </c>
      <c r="G93" s="116" t="n"/>
      <c r="H93" s="166" t="n"/>
      <c r="I93" s="1928" t="n">
        <v>30.4</v>
      </c>
      <c r="J93" s="1928" t="n">
        <v>30.4</v>
      </c>
      <c r="K93" s="1928">
        <f>AVERAGE(I93:J93)</f>
        <v/>
      </c>
      <c r="L93" s="166" t="n"/>
      <c r="M93" s="116">
        <f>IF(INDEX(MO_SNA_IsHistoricalPeriod,,MATCH(F93,MO_Common_ColumnHeader,0)),"Actual","Estimate")</f>
        <v/>
      </c>
      <c r="N93" s="1928">
        <f>IFERROR(INDEX(INDIRECT(E93),0,MATCH(F93,MO_Common_ColumnHeader,0)),"N/A")</f>
        <v/>
      </c>
      <c r="O93" s="166" t="n"/>
      <c r="P93" s="1929">
        <f>IF(ISNUMBER(N93),N93-K93,"N/A")</f>
        <v/>
      </c>
      <c r="Q93" s="1930">
        <f>IFERROR(IF(ISNUMBER(N93),(N93-K93)/ABS(K93),"N/A"),"N/A")</f>
        <v/>
      </c>
      <c r="R93" s="166" t="n"/>
      <c r="S93" s="119" t="n">
        <v>45036</v>
      </c>
      <c r="T93" s="209" t="inlineStr">
        <is>
          <t>Investor Presentation</t>
        </is>
      </c>
      <c r="U93" s="166" t="n"/>
    </row>
    <row r="94" ht="14.4" customHeight="1" s="876">
      <c r="A94" s="92" t="n">
        <v>162</v>
      </c>
      <c r="B94" s="116">
        <f>IF(INDEX(MO_SNA_IsHistoricalPeriod,,MATCH(F94,MO_Common_ColumnHeader,0)),"Historical","Forward")</f>
        <v/>
      </c>
      <c r="C94" s="166" t="n"/>
      <c r="D94" s="123">
        <f>INDEX(INDIRECT(E94),0,COLUMN(MO_Common_Column_A))</f>
        <v/>
      </c>
      <c r="E94" s="117" t="inlineStr">
        <is>
          <t>MO_MA_GM</t>
        </is>
      </c>
      <c r="F94" s="116" t="inlineStr">
        <is>
          <t>Q2-2023</t>
        </is>
      </c>
      <c r="G94" s="116" t="n"/>
      <c r="H94" s="166" t="n"/>
      <c r="I94" s="1933" t="n">
        <v>0.52</v>
      </c>
      <c r="J94" s="1933" t="n">
        <v>0.54</v>
      </c>
      <c r="K94" s="1933">
        <f>AVERAGE(I94:J94)</f>
        <v/>
      </c>
      <c r="L94" s="166" t="n"/>
      <c r="M94" s="116">
        <f>IF(INDEX(MO_SNA_IsHistoricalPeriod,,MATCH(F94,MO_Common_ColumnHeader,0)),"Actual","Estimate")</f>
        <v/>
      </c>
      <c r="N94" s="1933">
        <f>IFERROR(INDEX(INDIRECT(E94),0,MATCH(F94,MO_Common_ColumnHeader,0)),"N/A")</f>
        <v/>
      </c>
      <c r="O94" s="166" t="n"/>
      <c r="P94" s="1930">
        <f>IF(ISNUMBER(N94),N94-K94,"N/A")</f>
        <v/>
      </c>
      <c r="Q94" s="1930">
        <f>IFERROR(IF(ISNUMBER(N94),(N94-K94)/ABS(K94),"N/A"),"N/A")</f>
        <v/>
      </c>
      <c r="R94" s="166" t="n"/>
      <c r="S94" s="119" t="n">
        <v>45036</v>
      </c>
      <c r="T94" s="209" t="inlineStr">
        <is>
          <t>Investor Presentation</t>
        </is>
      </c>
      <c r="U94" s="166" t="n"/>
    </row>
    <row r="95" ht="14.4" customHeight="1" s="876">
      <c r="A95" s="92" t="n">
        <v>161</v>
      </c>
      <c r="B95" s="116">
        <f>IF(INDEX(MO_SNA_IsHistoricalPeriod,,MATCH(F95,MO_Common_ColumnHeader,0)),"Historical","Forward")</f>
        <v/>
      </c>
      <c r="C95" s="166" t="n"/>
      <c r="D95" s="123" t="inlineStr">
        <is>
          <t>Operating Profit Margin</t>
        </is>
      </c>
      <c r="E95" s="117" t="n"/>
      <c r="F95" s="116" t="inlineStr">
        <is>
          <t>Q2-2023</t>
        </is>
      </c>
      <c r="G95" s="116" t="n"/>
      <c r="H95" s="166" t="n"/>
      <c r="I95" s="1933" t="n">
        <v>0.395</v>
      </c>
      <c r="J95" s="1933" t="n">
        <v>0.415</v>
      </c>
      <c r="K95" s="1933">
        <f>AVERAGE(I95:J95)</f>
        <v/>
      </c>
      <c r="L95" s="166" t="n"/>
      <c r="M95" s="116">
        <f>IF(INDEX(MO_SNA_IsHistoricalPeriod,,MATCH(F95,MO_Common_ColumnHeader,0)),"Actual","Estimate")</f>
        <v/>
      </c>
      <c r="N95" s="1933">
        <f>INDEX(MO_RIS_EBIT,0,MATCH(F95,MO_Common_ColumnHeader,0))/INDEX(MO_RIS_REV,0,MATCH(F95,MO_Common_ColumnHeader,0))</f>
        <v/>
      </c>
      <c r="O95" s="166" t="n"/>
      <c r="P95" s="1930">
        <f>IF(ISNUMBER(N95),N95-K95,"N/A")</f>
        <v/>
      </c>
      <c r="Q95" s="1930">
        <f>IFERROR(IF(ISNUMBER(N95),(N95-K95)/ABS(K95),"N/A"),"N/A")</f>
        <v/>
      </c>
      <c r="R95" s="166" t="n"/>
      <c r="S95" s="119" t="n">
        <v>45036</v>
      </c>
      <c r="T95" s="209" t="inlineStr">
        <is>
          <t>Investor Presentation</t>
        </is>
      </c>
      <c r="U95" s="166" t="n"/>
    </row>
    <row r="96" ht="14.4" customHeight="1" s="876">
      <c r="A96" s="92" t="n">
        <v>160</v>
      </c>
      <c r="B96" s="166" t="n"/>
      <c r="C96" s="166" t="n"/>
      <c r="D96" s="102" t="n"/>
      <c r="E96" s="103" t="n"/>
      <c r="F96" s="166" t="n"/>
      <c r="G96" s="166" t="n"/>
      <c r="H96" s="166" t="n"/>
      <c r="I96" s="1301" t="n"/>
      <c r="J96" s="1301" t="n"/>
      <c r="K96" s="1301" t="n"/>
      <c r="L96" s="166" t="n"/>
      <c r="M96" s="166" t="n"/>
      <c r="N96" s="1301" t="n"/>
      <c r="O96" s="166" t="n"/>
      <c r="P96" s="1931" t="n"/>
      <c r="Q96" s="1932" t="n"/>
      <c r="R96" s="166" t="n"/>
      <c r="S96" s="107" t="n"/>
      <c r="T96" s="126" t="n"/>
      <c r="U96" s="166" t="n"/>
    </row>
    <row r="97" ht="14.4" customHeight="1" s="876">
      <c r="A97" s="92" t="n">
        <v>159</v>
      </c>
      <c r="B97" s="116">
        <f>IF(INDEX(MO_SNA_IsHistoricalPeriod,,MATCH(F97,MO_Common_ColumnHeader,0)),"Historical","Forward")</f>
        <v/>
      </c>
      <c r="C97" s="166" t="n"/>
      <c r="D97" s="123">
        <f>INDEX(INDIRECT(E97),0,COLUMN(MO_Common_Column_A))</f>
        <v/>
      </c>
      <c r="E97" s="117" t="inlineStr">
        <is>
          <t>MO_CFSum_Capex</t>
        </is>
      </c>
      <c r="F97" s="116" t="inlineStr">
        <is>
          <t>FY2023</t>
        </is>
      </c>
      <c r="G97" s="116" t="n"/>
      <c r="H97" s="166" t="n"/>
      <c r="I97" s="1928" t="n">
        <v>-36000</v>
      </c>
      <c r="J97" s="1928" t="n">
        <v>-32000</v>
      </c>
      <c r="K97" s="1928">
        <f>AVERAGE(I97:J97)</f>
        <v/>
      </c>
      <c r="L97" s="166" t="n"/>
      <c r="M97" s="116">
        <f>IF(INDEX(MO_SNA_IsHistoricalPeriod,,MATCH(F97,MO_Common_ColumnHeader,0)),"Actual","Estimate")</f>
        <v/>
      </c>
      <c r="N97" s="1928">
        <f>IFERROR(INDEX(INDIRECT(E97),0,MATCH(F97,MO_Common_ColumnHeader,0)),"N/A")*INDEX(MO_VA_FX_Average,0,MATCH(F97,MO_Common_ColumnHeader,0))</f>
        <v/>
      </c>
      <c r="O97" s="166" t="n"/>
      <c r="P97" s="1929">
        <f>IF(ISNUMBER(N97),N97-K97,"N/A")</f>
        <v/>
      </c>
      <c r="Q97" s="1930">
        <f>IFERROR(IF(ISNUMBER(N97),(N97-K97)/ABS(K97),"N/A"),"N/A")</f>
        <v/>
      </c>
      <c r="R97" s="166" t="n"/>
      <c r="S97" s="119" t="n">
        <v>44937</v>
      </c>
      <c r="T97" s="209" t="inlineStr">
        <is>
          <t>Transcript</t>
        </is>
      </c>
      <c r="U97" s="166" t="n"/>
    </row>
    <row r="98" ht="14.4" customHeight="1" s="876">
      <c r="A98" s="92" t="n">
        <v>158</v>
      </c>
      <c r="B98" s="116">
        <f>IF(INDEX(MO_SNA_IsHistoricalPeriod,,MATCH(F98,MO_Common_ColumnHeader,0)),"Historical","Forward")</f>
        <v/>
      </c>
      <c r="C98" s="166" t="n"/>
      <c r="D98" s="123">
        <f>INDEX(INDIRECT(E98),0,COLUMN(MO_Common_Column_A))</f>
        <v/>
      </c>
      <c r="E98" s="117" t="inlineStr">
        <is>
          <t>MO_RIS_TaxRate_Current</t>
        </is>
      </c>
      <c r="F98" s="116" t="inlineStr">
        <is>
          <t>FY2023</t>
        </is>
      </c>
      <c r="G98" s="116" t="n"/>
      <c r="H98" s="166" t="n"/>
      <c r="I98" s="1933" t="n">
        <v>0.15</v>
      </c>
      <c r="J98" s="1933" t="n">
        <v>0.15</v>
      </c>
      <c r="K98" s="1933">
        <f>AVERAGE(I98:J98)</f>
        <v/>
      </c>
      <c r="L98" s="166" t="n"/>
      <c r="M98" s="116">
        <f>IF(INDEX(MO_SNA_IsHistoricalPeriod,,MATCH(F98,MO_Common_ColumnHeader,0)),"Actual","Estimate")</f>
        <v/>
      </c>
      <c r="N98" s="1933">
        <f>IFERROR(INDEX(INDIRECT(E98),0,MATCH(F98,MO_Common_ColumnHeader,0)),"N/A")</f>
        <v/>
      </c>
      <c r="O98" s="166" t="n"/>
      <c r="P98" s="1930">
        <f>IF(ISNUMBER(N98),N98-K98,"N/A")</f>
        <v/>
      </c>
      <c r="Q98" s="1930">
        <f>IFERROR(IF(ISNUMBER(N98),(N98-K98)/ABS(K98),"N/A"),"N/A")</f>
        <v/>
      </c>
      <c r="R98" s="166" t="n"/>
      <c r="S98" s="119" t="n">
        <v>44937</v>
      </c>
      <c r="T98" s="209" t="inlineStr">
        <is>
          <t>Transcript</t>
        </is>
      </c>
      <c r="U98" s="166" t="n"/>
    </row>
    <row r="99" ht="14.4" customHeight="1" s="876">
      <c r="A99" s="92" t="n">
        <v>157</v>
      </c>
      <c r="B99" s="166" t="n"/>
      <c r="C99" s="166" t="n"/>
      <c r="D99" s="102" t="n"/>
      <c r="E99" s="103" t="n"/>
      <c r="F99" s="166" t="n"/>
      <c r="G99" s="166" t="n"/>
      <c r="H99" s="166" t="n"/>
      <c r="I99" s="1301" t="n"/>
      <c r="J99" s="1301" t="n"/>
      <c r="K99" s="1301" t="n"/>
      <c r="L99" s="166" t="n"/>
      <c r="M99" s="166" t="n"/>
      <c r="N99" s="1301" t="n"/>
      <c r="O99" s="166" t="n"/>
      <c r="P99" s="1931" t="n"/>
      <c r="Q99" s="1932" t="n"/>
      <c r="R99" s="166" t="n"/>
      <c r="S99" s="107" t="n"/>
      <c r="T99" s="126" t="n"/>
      <c r="U99" s="166" t="n"/>
    </row>
    <row r="100" ht="14.4" customHeight="1" s="876">
      <c r="A100" s="92" t="n">
        <v>156</v>
      </c>
      <c r="B100" s="116">
        <f>IF(INDEX(MO_SNA_IsHistoricalPeriod,,MATCH(F100,MO_Common_ColumnHeader,0)),"Historical","Forward")</f>
        <v/>
      </c>
      <c r="C100" s="166" t="n"/>
      <c r="D100" s="123">
        <f>INDEX(INDIRECT(E100),0,COLUMN(MO_Common_Column_A))</f>
        <v/>
      </c>
      <c r="E100" s="117" t="inlineStr">
        <is>
          <t>MO_RIS_REV</t>
        </is>
      </c>
      <c r="F100" s="116" t="inlineStr">
        <is>
          <t>Q1-2023</t>
        </is>
      </c>
      <c r="G100" s="116" t="n"/>
      <c r="H100" s="166" t="n"/>
      <c r="I100" s="1928" t="n">
        <v>16700</v>
      </c>
      <c r="J100" s="1928" t="n">
        <v>17500</v>
      </c>
      <c r="K100" s="1928">
        <f>AVERAGE(I100:J100)</f>
        <v/>
      </c>
      <c r="L100" s="166" t="n"/>
      <c r="M100" s="116">
        <f>IF(INDEX(MO_SNA_IsHistoricalPeriod,,MATCH(F100,MO_Common_ColumnHeader,0)),"Actual","Estimate")</f>
        <v/>
      </c>
      <c r="N100" s="1928">
        <f>IFERROR(INDEX(INDIRECT(E100),0,MATCH(F100,MO_Common_ColumnHeader,0)),"N/A")/INDEX(z_M2B13B0184_MO_OS_Weightedaverageforeignexchangedratereported,0,MATCH(F100,MO_Common_ColumnHeader,0))</f>
        <v/>
      </c>
      <c r="O100" s="166" t="n"/>
      <c r="P100" s="1929">
        <f>IF(ISNUMBER(N100),N100-K100,"N/A")</f>
        <v/>
      </c>
      <c r="Q100" s="1930">
        <f>IFERROR(IF(ISNUMBER(N100),(N100-K100)/ABS(K100),"N/A"),"N/A")</f>
        <v/>
      </c>
      <c r="R100" s="166" t="n"/>
      <c r="S100" s="119" t="n">
        <v>44937</v>
      </c>
      <c r="T100" s="209" t="inlineStr">
        <is>
          <t>Investor Presentation</t>
        </is>
      </c>
      <c r="U100" s="166" t="n"/>
    </row>
    <row r="101" ht="14.4" customHeight="1" s="876">
      <c r="A101" s="92" t="n">
        <v>155</v>
      </c>
      <c r="B101" s="116">
        <f>IF(INDEX(MO_SNA_IsHistoricalPeriod,,MATCH(F101,MO_Common_ColumnHeader,0)),"Historical","Forward")</f>
        <v/>
      </c>
      <c r="C101" s="166" t="n"/>
      <c r="D101" s="123">
        <f>INDEX(INDIRECT(E101),0,COLUMN(MO_Common_Column_A))</f>
        <v/>
      </c>
      <c r="E101" s="117" t="inlineStr">
        <is>
          <t>z_M2B13B0184_MO_OS_Weightedaverageforeignexchangedratereported</t>
        </is>
      </c>
      <c r="F101" s="116" t="inlineStr">
        <is>
          <t>Q1-2023</t>
        </is>
      </c>
      <c r="G101" s="116" t="n"/>
      <c r="H101" s="166" t="n"/>
      <c r="I101" s="1928" t="n">
        <v>30.7</v>
      </c>
      <c r="J101" s="1928" t="n">
        <v>30.7</v>
      </c>
      <c r="K101" s="1928">
        <f>AVERAGE(I101:J101)</f>
        <v/>
      </c>
      <c r="L101" s="166" t="n"/>
      <c r="M101" s="116">
        <f>IF(INDEX(MO_SNA_IsHistoricalPeriod,,MATCH(F101,MO_Common_ColumnHeader,0)),"Actual","Estimate")</f>
        <v/>
      </c>
      <c r="N101" s="1928">
        <f>IFERROR(INDEX(INDIRECT(E101),0,MATCH(F101,MO_Common_ColumnHeader,0)),"N/A")</f>
        <v/>
      </c>
      <c r="O101" s="166" t="n"/>
      <c r="P101" s="1929">
        <f>IF(ISNUMBER(N101),N101-K101,"N/A")</f>
        <v/>
      </c>
      <c r="Q101" s="1930">
        <f>IFERROR(IF(ISNUMBER(N101),(N101-K101)/ABS(K101),"N/A"),"N/A")</f>
        <v/>
      </c>
      <c r="R101" s="166" t="n"/>
      <c r="S101" s="119" t="n">
        <v>44937</v>
      </c>
      <c r="T101" s="209" t="inlineStr">
        <is>
          <t>Investor Presentation</t>
        </is>
      </c>
      <c r="U101" s="166" t="n"/>
    </row>
    <row r="102" ht="14.4" customHeight="1" s="876">
      <c r="A102" s="92" t="n">
        <v>154</v>
      </c>
      <c r="B102" s="116">
        <f>IF(INDEX(MO_SNA_IsHistoricalPeriod,,MATCH(F102,MO_Common_ColumnHeader,0)),"Historical","Forward")</f>
        <v/>
      </c>
      <c r="C102" s="166" t="n"/>
      <c r="D102" s="123">
        <f>INDEX(INDIRECT(E102),0,COLUMN(MO_Common_Column_A))</f>
        <v/>
      </c>
      <c r="E102" s="117" t="inlineStr">
        <is>
          <t>MO_MA_GM</t>
        </is>
      </c>
      <c r="F102" s="116" t="inlineStr">
        <is>
          <t>Q1-2023</t>
        </is>
      </c>
      <c r="G102" s="116" t="n"/>
      <c r="H102" s="166" t="n"/>
      <c r="I102" s="1933" t="n">
        <v>0.535</v>
      </c>
      <c r="J102" s="1933" t="n">
        <v>0.555</v>
      </c>
      <c r="K102" s="1933">
        <f>AVERAGE(I102:J102)</f>
        <v/>
      </c>
      <c r="L102" s="166" t="n"/>
      <c r="M102" s="116">
        <f>IF(INDEX(MO_SNA_IsHistoricalPeriod,,MATCH(F102,MO_Common_ColumnHeader,0)),"Actual","Estimate")</f>
        <v/>
      </c>
      <c r="N102" s="1933">
        <f>IFERROR(INDEX(INDIRECT(E102),0,MATCH(F102,MO_Common_ColumnHeader,0)),"N/A")</f>
        <v/>
      </c>
      <c r="O102" s="166" t="n"/>
      <c r="P102" s="1930">
        <f>IF(ISNUMBER(N102),N102-K102,"N/A")</f>
        <v/>
      </c>
      <c r="Q102" s="1930">
        <f>IFERROR(IF(ISNUMBER(N102),(N102-K102)/ABS(K102),"N/A"),"N/A")</f>
        <v/>
      </c>
      <c r="R102" s="166" t="n"/>
      <c r="S102" s="119" t="n">
        <v>44937</v>
      </c>
      <c r="T102" s="209" t="inlineStr">
        <is>
          <t>Investor Presentation</t>
        </is>
      </c>
      <c r="U102" s="166" t="n"/>
    </row>
    <row r="103" ht="14.4" customHeight="1" s="876">
      <c r="A103" s="92" t="n">
        <v>153</v>
      </c>
      <c r="B103" s="116">
        <f>IF(INDEX(MO_SNA_IsHistoricalPeriod,,MATCH(F103,MO_Common_ColumnHeader,0)),"Historical","Forward")</f>
        <v/>
      </c>
      <c r="C103" s="166" t="n"/>
      <c r="D103" s="123" t="inlineStr">
        <is>
          <t>Operating Profit Margin</t>
        </is>
      </c>
      <c r="E103" s="117" t="n"/>
      <c r="F103" s="116" t="inlineStr">
        <is>
          <t>Q1-2023</t>
        </is>
      </c>
      <c r="G103" s="116" t="n"/>
      <c r="H103" s="166" t="n"/>
      <c r="I103" s="1933" t="n">
        <v>0.415</v>
      </c>
      <c r="J103" s="1933" t="n">
        <v>0.435</v>
      </c>
      <c r="K103" s="1933">
        <f>AVERAGE(I103:J103)</f>
        <v/>
      </c>
      <c r="L103" s="166" t="n"/>
      <c r="M103" s="116">
        <f>IF(INDEX(MO_SNA_IsHistoricalPeriod,,MATCH(F103,MO_Common_ColumnHeader,0)),"Actual","Estimate")</f>
        <v/>
      </c>
      <c r="N103" s="1933">
        <f>INDEX(MO_RIS_EBIT,0,MATCH(F103,MO_Common_ColumnHeader,0))/INDEX(MO_RIS_REV,0,MATCH(F103,MO_Common_ColumnHeader,0))</f>
        <v/>
      </c>
      <c r="O103" s="166" t="n"/>
      <c r="P103" s="1930">
        <f>IF(ISNUMBER(N103),N103-K103,"N/A")</f>
        <v/>
      </c>
      <c r="Q103" s="1930">
        <f>IFERROR(IF(ISNUMBER(N103),(N103-K103)/ABS(K103),"N/A"),"N/A")</f>
        <v/>
      </c>
      <c r="R103" s="166" t="n"/>
      <c r="S103" s="119" t="n">
        <v>44937</v>
      </c>
      <c r="T103" s="209" t="inlineStr">
        <is>
          <t>Investor Presentation</t>
        </is>
      </c>
      <c r="U103" s="166" t="n"/>
    </row>
    <row r="104" ht="14.4" customHeight="1" s="876">
      <c r="A104" s="92" t="n">
        <v>152</v>
      </c>
      <c r="B104" s="166" t="n"/>
      <c r="C104" s="166" t="n"/>
      <c r="D104" s="102" t="n"/>
      <c r="E104" s="103" t="n"/>
      <c r="F104" s="166" t="n"/>
      <c r="G104" s="166" t="n"/>
      <c r="H104" s="166" t="n"/>
      <c r="I104" s="1301" t="n"/>
      <c r="J104" s="1301" t="n"/>
      <c r="K104" s="1301" t="n"/>
      <c r="L104" s="166" t="n"/>
      <c r="M104" s="166" t="n"/>
      <c r="N104" s="1301" t="n"/>
      <c r="O104" s="166" t="n"/>
      <c r="P104" s="1931" t="n"/>
      <c r="Q104" s="1932" t="n"/>
      <c r="R104" s="166" t="n"/>
      <c r="S104" s="107" t="n"/>
      <c r="T104" s="126" t="n"/>
      <c r="U104" s="166" t="n"/>
    </row>
    <row r="105" ht="14.4" customHeight="1" s="876">
      <c r="A105" s="92" t="n">
        <v>151</v>
      </c>
      <c r="B105" s="116">
        <f>IF(INDEX(MO_SNA_IsHistoricalPeriod,,MATCH(F105,MO_Common_ColumnHeader,0)),"Historical","Forward")</f>
        <v/>
      </c>
      <c r="C105" s="166" t="n"/>
      <c r="D105" s="123">
        <f>INDEX(INDIRECT(E105),0,COLUMN(MO_Common_Column_A))</f>
        <v/>
      </c>
      <c r="E105" s="117" t="inlineStr">
        <is>
          <t>MO_CFSum_Capex</t>
        </is>
      </c>
      <c r="F105" s="116" t="inlineStr">
        <is>
          <t>FY2022</t>
        </is>
      </c>
      <c r="G105" s="116" t="n"/>
      <c r="H105" s="166" t="n"/>
      <c r="I105" s="1928" t="n">
        <v>-36000</v>
      </c>
      <c r="J105" s="1928" t="n">
        <v>-36000</v>
      </c>
      <c r="K105" s="1928">
        <f>AVERAGE(I105:J105)</f>
        <v/>
      </c>
      <c r="L105" s="166" t="n"/>
      <c r="M105" s="116">
        <f>IF(INDEX(MO_SNA_IsHistoricalPeriod,,MATCH(F105,MO_Common_ColumnHeader,0)),"Actual","Estimate")</f>
        <v/>
      </c>
      <c r="N105" s="1928">
        <f>IFERROR(INDEX(INDIRECT(E105),0,MATCH(F105,MO_Common_ColumnHeader,0)),"N/A")*INDEX(MO_VA_FX_Average,0,MATCH(F105,MO_Common_ColumnHeader,0))</f>
        <v/>
      </c>
      <c r="O105" s="166" t="n"/>
      <c r="P105" s="1929">
        <f>IF(ISNUMBER(N105),N105-K105,"N/A")</f>
        <v/>
      </c>
      <c r="Q105" s="1930">
        <f>IFERROR(IF(ISNUMBER(N105),(N105-K105)/ABS(K105),"N/A"),"N/A")</f>
        <v/>
      </c>
      <c r="R105" s="166" t="n"/>
      <c r="S105" s="119" t="n">
        <v>44847</v>
      </c>
      <c r="T105" s="209" t="inlineStr">
        <is>
          <t>Transcript</t>
        </is>
      </c>
      <c r="U105" s="166" t="n"/>
    </row>
    <row r="106" ht="14.4" customHeight="1" s="876">
      <c r="A106" s="92" t="n">
        <v>150</v>
      </c>
      <c r="B106" s="166" t="n"/>
      <c r="C106" s="166" t="n"/>
      <c r="D106" s="102" t="n"/>
      <c r="E106" s="103" t="n"/>
      <c r="F106" s="166" t="n"/>
      <c r="G106" s="166" t="n"/>
      <c r="H106" s="166" t="n"/>
      <c r="I106" s="1301" t="n"/>
      <c r="J106" s="1301" t="n"/>
      <c r="K106" s="1301" t="n"/>
      <c r="L106" s="166" t="n"/>
      <c r="M106" s="166" t="n"/>
      <c r="N106" s="1301" t="n"/>
      <c r="O106" s="166" t="n"/>
      <c r="P106" s="1931" t="n"/>
      <c r="Q106" s="1932" t="n"/>
      <c r="R106" s="166" t="n"/>
      <c r="S106" s="107" t="n"/>
      <c r="T106" s="126" t="n"/>
      <c r="U106" s="166" t="n"/>
    </row>
    <row r="107" ht="14.4" customHeight="1" s="876">
      <c r="A107" s="92" t="n">
        <v>149</v>
      </c>
      <c r="B107" s="116">
        <f>IF(INDEX(MO_SNA_IsHistoricalPeriod,,MATCH(F107,MO_Common_ColumnHeader,0)),"Historical","Forward")</f>
        <v/>
      </c>
      <c r="C107" s="166" t="n"/>
      <c r="D107" s="123">
        <f>INDEX(INDIRECT(E107),0,COLUMN(MO_Common_Column_A))</f>
        <v/>
      </c>
      <c r="E107" s="117" t="inlineStr">
        <is>
          <t>MO_RIS_REV</t>
        </is>
      </c>
      <c r="F107" s="116" t="inlineStr">
        <is>
          <t>Q4-2022</t>
        </is>
      </c>
      <c r="G107" s="116" t="n"/>
      <c r="H107" s="166" t="n"/>
      <c r="I107" s="1928" t="n">
        <v>19900</v>
      </c>
      <c r="J107" s="1928" t="n">
        <v>20700</v>
      </c>
      <c r="K107" s="1928">
        <f>AVERAGE(I107:J107)</f>
        <v/>
      </c>
      <c r="L107" s="166" t="n"/>
      <c r="M107" s="116">
        <f>IF(INDEX(MO_SNA_IsHistoricalPeriod,,MATCH(F107,MO_Common_ColumnHeader,0)),"Actual","Estimate")</f>
        <v/>
      </c>
      <c r="N107" s="1928">
        <f>IFERROR(INDEX(INDIRECT(E107),0,MATCH(F107,MO_Common_ColumnHeader,0)),"N/A")/INDEX(z_M2B13B0184_MO_OS_Weightedaverageforeignexchangedratereported,0,MATCH(F107,MO_Common_ColumnHeader,0))</f>
        <v/>
      </c>
      <c r="O107" s="166" t="n"/>
      <c r="P107" s="1929">
        <f>IF(ISNUMBER(N107),N107-K107,"N/A")</f>
        <v/>
      </c>
      <c r="Q107" s="1930">
        <f>IFERROR(IF(ISNUMBER(N107),(N107-K107)/ABS(K107),"N/A"),"N/A")</f>
        <v/>
      </c>
      <c r="R107" s="166" t="n"/>
      <c r="S107" s="119" t="n">
        <v>44847</v>
      </c>
      <c r="T107" s="209" t="inlineStr">
        <is>
          <t>Press Release</t>
        </is>
      </c>
      <c r="U107" s="166" t="n"/>
    </row>
    <row r="108" ht="14.4" customHeight="1" s="876">
      <c r="A108" s="92" t="n">
        <v>148</v>
      </c>
      <c r="B108" s="116">
        <f>IF(INDEX(MO_SNA_IsHistoricalPeriod,,MATCH(F108,MO_Common_ColumnHeader,0)),"Historical","Forward")</f>
        <v/>
      </c>
      <c r="C108" s="166" t="n"/>
      <c r="D108" s="123">
        <f>INDEX(INDIRECT(E108),0,COLUMN(MO_Common_Column_A))</f>
        <v/>
      </c>
      <c r="E108" s="117" t="inlineStr">
        <is>
          <t>z_M2B13B0184_MO_OS_Weightedaverageforeignexchangedratereported</t>
        </is>
      </c>
      <c r="F108" s="116" t="inlineStr">
        <is>
          <t>Q4-2022</t>
        </is>
      </c>
      <c r="G108" s="116" t="n"/>
      <c r="H108" s="166" t="n"/>
      <c r="I108" s="1928" t="n">
        <v>31.5</v>
      </c>
      <c r="J108" s="1928" t="n">
        <v>31.5</v>
      </c>
      <c r="K108" s="1928">
        <f>AVERAGE(I108:J108)</f>
        <v/>
      </c>
      <c r="L108" s="166" t="n"/>
      <c r="M108" s="116">
        <f>IF(INDEX(MO_SNA_IsHistoricalPeriod,,MATCH(F108,MO_Common_ColumnHeader,0)),"Actual","Estimate")</f>
        <v/>
      </c>
      <c r="N108" s="1928">
        <f>IFERROR(INDEX(INDIRECT(E108),0,MATCH(F108,MO_Common_ColumnHeader,0)),"N/A")</f>
        <v/>
      </c>
      <c r="O108" s="166" t="n"/>
      <c r="P108" s="1929">
        <f>IF(ISNUMBER(N108),N108-K108,"N/A")</f>
        <v/>
      </c>
      <c r="Q108" s="1930">
        <f>IFERROR(IF(ISNUMBER(N108),(N108-K108)/ABS(K108),"N/A"),"N/A")</f>
        <v/>
      </c>
      <c r="R108" s="166" t="n"/>
      <c r="S108" s="119" t="n">
        <v>44847</v>
      </c>
      <c r="T108" s="209" t="inlineStr">
        <is>
          <t>Press Release</t>
        </is>
      </c>
      <c r="U108" s="166" t="n"/>
    </row>
    <row r="109" ht="14.4" customHeight="1" s="876">
      <c r="A109" s="92" t="n">
        <v>147</v>
      </c>
      <c r="B109" s="116">
        <f>IF(INDEX(MO_SNA_IsHistoricalPeriod,,MATCH(F109,MO_Common_ColumnHeader,0)),"Historical","Forward")</f>
        <v/>
      </c>
      <c r="C109" s="166" t="n"/>
      <c r="D109" s="123">
        <f>INDEX(INDIRECT(E109),0,COLUMN(MO_Common_Column_A))</f>
        <v/>
      </c>
      <c r="E109" s="117" t="inlineStr">
        <is>
          <t>MO_MA_GM</t>
        </is>
      </c>
      <c r="F109" s="116" t="inlineStr">
        <is>
          <t>Q4-2022</t>
        </is>
      </c>
      <c r="G109" s="116" t="n"/>
      <c r="H109" s="166" t="n"/>
      <c r="I109" s="1933" t="n">
        <v>0.595</v>
      </c>
      <c r="J109" s="1933" t="n">
        <v>0.615</v>
      </c>
      <c r="K109" s="1933">
        <f>AVERAGE(I109:J109)</f>
        <v/>
      </c>
      <c r="L109" s="166" t="n"/>
      <c r="M109" s="116">
        <f>IF(INDEX(MO_SNA_IsHistoricalPeriod,,MATCH(F109,MO_Common_ColumnHeader,0)),"Actual","Estimate")</f>
        <v/>
      </c>
      <c r="N109" s="1933">
        <f>IFERROR(INDEX(INDIRECT(E109),0,MATCH(F109,MO_Common_ColumnHeader,0)),"N/A")</f>
        <v/>
      </c>
      <c r="O109" s="166" t="n"/>
      <c r="P109" s="1930">
        <f>IF(ISNUMBER(N109),N109-K109,"N/A")</f>
        <v/>
      </c>
      <c r="Q109" s="1930">
        <f>IFERROR(IF(ISNUMBER(N109),(N109-K109)/ABS(K109),"N/A"),"N/A")</f>
        <v/>
      </c>
      <c r="R109" s="166" t="n"/>
      <c r="S109" s="119" t="n">
        <v>44847</v>
      </c>
      <c r="T109" s="209" t="inlineStr">
        <is>
          <t>Press Release</t>
        </is>
      </c>
      <c r="U109" s="166" t="n"/>
    </row>
    <row r="110" ht="14.4" customHeight="1" s="876">
      <c r="A110" s="92" t="n">
        <v>146</v>
      </c>
      <c r="B110" s="116">
        <f>IF(INDEX(MO_SNA_IsHistoricalPeriod,,MATCH(F110,MO_Common_ColumnHeader,0)),"Historical","Forward")</f>
        <v/>
      </c>
      <c r="C110" s="166" t="n"/>
      <c r="D110" s="123" t="inlineStr">
        <is>
          <t>Operating Profit Margin</t>
        </is>
      </c>
      <c r="E110" s="117" t="n"/>
      <c r="F110" s="116" t="inlineStr">
        <is>
          <t>Q4-2022</t>
        </is>
      </c>
      <c r="G110" s="116" t="n"/>
      <c r="H110" s="166" t="n"/>
      <c r="I110" s="1933" t="n">
        <v>0.49</v>
      </c>
      <c r="J110" s="1933" t="n">
        <v>0.51</v>
      </c>
      <c r="K110" s="1933">
        <f>AVERAGE(I110:J110)</f>
        <v/>
      </c>
      <c r="L110" s="166" t="n"/>
      <c r="M110" s="116">
        <f>IF(INDEX(MO_SNA_IsHistoricalPeriod,,MATCH(F110,MO_Common_ColumnHeader,0)),"Actual","Estimate")</f>
        <v/>
      </c>
      <c r="N110" s="1933">
        <f>INDEX(MO_RIS_EBIT,0,MATCH(F110,MO_Common_ColumnHeader,0))/INDEX(MO_RIS_REV,0,MATCH(F110,MO_Common_ColumnHeader,0))</f>
        <v/>
      </c>
      <c r="O110" s="166" t="n"/>
      <c r="P110" s="1930">
        <f>IF(ISNUMBER(N110),N110-K110,"N/A")</f>
        <v/>
      </c>
      <c r="Q110" s="1930">
        <f>IFERROR(IF(ISNUMBER(N110),(N110-K110)/ABS(K110),"N/A"),"N/A")</f>
        <v/>
      </c>
      <c r="R110" s="166" t="n"/>
      <c r="S110" s="119" t="n">
        <v>44847</v>
      </c>
      <c r="T110" s="209" t="inlineStr">
        <is>
          <t>Press Release</t>
        </is>
      </c>
      <c r="U110" s="166" t="n"/>
    </row>
    <row r="111" ht="14.4" customHeight="1" s="876">
      <c r="A111" s="92" t="n">
        <v>145</v>
      </c>
      <c r="B111" s="166" t="n"/>
      <c r="C111" s="166" t="n"/>
      <c r="D111" s="102" t="n"/>
      <c r="E111" s="103" t="n"/>
      <c r="F111" s="166" t="n"/>
      <c r="G111" s="166" t="n"/>
      <c r="H111" s="166" t="n"/>
      <c r="I111" s="1301" t="n"/>
      <c r="J111" s="1301" t="n"/>
      <c r="K111" s="1301" t="n"/>
      <c r="L111" s="166" t="n"/>
      <c r="M111" s="166" t="n"/>
      <c r="N111" s="1301" t="n"/>
      <c r="O111" s="166" t="n"/>
      <c r="P111" s="1931" t="n"/>
      <c r="Q111" s="1932" t="n"/>
      <c r="R111" s="166" t="n"/>
      <c r="S111" s="107" t="n"/>
      <c r="T111" s="126" t="n"/>
      <c r="U111" s="166" t="n"/>
    </row>
    <row r="112" ht="14.4" customHeight="1" s="876">
      <c r="A112" s="92" t="n">
        <v>144</v>
      </c>
      <c r="B112" s="116">
        <f>IF(INDEX(MO_SNA_IsHistoricalPeriod,,MATCH(F112,MO_Common_ColumnHeader,0)),"Historical","Forward")</f>
        <v/>
      </c>
      <c r="C112" s="166" t="n"/>
      <c r="D112" s="123">
        <f>INDEX(INDIRECT(E112),0,COLUMN(MO_Common_Column_A))</f>
        <v/>
      </c>
      <c r="E112" s="117" t="inlineStr">
        <is>
          <t>MO_CFSum_Capex</t>
        </is>
      </c>
      <c r="F112" s="116" t="inlineStr">
        <is>
          <t>FY2022</t>
        </is>
      </c>
      <c r="G112" s="116" t="n"/>
      <c r="H112" s="166" t="n"/>
      <c r="I112" s="1928" t="n">
        <v>-44000</v>
      </c>
      <c r="J112" s="1928" t="n">
        <v>-40000</v>
      </c>
      <c r="K112" s="1928">
        <f>AVERAGE(I112:J112)</f>
        <v/>
      </c>
      <c r="L112" s="166" t="n"/>
      <c r="M112" s="116">
        <f>IF(INDEX(MO_SNA_IsHistoricalPeriod,,MATCH(F112,MO_Common_ColumnHeader,0)),"Actual","Estimate")</f>
        <v/>
      </c>
      <c r="N112" s="1928">
        <f>IFERROR(INDEX(INDIRECT(E112),0,MATCH(F112,MO_Common_ColumnHeader,0)),"N/A")*INDEX(MO_VA_FX_Average,0,MATCH(F112,MO_Common_ColumnHeader,0))</f>
        <v/>
      </c>
      <c r="O112" s="166" t="n"/>
      <c r="P112" s="1929">
        <f>IF(ISNUMBER(N112),N112-K112,"N/A")</f>
        <v/>
      </c>
      <c r="Q112" s="1930">
        <f>IFERROR(IF(ISNUMBER(N112),(N112-K112)/ABS(K112),"N/A"),"N/A")</f>
        <v/>
      </c>
      <c r="R112" s="166" t="n"/>
      <c r="S112" s="119" t="n">
        <v>44756</v>
      </c>
      <c r="T112" s="209" t="inlineStr">
        <is>
          <t>Transcript</t>
        </is>
      </c>
      <c r="U112" s="166" t="n"/>
    </row>
    <row r="113" ht="14.4" customHeight="1" s="876">
      <c r="A113" s="92" t="n">
        <v>143</v>
      </c>
      <c r="B113" s="116">
        <f>IF(INDEX(MO_SNA_IsHistoricalPeriod,,MATCH(F113,MO_Common_ColumnHeader,0)),"Historical","Forward")</f>
        <v/>
      </c>
      <c r="C113" s="166" t="n"/>
      <c r="D113" s="123">
        <f>INDEX(INDIRECT(E113),0,COLUMN(MO_Common_Column_A))</f>
        <v/>
      </c>
      <c r="E113" s="117" t="inlineStr">
        <is>
          <t>MO_RIS_TaxRate_Current</t>
        </is>
      </c>
      <c r="F113" s="116" t="inlineStr">
        <is>
          <t>FY2022</t>
        </is>
      </c>
      <c r="G113" s="116" t="n"/>
      <c r="H113" s="166" t="n"/>
      <c r="I113" s="1933" t="n">
        <v>0.1</v>
      </c>
      <c r="J113" s="1933" t="n">
        <v>0.11</v>
      </c>
      <c r="K113" s="1933">
        <f>AVERAGE(I113:J113)</f>
        <v/>
      </c>
      <c r="L113" s="166" t="n"/>
      <c r="M113" s="116">
        <f>IF(INDEX(MO_SNA_IsHistoricalPeriod,,MATCH(F113,MO_Common_ColumnHeader,0)),"Actual","Estimate")</f>
        <v/>
      </c>
      <c r="N113" s="1933">
        <f>IFERROR(INDEX(INDIRECT(E113),0,MATCH(F113,MO_Common_ColumnHeader,0)),"N/A")</f>
        <v/>
      </c>
      <c r="O113" s="166" t="n"/>
      <c r="P113" s="1930">
        <f>IF(ISNUMBER(N113),N113-K113,"N/A")</f>
        <v/>
      </c>
      <c r="Q113" s="1930">
        <f>IFERROR(IF(ISNUMBER(N113),(N113-K113)/ABS(K113),"N/A"),"N/A")</f>
        <v/>
      </c>
      <c r="R113" s="166" t="n"/>
      <c r="S113" s="119" t="n">
        <v>44756</v>
      </c>
      <c r="T113" s="209" t="inlineStr">
        <is>
          <t>Transcript</t>
        </is>
      </c>
      <c r="U113" s="166" t="n"/>
    </row>
    <row r="114" ht="14.4" customHeight="1" s="876">
      <c r="A114" s="92" t="n">
        <v>142</v>
      </c>
      <c r="B114" s="166" t="n"/>
      <c r="C114" s="166" t="n"/>
      <c r="D114" s="102" t="n"/>
      <c r="E114" s="103" t="n"/>
      <c r="F114" s="166" t="n"/>
      <c r="G114" s="166" t="n"/>
      <c r="H114" s="166" t="n"/>
      <c r="I114" s="1301" t="n"/>
      <c r="J114" s="1301" t="n"/>
      <c r="K114" s="1301" t="n"/>
      <c r="L114" s="166" t="n"/>
      <c r="M114" s="166" t="n"/>
      <c r="N114" s="1301" t="n"/>
      <c r="O114" s="166" t="n"/>
      <c r="P114" s="1931" t="n"/>
      <c r="Q114" s="1932" t="n"/>
      <c r="R114" s="166" t="n"/>
      <c r="S114" s="107" t="n"/>
      <c r="T114" s="126" t="n"/>
      <c r="U114" s="166" t="n"/>
    </row>
    <row r="115" ht="14.4" customHeight="1" s="876">
      <c r="A115" s="92" t="n">
        <v>141</v>
      </c>
      <c r="B115" s="116">
        <f>IF(INDEX(MO_SNA_IsHistoricalPeriod,,MATCH(F115,MO_Common_ColumnHeader,0)),"Historical","Forward")</f>
        <v/>
      </c>
      <c r="C115" s="166" t="n"/>
      <c r="D115" s="123">
        <f>INDEX(INDIRECT(E115),0,COLUMN(MO_Common_Column_A))</f>
        <v/>
      </c>
      <c r="E115" s="117" t="inlineStr">
        <is>
          <t>MO_RIS_REV</t>
        </is>
      </c>
      <c r="F115" s="116" t="inlineStr">
        <is>
          <t>Q3-2022</t>
        </is>
      </c>
      <c r="G115" s="116" t="n"/>
      <c r="H115" s="166" t="n"/>
      <c r="I115" s="1928" t="n">
        <v>19800</v>
      </c>
      <c r="J115" s="1928" t="n">
        <v>20600</v>
      </c>
      <c r="K115" s="1928">
        <f>AVERAGE(I115:J115)</f>
        <v/>
      </c>
      <c r="L115" s="166" t="n"/>
      <c r="M115" s="116">
        <f>IF(INDEX(MO_SNA_IsHistoricalPeriod,,MATCH(F115,MO_Common_ColumnHeader,0)),"Actual","Estimate")</f>
        <v/>
      </c>
      <c r="N115" s="1928">
        <f>IFERROR(INDEX(INDIRECT(E115),0,MATCH(F115,MO_Common_ColumnHeader,0)),"N/A")/INDEX(z_M2B13B0184_MO_OS_Weightedaverageforeignexchangedratereported,0,MATCH(F115,MO_Common_ColumnHeader,0))</f>
        <v/>
      </c>
      <c r="O115" s="166" t="n"/>
      <c r="P115" s="1929">
        <f>IF(ISNUMBER(N115),N115-K115,"N/A")</f>
        <v/>
      </c>
      <c r="Q115" s="1930">
        <f>IFERROR(IF(ISNUMBER(N115),(N115-K115)/ABS(K115),"N/A"),"N/A")</f>
        <v/>
      </c>
      <c r="R115" s="166" t="n"/>
      <c r="S115" s="119" t="n">
        <v>44756</v>
      </c>
      <c r="T115" s="209" t="inlineStr">
        <is>
          <t>Press Release</t>
        </is>
      </c>
      <c r="U115" s="166" t="n"/>
    </row>
    <row r="116" ht="14.4" customHeight="1" s="876">
      <c r="A116" s="92" t="n">
        <v>140</v>
      </c>
      <c r="B116" s="116">
        <f>IF(INDEX(MO_SNA_IsHistoricalPeriod,,MATCH(F116,MO_Common_ColumnHeader,0)),"Historical","Forward")</f>
        <v/>
      </c>
      <c r="C116" s="166" t="n"/>
      <c r="D116" s="123">
        <f>INDEX(INDIRECT(E116),0,COLUMN(MO_Common_Column_A))</f>
        <v/>
      </c>
      <c r="E116" s="117" t="inlineStr">
        <is>
          <t>z_M2B13B0184_MO_OS_Weightedaverageforeignexchangedratereported</t>
        </is>
      </c>
      <c r="F116" s="116" t="inlineStr">
        <is>
          <t>Q3-2022</t>
        </is>
      </c>
      <c r="G116" s="116" t="n"/>
      <c r="H116" s="166" t="n"/>
      <c r="I116" s="1928" t="n">
        <v>29.7</v>
      </c>
      <c r="J116" s="1928" t="n">
        <v>29.7</v>
      </c>
      <c r="K116" s="1928">
        <f>AVERAGE(I116:J116)</f>
        <v/>
      </c>
      <c r="L116" s="166" t="n"/>
      <c r="M116" s="116">
        <f>IF(INDEX(MO_SNA_IsHistoricalPeriod,,MATCH(F116,MO_Common_ColumnHeader,0)),"Actual","Estimate")</f>
        <v/>
      </c>
      <c r="N116" s="1928">
        <f>IFERROR(INDEX(INDIRECT(E116),0,MATCH(F116,MO_Common_ColumnHeader,0)),"N/A")</f>
        <v/>
      </c>
      <c r="O116" s="166" t="n"/>
      <c r="P116" s="1929">
        <f>IF(ISNUMBER(N116),N116-K116,"N/A")</f>
        <v/>
      </c>
      <c r="Q116" s="1930">
        <f>IFERROR(IF(ISNUMBER(N116),(N116-K116)/ABS(K116),"N/A"),"N/A")</f>
        <v/>
      </c>
      <c r="R116" s="166" t="n"/>
      <c r="S116" s="119" t="n">
        <v>44756</v>
      </c>
      <c r="T116" s="209" t="inlineStr">
        <is>
          <t>Press Release</t>
        </is>
      </c>
      <c r="U116" s="166" t="n"/>
    </row>
    <row r="117" ht="14.4" customHeight="1" s="876">
      <c r="A117" s="92" t="n">
        <v>139</v>
      </c>
      <c r="B117" s="116">
        <f>IF(INDEX(MO_SNA_IsHistoricalPeriod,,MATCH(F117,MO_Common_ColumnHeader,0)),"Historical","Forward")</f>
        <v/>
      </c>
      <c r="C117" s="166" t="n"/>
      <c r="D117" s="123">
        <f>INDEX(INDIRECT(E117),0,COLUMN(MO_Common_Column_A))</f>
        <v/>
      </c>
      <c r="E117" s="117" t="inlineStr">
        <is>
          <t>MO_MA_GM</t>
        </is>
      </c>
      <c r="F117" s="116" t="inlineStr">
        <is>
          <t>Q3-2022</t>
        </is>
      </c>
      <c r="G117" s="116" t="n"/>
      <c r="H117" s="166" t="n"/>
      <c r="I117" s="1933" t="n">
        <v>0.575</v>
      </c>
      <c r="J117" s="1933" t="n">
        <v>0.595</v>
      </c>
      <c r="K117" s="1933">
        <f>AVERAGE(I117:J117)</f>
        <v/>
      </c>
      <c r="L117" s="166" t="n"/>
      <c r="M117" s="116">
        <f>IF(INDEX(MO_SNA_IsHistoricalPeriod,,MATCH(F117,MO_Common_ColumnHeader,0)),"Actual","Estimate")</f>
        <v/>
      </c>
      <c r="N117" s="1933">
        <f>IFERROR(INDEX(INDIRECT(E117),0,MATCH(F117,MO_Common_ColumnHeader,0)),"N/A")</f>
        <v/>
      </c>
      <c r="O117" s="166" t="n"/>
      <c r="P117" s="1930">
        <f>IF(ISNUMBER(N117),N117-K117,"N/A")</f>
        <v/>
      </c>
      <c r="Q117" s="1930">
        <f>IFERROR(IF(ISNUMBER(N117),(N117-K117)/ABS(K117),"N/A"),"N/A")</f>
        <v/>
      </c>
      <c r="R117" s="166" t="n"/>
      <c r="S117" s="119" t="n">
        <v>44756</v>
      </c>
      <c r="T117" s="209" t="inlineStr">
        <is>
          <t>Press Release</t>
        </is>
      </c>
      <c r="U117" s="166" t="n"/>
    </row>
    <row r="118" ht="14.4" customHeight="1" s="876">
      <c r="A118" s="92" t="n">
        <v>138</v>
      </c>
      <c r="B118" s="116">
        <f>IF(INDEX(MO_SNA_IsHistoricalPeriod,,MATCH(F118,MO_Common_ColumnHeader,0)),"Historical","Forward")</f>
        <v/>
      </c>
      <c r="C118" s="166" t="n"/>
      <c r="D118" s="123" t="inlineStr">
        <is>
          <t>Operating Profit Margin</t>
        </is>
      </c>
      <c r="E118" s="117" t="n"/>
      <c r="F118" s="116" t="inlineStr">
        <is>
          <t>Q3-2022</t>
        </is>
      </c>
      <c r="G118" s="116" t="n"/>
      <c r="H118" s="166" t="n"/>
      <c r="I118" s="1933" t="n">
        <v>0.47</v>
      </c>
      <c r="J118" s="1933" t="n">
        <v>0.49</v>
      </c>
      <c r="K118" s="1933">
        <f>AVERAGE(I118:J118)</f>
        <v/>
      </c>
      <c r="L118" s="166" t="n"/>
      <c r="M118" s="116">
        <f>IF(INDEX(MO_SNA_IsHistoricalPeriod,,MATCH(F118,MO_Common_ColumnHeader,0)),"Actual","Estimate")</f>
        <v/>
      </c>
      <c r="N118" s="1933">
        <f>INDEX(MO_RIS_EBIT,0,MATCH(F118,MO_Common_ColumnHeader,0))/INDEX(MO_RIS_REV,0,MATCH(F118,MO_Common_ColumnHeader,0))</f>
        <v/>
      </c>
      <c r="O118" s="166" t="n"/>
      <c r="P118" s="1930">
        <f>IF(ISNUMBER(N118),N118-K118,"N/A")</f>
        <v/>
      </c>
      <c r="Q118" s="1930">
        <f>IFERROR(IF(ISNUMBER(N118),(N118-K118)/ABS(K118),"N/A"),"N/A")</f>
        <v/>
      </c>
      <c r="R118" s="166" t="n"/>
      <c r="S118" s="119" t="n">
        <v>44756</v>
      </c>
      <c r="T118" s="209" t="inlineStr">
        <is>
          <t>Press Release</t>
        </is>
      </c>
      <c r="U118" s="166" t="n"/>
    </row>
    <row r="119" ht="14.4" customHeight="1" s="876">
      <c r="A119" s="92" t="n">
        <v>137</v>
      </c>
      <c r="B119" s="166" t="n"/>
      <c r="C119" s="166" t="n"/>
      <c r="D119" s="102" t="n"/>
      <c r="E119" s="103" t="n"/>
      <c r="F119" s="166" t="n"/>
      <c r="G119" s="166" t="n"/>
      <c r="H119" s="166" t="n"/>
      <c r="I119" s="1301" t="n"/>
      <c r="J119" s="1301" t="n"/>
      <c r="K119" s="1301" t="n"/>
      <c r="L119" s="166" t="n"/>
      <c r="M119" s="166" t="n"/>
      <c r="N119" s="1301" t="n"/>
      <c r="O119" s="166" t="n"/>
      <c r="P119" s="1931" t="n"/>
      <c r="Q119" s="1932" t="n"/>
      <c r="R119" s="166" t="n"/>
      <c r="S119" s="107" t="n"/>
      <c r="T119" s="126" t="n"/>
      <c r="U119" s="166" t="n"/>
    </row>
    <row r="120" ht="14.4" customHeight="1" s="876">
      <c r="A120" s="92" t="n">
        <v>136</v>
      </c>
      <c r="B120" s="116">
        <f>IF(INDEX(MO_SNA_IsHistoricalPeriod,,MATCH(F120,MO_Common_ColumnHeader,0)),"Historical","Forward")</f>
        <v/>
      </c>
      <c r="C120" s="166" t="n"/>
      <c r="D120" s="123">
        <f>INDEX(INDIRECT(E120),0,COLUMN(MO_Common_Column_A))</f>
        <v/>
      </c>
      <c r="E120" s="117" t="inlineStr">
        <is>
          <t>MO_CFSum_Capex</t>
        </is>
      </c>
      <c r="F120" s="116" t="inlineStr">
        <is>
          <t>FY2022</t>
        </is>
      </c>
      <c r="G120" s="116" t="n"/>
      <c r="H120" s="166" t="n"/>
      <c r="I120" s="1928" t="n">
        <v>-44000</v>
      </c>
      <c r="J120" s="1928" t="n">
        <v>-40000</v>
      </c>
      <c r="K120" s="1928">
        <f>AVERAGE(I120:J120)</f>
        <v/>
      </c>
      <c r="L120" s="166" t="n"/>
      <c r="M120" s="116">
        <f>IF(INDEX(MO_SNA_IsHistoricalPeriod,,MATCH(F120,MO_Common_ColumnHeader,0)),"Actual","Estimate")</f>
        <v/>
      </c>
      <c r="N120" s="1928">
        <f>IFERROR(INDEX(INDIRECT(E120),0,MATCH(F120,MO_Common_ColumnHeader,0)),"N/A")*INDEX(MO_VA_FX_Average,0,MATCH(F120,MO_Common_ColumnHeader,0))</f>
        <v/>
      </c>
      <c r="O120" s="166" t="n"/>
      <c r="P120" s="1929">
        <f>IF(ISNUMBER(N120),N120-K120,"N/A")</f>
        <v/>
      </c>
      <c r="Q120" s="1930">
        <f>IFERROR(IF(ISNUMBER(N120),(N120-K120)/ABS(K120),"N/A"),"N/A")</f>
        <v/>
      </c>
      <c r="R120" s="166" t="n"/>
      <c r="S120" s="119" t="n">
        <v>44665</v>
      </c>
      <c r="T120" s="209" t="inlineStr">
        <is>
          <t>Transcript</t>
        </is>
      </c>
      <c r="U120" s="166" t="n"/>
    </row>
    <row r="121" ht="14.4" customHeight="1" s="876">
      <c r="A121" s="92" t="n">
        <v>135</v>
      </c>
      <c r="B121" s="166" t="n"/>
      <c r="C121" s="166" t="n"/>
      <c r="D121" s="102" t="n"/>
      <c r="E121" s="103" t="n"/>
      <c r="F121" s="166" t="n"/>
      <c r="G121" s="166" t="n"/>
      <c r="H121" s="166" t="n"/>
      <c r="I121" s="1301" t="n"/>
      <c r="J121" s="1301" t="n"/>
      <c r="K121" s="1301" t="n"/>
      <c r="L121" s="166" t="n"/>
      <c r="M121" s="166" t="n"/>
      <c r="N121" s="1301" t="n"/>
      <c r="O121" s="166" t="n"/>
      <c r="P121" s="1931" t="n"/>
      <c r="Q121" s="1932" t="n"/>
      <c r="R121" s="166" t="n"/>
      <c r="S121" s="107" t="n"/>
      <c r="T121" s="126" t="n"/>
      <c r="U121" s="166" t="n"/>
    </row>
    <row r="122" ht="14.4" customHeight="1" s="876">
      <c r="A122" s="92" t="n">
        <v>134</v>
      </c>
      <c r="B122" s="116">
        <f>IF(INDEX(MO_SNA_IsHistoricalPeriod,,MATCH(F122,MO_Common_ColumnHeader,0)),"Historical","Forward")</f>
        <v/>
      </c>
      <c r="C122" s="166" t="n"/>
      <c r="D122" s="123">
        <f>INDEX(INDIRECT(E122),0,COLUMN(MO_Common_Column_A))</f>
        <v/>
      </c>
      <c r="E122" s="117" t="inlineStr">
        <is>
          <t>MO_RIS_REV</t>
        </is>
      </c>
      <c r="F122" s="116" t="inlineStr">
        <is>
          <t>Q2-2022</t>
        </is>
      </c>
      <c r="G122" s="116" t="n"/>
      <c r="H122" s="166" t="n"/>
      <c r="I122" s="1928" t="n">
        <v>17600</v>
      </c>
      <c r="J122" s="1928" t="n">
        <v>18200</v>
      </c>
      <c r="K122" s="1928">
        <f>AVERAGE(I122:J122)</f>
        <v/>
      </c>
      <c r="L122" s="166" t="n"/>
      <c r="M122" s="116">
        <f>IF(INDEX(MO_SNA_IsHistoricalPeriod,,MATCH(F122,MO_Common_ColumnHeader,0)),"Actual","Estimate")</f>
        <v/>
      </c>
      <c r="N122" s="1928">
        <f>IFERROR(INDEX(INDIRECT(E122),0,MATCH(F122,MO_Common_ColumnHeader,0)),"N/A")/INDEX(z_M2B13B0184_MO_OS_Weightedaverageforeignexchangedratereported,0,MATCH(F122,MO_Common_ColumnHeader,0))</f>
        <v/>
      </c>
      <c r="O122" s="166" t="n"/>
      <c r="P122" s="1929">
        <f>IF(ISNUMBER(N122),N122-K122,"N/A")</f>
        <v/>
      </c>
      <c r="Q122" s="1930">
        <f>IFERROR(IF(ISNUMBER(N122),(N122-K122)/ABS(K122),"N/A"),"N/A")</f>
        <v/>
      </c>
      <c r="R122" s="166" t="n"/>
      <c r="S122" s="119" t="n">
        <v>44665</v>
      </c>
      <c r="T122" s="209" t="inlineStr">
        <is>
          <t>Press Release</t>
        </is>
      </c>
      <c r="U122" s="166" t="n"/>
    </row>
    <row r="123" ht="14.4" customHeight="1" s="876">
      <c r="A123" s="92" t="n">
        <v>133</v>
      </c>
      <c r="B123" s="116">
        <f>IF(INDEX(MO_SNA_IsHistoricalPeriod,,MATCH(F123,MO_Common_ColumnHeader,0)),"Historical","Forward")</f>
        <v/>
      </c>
      <c r="C123" s="166" t="n"/>
      <c r="D123" s="123">
        <f>INDEX(INDIRECT(E123),0,COLUMN(MO_Common_Column_A))</f>
        <v/>
      </c>
      <c r="E123" s="117" t="inlineStr">
        <is>
          <t>z_M2B13B0184_MO_OS_Weightedaverageforeignexchangedratereported</t>
        </is>
      </c>
      <c r="F123" s="116" t="inlineStr">
        <is>
          <t>Q2-2022</t>
        </is>
      </c>
      <c r="G123" s="116" t="n"/>
      <c r="H123" s="166" t="n"/>
      <c r="I123" s="1928" t="n">
        <v>28.8</v>
      </c>
      <c r="J123" s="1928" t="n">
        <v>28.8</v>
      </c>
      <c r="K123" s="1928">
        <f>AVERAGE(I123:J123)</f>
        <v/>
      </c>
      <c r="L123" s="166" t="n"/>
      <c r="M123" s="116">
        <f>IF(INDEX(MO_SNA_IsHistoricalPeriod,,MATCH(F123,MO_Common_ColumnHeader,0)),"Actual","Estimate")</f>
        <v/>
      </c>
      <c r="N123" s="1928">
        <f>IFERROR(INDEX(INDIRECT(E123),0,MATCH(F123,MO_Common_ColumnHeader,0)),"N/A")</f>
        <v/>
      </c>
      <c r="O123" s="166" t="n"/>
      <c r="P123" s="1929">
        <f>IF(ISNUMBER(N123),N123-K123,"N/A")</f>
        <v/>
      </c>
      <c r="Q123" s="1930">
        <f>IFERROR(IF(ISNUMBER(N123),(N123-K123)/ABS(K123),"N/A"),"N/A")</f>
        <v/>
      </c>
      <c r="R123" s="166" t="n"/>
      <c r="S123" s="119" t="n">
        <v>44665</v>
      </c>
      <c r="T123" s="209" t="inlineStr">
        <is>
          <t>Press Release</t>
        </is>
      </c>
      <c r="U123" s="166" t="n"/>
    </row>
    <row r="124" ht="14.4" customHeight="1" s="876">
      <c r="A124" s="92" t="n">
        <v>132</v>
      </c>
      <c r="B124" s="116">
        <f>IF(INDEX(MO_SNA_IsHistoricalPeriod,,MATCH(F124,MO_Common_ColumnHeader,0)),"Historical","Forward")</f>
        <v/>
      </c>
      <c r="C124" s="166" t="n"/>
      <c r="D124" s="123">
        <f>INDEX(INDIRECT(E124),0,COLUMN(MO_Common_Column_A))</f>
        <v/>
      </c>
      <c r="E124" s="117" t="inlineStr">
        <is>
          <t>MO_MA_GM</t>
        </is>
      </c>
      <c r="F124" s="116" t="inlineStr">
        <is>
          <t>Q2-2022</t>
        </is>
      </c>
      <c r="G124" s="116" t="n"/>
      <c r="H124" s="166" t="n"/>
      <c r="I124" s="1933" t="n">
        <v>0.5600000000000001</v>
      </c>
      <c r="J124" s="1933" t="n">
        <v>0.58</v>
      </c>
      <c r="K124" s="1933">
        <f>AVERAGE(I124:J124)</f>
        <v/>
      </c>
      <c r="L124" s="166" t="n"/>
      <c r="M124" s="116">
        <f>IF(INDEX(MO_SNA_IsHistoricalPeriod,,MATCH(F124,MO_Common_ColumnHeader,0)),"Actual","Estimate")</f>
        <v/>
      </c>
      <c r="N124" s="1933">
        <f>IFERROR(INDEX(INDIRECT(E124),0,MATCH(F124,MO_Common_ColumnHeader,0)),"N/A")</f>
        <v/>
      </c>
      <c r="O124" s="166" t="n"/>
      <c r="P124" s="1930">
        <f>IF(ISNUMBER(N124),N124-K124,"N/A")</f>
        <v/>
      </c>
      <c r="Q124" s="1930">
        <f>IFERROR(IF(ISNUMBER(N124),(N124-K124)/ABS(K124),"N/A"),"N/A")</f>
        <v/>
      </c>
      <c r="R124" s="166" t="n"/>
      <c r="S124" s="119" t="n">
        <v>44665</v>
      </c>
      <c r="T124" s="209" t="inlineStr">
        <is>
          <t>Press Release</t>
        </is>
      </c>
      <c r="U124" s="166" t="n"/>
    </row>
    <row r="125" ht="14.4" customHeight="1" s="876">
      <c r="A125" s="92" t="n">
        <v>131</v>
      </c>
      <c r="B125" s="116">
        <f>IF(INDEX(MO_SNA_IsHistoricalPeriod,,MATCH(F125,MO_Common_ColumnHeader,0)),"Historical","Forward")</f>
        <v/>
      </c>
      <c r="C125" s="166" t="n"/>
      <c r="D125" s="123" t="inlineStr">
        <is>
          <t>Operating Profit Margin</t>
        </is>
      </c>
      <c r="E125" s="117" t="n"/>
      <c r="F125" s="116" t="inlineStr">
        <is>
          <t>Q2-2022</t>
        </is>
      </c>
      <c r="G125" s="116" t="n"/>
      <c r="H125" s="166" t="n"/>
      <c r="I125" s="1933" t="n">
        <v>0.45</v>
      </c>
      <c r="J125" s="1933" t="n">
        <v>0.47</v>
      </c>
      <c r="K125" s="1933">
        <f>AVERAGE(I125:J125)</f>
        <v/>
      </c>
      <c r="L125" s="166" t="n"/>
      <c r="M125" s="116">
        <f>IF(INDEX(MO_SNA_IsHistoricalPeriod,,MATCH(F125,MO_Common_ColumnHeader,0)),"Actual","Estimate")</f>
        <v/>
      </c>
      <c r="N125" s="1933">
        <f>INDEX(MO_RIS_EBIT,0,MATCH(F125,MO_Common_ColumnHeader,0))/INDEX(MO_RIS_REV,0,MATCH(F125,MO_Common_ColumnHeader,0))</f>
        <v/>
      </c>
      <c r="O125" s="166" t="n"/>
      <c r="P125" s="1930">
        <f>IF(ISNUMBER(N125),N125-K125,"N/A")</f>
        <v/>
      </c>
      <c r="Q125" s="1930">
        <f>IFERROR(IF(ISNUMBER(N125),(N125-K125)/ABS(K125),"N/A"),"N/A")</f>
        <v/>
      </c>
      <c r="R125" s="166" t="n"/>
      <c r="S125" s="119" t="n">
        <v>44665</v>
      </c>
      <c r="T125" s="209" t="inlineStr">
        <is>
          <t>Press Release</t>
        </is>
      </c>
      <c r="U125" s="166" t="n"/>
    </row>
    <row r="126" ht="14.4" customHeight="1" s="876">
      <c r="A126" s="92" t="n">
        <v>130</v>
      </c>
      <c r="B126" s="166" t="n"/>
      <c r="C126" s="166" t="n"/>
      <c r="D126" s="102" t="n"/>
      <c r="E126" s="103" t="n"/>
      <c r="F126" s="166" t="n"/>
      <c r="G126" s="166" t="n"/>
      <c r="H126" s="166" t="n"/>
      <c r="I126" s="1301" t="n"/>
      <c r="J126" s="1301" t="n"/>
      <c r="K126" s="1301" t="n"/>
      <c r="L126" s="166" t="n"/>
      <c r="M126" s="166" t="n"/>
      <c r="N126" s="1301" t="n"/>
      <c r="O126" s="166" t="n"/>
      <c r="P126" s="1931" t="n"/>
      <c r="Q126" s="1932" t="n"/>
      <c r="R126" s="166" t="n"/>
      <c r="S126" s="107" t="n"/>
      <c r="T126" s="126" t="n"/>
      <c r="U126" s="166" t="n"/>
    </row>
    <row r="127" ht="14.4" customHeight="1" s="876">
      <c r="A127" s="92" t="n">
        <v>129</v>
      </c>
      <c r="B127" s="116">
        <f>IF(INDEX(MO_SNA_IsHistoricalPeriod,,MATCH(F127,MO_Common_ColumnHeader,0)),"Historical","Forward")</f>
        <v/>
      </c>
      <c r="C127" s="166" t="n"/>
      <c r="D127" s="123">
        <f>INDEX(INDIRECT(E127),0,COLUMN(MO_Common_Column_A))</f>
        <v/>
      </c>
      <c r="E127" s="117" t="inlineStr">
        <is>
          <t>MO_CFSum_Capex</t>
        </is>
      </c>
      <c r="F127" s="116" t="inlineStr">
        <is>
          <t>FY2022</t>
        </is>
      </c>
      <c r="G127" s="116" t="n"/>
      <c r="H127" s="166" t="n"/>
      <c r="I127" s="1928" t="n">
        <v>-44000</v>
      </c>
      <c r="J127" s="1928" t="n">
        <v>-40000</v>
      </c>
      <c r="K127" s="1928">
        <f>AVERAGE(I127:J127)</f>
        <v/>
      </c>
      <c r="L127" s="166" t="n"/>
      <c r="M127" s="116">
        <f>IF(INDEX(MO_SNA_IsHistoricalPeriod,,MATCH(F127,MO_Common_ColumnHeader,0)),"Actual","Estimate")</f>
        <v/>
      </c>
      <c r="N127" s="1928">
        <f>IFERROR(INDEX(INDIRECT(E127),0,MATCH(F127,MO_Common_ColumnHeader,0)),"N/A")*INDEX(MO_VA_FX_Average,0,MATCH(F127,MO_Common_ColumnHeader,0))</f>
        <v/>
      </c>
      <c r="O127" s="166" t="n"/>
      <c r="P127" s="1929">
        <f>IF(ISNUMBER(N127),N127-K127,"N/A")</f>
        <v/>
      </c>
      <c r="Q127" s="1930">
        <f>IFERROR(IF(ISNUMBER(N127),(N127-K127)/ABS(K127),"N/A"),"N/A")</f>
        <v/>
      </c>
      <c r="R127" s="166" t="n"/>
      <c r="S127" s="119" t="n">
        <v>44573</v>
      </c>
      <c r="T127" s="209" t="inlineStr">
        <is>
          <t>Transcript</t>
        </is>
      </c>
      <c r="U127" s="166" t="n"/>
    </row>
    <row r="128" ht="14.4" customHeight="1" s="876">
      <c r="A128" s="92" t="n">
        <v>128</v>
      </c>
      <c r="B128" s="116">
        <f>IF(INDEX(MO_SNA_IsHistoricalPeriod,,MATCH(F128,MO_Common_ColumnHeader,0)),"Historical","Forward")</f>
        <v/>
      </c>
      <c r="C128" s="166" t="n"/>
      <c r="D128" s="123">
        <f>INDEX(INDIRECT(E128),0,COLUMN(MO_Common_Column_A))</f>
        <v/>
      </c>
      <c r="E128" s="117" t="inlineStr">
        <is>
          <t>MO_RIS_TaxRate_Current</t>
        </is>
      </c>
      <c r="F128" s="116" t="inlineStr">
        <is>
          <t>FY2022</t>
        </is>
      </c>
      <c r="G128" s="116" t="n"/>
      <c r="H128" s="166" t="n"/>
      <c r="I128" s="1933" t="n">
        <v>0.1</v>
      </c>
      <c r="J128" s="1933" t="n">
        <v>0.11</v>
      </c>
      <c r="K128" s="1933">
        <f>AVERAGE(I128:J128)</f>
        <v/>
      </c>
      <c r="L128" s="166" t="n"/>
      <c r="M128" s="116">
        <f>IF(INDEX(MO_SNA_IsHistoricalPeriod,,MATCH(F128,MO_Common_ColumnHeader,0)),"Actual","Estimate")</f>
        <v/>
      </c>
      <c r="N128" s="1933">
        <f>IFERROR(INDEX(INDIRECT(E128),0,MATCH(F128,MO_Common_ColumnHeader,0)),"N/A")</f>
        <v/>
      </c>
      <c r="O128" s="166" t="n"/>
      <c r="P128" s="1930">
        <f>IF(ISNUMBER(N128),N128-K128,"N/A")</f>
        <v/>
      </c>
      <c r="Q128" s="1930">
        <f>IFERROR(IF(ISNUMBER(N128),(N128-K128)/ABS(K128),"N/A"),"N/A")</f>
        <v/>
      </c>
      <c r="R128" s="166" t="n"/>
      <c r="S128" s="119" t="n">
        <v>44573</v>
      </c>
      <c r="T128" s="209" t="inlineStr">
        <is>
          <t>Transcript</t>
        </is>
      </c>
      <c r="U128" s="166" t="n"/>
    </row>
    <row r="129" ht="14.4" customHeight="1" s="876">
      <c r="A129" s="92" t="n">
        <v>127</v>
      </c>
      <c r="B129" s="166" t="n"/>
      <c r="C129" s="166" t="n"/>
      <c r="D129" s="102" t="n"/>
      <c r="E129" s="103" t="n"/>
      <c r="F129" s="166" t="n"/>
      <c r="G129" s="166" t="n"/>
      <c r="H129" s="166" t="n"/>
      <c r="I129" s="1301" t="n"/>
      <c r="J129" s="1301" t="n"/>
      <c r="K129" s="1301" t="n"/>
      <c r="L129" s="166" t="n"/>
      <c r="M129" s="166" t="n"/>
      <c r="N129" s="1301" t="n"/>
      <c r="O129" s="166" t="n"/>
      <c r="P129" s="1931" t="n"/>
      <c r="Q129" s="1932" t="n"/>
      <c r="R129" s="166" t="n"/>
      <c r="S129" s="107" t="n"/>
      <c r="T129" s="126" t="n"/>
      <c r="U129" s="166" t="n"/>
    </row>
    <row r="130" ht="14.4" customHeight="1" s="876">
      <c r="A130" s="92" t="n">
        <v>126</v>
      </c>
      <c r="B130" s="116">
        <f>IF(INDEX(MO_SNA_IsHistoricalPeriod,,MATCH(F130,MO_Common_ColumnHeader,0)),"Historical","Forward")</f>
        <v/>
      </c>
      <c r="C130" s="166" t="n"/>
      <c r="D130" s="123">
        <f>INDEX(INDIRECT(E130),0,COLUMN(MO_Common_Column_A))</f>
        <v/>
      </c>
      <c r="E130" s="117" t="inlineStr">
        <is>
          <t>MO_RIS_REV</t>
        </is>
      </c>
      <c r="F130" s="116" t="inlineStr">
        <is>
          <t>Q1-2022</t>
        </is>
      </c>
      <c r="G130" s="116" t="n"/>
      <c r="H130" s="166" t="n"/>
      <c r="I130" s="1928" t="n">
        <v>16600</v>
      </c>
      <c r="J130" s="1928" t="n">
        <v>17200</v>
      </c>
      <c r="K130" s="1928">
        <f>AVERAGE(I130:J130)</f>
        <v/>
      </c>
      <c r="L130" s="166" t="n"/>
      <c r="M130" s="116">
        <f>IF(INDEX(MO_SNA_IsHistoricalPeriod,,MATCH(F130,MO_Common_ColumnHeader,0)),"Actual","Estimate")</f>
        <v/>
      </c>
      <c r="N130" s="1928">
        <f>IFERROR(INDEX(INDIRECT(E130),0,MATCH(F130,MO_Common_ColumnHeader,0)),"N/A")/INDEX(z_M2B13B0184_MO_OS_Weightedaverageforeignexchangedratereported,0,MATCH(F130,MO_Common_ColumnHeader,0))</f>
        <v/>
      </c>
      <c r="O130" s="166" t="n"/>
      <c r="P130" s="1929">
        <f>IF(ISNUMBER(N130),N130-K130,"N/A")</f>
        <v/>
      </c>
      <c r="Q130" s="1930">
        <f>IFERROR(IF(ISNUMBER(N130),(N130-K130)/ABS(K130),"N/A"),"N/A")</f>
        <v/>
      </c>
      <c r="R130" s="166" t="n"/>
      <c r="S130" s="119" t="n">
        <v>44573</v>
      </c>
      <c r="T130" s="209" t="inlineStr">
        <is>
          <t>Press Release</t>
        </is>
      </c>
      <c r="U130" s="166" t="n"/>
    </row>
    <row r="131" ht="14.4" customHeight="1" s="876">
      <c r="A131" s="92" t="n">
        <v>125</v>
      </c>
      <c r="B131" s="116">
        <f>IF(INDEX(MO_SNA_IsHistoricalPeriod,,MATCH(F131,MO_Common_ColumnHeader,0)),"Historical","Forward")</f>
        <v/>
      </c>
      <c r="C131" s="166" t="n"/>
      <c r="D131" s="123">
        <f>INDEX(INDIRECT(E131),0,COLUMN(MO_Common_Column_A))</f>
        <v/>
      </c>
      <c r="E131" s="117" t="inlineStr">
        <is>
          <t>z_M2B13B0184_MO_OS_Weightedaverageforeignexchangedratereported</t>
        </is>
      </c>
      <c r="F131" s="116" t="inlineStr">
        <is>
          <t>Q1-2022</t>
        </is>
      </c>
      <c r="G131" s="116" t="n"/>
      <c r="H131" s="166" t="n"/>
      <c r="I131" s="1928" t="n">
        <v>27.6</v>
      </c>
      <c r="J131" s="1928" t="n">
        <v>27.6</v>
      </c>
      <c r="K131" s="1928">
        <f>AVERAGE(I131:J131)</f>
        <v/>
      </c>
      <c r="L131" s="166" t="n"/>
      <c r="M131" s="116">
        <f>IF(INDEX(MO_SNA_IsHistoricalPeriod,,MATCH(F131,MO_Common_ColumnHeader,0)),"Actual","Estimate")</f>
        <v/>
      </c>
      <c r="N131" s="1928">
        <f>IFERROR(INDEX(INDIRECT(E131),0,MATCH(F131,MO_Common_ColumnHeader,0)),"N/A")</f>
        <v/>
      </c>
      <c r="O131" s="166" t="n"/>
      <c r="P131" s="1929">
        <f>IF(ISNUMBER(N131),N131-K131,"N/A")</f>
        <v/>
      </c>
      <c r="Q131" s="1930">
        <f>IFERROR(IF(ISNUMBER(N131),(N131-K131)/ABS(K131),"N/A"),"N/A")</f>
        <v/>
      </c>
      <c r="R131" s="166" t="n"/>
      <c r="S131" s="119" t="n">
        <v>44573</v>
      </c>
      <c r="T131" s="209" t="inlineStr">
        <is>
          <t>Press Release</t>
        </is>
      </c>
      <c r="U131" s="166" t="n"/>
    </row>
    <row r="132" ht="14.4" customHeight="1" s="876">
      <c r="A132" s="92" t="n">
        <v>124</v>
      </c>
      <c r="B132" s="116">
        <f>IF(INDEX(MO_SNA_IsHistoricalPeriod,,MATCH(F132,MO_Common_ColumnHeader,0)),"Historical","Forward")</f>
        <v/>
      </c>
      <c r="C132" s="166" t="n"/>
      <c r="D132" s="123">
        <f>INDEX(INDIRECT(E132),0,COLUMN(MO_Common_Column_A))</f>
        <v/>
      </c>
      <c r="E132" s="117" t="inlineStr">
        <is>
          <t>MO_MA_GM</t>
        </is>
      </c>
      <c r="F132" s="116" t="inlineStr">
        <is>
          <t>Q1-2022</t>
        </is>
      </c>
      <c r="G132" s="116" t="n"/>
      <c r="H132" s="166" t="n"/>
      <c r="I132" s="1933" t="n">
        <v>0.53</v>
      </c>
      <c r="J132" s="1933" t="n">
        <v>0.55</v>
      </c>
      <c r="K132" s="1933">
        <f>AVERAGE(I132:J132)</f>
        <v/>
      </c>
      <c r="L132" s="166" t="n"/>
      <c r="M132" s="116">
        <f>IF(INDEX(MO_SNA_IsHistoricalPeriod,,MATCH(F132,MO_Common_ColumnHeader,0)),"Actual","Estimate")</f>
        <v/>
      </c>
      <c r="N132" s="1933">
        <f>IFERROR(INDEX(INDIRECT(E132),0,MATCH(F132,MO_Common_ColumnHeader,0)),"N/A")</f>
        <v/>
      </c>
      <c r="O132" s="166" t="n"/>
      <c r="P132" s="1930">
        <f>IF(ISNUMBER(N132),N132-K132,"N/A")</f>
        <v/>
      </c>
      <c r="Q132" s="1930">
        <f>IFERROR(IF(ISNUMBER(N132),(N132-K132)/ABS(K132),"N/A"),"N/A")</f>
        <v/>
      </c>
      <c r="R132" s="166" t="n"/>
      <c r="S132" s="119" t="n">
        <v>44573</v>
      </c>
      <c r="T132" s="209" t="inlineStr">
        <is>
          <t>Press Release</t>
        </is>
      </c>
      <c r="U132" s="166" t="n"/>
    </row>
    <row r="133" ht="14.4" customHeight="1" s="876">
      <c r="A133" s="92" t="n">
        <v>123</v>
      </c>
      <c r="B133" s="116">
        <f>IF(INDEX(MO_SNA_IsHistoricalPeriod,,MATCH(F133,MO_Common_ColumnHeader,0)),"Historical","Forward")</f>
        <v/>
      </c>
      <c r="C133" s="166" t="n"/>
      <c r="D133" s="123" t="inlineStr">
        <is>
          <t>Operating Profit Margin</t>
        </is>
      </c>
      <c r="E133" s="117" t="n"/>
      <c r="F133" s="116" t="inlineStr">
        <is>
          <t>Q1-2022</t>
        </is>
      </c>
      <c r="G133" s="116" t="n"/>
      <c r="H133" s="166" t="n"/>
      <c r="I133" s="1933" t="n">
        <v>0.42</v>
      </c>
      <c r="J133" s="1933" t="n">
        <v>0.44</v>
      </c>
      <c r="K133" s="1933">
        <f>AVERAGE(I133:J133)</f>
        <v/>
      </c>
      <c r="L133" s="166" t="n"/>
      <c r="M133" s="116">
        <f>IF(INDEX(MO_SNA_IsHistoricalPeriod,,MATCH(F133,MO_Common_ColumnHeader,0)),"Actual","Estimate")</f>
        <v/>
      </c>
      <c r="N133" s="1933">
        <f>INDEX(MO_RIS_EBIT,0,MATCH(F133,MO_Common_ColumnHeader,0))/INDEX(MO_RIS_REV,0,MATCH(F133,MO_Common_ColumnHeader,0))</f>
        <v/>
      </c>
      <c r="O133" s="166" t="n"/>
      <c r="P133" s="1930">
        <f>IF(ISNUMBER(N133),N133-K133,"N/A")</f>
        <v/>
      </c>
      <c r="Q133" s="1930">
        <f>IFERROR(IF(ISNUMBER(N133),(N133-K133)/ABS(K133),"N/A"),"N/A")</f>
        <v/>
      </c>
      <c r="R133" s="166" t="n"/>
      <c r="S133" s="119" t="n">
        <v>44573</v>
      </c>
      <c r="T133" s="209" t="inlineStr">
        <is>
          <t>Press Release</t>
        </is>
      </c>
      <c r="U133" s="166" t="n"/>
    </row>
    <row r="134" ht="14.4" customHeight="1" s="876">
      <c r="A134" s="92" t="n">
        <v>122</v>
      </c>
      <c r="B134" s="166" t="n"/>
      <c r="C134" s="166" t="n"/>
      <c r="D134" s="102" t="n"/>
      <c r="E134" s="103" t="n"/>
      <c r="F134" s="166" t="n"/>
      <c r="G134" s="166" t="n"/>
      <c r="H134" s="166" t="n"/>
      <c r="I134" s="1301" t="n"/>
      <c r="J134" s="1301" t="n"/>
      <c r="K134" s="1301" t="n"/>
      <c r="L134" s="166" t="n"/>
      <c r="M134" s="166" t="n"/>
      <c r="N134" s="1301" t="n"/>
      <c r="O134" s="166" t="n"/>
      <c r="P134" s="1931" t="n"/>
      <c r="Q134" s="1932" t="n"/>
      <c r="R134" s="166" t="n"/>
      <c r="S134" s="107" t="n"/>
      <c r="T134" s="126" t="n"/>
      <c r="U134" s="166" t="n"/>
    </row>
    <row r="135" ht="14.4" customHeight="1" s="876">
      <c r="A135" s="92" t="n">
        <v>121</v>
      </c>
      <c r="B135" s="116">
        <f>IF(INDEX(MO_SNA_IsHistoricalPeriod,,MATCH(F135,MO_Common_ColumnHeader,0)),"Historical","Forward")</f>
        <v/>
      </c>
      <c r="C135" s="166" t="n"/>
      <c r="D135" s="123">
        <f>INDEX(INDIRECT(E135),0,COLUMN(MO_Common_Column_A))</f>
        <v/>
      </c>
      <c r="E135" s="117" t="inlineStr">
        <is>
          <t>MO_CFSum_Capex</t>
        </is>
      </c>
      <c r="F135" s="116" t="inlineStr">
        <is>
          <t>FY2021</t>
        </is>
      </c>
      <c r="G135" s="116" t="n"/>
      <c r="H135" s="166" t="n"/>
      <c r="I135" s="1928" t="n">
        <v>-30000</v>
      </c>
      <c r="J135" s="1928" t="n">
        <v>-30000</v>
      </c>
      <c r="K135" s="1928">
        <f>AVERAGE(I135:J135)</f>
        <v/>
      </c>
      <c r="L135" s="166" t="n"/>
      <c r="M135" s="116">
        <f>IF(INDEX(MO_SNA_IsHistoricalPeriod,,MATCH(F135,MO_Common_ColumnHeader,0)),"Actual","Estimate")</f>
        <v/>
      </c>
      <c r="N135" s="1928">
        <f>IFERROR(INDEX(INDIRECT(E135),0,MATCH(F135,MO_Common_ColumnHeader,0)),"N/A")*INDEX(MO_VA_FX_Average,0,MATCH(F135,MO_Common_ColumnHeader,0))</f>
        <v/>
      </c>
      <c r="O135" s="166" t="n"/>
      <c r="P135" s="1929">
        <f>IF(ISNUMBER(N135),N135-K135,"N/A")</f>
        <v/>
      </c>
      <c r="Q135" s="1930">
        <f>IFERROR(IF(ISNUMBER(N135),(N135-K135)/ABS(K135),"N/A"),"N/A")</f>
        <v/>
      </c>
      <c r="R135" s="166" t="n"/>
      <c r="S135" s="119" t="n">
        <v>44483</v>
      </c>
      <c r="T135" s="209" t="inlineStr">
        <is>
          <t>Earnings Call Transcript</t>
        </is>
      </c>
      <c r="U135" s="166" t="n"/>
    </row>
    <row r="136" ht="14.4" customHeight="1" s="876">
      <c r="A136" s="92" t="n">
        <v>120</v>
      </c>
      <c r="B136" s="166" t="n"/>
      <c r="C136" s="166" t="n"/>
      <c r="D136" s="102" t="n"/>
      <c r="E136" s="103" t="n"/>
      <c r="F136" s="166" t="n"/>
      <c r="G136" s="166" t="n"/>
      <c r="H136" s="166" t="n"/>
      <c r="I136" s="1301" t="n"/>
      <c r="J136" s="1301" t="n"/>
      <c r="K136" s="1301" t="n"/>
      <c r="L136" s="166" t="n"/>
      <c r="M136" s="166" t="n"/>
      <c r="N136" s="1301" t="n"/>
      <c r="O136" s="166" t="n"/>
      <c r="P136" s="1931" t="n"/>
      <c r="Q136" s="1932" t="n"/>
      <c r="R136" s="166" t="n"/>
      <c r="S136" s="107" t="n"/>
      <c r="T136" s="126" t="n"/>
      <c r="U136" s="166" t="n"/>
    </row>
    <row r="137" ht="14.4" customHeight="1" s="876">
      <c r="A137" s="92" t="n">
        <v>119</v>
      </c>
      <c r="B137" s="116">
        <f>IF(INDEX(MO_SNA_IsHistoricalPeriod,,MATCH(F137,MO_Common_ColumnHeader,0)),"Historical","Forward")</f>
        <v/>
      </c>
      <c r="C137" s="166" t="n"/>
      <c r="D137" s="123">
        <f>INDEX(INDIRECT(E137),0,COLUMN(MO_Common_Column_A))</f>
        <v/>
      </c>
      <c r="E137" s="117" t="inlineStr">
        <is>
          <t>MO_RIS_REV</t>
        </is>
      </c>
      <c r="F137" s="116" t="inlineStr">
        <is>
          <t>Q4-2021</t>
        </is>
      </c>
      <c r="G137" s="116" t="n"/>
      <c r="H137" s="166" t="n"/>
      <c r="I137" s="1928" t="n">
        <v>15400</v>
      </c>
      <c r="J137" s="1928" t="n">
        <v>15700</v>
      </c>
      <c r="K137" s="1928">
        <f>AVERAGE(I137:J137)</f>
        <v/>
      </c>
      <c r="L137" s="166" t="n"/>
      <c r="M137" s="116">
        <f>IF(INDEX(MO_SNA_IsHistoricalPeriod,,MATCH(F137,MO_Common_ColumnHeader,0)),"Actual","Estimate")</f>
        <v/>
      </c>
      <c r="N137" s="1928">
        <f>IFERROR(INDEX(INDIRECT(E137),0,MATCH(F137,MO_Common_ColumnHeader,0)),"N/A")/INDEX(z_M2B13B0184_MO_OS_Weightedaverageforeignexchangedratereported,0,MATCH(F137,MO_Common_ColumnHeader,0))</f>
        <v/>
      </c>
      <c r="O137" s="166" t="n"/>
      <c r="P137" s="1929">
        <f>IF(ISNUMBER(N137),N137-K137,"N/A")</f>
        <v/>
      </c>
      <c r="Q137" s="1930">
        <f>IFERROR(IF(ISNUMBER(N137),(N137-K137)/ABS(K137),"N/A"),"N/A")</f>
        <v/>
      </c>
      <c r="R137" s="166" t="n"/>
      <c r="S137" s="119" t="n">
        <v>44483</v>
      </c>
      <c r="T137" s="209" t="inlineStr">
        <is>
          <t>Press Release</t>
        </is>
      </c>
      <c r="U137" s="166" t="n"/>
    </row>
    <row r="138" ht="14.4" customHeight="1" s="876">
      <c r="A138" s="92" t="n">
        <v>118</v>
      </c>
      <c r="B138" s="116">
        <f>IF(INDEX(MO_SNA_IsHistoricalPeriod,,MATCH(F138,MO_Common_ColumnHeader,0)),"Historical","Forward")</f>
        <v/>
      </c>
      <c r="C138" s="166" t="n"/>
      <c r="D138" s="123">
        <f>INDEX(INDIRECT(E138),0,COLUMN(MO_Common_Column_A))</f>
        <v/>
      </c>
      <c r="E138" s="117" t="inlineStr">
        <is>
          <t>z_M2B13B0184_MO_OS_Weightedaverageforeignexchangedratereported</t>
        </is>
      </c>
      <c r="F138" s="116" t="inlineStr">
        <is>
          <t>Q4-2021</t>
        </is>
      </c>
      <c r="G138" s="116" t="n"/>
      <c r="H138" s="166" t="n"/>
      <c r="I138" s="1928" t="n">
        <v>28</v>
      </c>
      <c r="J138" s="1928" t="n">
        <v>28</v>
      </c>
      <c r="K138" s="1928">
        <f>AVERAGE(I138:J138)</f>
        <v/>
      </c>
      <c r="L138" s="166" t="n"/>
      <c r="M138" s="116">
        <f>IF(INDEX(MO_SNA_IsHistoricalPeriod,,MATCH(F138,MO_Common_ColumnHeader,0)),"Actual","Estimate")</f>
        <v/>
      </c>
      <c r="N138" s="1928">
        <f>IFERROR(INDEX(INDIRECT(E138),0,MATCH(F138,MO_Common_ColumnHeader,0)),"N/A")</f>
        <v/>
      </c>
      <c r="O138" s="166" t="n"/>
      <c r="P138" s="1929">
        <f>IF(ISNUMBER(N138),N138-K138,"N/A")</f>
        <v/>
      </c>
      <c r="Q138" s="1930">
        <f>IFERROR(IF(ISNUMBER(N138),(N138-K138)/ABS(K138),"N/A"),"N/A")</f>
        <v/>
      </c>
      <c r="R138" s="166" t="n"/>
      <c r="S138" s="119" t="n">
        <v>44483</v>
      </c>
      <c r="T138" s="209" t="inlineStr">
        <is>
          <t>Press Release</t>
        </is>
      </c>
      <c r="U138" s="166" t="n"/>
    </row>
    <row r="139" ht="14.4" customHeight="1" s="876">
      <c r="A139" s="92" t="n">
        <v>117</v>
      </c>
      <c r="B139" s="116">
        <f>IF(INDEX(MO_SNA_IsHistoricalPeriod,,MATCH(F139,MO_Common_ColumnHeader,0)),"Historical","Forward")</f>
        <v/>
      </c>
      <c r="C139" s="166" t="n"/>
      <c r="D139" s="123">
        <f>INDEX(INDIRECT(E139),0,COLUMN(MO_Common_Column_A))</f>
        <v/>
      </c>
      <c r="E139" s="117" t="inlineStr">
        <is>
          <t>MO_MA_GM</t>
        </is>
      </c>
      <c r="F139" s="116" t="inlineStr">
        <is>
          <t>Q4-2021</t>
        </is>
      </c>
      <c r="G139" s="116" t="n"/>
      <c r="H139" s="166" t="n"/>
      <c r="I139" s="1933" t="n">
        <v>0.51</v>
      </c>
      <c r="J139" s="1933" t="n">
        <v>0.53</v>
      </c>
      <c r="K139" s="1933">
        <f>AVERAGE(I139:J139)</f>
        <v/>
      </c>
      <c r="L139" s="166" t="n"/>
      <c r="M139" s="116">
        <f>IF(INDEX(MO_SNA_IsHistoricalPeriod,,MATCH(F139,MO_Common_ColumnHeader,0)),"Actual","Estimate")</f>
        <v/>
      </c>
      <c r="N139" s="1933">
        <f>IFERROR(INDEX(INDIRECT(E139),0,MATCH(F139,MO_Common_ColumnHeader,0)),"N/A")</f>
        <v/>
      </c>
      <c r="O139" s="166" t="n"/>
      <c r="P139" s="1930">
        <f>IF(ISNUMBER(N139),N139-K139,"N/A")</f>
        <v/>
      </c>
      <c r="Q139" s="1930">
        <f>IFERROR(IF(ISNUMBER(N139),(N139-K139)/ABS(K139),"N/A"),"N/A")</f>
        <v/>
      </c>
      <c r="R139" s="166" t="n"/>
      <c r="S139" s="119" t="n">
        <v>44483</v>
      </c>
      <c r="T139" s="209" t="inlineStr">
        <is>
          <t>Press Release</t>
        </is>
      </c>
      <c r="U139" s="166" t="n"/>
    </row>
    <row r="140" ht="14.4" customHeight="1" s="876">
      <c r="A140" s="92" t="n">
        <v>116</v>
      </c>
      <c r="B140" s="116">
        <f>IF(INDEX(MO_SNA_IsHistoricalPeriod,,MATCH(F140,MO_Common_ColumnHeader,0)),"Historical","Forward")</f>
        <v/>
      </c>
      <c r="C140" s="166" t="n"/>
      <c r="D140" s="123" t="inlineStr">
        <is>
          <t>Operating Profit Margin</t>
        </is>
      </c>
      <c r="E140" s="117" t="n"/>
      <c r="F140" s="116" t="inlineStr">
        <is>
          <t>Q4-2021</t>
        </is>
      </c>
      <c r="G140" s="116" t="n"/>
      <c r="H140" s="166" t="n"/>
      <c r="I140" s="1933" t="n">
        <v>0.39</v>
      </c>
      <c r="J140" s="1933" t="n">
        <v>0.41</v>
      </c>
      <c r="K140" s="1933">
        <f>AVERAGE(I140:J140)</f>
        <v/>
      </c>
      <c r="L140" s="166" t="n"/>
      <c r="M140" s="116">
        <f>IF(INDEX(MO_SNA_IsHistoricalPeriod,,MATCH(F140,MO_Common_ColumnHeader,0)),"Actual","Estimate")</f>
        <v/>
      </c>
      <c r="N140" s="1933">
        <f>INDEX(MO_RIS_EBIT,0,MATCH(F140,MO_Common_ColumnHeader,0))/INDEX(MO_RIS_REV,0,MATCH(F140,MO_Common_ColumnHeader,0))</f>
        <v/>
      </c>
      <c r="O140" s="166" t="n"/>
      <c r="P140" s="1930">
        <f>IF(ISNUMBER(N140),N140-K140,"N/A")</f>
        <v/>
      </c>
      <c r="Q140" s="1930">
        <f>IFERROR(IF(ISNUMBER(N140),(N140-K140)/ABS(K140),"N/A"),"N/A")</f>
        <v/>
      </c>
      <c r="R140" s="166" t="n"/>
      <c r="S140" s="119" t="n">
        <v>44483</v>
      </c>
      <c r="T140" s="209" t="inlineStr">
        <is>
          <t>Press Release</t>
        </is>
      </c>
      <c r="U140" s="166" t="n"/>
    </row>
    <row r="141" ht="14.4" customHeight="1" s="876">
      <c r="A141" s="92" t="n">
        <v>115</v>
      </c>
      <c r="B141" s="166" t="n"/>
      <c r="C141" s="166" t="n"/>
      <c r="D141" s="102" t="n"/>
      <c r="E141" s="103" t="n"/>
      <c r="F141" s="166" t="n"/>
      <c r="G141" s="166" t="n"/>
      <c r="H141" s="166" t="n"/>
      <c r="I141" s="1301" t="n"/>
      <c r="J141" s="1301" t="n"/>
      <c r="K141" s="1301" t="n"/>
      <c r="L141" s="166" t="n"/>
      <c r="M141" s="166" t="n"/>
      <c r="N141" s="1301" t="n"/>
      <c r="O141" s="166" t="n"/>
      <c r="P141" s="1931" t="n"/>
      <c r="Q141" s="1932" t="n"/>
      <c r="R141" s="166" t="n"/>
      <c r="S141" s="107" t="n"/>
      <c r="T141" s="126" t="n"/>
      <c r="U141" s="166" t="n"/>
    </row>
    <row r="142" ht="14.4" customHeight="1" s="876">
      <c r="A142" s="92" t="n">
        <v>114</v>
      </c>
      <c r="B142" s="116">
        <f>IF(INDEX(MO_SNA_IsHistoricalPeriod,,MATCH(F142,MO_Common_ColumnHeader,0)),"Historical","Forward")</f>
        <v/>
      </c>
      <c r="C142" s="166" t="n"/>
      <c r="D142" s="123">
        <f>INDEX(INDIRECT(E142),0,COLUMN(MO_Common_Column_A))</f>
        <v/>
      </c>
      <c r="E142" s="117" t="inlineStr">
        <is>
          <t>MO_RIS_REV</t>
        </is>
      </c>
      <c r="F142" s="116" t="inlineStr">
        <is>
          <t>Q3-2021</t>
        </is>
      </c>
      <c r="G142" s="116" t="n"/>
      <c r="H142" s="166" t="n"/>
      <c r="I142" s="1928" t="n">
        <v>14600</v>
      </c>
      <c r="J142" s="1928" t="n">
        <v>14900</v>
      </c>
      <c r="K142" s="1928">
        <f>AVERAGE(I142:J142)</f>
        <v/>
      </c>
      <c r="L142" s="166" t="n"/>
      <c r="M142" s="116">
        <f>IF(INDEX(MO_SNA_IsHistoricalPeriod,,MATCH(F142,MO_Common_ColumnHeader,0)),"Actual","Estimate")</f>
        <v/>
      </c>
      <c r="N142" s="1928">
        <f>IFERROR(INDEX(INDIRECT(E142),0,MATCH(F142,MO_Common_ColumnHeader,0)),"N/A")/INDEX(z_M2B13B0184_MO_OS_Weightedaverageforeignexchangedratereported,0,MATCH(F142,MO_Common_ColumnHeader,0))</f>
        <v/>
      </c>
      <c r="O142" s="166" t="n"/>
      <c r="P142" s="1929">
        <f>IF(ISNUMBER(N142),N142-K142,"N/A")</f>
        <v/>
      </c>
      <c r="Q142" s="1930">
        <f>IFERROR(IF(ISNUMBER(N142),(N142-K142)/ABS(K142),"N/A"),"N/A")</f>
        <v/>
      </c>
      <c r="R142" s="166" t="n"/>
      <c r="S142" s="119" t="n">
        <v>44392</v>
      </c>
      <c r="T142" s="209" t="inlineStr">
        <is>
          <t>Press Release</t>
        </is>
      </c>
      <c r="U142" s="166" t="n"/>
    </row>
    <row r="143" ht="14.4" customHeight="1" s="876">
      <c r="A143" s="92" t="n">
        <v>113</v>
      </c>
      <c r="B143" s="116">
        <f>IF(INDEX(MO_SNA_IsHistoricalPeriod,,MATCH(F143,MO_Common_ColumnHeader,0)),"Historical","Forward")</f>
        <v/>
      </c>
      <c r="C143" s="166" t="n"/>
      <c r="D143" s="123">
        <f>INDEX(INDIRECT(E143),0,COLUMN(MO_Common_Column_A))</f>
        <v/>
      </c>
      <c r="E143" s="117" t="inlineStr">
        <is>
          <t>z_M2B13B0184_MO_OS_Weightedaverageforeignexchangedratereported</t>
        </is>
      </c>
      <c r="F143" s="116" t="inlineStr">
        <is>
          <t>Q3-2021</t>
        </is>
      </c>
      <c r="G143" s="116" t="n"/>
      <c r="H143" s="166" t="n"/>
      <c r="I143" s="1928" t="n">
        <v>27.9</v>
      </c>
      <c r="J143" s="1928" t="n">
        <v>27.9</v>
      </c>
      <c r="K143" s="1928">
        <f>AVERAGE(I143:J143)</f>
        <v/>
      </c>
      <c r="L143" s="166" t="n"/>
      <c r="M143" s="116">
        <f>IF(INDEX(MO_SNA_IsHistoricalPeriod,,MATCH(F143,MO_Common_ColumnHeader,0)),"Actual","Estimate")</f>
        <v/>
      </c>
      <c r="N143" s="1928">
        <f>IFERROR(INDEX(INDIRECT(E143),0,MATCH(F143,MO_Common_ColumnHeader,0)),"N/A")</f>
        <v/>
      </c>
      <c r="O143" s="166" t="n"/>
      <c r="P143" s="1929">
        <f>IF(ISNUMBER(N143),N143-K143,"N/A")</f>
        <v/>
      </c>
      <c r="Q143" s="1930">
        <f>IFERROR(IF(ISNUMBER(N143),(N143-K143)/ABS(K143),"N/A"),"N/A")</f>
        <v/>
      </c>
      <c r="R143" s="166" t="n"/>
      <c r="S143" s="119" t="n">
        <v>44392</v>
      </c>
      <c r="T143" s="209" t="inlineStr">
        <is>
          <t>Press Release</t>
        </is>
      </c>
      <c r="U143" s="166" t="n"/>
    </row>
    <row r="144" ht="14.4" customHeight="1" s="876">
      <c r="A144" s="92" t="n">
        <v>112</v>
      </c>
      <c r="B144" s="116">
        <f>IF(INDEX(MO_SNA_IsHistoricalPeriod,,MATCH(F144,MO_Common_ColumnHeader,0)),"Historical","Forward")</f>
        <v/>
      </c>
      <c r="C144" s="166" t="n"/>
      <c r="D144" s="123">
        <f>INDEX(INDIRECT(E144),0,COLUMN(MO_Common_Column_A))</f>
        <v/>
      </c>
      <c r="E144" s="117" t="inlineStr">
        <is>
          <t>MO_MA_GM</t>
        </is>
      </c>
      <c r="F144" s="116" t="inlineStr">
        <is>
          <t>Q3-2021</t>
        </is>
      </c>
      <c r="G144" s="116" t="n"/>
      <c r="H144" s="166" t="n"/>
      <c r="I144" s="1933" t="n">
        <v>0.495</v>
      </c>
      <c r="J144" s="1933" t="n">
        <v>0.515</v>
      </c>
      <c r="K144" s="1933">
        <f>AVERAGE(I144:J144)</f>
        <v/>
      </c>
      <c r="L144" s="166" t="n"/>
      <c r="M144" s="116">
        <f>IF(INDEX(MO_SNA_IsHistoricalPeriod,,MATCH(F144,MO_Common_ColumnHeader,0)),"Actual","Estimate")</f>
        <v/>
      </c>
      <c r="N144" s="1933">
        <f>IFERROR(INDEX(INDIRECT(E144),0,MATCH(F144,MO_Common_ColumnHeader,0)),"N/A")</f>
        <v/>
      </c>
      <c r="O144" s="166" t="n"/>
      <c r="P144" s="1930">
        <f>IF(ISNUMBER(N144),N144-K144,"N/A")</f>
        <v/>
      </c>
      <c r="Q144" s="1930">
        <f>IFERROR(IF(ISNUMBER(N144),(N144-K144)/ABS(K144),"N/A"),"N/A")</f>
        <v/>
      </c>
      <c r="R144" s="166" t="n"/>
      <c r="S144" s="119" t="n">
        <v>44392</v>
      </c>
      <c r="T144" s="209" t="inlineStr">
        <is>
          <t>Press Release</t>
        </is>
      </c>
      <c r="U144" s="166" t="n"/>
    </row>
    <row r="145" ht="14.4" customHeight="1" s="876">
      <c r="A145" s="92" t="n">
        <v>111</v>
      </c>
      <c r="B145" s="116">
        <f>IF(INDEX(MO_SNA_IsHistoricalPeriod,,MATCH(F145,MO_Common_ColumnHeader,0)),"Historical","Forward")</f>
        <v/>
      </c>
      <c r="C145" s="166" t="n"/>
      <c r="D145" s="123" t="inlineStr">
        <is>
          <t>Operating Profit Margin</t>
        </is>
      </c>
      <c r="E145" s="117" t="n"/>
      <c r="F145" s="116" t="inlineStr">
        <is>
          <t>Q3-2021</t>
        </is>
      </c>
      <c r="G145" s="116" t="n"/>
      <c r="H145" s="166" t="n"/>
      <c r="I145" s="1933" t="n">
        <v>0.385</v>
      </c>
      <c r="J145" s="1933" t="n">
        <v>0.405</v>
      </c>
      <c r="K145" s="1933">
        <f>AVERAGE(I145:J145)</f>
        <v/>
      </c>
      <c r="L145" s="166" t="n"/>
      <c r="M145" s="116">
        <f>IF(INDEX(MO_SNA_IsHistoricalPeriod,,MATCH(F145,MO_Common_ColumnHeader,0)),"Actual","Estimate")</f>
        <v/>
      </c>
      <c r="N145" s="1933">
        <f>INDEX(MO_RIS_EBIT,0,MATCH(F145,MO_Common_ColumnHeader,0))/INDEX(MO_RIS_REV,0,MATCH(F145,MO_Common_ColumnHeader,0))</f>
        <v/>
      </c>
      <c r="O145" s="166" t="n"/>
      <c r="P145" s="1930">
        <f>IF(ISNUMBER(N145),N145-K145,"N/A")</f>
        <v/>
      </c>
      <c r="Q145" s="1930">
        <f>IFERROR(IF(ISNUMBER(N145),(N145-K145)/ABS(K145),"N/A"),"N/A")</f>
        <v/>
      </c>
      <c r="R145" s="166" t="n"/>
      <c r="S145" s="119" t="n">
        <v>44392</v>
      </c>
      <c r="T145" s="209" t="inlineStr">
        <is>
          <t>Press Release</t>
        </is>
      </c>
      <c r="U145" s="166" t="n"/>
    </row>
    <row r="146" ht="14.4" customHeight="1" s="876">
      <c r="A146" s="92" t="n">
        <v>110</v>
      </c>
      <c r="B146" s="166" t="n"/>
      <c r="C146" s="166" t="n"/>
      <c r="D146" s="102" t="n"/>
      <c r="E146" s="103" t="n"/>
      <c r="F146" s="166" t="n"/>
      <c r="G146" s="166" t="n"/>
      <c r="H146" s="166" t="n"/>
      <c r="I146" s="1301" t="n"/>
      <c r="J146" s="1301" t="n"/>
      <c r="K146" s="1301" t="n"/>
      <c r="L146" s="166" t="n"/>
      <c r="M146" s="166" t="n"/>
      <c r="N146" s="1301" t="n"/>
      <c r="O146" s="166" t="n"/>
      <c r="P146" s="1931" t="n"/>
      <c r="Q146" s="1932" t="n"/>
      <c r="R146" s="166" t="n"/>
      <c r="S146" s="107" t="n"/>
      <c r="T146" s="126" t="n"/>
      <c r="U146" s="166" t="n"/>
    </row>
    <row r="147" ht="14.4" customHeight="1" s="876">
      <c r="A147" s="92" t="n">
        <v>109</v>
      </c>
      <c r="B147" s="116">
        <f>IF(INDEX(MO_SNA_IsHistoricalPeriod,,MATCH(F147,MO_Common_ColumnHeader,0)),"Historical","Forward")</f>
        <v/>
      </c>
      <c r="C147" s="166" t="n"/>
      <c r="D147" s="123">
        <f>INDEX(INDIRECT(E147),0,COLUMN(MO_Common_Column_A))</f>
        <v/>
      </c>
      <c r="E147" s="117" t="inlineStr">
        <is>
          <t>MO_CFSum_Capex</t>
        </is>
      </c>
      <c r="F147" s="116" t="inlineStr">
        <is>
          <t>FY2021</t>
        </is>
      </c>
      <c r="G147" s="116" t="n"/>
      <c r="H147" s="166" t="n"/>
      <c r="I147" s="1928" t="n">
        <v>-30000</v>
      </c>
      <c r="J147" s="1928" t="n">
        <v>-30000</v>
      </c>
      <c r="K147" s="1928">
        <f>AVERAGE(I147:J147)</f>
        <v/>
      </c>
      <c r="L147" s="166" t="n"/>
      <c r="M147" s="116">
        <f>IF(INDEX(MO_SNA_IsHistoricalPeriod,,MATCH(F147,MO_Common_ColumnHeader,0)),"Actual","Estimate")</f>
        <v/>
      </c>
      <c r="N147" s="1928">
        <f>IFERROR(INDEX(INDIRECT(E147),0,MATCH(F147,MO_Common_ColumnHeader,0)),"N/A")*INDEX(MO_VA_FX_Average,0,MATCH(F147,MO_Common_ColumnHeader,0))</f>
        <v/>
      </c>
      <c r="O147" s="166" t="n"/>
      <c r="P147" s="1929">
        <f>IF(ISNUMBER(N147),N147-K147,"N/A")</f>
        <v/>
      </c>
      <c r="Q147" s="1930">
        <f>IFERROR(IF(ISNUMBER(N147),(N147-K147)/ABS(K147),"N/A"),"N/A")</f>
        <v/>
      </c>
      <c r="R147" s="166" t="n"/>
      <c r="S147" s="119" t="n">
        <v>44301</v>
      </c>
      <c r="T147" s="209" t="inlineStr">
        <is>
          <t>Press Release</t>
        </is>
      </c>
      <c r="U147" s="166" t="n"/>
    </row>
    <row r="148" ht="14.4" customHeight="1" s="876">
      <c r="A148" s="92" t="n">
        <v>108</v>
      </c>
      <c r="B148" s="166" t="n"/>
      <c r="C148" s="166" t="n"/>
      <c r="D148" s="102" t="n"/>
      <c r="E148" s="103" t="n"/>
      <c r="F148" s="166" t="n"/>
      <c r="G148" s="166" t="n"/>
      <c r="H148" s="166" t="n"/>
      <c r="I148" s="1301" t="n"/>
      <c r="J148" s="1301" t="n"/>
      <c r="K148" s="1301" t="n"/>
      <c r="L148" s="166" t="n"/>
      <c r="M148" s="166" t="n"/>
      <c r="N148" s="1301" t="n"/>
      <c r="O148" s="166" t="n"/>
      <c r="P148" s="1931" t="n"/>
      <c r="Q148" s="1932" t="n"/>
      <c r="R148" s="166" t="n"/>
      <c r="S148" s="107" t="n"/>
      <c r="T148" s="126" t="n"/>
      <c r="U148" s="166" t="n"/>
    </row>
    <row r="149" ht="14.4" customHeight="1" s="876">
      <c r="A149" s="92" t="n">
        <v>107</v>
      </c>
      <c r="B149" s="116">
        <f>IF(INDEX(MO_SNA_IsHistoricalPeriod,,MATCH(F149,MO_Common_ColumnHeader,0)),"Historical","Forward")</f>
        <v/>
      </c>
      <c r="C149" s="166" t="n"/>
      <c r="D149" s="123">
        <f>INDEX(INDIRECT(E149),0,COLUMN(MO_Common_Column_A))</f>
        <v/>
      </c>
      <c r="E149" s="117" t="inlineStr">
        <is>
          <t>MO_RIS_REV</t>
        </is>
      </c>
      <c r="F149" s="116" t="inlineStr">
        <is>
          <t>Q2-2021</t>
        </is>
      </c>
      <c r="G149" s="116" t="n"/>
      <c r="H149" s="166" t="n"/>
      <c r="I149" s="1928" t="n">
        <v>12900</v>
      </c>
      <c r="J149" s="1928" t="n">
        <v>13200</v>
      </c>
      <c r="K149" s="1928">
        <f>AVERAGE(I149:J149)</f>
        <v/>
      </c>
      <c r="L149" s="166" t="n"/>
      <c r="M149" s="116">
        <f>IF(INDEX(MO_SNA_IsHistoricalPeriod,,MATCH(F149,MO_Common_ColumnHeader,0)),"Actual","Estimate")</f>
        <v/>
      </c>
      <c r="N149" s="1928">
        <f>IFERROR(INDEX(INDIRECT(E149),0,MATCH(F149,MO_Common_ColumnHeader,0)),"N/A")/INDEX(z_M2B13B0184_MO_OS_Weightedaverageforeignexchangedratereported,0,MATCH(F149,MO_Common_ColumnHeader,0))</f>
        <v/>
      </c>
      <c r="O149" s="166" t="n"/>
      <c r="P149" s="1929">
        <f>IF(ISNUMBER(N149),N149-K149,"N/A")</f>
        <v/>
      </c>
      <c r="Q149" s="1930">
        <f>IFERROR(IF(ISNUMBER(N149),(N149-K149)/ABS(K149),"N/A"),"N/A")</f>
        <v/>
      </c>
      <c r="R149" s="166" t="n"/>
      <c r="S149" s="119" t="n">
        <v>44301</v>
      </c>
      <c r="T149" s="209" t="inlineStr">
        <is>
          <t>Press Release</t>
        </is>
      </c>
      <c r="U149" s="166" t="n"/>
    </row>
    <row r="150" ht="14.4" customHeight="1" s="876">
      <c r="A150" s="92" t="n">
        <v>106</v>
      </c>
      <c r="B150" s="116">
        <f>IF(INDEX(MO_SNA_IsHistoricalPeriod,,MATCH(F150,MO_Common_ColumnHeader,0)),"Historical","Forward")</f>
        <v/>
      </c>
      <c r="C150" s="166" t="n"/>
      <c r="D150" s="123">
        <f>INDEX(INDIRECT(E150),0,COLUMN(MO_Common_Column_A))</f>
        <v/>
      </c>
      <c r="E150" s="117" t="inlineStr">
        <is>
          <t>z_M2B13B0184_MO_OS_Weightedaverageforeignexchangedratereported</t>
        </is>
      </c>
      <c r="F150" s="116" t="inlineStr">
        <is>
          <t>Q2-2021</t>
        </is>
      </c>
      <c r="G150" s="116" t="n"/>
      <c r="H150" s="166" t="n"/>
      <c r="I150" s="1928" t="n">
        <v>28.4</v>
      </c>
      <c r="J150" s="1928" t="n">
        <v>28.4</v>
      </c>
      <c r="K150" s="1928">
        <f>AVERAGE(I150:J150)</f>
        <v/>
      </c>
      <c r="L150" s="166" t="n"/>
      <c r="M150" s="116">
        <f>IF(INDEX(MO_SNA_IsHistoricalPeriod,,MATCH(F150,MO_Common_ColumnHeader,0)),"Actual","Estimate")</f>
        <v/>
      </c>
      <c r="N150" s="1928">
        <f>IFERROR(INDEX(INDIRECT(E150),0,MATCH(F150,MO_Common_ColumnHeader,0)),"N/A")</f>
        <v/>
      </c>
      <c r="O150" s="166" t="n"/>
      <c r="P150" s="1929">
        <f>IF(ISNUMBER(N150),N150-K150,"N/A")</f>
        <v/>
      </c>
      <c r="Q150" s="1930">
        <f>IFERROR(IF(ISNUMBER(N150),(N150-K150)/ABS(K150),"N/A"),"N/A")</f>
        <v/>
      </c>
      <c r="R150" s="166" t="n"/>
      <c r="S150" s="119" t="n">
        <v>44301</v>
      </c>
      <c r="T150" s="209" t="inlineStr">
        <is>
          <t>Press Release</t>
        </is>
      </c>
      <c r="U150" s="166" t="n"/>
    </row>
    <row r="151" ht="14.4" customHeight="1" s="876">
      <c r="A151" s="92" t="n">
        <v>105</v>
      </c>
      <c r="B151" s="116">
        <f>IF(INDEX(MO_SNA_IsHistoricalPeriod,,MATCH(F151,MO_Common_ColumnHeader,0)),"Historical","Forward")</f>
        <v/>
      </c>
      <c r="C151" s="166" t="n"/>
      <c r="D151" s="123">
        <f>INDEX(INDIRECT(E151),0,COLUMN(MO_Common_Column_A))</f>
        <v/>
      </c>
      <c r="E151" s="117" t="inlineStr">
        <is>
          <t>MO_MA_GM</t>
        </is>
      </c>
      <c r="F151" s="116" t="inlineStr">
        <is>
          <t>Q2-2021</t>
        </is>
      </c>
      <c r="G151" s="116" t="n"/>
      <c r="H151" s="166" t="n"/>
      <c r="I151" s="1933" t="n">
        <v>0.495</v>
      </c>
      <c r="J151" s="1933" t="n">
        <v>0.515</v>
      </c>
      <c r="K151" s="1933">
        <f>AVERAGE(I151:J151)</f>
        <v/>
      </c>
      <c r="L151" s="166" t="n"/>
      <c r="M151" s="116">
        <f>IF(INDEX(MO_SNA_IsHistoricalPeriod,,MATCH(F151,MO_Common_ColumnHeader,0)),"Actual","Estimate")</f>
        <v/>
      </c>
      <c r="N151" s="1933">
        <f>IFERROR(INDEX(INDIRECT(E151),0,MATCH(F151,MO_Common_ColumnHeader,0)),"N/A")</f>
        <v/>
      </c>
      <c r="O151" s="166" t="n"/>
      <c r="P151" s="1930">
        <f>IF(ISNUMBER(N151),N151-K151,"N/A")</f>
        <v/>
      </c>
      <c r="Q151" s="1930">
        <f>IFERROR(IF(ISNUMBER(N151),(N151-K151)/ABS(K151),"N/A"),"N/A")</f>
        <v/>
      </c>
      <c r="R151" s="166" t="n"/>
      <c r="S151" s="119" t="n">
        <v>44301</v>
      </c>
      <c r="T151" s="209" t="inlineStr">
        <is>
          <t>Press Release</t>
        </is>
      </c>
      <c r="U151" s="166" t="n"/>
    </row>
    <row r="152" ht="14.4" customHeight="1" s="876">
      <c r="A152" s="92" t="n">
        <v>104</v>
      </c>
      <c r="B152" s="116">
        <f>IF(INDEX(MO_SNA_IsHistoricalPeriod,,MATCH(F152,MO_Common_ColumnHeader,0)),"Historical","Forward")</f>
        <v/>
      </c>
      <c r="C152" s="166" t="n"/>
      <c r="D152" s="123" t="inlineStr">
        <is>
          <t>Operating Profit Margin</t>
        </is>
      </c>
      <c r="E152" s="117" t="n"/>
      <c r="F152" s="116" t="inlineStr">
        <is>
          <t>Q2-2021</t>
        </is>
      </c>
      <c r="G152" s="116" t="n"/>
      <c r="H152" s="166" t="n"/>
      <c r="I152" s="1933" t="n">
        <v>0.385</v>
      </c>
      <c r="J152" s="1933" t="n">
        <v>0.405</v>
      </c>
      <c r="K152" s="1933">
        <f>AVERAGE(I152:J152)</f>
        <v/>
      </c>
      <c r="L152" s="166" t="n"/>
      <c r="M152" s="116">
        <f>IF(INDEX(MO_SNA_IsHistoricalPeriod,,MATCH(F152,MO_Common_ColumnHeader,0)),"Actual","Estimate")</f>
        <v/>
      </c>
      <c r="N152" s="1933">
        <f>INDEX(MO_RIS_EBIT,0,MATCH(F152,MO_Common_ColumnHeader,0))/INDEX(MO_RIS_REV,0,MATCH(F152,MO_Common_ColumnHeader,0))</f>
        <v/>
      </c>
      <c r="O152" s="166" t="n"/>
      <c r="P152" s="1930">
        <f>IF(ISNUMBER(N152),N152-K152,"N/A")</f>
        <v/>
      </c>
      <c r="Q152" s="1930">
        <f>IFERROR(IF(ISNUMBER(N152),(N152-K152)/ABS(K152),"N/A"),"N/A")</f>
        <v/>
      </c>
      <c r="R152" s="166" t="n"/>
      <c r="S152" s="119" t="n">
        <v>44301</v>
      </c>
      <c r="T152" s="209" t="inlineStr">
        <is>
          <t>Press Release</t>
        </is>
      </c>
      <c r="U152" s="166" t="n"/>
    </row>
    <row r="153" ht="14.4" customHeight="1" s="876">
      <c r="A153" s="92" t="n">
        <v>103</v>
      </c>
      <c r="B153" s="166" t="n"/>
      <c r="C153" s="166" t="n"/>
      <c r="D153" s="102" t="n"/>
      <c r="E153" s="103" t="n"/>
      <c r="F153" s="166" t="n"/>
      <c r="G153" s="166" t="n"/>
      <c r="H153" s="166" t="n"/>
      <c r="I153" s="1301" t="n"/>
      <c r="J153" s="1301" t="n"/>
      <c r="K153" s="1301" t="n"/>
      <c r="L153" s="166" t="n"/>
      <c r="M153" s="166" t="n"/>
      <c r="N153" s="1301" t="n"/>
      <c r="O153" s="166" t="n"/>
      <c r="P153" s="1931" t="n"/>
      <c r="Q153" s="1932" t="n"/>
      <c r="R153" s="166" t="n"/>
      <c r="S153" s="107" t="n"/>
      <c r="T153" s="126" t="n"/>
      <c r="U153" s="166" t="n"/>
    </row>
    <row r="154" ht="14.4" customHeight="1" s="876">
      <c r="A154" s="92" t="n">
        <v>102</v>
      </c>
      <c r="B154" s="116">
        <f>IF(INDEX(MO_SNA_IsHistoricalPeriod,,MATCH(F154,MO_Common_ColumnHeader,0)),"Historical","Forward")</f>
        <v/>
      </c>
      <c r="C154" s="166" t="n"/>
      <c r="D154" s="123">
        <f>INDEX(INDIRECT(E154),0,COLUMN(MO_Common_Column_A))</f>
        <v/>
      </c>
      <c r="E154" s="117" t="inlineStr">
        <is>
          <t>MO_CFSum_Capex</t>
        </is>
      </c>
      <c r="F154" s="116" t="inlineStr">
        <is>
          <t>FY2021</t>
        </is>
      </c>
      <c r="G154" s="116" t="n"/>
      <c r="H154" s="166" t="n"/>
      <c r="I154" s="1928" t="n">
        <v>-28000</v>
      </c>
      <c r="J154" s="1928" t="n">
        <v>-25000</v>
      </c>
      <c r="K154" s="1928">
        <f>AVERAGE(I154:J154)</f>
        <v/>
      </c>
      <c r="L154" s="166" t="n"/>
      <c r="M154" s="116">
        <f>IF(INDEX(MO_SNA_IsHistoricalPeriod,,MATCH(F154,MO_Common_ColumnHeader,0)),"Actual","Estimate")</f>
        <v/>
      </c>
      <c r="N154" s="1928">
        <f>IFERROR(INDEX(INDIRECT(E154),0,MATCH(F154,MO_Common_ColumnHeader,0)),"N/A")*INDEX(MO_VA_FX_Average,0,MATCH(F154,MO_Common_ColumnHeader,0))</f>
        <v/>
      </c>
      <c r="O154" s="166" t="n"/>
      <c r="P154" s="1929">
        <f>IF(ISNUMBER(N154),N154-K154,"N/A")</f>
        <v/>
      </c>
      <c r="Q154" s="1930">
        <f>IFERROR(IF(ISNUMBER(N154),(N154-K154)/ABS(K154),"N/A"),"N/A")</f>
        <v/>
      </c>
      <c r="R154" s="166" t="n"/>
      <c r="S154" s="119" t="n">
        <v>44210</v>
      </c>
      <c r="T154" s="209" t="inlineStr">
        <is>
          <t>Transcript</t>
        </is>
      </c>
      <c r="U154" s="166" t="n"/>
    </row>
    <row r="155" ht="14.4" customHeight="1" s="876">
      <c r="A155" s="92" t="n">
        <v>101</v>
      </c>
      <c r="B155" s="116">
        <f>IF(INDEX(MO_SNA_IsHistoricalPeriod,,MATCH(F155,MO_Common_ColumnHeader,0)),"Historical","Forward")</f>
        <v/>
      </c>
      <c r="C155" s="166" t="n"/>
      <c r="D155" s="123">
        <f>INDEX(INDIRECT(E155),0,COLUMN(MO_Common_Column_A))</f>
        <v/>
      </c>
      <c r="E155" s="117" t="inlineStr">
        <is>
          <t>MO_RIS_TaxRate_Current</t>
        </is>
      </c>
      <c r="F155" s="116" t="inlineStr">
        <is>
          <t>FY2021</t>
        </is>
      </c>
      <c r="G155" s="116" t="n"/>
      <c r="H155" s="166" t="n"/>
      <c r="I155" s="1933" t="n">
        <v>0.1</v>
      </c>
      <c r="J155" s="1933" t="n">
        <v>0.11</v>
      </c>
      <c r="K155" s="1933">
        <f>AVERAGE(I155:J155)</f>
        <v/>
      </c>
      <c r="L155" s="166" t="n"/>
      <c r="M155" s="116">
        <f>IF(INDEX(MO_SNA_IsHistoricalPeriod,,MATCH(F155,MO_Common_ColumnHeader,0)),"Actual","Estimate")</f>
        <v/>
      </c>
      <c r="N155" s="1933">
        <f>IFERROR(INDEX(INDIRECT(E155),0,MATCH(F155,MO_Common_ColumnHeader,0)),"N/A")</f>
        <v/>
      </c>
      <c r="O155" s="166" t="n"/>
      <c r="P155" s="1930">
        <f>IF(ISNUMBER(N155),N155-K155,"N/A")</f>
        <v/>
      </c>
      <c r="Q155" s="1930">
        <f>IFERROR(IF(ISNUMBER(N155),(N155-K155)/ABS(K155),"N/A"),"N/A")</f>
        <v/>
      </c>
      <c r="R155" s="166" t="n"/>
      <c r="S155" s="119" t="n">
        <v>44210</v>
      </c>
      <c r="T155" s="209" t="inlineStr">
        <is>
          <t>Transcript</t>
        </is>
      </c>
      <c r="U155" s="166" t="n"/>
    </row>
    <row r="156" ht="14.4" customHeight="1" s="876">
      <c r="A156" s="92" t="n">
        <v>100</v>
      </c>
      <c r="B156" s="166" t="n"/>
      <c r="C156" s="166" t="n"/>
      <c r="D156" s="102" t="n"/>
      <c r="E156" s="103" t="n"/>
      <c r="F156" s="166" t="n"/>
      <c r="G156" s="166" t="n"/>
      <c r="H156" s="166" t="n"/>
      <c r="I156" s="1301" t="n"/>
      <c r="J156" s="1301" t="n"/>
      <c r="K156" s="1301" t="n"/>
      <c r="L156" s="166" t="n"/>
      <c r="M156" s="166" t="n"/>
      <c r="N156" s="1301" t="n"/>
      <c r="O156" s="166" t="n"/>
      <c r="P156" s="1931" t="n"/>
      <c r="Q156" s="1932" t="n"/>
      <c r="R156" s="166" t="n"/>
      <c r="S156" s="107" t="n"/>
      <c r="T156" s="126" t="n"/>
      <c r="U156" s="166" t="n"/>
    </row>
    <row r="157" ht="14.4" customHeight="1" s="876">
      <c r="A157" s="92" t="n">
        <v>99</v>
      </c>
      <c r="B157" s="116">
        <f>IF(INDEX(MO_SNA_IsHistoricalPeriod,,MATCH(F157,MO_Common_ColumnHeader,0)),"Historical","Forward")</f>
        <v/>
      </c>
      <c r="C157" s="166" t="n"/>
      <c r="D157" s="123">
        <f>INDEX(INDIRECT(E157),0,COLUMN(MO_Common_Column_A))</f>
        <v/>
      </c>
      <c r="E157" s="117" t="inlineStr">
        <is>
          <t>MO_RIS_REV</t>
        </is>
      </c>
      <c r="F157" s="116" t="inlineStr">
        <is>
          <t>Q1-2021</t>
        </is>
      </c>
      <c r="G157" s="116" t="n"/>
      <c r="H157" s="166" t="n"/>
      <c r="I157" s="1928" t="n">
        <v>12700</v>
      </c>
      <c r="J157" s="1928" t="n">
        <v>13000</v>
      </c>
      <c r="K157" s="1928">
        <f>AVERAGE(I157:J157)</f>
        <v/>
      </c>
      <c r="L157" s="166" t="n"/>
      <c r="M157" s="116">
        <f>IF(INDEX(MO_SNA_IsHistoricalPeriod,,MATCH(F157,MO_Common_ColumnHeader,0)),"Actual","Estimate")</f>
        <v/>
      </c>
      <c r="N157" s="1928">
        <f>IFERROR(INDEX(INDIRECT(E157),0,MATCH(F157,MO_Common_ColumnHeader,0)),"N/A")/INDEX(z_M2B13B0184_MO_OS_Weightedaverageforeignexchangedratereported,0,MATCH(F157,MO_Common_ColumnHeader,0))</f>
        <v/>
      </c>
      <c r="O157" s="166" t="n"/>
      <c r="P157" s="1929">
        <f>IF(ISNUMBER(N157),N157-K157,"N/A")</f>
        <v/>
      </c>
      <c r="Q157" s="1930">
        <f>IFERROR(IF(ISNUMBER(N157),(N157-K157)/ABS(K157),"N/A"),"N/A")</f>
        <v/>
      </c>
      <c r="R157" s="166" t="n"/>
      <c r="S157" s="119" t="n">
        <v>44210</v>
      </c>
      <c r="T157" s="209" t="inlineStr">
        <is>
          <t>Press Release</t>
        </is>
      </c>
      <c r="U157" s="166" t="n"/>
    </row>
    <row r="158" ht="14.4" customHeight="1" s="876">
      <c r="A158" s="92" t="n">
        <v>98</v>
      </c>
      <c r="B158" s="116">
        <f>IF(INDEX(MO_SNA_IsHistoricalPeriod,,MATCH(F158,MO_Common_ColumnHeader,0)),"Historical","Forward")</f>
        <v/>
      </c>
      <c r="C158" s="166" t="n"/>
      <c r="D158" s="123">
        <f>INDEX(INDIRECT(E158),0,COLUMN(MO_Common_Column_A))</f>
        <v/>
      </c>
      <c r="E158" s="117" t="inlineStr">
        <is>
          <t>z_M2B13B0184_MO_OS_Weightedaverageforeignexchangedratereported</t>
        </is>
      </c>
      <c r="F158" s="116" t="inlineStr">
        <is>
          <t>Q1-2021</t>
        </is>
      </c>
      <c r="G158" s="116" t="n"/>
      <c r="H158" s="166" t="n"/>
      <c r="I158" s="1928" t="n">
        <v>27.95</v>
      </c>
      <c r="J158" s="1928" t="n">
        <v>27.95</v>
      </c>
      <c r="K158" s="1928">
        <f>AVERAGE(I158:J158)</f>
        <v/>
      </c>
      <c r="L158" s="166" t="n"/>
      <c r="M158" s="116">
        <f>IF(INDEX(MO_SNA_IsHistoricalPeriod,,MATCH(F158,MO_Common_ColumnHeader,0)),"Actual","Estimate")</f>
        <v/>
      </c>
      <c r="N158" s="1928">
        <f>IFERROR(INDEX(INDIRECT(E158),0,MATCH(F158,MO_Common_ColumnHeader,0)),"N/A")</f>
        <v/>
      </c>
      <c r="O158" s="166" t="n"/>
      <c r="P158" s="1929">
        <f>IF(ISNUMBER(N158),N158-K158,"N/A")</f>
        <v/>
      </c>
      <c r="Q158" s="1930">
        <f>IFERROR(IF(ISNUMBER(N158),(N158-K158)/ABS(K158),"N/A"),"N/A")</f>
        <v/>
      </c>
      <c r="R158" s="166" t="n"/>
      <c r="S158" s="119" t="n">
        <v>44210</v>
      </c>
      <c r="T158" s="209" t="inlineStr">
        <is>
          <t>Press Release</t>
        </is>
      </c>
      <c r="U158" s="166" t="n"/>
    </row>
    <row r="159" ht="14.4" customHeight="1" s="876">
      <c r="A159" s="92" t="n">
        <v>97</v>
      </c>
      <c r="B159" s="116">
        <f>IF(INDEX(MO_SNA_IsHistoricalPeriod,,MATCH(F159,MO_Common_ColumnHeader,0)),"Historical","Forward")</f>
        <v/>
      </c>
      <c r="C159" s="166" t="n"/>
      <c r="D159" s="123">
        <f>INDEX(INDIRECT(E159),0,COLUMN(MO_Common_Column_A))</f>
        <v/>
      </c>
      <c r="E159" s="117" t="inlineStr">
        <is>
          <t>MO_MA_GM</t>
        </is>
      </c>
      <c r="F159" s="116" t="inlineStr">
        <is>
          <t>Q1-2021</t>
        </is>
      </c>
      <c r="G159" s="116" t="n"/>
      <c r="H159" s="166" t="n"/>
      <c r="I159" s="1933" t="n">
        <v>0.505</v>
      </c>
      <c r="J159" s="1933" t="n">
        <v>0.525</v>
      </c>
      <c r="K159" s="1933">
        <f>AVERAGE(I159:J159)</f>
        <v/>
      </c>
      <c r="L159" s="166" t="n"/>
      <c r="M159" s="116">
        <f>IF(INDEX(MO_SNA_IsHistoricalPeriod,,MATCH(F159,MO_Common_ColumnHeader,0)),"Actual","Estimate")</f>
        <v/>
      </c>
      <c r="N159" s="1933">
        <f>IFERROR(INDEX(INDIRECT(E159),0,MATCH(F159,MO_Common_ColumnHeader,0)),"N/A")</f>
        <v/>
      </c>
      <c r="O159" s="166" t="n"/>
      <c r="P159" s="1930">
        <f>IF(ISNUMBER(N159),N159-K159,"N/A")</f>
        <v/>
      </c>
      <c r="Q159" s="1930">
        <f>IFERROR(IF(ISNUMBER(N159),(N159-K159)/ABS(K159),"N/A"),"N/A")</f>
        <v/>
      </c>
      <c r="R159" s="166" t="n"/>
      <c r="S159" s="119" t="n">
        <v>44210</v>
      </c>
      <c r="T159" s="209" t="inlineStr">
        <is>
          <t>Press Release</t>
        </is>
      </c>
      <c r="U159" s="166" t="n"/>
    </row>
    <row r="160" ht="14.4" customHeight="1" s="876">
      <c r="A160" s="92" t="n">
        <v>96</v>
      </c>
      <c r="B160" s="116">
        <f>IF(INDEX(MO_SNA_IsHistoricalPeriod,,MATCH(F160,MO_Common_ColumnHeader,0)),"Historical","Forward")</f>
        <v/>
      </c>
      <c r="C160" s="166" t="n"/>
      <c r="D160" s="123" t="inlineStr">
        <is>
          <t>Operating Profit Margin</t>
        </is>
      </c>
      <c r="E160" s="117" t="n"/>
      <c r="F160" s="116" t="inlineStr">
        <is>
          <t>Q1-2021</t>
        </is>
      </c>
      <c r="G160" s="116" t="n"/>
      <c r="H160" s="166" t="n"/>
      <c r="I160" s="1933" t="n">
        <v>0.395</v>
      </c>
      <c r="J160" s="1933" t="n">
        <v>0.415</v>
      </c>
      <c r="K160" s="1933">
        <f>AVERAGE(I160:J160)</f>
        <v/>
      </c>
      <c r="L160" s="166" t="n"/>
      <c r="M160" s="116">
        <f>IF(INDEX(MO_SNA_IsHistoricalPeriod,,MATCH(F160,MO_Common_ColumnHeader,0)),"Actual","Estimate")</f>
        <v/>
      </c>
      <c r="N160" s="1933">
        <f>INDEX(MO_RIS_EBIT,0,MATCH(F160,MO_Common_ColumnHeader,0))/INDEX(MO_RIS_REV,0,MATCH(F160,MO_Common_ColumnHeader,0))</f>
        <v/>
      </c>
      <c r="O160" s="166" t="n"/>
      <c r="P160" s="1930">
        <f>IF(ISNUMBER(N160),N160-K160,"N/A")</f>
        <v/>
      </c>
      <c r="Q160" s="1930">
        <f>IFERROR(IF(ISNUMBER(N160),(N160-K160)/ABS(K160),"N/A"),"N/A")</f>
        <v/>
      </c>
      <c r="R160" s="166" t="n"/>
      <c r="S160" s="119" t="n">
        <v>44210</v>
      </c>
      <c r="T160" s="209" t="inlineStr">
        <is>
          <t>Press Release</t>
        </is>
      </c>
      <c r="U160" s="166" t="n"/>
    </row>
    <row r="161" ht="14.4" customHeight="1" s="876">
      <c r="A161" s="92" t="n">
        <v>95</v>
      </c>
      <c r="B161" s="166" t="n"/>
      <c r="C161" s="166" t="n"/>
      <c r="D161" s="102" t="n"/>
      <c r="E161" s="103" t="n"/>
      <c r="F161" s="166" t="n"/>
      <c r="G161" s="166" t="n"/>
      <c r="H161" s="166" t="n"/>
      <c r="I161" s="1301" t="n"/>
      <c r="J161" s="1301" t="n"/>
      <c r="K161" s="1301" t="n"/>
      <c r="L161" s="166" t="n"/>
      <c r="M161" s="166" t="n"/>
      <c r="N161" s="1301" t="n"/>
      <c r="O161" s="166" t="n"/>
      <c r="P161" s="1931" t="n"/>
      <c r="Q161" s="1932" t="n"/>
      <c r="R161" s="166" t="n"/>
      <c r="S161" s="107" t="n"/>
      <c r="T161" s="126" t="n"/>
      <c r="U161" s="166" t="n"/>
    </row>
    <row r="162" ht="14.4" customHeight="1" s="876">
      <c r="A162" s="92" t="n">
        <v>94</v>
      </c>
      <c r="B162" s="116">
        <f>IF(INDEX(MO_SNA_IsHistoricalPeriod,,MATCH(F162,MO_Common_ColumnHeader,0)),"Historical","Forward")</f>
        <v/>
      </c>
      <c r="C162" s="166" t="n"/>
      <c r="D162" s="123">
        <f>INDEX(INDIRECT(E162),0,COLUMN(MO_Common_Column_A))</f>
        <v/>
      </c>
      <c r="E162" s="117" t="inlineStr">
        <is>
          <t>MO_CFSum_Capex</t>
        </is>
      </c>
      <c r="F162" s="116" t="inlineStr">
        <is>
          <t>FY2020</t>
        </is>
      </c>
      <c r="G162" s="116" t="n"/>
      <c r="H162" s="166" t="n"/>
      <c r="I162" s="1928" t="n">
        <v>-17000</v>
      </c>
      <c r="J162" s="1928" t="n">
        <v>-17000</v>
      </c>
      <c r="K162" s="1928">
        <f>AVERAGE(I162:J162)</f>
        <v/>
      </c>
      <c r="L162" s="166" t="n"/>
      <c r="M162" s="116">
        <f>IF(INDEX(MO_SNA_IsHistoricalPeriod,,MATCH(F162,MO_Common_ColumnHeader,0)),"Actual","Estimate")</f>
        <v/>
      </c>
      <c r="N162" s="1928">
        <f>IFERROR(INDEX(INDIRECT(E162),0,MATCH(F162,MO_Common_ColumnHeader,0)),"N/A")*INDEX(MO_VA_FX_Average,0,MATCH(F162,MO_Common_ColumnHeader,0))</f>
        <v/>
      </c>
      <c r="O162" s="166" t="n"/>
      <c r="P162" s="1929">
        <f>IF(ISNUMBER(N162),N162-K162,"N/A")</f>
        <v/>
      </c>
      <c r="Q162" s="1930">
        <f>IFERROR(IF(ISNUMBER(N162),(N162-K162)/ABS(K162),"N/A"),"N/A")</f>
        <v/>
      </c>
      <c r="R162" s="166" t="n"/>
      <c r="S162" s="119" t="n">
        <v>44119</v>
      </c>
      <c r="T162" s="209" t="inlineStr">
        <is>
          <t>Transcript</t>
        </is>
      </c>
      <c r="U162" s="166" t="n"/>
    </row>
    <row r="163" ht="14.4" customHeight="1" s="876">
      <c r="A163" s="92" t="n">
        <v>93</v>
      </c>
      <c r="B163" s="166" t="n"/>
      <c r="C163" s="166" t="n"/>
      <c r="D163" s="102" t="n"/>
      <c r="E163" s="103" t="n"/>
      <c r="F163" s="166" t="n"/>
      <c r="G163" s="166" t="n"/>
      <c r="H163" s="166" t="n"/>
      <c r="I163" s="1301" t="n"/>
      <c r="J163" s="1301" t="n"/>
      <c r="K163" s="1301" t="n"/>
      <c r="L163" s="166" t="n"/>
      <c r="M163" s="166" t="n"/>
      <c r="N163" s="1301" t="n"/>
      <c r="O163" s="166" t="n"/>
      <c r="P163" s="1931" t="n"/>
      <c r="Q163" s="1932" t="n"/>
      <c r="R163" s="166" t="n"/>
      <c r="S163" s="107" t="n"/>
      <c r="T163" s="126" t="n"/>
      <c r="U163" s="166" t="n"/>
    </row>
    <row r="164" ht="14.4" customHeight="1" s="876">
      <c r="A164" s="92" t="n">
        <v>92</v>
      </c>
      <c r="B164" s="116">
        <f>IF(INDEX(MO_SNA_IsHistoricalPeriod,,MATCH(F164,MO_Common_ColumnHeader,0)),"Historical","Forward")</f>
        <v/>
      </c>
      <c r="C164" s="166" t="n"/>
      <c r="D164" s="123">
        <f>INDEX(INDIRECT(E164),0,COLUMN(MO_Common_Column_A))</f>
        <v/>
      </c>
      <c r="E164" s="117" t="inlineStr">
        <is>
          <t>MO_RIS_REV</t>
        </is>
      </c>
      <c r="F164" s="116" t="inlineStr">
        <is>
          <t>Q4-2020</t>
        </is>
      </c>
      <c r="G164" s="116" t="n"/>
      <c r="H164" s="166" t="n"/>
      <c r="I164" s="1928" t="n">
        <v>12400</v>
      </c>
      <c r="J164" s="1928" t="n">
        <v>12700</v>
      </c>
      <c r="K164" s="1928">
        <f>AVERAGE(I164:J164)</f>
        <v/>
      </c>
      <c r="L164" s="166" t="n"/>
      <c r="M164" s="116">
        <f>IF(INDEX(MO_SNA_IsHistoricalPeriod,,MATCH(F164,MO_Common_ColumnHeader,0)),"Actual","Estimate")</f>
        <v/>
      </c>
      <c r="N164" s="1928">
        <f>IFERROR(INDEX(INDIRECT(E164),0,MATCH(F164,MO_Common_ColumnHeader,0)),"N/A")/INDEX(z_M2B13B0184_MO_OS_Weightedaverageforeignexchangedratereported,0,MATCH(F164,MO_Common_ColumnHeader,0))</f>
        <v/>
      </c>
      <c r="O164" s="166" t="n"/>
      <c r="P164" s="1929">
        <f>IF(ISNUMBER(N164),N164-K164,"N/A")</f>
        <v/>
      </c>
      <c r="Q164" s="1930">
        <f>IFERROR(IF(ISNUMBER(N164),(N164-K164)/ABS(K164),"N/A"),"N/A")</f>
        <v/>
      </c>
      <c r="R164" s="166" t="n"/>
      <c r="S164" s="119" t="n">
        <v>44119</v>
      </c>
      <c r="T164" s="209" t="inlineStr">
        <is>
          <t>Press Release</t>
        </is>
      </c>
      <c r="U164" s="166" t="n"/>
    </row>
    <row r="165" ht="14.4" customHeight="1" s="876">
      <c r="A165" s="92" t="n">
        <v>91</v>
      </c>
      <c r="B165" s="116">
        <f>IF(INDEX(MO_SNA_IsHistoricalPeriod,,MATCH(F165,MO_Common_ColumnHeader,0)),"Historical","Forward")</f>
        <v/>
      </c>
      <c r="C165" s="166" t="n"/>
      <c r="D165" s="123">
        <f>INDEX(INDIRECT(E165),0,COLUMN(MO_Common_Column_A))</f>
        <v/>
      </c>
      <c r="E165" s="117" t="inlineStr">
        <is>
          <t>z_M2B13B0184_MO_OS_Weightedaverageforeignexchangedratereported</t>
        </is>
      </c>
      <c r="F165" s="116" t="inlineStr">
        <is>
          <t>Q4-2020</t>
        </is>
      </c>
      <c r="G165" s="116" t="n"/>
      <c r="H165" s="166" t="n"/>
      <c r="I165" s="1928" t="n">
        <v>28.75</v>
      </c>
      <c r="J165" s="1928" t="n">
        <v>28.75</v>
      </c>
      <c r="K165" s="1928">
        <f>AVERAGE(I165:J165)</f>
        <v/>
      </c>
      <c r="L165" s="166" t="n"/>
      <c r="M165" s="116">
        <f>IF(INDEX(MO_SNA_IsHistoricalPeriod,,MATCH(F165,MO_Common_ColumnHeader,0)),"Actual","Estimate")</f>
        <v/>
      </c>
      <c r="N165" s="1928">
        <f>IFERROR(INDEX(INDIRECT(E165),0,MATCH(F165,MO_Common_ColumnHeader,0)),"N/A")</f>
        <v/>
      </c>
      <c r="O165" s="166" t="n"/>
      <c r="P165" s="1929">
        <f>IF(ISNUMBER(N165),N165-K165,"N/A")</f>
        <v/>
      </c>
      <c r="Q165" s="1930">
        <f>IFERROR(IF(ISNUMBER(N165),(N165-K165)/ABS(K165),"N/A"),"N/A")</f>
        <v/>
      </c>
      <c r="R165" s="166" t="n"/>
      <c r="S165" s="119" t="n">
        <v>44119</v>
      </c>
      <c r="T165" s="209" t="inlineStr">
        <is>
          <t>Press Release</t>
        </is>
      </c>
      <c r="U165" s="166" t="n"/>
    </row>
    <row r="166" ht="14.4" customHeight="1" s="876">
      <c r="A166" s="92" t="n">
        <v>90</v>
      </c>
      <c r="B166" s="116">
        <f>IF(INDEX(MO_SNA_IsHistoricalPeriod,,MATCH(F166,MO_Common_ColumnHeader,0)),"Historical","Forward")</f>
        <v/>
      </c>
      <c r="C166" s="166" t="n"/>
      <c r="D166" s="123">
        <f>INDEX(INDIRECT(E166),0,COLUMN(MO_Common_Column_A))</f>
        <v/>
      </c>
      <c r="E166" s="117" t="inlineStr">
        <is>
          <t>MO_MA_GM</t>
        </is>
      </c>
      <c r="F166" s="116" t="inlineStr">
        <is>
          <t>Q4-2020</t>
        </is>
      </c>
      <c r="G166" s="116" t="n"/>
      <c r="H166" s="166" t="n"/>
      <c r="I166" s="1933" t="n">
        <v>0.515</v>
      </c>
      <c r="J166" s="1933" t="n">
        <v>0.535</v>
      </c>
      <c r="K166" s="1933">
        <f>AVERAGE(I166:J166)</f>
        <v/>
      </c>
      <c r="L166" s="166" t="n"/>
      <c r="M166" s="116">
        <f>IF(INDEX(MO_SNA_IsHistoricalPeriod,,MATCH(F166,MO_Common_ColumnHeader,0)),"Actual","Estimate")</f>
        <v/>
      </c>
      <c r="N166" s="1933">
        <f>IFERROR(INDEX(INDIRECT(E166),0,MATCH(F166,MO_Common_ColumnHeader,0)),"N/A")</f>
        <v/>
      </c>
      <c r="O166" s="166" t="n"/>
      <c r="P166" s="1930">
        <f>IF(ISNUMBER(N166),N166-K166,"N/A")</f>
        <v/>
      </c>
      <c r="Q166" s="1930">
        <f>IFERROR(IF(ISNUMBER(N166),(N166-K166)/ABS(K166),"N/A"),"N/A")</f>
        <v/>
      </c>
      <c r="R166" s="166" t="n"/>
      <c r="S166" s="119" t="n">
        <v>44119</v>
      </c>
      <c r="T166" s="209" t="inlineStr">
        <is>
          <t>Press Release</t>
        </is>
      </c>
      <c r="U166" s="166" t="n"/>
    </row>
    <row r="167" ht="14.4" customHeight="1" s="876">
      <c r="A167" s="92" t="n">
        <v>89</v>
      </c>
      <c r="B167" s="116">
        <f>IF(INDEX(MO_SNA_IsHistoricalPeriod,,MATCH(F167,MO_Common_ColumnHeader,0)),"Historical","Forward")</f>
        <v/>
      </c>
      <c r="C167" s="166" t="n"/>
      <c r="D167" s="123" t="inlineStr">
        <is>
          <t>Operating Profit Margin</t>
        </is>
      </c>
      <c r="E167" s="117" t="n"/>
      <c r="F167" s="116" t="inlineStr">
        <is>
          <t>Q4-2020</t>
        </is>
      </c>
      <c r="G167" s="116" t="n"/>
      <c r="H167" s="166" t="n"/>
      <c r="I167" s="1933" t="n">
        <v>0.405</v>
      </c>
      <c r="J167" s="1933" t="n">
        <v>0.425</v>
      </c>
      <c r="K167" s="1933">
        <f>AVERAGE(I167:J167)</f>
        <v/>
      </c>
      <c r="L167" s="166" t="n"/>
      <c r="M167" s="116">
        <f>IF(INDEX(MO_SNA_IsHistoricalPeriod,,MATCH(F167,MO_Common_ColumnHeader,0)),"Actual","Estimate")</f>
        <v/>
      </c>
      <c r="N167" s="1933">
        <f>INDEX(MO_RIS_EBIT,0,MATCH(F167,MO_Common_ColumnHeader,0))/INDEX(MO_RIS_REV,0,MATCH(F167,MO_Common_ColumnHeader,0))</f>
        <v/>
      </c>
      <c r="O167" s="166" t="n"/>
      <c r="P167" s="1930">
        <f>IF(ISNUMBER(N167),N167-K167,"N/A")</f>
        <v/>
      </c>
      <c r="Q167" s="1930">
        <f>IFERROR(IF(ISNUMBER(N167),(N167-K167)/ABS(K167),"N/A"),"N/A")</f>
        <v/>
      </c>
      <c r="R167" s="166" t="n"/>
      <c r="S167" s="119" t="n">
        <v>44119</v>
      </c>
      <c r="T167" s="209" t="inlineStr">
        <is>
          <t>Press Release</t>
        </is>
      </c>
      <c r="U167" s="166" t="n"/>
    </row>
    <row r="168" ht="14.4" customHeight="1" s="876">
      <c r="A168" s="92" t="n">
        <v>88</v>
      </c>
      <c r="B168" s="166" t="n"/>
      <c r="C168" s="166" t="n"/>
      <c r="D168" s="102" t="n"/>
      <c r="E168" s="103" t="n"/>
      <c r="F168" s="166" t="n"/>
      <c r="G168" s="166" t="n"/>
      <c r="H168" s="166" t="n"/>
      <c r="I168" s="1301" t="n"/>
      <c r="J168" s="1301" t="n"/>
      <c r="K168" s="1301" t="n"/>
      <c r="L168" s="166" t="n"/>
      <c r="M168" s="166" t="n"/>
      <c r="N168" s="1301" t="n"/>
      <c r="O168" s="166" t="n"/>
      <c r="P168" s="1931" t="n"/>
      <c r="Q168" s="1932" t="n"/>
      <c r="R168" s="166" t="n"/>
      <c r="S168" s="107" t="n"/>
      <c r="T168" s="126" t="n"/>
      <c r="U168" s="166" t="n"/>
    </row>
    <row r="169" ht="14.4" customHeight="1" s="876">
      <c r="A169" s="92" t="n">
        <v>87</v>
      </c>
      <c r="B169" s="116">
        <f>IF(INDEX(MO_SNA_IsHistoricalPeriod,,MATCH(F169,MO_Common_ColumnHeader,0)),"Historical","Forward")</f>
        <v/>
      </c>
      <c r="C169" s="166" t="n"/>
      <c r="D169" s="123">
        <f>INDEX(INDIRECT(E169),0,COLUMN(MO_Common_Column_A))</f>
        <v/>
      </c>
      <c r="E169" s="117" t="inlineStr">
        <is>
          <t>MO_CFSum_Capex</t>
        </is>
      </c>
      <c r="F169" s="116" t="inlineStr">
        <is>
          <t>FY2020</t>
        </is>
      </c>
      <c r="G169" s="116" t="n"/>
      <c r="H169" s="166" t="n"/>
      <c r="I169" s="1928" t="n">
        <v>-17000</v>
      </c>
      <c r="J169" s="1928" t="n">
        <v>-16000</v>
      </c>
      <c r="K169" s="1928">
        <f>AVERAGE(I169:J169)</f>
        <v/>
      </c>
      <c r="L169" s="166" t="n"/>
      <c r="M169" s="116">
        <f>IF(INDEX(MO_SNA_IsHistoricalPeriod,,MATCH(F169,MO_Common_ColumnHeader,0)),"Actual","Estimate")</f>
        <v/>
      </c>
      <c r="N169" s="1928">
        <f>IFERROR(INDEX(INDIRECT(E169),0,MATCH(F169,MO_Common_ColumnHeader,0)),"N/A")*INDEX(MO_VA_FX_Average,0,MATCH(F169,MO_Common_ColumnHeader,0))</f>
        <v/>
      </c>
      <c r="O169" s="166" t="n"/>
      <c r="P169" s="1929">
        <f>IF(ISNUMBER(N169),N169-K169,"N/A")</f>
        <v/>
      </c>
      <c r="Q169" s="1930">
        <f>IFERROR(IF(ISNUMBER(N169),(N169-K169)/ABS(K169),"N/A"),"N/A")</f>
        <v/>
      </c>
      <c r="R169" s="166" t="n"/>
      <c r="S169" s="119" t="n">
        <v>44028</v>
      </c>
      <c r="T169" s="209" t="inlineStr">
        <is>
          <t>Press Release</t>
        </is>
      </c>
      <c r="U169" s="166" t="n"/>
    </row>
    <row r="170" ht="14.4" customHeight="1" s="876">
      <c r="A170" s="92" t="n">
        <v>86</v>
      </c>
      <c r="B170" s="166" t="n"/>
      <c r="C170" s="166" t="n"/>
      <c r="D170" s="102" t="n"/>
      <c r="E170" s="103" t="n"/>
      <c r="F170" s="166" t="n"/>
      <c r="G170" s="166" t="n"/>
      <c r="H170" s="166" t="n"/>
      <c r="I170" s="1301" t="n"/>
      <c r="J170" s="1301" t="n"/>
      <c r="K170" s="1301" t="n"/>
      <c r="L170" s="166" t="n"/>
      <c r="M170" s="166" t="n"/>
      <c r="N170" s="1301" t="n"/>
      <c r="O170" s="166" t="n"/>
      <c r="P170" s="1931" t="n"/>
      <c r="Q170" s="1932" t="n"/>
      <c r="R170" s="166" t="n"/>
      <c r="S170" s="107" t="n"/>
      <c r="T170" s="126" t="n"/>
      <c r="U170" s="166" t="n"/>
    </row>
    <row r="171" ht="14.4" customHeight="1" s="876">
      <c r="A171" s="92" t="n">
        <v>85</v>
      </c>
      <c r="B171" s="116">
        <f>IF(INDEX(MO_SNA_IsHistoricalPeriod,,MATCH(F171,MO_Common_ColumnHeader,0)),"Historical","Forward")</f>
        <v/>
      </c>
      <c r="C171" s="166" t="n"/>
      <c r="D171" s="123">
        <f>INDEX(INDIRECT(E171),0,COLUMN(MO_Common_Column_A))</f>
        <v/>
      </c>
      <c r="E171" s="117" t="inlineStr">
        <is>
          <t>MO_RIS_REV</t>
        </is>
      </c>
      <c r="F171" s="116" t="inlineStr">
        <is>
          <t>Q3-2020</t>
        </is>
      </c>
      <c r="G171" s="116" t="n"/>
      <c r="H171" s="166" t="n"/>
      <c r="I171" s="1928" t="n">
        <v>11200</v>
      </c>
      <c r="J171" s="1928" t="n">
        <v>11500</v>
      </c>
      <c r="K171" s="1928">
        <f>AVERAGE(I171:J171)</f>
        <v/>
      </c>
      <c r="L171" s="166" t="n"/>
      <c r="M171" s="116">
        <f>IF(INDEX(MO_SNA_IsHistoricalPeriod,,MATCH(F171,MO_Common_ColumnHeader,0)),"Actual","Estimate")</f>
        <v/>
      </c>
      <c r="N171" s="1928">
        <f>IFERROR(INDEX(INDIRECT(E171),0,MATCH(F171,MO_Common_ColumnHeader,0)),"N/A")/INDEX(z_M2B13B0184_MO_OS_Weightedaverageforeignexchangedratereported,0,MATCH(F171,MO_Common_ColumnHeader,0))</f>
        <v/>
      </c>
      <c r="O171" s="166" t="n"/>
      <c r="P171" s="1929">
        <f>IF(ISNUMBER(N171),N171-K171,"N/A")</f>
        <v/>
      </c>
      <c r="Q171" s="1930">
        <f>IFERROR(IF(ISNUMBER(N171),(N171-K171)/ABS(K171),"N/A"),"N/A")</f>
        <v/>
      </c>
      <c r="R171" s="166" t="n"/>
      <c r="S171" s="119" t="n">
        <v>44028</v>
      </c>
      <c r="T171" s="209" t="inlineStr">
        <is>
          <t>Press Release</t>
        </is>
      </c>
      <c r="U171" s="166" t="n"/>
    </row>
    <row r="172" ht="14.4" customHeight="1" s="876">
      <c r="A172" s="92" t="n">
        <v>84</v>
      </c>
      <c r="B172" s="116">
        <f>IF(INDEX(MO_SNA_IsHistoricalPeriod,,MATCH(F172,MO_Common_ColumnHeader,0)),"Historical","Forward")</f>
        <v/>
      </c>
      <c r="C172" s="166" t="n"/>
      <c r="D172" s="123">
        <f>INDEX(INDIRECT(E172),0,COLUMN(MO_Common_Column_A))</f>
        <v/>
      </c>
      <c r="E172" s="117" t="inlineStr">
        <is>
          <t>z_M2B13B0184_MO_OS_Weightedaverageforeignexchangedratereported</t>
        </is>
      </c>
      <c r="F172" s="116" t="inlineStr">
        <is>
          <t>Q3-2020</t>
        </is>
      </c>
      <c r="G172" s="116" t="n"/>
      <c r="H172" s="166" t="n"/>
      <c r="I172" s="1928" t="n">
        <v>29.5</v>
      </c>
      <c r="J172" s="1928" t="n">
        <v>29.5</v>
      </c>
      <c r="K172" s="1928">
        <f>AVERAGE(I172:J172)</f>
        <v/>
      </c>
      <c r="L172" s="166" t="n"/>
      <c r="M172" s="116">
        <f>IF(INDEX(MO_SNA_IsHistoricalPeriod,,MATCH(F172,MO_Common_ColumnHeader,0)),"Actual","Estimate")</f>
        <v/>
      </c>
      <c r="N172" s="1928">
        <f>IFERROR(INDEX(INDIRECT(E172),0,MATCH(F172,MO_Common_ColumnHeader,0)),"N/A")</f>
        <v/>
      </c>
      <c r="O172" s="166" t="n"/>
      <c r="P172" s="1929">
        <f>IF(ISNUMBER(N172),N172-K172,"N/A")</f>
        <v/>
      </c>
      <c r="Q172" s="1930">
        <f>IFERROR(IF(ISNUMBER(N172),(N172-K172)/ABS(K172),"N/A"),"N/A")</f>
        <v/>
      </c>
      <c r="R172" s="166" t="n"/>
      <c r="S172" s="119" t="n">
        <v>44028</v>
      </c>
      <c r="T172" s="209" t="inlineStr">
        <is>
          <t>Press Release</t>
        </is>
      </c>
      <c r="U172" s="166" t="n"/>
    </row>
    <row r="173" ht="14.4" customHeight="1" s="876">
      <c r="A173" s="92" t="n">
        <v>83</v>
      </c>
      <c r="B173" s="116">
        <f>IF(INDEX(MO_SNA_IsHistoricalPeriod,,MATCH(F173,MO_Common_ColumnHeader,0)),"Historical","Forward")</f>
        <v/>
      </c>
      <c r="C173" s="166" t="n"/>
      <c r="D173" s="123">
        <f>INDEX(INDIRECT(E173),0,COLUMN(MO_Common_Column_A))</f>
        <v/>
      </c>
      <c r="E173" s="117" t="inlineStr">
        <is>
          <t>MO_MA_GM</t>
        </is>
      </c>
      <c r="F173" s="116" t="inlineStr">
        <is>
          <t>Q3-2020</t>
        </is>
      </c>
      <c r="G173" s="116" t="n"/>
      <c r="H173" s="166" t="n"/>
      <c r="I173" s="1933" t="n">
        <v>0.5</v>
      </c>
      <c r="J173" s="1933" t="n">
        <v>0.52</v>
      </c>
      <c r="K173" s="1933">
        <f>AVERAGE(I173:J173)</f>
        <v/>
      </c>
      <c r="L173" s="166" t="n"/>
      <c r="M173" s="116">
        <f>IF(INDEX(MO_SNA_IsHistoricalPeriod,,MATCH(F173,MO_Common_ColumnHeader,0)),"Actual","Estimate")</f>
        <v/>
      </c>
      <c r="N173" s="1933">
        <f>IFERROR(INDEX(INDIRECT(E173),0,MATCH(F173,MO_Common_ColumnHeader,0)),"N/A")</f>
        <v/>
      </c>
      <c r="O173" s="166" t="n"/>
      <c r="P173" s="1930">
        <f>IF(ISNUMBER(N173),N173-K173,"N/A")</f>
        <v/>
      </c>
      <c r="Q173" s="1930">
        <f>IFERROR(IF(ISNUMBER(N173),(N173-K173)/ABS(K173),"N/A"),"N/A")</f>
        <v/>
      </c>
      <c r="R173" s="166" t="n"/>
      <c r="S173" s="119" t="n">
        <v>44028</v>
      </c>
      <c r="T173" s="209" t="inlineStr">
        <is>
          <t>Press Release</t>
        </is>
      </c>
      <c r="U173" s="166" t="n"/>
    </row>
    <row r="174" ht="14.4" customHeight="1" s="876">
      <c r="A174" s="92" t="n">
        <v>82</v>
      </c>
      <c r="B174" s="116">
        <f>IF(INDEX(MO_SNA_IsHistoricalPeriod,,MATCH(F174,MO_Common_ColumnHeader,0)),"Historical","Forward")</f>
        <v/>
      </c>
      <c r="C174" s="166" t="n"/>
      <c r="D174" s="123" t="inlineStr">
        <is>
          <t>Operating Profit Margin</t>
        </is>
      </c>
      <c r="E174" s="117" t="n"/>
      <c r="F174" s="116" t="inlineStr">
        <is>
          <t>Q3-2020</t>
        </is>
      </c>
      <c r="G174" s="116" t="n"/>
      <c r="H174" s="166" t="n"/>
      <c r="I174" s="1933" t="n">
        <v>0.39</v>
      </c>
      <c r="J174" s="1933" t="n">
        <v>0.41</v>
      </c>
      <c r="K174" s="1933">
        <f>AVERAGE(I174:J174)</f>
        <v/>
      </c>
      <c r="L174" s="166" t="n"/>
      <c r="M174" s="116">
        <f>IF(INDEX(MO_SNA_IsHistoricalPeriod,,MATCH(F174,MO_Common_ColumnHeader,0)),"Actual","Estimate")</f>
        <v/>
      </c>
      <c r="N174" s="1933">
        <f>INDEX(MO_RIS_EBIT,0,MATCH(F174,MO_Common_ColumnHeader,0))/INDEX(MO_RIS_REV,0,MATCH(F174,MO_Common_ColumnHeader,0))</f>
        <v/>
      </c>
      <c r="O174" s="166" t="n"/>
      <c r="P174" s="1930">
        <f>IF(ISNUMBER(N174),N174-K174,"N/A")</f>
        <v/>
      </c>
      <c r="Q174" s="1930">
        <f>IFERROR(IF(ISNUMBER(N174),(N174-K174)/ABS(K174),"N/A"),"N/A")</f>
        <v/>
      </c>
      <c r="R174" s="166" t="n"/>
      <c r="S174" s="119" t="n">
        <v>44028</v>
      </c>
      <c r="T174" s="209" t="inlineStr">
        <is>
          <t>Press Release</t>
        </is>
      </c>
      <c r="U174" s="166" t="n"/>
    </row>
    <row r="175" ht="14.4" customHeight="1" s="876">
      <c r="A175" s="92" t="n">
        <v>81</v>
      </c>
      <c r="B175" s="166" t="n"/>
      <c r="C175" s="166" t="n"/>
      <c r="D175" s="102" t="n"/>
      <c r="E175" s="103" t="n"/>
      <c r="F175" s="166" t="n"/>
      <c r="G175" s="166" t="n"/>
      <c r="H175" s="166" t="n"/>
      <c r="I175" s="1301" t="n"/>
      <c r="J175" s="1301" t="n"/>
      <c r="K175" s="1301" t="n"/>
      <c r="L175" s="166" t="n"/>
      <c r="M175" s="166" t="n"/>
      <c r="N175" s="1301" t="n"/>
      <c r="O175" s="166" t="n"/>
      <c r="P175" s="1931" t="n"/>
      <c r="Q175" s="1932" t="n"/>
      <c r="R175" s="166" t="n"/>
      <c r="S175" s="107" t="n"/>
      <c r="T175" s="126" t="n"/>
      <c r="U175" s="166" t="n"/>
    </row>
    <row r="176" ht="14.4" customHeight="1" s="876">
      <c r="A176" s="92" t="n">
        <v>80</v>
      </c>
      <c r="B176" s="116">
        <f>IF(INDEX(MO_SNA_IsHistoricalPeriod,,MATCH(F176,MO_Common_ColumnHeader,0)),"Historical","Forward")</f>
        <v/>
      </c>
      <c r="C176" s="166" t="n"/>
      <c r="D176" s="123">
        <f>INDEX(INDIRECT(E176),0,COLUMN(MO_Common_Column_A))</f>
        <v/>
      </c>
      <c r="E176" s="117" t="inlineStr">
        <is>
          <t>MO_CFSum_Capex</t>
        </is>
      </c>
      <c r="F176" s="116" t="inlineStr">
        <is>
          <t>FY2020</t>
        </is>
      </c>
      <c r="G176" s="116" t="n"/>
      <c r="H176" s="166" t="n"/>
      <c r="I176" s="1928" t="n">
        <v>-16000</v>
      </c>
      <c r="J176" s="1928" t="n">
        <v>-15000</v>
      </c>
      <c r="K176" s="1928">
        <f>AVERAGE(I176:J176)</f>
        <v/>
      </c>
      <c r="L176" s="166" t="n"/>
      <c r="M176" s="116">
        <f>IF(INDEX(MO_SNA_IsHistoricalPeriod,,MATCH(F176,MO_Common_ColumnHeader,0)),"Actual","Estimate")</f>
        <v/>
      </c>
      <c r="N176" s="1928">
        <f>IFERROR(INDEX(INDIRECT(E176),0,MATCH(F176,MO_Common_ColumnHeader,0)),"N/A")*INDEX(MO_VA_FX_Average,0,MATCH(F176,MO_Common_ColumnHeader,0))</f>
        <v/>
      </c>
      <c r="O176" s="166" t="n"/>
      <c r="P176" s="1929">
        <f>IF(ISNUMBER(N176),N176-K176,"N/A")</f>
        <v/>
      </c>
      <c r="Q176" s="1930">
        <f>IFERROR(IF(ISNUMBER(N176),(N176-K176)/ABS(K176),"N/A"),"N/A")</f>
        <v/>
      </c>
      <c r="R176" s="166" t="n"/>
      <c r="S176" s="119" t="n">
        <v>43937</v>
      </c>
      <c r="T176" s="209" t="inlineStr">
        <is>
          <t>Transcript</t>
        </is>
      </c>
      <c r="U176" s="166" t="n"/>
    </row>
    <row r="177" ht="14.4" customHeight="1" s="876">
      <c r="A177" s="92" t="n">
        <v>79</v>
      </c>
      <c r="B177" s="166" t="n"/>
      <c r="C177" s="166" t="n"/>
      <c r="D177" s="102" t="n"/>
      <c r="E177" s="103" t="n"/>
      <c r="F177" s="166" t="n"/>
      <c r="G177" s="166" t="n"/>
      <c r="H177" s="166" t="n"/>
      <c r="I177" s="1301" t="n"/>
      <c r="J177" s="1301" t="n"/>
      <c r="K177" s="1301" t="n"/>
      <c r="L177" s="166" t="n"/>
      <c r="M177" s="166" t="n"/>
      <c r="N177" s="1301" t="n"/>
      <c r="O177" s="166" t="n"/>
      <c r="P177" s="1931" t="n"/>
      <c r="Q177" s="1932" t="n"/>
      <c r="R177" s="166" t="n"/>
      <c r="S177" s="107" t="n"/>
      <c r="T177" s="126" t="n"/>
      <c r="U177" s="166" t="n"/>
    </row>
    <row r="178" ht="14.4" customHeight="1" s="876">
      <c r="A178" s="92" t="n">
        <v>78</v>
      </c>
      <c r="B178" s="116">
        <f>IF(INDEX(MO_SNA_IsHistoricalPeriod,,MATCH(F178,MO_Common_ColumnHeader,0)),"Historical","Forward")</f>
        <v/>
      </c>
      <c r="C178" s="166" t="n"/>
      <c r="D178" s="123">
        <f>INDEX(INDIRECT(E178),0,COLUMN(MO_Common_Column_A))</f>
        <v/>
      </c>
      <c r="E178" s="117" t="inlineStr">
        <is>
          <t>MO_RIS_REV</t>
        </is>
      </c>
      <c r="F178" s="116" t="inlineStr">
        <is>
          <t>Q2-2020</t>
        </is>
      </c>
      <c r="G178" s="116" t="n"/>
      <c r="H178" s="166" t="n"/>
      <c r="I178" s="1928" t="n">
        <v>10100</v>
      </c>
      <c r="J178" s="1928" t="n">
        <v>10400</v>
      </c>
      <c r="K178" s="1928">
        <f>AVERAGE(I178:J178)</f>
        <v/>
      </c>
      <c r="L178" s="166" t="n"/>
      <c r="M178" s="116">
        <f>IF(INDEX(MO_SNA_IsHistoricalPeriod,,MATCH(F178,MO_Common_ColumnHeader,0)),"Actual","Estimate")</f>
        <v/>
      </c>
      <c r="N178" s="1928">
        <f>IFERROR(INDEX(INDIRECT(E178),0,MATCH(F178,MO_Common_ColumnHeader,0)),"N/A")/INDEX(z_M2B13B0184_MO_OS_Weightedaverageforeignexchangedratereported,0,MATCH(F178,MO_Common_ColumnHeader,0))</f>
        <v/>
      </c>
      <c r="O178" s="166" t="n"/>
      <c r="P178" s="1929">
        <f>IF(ISNUMBER(N178),N178-K178,"N/A")</f>
        <v/>
      </c>
      <c r="Q178" s="1930">
        <f>IFERROR(IF(ISNUMBER(N178),(N178-K178)/ABS(K178),"N/A"),"N/A")</f>
        <v/>
      </c>
      <c r="R178" s="166" t="n"/>
      <c r="S178" s="119" t="n">
        <v>43937</v>
      </c>
      <c r="T178" s="209" t="inlineStr">
        <is>
          <t>Press Release</t>
        </is>
      </c>
      <c r="U178" s="166" t="n"/>
    </row>
    <row r="179" ht="14.4" customHeight="1" s="876">
      <c r="A179" s="92" t="n">
        <v>77</v>
      </c>
      <c r="B179" s="116">
        <f>IF(INDEX(MO_SNA_IsHistoricalPeriod,,MATCH(F179,MO_Common_ColumnHeader,0)),"Historical","Forward")</f>
        <v/>
      </c>
      <c r="C179" s="166" t="n"/>
      <c r="D179" s="123">
        <f>INDEX(INDIRECT(E179),0,COLUMN(MO_Common_Column_A))</f>
        <v/>
      </c>
      <c r="E179" s="117" t="inlineStr">
        <is>
          <t>z_M2B13B0184_MO_OS_Weightedaverageforeignexchangedratereported</t>
        </is>
      </c>
      <c r="F179" s="116" t="inlineStr">
        <is>
          <t>Q2-2020</t>
        </is>
      </c>
      <c r="G179" s="116" t="n"/>
      <c r="H179" s="166" t="n"/>
      <c r="I179" s="1928" t="n">
        <v>30</v>
      </c>
      <c r="J179" s="1928" t="n">
        <v>30</v>
      </c>
      <c r="K179" s="1928">
        <f>AVERAGE(I179:J179)</f>
        <v/>
      </c>
      <c r="L179" s="166" t="n"/>
      <c r="M179" s="116">
        <f>IF(INDEX(MO_SNA_IsHistoricalPeriod,,MATCH(F179,MO_Common_ColumnHeader,0)),"Actual","Estimate")</f>
        <v/>
      </c>
      <c r="N179" s="1928">
        <f>IFERROR(INDEX(INDIRECT(E179),0,MATCH(F179,MO_Common_ColumnHeader,0)),"N/A")</f>
        <v/>
      </c>
      <c r="O179" s="166" t="n"/>
      <c r="P179" s="1929">
        <f>IF(ISNUMBER(N179),N179-K179,"N/A")</f>
        <v/>
      </c>
      <c r="Q179" s="1930">
        <f>IFERROR(IF(ISNUMBER(N179),(N179-K179)/ABS(K179),"N/A"),"N/A")</f>
        <v/>
      </c>
      <c r="R179" s="166" t="n"/>
      <c r="S179" s="119" t="n">
        <v>43937</v>
      </c>
      <c r="T179" s="209" t="inlineStr">
        <is>
          <t>Press Release</t>
        </is>
      </c>
      <c r="U179" s="166" t="n"/>
    </row>
    <row r="180" ht="14.4" customHeight="1" s="876">
      <c r="A180" s="92" t="n">
        <v>76</v>
      </c>
      <c r="B180" s="116">
        <f>IF(INDEX(MO_SNA_IsHistoricalPeriod,,MATCH(F180,MO_Common_ColumnHeader,0)),"Historical","Forward")</f>
        <v/>
      </c>
      <c r="C180" s="166" t="n"/>
      <c r="D180" s="123">
        <f>INDEX(INDIRECT(E180),0,COLUMN(MO_Common_Column_A))</f>
        <v/>
      </c>
      <c r="E180" s="117" t="inlineStr">
        <is>
          <t>MO_MA_GM</t>
        </is>
      </c>
      <c r="F180" s="116" t="inlineStr">
        <is>
          <t>Q2-2020</t>
        </is>
      </c>
      <c r="G180" s="116" t="n"/>
      <c r="H180" s="166" t="n"/>
      <c r="I180" s="1933" t="n">
        <v>0.5</v>
      </c>
      <c r="J180" s="1933" t="n">
        <v>0.52</v>
      </c>
      <c r="K180" s="1933">
        <f>AVERAGE(I180:J180)</f>
        <v/>
      </c>
      <c r="L180" s="166" t="n"/>
      <c r="M180" s="116">
        <f>IF(INDEX(MO_SNA_IsHistoricalPeriod,,MATCH(F180,MO_Common_ColumnHeader,0)),"Actual","Estimate")</f>
        <v/>
      </c>
      <c r="N180" s="1933">
        <f>IFERROR(INDEX(INDIRECT(E180),0,MATCH(F180,MO_Common_ColumnHeader,0)),"N/A")</f>
        <v/>
      </c>
      <c r="O180" s="166" t="n"/>
      <c r="P180" s="1930">
        <f>IF(ISNUMBER(N180),N180-K180,"N/A")</f>
        <v/>
      </c>
      <c r="Q180" s="1930">
        <f>IFERROR(IF(ISNUMBER(N180),(N180-K180)/ABS(K180),"N/A"),"N/A")</f>
        <v/>
      </c>
      <c r="R180" s="166" t="n"/>
      <c r="S180" s="119" t="n">
        <v>43937</v>
      </c>
      <c r="T180" s="209" t="inlineStr">
        <is>
          <t>Press Release</t>
        </is>
      </c>
      <c r="U180" s="166" t="n"/>
    </row>
    <row r="181" ht="14.4" customHeight="1" s="876">
      <c r="A181" s="92" t="n">
        <v>75</v>
      </c>
      <c r="B181" s="116">
        <f>IF(INDEX(MO_SNA_IsHistoricalPeriod,,MATCH(F181,MO_Common_ColumnHeader,0)),"Historical","Forward")</f>
        <v/>
      </c>
      <c r="C181" s="166" t="n"/>
      <c r="D181" s="123" t="inlineStr">
        <is>
          <t>Operating Profit Margin</t>
        </is>
      </c>
      <c r="E181" s="117" t="n"/>
      <c r="F181" s="116" t="inlineStr">
        <is>
          <t>Q2-2020</t>
        </is>
      </c>
      <c r="G181" s="116" t="n"/>
      <c r="H181" s="166" t="n"/>
      <c r="I181" s="1933" t="n">
        <v>0.39</v>
      </c>
      <c r="J181" s="1933" t="n">
        <v>0.41</v>
      </c>
      <c r="K181" s="1933">
        <f>AVERAGE(I181:J181)</f>
        <v/>
      </c>
      <c r="L181" s="166" t="n"/>
      <c r="M181" s="116">
        <f>IF(INDEX(MO_SNA_IsHistoricalPeriod,,MATCH(F181,MO_Common_ColumnHeader,0)),"Actual","Estimate")</f>
        <v/>
      </c>
      <c r="N181" s="1933">
        <f>INDEX(MO_RIS_EBIT,0,MATCH(F181,MO_Common_ColumnHeader,0))/INDEX(MO_RIS_REV,0,MATCH(F181,MO_Common_ColumnHeader,0))</f>
        <v/>
      </c>
      <c r="O181" s="166" t="n"/>
      <c r="P181" s="1930">
        <f>IF(ISNUMBER(N181),N181-K181,"N/A")</f>
        <v/>
      </c>
      <c r="Q181" s="1930">
        <f>IFERROR(IF(ISNUMBER(N181),(N181-K181)/ABS(K181),"N/A"),"N/A")</f>
        <v/>
      </c>
      <c r="R181" s="166" t="n"/>
      <c r="S181" s="119" t="n">
        <v>43937</v>
      </c>
      <c r="T181" s="209" t="inlineStr">
        <is>
          <t>Press Release</t>
        </is>
      </c>
      <c r="U181" s="166" t="n"/>
    </row>
    <row r="182" ht="14.4" customHeight="1" s="876">
      <c r="A182" s="92" t="n">
        <v>74</v>
      </c>
      <c r="B182" s="166" t="n"/>
      <c r="C182" s="166" t="n"/>
      <c r="D182" s="102" t="n"/>
      <c r="E182" s="103" t="n"/>
      <c r="F182" s="166" t="n"/>
      <c r="G182" s="166" t="n"/>
      <c r="H182" s="166" t="n"/>
      <c r="I182" s="1301" t="n"/>
      <c r="J182" s="1301" t="n"/>
      <c r="K182" s="1301" t="n"/>
      <c r="L182" s="166" t="n"/>
      <c r="M182" s="166" t="n"/>
      <c r="N182" s="1301" t="n"/>
      <c r="O182" s="166" t="n"/>
      <c r="P182" s="1931" t="n"/>
      <c r="Q182" s="1932" t="n"/>
      <c r="R182" s="166" t="n"/>
      <c r="S182" s="107" t="n"/>
      <c r="T182" s="126" t="n"/>
      <c r="U182" s="166" t="n"/>
    </row>
    <row r="183" ht="14.4" customHeight="1" s="876">
      <c r="A183" s="92" t="n">
        <v>73</v>
      </c>
      <c r="B183" s="116">
        <f>IF(INDEX(MO_SNA_IsHistoricalPeriod,,MATCH(F183,MO_Common_ColumnHeader,0)),"Historical","Forward")</f>
        <v/>
      </c>
      <c r="C183" s="166" t="n"/>
      <c r="D183" s="123">
        <f>INDEX(INDIRECT(E183),0,COLUMN(MO_Common_Column_A))</f>
        <v/>
      </c>
      <c r="E183" s="117" t="inlineStr">
        <is>
          <t>MO_CFSum_Capex</t>
        </is>
      </c>
      <c r="F183" s="116" t="inlineStr">
        <is>
          <t>FY2020</t>
        </is>
      </c>
      <c r="G183" s="116" t="n"/>
      <c r="H183" s="166" t="n"/>
      <c r="I183" s="1928" t="n">
        <v>-16000</v>
      </c>
      <c r="J183" s="1928" t="n">
        <v>-15000</v>
      </c>
      <c r="K183" s="1928">
        <f>AVERAGE(I183:J183)</f>
        <v/>
      </c>
      <c r="L183" s="166" t="n"/>
      <c r="M183" s="116">
        <f>IF(INDEX(MO_SNA_IsHistoricalPeriod,,MATCH(F183,MO_Common_ColumnHeader,0)),"Actual","Estimate")</f>
        <v/>
      </c>
      <c r="N183" s="1928">
        <f>IFERROR(INDEX(INDIRECT(E183),0,MATCH(F183,MO_Common_ColumnHeader,0)),"N/A")*INDEX(MO_VA_FX_Average,0,MATCH(F183,MO_Common_ColumnHeader,0))</f>
        <v/>
      </c>
      <c r="O183" s="166" t="n"/>
      <c r="P183" s="1929">
        <f>IF(ISNUMBER(N183),N183-K183,"N/A")</f>
        <v/>
      </c>
      <c r="Q183" s="1930">
        <f>IFERROR(IF(ISNUMBER(N183),(N183-K183)/ABS(K183),"N/A"),"N/A")</f>
        <v/>
      </c>
      <c r="R183" s="166" t="n"/>
      <c r="S183" s="119" t="n">
        <v>43846</v>
      </c>
      <c r="T183" s="209" t="inlineStr">
        <is>
          <t>Transcript</t>
        </is>
      </c>
      <c r="U183" s="166" t="n"/>
    </row>
    <row r="184" ht="14.4" customHeight="1" s="876">
      <c r="A184" s="92" t="n">
        <v>72</v>
      </c>
      <c r="B184" s="116">
        <f>IF(INDEX(MO_SNA_IsHistoricalPeriod,,MATCH(F184,MO_Common_ColumnHeader,0)),"Historical","Forward")</f>
        <v/>
      </c>
      <c r="C184" s="166" t="n"/>
      <c r="D184" s="123">
        <f>INDEX(INDIRECT(E184),0,COLUMN(MO_Common_Column_A))</f>
        <v/>
      </c>
      <c r="E184" s="117" t="inlineStr">
        <is>
          <t>MO_RIS_TaxRate_Current</t>
        </is>
      </c>
      <c r="F184" s="116" t="inlineStr">
        <is>
          <t>FY2020</t>
        </is>
      </c>
      <c r="G184" s="116" t="n"/>
      <c r="H184" s="166" t="n"/>
      <c r="I184" s="1933" t="n">
        <v>0.12</v>
      </c>
      <c r="J184" s="1933" t="n">
        <v>0.12</v>
      </c>
      <c r="K184" s="1933">
        <f>AVERAGE(I184:J184)</f>
        <v/>
      </c>
      <c r="L184" s="166" t="n"/>
      <c r="M184" s="116">
        <f>IF(INDEX(MO_SNA_IsHistoricalPeriod,,MATCH(F184,MO_Common_ColumnHeader,0)),"Actual","Estimate")</f>
        <v/>
      </c>
      <c r="N184" s="1933">
        <f>IFERROR(INDEX(INDIRECT(E184),0,MATCH(F184,MO_Common_ColumnHeader,0)),"N/A")</f>
        <v/>
      </c>
      <c r="O184" s="166" t="n"/>
      <c r="P184" s="1930">
        <f>IF(ISNUMBER(N184),N184-K184,"N/A")</f>
        <v/>
      </c>
      <c r="Q184" s="1930">
        <f>IFERROR(IF(ISNUMBER(N184),(N184-K184)/ABS(K184),"N/A"),"N/A")</f>
        <v/>
      </c>
      <c r="R184" s="166" t="n"/>
      <c r="S184" s="119" t="n">
        <v>43846</v>
      </c>
      <c r="T184" s="209" t="inlineStr">
        <is>
          <t>Transcript</t>
        </is>
      </c>
      <c r="U184" s="166" t="n"/>
    </row>
    <row r="185" ht="14.4" customHeight="1" s="876">
      <c r="A185" s="92" t="n">
        <v>71</v>
      </c>
      <c r="B185" s="166" t="n"/>
      <c r="C185" s="166" t="n"/>
      <c r="D185" s="102" t="n"/>
      <c r="E185" s="103" t="n"/>
      <c r="F185" s="166" t="n"/>
      <c r="G185" s="166" t="n"/>
      <c r="H185" s="166" t="n"/>
      <c r="I185" s="1301" t="n"/>
      <c r="J185" s="1301" t="n"/>
      <c r="K185" s="1301" t="n"/>
      <c r="L185" s="166" t="n"/>
      <c r="M185" s="166" t="n"/>
      <c r="N185" s="1301" t="n"/>
      <c r="O185" s="166" t="n"/>
      <c r="P185" s="1931" t="n"/>
      <c r="Q185" s="1932" t="n"/>
      <c r="R185" s="166" t="n"/>
      <c r="S185" s="107" t="n"/>
      <c r="T185" s="126" t="n"/>
      <c r="U185" s="166" t="n"/>
    </row>
    <row r="186" ht="14.4" customHeight="1" s="876">
      <c r="A186" s="92" t="n">
        <v>70</v>
      </c>
      <c r="B186" s="116">
        <f>IF(INDEX(MO_SNA_IsHistoricalPeriod,,MATCH(F186,MO_Common_ColumnHeader,0)),"Historical","Forward")</f>
        <v/>
      </c>
      <c r="C186" s="166" t="n"/>
      <c r="D186" s="123">
        <f>INDEX(INDIRECT(E186),0,COLUMN(MO_Common_Column_A))</f>
        <v/>
      </c>
      <c r="E186" s="117" t="inlineStr">
        <is>
          <t>MO_RIS_REV</t>
        </is>
      </c>
      <c r="F186" s="116" t="inlineStr">
        <is>
          <t>Q1-2020</t>
        </is>
      </c>
      <c r="G186" s="116" t="n"/>
      <c r="H186" s="166" t="n"/>
      <c r="I186" s="1928" t="n">
        <v>10200</v>
      </c>
      <c r="J186" s="1928" t="n">
        <v>10300</v>
      </c>
      <c r="K186" s="1928">
        <f>AVERAGE(I186:J186)</f>
        <v/>
      </c>
      <c r="L186" s="166" t="n"/>
      <c r="M186" s="116">
        <f>IF(INDEX(MO_SNA_IsHistoricalPeriod,,MATCH(F186,MO_Common_ColumnHeader,0)),"Actual","Estimate")</f>
        <v/>
      </c>
      <c r="N186" s="1928">
        <f>IFERROR(INDEX(INDIRECT(E186),0,MATCH(F186,MO_Common_ColumnHeader,0)),"N/A")/INDEX(z_M2B13B0184_MO_OS_Weightedaverageforeignexchangedratereported,0,MATCH(F186,MO_Common_ColumnHeader,0))</f>
        <v/>
      </c>
      <c r="O186" s="166" t="n"/>
      <c r="P186" s="1929">
        <f>IF(ISNUMBER(N186),N186-K186,"N/A")</f>
        <v/>
      </c>
      <c r="Q186" s="1930">
        <f>IFERROR(IF(ISNUMBER(N186),(N186-K186)/ABS(K186),"N/A"),"N/A")</f>
        <v/>
      </c>
      <c r="R186" s="166" t="n"/>
      <c r="S186" s="119" t="n">
        <v>43846</v>
      </c>
      <c r="T186" s="209" t="inlineStr">
        <is>
          <t>Press Release</t>
        </is>
      </c>
      <c r="U186" s="166" t="n"/>
    </row>
    <row r="187" ht="14.4" customHeight="1" s="876">
      <c r="A187" s="92" t="n">
        <v>69</v>
      </c>
      <c r="B187" s="116">
        <f>IF(INDEX(MO_SNA_IsHistoricalPeriod,,MATCH(F187,MO_Common_ColumnHeader,0)),"Historical","Forward")</f>
        <v/>
      </c>
      <c r="C187" s="166" t="n"/>
      <c r="D187" s="123">
        <f>INDEX(INDIRECT(E187),0,COLUMN(MO_Common_Column_A))</f>
        <v/>
      </c>
      <c r="E187" s="117" t="inlineStr">
        <is>
          <t>z_M2B13B0184_MO_OS_Weightedaverageforeignexchangedratereported</t>
        </is>
      </c>
      <c r="F187" s="116" t="inlineStr">
        <is>
          <t>Q1-2020</t>
        </is>
      </c>
      <c r="G187" s="116" t="n"/>
      <c r="H187" s="166" t="n"/>
      <c r="I187" s="1928" t="n">
        <v>29.9</v>
      </c>
      <c r="J187" s="1928" t="n">
        <v>29.9</v>
      </c>
      <c r="K187" s="1928">
        <f>AVERAGE(I187:J187)</f>
        <v/>
      </c>
      <c r="L187" s="166" t="n"/>
      <c r="M187" s="116">
        <f>IF(INDEX(MO_SNA_IsHistoricalPeriod,,MATCH(F187,MO_Common_ColumnHeader,0)),"Actual","Estimate")</f>
        <v/>
      </c>
      <c r="N187" s="1928">
        <f>IFERROR(INDEX(INDIRECT(E187),0,MATCH(F187,MO_Common_ColumnHeader,0)),"N/A")</f>
        <v/>
      </c>
      <c r="O187" s="166" t="n"/>
      <c r="P187" s="1929">
        <f>IF(ISNUMBER(N187),N187-K187,"N/A")</f>
        <v/>
      </c>
      <c r="Q187" s="1930">
        <f>IFERROR(IF(ISNUMBER(N187),(N187-K187)/ABS(K187),"N/A"),"N/A")</f>
        <v/>
      </c>
      <c r="R187" s="166" t="n"/>
      <c r="S187" s="119" t="n">
        <v>43846</v>
      </c>
      <c r="T187" s="209" t="inlineStr">
        <is>
          <t>Press Release</t>
        </is>
      </c>
      <c r="U187" s="166" t="n"/>
    </row>
    <row r="188" ht="14.4" customHeight="1" s="876">
      <c r="A188" s="92" t="n">
        <v>68</v>
      </c>
      <c r="B188" s="116">
        <f>IF(INDEX(MO_SNA_IsHistoricalPeriod,,MATCH(F188,MO_Common_ColumnHeader,0)),"Historical","Forward")</f>
        <v/>
      </c>
      <c r="C188" s="166" t="n"/>
      <c r="D188" s="123">
        <f>INDEX(INDIRECT(E188),0,COLUMN(MO_Common_Column_A))</f>
        <v/>
      </c>
      <c r="E188" s="117" t="inlineStr">
        <is>
          <t>MO_MA_GM</t>
        </is>
      </c>
      <c r="F188" s="116" t="inlineStr">
        <is>
          <t>Q1-2020</t>
        </is>
      </c>
      <c r="G188" s="116" t="n"/>
      <c r="H188" s="166" t="n"/>
      <c r="I188" s="1933" t="n">
        <v>0.485</v>
      </c>
      <c r="J188" s="1933" t="n">
        <v>0.505</v>
      </c>
      <c r="K188" s="1933">
        <f>AVERAGE(I188:J188)</f>
        <v/>
      </c>
      <c r="L188" s="166" t="n"/>
      <c r="M188" s="116">
        <f>IF(INDEX(MO_SNA_IsHistoricalPeriod,,MATCH(F188,MO_Common_ColumnHeader,0)),"Actual","Estimate")</f>
        <v/>
      </c>
      <c r="N188" s="1933">
        <f>IFERROR(INDEX(INDIRECT(E188),0,MATCH(F188,MO_Common_ColumnHeader,0)),"N/A")</f>
        <v/>
      </c>
      <c r="O188" s="166" t="n"/>
      <c r="P188" s="1930">
        <f>IF(ISNUMBER(N188),N188-K188,"N/A")</f>
        <v/>
      </c>
      <c r="Q188" s="1930">
        <f>IFERROR(IF(ISNUMBER(N188),(N188-K188)/ABS(K188),"N/A"),"N/A")</f>
        <v/>
      </c>
      <c r="R188" s="166" t="n"/>
      <c r="S188" s="119" t="n">
        <v>43846</v>
      </c>
      <c r="T188" s="209" t="inlineStr">
        <is>
          <t>Press Release</t>
        </is>
      </c>
      <c r="U188" s="166" t="n"/>
    </row>
    <row r="189" ht="14.4" customHeight="1" s="876">
      <c r="A189" s="92" t="n">
        <v>67</v>
      </c>
      <c r="B189" s="116">
        <f>IF(INDEX(MO_SNA_IsHistoricalPeriod,,MATCH(F189,MO_Common_ColumnHeader,0)),"Historical","Forward")</f>
        <v/>
      </c>
      <c r="C189" s="166" t="n"/>
      <c r="D189" s="123" t="inlineStr">
        <is>
          <t>Operating Profit Margin</t>
        </is>
      </c>
      <c r="E189" s="117" t="n"/>
      <c r="F189" s="116" t="inlineStr">
        <is>
          <t>Q1-2020</t>
        </is>
      </c>
      <c r="G189" s="116" t="n"/>
      <c r="H189" s="166" t="n"/>
      <c r="I189" s="1933" t="n">
        <v>0.375</v>
      </c>
      <c r="J189" s="1933" t="n">
        <v>0.395</v>
      </c>
      <c r="K189" s="1933">
        <f>AVERAGE(I189:J189)</f>
        <v/>
      </c>
      <c r="L189" s="166" t="n"/>
      <c r="M189" s="116">
        <f>IF(INDEX(MO_SNA_IsHistoricalPeriod,,MATCH(F189,MO_Common_ColumnHeader,0)),"Actual","Estimate")</f>
        <v/>
      </c>
      <c r="N189" s="1933">
        <f>INDEX(MO_RIS_EBIT,0,MATCH(F189,MO_Common_ColumnHeader,0))/INDEX(MO_RIS_REV,0,MATCH(F189,MO_Common_ColumnHeader,0))</f>
        <v/>
      </c>
      <c r="O189" s="166" t="n"/>
      <c r="P189" s="1930">
        <f>IF(ISNUMBER(N189),N189-K189,"N/A")</f>
        <v/>
      </c>
      <c r="Q189" s="1930">
        <f>IFERROR(IF(ISNUMBER(N189),(N189-K189)/ABS(K189),"N/A"),"N/A")</f>
        <v/>
      </c>
      <c r="R189" s="166" t="n"/>
      <c r="S189" s="119" t="n">
        <v>43846</v>
      </c>
      <c r="T189" s="209" t="inlineStr">
        <is>
          <t>Press Release</t>
        </is>
      </c>
      <c r="U189" s="166" t="n"/>
    </row>
    <row r="190" ht="14.4" customHeight="1" s="876">
      <c r="A190" s="92" t="n">
        <v>66</v>
      </c>
      <c r="B190" s="166" t="n"/>
      <c r="C190" s="166" t="n"/>
      <c r="D190" s="102" t="n"/>
      <c r="E190" s="103" t="n"/>
      <c r="F190" s="166" t="n"/>
      <c r="G190" s="166" t="n"/>
      <c r="H190" s="166" t="n"/>
      <c r="I190" s="1301" t="n"/>
      <c r="J190" s="1301" t="n"/>
      <c r="K190" s="1301" t="n"/>
      <c r="L190" s="166" t="n"/>
      <c r="M190" s="166" t="n"/>
      <c r="N190" s="1301" t="n"/>
      <c r="O190" s="166" t="n"/>
      <c r="P190" s="1931" t="n"/>
      <c r="Q190" s="1932" t="n"/>
      <c r="R190" s="166" t="n"/>
      <c r="S190" s="107" t="n"/>
      <c r="T190" s="126" t="n"/>
      <c r="U190" s="166" t="n"/>
    </row>
    <row r="191" ht="14.4" customHeight="1" s="876">
      <c r="A191" s="92" t="n">
        <v>65</v>
      </c>
      <c r="B191" s="116">
        <f>IF(INDEX(MO_SNA_IsHistoricalPeriod,,MATCH(F191,MO_Common_ColumnHeader,0)),"Historical","Forward")</f>
        <v/>
      </c>
      <c r="C191" s="166" t="n"/>
      <c r="D191" s="123">
        <f>INDEX(INDIRECT(E191),0,COLUMN(MO_Common_Column_A))</f>
        <v/>
      </c>
      <c r="E191" s="117" t="inlineStr">
        <is>
          <t>MO_CFSum_Capex</t>
        </is>
      </c>
      <c r="F191" s="116" t="inlineStr">
        <is>
          <t>FY2019</t>
        </is>
      </c>
      <c r="G191" s="116" t="n"/>
      <c r="H191" s="166" t="n"/>
      <c r="I191" s="1928" t="n">
        <v>-15000</v>
      </c>
      <c r="J191" s="1928" t="n">
        <v>-14000</v>
      </c>
      <c r="K191" s="1928">
        <f>AVERAGE(I191:J191)</f>
        <v/>
      </c>
      <c r="L191" s="166" t="n"/>
      <c r="M191" s="116">
        <f>IF(INDEX(MO_SNA_IsHistoricalPeriod,,MATCH(F191,MO_Common_ColumnHeader,0)),"Actual","Estimate")</f>
        <v/>
      </c>
      <c r="N191" s="1928">
        <f>IFERROR(INDEX(INDIRECT(E191),0,MATCH(F191,MO_Common_ColumnHeader,0)),"N/A")*INDEX(MO_VA_FX_Average,0,MATCH(F191,MO_Common_ColumnHeader,0))</f>
        <v/>
      </c>
      <c r="O191" s="166" t="n"/>
      <c r="P191" s="1929">
        <f>IF(ISNUMBER(N191),N191-K191,"N/A")</f>
        <v/>
      </c>
      <c r="Q191" s="1930">
        <f>IFERROR(IF(ISNUMBER(N191),(N191-K191)/ABS(K191),"N/A"),"N/A")</f>
        <v/>
      </c>
      <c r="R191" s="166" t="n"/>
      <c r="S191" s="119" t="n">
        <v>43755</v>
      </c>
      <c r="T191" s="219" t="inlineStr">
        <is>
          <t>Conference Call</t>
        </is>
      </c>
      <c r="U191" s="166" t="n"/>
    </row>
    <row r="192" ht="14.4" customHeight="1" s="876">
      <c r="A192" s="92" t="n">
        <v>64</v>
      </c>
      <c r="B192" s="166" t="n"/>
      <c r="C192" s="166" t="n"/>
      <c r="D192" s="102" t="n"/>
      <c r="E192" s="103" t="n"/>
      <c r="F192" s="166" t="n"/>
      <c r="G192" s="166" t="n"/>
      <c r="H192" s="166" t="n"/>
      <c r="I192" s="1301" t="n"/>
      <c r="J192" s="1301" t="n"/>
      <c r="K192" s="1301" t="n"/>
      <c r="L192" s="166" t="n"/>
      <c r="M192" s="166" t="n"/>
      <c r="N192" s="1301" t="n"/>
      <c r="O192" s="166" t="n"/>
      <c r="P192" s="1931" t="n"/>
      <c r="Q192" s="1932" t="n"/>
      <c r="R192" s="166" t="n"/>
      <c r="S192" s="107" t="n"/>
      <c r="T192" s="126" t="n"/>
      <c r="U192" s="166" t="n"/>
    </row>
    <row r="193" ht="14.4" customHeight="1" s="876">
      <c r="A193" s="92" t="n">
        <v>63</v>
      </c>
      <c r="B193" s="116">
        <f>IF(INDEX(MO_SNA_IsHistoricalPeriod,,MATCH(F193,MO_Common_ColumnHeader,0)),"Historical","Forward")</f>
        <v/>
      </c>
      <c r="C193" s="166" t="n"/>
      <c r="D193" s="123">
        <f>INDEX(INDIRECT(E193),0,COLUMN(MO_Common_Column_A))</f>
        <v/>
      </c>
      <c r="E193" s="117" t="inlineStr">
        <is>
          <t>MO_RIS_REV</t>
        </is>
      </c>
      <c r="F193" s="116" t="inlineStr">
        <is>
          <t>Q4-2019</t>
        </is>
      </c>
      <c r="G193" s="116" t="n"/>
      <c r="H193" s="166" t="n"/>
      <c r="I193" s="1928" t="n">
        <v>10200</v>
      </c>
      <c r="J193" s="1928" t="n">
        <v>10300</v>
      </c>
      <c r="K193" s="1928">
        <f>AVERAGE(I193:J193)</f>
        <v/>
      </c>
      <c r="L193" s="166" t="n"/>
      <c r="M193" s="116">
        <f>IF(INDEX(MO_SNA_IsHistoricalPeriod,,MATCH(F193,MO_Common_ColumnHeader,0)),"Actual","Estimate")</f>
        <v/>
      </c>
      <c r="N193" s="1928">
        <f>IFERROR(INDEX(INDIRECT(E193),0,MATCH(F193,MO_Common_ColumnHeader,0)),"N/A")/INDEX(z_M2B13B0184_MO_OS_Weightedaverageforeignexchangedratereported,0,MATCH(F193,MO_Common_ColumnHeader,0))</f>
        <v/>
      </c>
      <c r="O193" s="166" t="n"/>
      <c r="P193" s="1929">
        <f>IF(ISNUMBER(N193),N193-K193,"N/A")</f>
        <v/>
      </c>
      <c r="Q193" s="1930">
        <f>IFERROR(IF(ISNUMBER(N193),(N193-K193)/ABS(K193),"N/A"),"N/A")</f>
        <v/>
      </c>
      <c r="R193" s="166" t="n"/>
      <c r="S193" s="119" t="n">
        <v>43755</v>
      </c>
      <c r="T193" s="209" t="inlineStr">
        <is>
          <t>Press Release</t>
        </is>
      </c>
      <c r="U193" s="166" t="n"/>
    </row>
    <row r="194" ht="14.4" customHeight="1" s="876">
      <c r="A194" s="92" t="n">
        <v>62</v>
      </c>
      <c r="B194" s="116">
        <f>IF(INDEX(MO_SNA_IsHistoricalPeriod,,MATCH(F194,MO_Common_ColumnHeader,0)),"Historical","Forward")</f>
        <v/>
      </c>
      <c r="C194" s="166" t="n"/>
      <c r="D194" s="123">
        <f>INDEX(INDIRECT(E194),0,COLUMN(MO_Common_Column_A))</f>
        <v/>
      </c>
      <c r="E194" s="117" t="inlineStr">
        <is>
          <t>z_M2B13B0184_MO_OS_Weightedaverageforeignexchangedratereported</t>
        </is>
      </c>
      <c r="F194" s="116" t="inlineStr">
        <is>
          <t>Q4-2019</t>
        </is>
      </c>
      <c r="G194" s="116" t="n"/>
      <c r="H194" s="166" t="n"/>
      <c r="I194" s="1928" t="n">
        <v>30.6</v>
      </c>
      <c r="J194" s="1928" t="n">
        <v>30.6</v>
      </c>
      <c r="K194" s="1928">
        <f>AVERAGE(I194:J194)</f>
        <v/>
      </c>
      <c r="L194" s="166" t="n"/>
      <c r="M194" s="116">
        <f>IF(INDEX(MO_SNA_IsHistoricalPeriod,,MATCH(F194,MO_Common_ColumnHeader,0)),"Actual","Estimate")</f>
        <v/>
      </c>
      <c r="N194" s="1928">
        <f>IFERROR(INDEX(INDIRECT(E194),0,MATCH(F194,MO_Common_ColumnHeader,0)),"N/A")</f>
        <v/>
      </c>
      <c r="O194" s="166" t="n"/>
      <c r="P194" s="1929">
        <f>IF(ISNUMBER(N194),N194-K194,"N/A")</f>
        <v/>
      </c>
      <c r="Q194" s="1930">
        <f>IFERROR(IF(ISNUMBER(N194),(N194-K194)/ABS(K194),"N/A"),"N/A")</f>
        <v/>
      </c>
      <c r="R194" s="166" t="n"/>
      <c r="S194" s="119" t="n">
        <v>43755</v>
      </c>
      <c r="T194" s="209" t="inlineStr">
        <is>
          <t>Press Release</t>
        </is>
      </c>
      <c r="U194" s="166" t="n"/>
    </row>
    <row r="195" ht="14.4" customHeight="1" s="876">
      <c r="A195" s="92" t="n">
        <v>61</v>
      </c>
      <c r="B195" s="116">
        <f>IF(INDEX(MO_SNA_IsHistoricalPeriod,,MATCH(F195,MO_Common_ColumnHeader,0)),"Historical","Forward")</f>
        <v/>
      </c>
      <c r="C195" s="166" t="n"/>
      <c r="D195" s="123">
        <f>INDEX(INDIRECT(E195),0,COLUMN(MO_Common_Column_A))</f>
        <v/>
      </c>
      <c r="E195" s="117" t="inlineStr">
        <is>
          <t>MO_MA_GM</t>
        </is>
      </c>
      <c r="F195" s="116" t="inlineStr">
        <is>
          <t>Q4-2019</t>
        </is>
      </c>
      <c r="G195" s="116" t="n"/>
      <c r="H195" s="166" t="n"/>
      <c r="I195" s="1933" t="n">
        <v>0.48</v>
      </c>
      <c r="J195" s="1933" t="n">
        <v>0.5</v>
      </c>
      <c r="K195" s="1933">
        <f>AVERAGE(I195:J195)</f>
        <v/>
      </c>
      <c r="L195" s="166" t="n"/>
      <c r="M195" s="116">
        <f>IF(INDEX(MO_SNA_IsHistoricalPeriod,,MATCH(F195,MO_Common_ColumnHeader,0)),"Actual","Estimate")</f>
        <v/>
      </c>
      <c r="N195" s="1933">
        <f>IFERROR(INDEX(INDIRECT(E195),0,MATCH(F195,MO_Common_ColumnHeader,0)),"N/A")</f>
        <v/>
      </c>
      <c r="O195" s="166" t="n"/>
      <c r="P195" s="1930">
        <f>IF(ISNUMBER(N195),N195-K195,"N/A")</f>
        <v/>
      </c>
      <c r="Q195" s="1930">
        <f>IFERROR(IF(ISNUMBER(N195),(N195-K195)/ABS(K195),"N/A"),"N/A")</f>
        <v/>
      </c>
      <c r="R195" s="166" t="n"/>
      <c r="S195" s="119" t="n">
        <v>43755</v>
      </c>
      <c r="T195" s="209" t="inlineStr">
        <is>
          <t>Press Release</t>
        </is>
      </c>
      <c r="U195" s="166" t="n"/>
    </row>
    <row r="196" ht="14.4" customHeight="1" s="876">
      <c r="A196" s="92" t="n">
        <v>60</v>
      </c>
      <c r="B196" s="116">
        <f>IF(INDEX(MO_SNA_IsHistoricalPeriod,,MATCH(F196,MO_Common_ColumnHeader,0)),"Historical","Forward")</f>
        <v/>
      </c>
      <c r="C196" s="166" t="n"/>
      <c r="D196" s="123" t="inlineStr">
        <is>
          <t>Operating Profit Margin</t>
        </is>
      </c>
      <c r="E196" s="117" t="n"/>
      <c r="F196" s="116" t="inlineStr">
        <is>
          <t>Q4-2019</t>
        </is>
      </c>
      <c r="G196" s="116" t="n"/>
      <c r="H196" s="166" t="n"/>
      <c r="I196" s="1933" t="n">
        <v>0.37</v>
      </c>
      <c r="J196" s="1933" t="n">
        <v>0.39</v>
      </c>
      <c r="K196" s="1933">
        <f>AVERAGE(I196:J196)</f>
        <v/>
      </c>
      <c r="L196" s="166" t="n"/>
      <c r="M196" s="116">
        <f>IF(INDEX(MO_SNA_IsHistoricalPeriod,,MATCH(F196,MO_Common_ColumnHeader,0)),"Actual","Estimate")</f>
        <v/>
      </c>
      <c r="N196" s="1933">
        <f>INDEX(MO_RIS_EBIT,0,MATCH(F196,MO_Common_ColumnHeader,0))/INDEX(MO_RIS_REV,0,MATCH(F196,MO_Common_ColumnHeader,0))</f>
        <v/>
      </c>
      <c r="O196" s="166" t="n"/>
      <c r="P196" s="1930">
        <f>IF(ISNUMBER(N196),N196-K196,"N/A")</f>
        <v/>
      </c>
      <c r="Q196" s="1930">
        <f>IFERROR(IF(ISNUMBER(N196),(N196-K196)/ABS(K196),"N/A"),"N/A")</f>
        <v/>
      </c>
      <c r="R196" s="166" t="n"/>
      <c r="S196" s="119" t="n">
        <v>43755</v>
      </c>
      <c r="T196" s="209" t="inlineStr">
        <is>
          <t>Press Release</t>
        </is>
      </c>
      <c r="U196" s="166" t="n"/>
    </row>
    <row r="197" ht="14.4" customHeight="1" s="876">
      <c r="A197" s="92" t="n">
        <v>59</v>
      </c>
      <c r="B197" s="166" t="n"/>
      <c r="C197" s="166" t="n"/>
      <c r="D197" s="102" t="n"/>
      <c r="E197" s="103" t="n"/>
      <c r="F197" s="166" t="n"/>
      <c r="G197" s="166" t="n"/>
      <c r="H197" s="166" t="n"/>
      <c r="I197" s="1301" t="n"/>
      <c r="J197" s="1301" t="n"/>
      <c r="K197" s="1301" t="n"/>
      <c r="L197" s="166" t="n"/>
      <c r="M197" s="166" t="n"/>
      <c r="N197" s="1301" t="n"/>
      <c r="O197" s="166" t="n"/>
      <c r="P197" s="1931" t="n"/>
      <c r="Q197" s="1932" t="n"/>
      <c r="R197" s="166" t="n"/>
      <c r="S197" s="107" t="n"/>
      <c r="T197" s="126" t="n"/>
      <c r="U197" s="166" t="n"/>
    </row>
    <row r="198" ht="14.4" customHeight="1" s="876">
      <c r="A198" s="92" t="n">
        <v>58</v>
      </c>
      <c r="B198" s="116">
        <f>IF(INDEX(MO_SNA_IsHistoricalPeriod,,MATCH(F198,MO_Common_ColumnHeader,0)),"Historical","Forward")</f>
        <v/>
      </c>
      <c r="C198" s="166" t="n"/>
      <c r="D198" s="123">
        <f>INDEX(INDIRECT(E198),0,COLUMN(MO_Common_Column_A))</f>
        <v/>
      </c>
      <c r="E198" s="117" t="inlineStr">
        <is>
          <t>MO_CFSum_Capex</t>
        </is>
      </c>
      <c r="F198" s="116" t="inlineStr">
        <is>
          <t>FY2019</t>
        </is>
      </c>
      <c r="G198" s="116" t="n"/>
      <c r="H198" s="166" t="n"/>
      <c r="I198" s="1928" t="n">
        <v>-11000</v>
      </c>
      <c r="J198" s="1928" t="n">
        <v>-10000</v>
      </c>
      <c r="K198" s="1928">
        <f>AVERAGE(I198:J198)</f>
        <v/>
      </c>
      <c r="L198" s="166" t="n"/>
      <c r="M198" s="116">
        <f>IF(INDEX(MO_SNA_IsHistoricalPeriod,,MATCH(F198,MO_Common_ColumnHeader,0)),"Actual","Estimate")</f>
        <v/>
      </c>
      <c r="N198" s="1928">
        <f>IFERROR(INDEX(INDIRECT(E198),0,MATCH(F198,MO_Common_ColumnHeader,0)),"N/A")*INDEX(MO_VA_FX_Average,0,MATCH(F198,MO_Common_ColumnHeader,0))</f>
        <v/>
      </c>
      <c r="O198" s="166" t="n"/>
      <c r="P198" s="1929">
        <f>IF(ISNUMBER(N198),N198-K198,"N/A")</f>
        <v/>
      </c>
      <c r="Q198" s="1930">
        <f>IFERROR(IF(ISNUMBER(N198),(N198-K198)/ABS(K198),"N/A"),"N/A")</f>
        <v/>
      </c>
      <c r="R198" s="166" t="n"/>
      <c r="S198" s="119" t="n">
        <v>43664</v>
      </c>
      <c r="T198" s="219" t="inlineStr">
        <is>
          <t>Conference Call</t>
        </is>
      </c>
      <c r="U198" s="166" t="n"/>
    </row>
    <row r="199" ht="14.4" customHeight="1" s="876">
      <c r="A199" s="92" t="n">
        <v>57</v>
      </c>
      <c r="B199" s="116">
        <f>IF(INDEX(MO_SNA_IsHistoricalPeriod,,MATCH(F199,MO_Common_ColumnHeader,0)),"Historical","Forward")</f>
        <v/>
      </c>
      <c r="C199" s="166" t="n"/>
      <c r="D199" s="123">
        <f>INDEX(INDIRECT(E199),0,COLUMN(MO_Common_Column_A))</f>
        <v/>
      </c>
      <c r="E199" s="117" t="inlineStr">
        <is>
          <t>z_M2B13B0184_MO_GA_Smartphonerevenuegrowth</t>
        </is>
      </c>
      <c r="F199" s="116" t="inlineStr">
        <is>
          <t>FY2019</t>
        </is>
      </c>
      <c r="G199" s="116" t="n"/>
      <c r="H199" s="166" t="n"/>
      <c r="I199" s="1933" t="n">
        <v>0</v>
      </c>
      <c r="J199" s="1933" t="n">
        <v>0.1</v>
      </c>
      <c r="K199" s="1933">
        <f>AVERAGE(I199:J199)</f>
        <v/>
      </c>
      <c r="L199" s="166" t="n"/>
      <c r="M199" s="116">
        <f>IF(INDEX(MO_SNA_IsHistoricalPeriod,,MATCH(F199,MO_Common_ColumnHeader,0)),"Actual","Estimate")</f>
        <v/>
      </c>
      <c r="N199" s="1933">
        <f>IFERROR(INDEX(INDIRECT(E199),0,MATCH(F199,MO_Common_ColumnHeader,0)),"N/A")</f>
        <v/>
      </c>
      <c r="O199" s="166" t="n"/>
      <c r="P199" s="1930">
        <f>IF(ISNUMBER(N199),N199-K199,"N/A")</f>
        <v/>
      </c>
      <c r="Q199" s="1930">
        <f>IFERROR(IF(ISNUMBER(N199),(N199-K199)/ABS(K199),"N/A"),"N/A")</f>
        <v/>
      </c>
      <c r="R199" s="166" t="n"/>
      <c r="S199" s="119" t="n">
        <v>43664</v>
      </c>
      <c r="T199" s="219" t="inlineStr">
        <is>
          <t>Conference Call</t>
        </is>
      </c>
      <c r="U199" s="166" t="n"/>
    </row>
    <row r="200" ht="14.4" customHeight="1" s="876">
      <c r="A200" s="92" t="n">
        <v>56</v>
      </c>
      <c r="B200" s="116">
        <f>IF(INDEX(MO_SNA_IsHistoricalPeriod,,MATCH(F200,MO_Common_ColumnHeader,0)),"Historical","Forward")</f>
        <v/>
      </c>
      <c r="C200" s="166" t="n"/>
      <c r="D200" s="123">
        <f>INDEX(INDIRECT(E200),0,COLUMN(MO_Common_Column_A))</f>
        <v/>
      </c>
      <c r="E200" s="117" t="inlineStr">
        <is>
          <t>z_M2B13B0184_MO_GA_Highperformancecomputingrevenuegrowth</t>
        </is>
      </c>
      <c r="F200" s="116" t="inlineStr">
        <is>
          <t>FY2019</t>
        </is>
      </c>
      <c r="G200" s="116" t="n"/>
      <c r="H200" s="166" t="n"/>
      <c r="I200" s="1933" t="n">
        <v>0</v>
      </c>
      <c r="J200" s="1933" t="n">
        <v>0.1</v>
      </c>
      <c r="K200" s="1933">
        <f>AVERAGE(I200:J200)</f>
        <v/>
      </c>
      <c r="L200" s="166" t="n"/>
      <c r="M200" s="116">
        <f>IF(INDEX(MO_SNA_IsHistoricalPeriod,,MATCH(F200,MO_Common_ColumnHeader,0)),"Actual","Estimate")</f>
        <v/>
      </c>
      <c r="N200" s="1933">
        <f>IFERROR(INDEX(INDIRECT(E200),0,MATCH(F200,MO_Common_ColumnHeader,0)),"N/A")</f>
        <v/>
      </c>
      <c r="O200" s="166" t="n"/>
      <c r="P200" s="1930">
        <f>IF(ISNUMBER(N200),N200-K200,"N/A")</f>
        <v/>
      </c>
      <c r="Q200" s="1930">
        <f>IFERROR(IF(ISNUMBER(N200),(N200-K200)/ABS(K200),"N/A"),"N/A")</f>
        <v/>
      </c>
      <c r="R200" s="166" t="n"/>
      <c r="S200" s="119" t="n">
        <v>43664</v>
      </c>
      <c r="T200" s="219" t="inlineStr">
        <is>
          <t>Conference Call</t>
        </is>
      </c>
      <c r="U200" s="166" t="n"/>
    </row>
    <row r="201" ht="14.4" customHeight="1" s="876">
      <c r="A201" s="92" t="n">
        <v>55</v>
      </c>
      <c r="B201" s="116">
        <f>IF(INDEX(MO_SNA_IsHistoricalPeriod,,MATCH(F201,MO_Common_ColumnHeader,0)),"Historical","Forward")</f>
        <v/>
      </c>
      <c r="C201" s="166" t="n"/>
      <c r="D201" s="123">
        <f>INDEX(INDIRECT(E201),0,COLUMN(MO_Common_Column_A))</f>
        <v/>
      </c>
      <c r="E201" s="117" t="inlineStr">
        <is>
          <t>z_M2B13B0184_MO_GA_Internetofthingsrevenuegrowth</t>
        </is>
      </c>
      <c r="F201" s="116" t="inlineStr">
        <is>
          <t>FY2019</t>
        </is>
      </c>
      <c r="G201" s="116" t="n"/>
      <c r="H201" s="166" t="n"/>
      <c r="I201" s="1933" t="n">
        <v>0.1</v>
      </c>
      <c r="J201" s="1933" t="n">
        <v>0.3</v>
      </c>
      <c r="K201" s="1933">
        <f>AVERAGE(I201:J201)</f>
        <v/>
      </c>
      <c r="L201" s="166" t="n"/>
      <c r="M201" s="116">
        <f>IF(INDEX(MO_SNA_IsHistoricalPeriod,,MATCH(F201,MO_Common_ColumnHeader,0)),"Actual","Estimate")</f>
        <v/>
      </c>
      <c r="N201" s="1933">
        <f>IFERROR(INDEX(INDIRECT(E201),0,MATCH(F201,MO_Common_ColumnHeader,0)),"N/A")</f>
        <v/>
      </c>
      <c r="O201" s="166" t="n"/>
      <c r="P201" s="1930">
        <f>IF(ISNUMBER(N201),N201-K201,"N/A")</f>
        <v/>
      </c>
      <c r="Q201" s="1930">
        <f>IFERROR(IF(ISNUMBER(N201),(N201-K201)/ABS(K201),"N/A"),"N/A")</f>
        <v/>
      </c>
      <c r="R201" s="166" t="n"/>
      <c r="S201" s="119" t="n">
        <v>43664</v>
      </c>
      <c r="T201" s="219" t="inlineStr">
        <is>
          <t>Conference Call</t>
        </is>
      </c>
      <c r="U201" s="166" t="n"/>
    </row>
    <row r="202" ht="14.4" customHeight="1" s="876">
      <c r="A202" s="92" t="n">
        <v>54</v>
      </c>
      <c r="B202" s="116">
        <f>IF(INDEX(MO_SNA_IsHistoricalPeriod,,MATCH(F202,MO_Common_ColumnHeader,0)),"Historical","Forward")</f>
        <v/>
      </c>
      <c r="C202" s="166" t="n"/>
      <c r="D202" s="123">
        <f>INDEX(INDIRECT(E202),0,COLUMN(MO_Common_Column_A))</f>
        <v/>
      </c>
      <c r="E202" s="117" t="inlineStr">
        <is>
          <t>z_M2B13B0184_MO_GA_Automotiverevenuegrowth</t>
        </is>
      </c>
      <c r="F202" s="116" t="inlineStr">
        <is>
          <t>FY2019</t>
        </is>
      </c>
      <c r="G202" s="116" t="n"/>
      <c r="H202" s="166" t="n"/>
      <c r="I202" s="1933" t="n">
        <v>0</v>
      </c>
      <c r="J202" s="1933" t="n">
        <v>-0.1</v>
      </c>
      <c r="K202" s="1933">
        <f>AVERAGE(I202:J202)</f>
        <v/>
      </c>
      <c r="L202" s="166" t="n"/>
      <c r="M202" s="116">
        <f>IF(INDEX(MO_SNA_IsHistoricalPeriod,,MATCH(F202,MO_Common_ColumnHeader,0)),"Actual","Estimate")</f>
        <v/>
      </c>
      <c r="N202" s="1933">
        <f>IFERROR(INDEX(INDIRECT(E202),0,MATCH(F202,MO_Common_ColumnHeader,0)),"N/A")</f>
        <v/>
      </c>
      <c r="O202" s="166" t="n"/>
      <c r="P202" s="1930">
        <f>IF(ISNUMBER(N202),N202-K202,"N/A")</f>
        <v/>
      </c>
      <c r="Q202" s="1930">
        <f>IFERROR(IF(ISNUMBER(N202),(N202-K202)/ABS(K202),"N/A"),"N/A")</f>
        <v/>
      </c>
      <c r="R202" s="166" t="n"/>
      <c r="S202" s="119" t="n">
        <v>43664</v>
      </c>
      <c r="T202" s="219" t="inlineStr">
        <is>
          <t>Conference Call</t>
        </is>
      </c>
      <c r="U202" s="166" t="n"/>
    </row>
    <row r="203" ht="14.4" customHeight="1" s="876">
      <c r="A203" s="92" t="n">
        <v>53</v>
      </c>
      <c r="B203" s="166" t="n"/>
      <c r="C203" s="166" t="n"/>
      <c r="D203" s="102" t="n"/>
      <c r="E203" s="103" t="n"/>
      <c r="F203" s="166" t="n"/>
      <c r="G203" s="166" t="n"/>
      <c r="H203" s="166" t="n"/>
      <c r="I203" s="1301" t="n"/>
      <c r="J203" s="1301" t="n"/>
      <c r="K203" s="1301" t="n"/>
      <c r="L203" s="166" t="n"/>
      <c r="M203" s="166" t="n"/>
      <c r="N203" s="1301" t="n"/>
      <c r="O203" s="166" t="n"/>
      <c r="P203" s="1931" t="n"/>
      <c r="Q203" s="1932" t="n"/>
      <c r="R203" s="166" t="n"/>
      <c r="S203" s="107" t="n"/>
      <c r="T203" s="126" t="n"/>
      <c r="U203" s="166" t="n"/>
    </row>
    <row r="204" ht="14.4" customHeight="1" s="876">
      <c r="A204" s="92" t="n">
        <v>52</v>
      </c>
      <c r="B204" s="116">
        <f>IF(INDEX(MO_SNA_IsHistoricalPeriod,,MATCH(F204,MO_Common_ColumnHeader,0)),"Historical","Forward")</f>
        <v/>
      </c>
      <c r="C204" s="166" t="n"/>
      <c r="D204" s="123">
        <f>INDEX(INDIRECT(E204),0,COLUMN(MO_Common_Column_A))</f>
        <v/>
      </c>
      <c r="E204" s="117" t="inlineStr">
        <is>
          <t>MO_RIS_REV</t>
        </is>
      </c>
      <c r="F204" s="116" t="inlineStr">
        <is>
          <t>Q3-2019</t>
        </is>
      </c>
      <c r="G204" s="116" t="n"/>
      <c r="H204" s="166" t="n"/>
      <c r="I204" s="1928" t="n">
        <v>9100</v>
      </c>
      <c r="J204" s="1928" t="n">
        <v>9200</v>
      </c>
      <c r="K204" s="1928">
        <f>AVERAGE(I204:J204)</f>
        <v/>
      </c>
      <c r="L204" s="166" t="n"/>
      <c r="M204" s="116">
        <f>IF(INDEX(MO_SNA_IsHistoricalPeriod,,MATCH(F204,MO_Common_ColumnHeader,0)),"Actual","Estimate")</f>
        <v/>
      </c>
      <c r="N204" s="1928">
        <f>IFERROR(INDEX(INDIRECT(E204),0,MATCH(F204,MO_Common_ColumnHeader,0)),"N/A")/INDEX(z_M2B13B0184_MO_OS_Weightedaverageforeignexchangedratereported,0,MATCH(F204,MO_Common_ColumnHeader,0))</f>
        <v/>
      </c>
      <c r="O204" s="166" t="n"/>
      <c r="P204" s="1929">
        <f>IF(ISNUMBER(N204),N204-K204,"N/A")</f>
        <v/>
      </c>
      <c r="Q204" s="1930">
        <f>IFERROR(IF(ISNUMBER(N204),(N204-K204)/ABS(K204),"N/A"),"N/A")</f>
        <v/>
      </c>
      <c r="R204" s="166" t="n"/>
      <c r="S204" s="119" t="n">
        <v>43664</v>
      </c>
      <c r="T204" s="209" t="inlineStr">
        <is>
          <t>Press Release</t>
        </is>
      </c>
      <c r="U204" s="166" t="n"/>
    </row>
    <row r="205" ht="14.4" customHeight="1" s="876">
      <c r="A205" s="92" t="n">
        <v>51</v>
      </c>
      <c r="B205" s="116">
        <f>IF(INDEX(MO_SNA_IsHistoricalPeriod,,MATCH(F205,MO_Common_ColumnHeader,0)),"Historical","Forward")</f>
        <v/>
      </c>
      <c r="C205" s="166" t="n"/>
      <c r="D205" s="123">
        <f>INDEX(INDIRECT(E205),0,COLUMN(MO_Common_Column_A))</f>
        <v/>
      </c>
      <c r="E205" s="117" t="inlineStr">
        <is>
          <t>z_M2B13B0184_MO_OS_Weightedaverageforeignexchangedratereported</t>
        </is>
      </c>
      <c r="F205" s="116" t="inlineStr">
        <is>
          <t>Q3-2019</t>
        </is>
      </c>
      <c r="G205" s="116" t="n"/>
      <c r="H205" s="166" t="n"/>
      <c r="I205" s="1928" t="n">
        <v>31</v>
      </c>
      <c r="J205" s="1928" t="n">
        <v>31</v>
      </c>
      <c r="K205" s="1928">
        <f>AVERAGE(I205:J205)</f>
        <v/>
      </c>
      <c r="L205" s="166" t="n"/>
      <c r="M205" s="116">
        <f>IF(INDEX(MO_SNA_IsHistoricalPeriod,,MATCH(F205,MO_Common_ColumnHeader,0)),"Actual","Estimate")</f>
        <v/>
      </c>
      <c r="N205" s="1928">
        <f>IFERROR(INDEX(INDIRECT(E205),0,MATCH(F205,MO_Common_ColumnHeader,0)),"N/A")</f>
        <v/>
      </c>
      <c r="O205" s="166" t="n"/>
      <c r="P205" s="1929">
        <f>IF(ISNUMBER(N205),N205-K205,"N/A")</f>
        <v/>
      </c>
      <c r="Q205" s="1930">
        <f>IFERROR(IF(ISNUMBER(N205),(N205-K205)/ABS(K205),"N/A"),"N/A")</f>
        <v/>
      </c>
      <c r="R205" s="166" t="n"/>
      <c r="S205" s="119" t="n">
        <v>43664</v>
      </c>
      <c r="T205" s="209" t="inlineStr">
        <is>
          <t>Press Release</t>
        </is>
      </c>
      <c r="U205" s="166" t="n"/>
    </row>
    <row r="206" ht="14.4" customHeight="1" s="876">
      <c r="A206" s="92" t="n">
        <v>50</v>
      </c>
      <c r="B206" s="116">
        <f>IF(INDEX(MO_SNA_IsHistoricalPeriod,,MATCH(F206,MO_Common_ColumnHeader,0)),"Historical","Forward")</f>
        <v/>
      </c>
      <c r="C206" s="166" t="n"/>
      <c r="D206" s="123">
        <f>INDEX(INDIRECT(E206),0,COLUMN(MO_Common_Column_A))</f>
        <v/>
      </c>
      <c r="E206" s="117" t="inlineStr">
        <is>
          <t>MO_MA_GM</t>
        </is>
      </c>
      <c r="F206" s="116" t="inlineStr">
        <is>
          <t>Q3-2019</t>
        </is>
      </c>
      <c r="G206" s="116" t="n"/>
      <c r="H206" s="166" t="n"/>
      <c r="I206" s="1933" t="n">
        <v>0.46</v>
      </c>
      <c r="J206" s="1933" t="n">
        <v>0.48</v>
      </c>
      <c r="K206" s="1933">
        <f>AVERAGE(I206:J206)</f>
        <v/>
      </c>
      <c r="L206" s="166" t="n"/>
      <c r="M206" s="116">
        <f>IF(INDEX(MO_SNA_IsHistoricalPeriod,,MATCH(F206,MO_Common_ColumnHeader,0)),"Actual","Estimate")</f>
        <v/>
      </c>
      <c r="N206" s="1933">
        <f>IFERROR(INDEX(INDIRECT(E206),0,MATCH(F206,MO_Common_ColumnHeader,0)),"N/A")</f>
        <v/>
      </c>
      <c r="O206" s="166" t="n"/>
      <c r="P206" s="1930">
        <f>IF(ISNUMBER(N206),N206-K206,"N/A")</f>
        <v/>
      </c>
      <c r="Q206" s="1930">
        <f>IFERROR(IF(ISNUMBER(N206),(N206-K206)/ABS(K206),"N/A"),"N/A")</f>
        <v/>
      </c>
      <c r="R206" s="166" t="n"/>
      <c r="S206" s="119" t="n">
        <v>43664</v>
      </c>
      <c r="T206" s="209" t="inlineStr">
        <is>
          <t>Press Release</t>
        </is>
      </c>
      <c r="U206" s="166" t="n"/>
    </row>
    <row r="207" ht="14.4" customHeight="1" s="876">
      <c r="A207" s="92" t="n">
        <v>49</v>
      </c>
      <c r="B207" s="116">
        <f>IF(INDEX(MO_SNA_IsHistoricalPeriod,,MATCH(F207,MO_Common_ColumnHeader,0)),"Historical","Forward")</f>
        <v/>
      </c>
      <c r="C207" s="166" t="n"/>
      <c r="D207" s="123" t="inlineStr">
        <is>
          <t>Operating Profit Margin</t>
        </is>
      </c>
      <c r="E207" s="117" t="n"/>
      <c r="F207" s="116" t="inlineStr">
        <is>
          <t>Q3-2019</t>
        </is>
      </c>
      <c r="G207" s="116" t="n"/>
      <c r="H207" s="166" t="n"/>
      <c r="I207" s="1933" t="n">
        <v>0.35</v>
      </c>
      <c r="J207" s="1933" t="n">
        <v>0.37</v>
      </c>
      <c r="K207" s="1933">
        <f>AVERAGE(I207:J207)</f>
        <v/>
      </c>
      <c r="L207" s="166" t="n"/>
      <c r="M207" s="116">
        <f>IF(INDEX(MO_SNA_IsHistoricalPeriod,,MATCH(F207,MO_Common_ColumnHeader,0)),"Actual","Estimate")</f>
        <v/>
      </c>
      <c r="N207" s="1933">
        <f>INDEX(MO_RIS_EBIT,0,MATCH(F207,MO_Common_ColumnHeader,0))/INDEX(MO_RIS_REV,0,MATCH(F207,MO_Common_ColumnHeader,0))</f>
        <v/>
      </c>
      <c r="O207" s="166" t="n"/>
      <c r="P207" s="1930">
        <f>IF(ISNUMBER(N207),N207-K207,"N/A")</f>
        <v/>
      </c>
      <c r="Q207" s="1930">
        <f>IFERROR(IF(ISNUMBER(N207),(N207-K207)/ABS(K207),"N/A"),"N/A")</f>
        <v/>
      </c>
      <c r="R207" s="166" t="n"/>
      <c r="S207" s="119" t="n">
        <v>43664</v>
      </c>
      <c r="T207" s="209" t="inlineStr">
        <is>
          <t>Press Release</t>
        </is>
      </c>
      <c r="U207" s="166" t="n"/>
    </row>
    <row r="208" ht="14.4" customHeight="1" s="876">
      <c r="A208" s="92" t="n">
        <v>48</v>
      </c>
      <c r="B208" s="166" t="n"/>
      <c r="C208" s="166" t="n"/>
      <c r="D208" s="102" t="n"/>
      <c r="E208" s="103" t="n"/>
      <c r="F208" s="166" t="n"/>
      <c r="G208" s="166" t="n"/>
      <c r="H208" s="166" t="n"/>
      <c r="I208" s="1301" t="n"/>
      <c r="J208" s="1301" t="n"/>
      <c r="K208" s="1301" t="n"/>
      <c r="L208" s="166" t="n"/>
      <c r="M208" s="166" t="n"/>
      <c r="N208" s="1301" t="n"/>
      <c r="O208" s="166" t="n"/>
      <c r="P208" s="1931" t="n"/>
      <c r="Q208" s="1932" t="n"/>
      <c r="R208" s="166" t="n"/>
      <c r="S208" s="107" t="n"/>
      <c r="T208" s="126" t="n"/>
      <c r="U208" s="166" t="n"/>
    </row>
    <row r="209" ht="14.4" customHeight="1" s="876">
      <c r="A209" s="92" t="n">
        <v>47</v>
      </c>
      <c r="B209" s="116">
        <f>IF(INDEX(MO_SNA_IsHistoricalPeriod,,MATCH(F209,MO_Common_ColumnHeader,0)),"Historical","Forward")</f>
        <v/>
      </c>
      <c r="C209" s="166" t="n"/>
      <c r="D209" s="123">
        <f>INDEX(INDIRECT(E209),0,COLUMN(MO_Common_Column_A))</f>
        <v/>
      </c>
      <c r="E209" s="117" t="inlineStr">
        <is>
          <t>MO_CFSum_Capex</t>
        </is>
      </c>
      <c r="F209" s="116" t="inlineStr">
        <is>
          <t>FY2019</t>
        </is>
      </c>
      <c r="G209" s="116" t="n"/>
      <c r="H209" s="166" t="n"/>
      <c r="I209" s="1934" t="n">
        <v>-11000</v>
      </c>
      <c r="J209" s="1934" t="n">
        <v>-10000</v>
      </c>
      <c r="K209" s="1934">
        <f>AVERAGE(I209:J209)</f>
        <v/>
      </c>
      <c r="L209" s="166" t="n"/>
      <c r="M209" s="116">
        <f>IF(INDEX(MO_SNA_IsHistoricalPeriod,,MATCH(F209,MO_Common_ColumnHeader,0)),"Actual","Estimate")</f>
        <v/>
      </c>
      <c r="N209" s="1934">
        <f>IFERROR(INDEX(INDIRECT(E209),0,MATCH(F209,MO_Common_ColumnHeader,0)),"N/A")*INDEX(MO_VA_FX_Average,0,MATCH(F209,MO_Common_ColumnHeader,0))</f>
        <v/>
      </c>
      <c r="O209" s="1935" t="n"/>
      <c r="P209" s="1936">
        <f>IF(ISNUMBER(N209),N209-K209,"N/A")</f>
        <v/>
      </c>
      <c r="Q209" s="1930">
        <f>IFERROR(IF(ISNUMBER(N209),(N209-K209)/ABS(K209),"N/A"),"N/A")</f>
        <v/>
      </c>
      <c r="R209" s="166" t="n"/>
      <c r="S209" s="119" t="n">
        <v>43573</v>
      </c>
      <c r="T209" s="209" t="inlineStr">
        <is>
          <t>Transcript</t>
        </is>
      </c>
      <c r="U209" s="166" t="n"/>
    </row>
    <row r="210" ht="14.4" customHeight="1" s="876">
      <c r="A210" s="92" t="n">
        <v>46</v>
      </c>
      <c r="B210" s="116">
        <f>IF(INDEX(MO_SNA_IsHistoricalPeriod,,MATCH(F210,MO_Common_ColumnHeader,0)),"Historical","Forward")</f>
        <v/>
      </c>
      <c r="C210" s="166" t="n"/>
      <c r="D210" s="123">
        <f>INDEX(INDIRECT(E210),0,COLUMN(MO_Common_Column_A))</f>
        <v/>
      </c>
      <c r="E210" s="117" t="inlineStr">
        <is>
          <t>MO_RIS_TaxRate_Current</t>
        </is>
      </c>
      <c r="F210" s="116" t="inlineStr">
        <is>
          <t>FY2020</t>
        </is>
      </c>
      <c r="G210" s="116" t="n"/>
      <c r="H210" s="166" t="n"/>
      <c r="I210" s="1933" t="n">
        <v>0.12</v>
      </c>
      <c r="J210" s="1933" t="n">
        <v>0.12</v>
      </c>
      <c r="K210" s="1933">
        <f>AVERAGE(I210:J210)</f>
        <v/>
      </c>
      <c r="L210" s="166" t="n"/>
      <c r="M210" s="116">
        <f>IF(INDEX(MO_SNA_IsHistoricalPeriod,,MATCH(F210,MO_Common_ColumnHeader,0)),"Actual","Estimate")</f>
        <v/>
      </c>
      <c r="N210" s="1933">
        <f>IFERROR(INDEX(INDIRECT(E210),0,MATCH(F210,MO_Common_ColumnHeader,0)),"N/A")</f>
        <v/>
      </c>
      <c r="O210" s="166" t="n"/>
      <c r="P210" s="1930">
        <f>IF(ISNUMBER(N210),N210-K210,"N/A")</f>
        <v/>
      </c>
      <c r="Q210" s="1930">
        <f>IFERROR(IF(ISNUMBER(N210),(N210-K210)/ABS(K210),"N/A"),"N/A")</f>
        <v/>
      </c>
      <c r="R210" s="166" t="n"/>
      <c r="S210" s="119" t="n">
        <v>43573</v>
      </c>
      <c r="T210" s="209" t="inlineStr">
        <is>
          <t>Transcript</t>
        </is>
      </c>
      <c r="U210" s="166" t="n"/>
    </row>
    <row r="211" ht="14.4" customHeight="1" s="876">
      <c r="A211" s="92" t="n">
        <v>45</v>
      </c>
      <c r="B211" s="166" t="n"/>
      <c r="C211" s="166" t="n"/>
      <c r="D211" s="102" t="n"/>
      <c r="E211" s="103" t="n"/>
      <c r="F211" s="166" t="n"/>
      <c r="G211" s="166" t="n"/>
      <c r="H211" s="166" t="n"/>
      <c r="I211" s="1301" t="n"/>
      <c r="J211" s="1301" t="n"/>
      <c r="K211" s="1301" t="n"/>
      <c r="L211" s="166" t="n"/>
      <c r="M211" s="166" t="n"/>
      <c r="N211" s="1301" t="n"/>
      <c r="O211" s="166" t="n"/>
      <c r="P211" s="1931" t="n"/>
      <c r="Q211" s="1932" t="n"/>
      <c r="R211" s="166" t="n"/>
      <c r="S211" s="107" t="n"/>
      <c r="T211" s="126" t="n"/>
      <c r="U211" s="166" t="n"/>
    </row>
    <row r="212" ht="14.4" customHeight="1" s="876">
      <c r="A212" s="92" t="n">
        <v>44</v>
      </c>
      <c r="B212" s="116">
        <f>IF(INDEX(MO_SNA_IsHistoricalPeriod,,MATCH(F212,MO_Common_ColumnHeader,0)),"Historical","Forward")</f>
        <v/>
      </c>
      <c r="C212" s="166" t="n"/>
      <c r="D212" s="123">
        <f>INDEX(INDIRECT(E212),0,COLUMN(MO_Common_Column_A))</f>
        <v/>
      </c>
      <c r="E212" s="117" t="inlineStr">
        <is>
          <t>MO_RIS_REV</t>
        </is>
      </c>
      <c r="F212" s="116" t="inlineStr">
        <is>
          <t>Q2-2019</t>
        </is>
      </c>
      <c r="G212" s="116" t="n"/>
      <c r="H212" s="166" t="n"/>
      <c r="I212" s="1928" t="n">
        <v>7550</v>
      </c>
      <c r="J212" s="1928" t="n">
        <v>7650</v>
      </c>
      <c r="K212" s="1928">
        <f>AVERAGE(I212:J212)</f>
        <v/>
      </c>
      <c r="L212" s="166" t="n"/>
      <c r="M212" s="116">
        <f>IF(INDEX(MO_SNA_IsHistoricalPeriod,,MATCH(F212,MO_Common_ColumnHeader,0)),"Actual","Estimate")</f>
        <v/>
      </c>
      <c r="N212" s="1928">
        <f>IFERROR(INDEX(INDIRECT(E212),0,MATCH(F212,MO_Common_ColumnHeader,0)),"N/A")/INDEX(z_M2B13B0184_MO_OS_Weightedaverageforeignexchangedratereported,0,MATCH(F212,MO_Common_ColumnHeader,0))</f>
        <v/>
      </c>
      <c r="O212" s="166" t="n"/>
      <c r="P212" s="1929">
        <f>IF(ISNUMBER(N212),N212-K212,"N/A")</f>
        <v/>
      </c>
      <c r="Q212" s="1930">
        <f>IFERROR(IF(ISNUMBER(N212),(N212-K212)/ABS(K212),"N/A"),"N/A")</f>
        <v/>
      </c>
      <c r="R212" s="166" t="n"/>
      <c r="S212" s="119" t="n">
        <v>43573</v>
      </c>
      <c r="T212" s="209" t="inlineStr">
        <is>
          <t>Press Release</t>
        </is>
      </c>
      <c r="U212" s="166" t="n"/>
    </row>
    <row r="213" ht="14.4" customHeight="1" s="876">
      <c r="A213" s="92" t="n">
        <v>43</v>
      </c>
      <c r="B213" s="116">
        <f>IF(INDEX(MO_SNA_IsHistoricalPeriod,,MATCH(F213,MO_Common_ColumnHeader,0)),"Historical","Forward")</f>
        <v/>
      </c>
      <c r="C213" s="166" t="n"/>
      <c r="D213" s="123">
        <f>INDEX(INDIRECT(E213),0,COLUMN(MO_Common_Column_A))</f>
        <v/>
      </c>
      <c r="E213" s="117" t="inlineStr">
        <is>
          <t>z_M2B13B0184_MO_OS_Weightedaverageforeignexchangedratereported</t>
        </is>
      </c>
      <c r="F213" s="116" t="inlineStr">
        <is>
          <t>Q2-2019</t>
        </is>
      </c>
      <c r="G213" s="116" t="n"/>
      <c r="H213" s="166" t="n"/>
      <c r="I213" s="1928" t="n">
        <v>30.85</v>
      </c>
      <c r="J213" s="1928" t="n">
        <v>30.85</v>
      </c>
      <c r="K213" s="1928">
        <f>AVERAGE(I213:J213)</f>
        <v/>
      </c>
      <c r="L213" s="166" t="n"/>
      <c r="M213" s="116">
        <f>IF(INDEX(MO_SNA_IsHistoricalPeriod,,MATCH(F213,MO_Common_ColumnHeader,0)),"Actual","Estimate")</f>
        <v/>
      </c>
      <c r="N213" s="1928">
        <f>IFERROR(INDEX(INDIRECT(E213),0,MATCH(F213,MO_Common_ColumnHeader,0)),"N/A")</f>
        <v/>
      </c>
      <c r="O213" s="166" t="n"/>
      <c r="P213" s="1929">
        <f>IF(ISNUMBER(N213),N213-K213,"N/A")</f>
        <v/>
      </c>
      <c r="Q213" s="1930">
        <f>IFERROR(IF(ISNUMBER(N213),(N213-K213)/ABS(K213),"N/A"),"N/A")</f>
        <v/>
      </c>
      <c r="R213" s="166" t="n"/>
      <c r="S213" s="119" t="n">
        <v>43573</v>
      </c>
      <c r="T213" s="209" t="inlineStr">
        <is>
          <t>Press Release</t>
        </is>
      </c>
      <c r="U213" s="166" t="n"/>
    </row>
    <row r="214" ht="14.4" customHeight="1" s="876">
      <c r="A214" s="92" t="n">
        <v>42</v>
      </c>
      <c r="B214" s="116">
        <f>IF(INDEX(MO_SNA_IsHistoricalPeriod,,MATCH(F214,MO_Common_ColumnHeader,0)),"Historical","Forward")</f>
        <v/>
      </c>
      <c r="C214" s="166" t="n"/>
      <c r="D214" s="123">
        <f>INDEX(INDIRECT(E214),0,COLUMN(MO_Common_Column_A))</f>
        <v/>
      </c>
      <c r="E214" s="117" t="inlineStr">
        <is>
          <t>MO_MA_GM</t>
        </is>
      </c>
      <c r="F214" s="116" t="inlineStr">
        <is>
          <t>Q2-2019</t>
        </is>
      </c>
      <c r="G214" s="116" t="n"/>
      <c r="H214" s="166" t="n"/>
      <c r="I214" s="1933" t="n">
        <v>0.43</v>
      </c>
      <c r="J214" s="1933" t="n">
        <v>0.45</v>
      </c>
      <c r="K214" s="1933">
        <f>AVERAGE(I214:J214)</f>
        <v/>
      </c>
      <c r="L214" s="166" t="n"/>
      <c r="M214" s="116">
        <f>IF(INDEX(MO_SNA_IsHistoricalPeriod,,MATCH(F214,MO_Common_ColumnHeader,0)),"Actual","Estimate")</f>
        <v/>
      </c>
      <c r="N214" s="1933">
        <f>IFERROR(INDEX(INDIRECT(E214),0,MATCH(F214,MO_Common_ColumnHeader,0)),"N/A")</f>
        <v/>
      </c>
      <c r="O214" s="166" t="n"/>
      <c r="P214" s="1930">
        <f>IF(ISNUMBER(N214),N214-K214,"N/A")</f>
        <v/>
      </c>
      <c r="Q214" s="1930">
        <f>IFERROR(IF(ISNUMBER(N214),(N214-K214)/ABS(K214),"N/A"),"N/A")</f>
        <v/>
      </c>
      <c r="R214" s="166" t="n"/>
      <c r="S214" s="119" t="n">
        <v>43573</v>
      </c>
      <c r="T214" s="209" t="inlineStr">
        <is>
          <t>Press Release</t>
        </is>
      </c>
      <c r="U214" s="166" t="n"/>
    </row>
    <row r="215" ht="14.4" customHeight="1" s="876">
      <c r="A215" s="92" t="n">
        <v>41</v>
      </c>
      <c r="B215" s="116">
        <f>IF(INDEX(MO_SNA_IsHistoricalPeriod,,MATCH(F215,MO_Common_ColumnHeader,0)),"Historical","Forward")</f>
        <v/>
      </c>
      <c r="C215" s="166" t="n"/>
      <c r="D215" s="123" t="inlineStr">
        <is>
          <t>Operating Profit Margin</t>
        </is>
      </c>
      <c r="E215" s="117" t="n"/>
      <c r="F215" s="116" t="inlineStr">
        <is>
          <t>Q2-2019</t>
        </is>
      </c>
      <c r="G215" s="116" t="n"/>
      <c r="H215" s="166" t="n"/>
      <c r="I215" s="1933" t="n">
        <v>0.31</v>
      </c>
      <c r="J215" s="1933" t="n">
        <v>0.33</v>
      </c>
      <c r="K215" s="1933">
        <f>AVERAGE(I215:J215)</f>
        <v/>
      </c>
      <c r="L215" s="166" t="n"/>
      <c r="M215" s="116">
        <f>IF(INDEX(MO_SNA_IsHistoricalPeriod,,MATCH(F215,MO_Common_ColumnHeader,0)),"Actual","Estimate")</f>
        <v/>
      </c>
      <c r="N215" s="1933">
        <f>INDEX(MO_RIS_EBIT,0,MATCH(F215,MO_Common_ColumnHeader,0))/INDEX(MO_RIS_REV,0,MATCH(F215,MO_Common_ColumnHeader,0))</f>
        <v/>
      </c>
      <c r="O215" s="166" t="n"/>
      <c r="P215" s="1930">
        <f>IF(ISNUMBER(N215),N215-K215,"N/A")</f>
        <v/>
      </c>
      <c r="Q215" s="1930">
        <f>IFERROR(IF(ISNUMBER(N215),(N215-K215)/ABS(K215),"N/A"),"N/A")</f>
        <v/>
      </c>
      <c r="R215" s="166" t="n"/>
      <c r="S215" s="119" t="n">
        <v>43573</v>
      </c>
      <c r="T215" s="209" t="inlineStr">
        <is>
          <t>Press Release</t>
        </is>
      </c>
      <c r="U215" s="166" t="n"/>
    </row>
    <row r="216" ht="14.4" customHeight="1" s="876">
      <c r="A216" s="92" t="n">
        <v>40</v>
      </c>
      <c r="B216" s="116">
        <f>IF(INDEX(MO_SNA_IsHistoricalPeriod,,MATCH(F216,MO_Common_ColumnHeader,0)),"Historical","Forward")</f>
        <v/>
      </c>
      <c r="C216" s="166" t="n"/>
      <c r="D216" s="123">
        <f>INDEX(INDIRECT(E216),0,COLUMN(MO_Common_Column_A))</f>
        <v/>
      </c>
      <c r="E216" s="117" t="inlineStr">
        <is>
          <t>MO_RIS_TaxRate_Current</t>
        </is>
      </c>
      <c r="F216" s="116" t="inlineStr">
        <is>
          <t>Q2-2019</t>
        </is>
      </c>
      <c r="G216" s="116" t="n"/>
      <c r="H216" s="166" t="n"/>
      <c r="I216" s="1933" t="n">
        <v>0.18</v>
      </c>
      <c r="J216" s="1933" t="n">
        <v>0.18</v>
      </c>
      <c r="K216" s="1933">
        <f>AVERAGE(I216:J216)</f>
        <v/>
      </c>
      <c r="L216" s="166" t="n"/>
      <c r="M216" s="116">
        <f>IF(INDEX(MO_SNA_IsHistoricalPeriod,,MATCH(F216,MO_Common_ColumnHeader,0)),"Actual","Estimate")</f>
        <v/>
      </c>
      <c r="N216" s="1933">
        <f>IFERROR(INDEX(INDIRECT(E216),0,MATCH(F216,MO_Common_ColumnHeader,0)),"N/A")</f>
        <v/>
      </c>
      <c r="O216" s="166" t="n"/>
      <c r="P216" s="1930">
        <f>IF(ISNUMBER(N216),N216-K216,"N/A")</f>
        <v/>
      </c>
      <c r="Q216" s="1930">
        <f>IFERROR(IF(ISNUMBER(N216),(N216-K216)/ABS(K216),"N/A"),"N/A")</f>
        <v/>
      </c>
      <c r="R216" s="166" t="n"/>
      <c r="S216" s="119" t="n">
        <v>43573</v>
      </c>
      <c r="T216" s="209" t="inlineStr">
        <is>
          <t>Transcript</t>
        </is>
      </c>
      <c r="U216" s="166" t="n"/>
    </row>
    <row r="217" ht="14.4" customHeight="1" s="876">
      <c r="A217" s="92" t="n">
        <v>39</v>
      </c>
      <c r="B217" s="166" t="n"/>
      <c r="C217" s="166" t="n"/>
      <c r="D217" s="102" t="n"/>
      <c r="E217" s="103" t="n"/>
      <c r="F217" s="166" t="n"/>
      <c r="G217" s="166" t="n"/>
      <c r="H217" s="166" t="n"/>
      <c r="I217" s="1301" t="n"/>
      <c r="J217" s="1301" t="n"/>
      <c r="K217" s="1301" t="n"/>
      <c r="L217" s="166" t="n"/>
      <c r="M217" s="166" t="n"/>
      <c r="N217" s="1301" t="n"/>
      <c r="O217" s="166" t="n"/>
      <c r="P217" s="1931" t="n"/>
      <c r="Q217" s="1932" t="n"/>
      <c r="R217" s="166" t="n"/>
      <c r="S217" s="107" t="n"/>
      <c r="T217" s="126" t="n"/>
      <c r="U217" s="166" t="n"/>
    </row>
    <row r="218" ht="14.4" customHeight="1" s="876">
      <c r="A218" s="92" t="n">
        <v>38</v>
      </c>
      <c r="B218" s="116">
        <f>IF(INDEX(MO_SNA_IsHistoricalPeriod,,MATCH(F218,MO_Common_ColumnHeader,0)),"Historical","Forward")</f>
        <v/>
      </c>
      <c r="C218" s="166" t="n"/>
      <c r="D218" s="123">
        <f>INDEX(INDIRECT(E218),0,COLUMN(MO_Common_Column_A))</f>
        <v/>
      </c>
      <c r="E218" s="117" t="inlineStr">
        <is>
          <t>MO_CFSum_Capex</t>
        </is>
      </c>
      <c r="F218" s="116" t="inlineStr">
        <is>
          <t>FY2019</t>
        </is>
      </c>
      <c r="G218" s="116" t="n"/>
      <c r="H218" s="166" t="n"/>
      <c r="I218" s="1934" t="n">
        <v>-11000</v>
      </c>
      <c r="J218" s="1934" t="n">
        <v>-10000</v>
      </c>
      <c r="K218" s="1934">
        <f>AVERAGE(I218:J218)</f>
        <v/>
      </c>
      <c r="L218" s="166" t="n"/>
      <c r="M218" s="116">
        <f>IF(INDEX(MO_SNA_IsHistoricalPeriod,,MATCH(F218,MO_Common_ColumnHeader,0)),"Actual","Estimate")</f>
        <v/>
      </c>
      <c r="N218" s="1934">
        <f>IFERROR(INDEX(INDIRECT(E218),0,MATCH(F218,MO_Common_ColumnHeader,0)),"N/A")*INDEX(MO_VA_FX_Average,0,MATCH(F218,MO_Common_ColumnHeader,0))</f>
        <v/>
      </c>
      <c r="O218" s="1935" t="n"/>
      <c r="P218" s="1936">
        <f>IF(ISNUMBER(N218),N218-K218,"N/A")</f>
        <v/>
      </c>
      <c r="Q218" s="1930">
        <f>IFERROR(IF(ISNUMBER(N218),(N218-K218)/ABS(K218),"N/A"),"N/A")</f>
        <v/>
      </c>
      <c r="R218" s="166" t="n"/>
      <c r="S218" s="119" t="n">
        <v>43482</v>
      </c>
      <c r="T218" s="209" t="inlineStr">
        <is>
          <t>Press Release</t>
        </is>
      </c>
      <c r="U218" s="166" t="n"/>
    </row>
    <row r="219" ht="14.4" customHeight="1" s="876">
      <c r="A219" s="92" t="n">
        <v>37</v>
      </c>
      <c r="B219" s="166" t="n"/>
      <c r="C219" s="166" t="n"/>
      <c r="D219" s="102" t="n"/>
      <c r="E219" s="103" t="n"/>
      <c r="F219" s="166" t="n"/>
      <c r="G219" s="166" t="n"/>
      <c r="H219" s="166" t="n"/>
      <c r="I219" s="1301" t="n"/>
      <c r="J219" s="1301" t="n"/>
      <c r="K219" s="1301" t="n"/>
      <c r="L219" s="166" t="n"/>
      <c r="M219" s="166" t="n"/>
      <c r="N219" s="1301" t="n"/>
      <c r="O219" s="166" t="n"/>
      <c r="P219" s="1931" t="n"/>
      <c r="Q219" s="1932" t="n"/>
      <c r="R219" s="166" t="n"/>
      <c r="S219" s="107" t="n"/>
      <c r="T219" s="126" t="n"/>
      <c r="U219" s="166" t="n"/>
    </row>
    <row r="220" ht="14.4" customHeight="1" s="876">
      <c r="A220" s="92" t="n">
        <v>36</v>
      </c>
      <c r="B220" s="116">
        <f>IF(INDEX(MO_SNA_IsHistoricalPeriod,,MATCH(F220,MO_Common_ColumnHeader,0)),"Historical","Forward")</f>
        <v/>
      </c>
      <c r="C220" s="166" t="n"/>
      <c r="D220" s="123">
        <f>INDEX(INDIRECT(E220),0,COLUMN(MO_Common_Column_A))</f>
        <v/>
      </c>
      <c r="E220" s="117" t="inlineStr">
        <is>
          <t>MO_RIS_REV</t>
        </is>
      </c>
      <c r="F220" s="116" t="inlineStr">
        <is>
          <t>Q1-2019</t>
        </is>
      </c>
      <c r="G220" s="116" t="n"/>
      <c r="H220" s="166" t="n"/>
      <c r="I220" s="1928" t="n">
        <v>7300</v>
      </c>
      <c r="J220" s="1928" t="n">
        <v>7400</v>
      </c>
      <c r="K220" s="1928">
        <f>AVERAGE(I220:J220)</f>
        <v/>
      </c>
      <c r="L220" s="166" t="n"/>
      <c r="M220" s="116">
        <f>IF(INDEX(MO_SNA_IsHistoricalPeriod,,MATCH(F220,MO_Common_ColumnHeader,0)),"Actual","Estimate")</f>
        <v/>
      </c>
      <c r="N220" s="1928">
        <f>IFERROR(INDEX(INDIRECT(E220),0,MATCH(F220,MO_Common_ColumnHeader,0)),"N/A")/INDEX(z_M2B13B0184_MO_OS_Weightedaverageforeignexchangedratereported,0,MATCH(F220,MO_Common_ColumnHeader,0))</f>
        <v/>
      </c>
      <c r="O220" s="166" t="n"/>
      <c r="P220" s="1929">
        <f>IF(ISNUMBER(N220),N220-K220,"N/A")</f>
        <v/>
      </c>
      <c r="Q220" s="1930">
        <f>IFERROR(IF(ISNUMBER(N220),(N220-K220)/ABS(K220),"N/A"),"N/A")</f>
        <v/>
      </c>
      <c r="R220" s="166" t="n"/>
      <c r="S220" s="119" t="n">
        <v>43482</v>
      </c>
      <c r="T220" s="209" t="inlineStr">
        <is>
          <t>Press Release</t>
        </is>
      </c>
      <c r="U220" s="166" t="n"/>
    </row>
    <row r="221" ht="14.4" customHeight="1" s="876">
      <c r="A221" s="92" t="n">
        <v>35</v>
      </c>
      <c r="B221" s="116">
        <f>IF(INDEX(MO_SNA_IsHistoricalPeriod,,MATCH(F221,MO_Common_ColumnHeader,0)),"Historical","Forward")</f>
        <v/>
      </c>
      <c r="C221" s="166" t="n"/>
      <c r="D221" s="123">
        <f>INDEX(INDIRECT(E221),0,COLUMN(MO_Common_Column_A))</f>
        <v/>
      </c>
      <c r="E221" s="117" t="inlineStr">
        <is>
          <t>z_M2B13B0184_MO_OS_Weightedaverageforeignexchangedratereported</t>
        </is>
      </c>
      <c r="F221" s="116" t="inlineStr">
        <is>
          <t>Q1-2019</t>
        </is>
      </c>
      <c r="G221" s="116" t="n"/>
      <c r="H221" s="166" t="n"/>
      <c r="I221" s="1928" t="n">
        <v>30.6</v>
      </c>
      <c r="J221" s="1928" t="n">
        <v>30.6</v>
      </c>
      <c r="K221" s="1928">
        <f>AVERAGE(I221:J221)</f>
        <v/>
      </c>
      <c r="L221" s="166" t="n"/>
      <c r="M221" s="116">
        <f>IF(INDEX(MO_SNA_IsHistoricalPeriod,,MATCH(F221,MO_Common_ColumnHeader,0)),"Actual","Estimate")</f>
        <v/>
      </c>
      <c r="N221" s="1928">
        <f>IFERROR(INDEX(INDIRECT(E221),0,MATCH(F221,MO_Common_ColumnHeader,0)),"N/A")</f>
        <v/>
      </c>
      <c r="O221" s="166" t="n"/>
      <c r="P221" s="1929">
        <f>IF(ISNUMBER(N221),N221-K221,"N/A")</f>
        <v/>
      </c>
      <c r="Q221" s="1930">
        <f>IFERROR(IF(ISNUMBER(N221),(N221-K221)/ABS(K221),"N/A"),"N/A")</f>
        <v/>
      </c>
      <c r="R221" s="166" t="n"/>
      <c r="S221" s="119" t="n">
        <v>43482</v>
      </c>
      <c r="T221" s="209" t="inlineStr">
        <is>
          <t>Press Release</t>
        </is>
      </c>
      <c r="U221" s="166" t="n"/>
    </row>
    <row r="222" ht="14.4" customHeight="1" s="876">
      <c r="A222" s="92" t="n">
        <v>34</v>
      </c>
      <c r="B222" s="116">
        <f>IF(INDEX(MO_SNA_IsHistoricalPeriod,,MATCH(F222,MO_Common_ColumnHeader,0)),"Historical","Forward")</f>
        <v/>
      </c>
      <c r="C222" s="166" t="n"/>
      <c r="D222" s="123">
        <f>INDEX(INDIRECT(E222),0,COLUMN(MO_Common_Column_A))</f>
        <v/>
      </c>
      <c r="E222" s="117" t="inlineStr">
        <is>
          <t>MO_MA_GM</t>
        </is>
      </c>
      <c r="F222" s="116" t="inlineStr">
        <is>
          <t>Q1-2019</t>
        </is>
      </c>
      <c r="G222" s="116" t="n"/>
      <c r="H222" s="166" t="n"/>
      <c r="I222" s="1933" t="n">
        <v>0.43</v>
      </c>
      <c r="J222" s="1933" t="n">
        <v>0.45</v>
      </c>
      <c r="K222" s="1933">
        <f>AVERAGE(I222:J222)</f>
        <v/>
      </c>
      <c r="L222" s="166" t="n"/>
      <c r="M222" s="116">
        <f>IF(INDEX(MO_SNA_IsHistoricalPeriod,,MATCH(F222,MO_Common_ColumnHeader,0)),"Actual","Estimate")</f>
        <v/>
      </c>
      <c r="N222" s="1933">
        <f>IFERROR(INDEX(INDIRECT(E222),0,MATCH(F222,MO_Common_ColumnHeader,0)),"N/A")</f>
        <v/>
      </c>
      <c r="O222" s="166" t="n"/>
      <c r="P222" s="1930">
        <f>IF(ISNUMBER(N222),N222-K222,"N/A")</f>
        <v/>
      </c>
      <c r="Q222" s="1930">
        <f>IFERROR(IF(ISNUMBER(N222),(N222-K222)/ABS(K222),"N/A"),"N/A")</f>
        <v/>
      </c>
      <c r="R222" s="166" t="n"/>
      <c r="S222" s="119" t="n">
        <v>43482</v>
      </c>
      <c r="T222" s="209" t="inlineStr">
        <is>
          <t>Press Release</t>
        </is>
      </c>
      <c r="U222" s="166" t="n"/>
    </row>
    <row r="223" ht="14.4" customHeight="1" s="876">
      <c r="A223" s="92" t="n">
        <v>33</v>
      </c>
      <c r="B223" s="116">
        <f>IF(INDEX(MO_SNA_IsHistoricalPeriod,,MATCH(F223,MO_Common_ColumnHeader,0)),"Historical","Forward")</f>
        <v/>
      </c>
      <c r="C223" s="166" t="n"/>
      <c r="D223" s="123" t="inlineStr">
        <is>
          <t>Operating Profit Margin</t>
        </is>
      </c>
      <c r="E223" s="117" t="n"/>
      <c r="F223" s="116" t="inlineStr">
        <is>
          <t>Q1-2019</t>
        </is>
      </c>
      <c r="G223" s="116" t="n"/>
      <c r="H223" s="166" t="n"/>
      <c r="I223" s="1933" t="n">
        <v>0.31</v>
      </c>
      <c r="J223" s="1933" t="n">
        <v>0.33</v>
      </c>
      <c r="K223" s="1933">
        <f>AVERAGE(I223:J223)</f>
        <v/>
      </c>
      <c r="L223" s="166" t="n"/>
      <c r="M223" s="116">
        <f>IF(INDEX(MO_SNA_IsHistoricalPeriod,,MATCH(F223,MO_Common_ColumnHeader,0)),"Actual","Estimate")</f>
        <v/>
      </c>
      <c r="N223" s="1933">
        <f>INDEX(MO_RIS_EBIT,0,MATCH(F223,MO_Common_ColumnHeader,0))/INDEX(MO_RIS_REV,0,MATCH(F223,MO_Common_ColumnHeader,0))</f>
        <v/>
      </c>
      <c r="O223" s="166" t="n"/>
      <c r="P223" s="1930">
        <f>IF(ISNUMBER(N223),N223-K223,"N/A")</f>
        <v/>
      </c>
      <c r="Q223" s="1930">
        <f>IFERROR(IF(ISNUMBER(N223),(N223-K223)/ABS(K223),"N/A"),"N/A")</f>
        <v/>
      </c>
      <c r="R223" s="166" t="n"/>
      <c r="S223" s="119" t="n">
        <v>43482</v>
      </c>
      <c r="T223" s="209" t="inlineStr">
        <is>
          <t>Press Release</t>
        </is>
      </c>
      <c r="U223" s="166" t="n"/>
    </row>
    <row r="224" ht="14.4" customHeight="1" s="876">
      <c r="A224" s="92" t="n">
        <v>32</v>
      </c>
      <c r="B224" s="166" t="n"/>
      <c r="C224" s="166" t="n"/>
      <c r="D224" s="102" t="n"/>
      <c r="E224" s="103" t="n"/>
      <c r="F224" s="166" t="n"/>
      <c r="G224" s="166" t="n"/>
      <c r="H224" s="166" t="n"/>
      <c r="I224" s="1301" t="n"/>
      <c r="J224" s="1301" t="n"/>
      <c r="K224" s="1301" t="n"/>
      <c r="L224" s="166" t="n"/>
      <c r="M224" s="166" t="n"/>
      <c r="N224" s="1301" t="n"/>
      <c r="O224" s="166" t="n"/>
      <c r="P224" s="1931" t="n"/>
      <c r="Q224" s="1932" t="n"/>
      <c r="R224" s="166" t="n"/>
      <c r="S224" s="107" t="n"/>
      <c r="T224" s="126" t="n"/>
      <c r="U224" s="166" t="n"/>
    </row>
    <row r="225" ht="14.4" customHeight="1" s="876">
      <c r="A225" s="92" t="n">
        <v>31</v>
      </c>
      <c r="B225" s="116">
        <f>IF(INDEX(MO_SNA_IsHistoricalPeriod,,MATCH(F225,MO_Common_ColumnHeader,0)),"Historical","Forward")</f>
        <v/>
      </c>
      <c r="C225" s="166" t="n"/>
      <c r="D225" s="123">
        <f>INDEX(INDIRECT(E225),0,COLUMN(MO_Common_Column_A))</f>
        <v/>
      </c>
      <c r="E225" s="117" t="inlineStr">
        <is>
          <t>MO_CFSum_Capex</t>
        </is>
      </c>
      <c r="F225" s="116" t="inlineStr">
        <is>
          <t>FY2018</t>
        </is>
      </c>
      <c r="G225" s="116" t="n"/>
      <c r="H225" s="166" t="n"/>
      <c r="I225" s="1934" t="n">
        <v>-10500</v>
      </c>
      <c r="J225" s="1934" t="n">
        <v>-10000</v>
      </c>
      <c r="K225" s="1934">
        <f>AVERAGE(I225:J225)</f>
        <v/>
      </c>
      <c r="L225" s="166" t="n"/>
      <c r="M225" s="116">
        <f>IF(INDEX(MO_SNA_IsHistoricalPeriod,,MATCH(F225,MO_Common_ColumnHeader,0)),"Actual","Estimate")</f>
        <v/>
      </c>
      <c r="N225" s="1934">
        <f>IFERROR(INDEX(INDIRECT(E225),0,MATCH(F225,MO_Common_ColumnHeader,0)),"N/A")*INDEX(MO_VA_FX_Average,0,MATCH(F225,MO_Common_ColumnHeader,0))</f>
        <v/>
      </c>
      <c r="O225" s="1935" t="n"/>
      <c r="P225" s="1936">
        <f>IF(ISNUMBER(N225),N225-K225,"N/A")</f>
        <v/>
      </c>
      <c r="Q225" s="1930">
        <f>IFERROR(IF(ISNUMBER(N225),(N225-K225)/ABS(K225),"N/A"),"N/A")</f>
        <v/>
      </c>
      <c r="R225" s="166" t="n"/>
      <c r="S225" s="119" t="n">
        <v>43391</v>
      </c>
      <c r="T225" s="209" t="inlineStr">
        <is>
          <t>Transcript</t>
        </is>
      </c>
      <c r="U225" s="166" t="n"/>
    </row>
    <row r="226" ht="14.4" customHeight="1" s="876">
      <c r="A226" s="92" t="n">
        <v>30</v>
      </c>
      <c r="B226" s="116">
        <f>IF(INDEX(MO_SNA_IsHistoricalPeriod,,MATCH(F226,MO_Common_ColumnHeader,0)),"Historical","Forward")</f>
        <v/>
      </c>
      <c r="C226" s="166" t="n"/>
      <c r="D226" s="123">
        <f>INDEX(INDIRECT(E226),0,COLUMN(MO_Common_Column_A))</f>
        <v/>
      </c>
      <c r="E226" s="117" t="inlineStr">
        <is>
          <t>MO_RIS_TaxRate_Current</t>
        </is>
      </c>
      <c r="F226" s="116" t="inlineStr">
        <is>
          <t>FY2018</t>
        </is>
      </c>
      <c r="G226" s="116" t="n"/>
      <c r="H226" s="166" t="n"/>
      <c r="I226" s="1933" t="n">
        <v>0.12</v>
      </c>
      <c r="J226" s="1933" t="n">
        <v>0.12</v>
      </c>
      <c r="K226" s="1933">
        <f>AVERAGE(I226:J226)</f>
        <v/>
      </c>
      <c r="L226" s="166" t="n"/>
      <c r="M226" s="116">
        <f>IF(INDEX(MO_SNA_IsHistoricalPeriod,,MATCH(F226,MO_Common_ColumnHeader,0)),"Actual","Estimate")</f>
        <v/>
      </c>
      <c r="N226" s="1933">
        <f>IFERROR(INDEX(INDIRECT(E226),0,MATCH(F226,MO_Common_ColumnHeader,0)),"N/A")</f>
        <v/>
      </c>
      <c r="O226" s="166" t="n"/>
      <c r="P226" s="1930">
        <f>IF(ISNUMBER(N226),N226-K226,"N/A")</f>
        <v/>
      </c>
      <c r="Q226" s="1930">
        <f>IFERROR(IF(ISNUMBER(N226),(N226-K226)/ABS(K226),"N/A"),"N/A")</f>
        <v/>
      </c>
      <c r="R226" s="166" t="n"/>
      <c r="S226" s="119" t="n">
        <v>43391</v>
      </c>
      <c r="T226" s="209" t="inlineStr">
        <is>
          <t>Transcript</t>
        </is>
      </c>
      <c r="U226" s="166" t="n"/>
    </row>
    <row r="227" ht="14.4" customHeight="1" s="876">
      <c r="A227" s="92" t="n">
        <v>29</v>
      </c>
      <c r="B227" s="166" t="n"/>
      <c r="C227" s="166" t="n"/>
      <c r="D227" s="102" t="n"/>
      <c r="E227" s="103" t="n"/>
      <c r="F227" s="166" t="n"/>
      <c r="G227" s="166" t="n"/>
      <c r="H227" s="166" t="n"/>
      <c r="I227" s="1301" t="n"/>
      <c r="J227" s="1301" t="n"/>
      <c r="K227" s="1301" t="n"/>
      <c r="L227" s="166" t="n"/>
      <c r="M227" s="166" t="n"/>
      <c r="N227" s="1301" t="n"/>
      <c r="O227" s="166" t="n"/>
      <c r="P227" s="1931" t="n"/>
      <c r="Q227" s="1932" t="n"/>
      <c r="R227" s="166" t="n"/>
      <c r="S227" s="107" t="n"/>
      <c r="T227" s="126" t="n"/>
      <c r="U227" s="166" t="n"/>
    </row>
    <row r="228" ht="14.4" customHeight="1" s="876">
      <c r="A228" s="92" t="n">
        <v>28</v>
      </c>
      <c r="B228" s="116">
        <f>IF(INDEX(MO_SNA_IsHistoricalPeriod,,MATCH(F228,MO_Common_ColumnHeader,0)),"Historical","Forward")</f>
        <v/>
      </c>
      <c r="C228" s="166" t="n"/>
      <c r="D228" s="123">
        <f>INDEX(INDIRECT(E228),0,COLUMN(MO_Common_Column_A))</f>
        <v/>
      </c>
      <c r="E228" s="117" t="inlineStr">
        <is>
          <t>MO_RIS_REV</t>
        </is>
      </c>
      <c r="F228" s="116" t="inlineStr">
        <is>
          <t>Q4-2018</t>
        </is>
      </c>
      <c r="G228" s="116" t="n"/>
      <c r="H228" s="166" t="n"/>
      <c r="I228" s="1928" t="n">
        <v>9350</v>
      </c>
      <c r="J228" s="1928" t="n">
        <v>9450</v>
      </c>
      <c r="K228" s="1928">
        <f>AVERAGE(I228:J228)</f>
        <v/>
      </c>
      <c r="L228" s="166" t="n"/>
      <c r="M228" s="116">
        <f>IF(INDEX(MO_SNA_IsHistoricalPeriod,,MATCH(F228,MO_Common_ColumnHeader,0)),"Actual","Estimate")</f>
        <v/>
      </c>
      <c r="N228" s="1928">
        <f>IFERROR(INDEX(INDIRECT(E228),0,MATCH(F228,MO_Common_ColumnHeader,0)),"N/A")/INDEX(z_M2B13B0184_MO_OS_Weightedaverageforeignexchangedratereported,0,MATCH(F228,MO_Common_ColumnHeader,0))</f>
        <v/>
      </c>
      <c r="O228" s="166" t="n"/>
      <c r="P228" s="1929">
        <f>IF(ISNUMBER(N228),N228-K228,"N/A")</f>
        <v/>
      </c>
      <c r="Q228" s="1930">
        <f>IFERROR(IF(ISNUMBER(N228),(N228-K228)/ABS(K228),"N/A"),"N/A")</f>
        <v/>
      </c>
      <c r="R228" s="166" t="n"/>
      <c r="S228" s="119" t="n">
        <v>43391</v>
      </c>
      <c r="T228" s="209" t="inlineStr">
        <is>
          <t>Press Release</t>
        </is>
      </c>
      <c r="U228" s="166" t="n"/>
    </row>
    <row r="229" ht="14.4" customHeight="1" s="876">
      <c r="A229" s="92" t="n">
        <v>27</v>
      </c>
      <c r="B229" s="116">
        <f>IF(INDEX(MO_SNA_IsHistoricalPeriod,,MATCH(F229,MO_Common_ColumnHeader,0)),"Historical","Forward")</f>
        <v/>
      </c>
      <c r="C229" s="166" t="n"/>
      <c r="D229" s="123">
        <f>INDEX(INDIRECT(E229),0,COLUMN(MO_Common_Column_A))</f>
        <v/>
      </c>
      <c r="E229" s="117" t="inlineStr">
        <is>
          <t>z_M2B13B0184_MO_OS_Weightedaverageforeignexchangedratereported</t>
        </is>
      </c>
      <c r="F229" s="116" t="inlineStr">
        <is>
          <t>Q4-2018</t>
        </is>
      </c>
      <c r="G229" s="116" t="n"/>
      <c r="H229" s="166" t="n"/>
      <c r="I229" s="1928" t="n">
        <v>30.8</v>
      </c>
      <c r="J229" s="1928" t="n">
        <v>30.8</v>
      </c>
      <c r="K229" s="1928">
        <f>AVERAGE(I229:J229)</f>
        <v/>
      </c>
      <c r="L229" s="166" t="n"/>
      <c r="M229" s="116">
        <f>IF(INDEX(MO_SNA_IsHistoricalPeriod,,MATCH(F229,MO_Common_ColumnHeader,0)),"Actual","Estimate")</f>
        <v/>
      </c>
      <c r="N229" s="1928">
        <f>IFERROR(INDEX(INDIRECT(E229),0,MATCH(F229,MO_Common_ColumnHeader,0)),"N/A")</f>
        <v/>
      </c>
      <c r="O229" s="166" t="n"/>
      <c r="P229" s="1929">
        <f>IF(ISNUMBER(N229),N229-K229,"N/A")</f>
        <v/>
      </c>
      <c r="Q229" s="1930">
        <f>IFERROR(IF(ISNUMBER(N229),(N229-K229)/ABS(K229),"N/A"),"N/A")</f>
        <v/>
      </c>
      <c r="R229" s="166" t="n"/>
      <c r="S229" s="119" t="n">
        <v>43391</v>
      </c>
      <c r="T229" s="209" t="inlineStr">
        <is>
          <t>Press Release</t>
        </is>
      </c>
      <c r="U229" s="166" t="n"/>
    </row>
    <row r="230" ht="14.4" customHeight="1" s="876">
      <c r="A230" s="92" t="n">
        <v>26</v>
      </c>
      <c r="B230" s="116">
        <f>IF(INDEX(MO_SNA_IsHistoricalPeriod,,MATCH(F230,MO_Common_ColumnHeader,0)),"Historical","Forward")</f>
        <v/>
      </c>
      <c r="C230" s="166" t="n"/>
      <c r="D230" s="123">
        <f>INDEX(INDIRECT(E230),0,COLUMN(MO_Common_Column_A))</f>
        <v/>
      </c>
      <c r="E230" s="117" t="inlineStr">
        <is>
          <t>MO_MA_GM</t>
        </is>
      </c>
      <c r="F230" s="116" t="inlineStr">
        <is>
          <t>Q4-2018</t>
        </is>
      </c>
      <c r="G230" s="116" t="n"/>
      <c r="H230" s="166" t="n"/>
      <c r="I230" s="1933" t="n">
        <v>0.47</v>
      </c>
      <c r="J230" s="1933" t="n">
        <v>0.49</v>
      </c>
      <c r="K230" s="1933">
        <f>AVERAGE(I230:J230)</f>
        <v/>
      </c>
      <c r="L230" s="166" t="n"/>
      <c r="M230" s="116">
        <f>IF(INDEX(MO_SNA_IsHistoricalPeriod,,MATCH(F230,MO_Common_ColumnHeader,0)),"Actual","Estimate")</f>
        <v/>
      </c>
      <c r="N230" s="1933">
        <f>IFERROR(INDEX(INDIRECT(E230),0,MATCH(F230,MO_Common_ColumnHeader,0)),"N/A")</f>
        <v/>
      </c>
      <c r="O230" s="166" t="n"/>
      <c r="P230" s="1930">
        <f>IF(ISNUMBER(N230),N230-K230,"N/A")</f>
        <v/>
      </c>
      <c r="Q230" s="1930">
        <f>IFERROR(IF(ISNUMBER(N230),(N230-K230)/ABS(K230),"N/A"),"N/A")</f>
        <v/>
      </c>
      <c r="R230" s="166" t="n"/>
      <c r="S230" s="119" t="n">
        <v>43391</v>
      </c>
      <c r="T230" s="209" t="inlineStr">
        <is>
          <t>Press Release</t>
        </is>
      </c>
      <c r="U230" s="166" t="n"/>
    </row>
    <row r="231" ht="14.4" customHeight="1" s="876">
      <c r="A231" s="92" t="n">
        <v>25</v>
      </c>
      <c r="B231" s="116">
        <f>IF(INDEX(MO_SNA_IsHistoricalPeriod,,MATCH(F231,MO_Common_ColumnHeader,0)),"Historical","Forward")</f>
        <v/>
      </c>
      <c r="C231" s="166" t="n"/>
      <c r="D231" s="123" t="inlineStr">
        <is>
          <t>Operating Profit Margin</t>
        </is>
      </c>
      <c r="E231" s="117" t="n"/>
      <c r="F231" s="116" t="inlineStr">
        <is>
          <t>Q4-2018</t>
        </is>
      </c>
      <c r="G231" s="116" t="n"/>
      <c r="H231" s="166" t="n"/>
      <c r="I231" s="1933" t="n">
        <v>0.36</v>
      </c>
      <c r="J231" s="1933" t="n">
        <v>0.38</v>
      </c>
      <c r="K231" s="1933">
        <f>AVERAGE(I231:J231)</f>
        <v/>
      </c>
      <c r="L231" s="166" t="n"/>
      <c r="M231" s="116">
        <f>IF(INDEX(MO_SNA_IsHistoricalPeriod,,MATCH(F231,MO_Common_ColumnHeader,0)),"Actual","Estimate")</f>
        <v/>
      </c>
      <c r="N231" s="1933">
        <f>INDEX(MO_RIS_EBIT,0,MATCH(F231,MO_Common_ColumnHeader,0))/INDEX(MO_RIS_REV,0,MATCH(F231,MO_Common_ColumnHeader,0))</f>
        <v/>
      </c>
      <c r="O231" s="166" t="n"/>
      <c r="P231" s="1930">
        <f>IF(ISNUMBER(N231),N231-K231,"N/A")</f>
        <v/>
      </c>
      <c r="Q231" s="1930">
        <f>IFERROR(IF(ISNUMBER(N231),(N231-K231)/ABS(K231),"N/A"),"N/A")</f>
        <v/>
      </c>
      <c r="R231" s="166" t="n"/>
      <c r="S231" s="119" t="n">
        <v>43391</v>
      </c>
      <c r="T231" s="209" t="inlineStr">
        <is>
          <t>Press Release</t>
        </is>
      </c>
      <c r="U231" s="166" t="n"/>
    </row>
    <row r="232" ht="14.4" customHeight="1" s="876">
      <c r="A232" s="92" t="n">
        <v>24</v>
      </c>
      <c r="B232" s="166" t="n"/>
      <c r="C232" s="166" t="n"/>
      <c r="D232" s="102" t="n"/>
      <c r="E232" s="103" t="n"/>
      <c r="F232" s="166" t="n"/>
      <c r="G232" s="166" t="n"/>
      <c r="H232" s="166" t="n"/>
      <c r="I232" s="1301" t="n"/>
      <c r="J232" s="1301" t="n"/>
      <c r="K232" s="1301" t="n"/>
      <c r="L232" s="166" t="n"/>
      <c r="M232" s="166" t="n"/>
      <c r="N232" s="1301" t="n"/>
      <c r="O232" s="166" t="n"/>
      <c r="P232" s="1931" t="n"/>
      <c r="Q232" s="1932" t="n"/>
      <c r="R232" s="166" t="n"/>
      <c r="S232" s="107" t="n"/>
      <c r="T232" s="126" t="n"/>
      <c r="U232" s="166" t="n"/>
    </row>
    <row r="233" ht="14.4" customHeight="1" s="876">
      <c r="A233" s="92" t="n">
        <v>23</v>
      </c>
      <c r="B233" s="116">
        <f>IF(INDEX(MO_SNA_IsHistoricalPeriod,,MATCH(F233,MO_Common_ColumnHeader,0)),"Historical","Forward")</f>
        <v/>
      </c>
      <c r="C233" s="166" t="n"/>
      <c r="D233" s="123">
        <f>INDEX(INDIRECT(E233),0,COLUMN(MO_Common_Column_A))</f>
        <v/>
      </c>
      <c r="E233" s="117" t="inlineStr">
        <is>
          <t>MO_CFSum_Capex</t>
        </is>
      </c>
      <c r="F233" s="116" t="inlineStr">
        <is>
          <t>FY2018</t>
        </is>
      </c>
      <c r="G233" s="116" t="n"/>
      <c r="H233" s="166" t="n"/>
      <c r="I233" s="1934" t="n">
        <v>-10500</v>
      </c>
      <c r="J233" s="1934" t="n">
        <v>-10000</v>
      </c>
      <c r="K233" s="1934">
        <f>AVERAGE(I233:J233)</f>
        <v/>
      </c>
      <c r="L233" s="166" t="n"/>
      <c r="M233" s="116">
        <f>IF(INDEX(MO_SNA_IsHistoricalPeriod,,MATCH(F233,MO_Common_ColumnHeader,0)),"Actual","Estimate")</f>
        <v/>
      </c>
      <c r="N233" s="1934">
        <f>IFERROR(INDEX(INDIRECT(E233),0,MATCH(F233,MO_Common_ColumnHeader,0)),"N/A")*INDEX(MO_VA_FX_Average,0,MATCH(F233,MO_Common_ColumnHeader,0))</f>
        <v/>
      </c>
      <c r="O233" s="1935" t="n"/>
      <c r="P233" s="1936">
        <f>IF(ISNUMBER(N233),N233-K233,"N/A")</f>
        <v/>
      </c>
      <c r="Q233" s="1930">
        <f>IFERROR(IF(ISNUMBER(N233),(N233-K233)/ABS(K233),"N/A"),"N/A")</f>
        <v/>
      </c>
      <c r="R233" s="166" t="n"/>
      <c r="S233" s="119" t="n">
        <v>43300</v>
      </c>
      <c r="T233" s="209" t="inlineStr">
        <is>
          <t>Transcript</t>
        </is>
      </c>
      <c r="U233" s="166" t="n"/>
    </row>
    <row r="234" ht="14.4" customHeight="1" s="876">
      <c r="A234" s="92" t="n">
        <v>22</v>
      </c>
      <c r="B234" s="116">
        <f>IF(INDEX(MO_SNA_IsHistoricalPeriod,,MATCH(F234,MO_Common_ColumnHeader,0)),"Historical","Forward")</f>
        <v/>
      </c>
      <c r="C234" s="166" t="n"/>
      <c r="D234" s="123">
        <f>INDEX(INDIRECT(E234),0,COLUMN(MO_Common_Column_A))</f>
        <v/>
      </c>
      <c r="E234" s="117" t="inlineStr">
        <is>
          <t>MO_RIS_TaxRate_Current</t>
        </is>
      </c>
      <c r="F234" s="116" t="inlineStr">
        <is>
          <t>FY2018</t>
        </is>
      </c>
      <c r="G234" s="116" t="n"/>
      <c r="H234" s="166" t="n"/>
      <c r="I234" s="1933" t="n">
        <v>0.12</v>
      </c>
      <c r="J234" s="1933" t="n">
        <v>0.12</v>
      </c>
      <c r="K234" s="1933">
        <f>AVERAGE(I234:J234)</f>
        <v/>
      </c>
      <c r="L234" s="166" t="n"/>
      <c r="M234" s="116">
        <f>IF(INDEX(MO_SNA_IsHistoricalPeriod,,MATCH(F234,MO_Common_ColumnHeader,0)),"Actual","Estimate")</f>
        <v/>
      </c>
      <c r="N234" s="1933">
        <f>IFERROR(INDEX(INDIRECT(E234),0,MATCH(F234,MO_Common_ColumnHeader,0)),"N/A")</f>
        <v/>
      </c>
      <c r="O234" s="166" t="n"/>
      <c r="P234" s="1930">
        <f>IF(ISNUMBER(N234),N234-K234,"N/A")</f>
        <v/>
      </c>
      <c r="Q234" s="1930">
        <f>IFERROR(IF(ISNUMBER(N234),(N234-K234)/ABS(K234),"N/A"),"N/A")</f>
        <v/>
      </c>
      <c r="R234" s="166" t="n"/>
      <c r="S234" s="119" t="n">
        <v>43300</v>
      </c>
      <c r="T234" s="209" t="inlineStr">
        <is>
          <t>Transcript</t>
        </is>
      </c>
      <c r="U234" s="166" t="n"/>
    </row>
    <row r="235" ht="14.4" customHeight="1" s="876">
      <c r="A235" s="92" t="n">
        <v>21</v>
      </c>
      <c r="B235" s="166" t="n"/>
      <c r="C235" s="166" t="n"/>
      <c r="D235" s="102" t="n"/>
      <c r="E235" s="103" t="n"/>
      <c r="F235" s="166" t="n"/>
      <c r="G235" s="166" t="n"/>
      <c r="H235" s="166" t="n"/>
      <c r="I235" s="1301" t="n"/>
      <c r="J235" s="1301" t="n"/>
      <c r="K235" s="1301" t="n"/>
      <c r="L235" s="166" t="n"/>
      <c r="M235" s="166" t="n"/>
      <c r="N235" s="1301" t="n"/>
      <c r="O235" s="166" t="n"/>
      <c r="P235" s="1931" t="n"/>
      <c r="Q235" s="1932" t="n"/>
      <c r="R235" s="166" t="n"/>
      <c r="S235" s="107" t="n"/>
      <c r="T235" s="126" t="n"/>
      <c r="U235" s="166" t="n"/>
    </row>
    <row r="236" ht="14.4" customHeight="1" s="876">
      <c r="A236" s="92" t="n">
        <v>20</v>
      </c>
      <c r="B236" s="116">
        <f>IF(INDEX(MO_SNA_IsHistoricalPeriod,,MATCH(F236,MO_Common_ColumnHeader,0)),"Historical","Forward")</f>
        <v/>
      </c>
      <c r="C236" s="166" t="n"/>
      <c r="D236" s="123">
        <f>INDEX(INDIRECT(E236),0,COLUMN(MO_Common_Column_A))</f>
        <v/>
      </c>
      <c r="E236" s="117" t="inlineStr">
        <is>
          <t>MO_RIS_REV</t>
        </is>
      </c>
      <c r="F236" s="116" t="inlineStr">
        <is>
          <t>Q3-2018</t>
        </is>
      </c>
      <c r="G236" s="116" t="n"/>
      <c r="H236" s="166" t="n"/>
      <c r="I236" s="1928" t="n">
        <v>8450</v>
      </c>
      <c r="J236" s="1928" t="n">
        <v>8550</v>
      </c>
      <c r="K236" s="1928">
        <f>AVERAGE(I236:J236)</f>
        <v/>
      </c>
      <c r="L236" s="166" t="n"/>
      <c r="M236" s="116">
        <f>IF(INDEX(MO_SNA_IsHistoricalPeriod,,MATCH(F236,MO_Common_ColumnHeader,0)),"Actual","Estimate")</f>
        <v/>
      </c>
      <c r="N236" s="1928">
        <f>IFERROR(INDEX(INDIRECT(E236),0,MATCH(F236,MO_Common_ColumnHeader,0)),"N/A")/INDEX(z_M2B13B0184_MO_OS_Weightedaverageforeignexchangedratereported,0,MATCH(F236,MO_Common_ColumnHeader,0))</f>
        <v/>
      </c>
      <c r="O236" s="166" t="n"/>
      <c r="P236" s="1929">
        <f>IF(ISNUMBER(N236),N236-K236,"N/A")</f>
        <v/>
      </c>
      <c r="Q236" s="1930">
        <f>IFERROR(IF(ISNUMBER(N236),(N236-K236)/ABS(K236),"N/A"),"N/A")</f>
        <v/>
      </c>
      <c r="R236" s="166" t="n"/>
      <c r="S236" s="119" t="n">
        <v>43300</v>
      </c>
      <c r="T236" s="209" t="inlineStr">
        <is>
          <t>Press Release</t>
        </is>
      </c>
      <c r="U236" s="166" t="n"/>
    </row>
    <row r="237" ht="14.4" customHeight="1" s="876">
      <c r="A237" s="92" t="n">
        <v>19</v>
      </c>
      <c r="B237" s="116">
        <f>IF(INDEX(MO_SNA_IsHistoricalPeriod,,MATCH(F237,MO_Common_ColumnHeader,0)),"Historical","Forward")</f>
        <v/>
      </c>
      <c r="C237" s="166" t="n"/>
      <c r="D237" s="123">
        <f>INDEX(INDIRECT(E237),0,COLUMN(MO_Common_Column_A))</f>
        <v/>
      </c>
      <c r="E237" s="117" t="inlineStr">
        <is>
          <t>z_M2B13B0184_MO_OS_Weightedaverageforeignexchangedratereported</t>
        </is>
      </c>
      <c r="F237" s="116" t="inlineStr">
        <is>
          <t>Q3-2018</t>
        </is>
      </c>
      <c r="G237" s="116" t="n"/>
      <c r="H237" s="166" t="n"/>
      <c r="I237" s="1928" t="n">
        <v>30.5</v>
      </c>
      <c r="J237" s="1928" t="n">
        <v>30.5</v>
      </c>
      <c r="K237" s="1928">
        <f>AVERAGE(I237:J237)</f>
        <v/>
      </c>
      <c r="L237" s="166" t="n"/>
      <c r="M237" s="116">
        <f>IF(INDEX(MO_SNA_IsHistoricalPeriod,,MATCH(F237,MO_Common_ColumnHeader,0)),"Actual","Estimate")</f>
        <v/>
      </c>
      <c r="N237" s="1928">
        <f>IFERROR(INDEX(INDIRECT(E237),0,MATCH(F237,MO_Common_ColumnHeader,0)),"N/A")</f>
        <v/>
      </c>
      <c r="O237" s="166" t="n"/>
      <c r="P237" s="1929">
        <f>IF(ISNUMBER(N237),N237-K237,"N/A")</f>
        <v/>
      </c>
      <c r="Q237" s="1930">
        <f>IFERROR(IF(ISNUMBER(N237),(N237-K237)/ABS(K237),"N/A"),"N/A")</f>
        <v/>
      </c>
      <c r="R237" s="166" t="n"/>
      <c r="S237" s="119" t="n">
        <v>43300</v>
      </c>
      <c r="T237" s="209" t="inlineStr">
        <is>
          <t>Press Release</t>
        </is>
      </c>
      <c r="U237" s="166" t="n"/>
    </row>
    <row r="238" ht="14.4" customHeight="1" s="876">
      <c r="A238" s="92" t="n">
        <v>18</v>
      </c>
      <c r="B238" s="116">
        <f>IF(INDEX(MO_SNA_IsHistoricalPeriod,,MATCH(F238,MO_Common_ColumnHeader,0)),"Historical","Forward")</f>
        <v/>
      </c>
      <c r="C238" s="166" t="n"/>
      <c r="D238" s="123">
        <f>INDEX(INDIRECT(E238),0,COLUMN(MO_Common_Column_A))</f>
        <v/>
      </c>
      <c r="E238" s="117" t="inlineStr">
        <is>
          <t>MO_MA_GM</t>
        </is>
      </c>
      <c r="F238" s="116" t="inlineStr">
        <is>
          <t>Q3-2018</t>
        </is>
      </c>
      <c r="G238" s="116" t="n"/>
      <c r="H238" s="166" t="n"/>
      <c r="I238" s="1933" t="n">
        <v>0.48</v>
      </c>
      <c r="J238" s="1933" t="n">
        <v>0.5</v>
      </c>
      <c r="K238" s="1933">
        <f>AVERAGE(I238:J238)</f>
        <v/>
      </c>
      <c r="L238" s="166" t="n"/>
      <c r="M238" s="116">
        <f>IF(INDEX(MO_SNA_IsHistoricalPeriod,,MATCH(F238,MO_Common_ColumnHeader,0)),"Actual","Estimate")</f>
        <v/>
      </c>
      <c r="N238" s="1933">
        <f>IFERROR(INDEX(INDIRECT(E238),0,MATCH(F238,MO_Common_ColumnHeader,0)),"N/A")</f>
        <v/>
      </c>
      <c r="O238" s="166" t="n"/>
      <c r="P238" s="1930">
        <f>IF(ISNUMBER(N238),N238-K238,"N/A")</f>
        <v/>
      </c>
      <c r="Q238" s="1930">
        <f>IFERROR(IF(ISNUMBER(N238),(N238-K238)/ABS(K238),"N/A"),"N/A")</f>
        <v/>
      </c>
      <c r="R238" s="166" t="n"/>
      <c r="S238" s="119" t="n">
        <v>43300</v>
      </c>
      <c r="T238" s="209" t="inlineStr">
        <is>
          <t>Press Release</t>
        </is>
      </c>
      <c r="U238" s="166" t="n"/>
    </row>
    <row r="239" ht="14.4" customHeight="1" s="876">
      <c r="A239" s="92" t="n">
        <v>17</v>
      </c>
      <c r="B239" s="116">
        <f>IF(INDEX(MO_SNA_IsHistoricalPeriod,,MATCH(F239,MO_Common_ColumnHeader,0)),"Historical","Forward")</f>
        <v/>
      </c>
      <c r="C239" s="166" t="n"/>
      <c r="D239" s="123" t="inlineStr">
        <is>
          <t>Operating Profit Margin</t>
        </is>
      </c>
      <c r="E239" s="117" t="n"/>
      <c r="F239" s="116" t="inlineStr">
        <is>
          <t>Q3-2018</t>
        </is>
      </c>
      <c r="G239" s="116" t="n"/>
      <c r="H239" s="166" t="n"/>
      <c r="I239" s="1933" t="n">
        <v>0.365</v>
      </c>
      <c r="J239" s="1933" t="n">
        <v>0.385</v>
      </c>
      <c r="K239" s="1933">
        <f>AVERAGE(I239:J239)</f>
        <v/>
      </c>
      <c r="L239" s="166" t="n"/>
      <c r="M239" s="116">
        <f>IF(INDEX(MO_SNA_IsHistoricalPeriod,,MATCH(F239,MO_Common_ColumnHeader,0)),"Actual","Estimate")</f>
        <v/>
      </c>
      <c r="N239" s="1933">
        <f>INDEX(MO_RIS_EBIT,0,MATCH(F239,MO_Common_ColumnHeader,0))/INDEX(MO_RIS_REV,0,MATCH(F239,MO_Common_ColumnHeader,0))</f>
        <v/>
      </c>
      <c r="O239" s="166" t="n"/>
      <c r="P239" s="1930">
        <f>IF(ISNUMBER(N239),N239-K239,"N/A")</f>
        <v/>
      </c>
      <c r="Q239" s="1930">
        <f>IFERROR(IF(ISNUMBER(N239),(N239-K239)/ABS(K239),"N/A"),"N/A")</f>
        <v/>
      </c>
      <c r="R239" s="166" t="n"/>
      <c r="S239" s="119" t="n">
        <v>43300</v>
      </c>
      <c r="T239" s="209" t="inlineStr">
        <is>
          <t>Press Release</t>
        </is>
      </c>
      <c r="U239" s="166" t="n"/>
    </row>
    <row r="240" ht="14.4" customHeight="1" s="876">
      <c r="A240" s="92" t="n">
        <v>16</v>
      </c>
      <c r="B240" s="166" t="n"/>
      <c r="C240" s="166" t="n"/>
      <c r="D240" s="102" t="n"/>
      <c r="E240" s="103" t="n"/>
      <c r="F240" s="166" t="n"/>
      <c r="G240" s="166" t="n"/>
      <c r="H240" s="166" t="n"/>
      <c r="I240" s="1301" t="n"/>
      <c r="J240" s="1301" t="n"/>
      <c r="K240" s="1301" t="n"/>
      <c r="L240" s="166" t="n"/>
      <c r="M240" s="166" t="n"/>
      <c r="N240" s="1301" t="n"/>
      <c r="O240" s="166" t="n"/>
      <c r="P240" s="1931" t="n"/>
      <c r="Q240" s="1932" t="n"/>
      <c r="R240" s="166" t="n"/>
      <c r="S240" s="107" t="n"/>
      <c r="T240" s="126" t="n"/>
      <c r="U240" s="166" t="n"/>
    </row>
    <row r="241" ht="14.4" customHeight="1" s="876">
      <c r="A241" s="92" t="n">
        <v>15</v>
      </c>
      <c r="B241" s="116">
        <f>IF(INDEX(MO_SNA_IsHistoricalPeriod,,MATCH(F241,MO_Common_ColumnHeader,0)),"Historical","Forward")</f>
        <v/>
      </c>
      <c r="C241" s="166" t="n"/>
      <c r="D241" s="123" t="inlineStr">
        <is>
          <t>Capital Budget</t>
        </is>
      </c>
      <c r="E241" s="117" t="inlineStr">
        <is>
          <t>MO_CFSum_Capex</t>
        </is>
      </c>
      <c r="F241" s="116" t="inlineStr">
        <is>
          <t>FY2018</t>
        </is>
      </c>
      <c r="G241" s="116" t="n"/>
      <c r="H241" s="166" t="n"/>
      <c r="I241" s="1928" t="n">
        <v>-12000</v>
      </c>
      <c r="J241" s="1928" t="n">
        <v>-11500</v>
      </c>
      <c r="K241" s="1928">
        <f>AVERAGE(I241:J241)</f>
        <v/>
      </c>
      <c r="L241" s="166" t="n"/>
      <c r="M241" s="116">
        <f>IF(INDEX(MO_SNA_IsHistoricalPeriod,,MATCH(F241,MO_Common_ColumnHeader,0)),"Actual","Estimate")</f>
        <v/>
      </c>
      <c r="N241" s="1928">
        <f>IFERROR(INDEX(INDIRECT(E241),0,MATCH(F241,MO_Common_ColumnHeader,0)),"N/A")*INDEX(MO_VA_FX_Average,0,MATCH(F241,MO_Common_ColumnHeader,0))</f>
        <v/>
      </c>
      <c r="O241" s="166" t="n"/>
      <c r="P241" s="1929">
        <f>IF(ISNUMBER(N241),N241-K241,"N/A")</f>
        <v/>
      </c>
      <c r="Q241" s="1930">
        <f>IFERROR(IF(ISNUMBER(N241),(N241-K241)/ABS(K241),"N/A"),"N/A")</f>
        <v/>
      </c>
      <c r="R241" s="166" t="n"/>
      <c r="S241" s="119" t="n">
        <v>43209</v>
      </c>
      <c r="T241" s="209" t="inlineStr">
        <is>
          <t>Transcript</t>
        </is>
      </c>
      <c r="U241" s="166" t="n"/>
    </row>
    <row r="242" ht="14.4" customHeight="1" s="876">
      <c r="A242" s="92" t="n">
        <v>14</v>
      </c>
      <c r="B242" s="116">
        <f>IF(INDEX(MO_SNA_IsHistoricalPeriod,,MATCH(F242,MO_Common_ColumnHeader,0)),"Historical","Forward")</f>
        <v/>
      </c>
      <c r="C242" s="166" t="n"/>
      <c r="D242" s="123">
        <f>INDEX(INDIRECT(E242),0,COLUMN(MO_Common_Column_A))</f>
        <v/>
      </c>
      <c r="E242" s="117" t="inlineStr">
        <is>
          <t>MO_RIS_TaxRate_Current</t>
        </is>
      </c>
      <c r="F242" s="116" t="inlineStr">
        <is>
          <t>FY2018</t>
        </is>
      </c>
      <c r="G242" s="116" t="n"/>
      <c r="H242" s="166" t="n"/>
      <c r="I242" s="1933" t="n">
        <v>0.12</v>
      </c>
      <c r="J242" s="1933" t="n">
        <v>0.12</v>
      </c>
      <c r="K242" s="1933">
        <f>AVERAGE(I242:J242)</f>
        <v/>
      </c>
      <c r="L242" s="166" t="n"/>
      <c r="M242" s="116">
        <f>IF(INDEX(MO_SNA_IsHistoricalPeriod,,MATCH(F242,MO_Common_ColumnHeader,0)),"Actual","Estimate")</f>
        <v/>
      </c>
      <c r="N242" s="1933">
        <f>IFERROR(INDEX(INDIRECT(E242),0,MATCH(F242,MO_Common_ColumnHeader,0)),"N/A")</f>
        <v/>
      </c>
      <c r="O242" s="166" t="n"/>
      <c r="P242" s="1930">
        <f>IF(ISNUMBER(N242),N242-K242,"N/A")</f>
        <v/>
      </c>
      <c r="Q242" s="1930">
        <f>IFERROR(IF(ISNUMBER(N242),(N242-K242)/ABS(K242),"N/A"),"N/A")</f>
        <v/>
      </c>
      <c r="R242" s="166" t="n"/>
      <c r="S242" s="119" t="n">
        <v>43209</v>
      </c>
      <c r="T242" s="209" t="inlineStr">
        <is>
          <t>Transcript</t>
        </is>
      </c>
      <c r="U242" s="166" t="n"/>
    </row>
    <row r="243" ht="14.4" customHeight="1" s="876">
      <c r="A243" s="92" t="n">
        <v>13</v>
      </c>
      <c r="B243" s="166" t="n"/>
      <c r="C243" s="166" t="n"/>
      <c r="D243" s="102" t="n"/>
      <c r="E243" s="103" t="n"/>
      <c r="F243" s="166" t="n"/>
      <c r="G243" s="166" t="n"/>
      <c r="H243" s="166" t="n"/>
      <c r="I243" s="1301" t="n"/>
      <c r="J243" s="1301" t="n"/>
      <c r="K243" s="1301" t="n"/>
      <c r="L243" s="166" t="n"/>
      <c r="M243" s="166" t="n"/>
      <c r="N243" s="1301" t="n"/>
      <c r="O243" s="166" t="n"/>
      <c r="P243" s="1931" t="n"/>
      <c r="Q243" s="1932" t="n"/>
      <c r="R243" s="166" t="n"/>
      <c r="S243" s="107" t="n"/>
      <c r="T243" s="126" t="n"/>
      <c r="U243" s="166" t="n"/>
    </row>
    <row r="244" ht="14.4" customHeight="1" s="876">
      <c r="A244" s="92" t="n">
        <v>12</v>
      </c>
      <c r="B244" s="116">
        <f>IF(INDEX(MO_SNA_IsHistoricalPeriod,,MATCH(F244,MO_Common_ColumnHeader,0)),"Historical","Forward")</f>
        <v/>
      </c>
      <c r="C244" s="166" t="n"/>
      <c r="D244" s="123">
        <f>INDEX(INDIRECT(E244),0,COLUMN(MO_Common_Column_A))</f>
        <v/>
      </c>
      <c r="E244" s="117" t="inlineStr">
        <is>
          <t>MO_RIS_REV</t>
        </is>
      </c>
      <c r="F244" s="116" t="inlineStr">
        <is>
          <t>Q2-2018</t>
        </is>
      </c>
      <c r="G244" s="116" t="n"/>
      <c r="H244" s="166" t="n"/>
      <c r="I244" s="1928" t="n">
        <v>7800</v>
      </c>
      <c r="J244" s="1928" t="n">
        <v>7900</v>
      </c>
      <c r="K244" s="1928">
        <f>AVERAGE(I244:J244)</f>
        <v/>
      </c>
      <c r="L244" s="166" t="n"/>
      <c r="M244" s="116">
        <f>IF(INDEX(MO_SNA_IsHistoricalPeriod,,MATCH(F244,MO_Common_ColumnHeader,0)),"Actual","Estimate")</f>
        <v/>
      </c>
      <c r="N244" s="1928">
        <f>IFERROR(INDEX(INDIRECT(E244),0,MATCH(F244,MO_Common_ColumnHeader,0)),"N/A")/INDEX(z_M2B13B0184_MO_OS_Weightedaverageforeignexchangedratereported,0,MATCH(F244,MO_Common_ColumnHeader,0))</f>
        <v/>
      </c>
      <c r="O244" s="166" t="n"/>
      <c r="P244" s="1929">
        <f>IF(ISNUMBER(N244),N244-K244,"N/A")</f>
        <v/>
      </c>
      <c r="Q244" s="1930">
        <f>IFERROR(IF(ISNUMBER(N244),(N244-K244)/ABS(K244),"N/A"),"N/A")</f>
        <v/>
      </c>
      <c r="R244" s="166" t="n"/>
      <c r="S244" s="119" t="n">
        <v>43209</v>
      </c>
      <c r="T244" s="209" t="inlineStr">
        <is>
          <t>Press Release</t>
        </is>
      </c>
      <c r="U244" s="166" t="n"/>
    </row>
    <row r="245" ht="14.4" customHeight="1" s="876">
      <c r="A245" s="92" t="n">
        <v>11</v>
      </c>
      <c r="B245" s="116">
        <f>IF(INDEX(MO_SNA_IsHistoricalPeriod,,MATCH(F245,MO_Common_ColumnHeader,0)),"Historical","Forward")</f>
        <v/>
      </c>
      <c r="C245" s="166" t="n"/>
      <c r="D245" s="123">
        <f>INDEX(INDIRECT(E245),0,COLUMN(MO_Common_Column_A))</f>
        <v/>
      </c>
      <c r="E245" s="117" t="inlineStr">
        <is>
          <t>z_M2B13B0184_MO_OS_Weightedaverageforeignexchangedratereported</t>
        </is>
      </c>
      <c r="F245" s="116" t="inlineStr">
        <is>
          <t>Q2-2018</t>
        </is>
      </c>
      <c r="G245" s="116" t="n"/>
      <c r="H245" s="166" t="n"/>
      <c r="I245" s="1928" t="n">
        <v>29.2</v>
      </c>
      <c r="J245" s="1928" t="n">
        <v>29.2</v>
      </c>
      <c r="K245" s="1928">
        <f>AVERAGE(I245:J245)</f>
        <v/>
      </c>
      <c r="L245" s="166" t="n"/>
      <c r="M245" s="116">
        <f>IF(INDEX(MO_SNA_IsHistoricalPeriod,,MATCH(F245,MO_Common_ColumnHeader,0)),"Actual","Estimate")</f>
        <v/>
      </c>
      <c r="N245" s="1928">
        <f>IFERROR(INDEX(INDIRECT(E245),0,MATCH(F245,MO_Common_ColumnHeader,0)),"N/A")</f>
        <v/>
      </c>
      <c r="O245" s="166" t="n"/>
      <c r="P245" s="1929">
        <f>IF(ISNUMBER(N245),N245-K245,"N/A")</f>
        <v/>
      </c>
      <c r="Q245" s="1930">
        <f>IFERROR(IF(ISNUMBER(N245),(N245-K245)/ABS(K245),"N/A"),"N/A")</f>
        <v/>
      </c>
      <c r="R245" s="166" t="n"/>
      <c r="S245" s="119" t="n">
        <v>43209</v>
      </c>
      <c r="T245" s="209" t="inlineStr">
        <is>
          <t>Press Release</t>
        </is>
      </c>
      <c r="U245" s="166" t="n"/>
    </row>
    <row r="246" ht="14.4" customHeight="1" s="876">
      <c r="A246" s="92" t="n">
        <v>10</v>
      </c>
      <c r="B246" s="116">
        <f>IF(INDEX(MO_SNA_IsHistoricalPeriod,,MATCH(F246,MO_Common_ColumnHeader,0)),"Historical","Forward")</f>
        <v/>
      </c>
      <c r="C246" s="166" t="n"/>
      <c r="D246" s="123">
        <f>INDEX(INDIRECT(E246),0,COLUMN(MO_Common_Column_A))</f>
        <v/>
      </c>
      <c r="E246" s="117" t="inlineStr">
        <is>
          <t>MO_MA_GM</t>
        </is>
      </c>
      <c r="F246" s="116" t="inlineStr">
        <is>
          <t>Q2-2018</t>
        </is>
      </c>
      <c r="G246" s="116" t="n"/>
      <c r="H246" s="166" t="n"/>
      <c r="I246" s="1933" t="n">
        <v>0.47</v>
      </c>
      <c r="J246" s="1933" t="n">
        <v>0.49</v>
      </c>
      <c r="K246" s="1933">
        <f>AVERAGE(I246:J246)</f>
        <v/>
      </c>
      <c r="L246" s="166" t="n"/>
      <c r="M246" s="116">
        <f>IF(INDEX(MO_SNA_IsHistoricalPeriod,,MATCH(F246,MO_Common_ColumnHeader,0)),"Actual","Estimate")</f>
        <v/>
      </c>
      <c r="N246" s="1933">
        <f>IFERROR(INDEX(INDIRECT(E246),0,MATCH(F246,MO_Common_ColumnHeader,0)),"N/A")</f>
        <v/>
      </c>
      <c r="O246" s="166" t="n"/>
      <c r="P246" s="1930">
        <f>IF(ISNUMBER(N246),N246-K246,"N/A")</f>
        <v/>
      </c>
      <c r="Q246" s="1930">
        <f>IFERROR(IF(ISNUMBER(N246),(N246-K246)/ABS(K246),"N/A"),"N/A")</f>
        <v/>
      </c>
      <c r="R246" s="166" t="n"/>
      <c r="S246" s="119" t="n">
        <v>43209</v>
      </c>
      <c r="T246" s="209" t="inlineStr">
        <is>
          <t>Press Release</t>
        </is>
      </c>
      <c r="U246" s="166" t="n"/>
    </row>
    <row r="247" ht="14.4" customHeight="1" s="876">
      <c r="A247" s="92" t="n">
        <v>9</v>
      </c>
      <c r="B247" s="116">
        <f>IF(INDEX(MO_SNA_IsHistoricalPeriod,,MATCH(F247,MO_Common_ColumnHeader,0)),"Historical","Forward")</f>
        <v/>
      </c>
      <c r="C247" s="166" t="n"/>
      <c r="D247" s="123" t="inlineStr">
        <is>
          <t>Operating Profit Margin</t>
        </is>
      </c>
      <c r="E247" s="117" t="n"/>
      <c r="F247" s="116" t="inlineStr">
        <is>
          <t>Q2-2018</t>
        </is>
      </c>
      <c r="G247" s="116" t="n"/>
      <c r="H247" s="166" t="n"/>
      <c r="I247" s="1933" t="n">
        <v>0.35</v>
      </c>
      <c r="J247" s="1933" t="n">
        <v>0.37</v>
      </c>
      <c r="K247" s="1933">
        <f>AVERAGE(I247:J247)</f>
        <v/>
      </c>
      <c r="L247" s="166" t="n"/>
      <c r="M247" s="116">
        <f>IF(INDEX(MO_SNA_IsHistoricalPeriod,,MATCH(F247,MO_Common_ColumnHeader,0)),"Actual","Estimate")</f>
        <v/>
      </c>
      <c r="N247" s="1933">
        <f>INDEX(MO_RIS_EBIT,0,MATCH(F247,MO_Common_ColumnHeader,0))/INDEX(MO_RIS_REV,0,MATCH(F247,MO_Common_ColumnHeader,0))</f>
        <v/>
      </c>
      <c r="O247" s="166" t="n"/>
      <c r="P247" s="1930">
        <f>IF(ISNUMBER(N247),N247-K247,"N/A")</f>
        <v/>
      </c>
      <c r="Q247" s="1930">
        <f>IFERROR(IF(ISNUMBER(N247),(N247-K247)/ABS(K247),"N/A"),"N/A")</f>
        <v/>
      </c>
      <c r="R247" s="166" t="n"/>
      <c r="S247" s="119" t="n">
        <v>43209</v>
      </c>
      <c r="T247" s="209" t="inlineStr">
        <is>
          <t>Press Release</t>
        </is>
      </c>
      <c r="U247" s="166" t="n"/>
    </row>
    <row r="248" ht="14.4" customHeight="1" s="876">
      <c r="A248" s="92" t="n">
        <v>8</v>
      </c>
      <c r="B248" s="116">
        <f>IF(INDEX(MO_SNA_IsHistoricalPeriod,,MATCH(F248,MO_Common_ColumnHeader,0)),"Historical","Forward")</f>
        <v/>
      </c>
      <c r="C248" s="166" t="n"/>
      <c r="D248" s="123">
        <f>INDEX(INDIRECT(E248),0,COLUMN(MO_Common_Column_A))</f>
        <v/>
      </c>
      <c r="E248" s="117" t="inlineStr">
        <is>
          <t>MO_RIS_TaxRate_Current</t>
        </is>
      </c>
      <c r="F248" s="116" t="inlineStr">
        <is>
          <t>Q2-2018</t>
        </is>
      </c>
      <c r="G248" s="116" t="n"/>
      <c r="H248" s="166" t="n"/>
      <c r="I248" s="1933" t="n">
        <v>0.18</v>
      </c>
      <c r="J248" s="1933" t="n">
        <v>0.19</v>
      </c>
      <c r="K248" s="1933">
        <f>AVERAGE(I248:J248)</f>
        <v/>
      </c>
      <c r="L248" s="166" t="n"/>
      <c r="M248" s="116">
        <f>IF(INDEX(MO_SNA_IsHistoricalPeriod,,MATCH(F248,MO_Common_ColumnHeader,0)),"Actual","Estimate")</f>
        <v/>
      </c>
      <c r="N248" s="1933">
        <f>IFERROR(INDEX(INDIRECT(E248),0,MATCH(F248,MO_Common_ColumnHeader,0)),"N/A")</f>
        <v/>
      </c>
      <c r="O248" s="166" t="n"/>
      <c r="P248" s="1930">
        <f>IF(ISNUMBER(N248),N248-K248,"N/A")</f>
        <v/>
      </c>
      <c r="Q248" s="1930">
        <f>IFERROR(IF(ISNUMBER(N248),(N248-K248)/ABS(K248),"N/A"),"N/A")</f>
        <v/>
      </c>
      <c r="R248" s="166" t="n"/>
      <c r="S248" s="119" t="n">
        <v>43209</v>
      </c>
      <c r="T248" s="209" t="inlineStr">
        <is>
          <t>Transcript</t>
        </is>
      </c>
      <c r="U248" s="166" t="n"/>
    </row>
    <row r="249" ht="14.4" customHeight="1" s="876">
      <c r="A249" s="92" t="n">
        <v>7</v>
      </c>
      <c r="B249" s="166" t="n"/>
      <c r="C249" s="166" t="n"/>
      <c r="D249" s="102" t="n"/>
      <c r="E249" s="103" t="n"/>
      <c r="F249" s="166" t="n"/>
      <c r="G249" s="166" t="n"/>
      <c r="H249" s="166" t="n"/>
      <c r="I249" s="1301" t="n"/>
      <c r="J249" s="1301" t="n"/>
      <c r="K249" s="1301" t="n"/>
      <c r="L249" s="166" t="n"/>
      <c r="M249" s="166" t="n"/>
      <c r="N249" s="1301" t="n"/>
      <c r="O249" s="166" t="n"/>
      <c r="P249" s="1931" t="n"/>
      <c r="Q249" s="1932" t="n"/>
      <c r="R249" s="166" t="n"/>
      <c r="S249" s="107" t="n"/>
      <c r="T249" s="126" t="n"/>
      <c r="U249" s="166" t="n"/>
    </row>
    <row r="250" ht="14.4" customHeight="1" s="876">
      <c r="A250" s="92" t="n">
        <v>6</v>
      </c>
      <c r="B250" s="116">
        <f>IF(INDEX(MO_SNA_IsHistoricalPeriod,,MATCH(F250,MO_Common_ColumnHeader,0)),"Historical","Forward")</f>
        <v/>
      </c>
      <c r="C250" s="166" t="n"/>
      <c r="D250" s="123" t="inlineStr">
        <is>
          <t>Capital Budget</t>
        </is>
      </c>
      <c r="E250" s="117" t="inlineStr">
        <is>
          <t>MO_CFSum_Capex</t>
        </is>
      </c>
      <c r="F250" s="116" t="inlineStr">
        <is>
          <t>FY2018</t>
        </is>
      </c>
      <c r="G250" s="116" t="n"/>
      <c r="H250" s="166" t="n"/>
      <c r="I250" s="1928" t="n">
        <v>-11000</v>
      </c>
      <c r="J250" s="1928" t="n">
        <v>-10500</v>
      </c>
      <c r="K250" s="1928">
        <f>AVERAGE(I250:J250)</f>
        <v/>
      </c>
      <c r="L250" s="166" t="n"/>
      <c r="M250" s="116">
        <f>IF(INDEX(MO_SNA_IsHistoricalPeriod,,MATCH(F250,MO_Common_ColumnHeader,0)),"Actual","Estimate")</f>
        <v/>
      </c>
      <c r="N250" s="1928">
        <f>IFERROR(INDEX(INDIRECT(E250),0,MATCH(F250,MO_Common_ColumnHeader,0)),"N/A")*INDEX(MO_VA_FX_Average,0,MATCH(F250,MO_Common_ColumnHeader,0))</f>
        <v/>
      </c>
      <c r="O250" s="166" t="n"/>
      <c r="P250" s="1929">
        <f>IF(ISNUMBER(N250),N250-K250,"N/A")</f>
        <v/>
      </c>
      <c r="Q250" s="1930">
        <f>IFERROR(IF(ISNUMBER(N250),(N250-K250)/ABS(K250),"N/A"),"N/A")</f>
        <v/>
      </c>
      <c r="R250" s="166" t="n"/>
      <c r="S250" s="119" t="n">
        <v>43118</v>
      </c>
      <c r="T250" s="209" t="inlineStr">
        <is>
          <t>Press Release</t>
        </is>
      </c>
      <c r="U250" s="166" t="n"/>
    </row>
    <row r="251" ht="14.4" customHeight="1" s="876">
      <c r="A251" s="92" t="n">
        <v>5</v>
      </c>
      <c r="B251" s="166" t="n"/>
      <c r="C251" s="166" t="n"/>
      <c r="D251" s="102" t="n"/>
      <c r="E251" s="103" t="n"/>
      <c r="F251" s="166" t="n"/>
      <c r="G251" s="166" t="n"/>
      <c r="H251" s="166" t="n"/>
      <c r="I251" s="1301" t="n"/>
      <c r="J251" s="1301" t="n"/>
      <c r="K251" s="1301" t="n"/>
      <c r="L251" s="166" t="n"/>
      <c r="M251" s="166" t="n"/>
      <c r="N251" s="1301" t="n"/>
      <c r="O251" s="166" t="n"/>
      <c r="P251" s="1931" t="n"/>
      <c r="Q251" s="1932" t="n"/>
      <c r="R251" s="166" t="n"/>
      <c r="S251" s="107" t="n"/>
      <c r="T251" s="126" t="n"/>
      <c r="U251" s="166" t="n"/>
    </row>
    <row r="252" ht="14.4" customHeight="1" s="876">
      <c r="A252" s="92" t="n">
        <v>4</v>
      </c>
      <c r="B252" s="116">
        <f>IF(INDEX(MO_SNA_IsHistoricalPeriod,,MATCH(F252,MO_Common_ColumnHeader,0)),"Historical","Forward")</f>
        <v/>
      </c>
      <c r="C252" s="166" t="n"/>
      <c r="D252" s="123">
        <f>INDEX(INDIRECT(E252),0,COLUMN(MO_Common_Column_A))</f>
        <v/>
      </c>
      <c r="E252" s="117" t="inlineStr">
        <is>
          <t>MO_RIS_REV</t>
        </is>
      </c>
      <c r="F252" s="116" t="inlineStr">
        <is>
          <t>Q1-2018</t>
        </is>
      </c>
      <c r="G252" s="116" t="n"/>
      <c r="H252" s="166" t="n"/>
      <c r="I252" s="1928" t="n">
        <v>8400</v>
      </c>
      <c r="J252" s="1928" t="n">
        <v>8500</v>
      </c>
      <c r="K252" s="1928">
        <f>AVERAGE(I252:J252)</f>
        <v/>
      </c>
      <c r="L252" s="166" t="n"/>
      <c r="M252" s="116">
        <f>IF(INDEX(MO_SNA_IsHistoricalPeriod,,MATCH(F252,MO_Common_ColumnHeader,0)),"Actual","Estimate")</f>
        <v/>
      </c>
      <c r="N252" s="1928">
        <f>IFERROR(INDEX(INDIRECT(E252),0,MATCH(F252,MO_Common_ColumnHeader,0)),"N/A")/INDEX(z_M2B13B0184_MO_OS_Weightedaverageforeignexchangedratereported,0,MATCH(F252,MO_Common_ColumnHeader,0))</f>
        <v/>
      </c>
      <c r="O252" s="166" t="n"/>
      <c r="P252" s="1929">
        <f>IF(ISNUMBER(N252),N252-K252,"N/A")</f>
        <v/>
      </c>
      <c r="Q252" s="1930">
        <f>IFERROR(IF(ISNUMBER(N252),(N252-K252)/ABS(K252),"N/A"),"N/A")</f>
        <v/>
      </c>
      <c r="R252" s="166" t="n"/>
      <c r="S252" s="119" t="n">
        <v>43118</v>
      </c>
      <c r="T252" s="209" t="inlineStr">
        <is>
          <t>Press Release</t>
        </is>
      </c>
      <c r="U252" s="166" t="n"/>
    </row>
    <row r="253" ht="14.4" customHeight="1" s="876">
      <c r="A253" s="92" t="n">
        <v>3</v>
      </c>
      <c r="B253" s="116">
        <f>IF(INDEX(MO_SNA_IsHistoricalPeriod,,MATCH(F253,MO_Common_ColumnHeader,0)),"Historical","Forward")</f>
        <v/>
      </c>
      <c r="C253" s="166" t="n"/>
      <c r="D253" s="123">
        <f>INDEX(INDIRECT(E253),0,COLUMN(MO_Common_Column_A))</f>
        <v/>
      </c>
      <c r="E253" s="117" t="inlineStr">
        <is>
          <t>z_M2B13B0184_MO_OS_Weightedaverageforeignexchangedratereported</t>
        </is>
      </c>
      <c r="F253" s="116" t="inlineStr">
        <is>
          <t>Q1-2018</t>
        </is>
      </c>
      <c r="G253" s="116" t="n"/>
      <c r="H253" s="166" t="n"/>
      <c r="I253" s="1928" t="n">
        <v>29.6</v>
      </c>
      <c r="J253" s="1928" t="n">
        <v>29.6</v>
      </c>
      <c r="K253" s="1928">
        <f>AVERAGE(I253:J253)</f>
        <v/>
      </c>
      <c r="L253" s="166" t="n"/>
      <c r="M253" s="116">
        <f>IF(INDEX(MO_SNA_IsHistoricalPeriod,,MATCH(F253,MO_Common_ColumnHeader,0)),"Actual","Estimate")</f>
        <v/>
      </c>
      <c r="N253" s="1928">
        <f>IFERROR(INDEX(INDIRECT(E253),0,MATCH(F253,MO_Common_ColumnHeader,0)),"N/A")</f>
        <v/>
      </c>
      <c r="O253" s="166" t="n"/>
      <c r="P253" s="1929">
        <f>IF(ISNUMBER(N253),N253-K253,"N/A")</f>
        <v/>
      </c>
      <c r="Q253" s="1930">
        <f>IFERROR(IF(ISNUMBER(N253),(N253-K253)/ABS(K253),"N/A"),"N/A")</f>
        <v/>
      </c>
      <c r="R253" s="166" t="n"/>
      <c r="S253" s="119" t="n">
        <v>43118</v>
      </c>
      <c r="T253" s="209" t="inlineStr">
        <is>
          <t>Press Release</t>
        </is>
      </c>
      <c r="U253" s="166" t="n"/>
    </row>
    <row r="254" ht="14.4" customHeight="1" s="876">
      <c r="A254" s="92" t="n">
        <v>2</v>
      </c>
      <c r="B254" s="116">
        <f>IF(INDEX(MO_SNA_IsHistoricalPeriod,,MATCH(F254,MO_Common_ColumnHeader,0)),"Historical","Forward")</f>
        <v/>
      </c>
      <c r="C254" s="166" t="n"/>
      <c r="D254" s="123">
        <f>INDEX(INDIRECT(E254),0,COLUMN(MO_Common_Column_A))</f>
        <v/>
      </c>
      <c r="E254" s="117" t="inlineStr">
        <is>
          <t>MO_MA_GM</t>
        </is>
      </c>
      <c r="F254" s="116" t="inlineStr">
        <is>
          <t>Q1-2018</t>
        </is>
      </c>
      <c r="G254" s="116" t="n"/>
      <c r="H254" s="166" t="n"/>
      <c r="I254" s="1933" t="n">
        <v>0.495</v>
      </c>
      <c r="J254" s="1933" t="n">
        <v>0.515</v>
      </c>
      <c r="K254" s="1933">
        <f>AVERAGE(I254:J254)</f>
        <v/>
      </c>
      <c r="L254" s="166" t="n"/>
      <c r="M254" s="116">
        <f>IF(INDEX(MO_SNA_IsHistoricalPeriod,,MATCH(F254,MO_Common_ColumnHeader,0)),"Actual","Estimate")</f>
        <v/>
      </c>
      <c r="N254" s="1933">
        <f>IFERROR(INDEX(INDIRECT(E254),0,MATCH(F254,MO_Common_ColumnHeader,0)),"N/A")</f>
        <v/>
      </c>
      <c r="O254" s="166" t="n"/>
      <c r="P254" s="1930">
        <f>IF(ISNUMBER(N254),N254-K254,"N/A")</f>
        <v/>
      </c>
      <c r="Q254" s="1930">
        <f>IFERROR(IF(ISNUMBER(N254),(N254-K254)/ABS(K254),"N/A"),"N/A")</f>
        <v/>
      </c>
      <c r="R254" s="166" t="n"/>
      <c r="S254" s="119" t="n">
        <v>43118</v>
      </c>
      <c r="T254" s="209" t="inlineStr">
        <is>
          <t>Press Release</t>
        </is>
      </c>
      <c r="U254" s="166" t="n"/>
    </row>
    <row r="255" ht="14.4" customHeight="1" s="876">
      <c r="A255" s="92" t="n">
        <v>1</v>
      </c>
      <c r="B255" s="116">
        <f>IF(INDEX(MO_SNA_IsHistoricalPeriod,,MATCH(F255,MO_Common_ColumnHeader,0)),"Historical","Forward")</f>
        <v/>
      </c>
      <c r="C255" s="166" t="n"/>
      <c r="D255" s="123" t="inlineStr">
        <is>
          <t>Operating Profit Margin</t>
        </is>
      </c>
      <c r="E255" s="117" t="n"/>
      <c r="F255" s="116" t="inlineStr">
        <is>
          <t>Q1-2018</t>
        </is>
      </c>
      <c r="G255" s="116" t="n"/>
      <c r="H255" s="166" t="n"/>
      <c r="I255" s="1933" t="n">
        <v>0.38</v>
      </c>
      <c r="J255" s="1933" t="n">
        <v>0.4</v>
      </c>
      <c r="K255" s="1933">
        <f>AVERAGE(I255:J255)</f>
        <v/>
      </c>
      <c r="L255" s="166" t="n"/>
      <c r="M255" s="116">
        <f>IF(INDEX(MO_SNA_IsHistoricalPeriod,,MATCH(F255,MO_Common_ColumnHeader,0)),"Actual","Estimate")</f>
        <v/>
      </c>
      <c r="N255" s="1933">
        <f>INDEX(MO_RIS_EBIT,0,MATCH(F255,MO_Common_ColumnHeader,0))/INDEX(MO_RIS_REV,0,MATCH(F255,MO_Common_ColumnHeader,0))</f>
        <v/>
      </c>
      <c r="O255" s="166" t="n"/>
      <c r="P255" s="1930">
        <f>IF(ISNUMBER(N255),N255-K255,"N/A")</f>
        <v/>
      </c>
      <c r="Q255" s="1930">
        <f>IFERROR(IF(ISNUMBER(N255),(N255-K255)/ABS(K255),"N/A"),"N/A")</f>
        <v/>
      </c>
      <c r="R255" s="166" t="n"/>
      <c r="S255" s="119" t="n">
        <v>43118</v>
      </c>
      <c r="T255" s="209" t="inlineStr">
        <is>
          <t>Press Release</t>
        </is>
      </c>
      <c r="U255" s="166" t="n"/>
    </row>
    <row r="256" ht="14.4" customHeight="1" s="876">
      <c r="A256" s="92" t="n">
        <v>0</v>
      </c>
      <c r="B256" s="166" t="n"/>
      <c r="C256" s="166" t="n"/>
      <c r="D256" s="166" t="n"/>
      <c r="E256" s="103" t="n"/>
      <c r="F256" s="166" t="n"/>
      <c r="G256" s="166" t="n"/>
      <c r="H256" s="166" t="n"/>
      <c r="I256" s="1301" t="n"/>
      <c r="J256" s="1301" t="n"/>
      <c r="K256" s="1301" t="n"/>
      <c r="L256" s="166" t="n"/>
      <c r="M256" s="166" t="n"/>
      <c r="N256" s="1301" t="n"/>
      <c r="O256" s="166" t="n"/>
      <c r="P256" s="1937" t="n"/>
      <c r="Q256" s="1938" t="n"/>
      <c r="R256" s="166" t="n"/>
      <c r="S256" s="107" t="n"/>
      <c r="T256" s="108" t="n"/>
      <c r="U256" s="166" t="n"/>
    </row>
  </sheetData>
  <autoFilter ref="A5:U5"/>
  <conditionalFormatting sqref="Q1:Q3 Q5 Q20 Q28 Q30 Q168:Q169 Q171 Q173:Q175 Q218:Q220 Q222 Q228 Q230:Q231 Q241 Q243 Q250:Q252 Q254:Q255 Q257:Q258">
    <cfRule type="colorScale" priority="404">
      <colorScale>
        <cfvo type="num" val="-0.1"/>
        <cfvo type="num" val="0"/>
        <cfvo type="num" val="0.1"/>
        <color rgb="FFF8696B"/>
        <color rgb="FFFFEB84"/>
        <color rgb="FF63BE7B"/>
      </colorScale>
    </cfRule>
  </conditionalFormatting>
  <conditionalFormatting sqref="Q6">
    <cfRule type="colorScale" priority="4">
      <colorScale>
        <cfvo type="num" val="-0.1"/>
        <cfvo type="num" val="0"/>
        <cfvo type="num" val="0.1"/>
        <color rgb="FFF8696B"/>
        <color rgb="FFFFEB84"/>
        <color rgb="FF63BE7B"/>
      </colorScale>
    </cfRule>
  </conditionalFormatting>
  <conditionalFormatting sqref="Q7">
    <cfRule type="colorScale" priority="2">
      <colorScale>
        <cfvo type="num" val="-0.1"/>
        <cfvo type="num" val="0"/>
        <cfvo type="num" val="0.1"/>
        <color rgb="FFF8696B"/>
        <color rgb="FFFFEB84"/>
        <color rgb="FF63BE7B"/>
      </colorScale>
    </cfRule>
    <cfRule type="colorScale" priority="3">
      <colorScale>
        <cfvo type="num" val="-0.1"/>
        <cfvo type="num" val="0"/>
        <cfvo type="num" val="0.1"/>
        <color rgb="FFF8696B"/>
        <color rgb="FFFFEB84"/>
        <color rgb="FF63BE7B"/>
      </colorScale>
    </cfRule>
    <cfRule type="colorScale" priority="1">
      <colorScale>
        <cfvo type="num" val="-0.1"/>
        <cfvo type="num" val="0"/>
        <cfvo type="num" val="0.1"/>
        <color rgb="FFF8696B"/>
        <color rgb="FFFFEB84"/>
        <color rgb="FF63BE7B"/>
      </colorScale>
    </cfRule>
  </conditionalFormatting>
  <conditionalFormatting sqref="Q9">
    <cfRule type="colorScale" priority="8">
      <colorScale>
        <cfvo type="num" val="-0.1"/>
        <cfvo type="num" val="0"/>
        <cfvo type="num" val="0.1"/>
        <color rgb="FFF8696B"/>
        <color rgb="FFFFEB84"/>
        <color rgb="FF63BE7B"/>
      </colorScale>
    </cfRule>
    <cfRule type="colorScale" priority="9">
      <colorScale>
        <cfvo type="num" val="-0.1"/>
        <cfvo type="num" val="0"/>
        <cfvo type="num" val="0.1"/>
        <color rgb="FFF8696B"/>
        <color rgb="FFFFEB84"/>
        <color rgb="FF63BE7B"/>
      </colorScale>
    </cfRule>
  </conditionalFormatting>
  <conditionalFormatting sqref="Q8 Q10">
    <cfRule type="colorScale" priority="11">
      <colorScale>
        <cfvo type="num" val="-0.1"/>
        <cfvo type="num" val="0"/>
        <cfvo type="num" val="0.1"/>
        <color rgb="FFF8696B"/>
        <color rgb="FFFFEB84"/>
        <color rgb="FF63BE7B"/>
      </colorScale>
    </cfRule>
  </conditionalFormatting>
  <conditionalFormatting sqref="Q8 Q10:Q11">
    <cfRule type="colorScale" priority="12">
      <colorScale>
        <cfvo type="num" val="-0.1"/>
        <cfvo type="num" val="0"/>
        <cfvo type="num" val="0.1"/>
        <color rgb="FFF8696B"/>
        <color rgb="FFFFEB84"/>
        <color rgb="FF63BE7B"/>
      </colorScale>
    </cfRule>
  </conditionalFormatting>
  <conditionalFormatting sqref="Q11">
    <cfRule type="colorScale" priority="10">
      <colorScale>
        <cfvo type="num" val="-0.1"/>
        <cfvo type="num" val="0"/>
        <cfvo type="num" val="0.1"/>
        <color rgb="FFF8696B"/>
        <color rgb="FFFFEB84"/>
        <color rgb="FF63BE7B"/>
      </colorScale>
    </cfRule>
  </conditionalFormatting>
  <conditionalFormatting sqref="Q12">
    <cfRule type="colorScale" priority="5">
      <colorScale>
        <cfvo type="num" val="-0.1"/>
        <cfvo type="num" val="0"/>
        <cfvo type="num" val="0.1"/>
        <color rgb="FFF8696B"/>
        <color rgb="FFFFEB84"/>
        <color rgb="FF63BE7B"/>
      </colorScale>
    </cfRule>
    <cfRule type="colorScale" priority="6">
      <colorScale>
        <cfvo type="num" val="-0.1"/>
        <cfvo type="num" val="0"/>
        <cfvo type="num" val="0.1"/>
        <color rgb="FFF8696B"/>
        <color rgb="FFFFEB84"/>
        <color rgb="FF63BE7B"/>
      </colorScale>
    </cfRule>
    <cfRule type="colorScale" priority="7">
      <colorScale>
        <cfvo type="num" val="-0.1"/>
        <cfvo type="num" val="0"/>
        <cfvo type="num" val="0.1"/>
        <color rgb="FFF8696B"/>
        <color rgb="FFFFEB84"/>
        <color rgb="FF63BE7B"/>
      </colorScale>
    </cfRule>
  </conditionalFormatting>
  <conditionalFormatting sqref="Q13">
    <cfRule type="colorScale" priority="16">
      <colorScale>
        <cfvo type="num" val="-0.1"/>
        <cfvo type="num" val="0"/>
        <cfvo type="num" val="0.1"/>
        <color rgb="FFF8696B"/>
        <color rgb="FFFFEB84"/>
        <color rgb="FF63BE7B"/>
      </colorScale>
    </cfRule>
  </conditionalFormatting>
  <conditionalFormatting sqref="Q14">
    <cfRule type="colorScale" priority="13">
      <colorScale>
        <cfvo type="num" val="-0.1"/>
        <cfvo type="num" val="0"/>
        <cfvo type="num" val="0.1"/>
        <color rgb="FFF8696B"/>
        <color rgb="FFFFEB84"/>
        <color rgb="FF63BE7B"/>
      </colorScale>
    </cfRule>
    <cfRule type="colorScale" priority="14">
      <colorScale>
        <cfvo type="num" val="-0.1"/>
        <cfvo type="num" val="0"/>
        <cfvo type="num" val="0.1"/>
        <color rgb="FFF8696B"/>
        <color rgb="FFFFEB84"/>
        <color rgb="FF63BE7B"/>
      </colorScale>
    </cfRule>
    <cfRule type="colorScale" priority="15">
      <colorScale>
        <cfvo type="num" val="-0.1"/>
        <cfvo type="num" val="0"/>
        <cfvo type="num" val="0.1"/>
        <color rgb="FFF8696B"/>
        <color rgb="FFFFEB84"/>
        <color rgb="FF63BE7B"/>
      </colorScale>
    </cfRule>
  </conditionalFormatting>
  <conditionalFormatting sqref="Q16">
    <cfRule type="colorScale" priority="22">
      <colorScale>
        <cfvo type="num" val="-0.1"/>
        <cfvo type="num" val="0"/>
        <cfvo type="num" val="0.1"/>
        <color rgb="FFF8696B"/>
        <color rgb="FFFFEB84"/>
        <color rgb="FF63BE7B"/>
      </colorScale>
    </cfRule>
    <cfRule type="colorScale" priority="23">
      <colorScale>
        <cfvo type="num" val="-0.1"/>
        <cfvo type="num" val="0"/>
        <cfvo type="num" val="0.1"/>
        <color rgb="FFF8696B"/>
        <color rgb="FFFFEB84"/>
        <color rgb="FF63BE7B"/>
      </colorScale>
    </cfRule>
  </conditionalFormatting>
  <conditionalFormatting sqref="Q15 Q17">
    <cfRule type="colorScale" priority="25">
      <colorScale>
        <cfvo type="num" val="-0.1"/>
        <cfvo type="num" val="0"/>
        <cfvo type="num" val="0.1"/>
        <color rgb="FFF8696B"/>
        <color rgb="FFFFEB84"/>
        <color rgb="FF63BE7B"/>
      </colorScale>
    </cfRule>
  </conditionalFormatting>
  <conditionalFormatting sqref="Q15 Q17:Q18">
    <cfRule type="colorScale" priority="26">
      <colorScale>
        <cfvo type="num" val="-0.1"/>
        <cfvo type="num" val="0"/>
        <cfvo type="num" val="0.1"/>
        <color rgb="FFF8696B"/>
        <color rgb="FFFFEB84"/>
        <color rgb="FF63BE7B"/>
      </colorScale>
    </cfRule>
  </conditionalFormatting>
  <conditionalFormatting sqref="Q18">
    <cfRule type="colorScale" priority="24">
      <colorScale>
        <cfvo type="num" val="-0.1"/>
        <cfvo type="num" val="0"/>
        <cfvo type="num" val="0.1"/>
        <color rgb="FFF8696B"/>
        <color rgb="FFFFEB84"/>
        <color rgb="FF63BE7B"/>
      </colorScale>
    </cfRule>
  </conditionalFormatting>
  <conditionalFormatting sqref="Q19">
    <cfRule type="colorScale" priority="19">
      <colorScale>
        <cfvo type="num" val="-0.1"/>
        <cfvo type="num" val="0"/>
        <cfvo type="num" val="0.1"/>
        <color rgb="FFF8696B"/>
        <color rgb="FFFFEB84"/>
        <color rgb="FF63BE7B"/>
      </colorScale>
    </cfRule>
    <cfRule type="colorScale" priority="21">
      <colorScale>
        <cfvo type="num" val="-0.1"/>
        <cfvo type="num" val="0"/>
        <cfvo type="num" val="0.1"/>
        <color rgb="FFF8696B"/>
        <color rgb="FFFFEB84"/>
        <color rgb="FF63BE7B"/>
      </colorScale>
    </cfRule>
    <cfRule type="colorScale" priority="20">
      <colorScale>
        <cfvo type="num" val="-0.1"/>
        <cfvo type="num" val="0"/>
        <cfvo type="num" val="0.1"/>
        <color rgb="FFF8696B"/>
        <color rgb="FFFFEB84"/>
        <color rgb="FF63BE7B"/>
      </colorScale>
    </cfRule>
  </conditionalFormatting>
  <conditionalFormatting sqref="Q20">
    <cfRule type="colorScale" priority="33">
      <colorScale>
        <cfvo type="num" val="-0.1"/>
        <cfvo type="num" val="0"/>
        <cfvo type="num" val="0.1"/>
        <color rgb="FFF8696B"/>
        <color rgb="FFFFEB84"/>
        <color rgb="FF63BE7B"/>
      </colorScale>
    </cfRule>
    <cfRule type="colorScale" priority="34">
      <colorScale>
        <cfvo type="num" val="-0.1"/>
        <cfvo type="num" val="0"/>
        <cfvo type="num" val="0.1"/>
        <color rgb="FFF8696B"/>
        <color rgb="FFFFEB84"/>
        <color rgb="FF63BE7B"/>
      </colorScale>
    </cfRule>
  </conditionalFormatting>
  <conditionalFormatting sqref="Q21">
    <cfRule type="colorScale" priority="30">
      <colorScale>
        <cfvo type="num" val="-0.1"/>
        <cfvo type="num" val="0"/>
        <cfvo type="num" val="0.1"/>
        <color rgb="FFF8696B"/>
        <color rgb="FFFFEB84"/>
        <color rgb="FF63BE7B"/>
      </colorScale>
    </cfRule>
  </conditionalFormatting>
  <conditionalFormatting sqref="Q22">
    <cfRule type="colorScale" priority="27">
      <colorScale>
        <cfvo type="num" val="-0.1"/>
        <cfvo type="num" val="0"/>
        <cfvo type="num" val="0.1"/>
        <color rgb="FFF8696B"/>
        <color rgb="FFFFEB84"/>
        <color rgb="FF63BE7B"/>
      </colorScale>
    </cfRule>
    <cfRule type="colorScale" priority="28">
      <colorScale>
        <cfvo type="num" val="-0.1"/>
        <cfvo type="num" val="0"/>
        <cfvo type="num" val="0.1"/>
        <color rgb="FFF8696B"/>
        <color rgb="FFFFEB84"/>
        <color rgb="FF63BE7B"/>
      </colorScale>
    </cfRule>
    <cfRule type="colorScale" priority="29">
      <colorScale>
        <cfvo type="num" val="-0.1"/>
        <cfvo type="num" val="0"/>
        <cfvo type="num" val="0.1"/>
        <color rgb="FFF8696B"/>
        <color rgb="FFFFEB84"/>
        <color rgb="FF63BE7B"/>
      </colorScale>
    </cfRule>
  </conditionalFormatting>
  <conditionalFormatting sqref="Q24">
    <cfRule type="colorScale" priority="38">
      <colorScale>
        <cfvo type="num" val="-0.1"/>
        <cfvo type="num" val="0"/>
        <cfvo type="num" val="0.1"/>
        <color rgb="FFF8696B"/>
        <color rgb="FFFFEB84"/>
        <color rgb="FF63BE7B"/>
      </colorScale>
    </cfRule>
    <cfRule type="colorScale" priority="39">
      <colorScale>
        <cfvo type="num" val="-0.1"/>
        <cfvo type="num" val="0"/>
        <cfvo type="num" val="0.1"/>
        <color rgb="FFF8696B"/>
        <color rgb="FFFFEB84"/>
        <color rgb="FF63BE7B"/>
      </colorScale>
    </cfRule>
  </conditionalFormatting>
  <conditionalFormatting sqref="Q23 Q25">
    <cfRule type="colorScale" priority="41">
      <colorScale>
        <cfvo type="num" val="-0.1"/>
        <cfvo type="num" val="0"/>
        <cfvo type="num" val="0.1"/>
        <color rgb="FFF8696B"/>
        <color rgb="FFFFEB84"/>
        <color rgb="FF63BE7B"/>
      </colorScale>
    </cfRule>
  </conditionalFormatting>
  <conditionalFormatting sqref="Q23 Q25:Q26">
    <cfRule type="colorScale" priority="42">
      <colorScale>
        <cfvo type="num" val="-0.1"/>
        <cfvo type="num" val="0"/>
        <cfvo type="num" val="0.1"/>
        <color rgb="FFF8696B"/>
        <color rgb="FFFFEB84"/>
        <color rgb="FF63BE7B"/>
      </colorScale>
    </cfRule>
  </conditionalFormatting>
  <conditionalFormatting sqref="Q26">
    <cfRule type="colorScale" priority="40">
      <colorScale>
        <cfvo type="num" val="-0.1"/>
        <cfvo type="num" val="0"/>
        <cfvo type="num" val="0.1"/>
        <color rgb="FFF8696B"/>
        <color rgb="FFFFEB84"/>
        <color rgb="FF63BE7B"/>
      </colorScale>
    </cfRule>
  </conditionalFormatting>
  <conditionalFormatting sqref="Q27">
    <cfRule type="colorScale" priority="36">
      <colorScale>
        <cfvo type="num" val="-0.1"/>
        <cfvo type="num" val="0"/>
        <cfvo type="num" val="0.1"/>
        <color rgb="FFF8696B"/>
        <color rgb="FFFFEB84"/>
        <color rgb="FF63BE7B"/>
      </colorScale>
    </cfRule>
    <cfRule type="colorScale" priority="35">
      <colorScale>
        <cfvo type="num" val="-0.1"/>
        <cfvo type="num" val="0"/>
        <cfvo type="num" val="0.1"/>
        <color rgb="FFF8696B"/>
        <color rgb="FFFFEB84"/>
        <color rgb="FF63BE7B"/>
      </colorScale>
    </cfRule>
    <cfRule type="colorScale" priority="37">
      <colorScale>
        <cfvo type="num" val="-0.1"/>
        <cfvo type="num" val="0"/>
        <cfvo type="num" val="0.1"/>
        <color rgb="FFF8696B"/>
        <color rgb="FFFFEB84"/>
        <color rgb="FF63BE7B"/>
      </colorScale>
    </cfRule>
  </conditionalFormatting>
  <conditionalFormatting sqref="Q28">
    <cfRule type="colorScale" priority="137">
      <colorScale>
        <cfvo type="num" val="-0.1"/>
        <cfvo type="num" val="0"/>
        <cfvo type="num" val="0.1"/>
        <color rgb="FFF8696B"/>
        <color rgb="FFFFEB84"/>
        <color rgb="FF63BE7B"/>
      </colorScale>
    </cfRule>
    <cfRule type="colorScale" priority="136">
      <colorScale>
        <cfvo type="num" val="-0.1"/>
        <cfvo type="num" val="0"/>
        <cfvo type="num" val="0.1"/>
        <color rgb="FFF8696B"/>
        <color rgb="FFFFEB84"/>
        <color rgb="FF63BE7B"/>
      </colorScale>
    </cfRule>
  </conditionalFormatting>
  <conditionalFormatting sqref="Q29">
    <cfRule type="colorScale" priority="133">
      <colorScale>
        <cfvo type="num" val="-0.1"/>
        <cfvo type="num" val="0"/>
        <cfvo type="num" val="0.1"/>
        <color rgb="FFF8696B"/>
        <color rgb="FFFFEB84"/>
        <color rgb="FF63BE7B"/>
      </colorScale>
    </cfRule>
  </conditionalFormatting>
  <conditionalFormatting sqref="Q31">
    <cfRule type="colorScale" priority="132">
      <colorScale>
        <cfvo type="num" val="-0.1"/>
        <cfvo type="num" val="0"/>
        <cfvo type="num" val="0.1"/>
        <color rgb="FFF8696B"/>
        <color rgb="FFFFEB84"/>
        <color rgb="FF63BE7B"/>
      </colorScale>
    </cfRule>
    <cfRule type="colorScale" priority="131">
      <colorScale>
        <cfvo type="num" val="-0.1"/>
        <cfvo type="num" val="0"/>
        <cfvo type="num" val="0.1"/>
        <color rgb="FFF8696B"/>
        <color rgb="FFFFEB84"/>
        <color rgb="FF63BE7B"/>
      </colorScale>
    </cfRule>
    <cfRule type="colorScale" priority="130">
      <colorScale>
        <cfvo type="num" val="-0.1"/>
        <cfvo type="num" val="0"/>
        <cfvo type="num" val="0.1"/>
        <color rgb="FFF8696B"/>
        <color rgb="FFFFEB84"/>
        <color rgb="FF63BE7B"/>
      </colorScale>
    </cfRule>
  </conditionalFormatting>
  <conditionalFormatting sqref="Q33">
    <cfRule type="colorScale" priority="141">
      <colorScale>
        <cfvo type="num" val="-0.1"/>
        <cfvo type="num" val="0"/>
        <cfvo type="num" val="0.1"/>
        <color rgb="FFF8696B"/>
        <color rgb="FFFFEB84"/>
        <color rgb="FF63BE7B"/>
      </colorScale>
    </cfRule>
    <cfRule type="colorScale" priority="142">
      <colorScale>
        <cfvo type="num" val="-0.1"/>
        <cfvo type="num" val="0"/>
        <cfvo type="num" val="0.1"/>
        <color rgb="FFF8696B"/>
        <color rgb="FFFFEB84"/>
        <color rgb="FF63BE7B"/>
      </colorScale>
    </cfRule>
  </conditionalFormatting>
  <conditionalFormatting sqref="Q32 Q34">
    <cfRule type="colorScale" priority="144">
      <colorScale>
        <cfvo type="num" val="-0.1"/>
        <cfvo type="num" val="0"/>
        <cfvo type="num" val="0.1"/>
        <color rgb="FFF8696B"/>
        <color rgb="FFFFEB84"/>
        <color rgb="FF63BE7B"/>
      </colorScale>
    </cfRule>
  </conditionalFormatting>
  <conditionalFormatting sqref="Q32 Q34:Q35">
    <cfRule type="colorScale" priority="145">
      <colorScale>
        <cfvo type="num" val="-0.1"/>
        <cfvo type="num" val="0"/>
        <cfvo type="num" val="0.1"/>
        <color rgb="FFF8696B"/>
        <color rgb="FFFFEB84"/>
        <color rgb="FF63BE7B"/>
      </colorScale>
    </cfRule>
  </conditionalFormatting>
  <conditionalFormatting sqref="Q35">
    <cfRule type="colorScale" priority="143">
      <colorScale>
        <cfvo type="num" val="-0.1"/>
        <cfvo type="num" val="0"/>
        <cfvo type="num" val="0.1"/>
        <color rgb="FFF8696B"/>
        <color rgb="FFFFEB84"/>
        <color rgb="FF63BE7B"/>
      </colorScale>
    </cfRule>
  </conditionalFormatting>
  <conditionalFormatting sqref="Q36">
    <cfRule type="colorScale" priority="134">
      <colorScale>
        <cfvo type="num" val="-0.1"/>
        <cfvo type="num" val="0"/>
        <cfvo type="num" val="0.1"/>
        <color rgb="FFF8696B"/>
        <color rgb="FFFFEB84"/>
        <color rgb="FF63BE7B"/>
      </colorScale>
    </cfRule>
    <cfRule type="colorScale" priority="135">
      <colorScale>
        <cfvo type="num" val="-0.1"/>
        <cfvo type="num" val="0"/>
        <cfvo type="num" val="0.1"/>
        <color rgb="FFF8696B"/>
        <color rgb="FFFFEB84"/>
        <color rgb="FF63BE7B"/>
      </colorScale>
    </cfRule>
  </conditionalFormatting>
  <conditionalFormatting sqref="Q37">
    <cfRule type="colorScale" priority="140">
      <colorScale>
        <cfvo type="num" val="-0.1"/>
        <cfvo type="num" val="0"/>
        <cfvo type="num" val="0.1"/>
        <color rgb="FFF8696B"/>
        <color rgb="FFFFEB84"/>
        <color rgb="FF63BE7B"/>
      </colorScale>
    </cfRule>
    <cfRule type="colorScale" priority="139">
      <colorScale>
        <cfvo type="num" val="-0.1"/>
        <cfvo type="num" val="0"/>
        <cfvo type="num" val="0.1"/>
        <color rgb="FFF8696B"/>
        <color rgb="FFFFEB84"/>
        <color rgb="FF63BE7B"/>
      </colorScale>
    </cfRule>
    <cfRule type="colorScale" priority="138">
      <colorScale>
        <cfvo type="num" val="-0.1"/>
        <cfvo type="num" val="0"/>
        <cfvo type="num" val="0.1"/>
        <color rgb="FFF8696B"/>
        <color rgb="FFFFEB84"/>
        <color rgb="FF63BE7B"/>
      </colorScale>
    </cfRule>
  </conditionalFormatting>
  <conditionalFormatting sqref="Q38">
    <cfRule type="colorScale" priority="127">
      <colorScale>
        <cfvo type="num" val="-0.1"/>
        <cfvo type="num" val="0"/>
        <cfvo type="num" val="0.1"/>
        <color rgb="FFF8696B"/>
        <color rgb="FFFFEB84"/>
        <color rgb="FF63BE7B"/>
      </colorScale>
    </cfRule>
  </conditionalFormatting>
  <conditionalFormatting sqref="Q39">
    <cfRule type="colorScale" priority="45">
      <colorScale>
        <cfvo type="num" val="-0.1"/>
        <cfvo type="num" val="0"/>
        <cfvo type="num" val="0.1"/>
        <color rgb="FFF8696B"/>
        <color rgb="FFFFEB84"/>
        <color rgb="FF63BE7B"/>
      </colorScale>
    </cfRule>
    <cfRule type="colorScale" priority="46">
      <colorScale>
        <cfvo type="num" val="-0.1"/>
        <cfvo type="num" val="0"/>
        <cfvo type="num" val="0.1"/>
        <color rgb="FFF8696B"/>
        <color rgb="FFFFEB84"/>
        <color rgb="FF63BE7B"/>
      </colorScale>
    </cfRule>
  </conditionalFormatting>
  <conditionalFormatting sqref="Q40">
    <cfRule type="colorScale" priority="126">
      <colorScale>
        <cfvo type="num" val="-0.1"/>
        <cfvo type="num" val="0"/>
        <cfvo type="num" val="0.1"/>
        <color rgb="FFF8696B"/>
        <color rgb="FFFFEB84"/>
        <color rgb="FF63BE7B"/>
      </colorScale>
    </cfRule>
    <cfRule type="colorScale" priority="125">
      <colorScale>
        <cfvo type="num" val="-0.1"/>
        <cfvo type="num" val="0"/>
        <cfvo type="num" val="0.1"/>
        <color rgb="FFF8696B"/>
        <color rgb="FFFFEB84"/>
        <color rgb="FF63BE7B"/>
      </colorScale>
    </cfRule>
    <cfRule type="colorScale" priority="124">
      <colorScale>
        <cfvo type="num" val="-0.1"/>
        <cfvo type="num" val="0"/>
        <cfvo type="num" val="0.1"/>
        <color rgb="FFF8696B"/>
        <color rgb="FFFFEB84"/>
        <color rgb="FF63BE7B"/>
      </colorScale>
    </cfRule>
  </conditionalFormatting>
  <conditionalFormatting sqref="Q42">
    <cfRule type="colorScale" priority="149">
      <colorScale>
        <cfvo type="num" val="-0.1"/>
        <cfvo type="num" val="0"/>
        <cfvo type="num" val="0.1"/>
        <color rgb="FFF8696B"/>
        <color rgb="FFFFEB84"/>
        <color rgb="FF63BE7B"/>
      </colorScale>
    </cfRule>
    <cfRule type="colorScale" priority="150">
      <colorScale>
        <cfvo type="num" val="-0.1"/>
        <cfvo type="num" val="0"/>
        <cfvo type="num" val="0.1"/>
        <color rgb="FFF8696B"/>
        <color rgb="FFFFEB84"/>
        <color rgb="FF63BE7B"/>
      </colorScale>
    </cfRule>
  </conditionalFormatting>
  <conditionalFormatting sqref="Q41 Q43">
    <cfRule type="colorScale" priority="152">
      <colorScale>
        <cfvo type="num" val="-0.1"/>
        <cfvo type="num" val="0"/>
        <cfvo type="num" val="0.1"/>
        <color rgb="FFF8696B"/>
        <color rgb="FFFFEB84"/>
        <color rgb="FF63BE7B"/>
      </colorScale>
    </cfRule>
  </conditionalFormatting>
  <conditionalFormatting sqref="Q41 Q43:Q44">
    <cfRule type="colorScale" priority="153">
      <colorScale>
        <cfvo type="num" val="-0.1"/>
        <cfvo type="num" val="0"/>
        <cfvo type="num" val="0.1"/>
        <color rgb="FFF8696B"/>
        <color rgb="FFFFEB84"/>
        <color rgb="FF63BE7B"/>
      </colorScale>
    </cfRule>
  </conditionalFormatting>
  <conditionalFormatting sqref="Q44">
    <cfRule type="colorScale" priority="151">
      <colorScale>
        <cfvo type="num" val="-0.1"/>
        <cfvo type="num" val="0"/>
        <cfvo type="num" val="0.1"/>
        <color rgb="FFF8696B"/>
        <color rgb="FFFFEB84"/>
        <color rgb="FF63BE7B"/>
      </colorScale>
    </cfRule>
  </conditionalFormatting>
  <conditionalFormatting sqref="Q45">
    <cfRule type="colorScale" priority="148">
      <colorScale>
        <cfvo type="num" val="-0.1"/>
        <cfvo type="num" val="0"/>
        <cfvo type="num" val="0.1"/>
        <color rgb="FFF8696B"/>
        <color rgb="FFFFEB84"/>
        <color rgb="FF63BE7B"/>
      </colorScale>
    </cfRule>
    <cfRule type="colorScale" priority="146">
      <colorScale>
        <cfvo type="num" val="-0.1"/>
        <cfvo type="num" val="0"/>
        <cfvo type="num" val="0.1"/>
        <color rgb="FFF8696B"/>
        <color rgb="FFFFEB84"/>
        <color rgb="FF63BE7B"/>
      </colorScale>
    </cfRule>
    <cfRule type="colorScale" priority="147">
      <colorScale>
        <cfvo type="num" val="-0.1"/>
        <cfvo type="num" val="0"/>
        <cfvo type="num" val="0.1"/>
        <color rgb="FFF8696B"/>
        <color rgb="FFFFEB84"/>
        <color rgb="FF63BE7B"/>
      </colorScale>
    </cfRule>
  </conditionalFormatting>
  <conditionalFormatting sqref="Q46">
    <cfRule type="colorScale" priority="123">
      <colorScale>
        <cfvo type="num" val="-0.1"/>
        <cfvo type="num" val="0"/>
        <cfvo type="num" val="0.1"/>
        <color rgb="FFF8696B"/>
        <color rgb="FFFFEB84"/>
        <color rgb="FF63BE7B"/>
      </colorScale>
    </cfRule>
  </conditionalFormatting>
  <conditionalFormatting sqref="Q47">
    <cfRule type="colorScale" priority="122">
      <colorScale>
        <cfvo type="num" val="-0.1"/>
        <cfvo type="num" val="0"/>
        <cfvo type="num" val="0.1"/>
        <color rgb="FFF8696B"/>
        <color rgb="FFFFEB84"/>
        <color rgb="FF63BE7B"/>
      </colorScale>
    </cfRule>
    <cfRule type="colorScale" priority="121">
      <colorScale>
        <cfvo type="num" val="-0.1"/>
        <cfvo type="num" val="0"/>
        <cfvo type="num" val="0.1"/>
        <color rgb="FFF8696B"/>
        <color rgb="FFFFEB84"/>
        <color rgb="FF63BE7B"/>
      </colorScale>
    </cfRule>
    <cfRule type="colorScale" priority="120">
      <colorScale>
        <cfvo type="num" val="-0.1"/>
        <cfvo type="num" val="0"/>
        <cfvo type="num" val="0.1"/>
        <color rgb="FFF8696B"/>
        <color rgb="FFFFEB84"/>
        <color rgb="FF63BE7B"/>
      </colorScale>
    </cfRule>
  </conditionalFormatting>
  <conditionalFormatting sqref="Q49">
    <cfRule type="colorScale" priority="157">
      <colorScale>
        <cfvo type="num" val="-0.1"/>
        <cfvo type="num" val="0"/>
        <cfvo type="num" val="0.1"/>
        <color rgb="FFF8696B"/>
        <color rgb="FFFFEB84"/>
        <color rgb="FF63BE7B"/>
      </colorScale>
    </cfRule>
    <cfRule type="colorScale" priority="158">
      <colorScale>
        <cfvo type="num" val="-0.1"/>
        <cfvo type="num" val="0"/>
        <cfvo type="num" val="0.1"/>
        <color rgb="FFF8696B"/>
        <color rgb="FFFFEB84"/>
        <color rgb="FF63BE7B"/>
      </colorScale>
    </cfRule>
  </conditionalFormatting>
  <conditionalFormatting sqref="Q48 Q50">
    <cfRule type="colorScale" priority="160">
      <colorScale>
        <cfvo type="num" val="-0.1"/>
        <cfvo type="num" val="0"/>
        <cfvo type="num" val="0.1"/>
        <color rgb="FFF8696B"/>
        <color rgb="FFFFEB84"/>
        <color rgb="FF63BE7B"/>
      </colorScale>
    </cfRule>
  </conditionalFormatting>
  <conditionalFormatting sqref="Q48 Q50:Q51">
    <cfRule type="colorScale" priority="161">
      <colorScale>
        <cfvo type="num" val="-0.1"/>
        <cfvo type="num" val="0"/>
        <cfvo type="num" val="0.1"/>
        <color rgb="FFF8696B"/>
        <color rgb="FFFFEB84"/>
        <color rgb="FF63BE7B"/>
      </colorScale>
    </cfRule>
  </conditionalFormatting>
  <conditionalFormatting sqref="Q51">
    <cfRule type="colorScale" priority="159">
      <colorScale>
        <cfvo type="num" val="-0.1"/>
        <cfvo type="num" val="0"/>
        <cfvo type="num" val="0.1"/>
        <color rgb="FFF8696B"/>
        <color rgb="FFFFEB84"/>
        <color rgb="FF63BE7B"/>
      </colorScale>
    </cfRule>
  </conditionalFormatting>
  <conditionalFormatting sqref="Q52">
    <cfRule type="colorScale" priority="154">
      <colorScale>
        <cfvo type="num" val="-0.1"/>
        <cfvo type="num" val="0"/>
        <cfvo type="num" val="0.1"/>
        <color rgb="FFF8696B"/>
        <color rgb="FFFFEB84"/>
        <color rgb="FF63BE7B"/>
      </colorScale>
    </cfRule>
    <cfRule type="colorScale" priority="155">
      <colorScale>
        <cfvo type="num" val="-0.1"/>
        <cfvo type="num" val="0"/>
        <cfvo type="num" val="0.1"/>
        <color rgb="FFF8696B"/>
        <color rgb="FFFFEB84"/>
        <color rgb="FF63BE7B"/>
      </colorScale>
    </cfRule>
    <cfRule type="colorScale" priority="156">
      <colorScale>
        <cfvo type="num" val="-0.1"/>
        <cfvo type="num" val="0"/>
        <cfvo type="num" val="0.1"/>
        <color rgb="FFF8696B"/>
        <color rgb="FFFFEB84"/>
        <color rgb="FF63BE7B"/>
      </colorScale>
    </cfRule>
  </conditionalFormatting>
  <conditionalFormatting sqref="Q53">
    <cfRule type="colorScale" priority="119">
      <colorScale>
        <cfvo type="num" val="-0.1"/>
        <cfvo type="num" val="0"/>
        <cfvo type="num" val="0.1"/>
        <color rgb="FFF8696B"/>
        <color rgb="FFFFEB84"/>
        <color rgb="FF63BE7B"/>
      </colorScale>
    </cfRule>
  </conditionalFormatting>
  <conditionalFormatting sqref="Q54">
    <cfRule type="colorScale" priority="118">
      <colorScale>
        <cfvo type="num" val="-0.1"/>
        <cfvo type="num" val="0"/>
        <cfvo type="num" val="0.1"/>
        <color rgb="FFF8696B"/>
        <color rgb="FFFFEB84"/>
        <color rgb="FF63BE7B"/>
      </colorScale>
    </cfRule>
    <cfRule type="colorScale" priority="117">
      <colorScale>
        <cfvo type="num" val="-0.1"/>
        <cfvo type="num" val="0"/>
        <cfvo type="num" val="0.1"/>
        <color rgb="FFF8696B"/>
        <color rgb="FFFFEB84"/>
        <color rgb="FF63BE7B"/>
      </colorScale>
    </cfRule>
    <cfRule type="colorScale" priority="116">
      <colorScale>
        <cfvo type="num" val="-0.1"/>
        <cfvo type="num" val="0"/>
        <cfvo type="num" val="0.1"/>
        <color rgb="FFF8696B"/>
        <color rgb="FFFFEB84"/>
        <color rgb="FF63BE7B"/>
      </colorScale>
    </cfRule>
  </conditionalFormatting>
  <conditionalFormatting sqref="Q56">
    <cfRule type="colorScale" priority="162">
      <colorScale>
        <cfvo type="num" val="-0.1"/>
        <cfvo type="num" val="0"/>
        <cfvo type="num" val="0.1"/>
        <color rgb="FFF8696B"/>
        <color rgb="FFFFEB84"/>
        <color rgb="FF63BE7B"/>
      </colorScale>
    </cfRule>
    <cfRule type="colorScale" priority="163">
      <colorScale>
        <cfvo type="num" val="-0.1"/>
        <cfvo type="num" val="0"/>
        <cfvo type="num" val="0.1"/>
        <color rgb="FFF8696B"/>
        <color rgb="FFFFEB84"/>
        <color rgb="FF63BE7B"/>
      </colorScale>
    </cfRule>
  </conditionalFormatting>
  <conditionalFormatting sqref="Q55 Q57">
    <cfRule type="colorScale" priority="168">
      <colorScale>
        <cfvo type="num" val="-0.1"/>
        <cfvo type="num" val="0"/>
        <cfvo type="num" val="0.1"/>
        <color rgb="FFF8696B"/>
        <color rgb="FFFFEB84"/>
        <color rgb="FF63BE7B"/>
      </colorScale>
    </cfRule>
  </conditionalFormatting>
  <conditionalFormatting sqref="Q55 Q57:Q58">
    <cfRule type="colorScale" priority="169">
      <colorScale>
        <cfvo type="num" val="-0.1"/>
        <cfvo type="num" val="0"/>
        <cfvo type="num" val="0.1"/>
        <color rgb="FFF8696B"/>
        <color rgb="FFFFEB84"/>
        <color rgb="FF63BE7B"/>
      </colorScale>
    </cfRule>
  </conditionalFormatting>
  <conditionalFormatting sqref="Q58">
    <cfRule type="colorScale" priority="167">
      <colorScale>
        <cfvo type="num" val="-0.1"/>
        <cfvo type="num" val="0"/>
        <cfvo type="num" val="0.1"/>
        <color rgb="FFF8696B"/>
        <color rgb="FFFFEB84"/>
        <color rgb="FF63BE7B"/>
      </colorScale>
    </cfRule>
  </conditionalFormatting>
  <conditionalFormatting sqref="Q59">
    <cfRule type="colorScale" priority="164">
      <colorScale>
        <cfvo type="num" val="-0.1"/>
        <cfvo type="num" val="0"/>
        <cfvo type="num" val="0.1"/>
        <color rgb="FFF8696B"/>
        <color rgb="FFFFEB84"/>
        <color rgb="FF63BE7B"/>
      </colorScale>
    </cfRule>
    <cfRule type="colorScale" priority="165">
      <colorScale>
        <cfvo type="num" val="-0.1"/>
        <cfvo type="num" val="0"/>
        <cfvo type="num" val="0.1"/>
        <color rgb="FFF8696B"/>
        <color rgb="FFFFEB84"/>
        <color rgb="FF63BE7B"/>
      </colorScale>
    </cfRule>
    <cfRule type="colorScale" priority="166">
      <colorScale>
        <cfvo type="num" val="-0.1"/>
        <cfvo type="num" val="0"/>
        <cfvo type="num" val="0.1"/>
        <color rgb="FFF8696B"/>
        <color rgb="FFFFEB84"/>
        <color rgb="FF63BE7B"/>
      </colorScale>
    </cfRule>
  </conditionalFormatting>
  <conditionalFormatting sqref="Q60">
    <cfRule type="colorScale" priority="115">
      <colorScale>
        <cfvo type="num" val="-0.1"/>
        <cfvo type="num" val="0"/>
        <cfvo type="num" val="0.1"/>
        <color rgb="FFF8696B"/>
        <color rgb="FFFFEB84"/>
        <color rgb="FF63BE7B"/>
      </colorScale>
    </cfRule>
  </conditionalFormatting>
  <conditionalFormatting sqref="Q61">
    <cfRule type="colorScale" priority="108">
      <colorScale>
        <cfvo type="num" val="-0.1"/>
        <cfvo type="num" val="0"/>
        <cfvo type="num" val="0.1"/>
        <color rgb="FFF8696B"/>
        <color rgb="FFFFEB84"/>
        <color rgb="FF63BE7B"/>
      </colorScale>
    </cfRule>
    <cfRule type="colorScale" priority="109">
      <colorScale>
        <cfvo type="num" val="-0.1"/>
        <cfvo type="num" val="0"/>
        <cfvo type="num" val="0.1"/>
        <color rgb="FFF8696B"/>
        <color rgb="FFFFEB84"/>
        <color rgb="FF63BE7B"/>
      </colorScale>
    </cfRule>
  </conditionalFormatting>
  <conditionalFormatting sqref="Q62">
    <cfRule type="colorScale" priority="114">
      <colorScale>
        <cfvo type="num" val="-0.1"/>
        <cfvo type="num" val="0"/>
        <cfvo type="num" val="0.1"/>
        <color rgb="FFF8696B"/>
        <color rgb="FFFFEB84"/>
        <color rgb="FF63BE7B"/>
      </colorScale>
    </cfRule>
    <cfRule type="colorScale" priority="113">
      <colorScale>
        <cfvo type="num" val="-0.1"/>
        <cfvo type="num" val="0"/>
        <cfvo type="num" val="0.1"/>
        <color rgb="FFF8696B"/>
        <color rgb="FFFFEB84"/>
        <color rgb="FF63BE7B"/>
      </colorScale>
    </cfRule>
    <cfRule type="colorScale" priority="112">
      <colorScale>
        <cfvo type="num" val="-0.1"/>
        <cfvo type="num" val="0"/>
        <cfvo type="num" val="0.1"/>
        <color rgb="FFF8696B"/>
        <color rgb="FFFFEB84"/>
        <color rgb="FF63BE7B"/>
      </colorScale>
    </cfRule>
  </conditionalFormatting>
  <conditionalFormatting sqref="Q64">
    <cfRule type="colorScale" priority="170">
      <colorScale>
        <cfvo type="num" val="-0.1"/>
        <cfvo type="num" val="0"/>
        <cfvo type="num" val="0.1"/>
        <color rgb="FFF8696B"/>
        <color rgb="FFFFEB84"/>
        <color rgb="FF63BE7B"/>
      </colorScale>
    </cfRule>
    <cfRule type="colorScale" priority="171">
      <colorScale>
        <cfvo type="num" val="-0.1"/>
        <cfvo type="num" val="0"/>
        <cfvo type="num" val="0.1"/>
        <color rgb="FFF8696B"/>
        <color rgb="FFFFEB84"/>
        <color rgb="FF63BE7B"/>
      </colorScale>
    </cfRule>
  </conditionalFormatting>
  <conditionalFormatting sqref="Q63 Q65">
    <cfRule type="colorScale" priority="176">
      <colorScale>
        <cfvo type="num" val="-0.1"/>
        <cfvo type="num" val="0"/>
        <cfvo type="num" val="0.1"/>
        <color rgb="FFF8696B"/>
        <color rgb="FFFFEB84"/>
        <color rgb="FF63BE7B"/>
      </colorScale>
    </cfRule>
  </conditionalFormatting>
  <conditionalFormatting sqref="Q63 Q65:Q66">
    <cfRule type="colorScale" priority="177">
      <colorScale>
        <cfvo type="num" val="-0.1"/>
        <cfvo type="num" val="0"/>
        <cfvo type="num" val="0.1"/>
        <color rgb="FFF8696B"/>
        <color rgb="FFFFEB84"/>
        <color rgb="FF63BE7B"/>
      </colorScale>
    </cfRule>
  </conditionalFormatting>
  <conditionalFormatting sqref="Q66">
    <cfRule type="colorScale" priority="175">
      <colorScale>
        <cfvo type="num" val="-0.1"/>
        <cfvo type="num" val="0"/>
        <cfvo type="num" val="0.1"/>
        <color rgb="FFF8696B"/>
        <color rgb="FFFFEB84"/>
        <color rgb="FF63BE7B"/>
      </colorScale>
    </cfRule>
  </conditionalFormatting>
  <conditionalFormatting sqref="Q67">
    <cfRule type="colorScale" priority="111">
      <colorScale>
        <cfvo type="num" val="-0.1"/>
        <cfvo type="num" val="0"/>
        <cfvo type="num" val="0.1"/>
        <color rgb="FFF8696B"/>
        <color rgb="FFFFEB84"/>
        <color rgb="FF63BE7B"/>
      </colorScale>
    </cfRule>
    <cfRule type="colorScale" priority="110">
      <colorScale>
        <cfvo type="num" val="-0.1"/>
        <cfvo type="num" val="0"/>
        <cfvo type="num" val="0.1"/>
        <color rgb="FFF8696B"/>
        <color rgb="FFFFEB84"/>
        <color rgb="FF63BE7B"/>
      </colorScale>
    </cfRule>
  </conditionalFormatting>
  <conditionalFormatting sqref="Q68">
    <cfRule type="colorScale" priority="172">
      <colorScale>
        <cfvo type="num" val="-0.1"/>
        <cfvo type="num" val="0"/>
        <cfvo type="num" val="0.1"/>
        <color rgb="FFF8696B"/>
        <color rgb="FFFFEB84"/>
        <color rgb="FF63BE7B"/>
      </colorScale>
    </cfRule>
    <cfRule type="colorScale" priority="174">
      <colorScale>
        <cfvo type="num" val="-0.1"/>
        <cfvo type="num" val="0"/>
        <cfvo type="num" val="0.1"/>
        <color rgb="FFF8696B"/>
        <color rgb="FFFFEB84"/>
        <color rgb="FF63BE7B"/>
      </colorScale>
    </cfRule>
    <cfRule type="colorScale" priority="173">
      <colorScale>
        <cfvo type="num" val="-0.1"/>
        <cfvo type="num" val="0"/>
        <cfvo type="num" val="0.1"/>
        <color rgb="FFF8696B"/>
        <color rgb="FFFFEB84"/>
        <color rgb="FF63BE7B"/>
      </colorScale>
    </cfRule>
  </conditionalFormatting>
  <conditionalFormatting sqref="Q69">
    <cfRule type="colorScale" priority="181">
      <colorScale>
        <cfvo type="num" val="-0.1"/>
        <cfvo type="num" val="0"/>
        <cfvo type="num" val="0.1"/>
        <color rgb="FFF8696B"/>
        <color rgb="FFFFEB84"/>
        <color rgb="FF63BE7B"/>
      </colorScale>
    </cfRule>
  </conditionalFormatting>
  <conditionalFormatting sqref="Q70">
    <cfRule type="colorScale" priority="178">
      <colorScale>
        <cfvo type="num" val="-0.1"/>
        <cfvo type="num" val="0"/>
        <cfvo type="num" val="0.1"/>
        <color rgb="FFF8696B"/>
        <color rgb="FFFFEB84"/>
        <color rgb="FF63BE7B"/>
      </colorScale>
    </cfRule>
    <cfRule type="colorScale" priority="179">
      <colorScale>
        <cfvo type="num" val="-0.1"/>
        <cfvo type="num" val="0"/>
        <cfvo type="num" val="0.1"/>
        <color rgb="FFF8696B"/>
        <color rgb="FFFFEB84"/>
        <color rgb="FF63BE7B"/>
      </colorScale>
    </cfRule>
    <cfRule type="colorScale" priority="180">
      <colorScale>
        <cfvo type="num" val="-0.1"/>
        <cfvo type="num" val="0"/>
        <cfvo type="num" val="0.1"/>
        <color rgb="FFF8696B"/>
        <color rgb="FFFFEB84"/>
        <color rgb="FF63BE7B"/>
      </colorScale>
    </cfRule>
  </conditionalFormatting>
  <conditionalFormatting sqref="Q71:Q73">
    <cfRule type="colorScale" priority="186">
      <colorScale>
        <cfvo type="num" val="-0.1"/>
        <cfvo type="num" val="0"/>
        <cfvo type="num" val="0.1"/>
        <color rgb="FFF8696B"/>
        <color rgb="FFFFEB84"/>
        <color rgb="FF63BE7B"/>
      </colorScale>
    </cfRule>
  </conditionalFormatting>
  <conditionalFormatting sqref="Q71:Q74">
    <cfRule type="colorScale" priority="187">
      <colorScale>
        <cfvo type="num" val="-0.1"/>
        <cfvo type="num" val="0"/>
        <cfvo type="num" val="0.1"/>
        <color rgb="FFF8696B"/>
        <color rgb="FFFFEB84"/>
        <color rgb="FF63BE7B"/>
      </colorScale>
    </cfRule>
  </conditionalFormatting>
  <conditionalFormatting sqref="Q74">
    <cfRule type="colorScale" priority="185">
      <colorScale>
        <cfvo type="num" val="-0.1"/>
        <cfvo type="num" val="0"/>
        <cfvo type="num" val="0.1"/>
        <color rgb="FFF8696B"/>
        <color rgb="FFFFEB84"/>
        <color rgb="FF63BE7B"/>
      </colorScale>
    </cfRule>
  </conditionalFormatting>
  <conditionalFormatting sqref="Q75">
    <cfRule type="colorScale" priority="183">
      <colorScale>
        <cfvo type="num" val="-0.1"/>
        <cfvo type="num" val="0"/>
        <cfvo type="num" val="0.1"/>
        <color rgb="FFF8696B"/>
        <color rgb="FFFFEB84"/>
        <color rgb="FF63BE7B"/>
      </colorScale>
    </cfRule>
    <cfRule type="colorScale" priority="184">
      <colorScale>
        <cfvo type="num" val="-0.1"/>
        <cfvo type="num" val="0"/>
        <cfvo type="num" val="0.1"/>
        <color rgb="FFF8696B"/>
        <color rgb="FFFFEB84"/>
        <color rgb="FF63BE7B"/>
      </colorScale>
    </cfRule>
    <cfRule type="colorScale" priority="182">
      <colorScale>
        <cfvo type="num" val="-0.1"/>
        <cfvo type="num" val="0"/>
        <cfvo type="num" val="0.1"/>
        <color rgb="FFF8696B"/>
        <color rgb="FFFFEB84"/>
        <color rgb="FF63BE7B"/>
      </colorScale>
    </cfRule>
  </conditionalFormatting>
  <conditionalFormatting sqref="Q76">
    <cfRule type="colorScale" priority="107">
      <colorScale>
        <cfvo type="num" val="-0.1"/>
        <cfvo type="num" val="0"/>
        <cfvo type="num" val="0.1"/>
        <color rgb="FFF8696B"/>
        <color rgb="FFFFEB84"/>
        <color rgb="FF63BE7B"/>
      </colorScale>
    </cfRule>
  </conditionalFormatting>
  <conditionalFormatting sqref="Q77">
    <cfRule type="colorScale" priority="104">
      <colorScale>
        <cfvo type="num" val="-0.1"/>
        <cfvo type="num" val="0"/>
        <cfvo type="num" val="0.1"/>
        <color rgb="FFF8696B"/>
        <color rgb="FFFFEB84"/>
        <color rgb="FF63BE7B"/>
      </colorScale>
    </cfRule>
    <cfRule type="colorScale" priority="105">
      <colorScale>
        <cfvo type="num" val="-0.1"/>
        <cfvo type="num" val="0"/>
        <cfvo type="num" val="0.1"/>
        <color rgb="FFF8696B"/>
        <color rgb="FFFFEB84"/>
        <color rgb="FF63BE7B"/>
      </colorScale>
    </cfRule>
    <cfRule type="colorScale" priority="106">
      <colorScale>
        <cfvo type="num" val="-0.1"/>
        <cfvo type="num" val="0"/>
        <cfvo type="num" val="0.1"/>
        <color rgb="FFF8696B"/>
        <color rgb="FFFFEB84"/>
        <color rgb="FF63BE7B"/>
      </colorScale>
    </cfRule>
  </conditionalFormatting>
  <conditionalFormatting sqref="Q78:Q80">
    <cfRule type="colorScale" priority="192">
      <colorScale>
        <cfvo type="num" val="-0.1"/>
        <cfvo type="num" val="0"/>
        <cfvo type="num" val="0.1"/>
        <color rgb="FFF8696B"/>
        <color rgb="FFFFEB84"/>
        <color rgb="FF63BE7B"/>
      </colorScale>
    </cfRule>
  </conditionalFormatting>
  <conditionalFormatting sqref="Q78:Q81">
    <cfRule type="colorScale" priority="193">
      <colorScale>
        <cfvo type="num" val="-0.1"/>
        <cfvo type="num" val="0"/>
        <cfvo type="num" val="0.1"/>
        <color rgb="FFF8696B"/>
        <color rgb="FFFFEB84"/>
        <color rgb="FF63BE7B"/>
      </colorScale>
    </cfRule>
  </conditionalFormatting>
  <conditionalFormatting sqref="Q81">
    <cfRule type="colorScale" priority="191">
      <colorScale>
        <cfvo type="num" val="-0.1"/>
        <cfvo type="num" val="0"/>
        <cfvo type="num" val="0.1"/>
        <color rgb="FFF8696B"/>
        <color rgb="FFFFEB84"/>
        <color rgb="FF63BE7B"/>
      </colorScale>
    </cfRule>
  </conditionalFormatting>
  <conditionalFormatting sqref="Q82">
    <cfRule type="colorScale" priority="190">
      <colorScale>
        <cfvo type="num" val="-0.1"/>
        <cfvo type="num" val="0"/>
        <cfvo type="num" val="0.1"/>
        <color rgb="FFF8696B"/>
        <color rgb="FFFFEB84"/>
        <color rgb="FF63BE7B"/>
      </colorScale>
    </cfRule>
    <cfRule type="colorScale" priority="188">
      <colorScale>
        <cfvo type="num" val="-0.1"/>
        <cfvo type="num" val="0"/>
        <cfvo type="num" val="0.1"/>
        <color rgb="FFF8696B"/>
        <color rgb="FFFFEB84"/>
        <color rgb="FF63BE7B"/>
      </colorScale>
    </cfRule>
    <cfRule type="colorScale" priority="189">
      <colorScale>
        <cfvo type="num" val="-0.1"/>
        <cfvo type="num" val="0"/>
        <cfvo type="num" val="0.1"/>
        <color rgb="FFF8696B"/>
        <color rgb="FFFFEB84"/>
        <color rgb="FF63BE7B"/>
      </colorScale>
    </cfRule>
  </conditionalFormatting>
  <conditionalFormatting sqref="Q83">
    <cfRule type="colorScale" priority="103">
      <colorScale>
        <cfvo type="num" val="-0.1"/>
        <cfvo type="num" val="0"/>
        <cfvo type="num" val="0.1"/>
        <color rgb="FFF8696B"/>
        <color rgb="FFFFEB84"/>
        <color rgb="FF63BE7B"/>
      </colorScale>
    </cfRule>
  </conditionalFormatting>
  <conditionalFormatting sqref="Q84">
    <cfRule type="colorScale" priority="102">
      <colorScale>
        <cfvo type="num" val="-0.1"/>
        <cfvo type="num" val="0"/>
        <cfvo type="num" val="0.1"/>
        <color rgb="FFF8696B"/>
        <color rgb="FFFFEB84"/>
        <color rgb="FF63BE7B"/>
      </colorScale>
    </cfRule>
    <cfRule type="colorScale" priority="100">
      <colorScale>
        <cfvo type="num" val="-0.1"/>
        <cfvo type="num" val="0"/>
        <cfvo type="num" val="0.1"/>
        <color rgb="FFF8696B"/>
        <color rgb="FFFFEB84"/>
        <color rgb="FF63BE7B"/>
      </colorScale>
    </cfRule>
    <cfRule type="colorScale" priority="101">
      <colorScale>
        <cfvo type="num" val="-0.1"/>
        <cfvo type="num" val="0"/>
        <cfvo type="num" val="0.1"/>
        <color rgb="FFF8696B"/>
        <color rgb="FFFFEB84"/>
        <color rgb="FF63BE7B"/>
      </colorScale>
    </cfRule>
  </conditionalFormatting>
  <conditionalFormatting sqref="Q85:Q87">
    <cfRule type="colorScale" priority="242">
      <colorScale>
        <cfvo type="num" val="-0.1"/>
        <cfvo type="num" val="0"/>
        <cfvo type="num" val="0.1"/>
        <color rgb="FFF8696B"/>
        <color rgb="FFFFEB84"/>
        <color rgb="FF63BE7B"/>
      </colorScale>
    </cfRule>
  </conditionalFormatting>
  <conditionalFormatting sqref="Q85:Q88">
    <cfRule type="colorScale" priority="243">
      <colorScale>
        <cfvo type="num" val="-0.1"/>
        <cfvo type="num" val="0"/>
        <cfvo type="num" val="0.1"/>
        <color rgb="FFF8696B"/>
        <color rgb="FFFFEB84"/>
        <color rgb="FF63BE7B"/>
      </colorScale>
    </cfRule>
  </conditionalFormatting>
  <conditionalFormatting sqref="Q88">
    <cfRule type="colorScale" priority="241">
      <colorScale>
        <cfvo type="num" val="-0.1"/>
        <cfvo type="num" val="0"/>
        <cfvo type="num" val="0.1"/>
        <color rgb="FFF8696B"/>
        <color rgb="FFFFEB84"/>
        <color rgb="FF63BE7B"/>
      </colorScale>
    </cfRule>
  </conditionalFormatting>
  <conditionalFormatting sqref="Q89">
    <cfRule type="colorScale" priority="240">
      <colorScale>
        <cfvo type="num" val="-0.1"/>
        <cfvo type="num" val="0"/>
        <cfvo type="num" val="0.1"/>
        <color rgb="FFF8696B"/>
        <color rgb="FFFFEB84"/>
        <color rgb="FF63BE7B"/>
      </colorScale>
    </cfRule>
    <cfRule type="colorScale" priority="239">
      <colorScale>
        <cfvo type="num" val="-0.1"/>
        <cfvo type="num" val="0"/>
        <cfvo type="num" val="0.1"/>
        <color rgb="FFF8696B"/>
        <color rgb="FFFFEB84"/>
        <color rgb="FF63BE7B"/>
      </colorScale>
    </cfRule>
    <cfRule type="colorScale" priority="238">
      <colorScale>
        <cfvo type="num" val="-0.1"/>
        <cfvo type="num" val="0"/>
        <cfvo type="num" val="0.1"/>
        <color rgb="FFF8696B"/>
        <color rgb="FFFFEB84"/>
        <color rgb="FF63BE7B"/>
      </colorScale>
    </cfRule>
  </conditionalFormatting>
  <conditionalFormatting sqref="Q90">
    <cfRule type="colorScale" priority="99">
      <colorScale>
        <cfvo type="num" val="-0.1"/>
        <cfvo type="num" val="0"/>
        <cfvo type="num" val="0.1"/>
        <color rgb="FFF8696B"/>
        <color rgb="FFFFEB84"/>
        <color rgb="FF63BE7B"/>
      </colorScale>
    </cfRule>
  </conditionalFormatting>
  <conditionalFormatting sqref="Q91">
    <cfRule type="colorScale" priority="96">
      <colorScale>
        <cfvo type="num" val="-0.1"/>
        <cfvo type="num" val="0"/>
        <cfvo type="num" val="0.1"/>
        <color rgb="FFF8696B"/>
        <color rgb="FFFFEB84"/>
        <color rgb="FF63BE7B"/>
      </colorScale>
    </cfRule>
    <cfRule type="colorScale" priority="98">
      <colorScale>
        <cfvo type="num" val="-0.1"/>
        <cfvo type="num" val="0"/>
        <cfvo type="num" val="0.1"/>
        <color rgb="FFF8696B"/>
        <color rgb="FFFFEB84"/>
        <color rgb="FF63BE7B"/>
      </colorScale>
    </cfRule>
    <cfRule type="colorScale" priority="97">
      <colorScale>
        <cfvo type="num" val="-0.1"/>
        <cfvo type="num" val="0"/>
        <cfvo type="num" val="0.1"/>
        <color rgb="FFF8696B"/>
        <color rgb="FFFFEB84"/>
        <color rgb="FF63BE7B"/>
      </colorScale>
    </cfRule>
  </conditionalFormatting>
  <conditionalFormatting sqref="Q93">
    <cfRule type="colorScale" priority="237">
      <colorScale>
        <cfvo type="num" val="-0.1"/>
        <cfvo type="num" val="0"/>
        <cfvo type="num" val="0.1"/>
        <color rgb="FFF8696B"/>
        <color rgb="FFFFEB84"/>
        <color rgb="FF63BE7B"/>
      </colorScale>
    </cfRule>
    <cfRule type="colorScale" priority="236">
      <colorScale>
        <cfvo type="num" val="-0.1"/>
        <cfvo type="num" val="0"/>
        <cfvo type="num" val="0.1"/>
        <color rgb="FFF8696B"/>
        <color rgb="FFFFEB84"/>
        <color rgb="FF63BE7B"/>
      </colorScale>
    </cfRule>
  </conditionalFormatting>
  <conditionalFormatting sqref="Q92 Q94">
    <cfRule type="colorScale" priority="248">
      <colorScale>
        <cfvo type="num" val="-0.1"/>
        <cfvo type="num" val="0"/>
        <cfvo type="num" val="0.1"/>
        <color rgb="FFF8696B"/>
        <color rgb="FFFFEB84"/>
        <color rgb="FF63BE7B"/>
      </colorScale>
    </cfRule>
  </conditionalFormatting>
  <conditionalFormatting sqref="Q92 Q94:Q95">
    <cfRule type="colorScale" priority="249">
      <colorScale>
        <cfvo type="num" val="-0.1"/>
        <cfvo type="num" val="0"/>
        <cfvo type="num" val="0.1"/>
        <color rgb="FFF8696B"/>
        <color rgb="FFFFEB84"/>
        <color rgb="FF63BE7B"/>
      </colorScale>
    </cfRule>
  </conditionalFormatting>
  <conditionalFormatting sqref="Q95">
    <cfRule type="colorScale" priority="247">
      <colorScale>
        <cfvo type="num" val="-0.1"/>
        <cfvo type="num" val="0"/>
        <cfvo type="num" val="0.1"/>
        <color rgb="FFF8696B"/>
        <color rgb="FFFFEB84"/>
        <color rgb="FF63BE7B"/>
      </colorScale>
    </cfRule>
  </conditionalFormatting>
  <conditionalFormatting sqref="Q96">
    <cfRule type="colorScale" priority="246">
      <colorScale>
        <cfvo type="num" val="-0.1"/>
        <cfvo type="num" val="0"/>
        <cfvo type="num" val="0.1"/>
        <color rgb="FFF8696B"/>
        <color rgb="FFFFEB84"/>
        <color rgb="FF63BE7B"/>
      </colorScale>
    </cfRule>
    <cfRule type="colorScale" priority="245">
      <colorScale>
        <cfvo type="num" val="-0.1"/>
        <cfvo type="num" val="0"/>
        <cfvo type="num" val="0.1"/>
        <color rgb="FFF8696B"/>
        <color rgb="FFFFEB84"/>
        <color rgb="FF63BE7B"/>
      </colorScale>
    </cfRule>
    <cfRule type="colorScale" priority="244">
      <colorScale>
        <cfvo type="num" val="-0.1"/>
        <cfvo type="num" val="0"/>
        <cfvo type="num" val="0.1"/>
        <color rgb="FFF8696B"/>
        <color rgb="FFFFEB84"/>
        <color rgb="FF63BE7B"/>
      </colorScale>
    </cfRule>
  </conditionalFormatting>
  <conditionalFormatting sqref="Q97">
    <cfRule type="colorScale" priority="95">
      <colorScale>
        <cfvo type="num" val="-0.1"/>
        <cfvo type="num" val="0"/>
        <cfvo type="num" val="0.1"/>
        <color rgb="FFF8696B"/>
        <color rgb="FFFFEB84"/>
        <color rgb="FF63BE7B"/>
      </colorScale>
    </cfRule>
  </conditionalFormatting>
  <conditionalFormatting sqref="Q98">
    <cfRule type="colorScale" priority="90">
      <colorScale>
        <cfvo type="num" val="-0.1"/>
        <cfvo type="num" val="0"/>
        <cfvo type="num" val="0.1"/>
        <color rgb="FFF8696B"/>
        <color rgb="FFFFEB84"/>
        <color rgb="FF63BE7B"/>
      </colorScale>
    </cfRule>
    <cfRule type="colorScale" priority="91">
      <colorScale>
        <cfvo type="num" val="-0.1"/>
        <cfvo type="num" val="0"/>
        <cfvo type="num" val="0.1"/>
        <color rgb="FFF8696B"/>
        <color rgb="FFFFEB84"/>
        <color rgb="FF63BE7B"/>
      </colorScale>
    </cfRule>
  </conditionalFormatting>
  <conditionalFormatting sqref="Q99">
    <cfRule type="colorScale" priority="93">
      <colorScale>
        <cfvo type="num" val="-0.1"/>
        <cfvo type="num" val="0"/>
        <cfvo type="num" val="0.1"/>
        <color rgb="FFF8696B"/>
        <color rgb="FFFFEB84"/>
        <color rgb="FF63BE7B"/>
      </colorScale>
    </cfRule>
    <cfRule type="colorScale" priority="94">
      <colorScale>
        <cfvo type="num" val="-0.1"/>
        <cfvo type="num" val="0"/>
        <cfvo type="num" val="0.1"/>
        <color rgb="FFF8696B"/>
        <color rgb="FFFFEB84"/>
        <color rgb="FF63BE7B"/>
      </colorScale>
    </cfRule>
    <cfRule type="colorScale" priority="92">
      <colorScale>
        <cfvo type="num" val="-0.1"/>
        <cfvo type="num" val="0"/>
        <cfvo type="num" val="0.1"/>
        <color rgb="FFF8696B"/>
        <color rgb="FFFFEB84"/>
        <color rgb="FF63BE7B"/>
      </colorScale>
    </cfRule>
  </conditionalFormatting>
  <conditionalFormatting sqref="Q101">
    <cfRule type="colorScale" priority="234">
      <colorScale>
        <cfvo type="num" val="-0.1"/>
        <cfvo type="num" val="0"/>
        <cfvo type="num" val="0.1"/>
        <color rgb="FFF8696B"/>
        <color rgb="FFFFEB84"/>
        <color rgb="FF63BE7B"/>
      </colorScale>
    </cfRule>
    <cfRule type="colorScale" priority="235">
      <colorScale>
        <cfvo type="num" val="-0.1"/>
        <cfvo type="num" val="0"/>
        <cfvo type="num" val="0.1"/>
        <color rgb="FFF8696B"/>
        <color rgb="FFFFEB84"/>
        <color rgb="FF63BE7B"/>
      </colorScale>
    </cfRule>
  </conditionalFormatting>
  <conditionalFormatting sqref="Q100 Q102">
    <cfRule type="colorScale" priority="257">
      <colorScale>
        <cfvo type="num" val="-0.1"/>
        <cfvo type="num" val="0"/>
        <cfvo type="num" val="0.1"/>
        <color rgb="FFF8696B"/>
        <color rgb="FFFFEB84"/>
        <color rgb="FF63BE7B"/>
      </colorScale>
    </cfRule>
  </conditionalFormatting>
  <conditionalFormatting sqref="Q100 Q102:Q103">
    <cfRule type="colorScale" priority="258">
      <colorScale>
        <cfvo type="num" val="-0.1"/>
        <cfvo type="num" val="0"/>
        <cfvo type="num" val="0.1"/>
        <color rgb="FFF8696B"/>
        <color rgb="FFFFEB84"/>
        <color rgb="FF63BE7B"/>
      </colorScale>
    </cfRule>
  </conditionalFormatting>
  <conditionalFormatting sqref="Q103">
    <cfRule type="colorScale" priority="256">
      <colorScale>
        <cfvo type="num" val="-0.1"/>
        <cfvo type="num" val="0"/>
        <cfvo type="num" val="0.1"/>
        <color rgb="FFF8696B"/>
        <color rgb="FFFFEB84"/>
        <color rgb="FF63BE7B"/>
      </colorScale>
    </cfRule>
  </conditionalFormatting>
  <conditionalFormatting sqref="Q104:Q106">
    <cfRule type="colorScale" priority="252">
      <colorScale>
        <cfvo type="num" val="-0.1"/>
        <cfvo type="num" val="0"/>
        <cfvo type="num" val="0.1"/>
        <color rgb="FFF8696B"/>
        <color rgb="FFFFEB84"/>
        <color rgb="FF63BE7B"/>
      </colorScale>
    </cfRule>
    <cfRule type="colorScale" priority="251">
      <colorScale>
        <cfvo type="num" val="-0.1"/>
        <cfvo type="num" val="0"/>
        <cfvo type="num" val="0.1"/>
        <color rgb="FFF8696B"/>
        <color rgb="FFFFEB84"/>
        <color rgb="FF63BE7B"/>
      </colorScale>
    </cfRule>
    <cfRule type="colorScale" priority="250">
      <colorScale>
        <cfvo type="num" val="-0.1"/>
        <cfvo type="num" val="0"/>
        <cfvo type="num" val="0.1"/>
        <color rgb="FFF8696B"/>
        <color rgb="FFFFEB84"/>
        <color rgb="FF63BE7B"/>
      </colorScale>
    </cfRule>
  </conditionalFormatting>
  <conditionalFormatting sqref="Q105">
    <cfRule type="colorScale" priority="278">
      <colorScale>
        <cfvo type="num" val="-0.1"/>
        <cfvo type="num" val="0"/>
        <cfvo type="num" val="0.1"/>
        <color rgb="FFF8696B"/>
        <color rgb="FFFFEB84"/>
        <color rgb="FF63BE7B"/>
      </colorScale>
    </cfRule>
  </conditionalFormatting>
  <conditionalFormatting sqref="Q106">
    <cfRule type="colorScale" priority="271">
      <colorScale>
        <cfvo type="num" val="-0.1"/>
        <cfvo type="num" val="0"/>
        <cfvo type="num" val="0.1"/>
        <color rgb="FFF8696B"/>
        <color rgb="FFFFEB84"/>
        <color rgb="FF63BE7B"/>
      </colorScale>
    </cfRule>
    <cfRule type="colorScale" priority="270">
      <colorScale>
        <cfvo type="num" val="-0.1"/>
        <cfvo type="num" val="0"/>
        <cfvo type="num" val="0.1"/>
        <color rgb="FFF8696B"/>
        <color rgb="FFFFEB84"/>
        <color rgb="FF63BE7B"/>
      </colorScale>
    </cfRule>
    <cfRule type="colorScale" priority="269">
      <colorScale>
        <cfvo type="num" val="-0.1"/>
        <cfvo type="num" val="0"/>
        <cfvo type="num" val="0.1"/>
        <color rgb="FFF8696B"/>
        <color rgb="FFFFEB84"/>
        <color rgb="FF63BE7B"/>
      </colorScale>
    </cfRule>
  </conditionalFormatting>
  <conditionalFormatting sqref="Q108">
    <cfRule type="colorScale" priority="232">
      <colorScale>
        <cfvo type="num" val="-0.1"/>
        <cfvo type="num" val="0"/>
        <cfvo type="num" val="0.1"/>
        <color rgb="FFF8696B"/>
        <color rgb="FFFFEB84"/>
        <color rgb="FF63BE7B"/>
      </colorScale>
    </cfRule>
    <cfRule type="colorScale" priority="233">
      <colorScale>
        <cfvo type="num" val="-0.1"/>
        <cfvo type="num" val="0"/>
        <cfvo type="num" val="0.1"/>
        <color rgb="FFF8696B"/>
        <color rgb="FFFFEB84"/>
        <color rgb="FF63BE7B"/>
      </colorScale>
    </cfRule>
  </conditionalFormatting>
  <conditionalFormatting sqref="Q107 Q109">
    <cfRule type="colorScale" priority="276">
      <colorScale>
        <cfvo type="num" val="-0.1"/>
        <cfvo type="num" val="0"/>
        <cfvo type="num" val="0.1"/>
        <color rgb="FFF8696B"/>
        <color rgb="FFFFEB84"/>
        <color rgb="FF63BE7B"/>
      </colorScale>
    </cfRule>
  </conditionalFormatting>
  <conditionalFormatting sqref="Q107 Q109:Q110">
    <cfRule type="colorScale" priority="277">
      <colorScale>
        <cfvo type="num" val="-0.1"/>
        <cfvo type="num" val="0"/>
        <cfvo type="num" val="0.1"/>
        <color rgb="FFF8696B"/>
        <color rgb="FFFFEB84"/>
        <color rgb="FF63BE7B"/>
      </colorScale>
    </cfRule>
  </conditionalFormatting>
  <conditionalFormatting sqref="Q110">
    <cfRule type="colorScale" priority="275">
      <colorScale>
        <cfvo type="num" val="-0.1"/>
        <cfvo type="num" val="0"/>
        <cfvo type="num" val="0.1"/>
        <color rgb="FFF8696B"/>
        <color rgb="FFFFEB84"/>
        <color rgb="FF63BE7B"/>
      </colorScale>
    </cfRule>
  </conditionalFormatting>
  <conditionalFormatting sqref="Q111:Q112 Q114">
    <cfRule type="colorScale" priority="274">
      <colorScale>
        <cfvo type="num" val="-0.1"/>
        <cfvo type="num" val="0"/>
        <cfvo type="num" val="0.1"/>
        <color rgb="FFF8696B"/>
        <color rgb="FFFFEB84"/>
        <color rgb="FF63BE7B"/>
      </colorScale>
    </cfRule>
    <cfRule type="colorScale" priority="273">
      <colorScale>
        <cfvo type="num" val="-0.1"/>
        <cfvo type="num" val="0"/>
        <cfvo type="num" val="0.1"/>
        <color rgb="FFF8696B"/>
        <color rgb="FFFFEB84"/>
        <color rgb="FF63BE7B"/>
      </colorScale>
    </cfRule>
    <cfRule type="colorScale" priority="272">
      <colorScale>
        <cfvo type="num" val="-0.1"/>
        <cfvo type="num" val="0"/>
        <cfvo type="num" val="0.1"/>
        <color rgb="FFF8696B"/>
        <color rgb="FFFFEB84"/>
        <color rgb="FF63BE7B"/>
      </colorScale>
    </cfRule>
  </conditionalFormatting>
  <conditionalFormatting sqref="Q112">
    <cfRule type="colorScale" priority="288">
      <colorScale>
        <cfvo type="num" val="-0.1"/>
        <cfvo type="num" val="0"/>
        <cfvo type="num" val="0.1"/>
        <color rgb="FFF8696B"/>
        <color rgb="FFFFEB84"/>
        <color rgb="FF63BE7B"/>
      </colorScale>
    </cfRule>
  </conditionalFormatting>
  <conditionalFormatting sqref="Q113">
    <cfRule type="colorScale" priority="89">
      <colorScale>
        <cfvo type="num" val="-0.1"/>
        <cfvo type="num" val="0"/>
        <cfvo type="num" val="0.1"/>
        <color rgb="FFF8696B"/>
        <color rgb="FFFFEB84"/>
        <color rgb="FF63BE7B"/>
      </colorScale>
    </cfRule>
    <cfRule type="colorScale" priority="88">
      <colorScale>
        <cfvo type="num" val="-0.1"/>
        <cfvo type="num" val="0"/>
        <cfvo type="num" val="0.1"/>
        <color rgb="FFF8696B"/>
        <color rgb="FFFFEB84"/>
        <color rgb="FF63BE7B"/>
      </colorScale>
    </cfRule>
  </conditionalFormatting>
  <conditionalFormatting sqref="Q114">
    <cfRule type="colorScale" priority="280">
      <colorScale>
        <cfvo type="num" val="-0.1"/>
        <cfvo type="num" val="0"/>
        <cfvo type="num" val="0.1"/>
        <color rgb="FFF8696B"/>
        <color rgb="FFFFEB84"/>
        <color rgb="FF63BE7B"/>
      </colorScale>
    </cfRule>
    <cfRule type="colorScale" priority="279">
      <colorScale>
        <cfvo type="num" val="-0.1"/>
        <cfvo type="num" val="0"/>
        <cfvo type="num" val="0.1"/>
        <color rgb="FFF8696B"/>
        <color rgb="FFFFEB84"/>
        <color rgb="FF63BE7B"/>
      </colorScale>
    </cfRule>
    <cfRule type="colorScale" priority="281">
      <colorScale>
        <cfvo type="num" val="-0.1"/>
        <cfvo type="num" val="0"/>
        <cfvo type="num" val="0.1"/>
        <color rgb="FFF8696B"/>
        <color rgb="FFFFEB84"/>
        <color rgb="FF63BE7B"/>
      </colorScale>
    </cfRule>
  </conditionalFormatting>
  <conditionalFormatting sqref="Q116">
    <cfRule type="colorScale" priority="230">
      <colorScale>
        <cfvo type="num" val="-0.1"/>
        <cfvo type="num" val="0"/>
        <cfvo type="num" val="0.1"/>
        <color rgb="FFF8696B"/>
        <color rgb="FFFFEB84"/>
        <color rgb="FF63BE7B"/>
      </colorScale>
    </cfRule>
    <cfRule type="colorScale" priority="231">
      <colorScale>
        <cfvo type="num" val="-0.1"/>
        <cfvo type="num" val="0"/>
        <cfvo type="num" val="0.1"/>
        <color rgb="FFF8696B"/>
        <color rgb="FFFFEB84"/>
        <color rgb="FF63BE7B"/>
      </colorScale>
    </cfRule>
  </conditionalFormatting>
  <conditionalFormatting sqref="Q115 Q117">
    <cfRule type="colorScale" priority="286">
      <colorScale>
        <cfvo type="num" val="-0.1"/>
        <cfvo type="num" val="0"/>
        <cfvo type="num" val="0.1"/>
        <color rgb="FFF8696B"/>
        <color rgb="FFFFEB84"/>
        <color rgb="FF63BE7B"/>
      </colorScale>
    </cfRule>
  </conditionalFormatting>
  <conditionalFormatting sqref="Q115 Q117:Q118">
    <cfRule type="colorScale" priority="287">
      <colorScale>
        <cfvo type="num" val="-0.1"/>
        <cfvo type="num" val="0"/>
        <cfvo type="num" val="0.1"/>
        <color rgb="FFF8696B"/>
        <color rgb="FFFFEB84"/>
        <color rgb="FF63BE7B"/>
      </colorScale>
    </cfRule>
  </conditionalFormatting>
  <conditionalFormatting sqref="Q118">
    <cfRule type="colorScale" priority="285">
      <colorScale>
        <cfvo type="num" val="-0.1"/>
        <cfvo type="num" val="0"/>
        <cfvo type="num" val="0.1"/>
        <color rgb="FFF8696B"/>
        <color rgb="FFFFEB84"/>
        <color rgb="FF63BE7B"/>
      </colorScale>
    </cfRule>
  </conditionalFormatting>
  <conditionalFormatting sqref="Q119">
    <cfRule type="colorScale" priority="284">
      <colorScale>
        <cfvo type="num" val="-0.1"/>
        <cfvo type="num" val="0"/>
        <cfvo type="num" val="0.1"/>
        <color rgb="FFF8696B"/>
        <color rgb="FFFFEB84"/>
        <color rgb="FF63BE7B"/>
      </colorScale>
    </cfRule>
    <cfRule type="colorScale" priority="283">
      <colorScale>
        <cfvo type="num" val="-0.1"/>
        <cfvo type="num" val="0"/>
        <cfvo type="num" val="0.1"/>
        <color rgb="FFF8696B"/>
        <color rgb="FFFFEB84"/>
        <color rgb="FF63BE7B"/>
      </colorScale>
    </cfRule>
    <cfRule type="colorScale" priority="282">
      <colorScale>
        <cfvo type="num" val="-0.1"/>
        <cfvo type="num" val="0"/>
        <cfvo type="num" val="0.1"/>
        <color rgb="FFF8696B"/>
        <color rgb="FFFFEB84"/>
        <color rgb="FF63BE7B"/>
      </colorScale>
    </cfRule>
  </conditionalFormatting>
  <conditionalFormatting sqref="Q120">
    <cfRule type="colorScale" priority="87">
      <colorScale>
        <cfvo type="num" val="-0.1"/>
        <cfvo type="num" val="0"/>
        <cfvo type="num" val="0.1"/>
        <color rgb="FFF8696B"/>
        <color rgb="FFFFEB84"/>
        <color rgb="FF63BE7B"/>
      </colorScale>
    </cfRule>
  </conditionalFormatting>
  <conditionalFormatting sqref="Q120:Q121">
    <cfRule type="colorScale" priority="81">
      <colorScale>
        <cfvo type="num" val="-0.1"/>
        <cfvo type="num" val="0"/>
        <cfvo type="num" val="0.1"/>
        <color rgb="FFF8696B"/>
        <color rgb="FFFFEB84"/>
        <color rgb="FF63BE7B"/>
      </colorScale>
    </cfRule>
    <cfRule type="colorScale" priority="82">
      <colorScale>
        <cfvo type="num" val="-0.1"/>
        <cfvo type="num" val="0"/>
        <cfvo type="num" val="0.1"/>
        <color rgb="FFF8696B"/>
        <color rgb="FFFFEB84"/>
        <color rgb="FF63BE7B"/>
      </colorScale>
    </cfRule>
    <cfRule type="colorScale" priority="83">
      <colorScale>
        <cfvo type="num" val="-0.1"/>
        <cfvo type="num" val="0"/>
        <cfvo type="num" val="0.1"/>
        <color rgb="FFF8696B"/>
        <color rgb="FFFFEB84"/>
        <color rgb="FF63BE7B"/>
      </colorScale>
    </cfRule>
  </conditionalFormatting>
  <conditionalFormatting sqref="Q121">
    <cfRule type="colorScale" priority="84">
      <colorScale>
        <cfvo type="num" val="-0.1"/>
        <cfvo type="num" val="0"/>
        <cfvo type="num" val="0.1"/>
        <color rgb="FFF8696B"/>
        <color rgb="FFFFEB84"/>
        <color rgb="FF63BE7B"/>
      </colorScale>
    </cfRule>
    <cfRule type="colorScale" priority="85">
      <colorScale>
        <cfvo type="num" val="-0.1"/>
        <cfvo type="num" val="0"/>
        <cfvo type="num" val="0.1"/>
        <color rgb="FFF8696B"/>
        <color rgb="FFFFEB84"/>
        <color rgb="FF63BE7B"/>
      </colorScale>
    </cfRule>
    <cfRule type="colorScale" priority="86">
      <colorScale>
        <cfvo type="num" val="-0.1"/>
        <cfvo type="num" val="0"/>
        <cfvo type="num" val="0.1"/>
        <color rgb="FFF8696B"/>
        <color rgb="FFFFEB84"/>
        <color rgb="FF63BE7B"/>
      </colorScale>
    </cfRule>
  </conditionalFormatting>
  <conditionalFormatting sqref="Q123">
    <cfRule type="colorScale" priority="229">
      <colorScale>
        <cfvo type="num" val="-0.1"/>
        <cfvo type="num" val="0"/>
        <cfvo type="num" val="0.1"/>
        <color rgb="FFF8696B"/>
        <color rgb="FFFFEB84"/>
        <color rgb="FF63BE7B"/>
      </colorScale>
    </cfRule>
    <cfRule type="colorScale" priority="228">
      <colorScale>
        <cfvo type="num" val="-0.1"/>
        <cfvo type="num" val="0"/>
        <cfvo type="num" val="0.1"/>
        <color rgb="FFF8696B"/>
        <color rgb="FFFFEB84"/>
        <color rgb="FF63BE7B"/>
      </colorScale>
    </cfRule>
  </conditionalFormatting>
  <conditionalFormatting sqref="Q122 Q124">
    <cfRule type="colorScale" priority="293">
      <colorScale>
        <cfvo type="num" val="-0.1"/>
        <cfvo type="num" val="0"/>
        <cfvo type="num" val="0.1"/>
        <color rgb="FFF8696B"/>
        <color rgb="FFFFEB84"/>
        <color rgb="FF63BE7B"/>
      </colorScale>
    </cfRule>
  </conditionalFormatting>
  <conditionalFormatting sqref="Q122 Q124:Q125">
    <cfRule type="colorScale" priority="294">
      <colorScale>
        <cfvo type="num" val="-0.1"/>
        <cfvo type="num" val="0"/>
        <cfvo type="num" val="0.1"/>
        <color rgb="FFF8696B"/>
        <color rgb="FFFFEB84"/>
        <color rgb="FF63BE7B"/>
      </colorScale>
    </cfRule>
  </conditionalFormatting>
  <conditionalFormatting sqref="Q125">
    <cfRule type="colorScale" priority="292">
      <colorScale>
        <cfvo type="num" val="-0.1"/>
        <cfvo type="num" val="0"/>
        <cfvo type="num" val="0.1"/>
        <color rgb="FFF8696B"/>
        <color rgb="FFFFEB84"/>
        <color rgb="FF63BE7B"/>
      </colorScale>
    </cfRule>
  </conditionalFormatting>
  <conditionalFormatting sqref="Q126">
    <cfRule type="colorScale" priority="289">
      <colorScale>
        <cfvo type="num" val="-0.1"/>
        <cfvo type="num" val="0"/>
        <cfvo type="num" val="0.1"/>
        <color rgb="FFF8696B"/>
        <color rgb="FFFFEB84"/>
        <color rgb="FF63BE7B"/>
      </colorScale>
    </cfRule>
    <cfRule type="colorScale" priority="290">
      <colorScale>
        <cfvo type="num" val="-0.1"/>
        <cfvo type="num" val="0"/>
        <cfvo type="num" val="0.1"/>
        <color rgb="FFF8696B"/>
        <color rgb="FFFFEB84"/>
        <color rgb="FF63BE7B"/>
      </colorScale>
    </cfRule>
    <cfRule type="colorScale" priority="291">
      <colorScale>
        <cfvo type="num" val="-0.1"/>
        <cfvo type="num" val="0"/>
        <cfvo type="num" val="0.1"/>
        <color rgb="FFF8696B"/>
        <color rgb="FFFFEB84"/>
        <color rgb="FF63BE7B"/>
      </colorScale>
    </cfRule>
  </conditionalFormatting>
  <conditionalFormatting sqref="Q127">
    <cfRule type="colorScale" priority="298">
      <colorScale>
        <cfvo type="num" val="-0.1"/>
        <cfvo type="num" val="0"/>
        <cfvo type="num" val="0.1"/>
        <color rgb="FFF8696B"/>
        <color rgb="FFFFEB84"/>
        <color rgb="FF63BE7B"/>
      </colorScale>
    </cfRule>
  </conditionalFormatting>
  <conditionalFormatting sqref="Q128">
    <cfRule type="colorScale" priority="78">
      <colorScale>
        <cfvo type="num" val="-0.1"/>
        <cfvo type="num" val="0"/>
        <cfvo type="num" val="0.1"/>
        <color rgb="FFF8696B"/>
        <color rgb="FFFFEB84"/>
        <color rgb="FF63BE7B"/>
      </colorScale>
    </cfRule>
    <cfRule type="colorScale" priority="77">
      <colorScale>
        <cfvo type="num" val="-0.1"/>
        <cfvo type="num" val="0"/>
        <cfvo type="num" val="0.1"/>
        <color rgb="FFF8696B"/>
        <color rgb="FFFFEB84"/>
        <color rgb="FF63BE7B"/>
      </colorScale>
    </cfRule>
  </conditionalFormatting>
  <conditionalFormatting sqref="Q129">
    <cfRule type="colorScale" priority="295">
      <colorScale>
        <cfvo type="num" val="-0.1"/>
        <cfvo type="num" val="0"/>
        <cfvo type="num" val="0.1"/>
        <color rgb="FFF8696B"/>
        <color rgb="FFFFEB84"/>
        <color rgb="FF63BE7B"/>
      </colorScale>
    </cfRule>
    <cfRule type="colorScale" priority="296">
      <colorScale>
        <cfvo type="num" val="-0.1"/>
        <cfvo type="num" val="0"/>
        <cfvo type="num" val="0.1"/>
        <color rgb="FFF8696B"/>
        <color rgb="FFFFEB84"/>
        <color rgb="FF63BE7B"/>
      </colorScale>
    </cfRule>
    <cfRule type="colorScale" priority="297">
      <colorScale>
        <cfvo type="num" val="-0.1"/>
        <cfvo type="num" val="0"/>
        <cfvo type="num" val="0.1"/>
        <color rgb="FFF8696B"/>
        <color rgb="FFFFEB84"/>
        <color rgb="FF63BE7B"/>
      </colorScale>
    </cfRule>
  </conditionalFormatting>
  <conditionalFormatting sqref="Q131">
    <cfRule type="colorScale" priority="227">
      <colorScale>
        <cfvo type="num" val="-0.1"/>
        <cfvo type="num" val="0"/>
        <cfvo type="num" val="0.1"/>
        <color rgb="FFF8696B"/>
        <color rgb="FFFFEB84"/>
        <color rgb="FF63BE7B"/>
      </colorScale>
    </cfRule>
    <cfRule type="colorScale" priority="226">
      <colorScale>
        <cfvo type="num" val="-0.1"/>
        <cfvo type="num" val="0"/>
        <cfvo type="num" val="0.1"/>
        <color rgb="FFF8696B"/>
        <color rgb="FFFFEB84"/>
        <color rgb="FF63BE7B"/>
      </colorScale>
    </cfRule>
  </conditionalFormatting>
  <conditionalFormatting sqref="Q130 Q132">
    <cfRule type="colorScale" priority="300">
      <colorScale>
        <cfvo type="num" val="-0.1"/>
        <cfvo type="num" val="0"/>
        <cfvo type="num" val="0.1"/>
        <color rgb="FFF8696B"/>
        <color rgb="FFFFEB84"/>
        <color rgb="FF63BE7B"/>
      </colorScale>
    </cfRule>
  </conditionalFormatting>
  <conditionalFormatting sqref="Q130 Q132:Q134">
    <cfRule type="colorScale" priority="302">
      <colorScale>
        <cfvo type="num" val="-0.1"/>
        <cfvo type="num" val="0"/>
        <cfvo type="num" val="0.1"/>
        <color rgb="FFF8696B"/>
        <color rgb="FFFFEB84"/>
        <color rgb="FF63BE7B"/>
      </colorScale>
    </cfRule>
  </conditionalFormatting>
  <conditionalFormatting sqref="Q133">
    <cfRule type="colorScale" priority="299">
      <colorScale>
        <cfvo type="num" val="-0.1"/>
        <cfvo type="num" val="0"/>
        <cfvo type="num" val="0.1"/>
        <color rgb="FFF8696B"/>
        <color rgb="FFFFEB84"/>
        <color rgb="FF63BE7B"/>
      </colorScale>
    </cfRule>
  </conditionalFormatting>
  <conditionalFormatting sqref="Q134">
    <cfRule type="colorScale" priority="303">
      <colorScale>
        <cfvo type="num" val="-0.1"/>
        <cfvo type="num" val="0"/>
        <cfvo type="num" val="0.1"/>
        <color rgb="FFF8696B"/>
        <color rgb="FFFFEB84"/>
        <color rgb="FF63BE7B"/>
      </colorScale>
    </cfRule>
    <cfRule type="colorScale" priority="301">
      <colorScale>
        <cfvo type="num" val="-0.1"/>
        <cfvo type="num" val="0"/>
        <cfvo type="num" val="0.1"/>
        <color rgb="FFF8696B"/>
        <color rgb="FFFFEB84"/>
        <color rgb="FF63BE7B"/>
      </colorScale>
    </cfRule>
  </conditionalFormatting>
  <conditionalFormatting sqref="Q135">
    <cfRule type="colorScale" priority="307">
      <colorScale>
        <cfvo type="num" val="-0.1"/>
        <cfvo type="num" val="0"/>
        <cfvo type="num" val="0.1"/>
        <color rgb="FFF8696B"/>
        <color rgb="FFFFEB84"/>
        <color rgb="FF63BE7B"/>
      </colorScale>
    </cfRule>
  </conditionalFormatting>
  <conditionalFormatting sqref="Q136">
    <cfRule type="colorScale" priority="304">
      <colorScale>
        <cfvo type="num" val="-0.1"/>
        <cfvo type="num" val="0"/>
        <cfvo type="num" val="0.1"/>
        <color rgb="FFF8696B"/>
        <color rgb="FFFFEB84"/>
        <color rgb="FF63BE7B"/>
      </colorScale>
    </cfRule>
    <cfRule type="colorScale" priority="305">
      <colorScale>
        <cfvo type="num" val="-0.1"/>
        <cfvo type="num" val="0"/>
        <cfvo type="num" val="0.1"/>
        <color rgb="FFF8696B"/>
        <color rgb="FFFFEB84"/>
        <color rgb="FF63BE7B"/>
      </colorScale>
    </cfRule>
    <cfRule type="colorScale" priority="306">
      <colorScale>
        <cfvo type="num" val="-0.1"/>
        <cfvo type="num" val="0"/>
        <cfvo type="num" val="0.1"/>
        <color rgb="FFF8696B"/>
        <color rgb="FFFFEB84"/>
        <color rgb="FF63BE7B"/>
      </colorScale>
    </cfRule>
  </conditionalFormatting>
  <conditionalFormatting sqref="Q138">
    <cfRule type="colorScale" priority="224">
      <colorScale>
        <cfvo type="num" val="-0.1"/>
        <cfvo type="num" val="0"/>
        <cfvo type="num" val="0.1"/>
        <color rgb="FFF8696B"/>
        <color rgb="FFFFEB84"/>
        <color rgb="FF63BE7B"/>
      </colorScale>
    </cfRule>
    <cfRule type="colorScale" priority="225">
      <colorScale>
        <cfvo type="num" val="-0.1"/>
        <cfvo type="num" val="0"/>
        <cfvo type="num" val="0.1"/>
        <color rgb="FFF8696B"/>
        <color rgb="FFFFEB84"/>
        <color rgb="FF63BE7B"/>
      </colorScale>
    </cfRule>
  </conditionalFormatting>
  <conditionalFormatting sqref="Q137 Q139">
    <cfRule type="colorScale" priority="309">
      <colorScale>
        <cfvo type="num" val="-0.1"/>
        <cfvo type="num" val="0"/>
        <cfvo type="num" val="0.1"/>
        <color rgb="FFF8696B"/>
        <color rgb="FFFFEB84"/>
        <color rgb="FF63BE7B"/>
      </colorScale>
    </cfRule>
  </conditionalFormatting>
  <conditionalFormatting sqref="Q137 Q139:Q140">
    <cfRule type="colorScale" priority="311">
      <colorScale>
        <cfvo type="num" val="-0.1"/>
        <cfvo type="num" val="0"/>
        <cfvo type="num" val="0.1"/>
        <color rgb="FFF8696B"/>
        <color rgb="FFFFEB84"/>
        <color rgb="FF63BE7B"/>
      </colorScale>
    </cfRule>
  </conditionalFormatting>
  <conditionalFormatting sqref="Q140">
    <cfRule type="colorScale" priority="308">
      <colorScale>
        <cfvo type="num" val="-0.1"/>
        <cfvo type="num" val="0"/>
        <cfvo type="num" val="0.1"/>
        <color rgb="FFF8696B"/>
        <color rgb="FFFFEB84"/>
        <color rgb="FF63BE7B"/>
      </colorScale>
    </cfRule>
  </conditionalFormatting>
  <conditionalFormatting sqref="Q141">
    <cfRule type="colorScale" priority="314">
      <colorScale>
        <cfvo type="num" val="-0.1"/>
        <cfvo type="num" val="0"/>
        <cfvo type="num" val="0.1"/>
        <color rgb="FFF8696B"/>
        <color rgb="FFFFEB84"/>
        <color rgb="FF63BE7B"/>
      </colorScale>
    </cfRule>
    <cfRule type="colorScale" priority="315">
      <colorScale>
        <cfvo type="num" val="-0.1"/>
        <cfvo type="num" val="0"/>
        <cfvo type="num" val="0.1"/>
        <color rgb="FFF8696B"/>
        <color rgb="FFFFEB84"/>
        <color rgb="FF63BE7B"/>
      </colorScale>
    </cfRule>
    <cfRule type="colorScale" priority="313">
      <colorScale>
        <cfvo type="num" val="-0.1"/>
        <cfvo type="num" val="0"/>
        <cfvo type="num" val="0.1"/>
        <color rgb="FFF8696B"/>
        <color rgb="FFFFEB84"/>
        <color rgb="FF63BE7B"/>
      </colorScale>
    </cfRule>
  </conditionalFormatting>
  <conditionalFormatting sqref="Q143">
    <cfRule type="colorScale" priority="222">
      <colorScale>
        <cfvo type="num" val="-0.1"/>
        <cfvo type="num" val="0"/>
        <cfvo type="num" val="0.1"/>
        <color rgb="FFF8696B"/>
        <color rgb="FFFFEB84"/>
        <color rgb="FF63BE7B"/>
      </colorScale>
    </cfRule>
    <cfRule type="colorScale" priority="223">
      <colorScale>
        <cfvo type="num" val="-0.1"/>
        <cfvo type="num" val="0"/>
        <cfvo type="num" val="0.1"/>
        <color rgb="FFF8696B"/>
        <color rgb="FFFFEB84"/>
        <color rgb="FF63BE7B"/>
      </colorScale>
    </cfRule>
  </conditionalFormatting>
  <conditionalFormatting sqref="Q142 Q144">
    <cfRule type="colorScale" priority="322">
      <colorScale>
        <cfvo type="num" val="-0.1"/>
        <cfvo type="num" val="0"/>
        <cfvo type="num" val="0.1"/>
        <color rgb="FFF8696B"/>
        <color rgb="FFFFEB84"/>
        <color rgb="FF63BE7B"/>
      </colorScale>
    </cfRule>
  </conditionalFormatting>
  <conditionalFormatting sqref="Q142 Q144:Q146">
    <cfRule type="colorScale" priority="324">
      <colorScale>
        <cfvo type="num" val="-0.1"/>
        <cfvo type="num" val="0"/>
        <cfvo type="num" val="0.1"/>
        <color rgb="FFF8696B"/>
        <color rgb="FFFFEB84"/>
        <color rgb="FF63BE7B"/>
      </colorScale>
    </cfRule>
  </conditionalFormatting>
  <conditionalFormatting sqref="Q145">
    <cfRule type="colorScale" priority="321">
      <colorScale>
        <cfvo type="num" val="-0.1"/>
        <cfvo type="num" val="0"/>
        <cfvo type="num" val="0.1"/>
        <color rgb="FFF8696B"/>
        <color rgb="FFFFEB84"/>
        <color rgb="FF63BE7B"/>
      </colorScale>
    </cfRule>
  </conditionalFormatting>
  <conditionalFormatting sqref="Q146">
    <cfRule type="colorScale" priority="325">
      <colorScale>
        <cfvo type="num" val="-0.1"/>
        <cfvo type="num" val="0"/>
        <cfvo type="num" val="0.1"/>
        <color rgb="FFF8696B"/>
        <color rgb="FFFFEB84"/>
        <color rgb="FF63BE7B"/>
      </colorScale>
    </cfRule>
    <cfRule type="colorScale" priority="323">
      <colorScale>
        <cfvo type="num" val="-0.1"/>
        <cfvo type="num" val="0"/>
        <cfvo type="num" val="0.1"/>
        <color rgb="FFF8696B"/>
        <color rgb="FFFFEB84"/>
        <color rgb="FF63BE7B"/>
      </colorScale>
    </cfRule>
  </conditionalFormatting>
  <conditionalFormatting sqref="Q147">
    <cfRule type="colorScale" priority="329">
      <colorScale>
        <cfvo type="num" val="-0.1"/>
        <cfvo type="num" val="0"/>
        <cfvo type="num" val="0.1"/>
        <color rgb="FFF8696B"/>
        <color rgb="FFFFEB84"/>
        <color rgb="FF63BE7B"/>
      </colorScale>
    </cfRule>
  </conditionalFormatting>
  <conditionalFormatting sqref="Q148">
    <cfRule type="colorScale" priority="326">
      <colorScale>
        <cfvo type="num" val="-0.1"/>
        <cfvo type="num" val="0"/>
        <cfvo type="num" val="0.1"/>
        <color rgb="FFF8696B"/>
        <color rgb="FFFFEB84"/>
        <color rgb="FF63BE7B"/>
      </colorScale>
    </cfRule>
    <cfRule type="colorScale" priority="327">
      <colorScale>
        <cfvo type="num" val="-0.1"/>
        <cfvo type="num" val="0"/>
        <cfvo type="num" val="0.1"/>
        <color rgb="FFF8696B"/>
        <color rgb="FFFFEB84"/>
        <color rgb="FF63BE7B"/>
      </colorScale>
    </cfRule>
    <cfRule type="colorScale" priority="328">
      <colorScale>
        <cfvo type="num" val="-0.1"/>
        <cfvo type="num" val="0"/>
        <cfvo type="num" val="0.1"/>
        <color rgb="FFF8696B"/>
        <color rgb="FFFFEB84"/>
        <color rgb="FF63BE7B"/>
      </colorScale>
    </cfRule>
  </conditionalFormatting>
  <conditionalFormatting sqref="Q150">
    <cfRule type="colorScale" priority="221">
      <colorScale>
        <cfvo type="num" val="-0.1"/>
        <cfvo type="num" val="0"/>
        <cfvo type="num" val="0.1"/>
        <color rgb="FFF8696B"/>
        <color rgb="FFFFEB84"/>
        <color rgb="FF63BE7B"/>
      </colorScale>
    </cfRule>
    <cfRule type="colorScale" priority="220">
      <colorScale>
        <cfvo type="num" val="-0.1"/>
        <cfvo type="num" val="0"/>
        <cfvo type="num" val="0.1"/>
        <color rgb="FFF8696B"/>
        <color rgb="FFFFEB84"/>
        <color rgb="FF63BE7B"/>
      </colorScale>
    </cfRule>
  </conditionalFormatting>
  <conditionalFormatting sqref="Q149 Q151">
    <cfRule type="colorScale" priority="331">
      <colorScale>
        <cfvo type="num" val="-0.1"/>
        <cfvo type="num" val="0"/>
        <cfvo type="num" val="0.1"/>
        <color rgb="FFF8696B"/>
        <color rgb="FFFFEB84"/>
        <color rgb="FF63BE7B"/>
      </colorScale>
    </cfRule>
  </conditionalFormatting>
  <conditionalFormatting sqref="Q149 Q151:Q153">
    <cfRule type="colorScale" priority="333">
      <colorScale>
        <cfvo type="num" val="-0.1"/>
        <cfvo type="num" val="0"/>
        <cfvo type="num" val="0.1"/>
        <color rgb="FFF8696B"/>
        <color rgb="FFFFEB84"/>
        <color rgb="FF63BE7B"/>
      </colorScale>
    </cfRule>
  </conditionalFormatting>
  <conditionalFormatting sqref="Q152">
    <cfRule type="colorScale" priority="330">
      <colorScale>
        <cfvo type="num" val="-0.1"/>
        <cfvo type="num" val="0"/>
        <cfvo type="num" val="0.1"/>
        <color rgb="FFF8696B"/>
        <color rgb="FFFFEB84"/>
        <color rgb="FF63BE7B"/>
      </colorScale>
    </cfRule>
  </conditionalFormatting>
  <conditionalFormatting sqref="Q153">
    <cfRule type="colorScale" priority="334">
      <colorScale>
        <cfvo type="num" val="-0.1"/>
        <cfvo type="num" val="0"/>
        <cfvo type="num" val="0.1"/>
        <color rgb="FFF8696B"/>
        <color rgb="FFFFEB84"/>
        <color rgb="FF63BE7B"/>
      </colorScale>
    </cfRule>
    <cfRule type="colorScale" priority="332">
      <colorScale>
        <cfvo type="num" val="-0.1"/>
        <cfvo type="num" val="0"/>
        <cfvo type="num" val="0.1"/>
        <color rgb="FFF8696B"/>
        <color rgb="FFFFEB84"/>
        <color rgb="FF63BE7B"/>
      </colorScale>
    </cfRule>
  </conditionalFormatting>
  <conditionalFormatting sqref="Q154">
    <cfRule type="colorScale" priority="338">
      <colorScale>
        <cfvo type="num" val="-0.1"/>
        <cfvo type="num" val="0"/>
        <cfvo type="num" val="0.1"/>
        <color rgb="FFF8696B"/>
        <color rgb="FFFFEB84"/>
        <color rgb="FF63BE7B"/>
      </colorScale>
    </cfRule>
  </conditionalFormatting>
  <conditionalFormatting sqref="Q155">
    <cfRule type="colorScale" priority="76">
      <colorScale>
        <cfvo type="num" val="-0.1"/>
        <cfvo type="num" val="0"/>
        <cfvo type="num" val="0.1"/>
        <color rgb="FFF8696B"/>
        <color rgb="FFFFEB84"/>
        <color rgb="FF63BE7B"/>
      </colorScale>
    </cfRule>
    <cfRule type="colorScale" priority="75">
      <colorScale>
        <cfvo type="num" val="-0.1"/>
        <cfvo type="num" val="0"/>
        <cfvo type="num" val="0.1"/>
        <color rgb="FFF8696B"/>
        <color rgb="FFFFEB84"/>
        <color rgb="FF63BE7B"/>
      </colorScale>
    </cfRule>
  </conditionalFormatting>
  <conditionalFormatting sqref="Q156">
    <cfRule type="colorScale" priority="336">
      <colorScale>
        <cfvo type="num" val="-0.1"/>
        <cfvo type="num" val="0"/>
        <cfvo type="num" val="0.1"/>
        <color rgb="FFF8696B"/>
        <color rgb="FFFFEB84"/>
        <color rgb="FF63BE7B"/>
      </colorScale>
    </cfRule>
    <cfRule type="colorScale" priority="337">
      <colorScale>
        <cfvo type="num" val="-0.1"/>
        <cfvo type="num" val="0"/>
        <cfvo type="num" val="0.1"/>
        <color rgb="FFF8696B"/>
        <color rgb="FFFFEB84"/>
        <color rgb="FF63BE7B"/>
      </colorScale>
    </cfRule>
    <cfRule type="colorScale" priority="335">
      <colorScale>
        <cfvo type="num" val="-0.1"/>
        <cfvo type="num" val="0"/>
        <cfvo type="num" val="0.1"/>
        <color rgb="FFF8696B"/>
        <color rgb="FFFFEB84"/>
        <color rgb="FF63BE7B"/>
      </colorScale>
    </cfRule>
  </conditionalFormatting>
  <conditionalFormatting sqref="Q158">
    <cfRule type="colorScale" priority="219">
      <colorScale>
        <cfvo type="num" val="-0.1"/>
        <cfvo type="num" val="0"/>
        <cfvo type="num" val="0.1"/>
        <color rgb="FFF8696B"/>
        <color rgb="FFFFEB84"/>
        <color rgb="FF63BE7B"/>
      </colorScale>
    </cfRule>
    <cfRule type="colorScale" priority="218">
      <colorScale>
        <cfvo type="num" val="-0.1"/>
        <cfvo type="num" val="0"/>
        <cfvo type="num" val="0.1"/>
        <color rgb="FFF8696B"/>
        <color rgb="FFFFEB84"/>
        <color rgb="FF63BE7B"/>
      </colorScale>
    </cfRule>
  </conditionalFormatting>
  <conditionalFormatting sqref="Q157 Q159">
    <cfRule type="colorScale" priority="340">
      <colorScale>
        <cfvo type="num" val="-0.1"/>
        <cfvo type="num" val="0"/>
        <cfvo type="num" val="0.1"/>
        <color rgb="FFF8696B"/>
        <color rgb="FFFFEB84"/>
        <color rgb="FF63BE7B"/>
      </colorScale>
    </cfRule>
  </conditionalFormatting>
  <conditionalFormatting sqref="Q157 Q159:Q161">
    <cfRule type="colorScale" priority="342">
      <colorScale>
        <cfvo type="num" val="-0.1"/>
        <cfvo type="num" val="0"/>
        <cfvo type="num" val="0.1"/>
        <color rgb="FFF8696B"/>
        <color rgb="FFFFEB84"/>
        <color rgb="FF63BE7B"/>
      </colorScale>
    </cfRule>
  </conditionalFormatting>
  <conditionalFormatting sqref="Q160">
    <cfRule type="colorScale" priority="339">
      <colorScale>
        <cfvo type="num" val="-0.1"/>
        <cfvo type="num" val="0"/>
        <cfvo type="num" val="0.1"/>
        <color rgb="FFF8696B"/>
        <color rgb="FFFFEB84"/>
        <color rgb="FF63BE7B"/>
      </colorScale>
    </cfRule>
  </conditionalFormatting>
  <conditionalFormatting sqref="Q161">
    <cfRule type="colorScale" priority="343">
      <colorScale>
        <cfvo type="num" val="-0.1"/>
        <cfvo type="num" val="0"/>
        <cfvo type="num" val="0.1"/>
        <color rgb="FFF8696B"/>
        <color rgb="FFFFEB84"/>
        <color rgb="FF63BE7B"/>
      </colorScale>
    </cfRule>
    <cfRule type="colorScale" priority="341">
      <colorScale>
        <cfvo type="num" val="-0.1"/>
        <cfvo type="num" val="0"/>
        <cfvo type="num" val="0.1"/>
        <color rgb="FFF8696B"/>
        <color rgb="FFFFEB84"/>
        <color rgb="FF63BE7B"/>
      </colorScale>
    </cfRule>
  </conditionalFormatting>
  <conditionalFormatting sqref="Q162">
    <cfRule type="colorScale" priority="71">
      <colorScale>
        <cfvo type="num" val="-0.1"/>
        <cfvo type="num" val="0"/>
        <cfvo type="num" val="0.1"/>
        <color rgb="FFF8696B"/>
        <color rgb="FFFFEB84"/>
        <color rgb="FF63BE7B"/>
      </colorScale>
    </cfRule>
  </conditionalFormatting>
  <conditionalFormatting sqref="Q163">
    <cfRule type="colorScale" priority="74">
      <colorScale>
        <cfvo type="num" val="-0.1"/>
        <cfvo type="num" val="0"/>
        <cfvo type="num" val="0.1"/>
        <color rgb="FFF8696B"/>
        <color rgb="FFFFEB84"/>
        <color rgb="FF63BE7B"/>
      </colorScale>
    </cfRule>
    <cfRule type="colorScale" priority="73">
      <colorScale>
        <cfvo type="num" val="-0.1"/>
        <cfvo type="num" val="0"/>
        <cfvo type="num" val="0.1"/>
        <color rgb="FFF8696B"/>
        <color rgb="FFFFEB84"/>
        <color rgb="FF63BE7B"/>
      </colorScale>
    </cfRule>
    <cfRule type="colorScale" priority="72">
      <colorScale>
        <cfvo type="num" val="-0.1"/>
        <cfvo type="num" val="0"/>
        <cfvo type="num" val="0.1"/>
        <color rgb="FFF8696B"/>
        <color rgb="FFFFEB84"/>
        <color rgb="FF63BE7B"/>
      </colorScale>
    </cfRule>
  </conditionalFormatting>
  <conditionalFormatting sqref="Q165">
    <cfRule type="colorScale" priority="216">
      <colorScale>
        <cfvo type="num" val="-0.1"/>
        <cfvo type="num" val="0"/>
        <cfvo type="num" val="0.1"/>
        <color rgb="FFF8696B"/>
        <color rgb="FFFFEB84"/>
        <color rgb="FF63BE7B"/>
      </colorScale>
    </cfRule>
    <cfRule type="colorScale" priority="217">
      <colorScale>
        <cfvo type="num" val="-0.1"/>
        <cfvo type="num" val="0"/>
        <cfvo type="num" val="0.1"/>
        <color rgb="FFF8696B"/>
        <color rgb="FFFFEB84"/>
        <color rgb="FF63BE7B"/>
      </colorScale>
    </cfRule>
  </conditionalFormatting>
  <conditionalFormatting sqref="Q164 Q166">
    <cfRule type="colorScale" priority="345">
      <colorScale>
        <cfvo type="num" val="-0.1"/>
        <cfvo type="num" val="0"/>
        <cfvo type="num" val="0.1"/>
        <color rgb="FFF8696B"/>
        <color rgb="FFFFEB84"/>
        <color rgb="FF63BE7B"/>
      </colorScale>
    </cfRule>
  </conditionalFormatting>
  <conditionalFormatting sqref="Q164 Q166:Q169">
    <cfRule type="colorScale" priority="348">
      <colorScale>
        <cfvo type="num" val="-0.1"/>
        <cfvo type="num" val="0"/>
        <cfvo type="num" val="0.1"/>
        <color rgb="FFF8696B"/>
        <color rgb="FFFFEB84"/>
        <color rgb="FF63BE7B"/>
      </colorScale>
    </cfRule>
  </conditionalFormatting>
  <conditionalFormatting sqref="Q167">
    <cfRule type="colorScale" priority="344">
      <colorScale>
        <cfvo type="num" val="-0.1"/>
        <cfvo type="num" val="0"/>
        <cfvo type="num" val="0.1"/>
        <color rgb="FFF8696B"/>
        <color rgb="FFFFEB84"/>
        <color rgb="FF63BE7B"/>
      </colorScale>
    </cfRule>
  </conditionalFormatting>
  <conditionalFormatting sqref="Q168:Q169">
    <cfRule type="colorScale" priority="346">
      <colorScale>
        <cfvo type="num" val="-0.1"/>
        <cfvo type="num" val="0"/>
        <cfvo type="num" val="0.1"/>
        <color rgb="FFF8696B"/>
        <color rgb="FFFFEB84"/>
        <color rgb="FF63BE7B"/>
      </colorScale>
    </cfRule>
  </conditionalFormatting>
  <conditionalFormatting sqref="Q170">
    <cfRule type="colorScale" priority="68">
      <colorScale>
        <cfvo type="num" val="-0.1"/>
        <cfvo type="num" val="0"/>
        <cfvo type="num" val="0.1"/>
        <color rgb="FFF8696B"/>
        <color rgb="FFFFEB84"/>
        <color rgb="FF63BE7B"/>
      </colorScale>
    </cfRule>
    <cfRule type="colorScale" priority="70">
      <colorScale>
        <cfvo type="num" val="-0.1"/>
        <cfvo type="num" val="0"/>
        <cfvo type="num" val="0.1"/>
        <color rgb="FFF8696B"/>
        <color rgb="FFFFEB84"/>
        <color rgb="FF63BE7B"/>
      </colorScale>
    </cfRule>
    <cfRule type="colorScale" priority="69">
      <colorScale>
        <cfvo type="num" val="-0.1"/>
        <cfvo type="num" val="0"/>
        <cfvo type="num" val="0.1"/>
        <color rgb="FFF8696B"/>
        <color rgb="FFFFEB84"/>
        <color rgb="FF63BE7B"/>
      </colorScale>
    </cfRule>
  </conditionalFormatting>
  <conditionalFormatting sqref="Q172">
    <cfRule type="colorScale" priority="214">
      <colorScale>
        <cfvo type="num" val="-0.1"/>
        <cfvo type="num" val="0"/>
        <cfvo type="num" val="0.1"/>
        <color rgb="FFF8696B"/>
        <color rgb="FFFFEB84"/>
        <color rgb="FF63BE7B"/>
      </colorScale>
    </cfRule>
    <cfRule type="colorScale" priority="215">
      <colorScale>
        <cfvo type="num" val="-0.1"/>
        <cfvo type="num" val="0"/>
        <cfvo type="num" val="0.1"/>
        <color rgb="FFF8696B"/>
        <color rgb="FFFFEB84"/>
        <color rgb="FF63BE7B"/>
      </colorScale>
    </cfRule>
  </conditionalFormatting>
  <conditionalFormatting sqref="Q171 Q173">
    <cfRule type="colorScale" priority="350">
      <colorScale>
        <cfvo type="num" val="-0.1"/>
        <cfvo type="num" val="0"/>
        <cfvo type="num" val="0.1"/>
        <color rgb="FFF8696B"/>
        <color rgb="FFFFEB84"/>
        <color rgb="FF63BE7B"/>
      </colorScale>
    </cfRule>
  </conditionalFormatting>
  <conditionalFormatting sqref="Q174">
    <cfRule type="colorScale" priority="349">
      <colorScale>
        <cfvo type="num" val="-0.1"/>
        <cfvo type="num" val="0"/>
        <cfvo type="num" val="0.1"/>
        <color rgb="FFF8696B"/>
        <color rgb="FFFFEB84"/>
        <color rgb="FF63BE7B"/>
      </colorScale>
    </cfRule>
  </conditionalFormatting>
  <conditionalFormatting sqref="Q175">
    <cfRule type="colorScale" priority="351">
      <colorScale>
        <cfvo type="num" val="-0.1"/>
        <cfvo type="num" val="0"/>
        <cfvo type="num" val="0.1"/>
        <color rgb="FFF8696B"/>
        <color rgb="FFFFEB84"/>
        <color rgb="FF63BE7B"/>
      </colorScale>
    </cfRule>
  </conditionalFormatting>
  <conditionalFormatting sqref="Q176">
    <cfRule type="colorScale" priority="67">
      <colorScale>
        <cfvo type="num" val="-0.1"/>
        <cfvo type="num" val="0"/>
        <cfvo type="num" val="0.1"/>
        <color rgb="FFF8696B"/>
        <color rgb="FFFFEB84"/>
        <color rgb="FF63BE7B"/>
      </colorScale>
    </cfRule>
  </conditionalFormatting>
  <conditionalFormatting sqref="Q177:Q178 Q180:Q182">
    <cfRule type="colorScale" priority="358">
      <colorScale>
        <cfvo type="num" val="-0.1"/>
        <cfvo type="num" val="0"/>
        <cfvo type="num" val="0.1"/>
        <color rgb="FFF8696B"/>
        <color rgb="FFFFEB84"/>
        <color rgb="FF63BE7B"/>
      </colorScale>
    </cfRule>
  </conditionalFormatting>
  <conditionalFormatting sqref="Q179">
    <cfRule type="colorScale" priority="213">
      <colorScale>
        <cfvo type="num" val="-0.1"/>
        <cfvo type="num" val="0"/>
        <cfvo type="num" val="0.1"/>
        <color rgb="FFF8696B"/>
        <color rgb="FFFFEB84"/>
        <color rgb="FF63BE7B"/>
      </colorScale>
    </cfRule>
    <cfRule type="colorScale" priority="212">
      <colorScale>
        <cfvo type="num" val="-0.1"/>
        <cfvo type="num" val="0"/>
        <cfvo type="num" val="0.1"/>
        <color rgb="FFF8696B"/>
        <color rgb="FFFFEB84"/>
        <color rgb="FF63BE7B"/>
      </colorScale>
    </cfRule>
  </conditionalFormatting>
  <conditionalFormatting sqref="Q178 Q180">
    <cfRule type="colorScale" priority="355">
      <colorScale>
        <cfvo type="num" val="-0.1"/>
        <cfvo type="num" val="0"/>
        <cfvo type="num" val="0.1"/>
        <color rgb="FFF8696B"/>
        <color rgb="FFFFEB84"/>
        <color rgb="FF63BE7B"/>
      </colorScale>
    </cfRule>
  </conditionalFormatting>
  <conditionalFormatting sqref="Q181">
    <cfRule type="colorScale" priority="354">
      <colorScale>
        <cfvo type="num" val="-0.1"/>
        <cfvo type="num" val="0"/>
        <cfvo type="num" val="0.1"/>
        <color rgb="FFF8696B"/>
        <color rgb="FFFFEB84"/>
        <color rgb="FF63BE7B"/>
      </colorScale>
    </cfRule>
  </conditionalFormatting>
  <conditionalFormatting sqref="Q182">
    <cfRule type="colorScale" priority="356">
      <colorScale>
        <cfvo type="num" val="-0.1"/>
        <cfvo type="num" val="0"/>
        <cfvo type="num" val="0.1"/>
        <color rgb="FFF8696B"/>
        <color rgb="FFFFEB84"/>
        <color rgb="FF63BE7B"/>
      </colorScale>
    </cfRule>
  </conditionalFormatting>
  <conditionalFormatting sqref="Q183">
    <cfRule type="colorScale" priority="363">
      <colorScale>
        <cfvo type="num" val="-0.1"/>
        <cfvo type="num" val="0"/>
        <cfvo type="num" val="0.1"/>
        <color rgb="FFF8696B"/>
        <color rgb="FFFFEB84"/>
        <color rgb="FF63BE7B"/>
      </colorScale>
    </cfRule>
  </conditionalFormatting>
  <conditionalFormatting sqref="Q184">
    <cfRule type="colorScale" priority="65">
      <colorScale>
        <cfvo type="num" val="-0.1"/>
        <cfvo type="num" val="0"/>
        <cfvo type="num" val="0.1"/>
        <color rgb="FFF8696B"/>
        <color rgb="FFFFEB84"/>
        <color rgb="FF63BE7B"/>
      </colorScale>
    </cfRule>
    <cfRule type="colorScale" priority="66">
      <colorScale>
        <cfvo type="num" val="-0.1"/>
        <cfvo type="num" val="0"/>
        <cfvo type="num" val="0.1"/>
        <color rgb="FFF8696B"/>
        <color rgb="FFFFEB84"/>
        <color rgb="FF63BE7B"/>
      </colorScale>
    </cfRule>
  </conditionalFormatting>
  <conditionalFormatting sqref="Q187">
    <cfRule type="colorScale" priority="210">
      <colorScale>
        <cfvo type="num" val="-0.1"/>
        <cfvo type="num" val="0"/>
        <cfvo type="num" val="0.1"/>
        <color rgb="FFF8696B"/>
        <color rgb="FFFFEB84"/>
        <color rgb="FF63BE7B"/>
      </colorScale>
    </cfRule>
    <cfRule type="colorScale" priority="211">
      <colorScale>
        <cfvo type="num" val="-0.1"/>
        <cfvo type="num" val="0"/>
        <cfvo type="num" val="0.1"/>
        <color rgb="FFF8696B"/>
        <color rgb="FFFFEB84"/>
        <color rgb="FF63BE7B"/>
      </colorScale>
    </cfRule>
  </conditionalFormatting>
  <conditionalFormatting sqref="Q186 Q188">
    <cfRule type="colorScale" priority="361">
      <colorScale>
        <cfvo type="num" val="-0.1"/>
        <cfvo type="num" val="0"/>
        <cfvo type="num" val="0.1"/>
        <color rgb="FFF8696B"/>
        <color rgb="FFFFEB84"/>
        <color rgb="FF63BE7B"/>
      </colorScale>
    </cfRule>
  </conditionalFormatting>
  <conditionalFormatting sqref="Q189">
    <cfRule type="colorScale" priority="360">
      <colorScale>
        <cfvo type="num" val="-0.1"/>
        <cfvo type="num" val="0"/>
        <cfvo type="num" val="0.1"/>
        <color rgb="FFF8696B"/>
        <color rgb="FFFFEB84"/>
        <color rgb="FF63BE7B"/>
      </colorScale>
    </cfRule>
  </conditionalFormatting>
  <conditionalFormatting sqref="Q185 Q190">
    <cfRule type="colorScale" priority="362">
      <colorScale>
        <cfvo type="num" val="-0.1"/>
        <cfvo type="num" val="0"/>
        <cfvo type="num" val="0.1"/>
        <color rgb="FFF8696B"/>
        <color rgb="FFFFEB84"/>
        <color rgb="FF63BE7B"/>
      </colorScale>
    </cfRule>
  </conditionalFormatting>
  <conditionalFormatting sqref="Q191">
    <cfRule type="colorScale" priority="370">
      <colorScale>
        <cfvo type="num" val="-0.1"/>
        <cfvo type="num" val="0"/>
        <cfvo type="num" val="0.1"/>
        <color rgb="FFF8696B"/>
        <color rgb="FFFFEB84"/>
        <color rgb="FF63BE7B"/>
      </colorScale>
    </cfRule>
  </conditionalFormatting>
  <conditionalFormatting sqref="Q192">
    <cfRule type="colorScale" priority="364">
      <colorScale>
        <cfvo type="num" val="-0.1"/>
        <cfvo type="num" val="0"/>
        <cfvo type="num" val="0.1"/>
        <color rgb="FFF8696B"/>
        <color rgb="FFFFEB84"/>
        <color rgb="FF63BE7B"/>
      </colorScale>
    </cfRule>
  </conditionalFormatting>
  <conditionalFormatting sqref="Q194">
    <cfRule type="colorScale" priority="209">
      <colorScale>
        <cfvo type="num" val="-0.1"/>
        <cfvo type="num" val="0"/>
        <cfvo type="num" val="0.1"/>
        <color rgb="FFF8696B"/>
        <color rgb="FFFFEB84"/>
        <color rgb="FF63BE7B"/>
      </colorScale>
    </cfRule>
    <cfRule type="colorScale" priority="208">
      <colorScale>
        <cfvo type="num" val="-0.1"/>
        <cfvo type="num" val="0"/>
        <cfvo type="num" val="0.1"/>
        <color rgb="FFF8696B"/>
        <color rgb="FFFFEB84"/>
        <color rgb="FF63BE7B"/>
      </colorScale>
    </cfRule>
  </conditionalFormatting>
  <conditionalFormatting sqref="Q193 Q195">
    <cfRule type="colorScale" priority="373">
      <colorScale>
        <cfvo type="num" val="-0.1"/>
        <cfvo type="num" val="0"/>
        <cfvo type="num" val="0.1"/>
        <color rgb="FFF8696B"/>
        <color rgb="FFFFEB84"/>
        <color rgb="FF63BE7B"/>
      </colorScale>
    </cfRule>
  </conditionalFormatting>
  <conditionalFormatting sqref="Q196">
    <cfRule type="colorScale" priority="372">
      <colorScale>
        <cfvo type="num" val="-0.1"/>
        <cfvo type="num" val="0"/>
        <cfvo type="num" val="0.1"/>
        <color rgb="FFF8696B"/>
        <color rgb="FFFFEB84"/>
        <color rgb="FF63BE7B"/>
      </colorScale>
    </cfRule>
  </conditionalFormatting>
  <conditionalFormatting sqref="Q197">
    <cfRule type="colorScale" priority="371">
      <colorScale>
        <cfvo type="num" val="-0.1"/>
        <cfvo type="num" val="0"/>
        <cfvo type="num" val="0.1"/>
        <color rgb="FFF8696B"/>
        <color rgb="FFFFEB84"/>
        <color rgb="FF63BE7B"/>
      </colorScale>
    </cfRule>
  </conditionalFormatting>
  <conditionalFormatting sqref="Q198:Q200">
    <cfRule type="colorScale" priority="382">
      <colorScale>
        <cfvo type="num" val="-0.1"/>
        <cfvo type="num" val="0"/>
        <cfvo type="num" val="0.1"/>
        <color rgb="FFF8696B"/>
        <color rgb="FFFFEB84"/>
        <color rgb="FF63BE7B"/>
      </colorScale>
    </cfRule>
  </conditionalFormatting>
  <conditionalFormatting sqref="Q199">
    <cfRule type="colorScale" priority="378">
      <colorScale>
        <cfvo type="num" val="-0.1"/>
        <cfvo type="num" val="0"/>
        <cfvo type="num" val="0.1"/>
        <color rgb="FFF8696B"/>
        <color rgb="FFFFEB84"/>
        <color rgb="FF63BE7B"/>
      </colorScale>
    </cfRule>
  </conditionalFormatting>
  <conditionalFormatting sqref="Q200">
    <cfRule type="colorScale" priority="377">
      <colorScale>
        <cfvo type="num" val="-0.1"/>
        <cfvo type="num" val="0"/>
        <cfvo type="num" val="0.1"/>
        <color rgb="FFF8696B"/>
        <color rgb="FFFFEB84"/>
        <color rgb="FF63BE7B"/>
      </colorScale>
    </cfRule>
  </conditionalFormatting>
  <conditionalFormatting sqref="Q201">
    <cfRule type="colorScale" priority="375">
      <colorScale>
        <cfvo type="num" val="-0.1"/>
        <cfvo type="num" val="0"/>
        <cfvo type="num" val="0.1"/>
        <color rgb="FFF8696B"/>
        <color rgb="FFFFEB84"/>
        <color rgb="FF63BE7B"/>
      </colorScale>
    </cfRule>
  </conditionalFormatting>
  <conditionalFormatting sqref="Q201:Q202">
    <cfRule type="colorScale" priority="376">
      <colorScale>
        <cfvo type="num" val="-0.1"/>
        <cfvo type="num" val="0"/>
        <cfvo type="num" val="0.1"/>
        <color rgb="FFF8696B"/>
        <color rgb="FFFFEB84"/>
        <color rgb="FF63BE7B"/>
      </colorScale>
    </cfRule>
  </conditionalFormatting>
  <conditionalFormatting sqref="Q202">
    <cfRule type="colorScale" priority="374">
      <colorScale>
        <cfvo type="num" val="-0.1"/>
        <cfvo type="num" val="0"/>
        <cfvo type="num" val="0.1"/>
        <color rgb="FFF8696B"/>
        <color rgb="FFFFEB84"/>
        <color rgb="FF63BE7B"/>
      </colorScale>
    </cfRule>
  </conditionalFormatting>
  <conditionalFormatting sqref="Q203">
    <cfRule type="colorScale" priority="380">
      <colorScale>
        <cfvo type="num" val="-0.1"/>
        <cfvo type="num" val="0"/>
        <cfvo type="num" val="0.1"/>
        <color rgb="FFF8696B"/>
        <color rgb="FFFFEB84"/>
        <color rgb="FF63BE7B"/>
      </colorScale>
    </cfRule>
  </conditionalFormatting>
  <conditionalFormatting sqref="Q205">
    <cfRule type="colorScale" priority="207">
      <colorScale>
        <cfvo type="num" val="-0.1"/>
        <cfvo type="num" val="0"/>
        <cfvo type="num" val="0.1"/>
        <color rgb="FFF8696B"/>
        <color rgb="FFFFEB84"/>
        <color rgb="FF63BE7B"/>
      </colorScale>
    </cfRule>
    <cfRule type="colorScale" priority="206">
      <colorScale>
        <cfvo type="num" val="-0.1"/>
        <cfvo type="num" val="0"/>
        <cfvo type="num" val="0.1"/>
        <color rgb="FFF8696B"/>
        <color rgb="FFFFEB84"/>
        <color rgb="FF63BE7B"/>
      </colorScale>
    </cfRule>
  </conditionalFormatting>
  <conditionalFormatting sqref="Q204 Q206">
    <cfRule type="colorScale" priority="385">
      <colorScale>
        <cfvo type="num" val="-0.1"/>
        <cfvo type="num" val="0"/>
        <cfvo type="num" val="0.1"/>
        <color rgb="FFF8696B"/>
        <color rgb="FFFFEB84"/>
        <color rgb="FF63BE7B"/>
      </colorScale>
    </cfRule>
  </conditionalFormatting>
  <conditionalFormatting sqref="Q207">
    <cfRule type="colorScale" priority="384">
      <colorScale>
        <cfvo type="num" val="-0.1"/>
        <cfvo type="num" val="0"/>
        <cfvo type="num" val="0.1"/>
        <color rgb="FFF8696B"/>
        <color rgb="FFFFEB84"/>
        <color rgb="FF63BE7B"/>
      </colorScale>
    </cfRule>
  </conditionalFormatting>
  <conditionalFormatting sqref="Q208">
    <cfRule type="colorScale" priority="383">
      <colorScale>
        <cfvo type="num" val="-0.1"/>
        <cfvo type="num" val="0"/>
        <cfvo type="num" val="0.1"/>
        <color rgb="FFF8696B"/>
        <color rgb="FFFFEB84"/>
        <color rgb="FF63BE7B"/>
      </colorScale>
    </cfRule>
  </conditionalFormatting>
  <conditionalFormatting sqref="Q209">
    <cfRule type="colorScale" priority="63">
      <colorScale>
        <cfvo type="num" val="-0.1"/>
        <cfvo type="num" val="0"/>
        <cfvo type="num" val="0.1"/>
        <color rgb="FFF8696B"/>
        <color rgb="FFFFEB84"/>
        <color rgb="FF63BE7B"/>
      </colorScale>
    </cfRule>
  </conditionalFormatting>
  <conditionalFormatting sqref="Q210">
    <cfRule type="colorScale" priority="61">
      <colorScale>
        <cfvo type="num" val="-0.1"/>
        <cfvo type="num" val="0"/>
        <cfvo type="num" val="0.1"/>
        <color rgb="FFF8696B"/>
        <color rgb="FFFFEB84"/>
        <color rgb="FF63BE7B"/>
      </colorScale>
    </cfRule>
    <cfRule type="colorScale" priority="62">
      <colorScale>
        <cfvo type="num" val="-0.1"/>
        <cfvo type="num" val="0"/>
        <cfvo type="num" val="0.1"/>
        <color rgb="FFF8696B"/>
        <color rgb="FFFFEB84"/>
        <color rgb="FF63BE7B"/>
      </colorScale>
    </cfRule>
  </conditionalFormatting>
  <conditionalFormatting sqref="Q209 Q211">
    <cfRule type="colorScale" priority="64">
      <colorScale>
        <cfvo type="num" val="-0.1"/>
        <cfvo type="num" val="0"/>
        <cfvo type="num" val="0.1"/>
        <color rgb="FFF8696B"/>
        <color rgb="FFFFEB84"/>
        <color rgb="FF63BE7B"/>
      </colorScale>
    </cfRule>
  </conditionalFormatting>
  <conditionalFormatting sqref="Q213">
    <cfRule type="colorScale" priority="204">
      <colorScale>
        <cfvo type="num" val="-0.1"/>
        <cfvo type="num" val="0"/>
        <cfvo type="num" val="0.1"/>
        <color rgb="FFF8696B"/>
        <color rgb="FFFFEB84"/>
        <color rgb="FF63BE7B"/>
      </colorScale>
    </cfRule>
    <cfRule type="colorScale" priority="205">
      <colorScale>
        <cfvo type="num" val="-0.1"/>
        <cfvo type="num" val="0"/>
        <cfvo type="num" val="0.1"/>
        <color rgb="FFF8696B"/>
        <color rgb="FFFFEB84"/>
        <color rgb="FF63BE7B"/>
      </colorScale>
    </cfRule>
  </conditionalFormatting>
  <conditionalFormatting sqref="Q212 Q214">
    <cfRule type="colorScale" priority="388">
      <colorScale>
        <cfvo type="num" val="-0.1"/>
        <cfvo type="num" val="0"/>
        <cfvo type="num" val="0.1"/>
        <color rgb="FFF8696B"/>
        <color rgb="FFFFEB84"/>
        <color rgb="FF63BE7B"/>
      </colorScale>
    </cfRule>
  </conditionalFormatting>
  <conditionalFormatting sqref="Q215">
    <cfRule type="colorScale" priority="387">
      <colorScale>
        <cfvo type="num" val="-0.1"/>
        <cfvo type="num" val="0"/>
        <cfvo type="num" val="0.1"/>
        <color rgb="FFF8696B"/>
        <color rgb="FFFFEB84"/>
        <color rgb="FF63BE7B"/>
      </colorScale>
    </cfRule>
  </conditionalFormatting>
  <conditionalFormatting sqref="Q216">
    <cfRule type="colorScale" priority="59">
      <colorScale>
        <cfvo type="num" val="-0.1"/>
        <cfvo type="num" val="0"/>
        <cfvo type="num" val="0.1"/>
        <color rgb="FFF8696B"/>
        <color rgb="FFFFEB84"/>
        <color rgb="FF63BE7B"/>
      </colorScale>
    </cfRule>
    <cfRule type="colorScale" priority="60">
      <colorScale>
        <cfvo type="num" val="-0.1"/>
        <cfvo type="num" val="0"/>
        <cfvo type="num" val="0.1"/>
        <color rgb="FFF8696B"/>
        <color rgb="FFFFEB84"/>
        <color rgb="FF63BE7B"/>
      </colorScale>
    </cfRule>
  </conditionalFormatting>
  <conditionalFormatting sqref="Q217">
    <cfRule type="colorScale" priority="386">
      <colorScale>
        <cfvo type="num" val="-0.1"/>
        <cfvo type="num" val="0"/>
        <cfvo type="num" val="0.1"/>
        <color rgb="FFF8696B"/>
        <color rgb="FFFFEB84"/>
        <color rgb="FF63BE7B"/>
      </colorScale>
    </cfRule>
  </conditionalFormatting>
  <conditionalFormatting sqref="Q218">
    <cfRule type="colorScale" priority="395">
      <colorScale>
        <cfvo type="num" val="-0.1"/>
        <cfvo type="num" val="0"/>
        <cfvo type="num" val="0.1"/>
        <color rgb="FFF8696B"/>
        <color rgb="FFFFEB84"/>
        <color rgb="FF63BE7B"/>
      </colorScale>
    </cfRule>
  </conditionalFormatting>
  <conditionalFormatting sqref="Q221">
    <cfRule type="colorScale" priority="203">
      <colorScale>
        <cfvo type="num" val="-0.1"/>
        <cfvo type="num" val="0"/>
        <cfvo type="num" val="0.1"/>
        <color rgb="FFF8696B"/>
        <color rgb="FFFFEB84"/>
        <color rgb="FF63BE7B"/>
      </colorScale>
    </cfRule>
    <cfRule type="colorScale" priority="202">
      <colorScale>
        <cfvo type="num" val="-0.1"/>
        <cfvo type="num" val="0"/>
        <cfvo type="num" val="0.1"/>
        <color rgb="FFF8696B"/>
        <color rgb="FFFFEB84"/>
        <color rgb="FF63BE7B"/>
      </colorScale>
    </cfRule>
  </conditionalFormatting>
  <conditionalFormatting sqref="Q223">
    <cfRule type="colorScale" priority="393">
      <colorScale>
        <cfvo type="num" val="-0.1"/>
        <cfvo type="num" val="0"/>
        <cfvo type="num" val="0.1"/>
        <color rgb="FFF8696B"/>
        <color rgb="FFFFEB84"/>
        <color rgb="FF63BE7B"/>
      </colorScale>
    </cfRule>
  </conditionalFormatting>
  <conditionalFormatting sqref="Q224">
    <cfRule type="colorScale" priority="391">
      <colorScale>
        <cfvo type="num" val="-0.1"/>
        <cfvo type="num" val="0"/>
        <cfvo type="num" val="0.1"/>
        <color rgb="FFF8696B"/>
        <color rgb="FFFFEB84"/>
        <color rgb="FF63BE7B"/>
      </colorScale>
    </cfRule>
  </conditionalFormatting>
  <conditionalFormatting sqref="Q225">
    <cfRule type="colorScale" priority="57">
      <colorScale>
        <cfvo type="num" val="-0.1"/>
        <cfvo type="num" val="0"/>
        <cfvo type="num" val="0.1"/>
        <color rgb="FFF8696B"/>
        <color rgb="FFFFEB84"/>
        <color rgb="FF63BE7B"/>
      </colorScale>
    </cfRule>
  </conditionalFormatting>
  <conditionalFormatting sqref="Q226">
    <cfRule type="colorScale" priority="55">
      <colorScale>
        <cfvo type="num" val="-0.1"/>
        <cfvo type="num" val="0"/>
        <cfvo type="num" val="0.1"/>
        <color rgb="FFF8696B"/>
        <color rgb="FFFFEB84"/>
        <color rgb="FF63BE7B"/>
      </colorScale>
    </cfRule>
    <cfRule type="colorScale" priority="56">
      <colorScale>
        <cfvo type="num" val="-0.1"/>
        <cfvo type="num" val="0"/>
        <cfvo type="num" val="0.1"/>
        <color rgb="FFF8696B"/>
        <color rgb="FFFFEB84"/>
        <color rgb="FF63BE7B"/>
      </colorScale>
    </cfRule>
  </conditionalFormatting>
  <conditionalFormatting sqref="Q225 Q227">
    <cfRule type="colorScale" priority="58">
      <colorScale>
        <cfvo type="num" val="-0.1"/>
        <cfvo type="num" val="0"/>
        <cfvo type="num" val="0.1"/>
        <color rgb="FFF8696B"/>
        <color rgb="FFFFEB84"/>
        <color rgb="FF63BE7B"/>
      </colorScale>
    </cfRule>
  </conditionalFormatting>
  <conditionalFormatting sqref="Q229">
    <cfRule type="colorScale" priority="200">
      <colorScale>
        <cfvo type="num" val="-0.1"/>
        <cfvo type="num" val="0"/>
        <cfvo type="num" val="0.1"/>
        <color rgb="FFF8696B"/>
        <color rgb="FFFFEB84"/>
        <color rgb="FF63BE7B"/>
      </colorScale>
    </cfRule>
    <cfRule type="colorScale" priority="201">
      <colorScale>
        <cfvo type="num" val="-0.1"/>
        <cfvo type="num" val="0"/>
        <cfvo type="num" val="0.1"/>
        <color rgb="FFF8696B"/>
        <color rgb="FFFFEB84"/>
        <color rgb="FF63BE7B"/>
      </colorScale>
    </cfRule>
  </conditionalFormatting>
  <conditionalFormatting sqref="Q230:Q231">
    <cfRule type="colorScale" priority="392">
      <colorScale>
        <cfvo type="num" val="-0.1"/>
        <cfvo type="num" val="0"/>
        <cfvo type="num" val="0.1"/>
        <color rgb="FFF8696B"/>
        <color rgb="FFFFEB84"/>
        <color rgb="FF63BE7B"/>
      </colorScale>
    </cfRule>
  </conditionalFormatting>
  <conditionalFormatting sqref="Q232">
    <cfRule type="colorScale" priority="397">
      <colorScale>
        <cfvo type="num" val="-0.1"/>
        <cfvo type="num" val="0"/>
        <cfvo type="num" val="0.1"/>
        <color rgb="FFF8696B"/>
        <color rgb="FFFFEB84"/>
        <color rgb="FF63BE7B"/>
      </colorScale>
    </cfRule>
  </conditionalFormatting>
  <conditionalFormatting sqref="Q233">
    <cfRule type="colorScale" priority="53">
      <colorScale>
        <cfvo type="num" val="-0.1"/>
        <cfvo type="num" val="0"/>
        <cfvo type="num" val="0.1"/>
        <color rgb="FFF8696B"/>
        <color rgb="FFFFEB84"/>
        <color rgb="FF63BE7B"/>
      </colorScale>
    </cfRule>
  </conditionalFormatting>
  <conditionalFormatting sqref="Q234">
    <cfRule type="colorScale" priority="52">
      <colorScale>
        <cfvo type="num" val="-0.1"/>
        <cfvo type="num" val="0"/>
        <cfvo type="num" val="0.1"/>
        <color rgb="FFF8696B"/>
        <color rgb="FFFFEB84"/>
        <color rgb="FF63BE7B"/>
      </colorScale>
    </cfRule>
    <cfRule type="colorScale" priority="51">
      <colorScale>
        <cfvo type="num" val="-0.1"/>
        <cfvo type="num" val="0"/>
        <cfvo type="num" val="0.1"/>
        <color rgb="FFF8696B"/>
        <color rgb="FFFFEB84"/>
        <color rgb="FF63BE7B"/>
      </colorScale>
    </cfRule>
  </conditionalFormatting>
  <conditionalFormatting sqref="Q233 Q235">
    <cfRule type="colorScale" priority="54">
      <colorScale>
        <cfvo type="num" val="-0.1"/>
        <cfvo type="num" val="0"/>
        <cfvo type="num" val="0.1"/>
        <color rgb="FFF8696B"/>
        <color rgb="FFFFEB84"/>
        <color rgb="FF63BE7B"/>
      </colorScale>
    </cfRule>
  </conditionalFormatting>
  <conditionalFormatting sqref="Q237">
    <cfRule type="colorScale" priority="198">
      <colorScale>
        <cfvo type="num" val="-0.1"/>
        <cfvo type="num" val="0"/>
        <cfvo type="num" val="0.1"/>
        <color rgb="FFF8696B"/>
        <color rgb="FFFFEB84"/>
        <color rgb="FF63BE7B"/>
      </colorScale>
    </cfRule>
    <cfRule type="colorScale" priority="199">
      <colorScale>
        <cfvo type="num" val="-0.1"/>
        <cfvo type="num" val="0"/>
        <cfvo type="num" val="0.1"/>
        <color rgb="FFF8696B"/>
        <color rgb="FFFFEB84"/>
        <color rgb="FF63BE7B"/>
      </colorScale>
    </cfRule>
  </conditionalFormatting>
  <conditionalFormatting sqref="Q236 Q238:Q239">
    <cfRule type="colorScale" priority="400">
      <colorScale>
        <cfvo type="num" val="-0.1"/>
        <cfvo type="num" val="0"/>
        <cfvo type="num" val="0.1"/>
        <color rgb="FFF8696B"/>
        <color rgb="FFFFEB84"/>
        <color rgb="FF63BE7B"/>
      </colorScale>
    </cfRule>
  </conditionalFormatting>
  <conditionalFormatting sqref="Q240:Q241 Q243">
    <cfRule type="colorScale" priority="399">
      <colorScale>
        <cfvo type="num" val="-0.1"/>
        <cfvo type="num" val="0"/>
        <cfvo type="num" val="0.1"/>
        <color rgb="FFF8696B"/>
        <color rgb="FFFFEB84"/>
        <color rgb="FF63BE7B"/>
      </colorScale>
    </cfRule>
  </conditionalFormatting>
  <conditionalFormatting sqref="Q242">
    <cfRule type="colorScale" priority="49">
      <colorScale>
        <cfvo type="num" val="-0.1"/>
        <cfvo type="num" val="0"/>
        <cfvo type="num" val="0.1"/>
        <color rgb="FFF8696B"/>
        <color rgb="FFFFEB84"/>
        <color rgb="FF63BE7B"/>
      </colorScale>
    </cfRule>
    <cfRule type="colorScale" priority="50">
      <colorScale>
        <cfvo type="num" val="-0.1"/>
        <cfvo type="num" val="0"/>
        <cfvo type="num" val="0.1"/>
        <color rgb="FFF8696B"/>
        <color rgb="FFFFEB84"/>
        <color rgb="FF63BE7B"/>
      </colorScale>
    </cfRule>
  </conditionalFormatting>
  <conditionalFormatting sqref="Q245">
    <cfRule type="colorScale" priority="197">
      <colorScale>
        <cfvo type="num" val="-0.1"/>
        <cfvo type="num" val="0"/>
        <cfvo type="num" val="0.1"/>
        <color rgb="FFF8696B"/>
        <color rgb="FFFFEB84"/>
        <color rgb="FF63BE7B"/>
      </colorScale>
    </cfRule>
    <cfRule type="colorScale" priority="196">
      <colorScale>
        <cfvo type="num" val="-0.1"/>
        <cfvo type="num" val="0"/>
        <cfvo type="num" val="0.1"/>
        <color rgb="FFF8696B"/>
        <color rgb="FFFFEB84"/>
        <color rgb="FF63BE7B"/>
      </colorScale>
    </cfRule>
  </conditionalFormatting>
  <conditionalFormatting sqref="Q244 Q246:Q247">
    <cfRule type="colorScale" priority="401">
      <colorScale>
        <cfvo type="num" val="-0.1"/>
        <cfvo type="num" val="0"/>
        <cfvo type="num" val="0.1"/>
        <color rgb="FFF8696B"/>
        <color rgb="FFFFEB84"/>
        <color rgb="FF63BE7B"/>
      </colorScale>
    </cfRule>
  </conditionalFormatting>
  <conditionalFormatting sqref="Q248">
    <cfRule type="colorScale" priority="44">
      <colorScale>
        <cfvo type="num" val="-0.1"/>
        <cfvo type="num" val="0"/>
        <cfvo type="num" val="0.1"/>
        <color rgb="FFF8696B"/>
        <color rgb="FFFFEB84"/>
        <color rgb="FF63BE7B"/>
      </colorScale>
    </cfRule>
    <cfRule type="colorScale" priority="43">
      <colorScale>
        <cfvo type="num" val="-0.1"/>
        <cfvo type="num" val="0"/>
        <cfvo type="num" val="0.1"/>
        <color rgb="FFF8696B"/>
        <color rgb="FFFFEB84"/>
        <color rgb="FF63BE7B"/>
      </colorScale>
    </cfRule>
  </conditionalFormatting>
  <conditionalFormatting sqref="Q249">
    <cfRule type="colorScale" priority="390">
      <colorScale>
        <cfvo type="num" val="-0.1"/>
        <cfvo type="num" val="0"/>
        <cfvo type="num" val="0.1"/>
        <color rgb="FFF8696B"/>
        <color rgb="FFFFEB84"/>
        <color rgb="FF63BE7B"/>
      </colorScale>
    </cfRule>
  </conditionalFormatting>
  <conditionalFormatting sqref="Q253">
    <cfRule type="colorScale" priority="194">
      <colorScale>
        <cfvo type="num" val="-0.1"/>
        <cfvo type="num" val="0"/>
        <cfvo type="num" val="0.1"/>
        <color rgb="FFF8696B"/>
        <color rgb="FFFFEB84"/>
        <color rgb="FF63BE7B"/>
      </colorScale>
    </cfRule>
    <cfRule type="colorScale" priority="195">
      <colorScale>
        <cfvo type="num" val="-0.1"/>
        <cfvo type="num" val="0"/>
        <cfvo type="num" val="0.1"/>
        <color rgb="FFF8696B"/>
        <color rgb="FFFFEB84"/>
        <color rgb="FF63BE7B"/>
      </colorScale>
    </cfRule>
  </conditionalFormatting>
  <conditionalFormatting sqref="Q256">
    <cfRule type="colorScale" priority="389">
      <colorScale>
        <cfvo type="num" val="-0.1"/>
        <cfvo type="num" val="0"/>
        <cfvo type="num" val="0.1"/>
        <color rgb="FFF8696B"/>
        <color rgb="FFFFEB84"/>
        <color rgb="FF63BE7B"/>
      </colorScale>
    </cfRule>
  </conditionalFormatting>
  <hyperlinks>
    <hyperlink xmlns:r="http://schemas.openxmlformats.org/officeDocument/2006/relationships" ref="T6" display="Transcript" r:id="rId1"/>
    <hyperlink xmlns:r="http://schemas.openxmlformats.org/officeDocument/2006/relationships" ref="T13" display="Transcript" r:id="rId2"/>
    <hyperlink xmlns:r="http://schemas.openxmlformats.org/officeDocument/2006/relationships" ref="T15" display="Investor Presentation" r:id="rId3"/>
    <hyperlink xmlns:r="http://schemas.openxmlformats.org/officeDocument/2006/relationships" ref="T16" display="Investor Presentation" r:id="rId4"/>
    <hyperlink xmlns:r="http://schemas.openxmlformats.org/officeDocument/2006/relationships" ref="T17" display="Investor Presentation" r:id="rId5"/>
    <hyperlink xmlns:r="http://schemas.openxmlformats.org/officeDocument/2006/relationships" ref="T18" display="Investor Presentation" r:id="rId6"/>
    <hyperlink xmlns:r="http://schemas.openxmlformats.org/officeDocument/2006/relationships" ref="T20" display="Investor Presentation" r:id="rId7"/>
    <hyperlink xmlns:r="http://schemas.openxmlformats.org/officeDocument/2006/relationships" ref="T21" display="Transcript" r:id="rId8"/>
    <hyperlink xmlns:r="http://schemas.openxmlformats.org/officeDocument/2006/relationships" ref="T23" display="Investor Presentation" r:id="rId9"/>
    <hyperlink xmlns:r="http://schemas.openxmlformats.org/officeDocument/2006/relationships" ref="T24" display="Investor Presentation" r:id="rId10"/>
    <hyperlink xmlns:r="http://schemas.openxmlformats.org/officeDocument/2006/relationships" ref="T25" display="Investor Presentation" r:id="rId11"/>
    <hyperlink xmlns:r="http://schemas.openxmlformats.org/officeDocument/2006/relationships" ref="T26" display="Investor Presentation" r:id="rId12"/>
    <hyperlink xmlns:r="http://schemas.openxmlformats.org/officeDocument/2006/relationships" ref="T28" display="Investor Presentation" r:id="rId13"/>
    <hyperlink xmlns:r="http://schemas.openxmlformats.org/officeDocument/2006/relationships" ref="T29" display="Transcript" r:id="rId14"/>
    <hyperlink xmlns:r="http://schemas.openxmlformats.org/officeDocument/2006/relationships" ref="T30" display="Transcript" r:id="rId15"/>
    <hyperlink xmlns:r="http://schemas.openxmlformats.org/officeDocument/2006/relationships" ref="T32" display="Investor Presentation" r:id="rId16"/>
    <hyperlink xmlns:r="http://schemas.openxmlformats.org/officeDocument/2006/relationships" ref="T33" display="Investor Presentation" r:id="rId17"/>
    <hyperlink xmlns:r="http://schemas.openxmlformats.org/officeDocument/2006/relationships" ref="T34" display="Investor Presentation" r:id="rId18"/>
    <hyperlink xmlns:r="http://schemas.openxmlformats.org/officeDocument/2006/relationships" ref="T35" display="Investor Presentation" r:id="rId19"/>
    <hyperlink xmlns:r="http://schemas.openxmlformats.org/officeDocument/2006/relationships" ref="T36" display="Transcript" r:id="rId20"/>
    <hyperlink xmlns:r="http://schemas.openxmlformats.org/officeDocument/2006/relationships" ref="T38" display="Transcript" r:id="rId21"/>
    <hyperlink xmlns:r="http://schemas.openxmlformats.org/officeDocument/2006/relationships" ref="T39" display="Transcript" r:id="rId22"/>
    <hyperlink xmlns:r="http://schemas.openxmlformats.org/officeDocument/2006/relationships" ref="T41" display="Investor Presentation" r:id="rId23"/>
    <hyperlink xmlns:r="http://schemas.openxmlformats.org/officeDocument/2006/relationships" ref="T42" display="Investor Presentation" r:id="rId24"/>
    <hyperlink xmlns:r="http://schemas.openxmlformats.org/officeDocument/2006/relationships" ref="T43" display="Investor Presentation" r:id="rId25"/>
    <hyperlink xmlns:r="http://schemas.openxmlformats.org/officeDocument/2006/relationships" ref="T44" display="Investor Presentation" r:id="rId26"/>
    <hyperlink xmlns:r="http://schemas.openxmlformats.org/officeDocument/2006/relationships" ref="T46" display="Transcript" r:id="rId27"/>
    <hyperlink xmlns:r="http://schemas.openxmlformats.org/officeDocument/2006/relationships" ref="T48" display="Investor Presentation" r:id="rId28"/>
    <hyperlink xmlns:r="http://schemas.openxmlformats.org/officeDocument/2006/relationships" ref="T49" display="Investor Presentation" r:id="rId29"/>
    <hyperlink xmlns:r="http://schemas.openxmlformats.org/officeDocument/2006/relationships" ref="T50" display="Investor Presentation" r:id="rId30"/>
    <hyperlink xmlns:r="http://schemas.openxmlformats.org/officeDocument/2006/relationships" ref="T51" display="Investor Presentation" r:id="rId31"/>
    <hyperlink xmlns:r="http://schemas.openxmlformats.org/officeDocument/2006/relationships" ref="T53" display="Transcript" r:id="rId32"/>
    <hyperlink xmlns:r="http://schemas.openxmlformats.org/officeDocument/2006/relationships" ref="T55" display="Investor Presentation" r:id="rId33"/>
    <hyperlink xmlns:r="http://schemas.openxmlformats.org/officeDocument/2006/relationships" ref="T56" display="Investor Presentation" r:id="rId34"/>
    <hyperlink xmlns:r="http://schemas.openxmlformats.org/officeDocument/2006/relationships" ref="T57" display="Investor Presentation" r:id="rId35"/>
    <hyperlink xmlns:r="http://schemas.openxmlformats.org/officeDocument/2006/relationships" ref="T58" display="Investor Presentation" r:id="rId36"/>
    <hyperlink xmlns:r="http://schemas.openxmlformats.org/officeDocument/2006/relationships" ref="T60" display="Transcript" r:id="rId37"/>
    <hyperlink xmlns:r="http://schemas.openxmlformats.org/officeDocument/2006/relationships" ref="T61" display="Transcript" r:id="rId38"/>
    <hyperlink xmlns:r="http://schemas.openxmlformats.org/officeDocument/2006/relationships" ref="T63" display="Investor Presentation" r:id="rId39"/>
    <hyperlink xmlns:r="http://schemas.openxmlformats.org/officeDocument/2006/relationships" ref="T64" display="Investor Presentation" r:id="rId40"/>
    <hyperlink xmlns:r="http://schemas.openxmlformats.org/officeDocument/2006/relationships" ref="T65" display="Investor Presentation" r:id="rId41"/>
    <hyperlink xmlns:r="http://schemas.openxmlformats.org/officeDocument/2006/relationships" ref="T66" display="Investor Presentation" r:id="rId42"/>
    <hyperlink xmlns:r="http://schemas.openxmlformats.org/officeDocument/2006/relationships" ref="T67" display="Transcript" r:id="rId43"/>
    <hyperlink xmlns:r="http://schemas.openxmlformats.org/officeDocument/2006/relationships" ref="T69" display="Transcript" r:id="rId44"/>
    <hyperlink xmlns:r="http://schemas.openxmlformats.org/officeDocument/2006/relationships" ref="T71" display="Investor Presentation" r:id="rId45"/>
    <hyperlink xmlns:r="http://schemas.openxmlformats.org/officeDocument/2006/relationships" ref="T72" display="Investor Presentation" r:id="rId46"/>
    <hyperlink xmlns:r="http://schemas.openxmlformats.org/officeDocument/2006/relationships" ref="T73" display="Investor Presentation" r:id="rId47"/>
    <hyperlink xmlns:r="http://schemas.openxmlformats.org/officeDocument/2006/relationships" ref="T74" display="Investor Presentation" r:id="rId48"/>
    <hyperlink xmlns:r="http://schemas.openxmlformats.org/officeDocument/2006/relationships" ref="T76" display="Transcript" r:id="rId49"/>
    <hyperlink xmlns:r="http://schemas.openxmlformats.org/officeDocument/2006/relationships" ref="T78" display="Investor Presentation" r:id="rId50"/>
    <hyperlink xmlns:r="http://schemas.openxmlformats.org/officeDocument/2006/relationships" ref="T79" display="Investor Presentation" r:id="rId51"/>
    <hyperlink xmlns:r="http://schemas.openxmlformats.org/officeDocument/2006/relationships" ref="T80" display="Investor Presentation" r:id="rId52"/>
    <hyperlink xmlns:r="http://schemas.openxmlformats.org/officeDocument/2006/relationships" ref="T81" display="Investor Presentation" r:id="rId53"/>
    <hyperlink xmlns:r="http://schemas.openxmlformats.org/officeDocument/2006/relationships" ref="T83" display="Transcript" r:id="rId54"/>
    <hyperlink xmlns:r="http://schemas.openxmlformats.org/officeDocument/2006/relationships" ref="T85" display="Investor Presentation" r:id="rId55"/>
    <hyperlink xmlns:r="http://schemas.openxmlformats.org/officeDocument/2006/relationships" ref="T86" display="Investor Presentation" r:id="rId56"/>
    <hyperlink xmlns:r="http://schemas.openxmlformats.org/officeDocument/2006/relationships" ref="T87" display="Investor Presentation" r:id="rId57"/>
    <hyperlink xmlns:r="http://schemas.openxmlformats.org/officeDocument/2006/relationships" ref="T88" display="Investor Presentation" r:id="rId58"/>
    <hyperlink xmlns:r="http://schemas.openxmlformats.org/officeDocument/2006/relationships" ref="T90" display="Transcript" r:id="rId59"/>
    <hyperlink xmlns:r="http://schemas.openxmlformats.org/officeDocument/2006/relationships" ref="T92" display="Investor Presentation" r:id="rId60"/>
    <hyperlink xmlns:r="http://schemas.openxmlformats.org/officeDocument/2006/relationships" ref="T93" display="Investor Presentation" r:id="rId61"/>
    <hyperlink xmlns:r="http://schemas.openxmlformats.org/officeDocument/2006/relationships" ref="T94" display="Investor Presentation" r:id="rId62"/>
    <hyperlink xmlns:r="http://schemas.openxmlformats.org/officeDocument/2006/relationships" ref="T95" display="Investor Presentation" r:id="rId63"/>
    <hyperlink xmlns:r="http://schemas.openxmlformats.org/officeDocument/2006/relationships" ref="T97" display="Transcript" r:id="rId64"/>
    <hyperlink xmlns:r="http://schemas.openxmlformats.org/officeDocument/2006/relationships" ref="T98" display="Transcript" r:id="rId65"/>
    <hyperlink xmlns:r="http://schemas.openxmlformats.org/officeDocument/2006/relationships" ref="T100" display="Investor Presentation" r:id="rId66"/>
    <hyperlink xmlns:r="http://schemas.openxmlformats.org/officeDocument/2006/relationships" ref="T101" display="Investor Presentation" r:id="rId67"/>
    <hyperlink xmlns:r="http://schemas.openxmlformats.org/officeDocument/2006/relationships" ref="T102" display="Investor Presentation" r:id="rId68"/>
    <hyperlink xmlns:r="http://schemas.openxmlformats.org/officeDocument/2006/relationships" ref="T103" display="Investor Presentation" r:id="rId69"/>
    <hyperlink xmlns:r="http://schemas.openxmlformats.org/officeDocument/2006/relationships" ref="T105" display="Transcript" r:id="rId70"/>
    <hyperlink xmlns:r="http://schemas.openxmlformats.org/officeDocument/2006/relationships" ref="T107" display="Press Release" r:id="rId71"/>
    <hyperlink xmlns:r="http://schemas.openxmlformats.org/officeDocument/2006/relationships" ref="T108" display="Press Release" r:id="rId72"/>
    <hyperlink xmlns:r="http://schemas.openxmlformats.org/officeDocument/2006/relationships" ref="T109" display="Press Release" r:id="rId73"/>
    <hyperlink xmlns:r="http://schemas.openxmlformats.org/officeDocument/2006/relationships" ref="T110" display="Press Release" r:id="rId74"/>
    <hyperlink xmlns:r="http://schemas.openxmlformats.org/officeDocument/2006/relationships" ref="T112" display="Transcript" r:id="rId75"/>
    <hyperlink xmlns:r="http://schemas.openxmlformats.org/officeDocument/2006/relationships" ref="T113" display="Transcript" r:id="rId76"/>
    <hyperlink xmlns:r="http://schemas.openxmlformats.org/officeDocument/2006/relationships" ref="T115" display="Press Release" r:id="rId77"/>
    <hyperlink xmlns:r="http://schemas.openxmlformats.org/officeDocument/2006/relationships" ref="T116" display="Press Release" r:id="rId78"/>
    <hyperlink xmlns:r="http://schemas.openxmlformats.org/officeDocument/2006/relationships" ref="T117" display="Press Release" r:id="rId79"/>
    <hyperlink xmlns:r="http://schemas.openxmlformats.org/officeDocument/2006/relationships" ref="T118" display="Press Release" r:id="rId80"/>
    <hyperlink xmlns:r="http://schemas.openxmlformats.org/officeDocument/2006/relationships" ref="T120" display="Transcript" r:id="rId81"/>
    <hyperlink xmlns:r="http://schemas.openxmlformats.org/officeDocument/2006/relationships" ref="T122" display="Press Release" r:id="rId82"/>
    <hyperlink xmlns:r="http://schemas.openxmlformats.org/officeDocument/2006/relationships" ref="T123" display="Press Release" r:id="rId83"/>
    <hyperlink xmlns:r="http://schemas.openxmlformats.org/officeDocument/2006/relationships" ref="T124" display="Press Release" r:id="rId84"/>
    <hyperlink xmlns:r="http://schemas.openxmlformats.org/officeDocument/2006/relationships" ref="T125" display="Press Release" r:id="rId85"/>
    <hyperlink xmlns:r="http://schemas.openxmlformats.org/officeDocument/2006/relationships" ref="T127" display="Transcript" r:id="rId86"/>
    <hyperlink xmlns:r="http://schemas.openxmlformats.org/officeDocument/2006/relationships" ref="T128" display="Transcript" r:id="rId87"/>
    <hyperlink xmlns:r="http://schemas.openxmlformats.org/officeDocument/2006/relationships" ref="T130" display="Press Release" r:id="rId88"/>
    <hyperlink xmlns:r="http://schemas.openxmlformats.org/officeDocument/2006/relationships" ref="T131" display="Press Release" r:id="rId89"/>
    <hyperlink xmlns:r="http://schemas.openxmlformats.org/officeDocument/2006/relationships" ref="T132" display="Press Release" r:id="rId90"/>
    <hyperlink xmlns:r="http://schemas.openxmlformats.org/officeDocument/2006/relationships" ref="T133" display="Press Release" r:id="rId91"/>
    <hyperlink xmlns:r="http://schemas.openxmlformats.org/officeDocument/2006/relationships" ref="T135" display="Earnings Call Transcript" r:id="rId92"/>
    <hyperlink xmlns:r="http://schemas.openxmlformats.org/officeDocument/2006/relationships" ref="T137" display="Press Release" r:id="rId93"/>
    <hyperlink xmlns:r="http://schemas.openxmlformats.org/officeDocument/2006/relationships" ref="T138" display="Press Release" r:id="rId94"/>
    <hyperlink xmlns:r="http://schemas.openxmlformats.org/officeDocument/2006/relationships" ref="T139" display="Press Release" r:id="rId95"/>
    <hyperlink xmlns:r="http://schemas.openxmlformats.org/officeDocument/2006/relationships" ref="T140" display="Press Release" r:id="rId96"/>
    <hyperlink xmlns:r="http://schemas.openxmlformats.org/officeDocument/2006/relationships" ref="T142" display="Press Release" r:id="rId97"/>
    <hyperlink xmlns:r="http://schemas.openxmlformats.org/officeDocument/2006/relationships" ref="T143" display="Press Release" r:id="rId98"/>
    <hyperlink xmlns:r="http://schemas.openxmlformats.org/officeDocument/2006/relationships" ref="T144" display="Press Release" r:id="rId99"/>
    <hyperlink xmlns:r="http://schemas.openxmlformats.org/officeDocument/2006/relationships" ref="T145" display="Press Release" r:id="rId100"/>
    <hyperlink xmlns:r="http://schemas.openxmlformats.org/officeDocument/2006/relationships" ref="T147" display="Press Release" r:id="rId101"/>
    <hyperlink xmlns:r="http://schemas.openxmlformats.org/officeDocument/2006/relationships" ref="T149" display="Press Release" r:id="rId102"/>
    <hyperlink xmlns:r="http://schemas.openxmlformats.org/officeDocument/2006/relationships" ref="T150" display="Press Release" r:id="rId103"/>
    <hyperlink xmlns:r="http://schemas.openxmlformats.org/officeDocument/2006/relationships" ref="T151" display="Press Release" r:id="rId104"/>
    <hyperlink xmlns:r="http://schemas.openxmlformats.org/officeDocument/2006/relationships" ref="T152" display="Press Release" r:id="rId105"/>
    <hyperlink xmlns:r="http://schemas.openxmlformats.org/officeDocument/2006/relationships" ref="T154" display="Transcript" r:id="rId106"/>
    <hyperlink xmlns:r="http://schemas.openxmlformats.org/officeDocument/2006/relationships" ref="T155" display="Transcript" r:id="rId107"/>
    <hyperlink xmlns:r="http://schemas.openxmlformats.org/officeDocument/2006/relationships" ref="T157" display="Press Release" r:id="rId108"/>
    <hyperlink xmlns:r="http://schemas.openxmlformats.org/officeDocument/2006/relationships" ref="T158" display="Press Release" r:id="rId109"/>
    <hyperlink xmlns:r="http://schemas.openxmlformats.org/officeDocument/2006/relationships" ref="T159" display="Press Release" r:id="rId110"/>
    <hyperlink xmlns:r="http://schemas.openxmlformats.org/officeDocument/2006/relationships" ref="T160" display="Press Release" r:id="rId111"/>
    <hyperlink xmlns:r="http://schemas.openxmlformats.org/officeDocument/2006/relationships" ref="T162" display="Transcript" r:id="rId112"/>
    <hyperlink xmlns:r="http://schemas.openxmlformats.org/officeDocument/2006/relationships" ref="T164" display="Press Release" r:id="rId113"/>
    <hyperlink xmlns:r="http://schemas.openxmlformats.org/officeDocument/2006/relationships" ref="T165" display="Press Release" r:id="rId114"/>
    <hyperlink xmlns:r="http://schemas.openxmlformats.org/officeDocument/2006/relationships" ref="T166" display="Press Release" r:id="rId115"/>
    <hyperlink xmlns:r="http://schemas.openxmlformats.org/officeDocument/2006/relationships" ref="T167" display="Press Release" r:id="rId116"/>
    <hyperlink xmlns:r="http://schemas.openxmlformats.org/officeDocument/2006/relationships" ref="T169" display="Press Release" r:id="rId117"/>
    <hyperlink xmlns:r="http://schemas.openxmlformats.org/officeDocument/2006/relationships" ref="T171" display="Press Release" r:id="rId118"/>
    <hyperlink xmlns:r="http://schemas.openxmlformats.org/officeDocument/2006/relationships" ref="T172" display="Press Release" r:id="rId119"/>
    <hyperlink xmlns:r="http://schemas.openxmlformats.org/officeDocument/2006/relationships" ref="T173" display="Press Release" r:id="rId120"/>
    <hyperlink xmlns:r="http://schemas.openxmlformats.org/officeDocument/2006/relationships" ref="T174" display="Press Release" r:id="rId121"/>
    <hyperlink xmlns:r="http://schemas.openxmlformats.org/officeDocument/2006/relationships" ref="T176" display="Transcript" r:id="rId122"/>
    <hyperlink xmlns:r="http://schemas.openxmlformats.org/officeDocument/2006/relationships" ref="T178" display="Press Release" r:id="rId123"/>
    <hyperlink xmlns:r="http://schemas.openxmlformats.org/officeDocument/2006/relationships" ref="T179" display="Press Release" r:id="rId124"/>
    <hyperlink xmlns:r="http://schemas.openxmlformats.org/officeDocument/2006/relationships" ref="T180" display="Press Release" r:id="rId125"/>
    <hyperlink xmlns:r="http://schemas.openxmlformats.org/officeDocument/2006/relationships" ref="T181" display="Press Release" r:id="rId126"/>
    <hyperlink xmlns:r="http://schemas.openxmlformats.org/officeDocument/2006/relationships" ref="T183" display="Transcript" r:id="rId127"/>
    <hyperlink xmlns:r="http://schemas.openxmlformats.org/officeDocument/2006/relationships" ref="T184" display="Transcript" r:id="rId128"/>
    <hyperlink xmlns:r="http://schemas.openxmlformats.org/officeDocument/2006/relationships" ref="T186" display="Press Release" r:id="rId129"/>
    <hyperlink xmlns:r="http://schemas.openxmlformats.org/officeDocument/2006/relationships" ref="T187" display="Press Release" r:id="rId130"/>
    <hyperlink xmlns:r="http://schemas.openxmlformats.org/officeDocument/2006/relationships" ref="T188" display="Press Release" r:id="rId131"/>
    <hyperlink xmlns:r="http://schemas.openxmlformats.org/officeDocument/2006/relationships" ref="T189" display="Press Release" r:id="rId132"/>
    <hyperlink xmlns:r="http://schemas.openxmlformats.org/officeDocument/2006/relationships" ref="T191" display="Conference Call" r:id="rId133"/>
    <hyperlink xmlns:r="http://schemas.openxmlformats.org/officeDocument/2006/relationships" ref="T193" display="Press Release" r:id="rId134"/>
    <hyperlink xmlns:r="http://schemas.openxmlformats.org/officeDocument/2006/relationships" ref="T194" display="Press Release" r:id="rId135"/>
    <hyperlink xmlns:r="http://schemas.openxmlformats.org/officeDocument/2006/relationships" ref="T195" display="Press Release" r:id="rId136"/>
    <hyperlink xmlns:r="http://schemas.openxmlformats.org/officeDocument/2006/relationships" ref="T196" display="Press Release" r:id="rId137"/>
    <hyperlink xmlns:r="http://schemas.openxmlformats.org/officeDocument/2006/relationships" ref="T198" display="Conference Call" r:id="rId138"/>
    <hyperlink xmlns:r="http://schemas.openxmlformats.org/officeDocument/2006/relationships" ref="T199" display="Conference Call" r:id="rId139"/>
    <hyperlink xmlns:r="http://schemas.openxmlformats.org/officeDocument/2006/relationships" ref="T200" display="Conference Call" r:id="rId140"/>
    <hyperlink xmlns:r="http://schemas.openxmlformats.org/officeDocument/2006/relationships" ref="T201" display="Conference Call" r:id="rId141"/>
    <hyperlink xmlns:r="http://schemas.openxmlformats.org/officeDocument/2006/relationships" ref="T202" display="Conference Call" r:id="rId142"/>
    <hyperlink xmlns:r="http://schemas.openxmlformats.org/officeDocument/2006/relationships" ref="T204" display="Press Release" r:id="rId143"/>
    <hyperlink xmlns:r="http://schemas.openxmlformats.org/officeDocument/2006/relationships" ref="T205" display="Press Release" r:id="rId144"/>
    <hyperlink xmlns:r="http://schemas.openxmlformats.org/officeDocument/2006/relationships" ref="T206" display="Press Release" r:id="rId145"/>
    <hyperlink xmlns:r="http://schemas.openxmlformats.org/officeDocument/2006/relationships" ref="T207" display="Press Release" r:id="rId146"/>
    <hyperlink xmlns:r="http://schemas.openxmlformats.org/officeDocument/2006/relationships" ref="T209" display="Transcript" r:id="rId147"/>
    <hyperlink xmlns:r="http://schemas.openxmlformats.org/officeDocument/2006/relationships" ref="T210" display="Transcript" r:id="rId148"/>
    <hyperlink xmlns:r="http://schemas.openxmlformats.org/officeDocument/2006/relationships" ref="T212" display="Press Release" r:id="rId149"/>
    <hyperlink xmlns:r="http://schemas.openxmlformats.org/officeDocument/2006/relationships" ref="T213" display="Press Release" r:id="rId150"/>
    <hyperlink xmlns:r="http://schemas.openxmlformats.org/officeDocument/2006/relationships" ref="T214" display="Press Release" r:id="rId151"/>
    <hyperlink xmlns:r="http://schemas.openxmlformats.org/officeDocument/2006/relationships" ref="T215" display="Press Release" r:id="rId152"/>
    <hyperlink xmlns:r="http://schemas.openxmlformats.org/officeDocument/2006/relationships" ref="T216" display="Transcript" r:id="rId153"/>
    <hyperlink xmlns:r="http://schemas.openxmlformats.org/officeDocument/2006/relationships" ref="T218" display="Press Release" r:id="rId154"/>
    <hyperlink xmlns:r="http://schemas.openxmlformats.org/officeDocument/2006/relationships" ref="T220" display="Press Release" r:id="rId155"/>
    <hyperlink xmlns:r="http://schemas.openxmlformats.org/officeDocument/2006/relationships" ref="T221" display="Press Release" r:id="rId156"/>
    <hyperlink xmlns:r="http://schemas.openxmlformats.org/officeDocument/2006/relationships" ref="T222" display="Press Release" r:id="rId157"/>
    <hyperlink xmlns:r="http://schemas.openxmlformats.org/officeDocument/2006/relationships" ref="T223" display="Press Release" r:id="rId158"/>
    <hyperlink xmlns:r="http://schemas.openxmlformats.org/officeDocument/2006/relationships" ref="T225" display="Transcript" r:id="rId159"/>
    <hyperlink xmlns:r="http://schemas.openxmlformats.org/officeDocument/2006/relationships" ref="T226" display="Transcript" r:id="rId160"/>
    <hyperlink xmlns:r="http://schemas.openxmlformats.org/officeDocument/2006/relationships" ref="T228" display="Press Release" r:id="rId161"/>
    <hyperlink xmlns:r="http://schemas.openxmlformats.org/officeDocument/2006/relationships" ref="T229" display="Press Release" r:id="rId162"/>
    <hyperlink xmlns:r="http://schemas.openxmlformats.org/officeDocument/2006/relationships" ref="T230" display="Press Release" r:id="rId163"/>
    <hyperlink xmlns:r="http://schemas.openxmlformats.org/officeDocument/2006/relationships" ref="T231" display="Press Release" r:id="rId164"/>
    <hyperlink xmlns:r="http://schemas.openxmlformats.org/officeDocument/2006/relationships" ref="T233" display="Transcript" r:id="rId165"/>
    <hyperlink xmlns:r="http://schemas.openxmlformats.org/officeDocument/2006/relationships" ref="T234" display="Transcript" r:id="rId166"/>
    <hyperlink xmlns:r="http://schemas.openxmlformats.org/officeDocument/2006/relationships" ref="T236" display="Press Release" r:id="rId167"/>
    <hyperlink xmlns:r="http://schemas.openxmlformats.org/officeDocument/2006/relationships" ref="T237" display="Press Release" r:id="rId168"/>
    <hyperlink xmlns:r="http://schemas.openxmlformats.org/officeDocument/2006/relationships" ref="T238" display="Press Release" r:id="rId169"/>
    <hyperlink xmlns:r="http://schemas.openxmlformats.org/officeDocument/2006/relationships" ref="T239" display="Press Release" r:id="rId170"/>
    <hyperlink xmlns:r="http://schemas.openxmlformats.org/officeDocument/2006/relationships" ref="T241" display="Transcript" r:id="rId171"/>
    <hyperlink xmlns:r="http://schemas.openxmlformats.org/officeDocument/2006/relationships" ref="T242" display="Transcript" r:id="rId172"/>
    <hyperlink xmlns:r="http://schemas.openxmlformats.org/officeDocument/2006/relationships" ref="T244" display="Press Release" r:id="rId173"/>
    <hyperlink xmlns:r="http://schemas.openxmlformats.org/officeDocument/2006/relationships" ref="T245" display="Press Release" r:id="rId174"/>
    <hyperlink xmlns:r="http://schemas.openxmlformats.org/officeDocument/2006/relationships" ref="T246" display="Press Release" r:id="rId175"/>
    <hyperlink xmlns:r="http://schemas.openxmlformats.org/officeDocument/2006/relationships" ref="T247" display="Press Release" r:id="rId176"/>
    <hyperlink xmlns:r="http://schemas.openxmlformats.org/officeDocument/2006/relationships" ref="T248" display="Transcript" r:id="rId177"/>
    <hyperlink xmlns:r="http://schemas.openxmlformats.org/officeDocument/2006/relationships" ref="T250" display="Press Release" r:id="rId178"/>
    <hyperlink xmlns:r="http://schemas.openxmlformats.org/officeDocument/2006/relationships" ref="T252" display="Press Release" r:id="rId179"/>
    <hyperlink xmlns:r="http://schemas.openxmlformats.org/officeDocument/2006/relationships" ref="T253" display="Press Release" r:id="rId180"/>
    <hyperlink xmlns:r="http://schemas.openxmlformats.org/officeDocument/2006/relationships" ref="T254" display="Press Release" r:id="rId181"/>
    <hyperlink xmlns:r="http://schemas.openxmlformats.org/officeDocument/2006/relationships" ref="T255" display="Press Release" r:id="rId182"/>
  </hyperlinks>
  <pageMargins left="0.7" right="0.7" top="0.75" bottom="0.75" header="0.3" footer="0.3"/>
  <pageSetup orientation="portrait" paperSize="1"/>
  <legacyDrawing xmlns:r="http://schemas.openxmlformats.org/officeDocument/2006/relationships" r:id="anysvml"/>
</worksheet>
</file>

<file path=xl/worksheets/sheet5.xml><?xml version="1.0" encoding="utf-8"?>
<worksheet xmlns="http://schemas.openxmlformats.org/spreadsheetml/2006/main">
  <sheetPr codeName="Sheet1">
    <outlinePr summaryBelow="1" summaryRight="1"/>
    <pageSetUpPr fitToPage="1"/>
  </sheetPr>
  <dimension ref="A1:CC135"/>
  <sheetViews>
    <sheetView topLeftCell="A1" workbookViewId="0">
      <pane xSplit="2" ySplit="2" topLeftCell="C3" activePane="bottomRight" state="frozenSplit"/>
      <selection pane="topLeft" activeCell="A1" sqref="A1"/>
      <selection pane="bottomLeft" activeCell="A3" sqref="A3"/>
      <selection pane="topRight" activeCell="C1" sqref="C1"/>
      <selection pane="bottomRight" activeCell="A1" sqref="A1"/>
    </sheetView>
  </sheetViews>
  <sheetFormatPr baseColWidth="8" defaultColWidth="9.21428571428571" defaultRowHeight="14.4" outlineLevelRow="1"/>
  <cols>
    <col width="41.2857142857143" customWidth="1" style="908" min="1" max="1"/>
    <col width="9.71428571428571" customWidth="1" style="908" min="2" max="2"/>
    <col width="12.7142857142857" customWidth="1" style="908" min="3" max="7"/>
    <col hidden="1" outlineLevel="1" width="12.7142857142857" customWidth="1" style="908" min="8" max="11"/>
    <col collapsed="1" width="12.7142857142857" customWidth="1" style="908" min="12" max="12"/>
    <col hidden="1" outlineLevel="1" width="12.7142857142857" customWidth="1" style="908" min="13" max="16"/>
    <col collapsed="1" width="12.7142857142857" customWidth="1" style="908" min="17" max="17"/>
    <col hidden="1" outlineLevel="1" width="12.7142857142857" customWidth="1" style="908" min="18" max="21"/>
    <col collapsed="1" width="12.7142857142857" customWidth="1" style="908" min="22" max="22"/>
    <col hidden="1" outlineLevel="1" width="12.7142857142857" customWidth="1" style="908" min="23" max="26"/>
    <col collapsed="1" width="12.7142857142857" customWidth="1" style="908" min="27" max="27"/>
    <col hidden="1" outlineLevel="1" width="12.7142857142857" customWidth="1" style="908" min="28" max="31"/>
    <col collapsed="1" width="12.7142857142857" customWidth="1" style="908" min="32" max="32"/>
    <col hidden="1" outlineLevel="1" width="12.7142857142857" customWidth="1" style="908" min="33" max="36"/>
    <col collapsed="1" width="12.7142857142857" customWidth="1" style="908" min="37" max="37"/>
    <col hidden="1" outlineLevel="1" width="12.7142857142857" customWidth="1" style="908" min="38" max="41"/>
    <col collapsed="1" width="12.7142857142857" customWidth="1" style="908" min="42" max="42"/>
    <col hidden="1" outlineLevel="1" width="12.7142857142857" customWidth="1" style="908" min="43" max="46"/>
    <col collapsed="1" width="12.7142857142857" customWidth="1" style="908" min="47" max="47"/>
    <col hidden="1" outlineLevel="1" collapsed="1" width="12.7142857142857" customWidth="1" style="908" min="48" max="50"/>
    <col hidden="1" outlineLevel="1" width="12.7142857142857" customWidth="1" style="908" min="51" max="51"/>
    <col collapsed="1" width="12.7142857142857" customWidth="1" style="908" min="52" max="52"/>
    <col hidden="1" outlineLevel="1" collapsed="1" width="12.7142857142857" customWidth="1" style="908" min="53" max="55"/>
    <col hidden="1" outlineLevel="1" width="12.7142857142857" customWidth="1" style="908" min="56" max="56"/>
    <col collapsed="1" width="12.7142857142857" customWidth="1" style="908" min="57" max="57"/>
    <col hidden="1" outlineLevel="1" collapsed="1" width="12.7142857142857" customWidth="1" style="908" min="58" max="60"/>
    <col hidden="1" outlineLevel="1" width="12.7142857142857" customWidth="1" style="908" min="61" max="61"/>
    <col collapsed="1" width="12.7142857142857" customWidth="1" style="908" min="62" max="62"/>
    <col hidden="1" outlineLevel="1" collapsed="1" width="12.7142857142857" customWidth="1" style="908" min="63" max="65"/>
    <col hidden="1" outlineLevel="1" width="12.7142857142857" customWidth="1" style="908" min="66" max="66"/>
    <col collapsed="1" width="12.7142857142857" customWidth="1" style="908" min="67" max="67"/>
    <col outlineLevel="1" collapsed="1" width="12.7142857142857" customWidth="1" style="908" min="68" max="70"/>
    <col outlineLevel="1" width="12.7142857142857" customWidth="1" style="908" min="71" max="71"/>
    <col width="12.7142857142857" customWidth="1" style="908" min="72" max="72"/>
    <col hidden="1" outlineLevel="1" collapsed="1" width="12.7142857142857" customWidth="1" style="908" min="73" max="75"/>
    <col hidden="1" outlineLevel="1" width="12.7142857142857" customWidth="1" style="908" min="76" max="76"/>
    <col collapsed="1" width="12.7142857142857" customWidth="1" style="908" min="77" max="77"/>
    <col width="12.7142857142857" customWidth="1" style="908" min="78" max="80"/>
    <col width="8.71428571428571" customWidth="1" style="908" min="81" max="81"/>
    <col width="9.28571428571429" customWidth="1" style="908" min="82" max="85"/>
    <col width="9.28571428571429" customWidth="1" style="908" min="86" max="16384"/>
  </cols>
  <sheetData>
    <row r="1" ht="28.8" customHeight="1" s="876">
      <c r="A1" s="1926">
        <f>MO.CompanyName</f>
        <v/>
      </c>
      <c r="B1" s="1301" t="n"/>
      <c r="C1" s="1213">
        <f>INDEX(MO_Common_QEndDate,0,COLUMN())</f>
        <v/>
      </c>
      <c r="D1" s="1214">
        <f>INDEX(MO_Common_QEndDate,0,COLUMN())</f>
        <v/>
      </c>
      <c r="E1" s="1214">
        <f>INDEX(MO_Common_QEndDate,0,COLUMN())</f>
        <v/>
      </c>
      <c r="F1" s="1214">
        <f>INDEX(MO_Common_QEndDate,0,COLUMN())</f>
        <v/>
      </c>
      <c r="G1" s="1214">
        <f>INDEX(MO_Common_QEndDate,0,COLUMN())</f>
        <v/>
      </c>
      <c r="H1" s="64">
        <f>INDEX(MO_Common_QEndDate,0,COLUMN())</f>
        <v/>
      </c>
      <c r="I1" s="64">
        <f>INDEX(MO_Common_QEndDate,0,COLUMN())</f>
        <v/>
      </c>
      <c r="J1" s="64">
        <f>INDEX(MO_Common_QEndDate,0,COLUMN())</f>
        <v/>
      </c>
      <c r="K1" s="64">
        <f>INDEX(MO_Common_QEndDate,0,COLUMN())</f>
        <v/>
      </c>
      <c r="L1" s="1214">
        <f>INDEX(MO_Common_QEndDate,0,COLUMN())</f>
        <v/>
      </c>
      <c r="M1" s="64">
        <f>INDEX(MO_Common_QEndDate,0,COLUMN())</f>
        <v/>
      </c>
      <c r="N1" s="64">
        <f>INDEX(MO_Common_QEndDate,0,COLUMN())</f>
        <v/>
      </c>
      <c r="O1" s="64">
        <f>INDEX(MO_Common_QEndDate,0,COLUMN())</f>
        <v/>
      </c>
      <c r="P1" s="64">
        <f>INDEX(MO_Common_QEndDate,0,COLUMN())</f>
        <v/>
      </c>
      <c r="Q1" s="1214">
        <f>INDEX(MO_Common_QEndDate,0,COLUMN())</f>
        <v/>
      </c>
      <c r="R1" s="64">
        <f>INDEX(MO_Common_QEndDate,0,COLUMN())</f>
        <v/>
      </c>
      <c r="S1" s="64">
        <f>INDEX(MO_Common_QEndDate,0,COLUMN())</f>
        <v/>
      </c>
      <c r="T1" s="64">
        <f>INDEX(MO_Common_QEndDate,0,COLUMN())</f>
        <v/>
      </c>
      <c r="U1" s="64">
        <f>INDEX(MO_Common_QEndDate,0,COLUMN())</f>
        <v/>
      </c>
      <c r="V1" s="1214">
        <f>INDEX(MO_Common_QEndDate,0,COLUMN())</f>
        <v/>
      </c>
      <c r="W1" s="64">
        <f>INDEX(MO_Common_QEndDate,0,COLUMN())</f>
        <v/>
      </c>
      <c r="X1" s="64">
        <f>INDEX(MO_Common_QEndDate,0,COLUMN())</f>
        <v/>
      </c>
      <c r="Y1" s="64">
        <f>INDEX(MO_Common_QEndDate,0,COLUMN())</f>
        <v/>
      </c>
      <c r="Z1" s="64">
        <f>INDEX(MO_Common_QEndDate,0,COLUMN())</f>
        <v/>
      </c>
      <c r="AA1" s="1214">
        <f>INDEX(MO_Common_QEndDate,0,COLUMN())</f>
        <v/>
      </c>
      <c r="AB1" s="64">
        <f>INDEX(MO_Common_QEndDate,0,COLUMN())</f>
        <v/>
      </c>
      <c r="AC1" s="64">
        <f>INDEX(MO_Common_QEndDate,0,COLUMN())</f>
        <v/>
      </c>
      <c r="AD1" s="64">
        <f>INDEX(MO_Common_QEndDate,0,COLUMN())</f>
        <v/>
      </c>
      <c r="AE1" s="64">
        <f>INDEX(MO_Common_QEndDate,0,COLUMN())</f>
        <v/>
      </c>
      <c r="AF1" s="1214">
        <f>INDEX(MO_Common_QEndDate,0,COLUMN())</f>
        <v/>
      </c>
      <c r="AG1" s="64">
        <f>INDEX(MO_Common_QEndDate,0,COLUMN())</f>
        <v/>
      </c>
      <c r="AH1" s="64">
        <f>INDEX(MO_Common_QEndDate,0,COLUMN())</f>
        <v/>
      </c>
      <c r="AI1" s="64">
        <f>INDEX(MO_Common_QEndDate,0,COLUMN())</f>
        <v/>
      </c>
      <c r="AJ1" s="64">
        <f>INDEX(MO_Common_QEndDate,0,COLUMN())</f>
        <v/>
      </c>
      <c r="AK1" s="1214">
        <f>INDEX(MO_Common_QEndDate,0,COLUMN())</f>
        <v/>
      </c>
      <c r="AL1" s="64">
        <f>INDEX(MO_Common_QEndDate,0,COLUMN())</f>
        <v/>
      </c>
      <c r="AM1" s="64">
        <f>INDEX(MO_Common_QEndDate,0,COLUMN())</f>
        <v/>
      </c>
      <c r="AN1" s="64">
        <f>INDEX(MO_Common_QEndDate,0,COLUMN())</f>
        <v/>
      </c>
      <c r="AO1" s="64">
        <f>INDEX(MO_Common_QEndDate,0,COLUMN())</f>
        <v/>
      </c>
      <c r="AP1" s="1214">
        <f>INDEX(MO_Common_QEndDate,0,COLUMN())</f>
        <v/>
      </c>
      <c r="AQ1" s="64">
        <f>INDEX(MO_Common_QEndDate,0,COLUMN())</f>
        <v/>
      </c>
      <c r="AR1" s="64">
        <f>INDEX(MO_Common_QEndDate,0,COLUMN())</f>
        <v/>
      </c>
      <c r="AS1" s="64">
        <f>INDEX(MO_Common_QEndDate,0,COLUMN())</f>
        <v/>
      </c>
      <c r="AT1" s="64">
        <f>INDEX(MO_Common_QEndDate,0,COLUMN())</f>
        <v/>
      </c>
      <c r="AU1" s="1214">
        <f>INDEX(MO_Common_QEndDate,0,COLUMN())</f>
        <v/>
      </c>
      <c r="AV1" s="64">
        <f>INDEX(MO_Common_QEndDate,0,COLUMN())</f>
        <v/>
      </c>
      <c r="AW1" s="64">
        <f>INDEX(MO_Common_QEndDate,0,COLUMN())</f>
        <v/>
      </c>
      <c r="AX1" s="64">
        <f>INDEX(MO_Common_QEndDate,0,COLUMN())</f>
        <v/>
      </c>
      <c r="AY1" s="64">
        <f>INDEX(MO_Common_QEndDate,0,COLUMN())</f>
        <v/>
      </c>
      <c r="AZ1" s="1214">
        <f>INDEX(MO_Common_QEndDate,0,COLUMN())</f>
        <v/>
      </c>
      <c r="BA1" s="64">
        <f>INDEX(MO_Common_QEndDate,0,COLUMN())</f>
        <v/>
      </c>
      <c r="BB1" s="64">
        <f>INDEX(MO_Common_QEndDate,0,COLUMN())</f>
        <v/>
      </c>
      <c r="BC1" s="64">
        <f>INDEX(MO_Common_QEndDate,0,COLUMN())</f>
        <v/>
      </c>
      <c r="BD1" s="64">
        <f>INDEX(MO_Common_QEndDate,0,COLUMN())</f>
        <v/>
      </c>
      <c r="BE1" s="1214">
        <f>INDEX(MO_Common_QEndDate,0,COLUMN())</f>
        <v/>
      </c>
      <c r="BF1" s="64">
        <f>INDEX(MO_Common_QEndDate,0,COLUMN())</f>
        <v/>
      </c>
      <c r="BG1" s="64">
        <f>INDEX(MO_Common_QEndDate,0,COLUMN())</f>
        <v/>
      </c>
      <c r="BH1" s="64">
        <f>INDEX(MO_Common_QEndDate,0,COLUMN())</f>
        <v/>
      </c>
      <c r="BI1" s="64">
        <f>INDEX(MO_Common_QEndDate,0,COLUMN())</f>
        <v/>
      </c>
      <c r="BJ1" s="1214">
        <f>INDEX(MO_Common_QEndDate,0,COLUMN())</f>
        <v/>
      </c>
      <c r="BK1" s="64">
        <f>INDEX(MO_Common_QEndDate,0,COLUMN())</f>
        <v/>
      </c>
      <c r="BL1" s="64">
        <f>INDEX(MO_Common_QEndDate,0,COLUMN())</f>
        <v/>
      </c>
      <c r="BM1" s="64">
        <f>INDEX(MO_Common_QEndDate,0,COLUMN())</f>
        <v/>
      </c>
      <c r="BN1" s="64">
        <f>INDEX(MO_Common_QEndDate,0,COLUMN())</f>
        <v/>
      </c>
      <c r="BO1" s="1215">
        <f>INDEX(MO_Common_QEndDate,0,COLUMN())</f>
        <v/>
      </c>
      <c r="BP1" s="64">
        <f>INDEX(MO_Common_QEndDate,0,COLUMN())</f>
        <v/>
      </c>
      <c r="BQ1" s="64">
        <f>INDEX(MO_Common_QEndDate,0,COLUMN())</f>
        <v/>
      </c>
      <c r="BR1" s="64">
        <f>INDEX(MO_Common_QEndDate,0,COLUMN())</f>
        <v/>
      </c>
      <c r="BS1" s="64">
        <f>INDEX(MO_Common_QEndDate,0,COLUMN())</f>
        <v/>
      </c>
      <c r="BT1" s="1214">
        <f>INDEX(MO_Common_QEndDate,0,COLUMN())</f>
        <v/>
      </c>
      <c r="BU1" s="64">
        <f>INDEX(MO_Common_QEndDate,0,COLUMN())</f>
        <v/>
      </c>
      <c r="BV1" s="64">
        <f>INDEX(MO_Common_QEndDate,0,COLUMN())</f>
        <v/>
      </c>
      <c r="BW1" s="64">
        <f>INDEX(MO_Common_QEndDate,0,COLUMN())</f>
        <v/>
      </c>
      <c r="BX1" s="64">
        <f>INDEX(MO_Common_QEndDate,0,COLUMN())</f>
        <v/>
      </c>
      <c r="BY1" s="1214">
        <f>INDEX(MO_Common_QEndDate,0,COLUMN())</f>
        <v/>
      </c>
      <c r="BZ1" s="1214">
        <f>INDEX(MO_Common_QEndDate,0,COLUMN())</f>
        <v/>
      </c>
      <c r="CA1" s="1214">
        <f>INDEX(MO_Common_QEndDate,0,COLUMN())</f>
        <v/>
      </c>
      <c r="CB1" s="1214">
        <f>INDEX(MO_Common_QEndDate,0,COLUMN())</f>
        <v/>
      </c>
      <c r="CC1" s="1301" t="n"/>
    </row>
    <row r="2" ht="14.4" customFormat="1" customHeight="1" s="1939">
      <c r="A2" s="1940" t="inlineStr">
        <is>
          <t>Reports</t>
        </is>
      </c>
      <c r="B2" s="1941">
        <f>MO.ReportFX</f>
        <v/>
      </c>
      <c r="C2" s="1929">
        <f>INDEX(MO_Common_ColumnHeader,0,COLUMN())</f>
        <v/>
      </c>
      <c r="D2" s="1942">
        <f>INDEX(MO_Common_ColumnHeader,0,COLUMN())</f>
        <v/>
      </c>
      <c r="E2" s="1942">
        <f>INDEX(MO_Common_ColumnHeader,0,COLUMN())</f>
        <v/>
      </c>
      <c r="F2" s="1942">
        <f>INDEX(MO_Common_ColumnHeader,0,COLUMN())</f>
        <v/>
      </c>
      <c r="G2" s="1942">
        <f>INDEX(MO_Common_ColumnHeader,0,COLUMN())</f>
        <v/>
      </c>
      <c r="H2" s="1943">
        <f>INDEX(MO_Common_ColumnHeader,0,COLUMN())</f>
        <v/>
      </c>
      <c r="I2" s="1943">
        <f>INDEX(MO_Common_ColumnHeader,0,COLUMN())</f>
        <v/>
      </c>
      <c r="J2" s="1943">
        <f>INDEX(MO_Common_ColumnHeader,0,COLUMN())</f>
        <v/>
      </c>
      <c r="K2" s="1943">
        <f>INDEX(MO_Common_ColumnHeader,0,COLUMN())</f>
        <v/>
      </c>
      <c r="L2" s="1942">
        <f>INDEX(MO_Common_ColumnHeader,0,COLUMN())</f>
        <v/>
      </c>
      <c r="M2" s="1943">
        <f>INDEX(MO_Common_ColumnHeader,0,COLUMN())</f>
        <v/>
      </c>
      <c r="N2" s="1943">
        <f>INDEX(MO_Common_ColumnHeader,0,COLUMN())</f>
        <v/>
      </c>
      <c r="O2" s="1943">
        <f>INDEX(MO_Common_ColumnHeader,0,COLUMN())</f>
        <v/>
      </c>
      <c r="P2" s="1943">
        <f>INDEX(MO_Common_ColumnHeader,0,COLUMN())</f>
        <v/>
      </c>
      <c r="Q2" s="1942">
        <f>INDEX(MO_Common_ColumnHeader,0,COLUMN())</f>
        <v/>
      </c>
      <c r="R2" s="1943">
        <f>INDEX(MO_Common_ColumnHeader,0,COLUMN())</f>
        <v/>
      </c>
      <c r="S2" s="1943">
        <f>INDEX(MO_Common_ColumnHeader,0,COLUMN())</f>
        <v/>
      </c>
      <c r="T2" s="1943">
        <f>INDEX(MO_Common_ColumnHeader,0,COLUMN())</f>
        <v/>
      </c>
      <c r="U2" s="1943">
        <f>INDEX(MO_Common_ColumnHeader,0,COLUMN())</f>
        <v/>
      </c>
      <c r="V2" s="1942">
        <f>INDEX(MO_Common_ColumnHeader,0,COLUMN())</f>
        <v/>
      </c>
      <c r="W2" s="1943">
        <f>INDEX(MO_Common_ColumnHeader,0,COLUMN())</f>
        <v/>
      </c>
      <c r="X2" s="1943">
        <f>INDEX(MO_Common_ColumnHeader,0,COLUMN())</f>
        <v/>
      </c>
      <c r="Y2" s="1943">
        <f>INDEX(MO_Common_ColumnHeader,0,COLUMN())</f>
        <v/>
      </c>
      <c r="Z2" s="1943">
        <f>INDEX(MO_Common_ColumnHeader,0,COLUMN())</f>
        <v/>
      </c>
      <c r="AA2" s="1942">
        <f>INDEX(MO_Common_ColumnHeader,0,COLUMN())</f>
        <v/>
      </c>
      <c r="AB2" s="1943">
        <f>INDEX(MO_Common_ColumnHeader,0,COLUMN())</f>
        <v/>
      </c>
      <c r="AC2" s="1943">
        <f>INDEX(MO_Common_ColumnHeader,0,COLUMN())</f>
        <v/>
      </c>
      <c r="AD2" s="1943">
        <f>INDEX(MO_Common_ColumnHeader,0,COLUMN())</f>
        <v/>
      </c>
      <c r="AE2" s="1943">
        <f>INDEX(MO_Common_ColumnHeader,0,COLUMN())</f>
        <v/>
      </c>
      <c r="AF2" s="1942">
        <f>INDEX(MO_Common_ColumnHeader,0,COLUMN())</f>
        <v/>
      </c>
      <c r="AG2" s="1943">
        <f>INDEX(MO_Common_ColumnHeader,0,COLUMN())</f>
        <v/>
      </c>
      <c r="AH2" s="1943">
        <f>INDEX(MO_Common_ColumnHeader,0,COLUMN())</f>
        <v/>
      </c>
      <c r="AI2" s="1943">
        <f>INDEX(MO_Common_ColumnHeader,0,COLUMN())</f>
        <v/>
      </c>
      <c r="AJ2" s="1943">
        <f>INDEX(MO_Common_ColumnHeader,0,COLUMN())</f>
        <v/>
      </c>
      <c r="AK2" s="1942">
        <f>INDEX(MO_Common_ColumnHeader,0,COLUMN())</f>
        <v/>
      </c>
      <c r="AL2" s="1943">
        <f>INDEX(MO_Common_ColumnHeader,0,COLUMN())</f>
        <v/>
      </c>
      <c r="AM2" s="1943">
        <f>INDEX(MO_Common_ColumnHeader,0,COLUMN())</f>
        <v/>
      </c>
      <c r="AN2" s="1943">
        <f>INDEX(MO_Common_ColumnHeader,0,COLUMN())</f>
        <v/>
      </c>
      <c r="AO2" s="1943">
        <f>INDEX(MO_Common_ColumnHeader,0,COLUMN())</f>
        <v/>
      </c>
      <c r="AP2" s="1942">
        <f>INDEX(MO_Common_ColumnHeader,0,COLUMN())</f>
        <v/>
      </c>
      <c r="AQ2" s="1943">
        <f>INDEX(MO_Common_ColumnHeader,0,COLUMN())</f>
        <v/>
      </c>
      <c r="AR2" s="1943">
        <f>INDEX(MO_Common_ColumnHeader,0,COLUMN())</f>
        <v/>
      </c>
      <c r="AS2" s="1943">
        <f>INDEX(MO_Common_ColumnHeader,0,COLUMN())</f>
        <v/>
      </c>
      <c r="AT2" s="1943">
        <f>INDEX(MO_Common_ColumnHeader,0,COLUMN())</f>
        <v/>
      </c>
      <c r="AU2" s="1942">
        <f>INDEX(MO_Common_ColumnHeader,0,COLUMN())</f>
        <v/>
      </c>
      <c r="AV2" s="1943">
        <f>INDEX(MO_Common_ColumnHeader,0,COLUMN())</f>
        <v/>
      </c>
      <c r="AW2" s="1943">
        <f>INDEX(MO_Common_ColumnHeader,0,COLUMN())</f>
        <v/>
      </c>
      <c r="AX2" s="1943">
        <f>INDEX(MO_Common_ColumnHeader,0,COLUMN())</f>
        <v/>
      </c>
      <c r="AY2" s="1943">
        <f>INDEX(MO_Common_ColumnHeader,0,COLUMN())</f>
        <v/>
      </c>
      <c r="AZ2" s="1942">
        <f>INDEX(MO_Common_ColumnHeader,0,COLUMN())</f>
        <v/>
      </c>
      <c r="BA2" s="1943">
        <f>INDEX(MO_Common_ColumnHeader,0,COLUMN())</f>
        <v/>
      </c>
      <c r="BB2" s="1943">
        <f>INDEX(MO_Common_ColumnHeader,0,COLUMN())</f>
        <v/>
      </c>
      <c r="BC2" s="1943">
        <f>INDEX(MO_Common_ColumnHeader,0,COLUMN())</f>
        <v/>
      </c>
      <c r="BD2" s="1943">
        <f>INDEX(MO_Common_ColumnHeader,0,COLUMN())</f>
        <v/>
      </c>
      <c r="BE2" s="1942">
        <f>INDEX(MO_Common_ColumnHeader,0,COLUMN())</f>
        <v/>
      </c>
      <c r="BF2" s="1943">
        <f>INDEX(MO_Common_ColumnHeader,0,COLUMN())</f>
        <v/>
      </c>
      <c r="BG2" s="1943">
        <f>INDEX(MO_Common_ColumnHeader,0,COLUMN())</f>
        <v/>
      </c>
      <c r="BH2" s="1943">
        <f>INDEX(MO_Common_ColumnHeader,0,COLUMN())</f>
        <v/>
      </c>
      <c r="BI2" s="1943">
        <f>INDEX(MO_Common_ColumnHeader,0,COLUMN())</f>
        <v/>
      </c>
      <c r="BJ2" s="1942">
        <f>INDEX(MO_Common_ColumnHeader,0,COLUMN())</f>
        <v/>
      </c>
      <c r="BK2" s="1943">
        <f>INDEX(MO_Common_ColumnHeader,0,COLUMN())</f>
        <v/>
      </c>
      <c r="BL2" s="1943">
        <f>INDEX(MO_Common_ColumnHeader,0,COLUMN())</f>
        <v/>
      </c>
      <c r="BM2" s="1943">
        <f>INDEX(MO_Common_ColumnHeader,0,COLUMN())</f>
        <v/>
      </c>
      <c r="BN2" s="1943">
        <f>INDEX(MO_Common_ColumnHeader,0,COLUMN())</f>
        <v/>
      </c>
      <c r="BO2" s="1944">
        <f>INDEX(MO_Common_ColumnHeader,0,COLUMN())</f>
        <v/>
      </c>
      <c r="BP2" s="1943">
        <f>INDEX(MO_Common_ColumnHeader,0,COLUMN())</f>
        <v/>
      </c>
      <c r="BQ2" s="1943">
        <f>INDEX(MO_Common_ColumnHeader,0,COLUMN())</f>
        <v/>
      </c>
      <c r="BR2" s="1943">
        <f>INDEX(MO_Common_ColumnHeader,0,COLUMN())</f>
        <v/>
      </c>
      <c r="BS2" s="1943">
        <f>INDEX(MO_Common_ColumnHeader,0,COLUMN())</f>
        <v/>
      </c>
      <c r="BT2" s="1942">
        <f>INDEX(MO_Common_ColumnHeader,0,COLUMN())</f>
        <v/>
      </c>
      <c r="BU2" s="1943">
        <f>INDEX(MO_Common_ColumnHeader,0,COLUMN())</f>
        <v/>
      </c>
      <c r="BV2" s="1943">
        <f>INDEX(MO_Common_ColumnHeader,0,COLUMN())</f>
        <v/>
      </c>
      <c r="BW2" s="1943">
        <f>INDEX(MO_Common_ColumnHeader,0,COLUMN())</f>
        <v/>
      </c>
      <c r="BX2" s="1943">
        <f>INDEX(MO_Common_ColumnHeader,0,COLUMN())</f>
        <v/>
      </c>
      <c r="BY2" s="1942">
        <f>INDEX(MO_Common_ColumnHeader,0,COLUMN())</f>
        <v/>
      </c>
      <c r="BZ2" s="1942">
        <f>INDEX(MO_Common_ColumnHeader,0,COLUMN())</f>
        <v/>
      </c>
      <c r="CA2" s="1942">
        <f>INDEX(MO_Common_ColumnHeader,0,COLUMN())</f>
        <v/>
      </c>
      <c r="CB2" s="1942">
        <f>INDEX(MO_Common_ColumnHeader,0,COLUMN())</f>
        <v/>
      </c>
      <c r="CC2" s="1301" t="n"/>
    </row>
    <row r="3" ht="14.4" customHeight="1" s="876">
      <c r="A3" s="1945" t="inlineStr">
        <is>
          <t>Capitalization Summary</t>
        </is>
      </c>
      <c r="B3" s="1945" t="n"/>
      <c r="C3" s="1945" t="n"/>
      <c r="D3" s="1945" t="n"/>
      <c r="E3" s="1945" t="n"/>
      <c r="F3" s="1945" t="n"/>
      <c r="G3" s="1945" t="n"/>
      <c r="H3" s="1945" t="n"/>
      <c r="I3" s="1945" t="n"/>
      <c r="J3" s="1945" t="n"/>
      <c r="K3" s="1945" t="n"/>
      <c r="L3" s="1945" t="n"/>
      <c r="M3" s="1945" t="n"/>
      <c r="N3" s="1945" t="n"/>
      <c r="O3" s="1945" t="n"/>
      <c r="P3" s="1945" t="n"/>
      <c r="Q3" s="1945" t="n"/>
      <c r="R3" s="1945" t="n"/>
      <c r="S3" s="1945" t="n"/>
      <c r="T3" s="1945" t="n"/>
      <c r="U3" s="1945" t="n"/>
      <c r="V3" s="1945" t="n"/>
      <c r="W3" s="1945" t="n"/>
      <c r="X3" s="1945" t="n"/>
      <c r="Y3" s="1945" t="n"/>
      <c r="Z3" s="1945" t="n"/>
      <c r="AA3" s="1945" t="n"/>
      <c r="AB3" s="1945" t="n"/>
      <c r="AC3" s="1945" t="n"/>
      <c r="AD3" s="1945" t="n"/>
      <c r="AE3" s="1945" t="n"/>
      <c r="AF3" s="1945" t="n"/>
      <c r="AG3" s="1945" t="n"/>
      <c r="AH3" s="1945" t="n"/>
      <c r="AI3" s="1945" t="n"/>
      <c r="AJ3" s="1945" t="n"/>
      <c r="AK3" s="1945" t="n"/>
      <c r="AL3" s="1945" t="n"/>
      <c r="AM3" s="1945" t="n"/>
      <c r="AN3" s="1945" t="n"/>
      <c r="AO3" s="1945" t="n"/>
      <c r="AP3" s="1945" t="n"/>
      <c r="AQ3" s="1945" t="n"/>
      <c r="AR3" s="1945" t="n"/>
      <c r="AS3" s="1945" t="n"/>
      <c r="AT3" s="1945" t="n"/>
      <c r="AU3" s="1945" t="n"/>
      <c r="AV3" s="1945" t="n"/>
      <c r="AW3" s="1945" t="n"/>
      <c r="AX3" s="1945" t="n"/>
      <c r="AY3" s="1945" t="n"/>
      <c r="AZ3" s="1945" t="n"/>
      <c r="BA3" s="1945" t="n"/>
      <c r="BB3" s="1945" t="n"/>
      <c r="BC3" s="1945" t="n"/>
      <c r="BD3" s="1945" t="n"/>
      <c r="BE3" s="1945" t="n"/>
      <c r="BF3" s="1945" t="n"/>
      <c r="BG3" s="1945" t="n"/>
      <c r="BH3" s="1945" t="n"/>
      <c r="BI3" s="1945" t="n"/>
      <c r="BJ3" s="1945" t="n"/>
      <c r="BK3" s="1945" t="n"/>
      <c r="BL3" s="1945" t="n"/>
      <c r="BM3" s="1945" t="n"/>
      <c r="BN3" s="1945" t="n"/>
      <c r="BO3" s="1946" t="n"/>
      <c r="BP3" s="1945" t="n"/>
      <c r="BQ3" s="1945" t="n"/>
      <c r="BR3" s="1945" t="n"/>
      <c r="BS3" s="1945" t="n"/>
      <c r="BT3" s="1945" t="n"/>
      <c r="BU3" s="1945" t="n"/>
      <c r="BV3" s="1945" t="n"/>
      <c r="BW3" s="1945" t="n"/>
      <c r="BX3" s="1945" t="n"/>
      <c r="BY3" s="1945" t="n"/>
      <c r="BZ3" s="1945" t="n"/>
      <c r="CA3" s="1945" t="n"/>
      <c r="CB3" s="1945" t="n"/>
      <c r="CC3" s="1527" t="n"/>
    </row>
    <row r="4" ht="14.4" customFormat="1" customHeight="1" s="1947">
      <c r="A4" s="1948">
        <f>"Stock Price - "&amp;SP.ValuationToggle</f>
        <v/>
      </c>
      <c r="B4" s="1949" t="inlineStr">
        <is>
          <t>EoP</t>
        </is>
      </c>
      <c r="C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D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E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F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G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H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I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J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K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L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M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N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O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P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Q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R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S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T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U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V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W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X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Y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Z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A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B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C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D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E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F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G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H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I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J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K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L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M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N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O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P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Q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R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S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T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U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V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W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X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Y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Z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A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B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C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D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E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F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G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H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I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J4" s="195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K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L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M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N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O4" s="1952">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P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Q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R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S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T4" s="195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U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V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W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X4" s="195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Y4" s="195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Z4" s="195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A4" s="195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B4" s="195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C4" s="1954" t="n"/>
    </row>
    <row r="5" ht="14.4" customFormat="1" customHeight="1" s="1947">
      <c r="A5" s="1955">
        <f>INDEX(MO_SCA_ShareCount_EoP_Diluted,0,COLUMN())</f>
        <v/>
      </c>
      <c r="B5" s="1956" t="n"/>
      <c r="C5" s="1957">
        <f>INDEX(MO_SCA_ShareCount_EoP_Diluted,0,COLUMN())</f>
        <v/>
      </c>
      <c r="D5" s="1957">
        <f>INDEX(MO_SCA_ShareCount_EoP_Diluted,0,COLUMN())</f>
        <v/>
      </c>
      <c r="E5" s="1957">
        <f>INDEX(MO_SCA_ShareCount_EoP_Diluted,0,COLUMN())</f>
        <v/>
      </c>
      <c r="F5" s="1957">
        <f>INDEX(MO_SCA_ShareCount_EoP_Diluted,0,COLUMN())</f>
        <v/>
      </c>
      <c r="G5" s="1957">
        <f>INDEX(MO_SCA_ShareCount_EoP_Diluted,0,COLUMN())</f>
        <v/>
      </c>
      <c r="H5" s="1958">
        <f>INDEX(MO_SCA_ShareCount_EoP_Diluted,0,COLUMN())</f>
        <v/>
      </c>
      <c r="I5" s="1958">
        <f>INDEX(MO_SCA_ShareCount_EoP_Diluted,0,COLUMN())</f>
        <v/>
      </c>
      <c r="J5" s="1958">
        <f>INDEX(MO_SCA_ShareCount_EoP_Diluted,0,COLUMN())</f>
        <v/>
      </c>
      <c r="K5" s="1958">
        <f>INDEX(MO_SCA_ShareCount_EoP_Diluted,0,COLUMN())</f>
        <v/>
      </c>
      <c r="L5" s="1957">
        <f>INDEX(MO_SCA_ShareCount_EoP_Diluted,0,COLUMN())</f>
        <v/>
      </c>
      <c r="M5" s="1958">
        <f>INDEX(MO_SCA_ShareCount_EoP_Diluted,0,COLUMN())</f>
        <v/>
      </c>
      <c r="N5" s="1958">
        <f>INDEX(MO_SCA_ShareCount_EoP_Diluted,0,COLUMN())</f>
        <v/>
      </c>
      <c r="O5" s="1958">
        <f>INDEX(MO_SCA_ShareCount_EoP_Diluted,0,COLUMN())</f>
        <v/>
      </c>
      <c r="P5" s="1958">
        <f>INDEX(MO_SCA_ShareCount_EoP_Diluted,0,COLUMN())</f>
        <v/>
      </c>
      <c r="Q5" s="1957">
        <f>INDEX(MO_SCA_ShareCount_EoP_Diluted,0,COLUMN())</f>
        <v/>
      </c>
      <c r="R5" s="1958">
        <f>INDEX(MO_SCA_ShareCount_EoP_Diluted,0,COLUMN())</f>
        <v/>
      </c>
      <c r="S5" s="1958">
        <f>INDEX(MO_SCA_ShareCount_EoP_Diluted,0,COLUMN())</f>
        <v/>
      </c>
      <c r="T5" s="1958">
        <f>INDEX(MO_SCA_ShareCount_EoP_Diluted,0,COLUMN())</f>
        <v/>
      </c>
      <c r="U5" s="1958">
        <f>INDEX(MO_SCA_ShareCount_EoP_Diluted,0,COLUMN())</f>
        <v/>
      </c>
      <c r="V5" s="1957">
        <f>INDEX(MO_SCA_ShareCount_EoP_Diluted,0,COLUMN())</f>
        <v/>
      </c>
      <c r="W5" s="1958">
        <f>INDEX(MO_SCA_ShareCount_EoP_Diluted,0,COLUMN())</f>
        <v/>
      </c>
      <c r="X5" s="1958">
        <f>INDEX(MO_SCA_ShareCount_EoP_Diluted,0,COLUMN())</f>
        <v/>
      </c>
      <c r="Y5" s="1958">
        <f>INDEX(MO_SCA_ShareCount_EoP_Diluted,0,COLUMN())</f>
        <v/>
      </c>
      <c r="Z5" s="1958">
        <f>INDEX(MO_SCA_ShareCount_EoP_Diluted,0,COLUMN())</f>
        <v/>
      </c>
      <c r="AA5" s="1957">
        <f>INDEX(MO_SCA_ShareCount_EoP_Diluted,0,COLUMN())</f>
        <v/>
      </c>
      <c r="AB5" s="1958">
        <f>INDEX(MO_SCA_ShareCount_EoP_Diluted,0,COLUMN())</f>
        <v/>
      </c>
      <c r="AC5" s="1958">
        <f>INDEX(MO_SCA_ShareCount_EoP_Diluted,0,COLUMN())</f>
        <v/>
      </c>
      <c r="AD5" s="1958">
        <f>INDEX(MO_SCA_ShareCount_EoP_Diluted,0,COLUMN())</f>
        <v/>
      </c>
      <c r="AE5" s="1958">
        <f>INDEX(MO_SCA_ShareCount_EoP_Diluted,0,COLUMN())</f>
        <v/>
      </c>
      <c r="AF5" s="1957">
        <f>INDEX(MO_SCA_ShareCount_EoP_Diluted,0,COLUMN())</f>
        <v/>
      </c>
      <c r="AG5" s="1958">
        <f>INDEX(MO_SCA_ShareCount_EoP_Diluted,0,COLUMN())</f>
        <v/>
      </c>
      <c r="AH5" s="1958">
        <f>INDEX(MO_SCA_ShareCount_EoP_Diluted,0,COLUMN())</f>
        <v/>
      </c>
      <c r="AI5" s="1958">
        <f>INDEX(MO_SCA_ShareCount_EoP_Diluted,0,COLUMN())</f>
        <v/>
      </c>
      <c r="AJ5" s="1958">
        <f>INDEX(MO_SCA_ShareCount_EoP_Diluted,0,COLUMN())</f>
        <v/>
      </c>
      <c r="AK5" s="1957">
        <f>INDEX(MO_SCA_ShareCount_EoP_Diluted,0,COLUMN())</f>
        <v/>
      </c>
      <c r="AL5" s="1958">
        <f>INDEX(MO_SCA_ShareCount_EoP_Diluted,0,COLUMN())</f>
        <v/>
      </c>
      <c r="AM5" s="1958">
        <f>INDEX(MO_SCA_ShareCount_EoP_Diluted,0,COLUMN())</f>
        <v/>
      </c>
      <c r="AN5" s="1958">
        <f>INDEX(MO_SCA_ShareCount_EoP_Diluted,0,COLUMN())</f>
        <v/>
      </c>
      <c r="AO5" s="1958">
        <f>INDEX(MO_SCA_ShareCount_EoP_Diluted,0,COLUMN())</f>
        <v/>
      </c>
      <c r="AP5" s="1957">
        <f>INDEX(MO_SCA_ShareCount_EoP_Diluted,0,COLUMN())</f>
        <v/>
      </c>
      <c r="AQ5" s="1958">
        <f>INDEX(MO_SCA_ShareCount_EoP_Diluted,0,COLUMN())</f>
        <v/>
      </c>
      <c r="AR5" s="1958">
        <f>INDEX(MO_SCA_ShareCount_EoP_Diluted,0,COLUMN())</f>
        <v/>
      </c>
      <c r="AS5" s="1958">
        <f>INDEX(MO_SCA_ShareCount_EoP_Diluted,0,COLUMN())</f>
        <v/>
      </c>
      <c r="AT5" s="1958">
        <f>INDEX(MO_SCA_ShareCount_EoP_Diluted,0,COLUMN())</f>
        <v/>
      </c>
      <c r="AU5" s="1957">
        <f>INDEX(MO_SCA_ShareCount_EoP_Diluted,0,COLUMN())</f>
        <v/>
      </c>
      <c r="AV5" s="1958">
        <f>INDEX(MO_SCA_ShareCount_EoP_Diluted,0,COLUMN())</f>
        <v/>
      </c>
      <c r="AW5" s="1958">
        <f>INDEX(MO_SCA_ShareCount_EoP_Diluted,0,COLUMN())</f>
        <v/>
      </c>
      <c r="AX5" s="1958">
        <f>INDEX(MO_SCA_ShareCount_EoP_Diluted,0,COLUMN())</f>
        <v/>
      </c>
      <c r="AY5" s="1958">
        <f>INDEX(MO_SCA_ShareCount_EoP_Diluted,0,COLUMN())</f>
        <v/>
      </c>
      <c r="AZ5" s="1957">
        <f>INDEX(MO_SCA_ShareCount_EoP_Diluted,0,COLUMN())</f>
        <v/>
      </c>
      <c r="BA5" s="1958">
        <f>INDEX(MO_SCA_ShareCount_EoP_Diluted,0,COLUMN())</f>
        <v/>
      </c>
      <c r="BB5" s="1958">
        <f>INDEX(MO_SCA_ShareCount_EoP_Diluted,0,COLUMN())</f>
        <v/>
      </c>
      <c r="BC5" s="1958">
        <f>INDEX(MO_SCA_ShareCount_EoP_Diluted,0,COLUMN())</f>
        <v/>
      </c>
      <c r="BD5" s="1958">
        <f>INDEX(MO_SCA_ShareCount_EoP_Diluted,0,COLUMN())</f>
        <v/>
      </c>
      <c r="BE5" s="1957">
        <f>INDEX(MO_SCA_ShareCount_EoP_Diluted,0,COLUMN())</f>
        <v/>
      </c>
      <c r="BF5" s="1958">
        <f>INDEX(MO_SCA_ShareCount_EoP_Diluted,0,COLUMN())</f>
        <v/>
      </c>
      <c r="BG5" s="1958">
        <f>INDEX(MO_SCA_ShareCount_EoP_Diluted,0,COLUMN())</f>
        <v/>
      </c>
      <c r="BH5" s="1958">
        <f>INDEX(MO_SCA_ShareCount_EoP_Diluted,0,COLUMN())</f>
        <v/>
      </c>
      <c r="BI5" s="1958">
        <f>INDEX(MO_SCA_ShareCount_EoP_Diluted,0,COLUMN())</f>
        <v/>
      </c>
      <c r="BJ5" s="1957">
        <f>INDEX(MO_SCA_ShareCount_EoP_Diluted,0,COLUMN())</f>
        <v/>
      </c>
      <c r="BK5" s="1958">
        <f>INDEX(MO_SCA_ShareCount_EoP_Diluted,0,COLUMN())</f>
        <v/>
      </c>
      <c r="BL5" s="1958">
        <f>INDEX(MO_SCA_ShareCount_EoP_Diluted,0,COLUMN())</f>
        <v/>
      </c>
      <c r="BM5" s="1958">
        <f>INDEX(MO_SCA_ShareCount_EoP_Diluted,0,COLUMN())</f>
        <v/>
      </c>
      <c r="BN5" s="1958">
        <f>INDEX(MO_SCA_ShareCount_EoP_Diluted,0,COLUMN())</f>
        <v/>
      </c>
      <c r="BO5" s="1959">
        <f>INDEX(MO_SCA_ShareCount_EoP_Diluted,0,COLUMN())</f>
        <v/>
      </c>
      <c r="BP5" s="1958">
        <f>INDEX(MO_SCA_ShareCount_EoP_Diluted,0,COLUMN())</f>
        <v/>
      </c>
      <c r="BQ5" s="1958">
        <f>INDEX(MO_SCA_ShareCount_EoP_Diluted,0,COLUMN())</f>
        <v/>
      </c>
      <c r="BR5" s="1958">
        <f>INDEX(MO_SCA_ShareCount_EoP_Diluted,0,COLUMN())</f>
        <v/>
      </c>
      <c r="BS5" s="1958">
        <f>INDEX(MO_SCA_ShareCount_EoP_Diluted,0,COLUMN())</f>
        <v/>
      </c>
      <c r="BT5" s="1960">
        <f>INDEX(MO_SCA_ShareCount_EoP_Diluted,0,COLUMN())</f>
        <v/>
      </c>
      <c r="BU5" s="1958">
        <f>INDEX(MO_SCA_ShareCount_EoP_Diluted,0,COLUMN())</f>
        <v/>
      </c>
      <c r="BV5" s="1958">
        <f>INDEX(MO_SCA_ShareCount_EoP_Diluted,0,COLUMN())</f>
        <v/>
      </c>
      <c r="BW5" s="1958">
        <f>INDEX(MO_SCA_ShareCount_EoP_Diluted,0,COLUMN())</f>
        <v/>
      </c>
      <c r="BX5" s="1958">
        <f>INDEX(MO_SCA_ShareCount_EoP_Diluted,0,COLUMN())</f>
        <v/>
      </c>
      <c r="BY5" s="1960">
        <f>INDEX(MO_SCA_ShareCount_EoP_Diluted,0,COLUMN())</f>
        <v/>
      </c>
      <c r="BZ5" s="1960">
        <f>INDEX(MO_SCA_ShareCount_EoP_Diluted,0,COLUMN())</f>
        <v/>
      </c>
      <c r="CA5" s="1960">
        <f>INDEX(MO_SCA_ShareCount_EoP_Diluted,0,COLUMN())</f>
        <v/>
      </c>
      <c r="CB5" s="1960">
        <f>INDEX(MO_SCA_ShareCount_EoP_Diluted,0,COLUMN())</f>
        <v/>
      </c>
      <c r="CC5" s="1954" t="n"/>
    </row>
    <row r="6" ht="14.4" customFormat="1" customHeight="1" s="1961">
      <c r="A6" s="1962">
        <f>"Market Cap - "&amp;SP.ValuationToggle</f>
        <v/>
      </c>
      <c r="B6" s="1963" t="n"/>
      <c r="C6" s="1964">
        <f>INDEX(SP_CS_StockPrice,0,COLUMN())*INDEX(SP_CS_ShareCount_EoP_Diluted,0,COLUMN())</f>
        <v/>
      </c>
      <c r="D6" s="1964">
        <f>INDEX(SP_CS_StockPrice,0,COLUMN())*INDEX(SP_CS_ShareCount_EoP_Diluted,0,COLUMN())</f>
        <v/>
      </c>
      <c r="E6" s="1964">
        <f>INDEX(SP_CS_StockPrice,0,COLUMN())*INDEX(SP_CS_ShareCount_EoP_Diluted,0,COLUMN())</f>
        <v/>
      </c>
      <c r="F6" s="1964">
        <f>INDEX(SP_CS_StockPrice,0,COLUMN())*INDEX(SP_CS_ShareCount_EoP_Diluted,0,COLUMN())</f>
        <v/>
      </c>
      <c r="G6" s="1964">
        <f>INDEX(SP_CS_StockPrice,0,COLUMN())*INDEX(SP_CS_ShareCount_EoP_Diluted,0,COLUMN())</f>
        <v/>
      </c>
      <c r="H6" s="1965">
        <f>INDEX(SP_CS_StockPrice,0,COLUMN())*INDEX(SP_CS_ShareCount_EoP_Diluted,0,COLUMN())</f>
        <v/>
      </c>
      <c r="I6" s="1965">
        <f>INDEX(SP_CS_StockPrice,0,COLUMN())*INDEX(SP_CS_ShareCount_EoP_Diluted,0,COLUMN())</f>
        <v/>
      </c>
      <c r="J6" s="1965">
        <f>INDEX(SP_CS_StockPrice,0,COLUMN())*INDEX(SP_CS_ShareCount_EoP_Diluted,0,COLUMN())</f>
        <v/>
      </c>
      <c r="K6" s="1965">
        <f>INDEX(SP_CS_StockPrice,0,COLUMN())*INDEX(SP_CS_ShareCount_EoP_Diluted,0,COLUMN())</f>
        <v/>
      </c>
      <c r="L6" s="1964">
        <f>INDEX(SP_CS_StockPrice,0,COLUMN())*INDEX(SP_CS_ShareCount_EoP_Diluted,0,COLUMN())</f>
        <v/>
      </c>
      <c r="M6" s="1965">
        <f>INDEX(SP_CS_StockPrice,0,COLUMN())*INDEX(SP_CS_ShareCount_EoP_Diluted,0,COLUMN())</f>
        <v/>
      </c>
      <c r="N6" s="1965">
        <f>INDEX(SP_CS_StockPrice,0,COLUMN())*INDEX(SP_CS_ShareCount_EoP_Diluted,0,COLUMN())</f>
        <v/>
      </c>
      <c r="O6" s="1965">
        <f>INDEX(SP_CS_StockPrice,0,COLUMN())*INDEX(SP_CS_ShareCount_EoP_Diluted,0,COLUMN())</f>
        <v/>
      </c>
      <c r="P6" s="1965">
        <f>INDEX(SP_CS_StockPrice,0,COLUMN())*INDEX(SP_CS_ShareCount_EoP_Diluted,0,COLUMN())</f>
        <v/>
      </c>
      <c r="Q6" s="1964">
        <f>INDEX(SP_CS_StockPrice,0,COLUMN())*INDEX(SP_CS_ShareCount_EoP_Diluted,0,COLUMN())</f>
        <v/>
      </c>
      <c r="R6" s="1965">
        <f>INDEX(SP_CS_StockPrice,0,COLUMN())*INDEX(SP_CS_ShareCount_EoP_Diluted,0,COLUMN())</f>
        <v/>
      </c>
      <c r="S6" s="1965">
        <f>INDEX(SP_CS_StockPrice,0,COLUMN())*INDEX(SP_CS_ShareCount_EoP_Diluted,0,COLUMN())</f>
        <v/>
      </c>
      <c r="T6" s="1965">
        <f>INDEX(SP_CS_StockPrice,0,COLUMN())*INDEX(SP_CS_ShareCount_EoP_Diluted,0,COLUMN())</f>
        <v/>
      </c>
      <c r="U6" s="1965">
        <f>INDEX(SP_CS_StockPrice,0,COLUMN())*INDEX(SP_CS_ShareCount_EoP_Diluted,0,COLUMN())</f>
        <v/>
      </c>
      <c r="V6" s="1964">
        <f>INDEX(SP_CS_StockPrice,0,COLUMN())*INDEX(SP_CS_ShareCount_EoP_Diluted,0,COLUMN())</f>
        <v/>
      </c>
      <c r="W6" s="1965">
        <f>INDEX(SP_CS_StockPrice,0,COLUMN())*INDEX(SP_CS_ShareCount_EoP_Diluted,0,COLUMN())</f>
        <v/>
      </c>
      <c r="X6" s="1965">
        <f>INDEX(SP_CS_StockPrice,0,COLUMN())*INDEX(SP_CS_ShareCount_EoP_Diluted,0,COLUMN())</f>
        <v/>
      </c>
      <c r="Y6" s="1965">
        <f>INDEX(SP_CS_StockPrice,0,COLUMN())*INDEX(SP_CS_ShareCount_EoP_Diluted,0,COLUMN())</f>
        <v/>
      </c>
      <c r="Z6" s="1965">
        <f>INDEX(SP_CS_StockPrice,0,COLUMN())*INDEX(SP_CS_ShareCount_EoP_Diluted,0,COLUMN())</f>
        <v/>
      </c>
      <c r="AA6" s="1964">
        <f>INDEX(SP_CS_StockPrice,0,COLUMN())*INDEX(SP_CS_ShareCount_EoP_Diluted,0,COLUMN())</f>
        <v/>
      </c>
      <c r="AB6" s="1965">
        <f>INDEX(SP_CS_StockPrice,0,COLUMN())*INDEX(SP_CS_ShareCount_EoP_Diluted,0,COLUMN())</f>
        <v/>
      </c>
      <c r="AC6" s="1965">
        <f>INDEX(SP_CS_StockPrice,0,COLUMN())*INDEX(SP_CS_ShareCount_EoP_Diluted,0,COLUMN())</f>
        <v/>
      </c>
      <c r="AD6" s="1965">
        <f>INDEX(SP_CS_StockPrice,0,COLUMN())*INDEX(SP_CS_ShareCount_EoP_Diluted,0,COLUMN())</f>
        <v/>
      </c>
      <c r="AE6" s="1965">
        <f>INDEX(SP_CS_StockPrice,0,COLUMN())*INDEX(SP_CS_ShareCount_EoP_Diluted,0,COLUMN())</f>
        <v/>
      </c>
      <c r="AF6" s="1964">
        <f>INDEX(SP_CS_StockPrice,0,COLUMN())*INDEX(SP_CS_ShareCount_EoP_Diluted,0,COLUMN())</f>
        <v/>
      </c>
      <c r="AG6" s="1965">
        <f>INDEX(SP_CS_StockPrice,0,COLUMN())*INDEX(SP_CS_ShareCount_EoP_Diluted,0,COLUMN())</f>
        <v/>
      </c>
      <c r="AH6" s="1965">
        <f>INDEX(SP_CS_StockPrice,0,COLUMN())*INDEX(SP_CS_ShareCount_EoP_Diluted,0,COLUMN())</f>
        <v/>
      </c>
      <c r="AI6" s="1965">
        <f>INDEX(SP_CS_StockPrice,0,COLUMN())*INDEX(SP_CS_ShareCount_EoP_Diluted,0,COLUMN())</f>
        <v/>
      </c>
      <c r="AJ6" s="1965">
        <f>INDEX(SP_CS_StockPrice,0,COLUMN())*INDEX(SP_CS_ShareCount_EoP_Diluted,0,COLUMN())</f>
        <v/>
      </c>
      <c r="AK6" s="1964">
        <f>INDEX(SP_CS_StockPrice,0,COLUMN())*INDEX(SP_CS_ShareCount_EoP_Diluted,0,COLUMN())</f>
        <v/>
      </c>
      <c r="AL6" s="1965">
        <f>INDEX(SP_CS_StockPrice,0,COLUMN())*INDEX(SP_CS_ShareCount_EoP_Diluted,0,COLUMN())</f>
        <v/>
      </c>
      <c r="AM6" s="1965">
        <f>INDEX(SP_CS_StockPrice,0,COLUMN())*INDEX(SP_CS_ShareCount_EoP_Diluted,0,COLUMN())</f>
        <v/>
      </c>
      <c r="AN6" s="1965">
        <f>INDEX(SP_CS_StockPrice,0,COLUMN())*INDEX(SP_CS_ShareCount_EoP_Diluted,0,COLUMN())</f>
        <v/>
      </c>
      <c r="AO6" s="1965">
        <f>INDEX(SP_CS_StockPrice,0,COLUMN())*INDEX(SP_CS_ShareCount_EoP_Diluted,0,COLUMN())</f>
        <v/>
      </c>
      <c r="AP6" s="1964">
        <f>INDEX(SP_CS_StockPrice,0,COLUMN())*INDEX(SP_CS_ShareCount_EoP_Diluted,0,COLUMN())</f>
        <v/>
      </c>
      <c r="AQ6" s="1965">
        <f>INDEX(SP_CS_StockPrice,0,COLUMN())*INDEX(SP_CS_ShareCount_EoP_Diluted,0,COLUMN())</f>
        <v/>
      </c>
      <c r="AR6" s="1965">
        <f>INDEX(SP_CS_StockPrice,0,COLUMN())*INDEX(SP_CS_ShareCount_EoP_Diluted,0,COLUMN())</f>
        <v/>
      </c>
      <c r="AS6" s="1965">
        <f>INDEX(SP_CS_StockPrice,0,COLUMN())*INDEX(SP_CS_ShareCount_EoP_Diluted,0,COLUMN())</f>
        <v/>
      </c>
      <c r="AT6" s="1965">
        <f>INDEX(SP_CS_StockPrice,0,COLUMN())*INDEX(SP_CS_ShareCount_EoP_Diluted,0,COLUMN())</f>
        <v/>
      </c>
      <c r="AU6" s="1964">
        <f>INDEX(SP_CS_StockPrice,0,COLUMN())*INDEX(SP_CS_ShareCount_EoP_Diluted,0,COLUMN())</f>
        <v/>
      </c>
      <c r="AV6" s="1965">
        <f>INDEX(SP_CS_StockPrice,0,COLUMN())*INDEX(SP_CS_ShareCount_EoP_Diluted,0,COLUMN())</f>
        <v/>
      </c>
      <c r="AW6" s="1965">
        <f>INDEX(SP_CS_StockPrice,0,COLUMN())*INDEX(SP_CS_ShareCount_EoP_Diluted,0,COLUMN())</f>
        <v/>
      </c>
      <c r="AX6" s="1965">
        <f>INDEX(SP_CS_StockPrice,0,COLUMN())*INDEX(SP_CS_ShareCount_EoP_Diluted,0,COLUMN())</f>
        <v/>
      </c>
      <c r="AY6" s="1965">
        <f>INDEX(SP_CS_StockPrice,0,COLUMN())*INDEX(SP_CS_ShareCount_EoP_Diluted,0,COLUMN())</f>
        <v/>
      </c>
      <c r="AZ6" s="1964">
        <f>INDEX(SP_CS_StockPrice,0,COLUMN())*INDEX(SP_CS_ShareCount_EoP_Diluted,0,COLUMN())</f>
        <v/>
      </c>
      <c r="BA6" s="1965">
        <f>INDEX(SP_CS_StockPrice,0,COLUMN())*INDEX(SP_CS_ShareCount_EoP_Diluted,0,COLUMN())</f>
        <v/>
      </c>
      <c r="BB6" s="1965">
        <f>INDEX(SP_CS_StockPrice,0,COLUMN())*INDEX(SP_CS_ShareCount_EoP_Diluted,0,COLUMN())</f>
        <v/>
      </c>
      <c r="BC6" s="1965">
        <f>INDEX(SP_CS_StockPrice,0,COLUMN())*INDEX(SP_CS_ShareCount_EoP_Diluted,0,COLUMN())</f>
        <v/>
      </c>
      <c r="BD6" s="1965">
        <f>INDEX(SP_CS_StockPrice,0,COLUMN())*INDEX(SP_CS_ShareCount_EoP_Diluted,0,COLUMN())</f>
        <v/>
      </c>
      <c r="BE6" s="1964">
        <f>INDEX(SP_CS_StockPrice,0,COLUMN())*INDEX(SP_CS_ShareCount_EoP_Diluted,0,COLUMN())</f>
        <v/>
      </c>
      <c r="BF6" s="1965">
        <f>INDEX(SP_CS_StockPrice,0,COLUMN())*INDEX(SP_CS_ShareCount_EoP_Diluted,0,COLUMN())</f>
        <v/>
      </c>
      <c r="BG6" s="1965">
        <f>INDEX(SP_CS_StockPrice,0,COLUMN())*INDEX(SP_CS_ShareCount_EoP_Diluted,0,COLUMN())</f>
        <v/>
      </c>
      <c r="BH6" s="1965">
        <f>INDEX(SP_CS_StockPrice,0,COLUMN())*INDEX(SP_CS_ShareCount_EoP_Diluted,0,COLUMN())</f>
        <v/>
      </c>
      <c r="BI6" s="1965">
        <f>INDEX(SP_CS_StockPrice,0,COLUMN())*INDEX(SP_CS_ShareCount_EoP_Diluted,0,COLUMN())</f>
        <v/>
      </c>
      <c r="BJ6" s="1964">
        <f>INDEX(SP_CS_StockPrice,0,COLUMN())*INDEX(SP_CS_ShareCount_EoP_Diluted,0,COLUMN())</f>
        <v/>
      </c>
      <c r="BK6" s="1965">
        <f>INDEX(SP_CS_StockPrice,0,COLUMN())*INDEX(SP_CS_ShareCount_EoP_Diluted,0,COLUMN())</f>
        <v/>
      </c>
      <c r="BL6" s="1965">
        <f>INDEX(SP_CS_StockPrice,0,COLUMN())*INDEX(SP_CS_ShareCount_EoP_Diluted,0,COLUMN())</f>
        <v/>
      </c>
      <c r="BM6" s="1965">
        <f>INDEX(SP_CS_StockPrice,0,COLUMN())*INDEX(SP_CS_ShareCount_EoP_Diluted,0,COLUMN())</f>
        <v/>
      </c>
      <c r="BN6" s="1965">
        <f>INDEX(SP_CS_StockPrice,0,COLUMN())*INDEX(SP_CS_ShareCount_EoP_Diluted,0,COLUMN())</f>
        <v/>
      </c>
      <c r="BO6" s="1966">
        <f>INDEX(SP_CS_StockPrice,0,COLUMN())*INDEX(SP_CS_ShareCount_EoP_Diluted,0,COLUMN())</f>
        <v/>
      </c>
      <c r="BP6" s="1965">
        <f>INDEX(SP_CS_StockPrice,0,COLUMN())*INDEX(SP_CS_ShareCount_EoP_Diluted,0,COLUMN())</f>
        <v/>
      </c>
      <c r="BQ6" s="1965">
        <f>INDEX(SP_CS_StockPrice,0,COLUMN())*INDEX(SP_CS_ShareCount_EoP_Diluted,0,COLUMN())</f>
        <v/>
      </c>
      <c r="BR6" s="1965">
        <f>INDEX(SP_CS_StockPrice,0,COLUMN())*INDEX(SP_CS_ShareCount_EoP_Diluted,0,COLUMN())</f>
        <v/>
      </c>
      <c r="BS6" s="1965">
        <f>INDEX(SP_CS_StockPrice,0,COLUMN())*INDEX(SP_CS_ShareCount_EoP_Diluted,0,COLUMN())</f>
        <v/>
      </c>
      <c r="BT6" s="1964">
        <f>INDEX(SP_CS_StockPrice,0,COLUMN())*INDEX(SP_CS_ShareCount_EoP_Diluted,0,COLUMN())</f>
        <v/>
      </c>
      <c r="BU6" s="1965">
        <f>INDEX(SP_CS_StockPrice,0,COLUMN())*INDEX(SP_CS_ShareCount_EoP_Diluted,0,COLUMN())</f>
        <v/>
      </c>
      <c r="BV6" s="1965">
        <f>INDEX(SP_CS_StockPrice,0,COLUMN())*INDEX(SP_CS_ShareCount_EoP_Diluted,0,COLUMN())</f>
        <v/>
      </c>
      <c r="BW6" s="1965">
        <f>INDEX(SP_CS_StockPrice,0,COLUMN())*INDEX(SP_CS_ShareCount_EoP_Diluted,0,COLUMN())</f>
        <v/>
      </c>
      <c r="BX6" s="1965">
        <f>INDEX(SP_CS_StockPrice,0,COLUMN())*INDEX(SP_CS_ShareCount_EoP_Diluted,0,COLUMN())</f>
        <v/>
      </c>
      <c r="BY6" s="1964">
        <f>INDEX(SP_CS_StockPrice,0,COLUMN())*INDEX(SP_CS_ShareCount_EoP_Diluted,0,COLUMN())</f>
        <v/>
      </c>
      <c r="BZ6" s="1964">
        <f>INDEX(SP_CS_StockPrice,0,COLUMN())*INDEX(SP_CS_ShareCount_EoP_Diluted,0,COLUMN())</f>
        <v/>
      </c>
      <c r="CA6" s="1964">
        <f>INDEX(SP_CS_StockPrice,0,COLUMN())*INDEX(SP_CS_ShareCount_EoP_Diluted,0,COLUMN())</f>
        <v/>
      </c>
      <c r="CB6" s="1964">
        <f>INDEX(SP_CS_StockPrice,0,COLUMN())*INDEX(SP_CS_ShareCount_EoP_Diluted,0,COLUMN())</f>
        <v/>
      </c>
      <c r="CC6" s="1967" t="n"/>
    </row>
    <row r="7" ht="14.4" customFormat="1" customHeight="1" s="1939">
      <c r="A7" s="1968">
        <f>INDEX(MO_BSS_Cash,0,COLUMN())</f>
        <v/>
      </c>
      <c r="B7" s="1969" t="n"/>
      <c r="C7" s="1928">
        <f>INDEX(MO_BSS_Cash,0,COLUMN())</f>
        <v/>
      </c>
      <c r="D7" s="1928">
        <f>INDEX(MO_BSS_Cash,0,COLUMN())</f>
        <v/>
      </c>
      <c r="E7" s="1928">
        <f>INDEX(MO_BSS_Cash,0,COLUMN())</f>
        <v/>
      </c>
      <c r="F7" s="1928">
        <f>INDEX(MO_BSS_Cash,0,COLUMN())</f>
        <v/>
      </c>
      <c r="G7" s="1928">
        <f>INDEX(MO_BSS_Cash,0,COLUMN())</f>
        <v/>
      </c>
      <c r="H7" s="1301">
        <f>INDEX(MO_BSS_Cash,0,COLUMN())</f>
        <v/>
      </c>
      <c r="I7" s="1301">
        <f>INDEX(MO_BSS_Cash,0,COLUMN())</f>
        <v/>
      </c>
      <c r="J7" s="1301">
        <f>INDEX(MO_BSS_Cash,0,COLUMN())</f>
        <v/>
      </c>
      <c r="K7" s="1301">
        <f>INDEX(MO_BSS_Cash,0,COLUMN())</f>
        <v/>
      </c>
      <c r="L7" s="1928">
        <f>INDEX(MO_BSS_Cash,0,COLUMN())</f>
        <v/>
      </c>
      <c r="M7" s="1301">
        <f>INDEX(MO_BSS_Cash,0,COLUMN())</f>
        <v/>
      </c>
      <c r="N7" s="1301">
        <f>INDEX(MO_BSS_Cash,0,COLUMN())</f>
        <v/>
      </c>
      <c r="O7" s="1301">
        <f>INDEX(MO_BSS_Cash,0,COLUMN())</f>
        <v/>
      </c>
      <c r="P7" s="1301">
        <f>INDEX(MO_BSS_Cash,0,COLUMN())</f>
        <v/>
      </c>
      <c r="Q7" s="1928">
        <f>INDEX(MO_BSS_Cash,0,COLUMN())</f>
        <v/>
      </c>
      <c r="R7" s="1301">
        <f>INDEX(MO_BSS_Cash,0,COLUMN())</f>
        <v/>
      </c>
      <c r="S7" s="1301">
        <f>INDEX(MO_BSS_Cash,0,COLUMN())</f>
        <v/>
      </c>
      <c r="T7" s="1301">
        <f>INDEX(MO_BSS_Cash,0,COLUMN())</f>
        <v/>
      </c>
      <c r="U7" s="1301">
        <f>INDEX(MO_BSS_Cash,0,COLUMN())</f>
        <v/>
      </c>
      <c r="V7" s="1928">
        <f>INDEX(MO_BSS_Cash,0,COLUMN())</f>
        <v/>
      </c>
      <c r="W7" s="1301">
        <f>INDEX(MO_BSS_Cash,0,COLUMN())</f>
        <v/>
      </c>
      <c r="X7" s="1301">
        <f>INDEX(MO_BSS_Cash,0,COLUMN())</f>
        <v/>
      </c>
      <c r="Y7" s="1301">
        <f>INDEX(MO_BSS_Cash,0,COLUMN())</f>
        <v/>
      </c>
      <c r="Z7" s="1301">
        <f>INDEX(MO_BSS_Cash,0,COLUMN())</f>
        <v/>
      </c>
      <c r="AA7" s="1928">
        <f>INDEX(MO_BSS_Cash,0,COLUMN())</f>
        <v/>
      </c>
      <c r="AB7" s="1301">
        <f>INDEX(MO_BSS_Cash,0,COLUMN())</f>
        <v/>
      </c>
      <c r="AC7" s="1301">
        <f>INDEX(MO_BSS_Cash,0,COLUMN())</f>
        <v/>
      </c>
      <c r="AD7" s="1301">
        <f>INDEX(MO_BSS_Cash,0,COLUMN())</f>
        <v/>
      </c>
      <c r="AE7" s="1301">
        <f>INDEX(MO_BSS_Cash,0,COLUMN())</f>
        <v/>
      </c>
      <c r="AF7" s="1928">
        <f>INDEX(MO_BSS_Cash,0,COLUMN())</f>
        <v/>
      </c>
      <c r="AG7" s="1301">
        <f>INDEX(MO_BSS_Cash,0,COLUMN())</f>
        <v/>
      </c>
      <c r="AH7" s="1301">
        <f>INDEX(MO_BSS_Cash,0,COLUMN())</f>
        <v/>
      </c>
      <c r="AI7" s="1301">
        <f>INDEX(MO_BSS_Cash,0,COLUMN())</f>
        <v/>
      </c>
      <c r="AJ7" s="1301">
        <f>INDEX(MO_BSS_Cash,0,COLUMN())</f>
        <v/>
      </c>
      <c r="AK7" s="1928">
        <f>INDEX(MO_BSS_Cash,0,COLUMN())</f>
        <v/>
      </c>
      <c r="AL7" s="1301">
        <f>INDEX(MO_BSS_Cash,0,COLUMN())</f>
        <v/>
      </c>
      <c r="AM7" s="1301">
        <f>INDEX(MO_BSS_Cash,0,COLUMN())</f>
        <v/>
      </c>
      <c r="AN7" s="1301">
        <f>INDEX(MO_BSS_Cash,0,COLUMN())</f>
        <v/>
      </c>
      <c r="AO7" s="1301">
        <f>INDEX(MO_BSS_Cash,0,COLUMN())</f>
        <v/>
      </c>
      <c r="AP7" s="1928">
        <f>INDEX(MO_BSS_Cash,0,COLUMN())</f>
        <v/>
      </c>
      <c r="AQ7" s="1301">
        <f>INDEX(MO_BSS_Cash,0,COLUMN())</f>
        <v/>
      </c>
      <c r="AR7" s="1301">
        <f>INDEX(MO_BSS_Cash,0,COLUMN())</f>
        <v/>
      </c>
      <c r="AS7" s="1301">
        <f>INDEX(MO_BSS_Cash,0,COLUMN())</f>
        <v/>
      </c>
      <c r="AT7" s="1301">
        <f>INDEX(MO_BSS_Cash,0,COLUMN())</f>
        <v/>
      </c>
      <c r="AU7" s="1928">
        <f>INDEX(MO_BSS_Cash,0,COLUMN())</f>
        <v/>
      </c>
      <c r="AV7" s="1301">
        <f>INDEX(MO_BSS_Cash,0,COLUMN())</f>
        <v/>
      </c>
      <c r="AW7" s="1301">
        <f>INDEX(MO_BSS_Cash,0,COLUMN())</f>
        <v/>
      </c>
      <c r="AX7" s="1301">
        <f>INDEX(MO_BSS_Cash,0,COLUMN())</f>
        <v/>
      </c>
      <c r="AY7" s="1301">
        <f>INDEX(MO_BSS_Cash,0,COLUMN())</f>
        <v/>
      </c>
      <c r="AZ7" s="1928">
        <f>INDEX(MO_BSS_Cash,0,COLUMN())</f>
        <v/>
      </c>
      <c r="BA7" s="1301">
        <f>INDEX(MO_BSS_Cash,0,COLUMN())</f>
        <v/>
      </c>
      <c r="BB7" s="1301">
        <f>INDEX(MO_BSS_Cash,0,COLUMN())</f>
        <v/>
      </c>
      <c r="BC7" s="1301">
        <f>INDEX(MO_BSS_Cash,0,COLUMN())</f>
        <v/>
      </c>
      <c r="BD7" s="1301">
        <f>INDEX(MO_BSS_Cash,0,COLUMN())</f>
        <v/>
      </c>
      <c r="BE7" s="1928">
        <f>INDEX(MO_BSS_Cash,0,COLUMN())</f>
        <v/>
      </c>
      <c r="BF7" s="1301">
        <f>INDEX(MO_BSS_Cash,0,COLUMN())</f>
        <v/>
      </c>
      <c r="BG7" s="1301">
        <f>INDEX(MO_BSS_Cash,0,COLUMN())</f>
        <v/>
      </c>
      <c r="BH7" s="1301">
        <f>INDEX(MO_BSS_Cash,0,COLUMN())</f>
        <v/>
      </c>
      <c r="BI7" s="1301">
        <f>INDEX(MO_BSS_Cash,0,COLUMN())</f>
        <v/>
      </c>
      <c r="BJ7" s="1928">
        <f>INDEX(MO_BSS_Cash,0,COLUMN())</f>
        <v/>
      </c>
      <c r="BK7" s="1301">
        <f>INDEX(MO_BSS_Cash,0,COLUMN())</f>
        <v/>
      </c>
      <c r="BL7" s="1301">
        <f>INDEX(MO_BSS_Cash,0,COLUMN())</f>
        <v/>
      </c>
      <c r="BM7" s="1301">
        <f>INDEX(MO_BSS_Cash,0,COLUMN())</f>
        <v/>
      </c>
      <c r="BN7" s="1301">
        <f>INDEX(MO_BSS_Cash,0,COLUMN())</f>
        <v/>
      </c>
      <c r="BO7" s="1970">
        <f>INDEX(MO_BSS_Cash,0,COLUMN())</f>
        <v/>
      </c>
      <c r="BP7" s="1301">
        <f>INDEX(MO_BSS_Cash,0,COLUMN())</f>
        <v/>
      </c>
      <c r="BQ7" s="1301">
        <f>INDEX(MO_BSS_Cash,0,COLUMN())</f>
        <v/>
      </c>
      <c r="BR7" s="1301">
        <f>INDEX(MO_BSS_Cash,0,COLUMN())</f>
        <v/>
      </c>
      <c r="BS7" s="1301">
        <f>INDEX(MO_BSS_Cash,0,COLUMN())</f>
        <v/>
      </c>
      <c r="BT7" s="1928">
        <f>INDEX(MO_BSS_Cash,0,COLUMN())</f>
        <v/>
      </c>
      <c r="BU7" s="1301">
        <f>INDEX(MO_BSS_Cash,0,COLUMN())</f>
        <v/>
      </c>
      <c r="BV7" s="1301">
        <f>INDEX(MO_BSS_Cash,0,COLUMN())</f>
        <v/>
      </c>
      <c r="BW7" s="1301">
        <f>INDEX(MO_BSS_Cash,0,COLUMN())</f>
        <v/>
      </c>
      <c r="BX7" s="1301">
        <f>INDEX(MO_BSS_Cash,0,COLUMN())</f>
        <v/>
      </c>
      <c r="BY7" s="1928">
        <f>INDEX(MO_BSS_Cash,0,COLUMN())</f>
        <v/>
      </c>
      <c r="BZ7" s="1928">
        <f>INDEX(MO_BSS_Cash,0,COLUMN())</f>
        <v/>
      </c>
      <c r="CA7" s="1928">
        <f>INDEX(MO_BSS_Cash,0,COLUMN())</f>
        <v/>
      </c>
      <c r="CB7" s="1928">
        <f>INDEX(MO_BSS_Cash,0,COLUMN())</f>
        <v/>
      </c>
      <c r="CC7" s="1301" t="n"/>
    </row>
    <row r="8" ht="14.4" customFormat="1" customHeight="1" s="1939">
      <c r="A8" s="1968">
        <f>INDEX(MO_BSS_Debt,0,COLUMN())</f>
        <v/>
      </c>
      <c r="B8" s="1969" t="n"/>
      <c r="C8" s="1928">
        <f>INDEX(MO_BSS_Debt,0,COLUMN())</f>
        <v/>
      </c>
      <c r="D8" s="1928">
        <f>INDEX(MO_BSS_Debt,0,COLUMN())</f>
        <v/>
      </c>
      <c r="E8" s="1928">
        <f>INDEX(MO_BSS_Debt,0,COLUMN())</f>
        <v/>
      </c>
      <c r="F8" s="1928">
        <f>INDEX(MO_BSS_Debt,0,COLUMN())</f>
        <v/>
      </c>
      <c r="G8" s="1928">
        <f>INDEX(MO_BSS_Debt,0,COLUMN())</f>
        <v/>
      </c>
      <c r="H8" s="1301">
        <f>INDEX(MO_BSS_Debt,0,COLUMN())</f>
        <v/>
      </c>
      <c r="I8" s="1301">
        <f>INDEX(MO_BSS_Debt,0,COLUMN())</f>
        <v/>
      </c>
      <c r="J8" s="1301">
        <f>INDEX(MO_BSS_Debt,0,COLUMN())</f>
        <v/>
      </c>
      <c r="K8" s="1301">
        <f>INDEX(MO_BSS_Debt,0,COLUMN())</f>
        <v/>
      </c>
      <c r="L8" s="1928">
        <f>INDEX(MO_BSS_Debt,0,COLUMN())</f>
        <v/>
      </c>
      <c r="M8" s="1301">
        <f>INDEX(MO_BSS_Debt,0,COLUMN())</f>
        <v/>
      </c>
      <c r="N8" s="1301">
        <f>INDEX(MO_BSS_Debt,0,COLUMN())</f>
        <v/>
      </c>
      <c r="O8" s="1301">
        <f>INDEX(MO_BSS_Debt,0,COLUMN())</f>
        <v/>
      </c>
      <c r="P8" s="1301">
        <f>INDEX(MO_BSS_Debt,0,COLUMN())</f>
        <v/>
      </c>
      <c r="Q8" s="1928">
        <f>INDEX(MO_BSS_Debt,0,COLUMN())</f>
        <v/>
      </c>
      <c r="R8" s="1301">
        <f>INDEX(MO_BSS_Debt,0,COLUMN())</f>
        <v/>
      </c>
      <c r="S8" s="1301">
        <f>INDEX(MO_BSS_Debt,0,COLUMN())</f>
        <v/>
      </c>
      <c r="T8" s="1301">
        <f>INDEX(MO_BSS_Debt,0,COLUMN())</f>
        <v/>
      </c>
      <c r="U8" s="1301">
        <f>INDEX(MO_BSS_Debt,0,COLUMN())</f>
        <v/>
      </c>
      <c r="V8" s="1928">
        <f>INDEX(MO_BSS_Debt,0,COLUMN())</f>
        <v/>
      </c>
      <c r="W8" s="1301">
        <f>INDEX(MO_BSS_Debt,0,COLUMN())</f>
        <v/>
      </c>
      <c r="X8" s="1301">
        <f>INDEX(MO_BSS_Debt,0,COLUMN())</f>
        <v/>
      </c>
      <c r="Y8" s="1301">
        <f>INDEX(MO_BSS_Debt,0,COLUMN())</f>
        <v/>
      </c>
      <c r="Z8" s="1301">
        <f>INDEX(MO_BSS_Debt,0,COLUMN())</f>
        <v/>
      </c>
      <c r="AA8" s="1928">
        <f>INDEX(MO_BSS_Debt,0,COLUMN())</f>
        <v/>
      </c>
      <c r="AB8" s="1301">
        <f>INDEX(MO_BSS_Debt,0,COLUMN())</f>
        <v/>
      </c>
      <c r="AC8" s="1301">
        <f>INDEX(MO_BSS_Debt,0,COLUMN())</f>
        <v/>
      </c>
      <c r="AD8" s="1301">
        <f>INDEX(MO_BSS_Debt,0,COLUMN())</f>
        <v/>
      </c>
      <c r="AE8" s="1301">
        <f>INDEX(MO_BSS_Debt,0,COLUMN())</f>
        <v/>
      </c>
      <c r="AF8" s="1928">
        <f>INDEX(MO_BSS_Debt,0,COLUMN())</f>
        <v/>
      </c>
      <c r="AG8" s="1301">
        <f>INDEX(MO_BSS_Debt,0,COLUMN())</f>
        <v/>
      </c>
      <c r="AH8" s="1301">
        <f>INDEX(MO_BSS_Debt,0,COLUMN())</f>
        <v/>
      </c>
      <c r="AI8" s="1301">
        <f>INDEX(MO_BSS_Debt,0,COLUMN())</f>
        <v/>
      </c>
      <c r="AJ8" s="1301">
        <f>INDEX(MO_BSS_Debt,0,COLUMN())</f>
        <v/>
      </c>
      <c r="AK8" s="1928">
        <f>INDEX(MO_BSS_Debt,0,COLUMN())</f>
        <v/>
      </c>
      <c r="AL8" s="1301">
        <f>INDEX(MO_BSS_Debt,0,COLUMN())</f>
        <v/>
      </c>
      <c r="AM8" s="1301">
        <f>INDEX(MO_BSS_Debt,0,COLUMN())</f>
        <v/>
      </c>
      <c r="AN8" s="1301">
        <f>INDEX(MO_BSS_Debt,0,COLUMN())</f>
        <v/>
      </c>
      <c r="AO8" s="1301">
        <f>INDEX(MO_BSS_Debt,0,COLUMN())</f>
        <v/>
      </c>
      <c r="AP8" s="1928">
        <f>INDEX(MO_BSS_Debt,0,COLUMN())</f>
        <v/>
      </c>
      <c r="AQ8" s="1301">
        <f>INDEX(MO_BSS_Debt,0,COLUMN())</f>
        <v/>
      </c>
      <c r="AR8" s="1301">
        <f>INDEX(MO_BSS_Debt,0,COLUMN())</f>
        <v/>
      </c>
      <c r="AS8" s="1301">
        <f>INDEX(MO_BSS_Debt,0,COLUMN())</f>
        <v/>
      </c>
      <c r="AT8" s="1301">
        <f>INDEX(MO_BSS_Debt,0,COLUMN())</f>
        <v/>
      </c>
      <c r="AU8" s="1928">
        <f>INDEX(MO_BSS_Debt,0,COLUMN())</f>
        <v/>
      </c>
      <c r="AV8" s="1301">
        <f>INDEX(MO_BSS_Debt,0,COLUMN())</f>
        <v/>
      </c>
      <c r="AW8" s="1301">
        <f>INDEX(MO_BSS_Debt,0,COLUMN())</f>
        <v/>
      </c>
      <c r="AX8" s="1301">
        <f>INDEX(MO_BSS_Debt,0,COLUMN())</f>
        <v/>
      </c>
      <c r="AY8" s="1301">
        <f>INDEX(MO_BSS_Debt,0,COLUMN())</f>
        <v/>
      </c>
      <c r="AZ8" s="1928">
        <f>INDEX(MO_BSS_Debt,0,COLUMN())</f>
        <v/>
      </c>
      <c r="BA8" s="1301">
        <f>INDEX(MO_BSS_Debt,0,COLUMN())</f>
        <v/>
      </c>
      <c r="BB8" s="1301">
        <f>INDEX(MO_BSS_Debt,0,COLUMN())</f>
        <v/>
      </c>
      <c r="BC8" s="1301">
        <f>INDEX(MO_BSS_Debt,0,COLUMN())</f>
        <v/>
      </c>
      <c r="BD8" s="1301">
        <f>INDEX(MO_BSS_Debt,0,COLUMN())</f>
        <v/>
      </c>
      <c r="BE8" s="1928">
        <f>INDEX(MO_BSS_Debt,0,COLUMN())</f>
        <v/>
      </c>
      <c r="BF8" s="1301">
        <f>INDEX(MO_BSS_Debt,0,COLUMN())</f>
        <v/>
      </c>
      <c r="BG8" s="1301">
        <f>INDEX(MO_BSS_Debt,0,COLUMN())</f>
        <v/>
      </c>
      <c r="BH8" s="1301">
        <f>INDEX(MO_BSS_Debt,0,COLUMN())</f>
        <v/>
      </c>
      <c r="BI8" s="1301">
        <f>INDEX(MO_BSS_Debt,0,COLUMN())</f>
        <v/>
      </c>
      <c r="BJ8" s="1928">
        <f>INDEX(MO_BSS_Debt,0,COLUMN())</f>
        <v/>
      </c>
      <c r="BK8" s="1301">
        <f>INDEX(MO_BSS_Debt,0,COLUMN())</f>
        <v/>
      </c>
      <c r="BL8" s="1301">
        <f>INDEX(MO_BSS_Debt,0,COLUMN())</f>
        <v/>
      </c>
      <c r="BM8" s="1301">
        <f>INDEX(MO_BSS_Debt,0,COLUMN())</f>
        <v/>
      </c>
      <c r="BN8" s="1301">
        <f>INDEX(MO_BSS_Debt,0,COLUMN())</f>
        <v/>
      </c>
      <c r="BO8" s="1970">
        <f>INDEX(MO_BSS_Debt,0,COLUMN())</f>
        <v/>
      </c>
      <c r="BP8" s="1301">
        <f>INDEX(MO_BSS_Debt,0,COLUMN())</f>
        <v/>
      </c>
      <c r="BQ8" s="1301">
        <f>INDEX(MO_BSS_Debt,0,COLUMN())</f>
        <v/>
      </c>
      <c r="BR8" s="1301">
        <f>INDEX(MO_BSS_Debt,0,COLUMN())</f>
        <v/>
      </c>
      <c r="BS8" s="1301">
        <f>INDEX(MO_BSS_Debt,0,COLUMN())</f>
        <v/>
      </c>
      <c r="BT8" s="1928">
        <f>INDEX(MO_BSS_Debt,0,COLUMN())</f>
        <v/>
      </c>
      <c r="BU8" s="1301">
        <f>INDEX(MO_BSS_Debt,0,COLUMN())</f>
        <v/>
      </c>
      <c r="BV8" s="1301">
        <f>INDEX(MO_BSS_Debt,0,COLUMN())</f>
        <v/>
      </c>
      <c r="BW8" s="1301">
        <f>INDEX(MO_BSS_Debt,0,COLUMN())</f>
        <v/>
      </c>
      <c r="BX8" s="1301">
        <f>INDEX(MO_BSS_Debt,0,COLUMN())</f>
        <v/>
      </c>
      <c r="BY8" s="1928">
        <f>INDEX(MO_BSS_Debt,0,COLUMN())</f>
        <v/>
      </c>
      <c r="BZ8" s="1928">
        <f>INDEX(MO_BSS_Debt,0,COLUMN())</f>
        <v/>
      </c>
      <c r="CA8" s="1928">
        <f>INDEX(MO_BSS_Debt,0,COLUMN())</f>
        <v/>
      </c>
      <c r="CB8" s="1928">
        <f>INDEX(MO_BSS_Debt,0,COLUMN())</f>
        <v/>
      </c>
      <c r="CC8" s="1301" t="n"/>
    </row>
    <row r="9" ht="14.4" customFormat="1" customHeight="1" s="1939">
      <c r="A9" s="1968" t="inlineStr">
        <is>
          <t>Operating Lease Liabilities</t>
        </is>
      </c>
      <c r="B9" s="1969" t="n"/>
      <c r="C9" s="1928">
        <f>INDEX(MO_BSS_OL,0,COLUMN())</f>
        <v/>
      </c>
      <c r="D9" s="1928">
        <f>INDEX(MO_BSS_OL,0,COLUMN())</f>
        <v/>
      </c>
      <c r="E9" s="1928">
        <f>INDEX(MO_BSS_OL,0,COLUMN())</f>
        <v/>
      </c>
      <c r="F9" s="1928">
        <f>INDEX(MO_BSS_OL,0,COLUMN())</f>
        <v/>
      </c>
      <c r="G9" s="1928">
        <f>INDEX(MO_BSS_OL,0,COLUMN())</f>
        <v/>
      </c>
      <c r="H9" s="1301">
        <f>INDEX(MO_BSS_OL,0,COLUMN())</f>
        <v/>
      </c>
      <c r="I9" s="1301">
        <f>INDEX(MO_BSS_OL,0,COLUMN())</f>
        <v/>
      </c>
      <c r="J9" s="1301">
        <f>INDEX(MO_BSS_OL,0,COLUMN())</f>
        <v/>
      </c>
      <c r="K9" s="1301">
        <f>INDEX(MO_BSS_OL,0,COLUMN())</f>
        <v/>
      </c>
      <c r="L9" s="1928">
        <f>INDEX(MO_BSS_OL,0,COLUMN())</f>
        <v/>
      </c>
      <c r="M9" s="1301">
        <f>INDEX(MO_BSS_OL,0,COLUMN())</f>
        <v/>
      </c>
      <c r="N9" s="1301">
        <f>INDEX(MO_BSS_OL,0,COLUMN())</f>
        <v/>
      </c>
      <c r="O9" s="1301">
        <f>INDEX(MO_BSS_OL,0,COLUMN())</f>
        <v/>
      </c>
      <c r="P9" s="1301">
        <f>INDEX(MO_BSS_OL,0,COLUMN())</f>
        <v/>
      </c>
      <c r="Q9" s="1928">
        <f>INDEX(MO_BSS_OL,0,COLUMN())</f>
        <v/>
      </c>
      <c r="R9" s="1301">
        <f>INDEX(MO_BSS_OL,0,COLUMN())</f>
        <v/>
      </c>
      <c r="S9" s="1301">
        <f>INDEX(MO_BSS_OL,0,COLUMN())</f>
        <v/>
      </c>
      <c r="T9" s="1301">
        <f>INDEX(MO_BSS_OL,0,COLUMN())</f>
        <v/>
      </c>
      <c r="U9" s="1301">
        <f>INDEX(MO_BSS_OL,0,COLUMN())</f>
        <v/>
      </c>
      <c r="V9" s="1928">
        <f>INDEX(MO_BSS_OL,0,COLUMN())</f>
        <v/>
      </c>
      <c r="W9" s="1301">
        <f>INDEX(MO_BSS_OL,0,COLUMN())</f>
        <v/>
      </c>
      <c r="X9" s="1301">
        <f>INDEX(MO_BSS_OL,0,COLUMN())</f>
        <v/>
      </c>
      <c r="Y9" s="1301">
        <f>INDEX(MO_BSS_OL,0,COLUMN())</f>
        <v/>
      </c>
      <c r="Z9" s="1301">
        <f>INDEX(MO_BSS_OL,0,COLUMN())</f>
        <v/>
      </c>
      <c r="AA9" s="1928">
        <f>INDEX(MO_BSS_OL,0,COLUMN())</f>
        <v/>
      </c>
      <c r="AB9" s="1301">
        <f>INDEX(MO_BSS_OL,0,COLUMN())</f>
        <v/>
      </c>
      <c r="AC9" s="1301">
        <f>INDEX(MO_BSS_OL,0,COLUMN())</f>
        <v/>
      </c>
      <c r="AD9" s="1301">
        <f>INDEX(MO_BSS_OL,0,COLUMN())</f>
        <v/>
      </c>
      <c r="AE9" s="1301">
        <f>INDEX(MO_BSS_OL,0,COLUMN())</f>
        <v/>
      </c>
      <c r="AF9" s="1928">
        <f>INDEX(MO_BSS_OL,0,COLUMN())</f>
        <v/>
      </c>
      <c r="AG9" s="1301">
        <f>INDEX(MO_BSS_OL,0,COLUMN())</f>
        <v/>
      </c>
      <c r="AH9" s="1301">
        <f>INDEX(MO_BSS_OL,0,COLUMN())</f>
        <v/>
      </c>
      <c r="AI9" s="1301">
        <f>INDEX(MO_BSS_OL,0,COLUMN())</f>
        <v/>
      </c>
      <c r="AJ9" s="1301">
        <f>INDEX(MO_BSS_OL,0,COLUMN())</f>
        <v/>
      </c>
      <c r="AK9" s="1928">
        <f>INDEX(MO_BSS_OL,0,COLUMN())</f>
        <v/>
      </c>
      <c r="AL9" s="1301">
        <f>INDEX(MO_BSS_OL,0,COLUMN())</f>
        <v/>
      </c>
      <c r="AM9" s="1301">
        <f>INDEX(MO_BSS_OL,0,COLUMN())</f>
        <v/>
      </c>
      <c r="AN9" s="1301">
        <f>INDEX(MO_BSS_OL,0,COLUMN())</f>
        <v/>
      </c>
      <c r="AO9" s="1301">
        <f>INDEX(MO_BSS_OL,0,COLUMN())</f>
        <v/>
      </c>
      <c r="AP9" s="1928">
        <f>INDEX(MO_BSS_OL,0,COLUMN())</f>
        <v/>
      </c>
      <c r="AQ9" s="1301">
        <f>INDEX(MO_BSS_OL,0,COLUMN())</f>
        <v/>
      </c>
      <c r="AR9" s="1301">
        <f>INDEX(MO_BSS_OL,0,COLUMN())</f>
        <v/>
      </c>
      <c r="AS9" s="1301">
        <f>INDEX(MO_BSS_OL,0,COLUMN())</f>
        <v/>
      </c>
      <c r="AT9" s="1301">
        <f>INDEX(MO_BSS_OL,0,COLUMN())</f>
        <v/>
      </c>
      <c r="AU9" s="1928">
        <f>INDEX(MO_BSS_OL,0,COLUMN())</f>
        <v/>
      </c>
      <c r="AV9" s="1301">
        <f>INDEX(MO_BSS_OL,0,COLUMN())</f>
        <v/>
      </c>
      <c r="AW9" s="1301">
        <f>INDEX(MO_BSS_OL,0,COLUMN())</f>
        <v/>
      </c>
      <c r="AX9" s="1301">
        <f>INDEX(MO_BSS_OL,0,COLUMN())</f>
        <v/>
      </c>
      <c r="AY9" s="1301">
        <f>INDEX(MO_BSS_OL,0,COLUMN())</f>
        <v/>
      </c>
      <c r="AZ9" s="1928">
        <f>INDEX(MO_BSS_OL,0,COLUMN())</f>
        <v/>
      </c>
      <c r="BA9" s="1301">
        <f>INDEX(MO_BSS_OL,0,COLUMN())</f>
        <v/>
      </c>
      <c r="BB9" s="1301">
        <f>INDEX(MO_BSS_OL,0,COLUMN())</f>
        <v/>
      </c>
      <c r="BC9" s="1301">
        <f>INDEX(MO_BSS_OL,0,COLUMN())</f>
        <v/>
      </c>
      <c r="BD9" s="1301">
        <f>INDEX(MO_BSS_OL,0,COLUMN())</f>
        <v/>
      </c>
      <c r="BE9" s="1928">
        <f>INDEX(MO_BSS_OL,0,COLUMN())</f>
        <v/>
      </c>
      <c r="BF9" s="1301">
        <f>INDEX(MO_BSS_OL,0,COLUMN())</f>
        <v/>
      </c>
      <c r="BG9" s="1301">
        <f>INDEX(MO_BSS_OL,0,COLUMN())</f>
        <v/>
      </c>
      <c r="BH9" s="1301">
        <f>INDEX(MO_BSS_OL,0,COLUMN())</f>
        <v/>
      </c>
      <c r="BI9" s="1301">
        <f>INDEX(MO_BSS_OL,0,COLUMN())</f>
        <v/>
      </c>
      <c r="BJ9" s="1928">
        <f>INDEX(MO_BSS_OL,0,COLUMN())</f>
        <v/>
      </c>
      <c r="BK9" s="1301">
        <f>INDEX(MO_BSS_OL,0,COLUMN())</f>
        <v/>
      </c>
      <c r="BL9" s="1301">
        <f>INDEX(MO_BSS_OL,0,COLUMN())</f>
        <v/>
      </c>
      <c r="BM9" s="1301">
        <f>INDEX(MO_BSS_OL,0,COLUMN())</f>
        <v/>
      </c>
      <c r="BN9" s="1301">
        <f>INDEX(MO_BSS_OL,0,COLUMN())</f>
        <v/>
      </c>
      <c r="BO9" s="1970">
        <f>INDEX(MO_BSS_OL,0,COLUMN())</f>
        <v/>
      </c>
      <c r="BP9" s="1301">
        <f>INDEX(MO_BSS_OL,0,COLUMN())</f>
        <v/>
      </c>
      <c r="BQ9" s="1301">
        <f>INDEX(MO_BSS_OL,0,COLUMN())</f>
        <v/>
      </c>
      <c r="BR9" s="1301">
        <f>INDEX(MO_BSS_OL,0,COLUMN())</f>
        <v/>
      </c>
      <c r="BS9" s="1301">
        <f>INDEX(MO_BSS_OL,0,COLUMN())</f>
        <v/>
      </c>
      <c r="BT9" s="1928">
        <f>INDEX(MO_BSS_OL,0,COLUMN())</f>
        <v/>
      </c>
      <c r="BU9" s="1301">
        <f>INDEX(MO_BSS_OL,0,COLUMN())</f>
        <v/>
      </c>
      <c r="BV9" s="1301">
        <f>INDEX(MO_BSS_OL,0,COLUMN())</f>
        <v/>
      </c>
      <c r="BW9" s="1301">
        <f>INDEX(MO_BSS_OL,0,COLUMN())</f>
        <v/>
      </c>
      <c r="BX9" s="1301">
        <f>INDEX(MO_BSS_OL,0,COLUMN())</f>
        <v/>
      </c>
      <c r="BY9" s="1928">
        <f>INDEX(MO_BSS_OL,0,COLUMN())</f>
        <v/>
      </c>
      <c r="BZ9" s="1928">
        <f>INDEX(MO_BSS_OL,0,COLUMN())</f>
        <v/>
      </c>
      <c r="CA9" s="1928">
        <f>INDEX(MO_BSS_OL,0,COLUMN())</f>
        <v/>
      </c>
      <c r="CB9" s="1928">
        <f>INDEX(MO_BSS_OL,0,COLUMN())</f>
        <v/>
      </c>
      <c r="CC9" s="1301" t="n"/>
    </row>
    <row r="10" ht="14.4" customFormat="1" customHeight="1" s="1939">
      <c r="A10" s="1955" t="inlineStr">
        <is>
          <t>Other EV Components</t>
        </is>
      </c>
      <c r="B10" s="1971" t="n"/>
      <c r="C10" s="1960">
        <f>INDEX(MO_VA_EVCalc_NCI,0,COLUMN())+INDEX(MO_VA_EVCalc_Prefs,0,COLUMN())+INDEX(MO_VA_EVCalc_Other,0,COLUMN())</f>
        <v/>
      </c>
      <c r="D10" s="1960">
        <f>INDEX(MO_VA_EVCalc_NCI,0,COLUMN())+INDEX(MO_VA_EVCalc_Prefs,0,COLUMN())+INDEX(MO_VA_EVCalc_Other,0,COLUMN())</f>
        <v/>
      </c>
      <c r="E10" s="1960">
        <f>INDEX(MO_VA_EVCalc_NCI,0,COLUMN())+INDEX(MO_VA_EVCalc_Prefs,0,COLUMN())+INDEX(MO_VA_EVCalc_Other,0,COLUMN())</f>
        <v/>
      </c>
      <c r="F10" s="1960">
        <f>INDEX(MO_VA_EVCalc_NCI,0,COLUMN())+INDEX(MO_VA_EVCalc_Prefs,0,COLUMN())+INDEX(MO_VA_EVCalc_Other,0,COLUMN())</f>
        <v/>
      </c>
      <c r="G10" s="1960">
        <f>INDEX(MO_VA_EVCalc_NCI,0,COLUMN())+INDEX(MO_VA_EVCalc_Prefs,0,COLUMN())+INDEX(MO_VA_EVCalc_Other,0,COLUMN())</f>
        <v/>
      </c>
      <c r="H10" s="1972">
        <f>INDEX(MO_VA_EVCalc_NCI,0,COLUMN())+INDEX(MO_VA_EVCalc_Prefs,0,COLUMN())+INDEX(MO_VA_EVCalc_Other,0,COLUMN())</f>
        <v/>
      </c>
      <c r="I10" s="1972">
        <f>INDEX(MO_VA_EVCalc_NCI,0,COLUMN())+INDEX(MO_VA_EVCalc_Prefs,0,COLUMN())+INDEX(MO_VA_EVCalc_Other,0,COLUMN())</f>
        <v/>
      </c>
      <c r="J10" s="1972">
        <f>INDEX(MO_VA_EVCalc_NCI,0,COLUMN())+INDEX(MO_VA_EVCalc_Prefs,0,COLUMN())+INDEX(MO_VA_EVCalc_Other,0,COLUMN())</f>
        <v/>
      </c>
      <c r="K10" s="1972">
        <f>INDEX(MO_VA_EVCalc_NCI,0,COLUMN())+INDEX(MO_VA_EVCalc_Prefs,0,COLUMN())+INDEX(MO_VA_EVCalc_Other,0,COLUMN())</f>
        <v/>
      </c>
      <c r="L10" s="1960">
        <f>INDEX(MO_VA_EVCalc_NCI,0,COLUMN())+INDEX(MO_VA_EVCalc_Prefs,0,COLUMN())+INDEX(MO_VA_EVCalc_Other,0,COLUMN())</f>
        <v/>
      </c>
      <c r="M10" s="1972">
        <f>INDEX(MO_VA_EVCalc_NCI,0,COLUMN())+INDEX(MO_VA_EVCalc_Prefs,0,COLUMN())+INDEX(MO_VA_EVCalc_Other,0,COLUMN())</f>
        <v/>
      </c>
      <c r="N10" s="1972">
        <f>INDEX(MO_VA_EVCalc_NCI,0,COLUMN())+INDEX(MO_VA_EVCalc_Prefs,0,COLUMN())+INDEX(MO_VA_EVCalc_Other,0,COLUMN())</f>
        <v/>
      </c>
      <c r="O10" s="1972">
        <f>INDEX(MO_VA_EVCalc_NCI,0,COLUMN())+INDEX(MO_VA_EVCalc_Prefs,0,COLUMN())+INDEX(MO_VA_EVCalc_Other,0,COLUMN())</f>
        <v/>
      </c>
      <c r="P10" s="1972">
        <f>INDEX(MO_VA_EVCalc_NCI,0,COLUMN())+INDEX(MO_VA_EVCalc_Prefs,0,COLUMN())+INDEX(MO_VA_EVCalc_Other,0,COLUMN())</f>
        <v/>
      </c>
      <c r="Q10" s="1960">
        <f>INDEX(MO_VA_EVCalc_NCI,0,COLUMN())+INDEX(MO_VA_EVCalc_Prefs,0,COLUMN())+INDEX(MO_VA_EVCalc_Other,0,COLUMN())</f>
        <v/>
      </c>
      <c r="R10" s="1972">
        <f>INDEX(MO_VA_EVCalc_NCI,0,COLUMN())+INDEX(MO_VA_EVCalc_Prefs,0,COLUMN())+INDEX(MO_VA_EVCalc_Other,0,COLUMN())</f>
        <v/>
      </c>
      <c r="S10" s="1972">
        <f>INDEX(MO_VA_EVCalc_NCI,0,COLUMN())+INDEX(MO_VA_EVCalc_Prefs,0,COLUMN())+INDEX(MO_VA_EVCalc_Other,0,COLUMN())</f>
        <v/>
      </c>
      <c r="T10" s="1972">
        <f>INDEX(MO_VA_EVCalc_NCI,0,COLUMN())+INDEX(MO_VA_EVCalc_Prefs,0,COLUMN())+INDEX(MO_VA_EVCalc_Other,0,COLUMN())</f>
        <v/>
      </c>
      <c r="U10" s="1972">
        <f>INDEX(MO_VA_EVCalc_NCI,0,COLUMN())+INDEX(MO_VA_EVCalc_Prefs,0,COLUMN())+INDEX(MO_VA_EVCalc_Other,0,COLUMN())</f>
        <v/>
      </c>
      <c r="V10" s="1960">
        <f>INDEX(MO_VA_EVCalc_NCI,0,COLUMN())+INDEX(MO_VA_EVCalc_Prefs,0,COLUMN())+INDEX(MO_VA_EVCalc_Other,0,COLUMN())</f>
        <v/>
      </c>
      <c r="W10" s="1972">
        <f>INDEX(MO_VA_EVCalc_NCI,0,COLUMN())+INDEX(MO_VA_EVCalc_Prefs,0,COLUMN())+INDEX(MO_VA_EVCalc_Other,0,COLUMN())</f>
        <v/>
      </c>
      <c r="X10" s="1972">
        <f>INDEX(MO_VA_EVCalc_NCI,0,COLUMN())+INDEX(MO_VA_EVCalc_Prefs,0,COLUMN())+INDEX(MO_VA_EVCalc_Other,0,COLUMN())</f>
        <v/>
      </c>
      <c r="Y10" s="1972">
        <f>INDEX(MO_VA_EVCalc_NCI,0,COLUMN())+INDEX(MO_VA_EVCalc_Prefs,0,COLUMN())+INDEX(MO_VA_EVCalc_Other,0,COLUMN())</f>
        <v/>
      </c>
      <c r="Z10" s="1972">
        <f>INDEX(MO_VA_EVCalc_NCI,0,COLUMN())+INDEX(MO_VA_EVCalc_Prefs,0,COLUMN())+INDEX(MO_VA_EVCalc_Other,0,COLUMN())</f>
        <v/>
      </c>
      <c r="AA10" s="1960">
        <f>INDEX(MO_VA_EVCalc_NCI,0,COLUMN())+INDEX(MO_VA_EVCalc_Prefs,0,COLUMN())+INDEX(MO_VA_EVCalc_Other,0,COLUMN())</f>
        <v/>
      </c>
      <c r="AB10" s="1972">
        <f>INDEX(MO_VA_EVCalc_NCI,0,COLUMN())+INDEX(MO_VA_EVCalc_Prefs,0,COLUMN())+INDEX(MO_VA_EVCalc_Other,0,COLUMN())</f>
        <v/>
      </c>
      <c r="AC10" s="1972">
        <f>INDEX(MO_VA_EVCalc_NCI,0,COLUMN())+INDEX(MO_VA_EVCalc_Prefs,0,COLUMN())+INDEX(MO_VA_EVCalc_Other,0,COLUMN())</f>
        <v/>
      </c>
      <c r="AD10" s="1972">
        <f>INDEX(MO_VA_EVCalc_NCI,0,COLUMN())+INDEX(MO_VA_EVCalc_Prefs,0,COLUMN())+INDEX(MO_VA_EVCalc_Other,0,COLUMN())</f>
        <v/>
      </c>
      <c r="AE10" s="1972">
        <f>INDEX(MO_VA_EVCalc_NCI,0,COLUMN())+INDEX(MO_VA_EVCalc_Prefs,0,COLUMN())+INDEX(MO_VA_EVCalc_Other,0,COLUMN())</f>
        <v/>
      </c>
      <c r="AF10" s="1960">
        <f>INDEX(MO_VA_EVCalc_NCI,0,COLUMN())+INDEX(MO_VA_EVCalc_Prefs,0,COLUMN())+INDEX(MO_VA_EVCalc_Other,0,COLUMN())</f>
        <v/>
      </c>
      <c r="AG10" s="1972">
        <f>INDEX(MO_VA_EVCalc_NCI,0,COLUMN())+INDEX(MO_VA_EVCalc_Prefs,0,COLUMN())+INDEX(MO_VA_EVCalc_Other,0,COLUMN())</f>
        <v/>
      </c>
      <c r="AH10" s="1972">
        <f>INDEX(MO_VA_EVCalc_NCI,0,COLUMN())+INDEX(MO_VA_EVCalc_Prefs,0,COLUMN())+INDEX(MO_VA_EVCalc_Other,0,COLUMN())</f>
        <v/>
      </c>
      <c r="AI10" s="1972">
        <f>INDEX(MO_VA_EVCalc_NCI,0,COLUMN())+INDEX(MO_VA_EVCalc_Prefs,0,COLUMN())+INDEX(MO_VA_EVCalc_Other,0,COLUMN())</f>
        <v/>
      </c>
      <c r="AJ10" s="1972">
        <f>INDEX(MO_VA_EVCalc_NCI,0,COLUMN())+INDEX(MO_VA_EVCalc_Prefs,0,COLUMN())+INDEX(MO_VA_EVCalc_Other,0,COLUMN())</f>
        <v/>
      </c>
      <c r="AK10" s="1960">
        <f>INDEX(MO_VA_EVCalc_NCI,0,COLUMN())+INDEX(MO_VA_EVCalc_Prefs,0,COLUMN())+INDEX(MO_VA_EVCalc_Other,0,COLUMN())</f>
        <v/>
      </c>
      <c r="AL10" s="1972">
        <f>INDEX(MO_VA_EVCalc_NCI,0,COLUMN())+INDEX(MO_VA_EVCalc_Prefs,0,COLUMN())+INDEX(MO_VA_EVCalc_Other,0,COLUMN())</f>
        <v/>
      </c>
      <c r="AM10" s="1972">
        <f>INDEX(MO_VA_EVCalc_NCI,0,COLUMN())+INDEX(MO_VA_EVCalc_Prefs,0,COLUMN())+INDEX(MO_VA_EVCalc_Other,0,COLUMN())</f>
        <v/>
      </c>
      <c r="AN10" s="1972">
        <f>INDEX(MO_VA_EVCalc_NCI,0,COLUMN())+INDEX(MO_VA_EVCalc_Prefs,0,COLUMN())+INDEX(MO_VA_EVCalc_Other,0,COLUMN())</f>
        <v/>
      </c>
      <c r="AO10" s="1972">
        <f>INDEX(MO_VA_EVCalc_NCI,0,COLUMN())+INDEX(MO_VA_EVCalc_Prefs,0,COLUMN())+INDEX(MO_VA_EVCalc_Other,0,COLUMN())</f>
        <v/>
      </c>
      <c r="AP10" s="1960">
        <f>INDEX(MO_VA_EVCalc_NCI,0,COLUMN())+INDEX(MO_VA_EVCalc_Prefs,0,COLUMN())+INDEX(MO_VA_EVCalc_Other,0,COLUMN())</f>
        <v/>
      </c>
      <c r="AQ10" s="1972">
        <f>INDEX(MO_VA_EVCalc_NCI,0,COLUMN())+INDEX(MO_VA_EVCalc_Prefs,0,COLUMN())+INDEX(MO_VA_EVCalc_Other,0,COLUMN())</f>
        <v/>
      </c>
      <c r="AR10" s="1972">
        <f>INDEX(MO_VA_EVCalc_NCI,0,COLUMN())+INDEX(MO_VA_EVCalc_Prefs,0,COLUMN())+INDEX(MO_VA_EVCalc_Other,0,COLUMN())</f>
        <v/>
      </c>
      <c r="AS10" s="1972">
        <f>INDEX(MO_VA_EVCalc_NCI,0,COLUMN())+INDEX(MO_VA_EVCalc_Prefs,0,COLUMN())+INDEX(MO_VA_EVCalc_Other,0,COLUMN())</f>
        <v/>
      </c>
      <c r="AT10" s="1972">
        <f>INDEX(MO_VA_EVCalc_NCI,0,COLUMN())+INDEX(MO_VA_EVCalc_Prefs,0,COLUMN())+INDEX(MO_VA_EVCalc_Other,0,COLUMN())</f>
        <v/>
      </c>
      <c r="AU10" s="1960">
        <f>INDEX(MO_VA_EVCalc_NCI,0,COLUMN())+INDEX(MO_VA_EVCalc_Prefs,0,COLUMN())+INDEX(MO_VA_EVCalc_Other,0,COLUMN())</f>
        <v/>
      </c>
      <c r="AV10" s="1972">
        <f>INDEX(MO_VA_EVCalc_NCI,0,COLUMN())+INDEX(MO_VA_EVCalc_Prefs,0,COLUMN())+INDEX(MO_VA_EVCalc_Other,0,COLUMN())</f>
        <v/>
      </c>
      <c r="AW10" s="1972">
        <f>INDEX(MO_VA_EVCalc_NCI,0,COLUMN())+INDEX(MO_VA_EVCalc_Prefs,0,COLUMN())+INDEX(MO_VA_EVCalc_Other,0,COLUMN())</f>
        <v/>
      </c>
      <c r="AX10" s="1972">
        <f>INDEX(MO_VA_EVCalc_NCI,0,COLUMN())+INDEX(MO_VA_EVCalc_Prefs,0,COLUMN())+INDEX(MO_VA_EVCalc_Other,0,COLUMN())</f>
        <v/>
      </c>
      <c r="AY10" s="1972">
        <f>INDEX(MO_VA_EVCalc_NCI,0,COLUMN())+INDEX(MO_VA_EVCalc_Prefs,0,COLUMN())+INDEX(MO_VA_EVCalc_Other,0,COLUMN())</f>
        <v/>
      </c>
      <c r="AZ10" s="1960">
        <f>INDEX(MO_VA_EVCalc_NCI,0,COLUMN())+INDEX(MO_VA_EVCalc_Prefs,0,COLUMN())+INDEX(MO_VA_EVCalc_Other,0,COLUMN())</f>
        <v/>
      </c>
      <c r="BA10" s="1972">
        <f>INDEX(MO_VA_EVCalc_NCI,0,COLUMN())+INDEX(MO_VA_EVCalc_Prefs,0,COLUMN())+INDEX(MO_VA_EVCalc_Other,0,COLUMN())</f>
        <v/>
      </c>
      <c r="BB10" s="1972">
        <f>INDEX(MO_VA_EVCalc_NCI,0,COLUMN())+INDEX(MO_VA_EVCalc_Prefs,0,COLUMN())+INDEX(MO_VA_EVCalc_Other,0,COLUMN())</f>
        <v/>
      </c>
      <c r="BC10" s="1972">
        <f>INDEX(MO_VA_EVCalc_NCI,0,COLUMN())+INDEX(MO_VA_EVCalc_Prefs,0,COLUMN())+INDEX(MO_VA_EVCalc_Other,0,COLUMN())</f>
        <v/>
      </c>
      <c r="BD10" s="1972">
        <f>INDEX(MO_VA_EVCalc_NCI,0,COLUMN())+INDEX(MO_VA_EVCalc_Prefs,0,COLUMN())+INDEX(MO_VA_EVCalc_Other,0,COLUMN())</f>
        <v/>
      </c>
      <c r="BE10" s="1960">
        <f>INDEX(MO_VA_EVCalc_NCI,0,COLUMN())+INDEX(MO_VA_EVCalc_Prefs,0,COLUMN())+INDEX(MO_VA_EVCalc_Other,0,COLUMN())</f>
        <v/>
      </c>
      <c r="BF10" s="1972">
        <f>INDEX(MO_VA_EVCalc_NCI,0,COLUMN())+INDEX(MO_VA_EVCalc_Prefs,0,COLUMN())+INDEX(MO_VA_EVCalc_Other,0,COLUMN())</f>
        <v/>
      </c>
      <c r="BG10" s="1972">
        <f>INDEX(MO_VA_EVCalc_NCI,0,COLUMN())+INDEX(MO_VA_EVCalc_Prefs,0,COLUMN())+INDEX(MO_VA_EVCalc_Other,0,COLUMN())</f>
        <v/>
      </c>
      <c r="BH10" s="1972">
        <f>INDEX(MO_VA_EVCalc_NCI,0,COLUMN())+INDEX(MO_VA_EVCalc_Prefs,0,COLUMN())+INDEX(MO_VA_EVCalc_Other,0,COLUMN())</f>
        <v/>
      </c>
      <c r="BI10" s="1972">
        <f>INDEX(MO_VA_EVCalc_NCI,0,COLUMN())+INDEX(MO_VA_EVCalc_Prefs,0,COLUMN())+INDEX(MO_VA_EVCalc_Other,0,COLUMN())</f>
        <v/>
      </c>
      <c r="BJ10" s="1960">
        <f>INDEX(MO_VA_EVCalc_NCI,0,COLUMN())+INDEX(MO_VA_EVCalc_Prefs,0,COLUMN())+INDEX(MO_VA_EVCalc_Other,0,COLUMN())</f>
        <v/>
      </c>
      <c r="BK10" s="1972">
        <f>INDEX(MO_VA_EVCalc_NCI,0,COLUMN())+INDEX(MO_VA_EVCalc_Prefs,0,COLUMN())+INDEX(MO_VA_EVCalc_Other,0,COLUMN())</f>
        <v/>
      </c>
      <c r="BL10" s="1972">
        <f>INDEX(MO_VA_EVCalc_NCI,0,COLUMN())+INDEX(MO_VA_EVCalc_Prefs,0,COLUMN())+INDEX(MO_VA_EVCalc_Other,0,COLUMN())</f>
        <v/>
      </c>
      <c r="BM10" s="1972">
        <f>INDEX(MO_VA_EVCalc_NCI,0,COLUMN())+INDEX(MO_VA_EVCalc_Prefs,0,COLUMN())+INDEX(MO_VA_EVCalc_Other,0,COLUMN())</f>
        <v/>
      </c>
      <c r="BN10" s="1972">
        <f>INDEX(MO_VA_EVCalc_NCI,0,COLUMN())+INDEX(MO_VA_EVCalc_Prefs,0,COLUMN())+INDEX(MO_VA_EVCalc_Other,0,COLUMN())</f>
        <v/>
      </c>
      <c r="BO10" s="1973">
        <f>INDEX(MO_VA_EVCalc_NCI,0,COLUMN())+INDEX(MO_VA_EVCalc_Prefs,0,COLUMN())+INDEX(MO_VA_EVCalc_Other,0,COLUMN())</f>
        <v/>
      </c>
      <c r="BP10" s="1972">
        <f>INDEX(MO_VA_EVCalc_NCI,0,COLUMN())+INDEX(MO_VA_EVCalc_Prefs,0,COLUMN())+INDEX(MO_VA_EVCalc_Other,0,COLUMN())</f>
        <v/>
      </c>
      <c r="BQ10" s="1972">
        <f>INDEX(MO_VA_EVCalc_NCI,0,COLUMN())+INDEX(MO_VA_EVCalc_Prefs,0,COLUMN())+INDEX(MO_VA_EVCalc_Other,0,COLUMN())</f>
        <v/>
      </c>
      <c r="BR10" s="1972">
        <f>INDEX(MO_VA_EVCalc_NCI,0,COLUMN())+INDEX(MO_VA_EVCalc_Prefs,0,COLUMN())+INDEX(MO_VA_EVCalc_Other,0,COLUMN())</f>
        <v/>
      </c>
      <c r="BS10" s="1972">
        <f>INDEX(MO_VA_EVCalc_NCI,0,COLUMN())+INDEX(MO_VA_EVCalc_Prefs,0,COLUMN())+INDEX(MO_VA_EVCalc_Other,0,COLUMN())</f>
        <v/>
      </c>
      <c r="BT10" s="1960">
        <f>INDEX(MO_VA_EVCalc_NCI,0,COLUMN())+INDEX(MO_VA_EVCalc_Prefs,0,COLUMN())+INDEX(MO_VA_EVCalc_Other,0,COLUMN())</f>
        <v/>
      </c>
      <c r="BU10" s="1972">
        <f>INDEX(MO_VA_EVCalc_NCI,0,COLUMN())+INDEX(MO_VA_EVCalc_Prefs,0,COLUMN())+INDEX(MO_VA_EVCalc_Other,0,COLUMN())</f>
        <v/>
      </c>
      <c r="BV10" s="1972">
        <f>INDEX(MO_VA_EVCalc_NCI,0,COLUMN())+INDEX(MO_VA_EVCalc_Prefs,0,COLUMN())+INDEX(MO_VA_EVCalc_Other,0,COLUMN())</f>
        <v/>
      </c>
      <c r="BW10" s="1972">
        <f>INDEX(MO_VA_EVCalc_NCI,0,COLUMN())+INDEX(MO_VA_EVCalc_Prefs,0,COLUMN())+INDEX(MO_VA_EVCalc_Other,0,COLUMN())</f>
        <v/>
      </c>
      <c r="BX10" s="1972">
        <f>INDEX(MO_VA_EVCalc_NCI,0,COLUMN())+INDEX(MO_VA_EVCalc_Prefs,0,COLUMN())+INDEX(MO_VA_EVCalc_Other,0,COLUMN())</f>
        <v/>
      </c>
      <c r="BY10" s="1960">
        <f>INDEX(MO_VA_EVCalc_NCI,0,COLUMN())+INDEX(MO_VA_EVCalc_Prefs,0,COLUMN())+INDEX(MO_VA_EVCalc_Other,0,COLUMN())</f>
        <v/>
      </c>
      <c r="BZ10" s="1960">
        <f>INDEX(MO_VA_EVCalc_NCI,0,COLUMN())+INDEX(MO_VA_EVCalc_Prefs,0,COLUMN())+INDEX(MO_VA_EVCalc_Other,0,COLUMN())</f>
        <v/>
      </c>
      <c r="CA10" s="1960">
        <f>INDEX(MO_VA_EVCalc_NCI,0,COLUMN())+INDEX(MO_VA_EVCalc_Prefs,0,COLUMN())+INDEX(MO_VA_EVCalc_Other,0,COLUMN())</f>
        <v/>
      </c>
      <c r="CB10" s="1960">
        <f>INDEX(MO_VA_EVCalc_NCI,0,COLUMN())+INDEX(MO_VA_EVCalc_Prefs,0,COLUMN())+INDEX(MO_VA_EVCalc_Other,0,COLUMN())</f>
        <v/>
      </c>
      <c r="CC10" s="1301" t="n"/>
    </row>
    <row r="11" ht="14.4" customFormat="1" customHeight="1" s="1961">
      <c r="A11" s="1962">
        <f>"Enterprise Value - "&amp;SP.ValuationToggle</f>
        <v/>
      </c>
      <c r="B11" s="1963" t="n"/>
      <c r="C11" s="1964">
        <f>INDEX(SP_CS_MarketCap,0,COLUMN())-INDEX(SP_CS_Cash,0,COLUMN())+INDEX(SP_CS_Debt,0,COLUMN())+INDEX(SP_CS_OL,0,COLUMN())+INDEX(SP_CS_EVCalc_Other,0,COLUMN())</f>
        <v/>
      </c>
      <c r="D11" s="1964">
        <f>INDEX(SP_CS_MarketCap,0,COLUMN())-INDEX(SP_CS_Cash,0,COLUMN())+INDEX(SP_CS_Debt,0,COLUMN())+INDEX(SP_CS_OL,0,COLUMN())+INDEX(SP_CS_EVCalc_Other,0,COLUMN())</f>
        <v/>
      </c>
      <c r="E11" s="1964">
        <f>INDEX(SP_CS_MarketCap,0,COLUMN())-INDEX(SP_CS_Cash,0,COLUMN())+INDEX(SP_CS_Debt,0,COLUMN())+INDEX(SP_CS_OL,0,COLUMN())+INDEX(SP_CS_EVCalc_Other,0,COLUMN())</f>
        <v/>
      </c>
      <c r="F11" s="1964">
        <f>INDEX(SP_CS_MarketCap,0,COLUMN())-INDEX(SP_CS_Cash,0,COLUMN())+INDEX(SP_CS_Debt,0,COLUMN())+INDEX(SP_CS_OL,0,COLUMN())+INDEX(SP_CS_EVCalc_Other,0,COLUMN())</f>
        <v/>
      </c>
      <c r="G11" s="1964">
        <f>INDEX(SP_CS_MarketCap,0,COLUMN())-INDEX(SP_CS_Cash,0,COLUMN())+INDEX(SP_CS_Debt,0,COLUMN())+INDEX(SP_CS_OL,0,COLUMN())+INDEX(SP_CS_EVCalc_Other,0,COLUMN())</f>
        <v/>
      </c>
      <c r="H11" s="1965">
        <f>INDEX(SP_CS_MarketCap,0,COLUMN())-INDEX(SP_CS_Cash,0,COLUMN())+INDEX(SP_CS_Debt,0,COLUMN())+INDEX(SP_CS_OL,0,COLUMN())+INDEX(SP_CS_EVCalc_Other,0,COLUMN())</f>
        <v/>
      </c>
      <c r="I11" s="1965">
        <f>INDEX(SP_CS_MarketCap,0,COLUMN())-INDEX(SP_CS_Cash,0,COLUMN())+INDEX(SP_CS_Debt,0,COLUMN())+INDEX(SP_CS_OL,0,COLUMN())+INDEX(SP_CS_EVCalc_Other,0,COLUMN())</f>
        <v/>
      </c>
      <c r="J11" s="1965">
        <f>INDEX(SP_CS_MarketCap,0,COLUMN())-INDEX(SP_CS_Cash,0,COLUMN())+INDEX(SP_CS_Debt,0,COLUMN())+INDEX(SP_CS_OL,0,COLUMN())+INDEX(SP_CS_EVCalc_Other,0,COLUMN())</f>
        <v/>
      </c>
      <c r="K11" s="1965">
        <f>INDEX(SP_CS_MarketCap,0,COLUMN())-INDEX(SP_CS_Cash,0,COLUMN())+INDEX(SP_CS_Debt,0,COLUMN())+INDEX(SP_CS_OL,0,COLUMN())+INDEX(SP_CS_EVCalc_Other,0,COLUMN())</f>
        <v/>
      </c>
      <c r="L11" s="1964">
        <f>INDEX(SP_CS_MarketCap,0,COLUMN())-INDEX(SP_CS_Cash,0,COLUMN())+INDEX(SP_CS_Debt,0,COLUMN())+INDEX(SP_CS_OL,0,COLUMN())+INDEX(SP_CS_EVCalc_Other,0,COLUMN())</f>
        <v/>
      </c>
      <c r="M11" s="1965">
        <f>INDEX(SP_CS_MarketCap,0,COLUMN())-INDEX(SP_CS_Cash,0,COLUMN())+INDEX(SP_CS_Debt,0,COLUMN())+INDEX(SP_CS_OL,0,COLUMN())+INDEX(SP_CS_EVCalc_Other,0,COLUMN())</f>
        <v/>
      </c>
      <c r="N11" s="1965">
        <f>INDEX(SP_CS_MarketCap,0,COLUMN())-INDEX(SP_CS_Cash,0,COLUMN())+INDEX(SP_CS_Debt,0,COLUMN())+INDEX(SP_CS_OL,0,COLUMN())+INDEX(SP_CS_EVCalc_Other,0,COLUMN())</f>
        <v/>
      </c>
      <c r="O11" s="1965">
        <f>INDEX(SP_CS_MarketCap,0,COLUMN())-INDEX(SP_CS_Cash,0,COLUMN())+INDEX(SP_CS_Debt,0,COLUMN())+INDEX(SP_CS_OL,0,COLUMN())+INDEX(SP_CS_EVCalc_Other,0,COLUMN())</f>
        <v/>
      </c>
      <c r="P11" s="1965">
        <f>INDEX(SP_CS_MarketCap,0,COLUMN())-INDEX(SP_CS_Cash,0,COLUMN())+INDEX(SP_CS_Debt,0,COLUMN())+INDEX(SP_CS_OL,0,COLUMN())+INDEX(SP_CS_EVCalc_Other,0,COLUMN())</f>
        <v/>
      </c>
      <c r="Q11" s="1964">
        <f>INDEX(SP_CS_MarketCap,0,COLUMN())-INDEX(SP_CS_Cash,0,COLUMN())+INDEX(SP_CS_Debt,0,COLUMN())+INDEX(SP_CS_OL,0,COLUMN())+INDEX(SP_CS_EVCalc_Other,0,COLUMN())</f>
        <v/>
      </c>
      <c r="R11" s="1965">
        <f>INDEX(SP_CS_MarketCap,0,COLUMN())-INDEX(SP_CS_Cash,0,COLUMN())+INDEX(SP_CS_Debt,0,COLUMN())+INDEX(SP_CS_OL,0,COLUMN())+INDEX(SP_CS_EVCalc_Other,0,COLUMN())</f>
        <v/>
      </c>
      <c r="S11" s="1965">
        <f>INDEX(SP_CS_MarketCap,0,COLUMN())-INDEX(SP_CS_Cash,0,COLUMN())+INDEX(SP_CS_Debt,0,COLUMN())+INDEX(SP_CS_OL,0,COLUMN())+INDEX(SP_CS_EVCalc_Other,0,COLUMN())</f>
        <v/>
      </c>
      <c r="T11" s="1965">
        <f>INDEX(SP_CS_MarketCap,0,COLUMN())-INDEX(SP_CS_Cash,0,COLUMN())+INDEX(SP_CS_Debt,0,COLUMN())+INDEX(SP_CS_OL,0,COLUMN())+INDEX(SP_CS_EVCalc_Other,0,COLUMN())</f>
        <v/>
      </c>
      <c r="U11" s="1965">
        <f>INDEX(SP_CS_MarketCap,0,COLUMN())-INDEX(SP_CS_Cash,0,COLUMN())+INDEX(SP_CS_Debt,0,COLUMN())+INDEX(SP_CS_OL,0,COLUMN())+INDEX(SP_CS_EVCalc_Other,0,COLUMN())</f>
        <v/>
      </c>
      <c r="V11" s="1964">
        <f>INDEX(SP_CS_MarketCap,0,COLUMN())-INDEX(SP_CS_Cash,0,COLUMN())+INDEX(SP_CS_Debt,0,COLUMN())+INDEX(SP_CS_OL,0,COLUMN())+INDEX(SP_CS_EVCalc_Other,0,COLUMN())</f>
        <v/>
      </c>
      <c r="W11" s="1965">
        <f>INDEX(SP_CS_MarketCap,0,COLUMN())-INDEX(SP_CS_Cash,0,COLUMN())+INDEX(SP_CS_Debt,0,COLUMN())+INDEX(SP_CS_OL,0,COLUMN())+INDEX(SP_CS_EVCalc_Other,0,COLUMN())</f>
        <v/>
      </c>
      <c r="X11" s="1965">
        <f>INDEX(SP_CS_MarketCap,0,COLUMN())-INDEX(SP_CS_Cash,0,COLUMN())+INDEX(SP_CS_Debt,0,COLUMN())+INDEX(SP_CS_OL,0,COLUMN())+INDEX(SP_CS_EVCalc_Other,0,COLUMN())</f>
        <v/>
      </c>
      <c r="Y11" s="1965">
        <f>INDEX(SP_CS_MarketCap,0,COLUMN())-INDEX(SP_CS_Cash,0,COLUMN())+INDEX(SP_CS_Debt,0,COLUMN())+INDEX(SP_CS_OL,0,COLUMN())+INDEX(SP_CS_EVCalc_Other,0,COLUMN())</f>
        <v/>
      </c>
      <c r="Z11" s="1965">
        <f>INDEX(SP_CS_MarketCap,0,COLUMN())-INDEX(SP_CS_Cash,0,COLUMN())+INDEX(SP_CS_Debt,0,COLUMN())+INDEX(SP_CS_OL,0,COLUMN())+INDEX(SP_CS_EVCalc_Other,0,COLUMN())</f>
        <v/>
      </c>
      <c r="AA11" s="1964">
        <f>INDEX(SP_CS_MarketCap,0,COLUMN())-INDEX(SP_CS_Cash,0,COLUMN())+INDEX(SP_CS_Debt,0,COLUMN())+INDEX(SP_CS_OL,0,COLUMN())+INDEX(SP_CS_EVCalc_Other,0,COLUMN())</f>
        <v/>
      </c>
      <c r="AB11" s="1965">
        <f>INDEX(SP_CS_MarketCap,0,COLUMN())-INDEX(SP_CS_Cash,0,COLUMN())+INDEX(SP_CS_Debt,0,COLUMN())+INDEX(SP_CS_OL,0,COLUMN())+INDEX(SP_CS_EVCalc_Other,0,COLUMN())</f>
        <v/>
      </c>
      <c r="AC11" s="1965">
        <f>INDEX(SP_CS_MarketCap,0,COLUMN())-INDEX(SP_CS_Cash,0,COLUMN())+INDEX(SP_CS_Debt,0,COLUMN())+INDEX(SP_CS_OL,0,COLUMN())+INDEX(SP_CS_EVCalc_Other,0,COLUMN())</f>
        <v/>
      </c>
      <c r="AD11" s="1965">
        <f>INDEX(SP_CS_MarketCap,0,COLUMN())-INDEX(SP_CS_Cash,0,COLUMN())+INDEX(SP_CS_Debt,0,COLUMN())+INDEX(SP_CS_OL,0,COLUMN())+INDEX(SP_CS_EVCalc_Other,0,COLUMN())</f>
        <v/>
      </c>
      <c r="AE11" s="1965">
        <f>INDEX(SP_CS_MarketCap,0,COLUMN())-INDEX(SP_CS_Cash,0,COLUMN())+INDEX(SP_CS_Debt,0,COLUMN())+INDEX(SP_CS_OL,0,COLUMN())+INDEX(SP_CS_EVCalc_Other,0,COLUMN())</f>
        <v/>
      </c>
      <c r="AF11" s="1964">
        <f>INDEX(SP_CS_MarketCap,0,COLUMN())-INDEX(SP_CS_Cash,0,COLUMN())+INDEX(SP_CS_Debt,0,COLUMN())+INDEX(SP_CS_OL,0,COLUMN())+INDEX(SP_CS_EVCalc_Other,0,COLUMN())</f>
        <v/>
      </c>
      <c r="AG11" s="1965">
        <f>INDEX(SP_CS_MarketCap,0,COLUMN())-INDEX(SP_CS_Cash,0,COLUMN())+INDEX(SP_CS_Debt,0,COLUMN())+INDEX(SP_CS_OL,0,COLUMN())+INDEX(SP_CS_EVCalc_Other,0,COLUMN())</f>
        <v/>
      </c>
      <c r="AH11" s="1965">
        <f>INDEX(SP_CS_MarketCap,0,COLUMN())-INDEX(SP_CS_Cash,0,COLUMN())+INDEX(SP_CS_Debt,0,COLUMN())+INDEX(SP_CS_OL,0,COLUMN())+INDEX(SP_CS_EVCalc_Other,0,COLUMN())</f>
        <v/>
      </c>
      <c r="AI11" s="1965">
        <f>INDEX(SP_CS_MarketCap,0,COLUMN())-INDEX(SP_CS_Cash,0,COLUMN())+INDEX(SP_CS_Debt,0,COLUMN())+INDEX(SP_CS_OL,0,COLUMN())+INDEX(SP_CS_EVCalc_Other,0,COLUMN())</f>
        <v/>
      </c>
      <c r="AJ11" s="1965">
        <f>INDEX(SP_CS_MarketCap,0,COLUMN())-INDEX(SP_CS_Cash,0,COLUMN())+INDEX(SP_CS_Debt,0,COLUMN())+INDEX(SP_CS_OL,0,COLUMN())+INDEX(SP_CS_EVCalc_Other,0,COLUMN())</f>
        <v/>
      </c>
      <c r="AK11" s="1964">
        <f>INDEX(SP_CS_MarketCap,0,COLUMN())-INDEX(SP_CS_Cash,0,COLUMN())+INDEX(SP_CS_Debt,0,COLUMN())+INDEX(SP_CS_OL,0,COLUMN())+INDEX(SP_CS_EVCalc_Other,0,COLUMN())</f>
        <v/>
      </c>
      <c r="AL11" s="1965">
        <f>INDEX(SP_CS_MarketCap,0,COLUMN())-INDEX(SP_CS_Cash,0,COLUMN())+INDEX(SP_CS_Debt,0,COLUMN())+INDEX(SP_CS_OL,0,COLUMN())+INDEX(SP_CS_EVCalc_Other,0,COLUMN())</f>
        <v/>
      </c>
      <c r="AM11" s="1965">
        <f>INDEX(SP_CS_MarketCap,0,COLUMN())-INDEX(SP_CS_Cash,0,COLUMN())+INDEX(SP_CS_Debt,0,COLUMN())+INDEX(SP_CS_OL,0,COLUMN())+INDEX(SP_CS_EVCalc_Other,0,COLUMN())</f>
        <v/>
      </c>
      <c r="AN11" s="1965">
        <f>INDEX(SP_CS_MarketCap,0,COLUMN())-INDEX(SP_CS_Cash,0,COLUMN())+INDEX(SP_CS_Debt,0,COLUMN())+INDEX(SP_CS_OL,0,COLUMN())+INDEX(SP_CS_EVCalc_Other,0,COLUMN())</f>
        <v/>
      </c>
      <c r="AO11" s="1965">
        <f>INDEX(SP_CS_MarketCap,0,COLUMN())-INDEX(SP_CS_Cash,0,COLUMN())+INDEX(SP_CS_Debt,0,COLUMN())+INDEX(SP_CS_OL,0,COLUMN())+INDEX(SP_CS_EVCalc_Other,0,COLUMN())</f>
        <v/>
      </c>
      <c r="AP11" s="1964">
        <f>INDEX(SP_CS_MarketCap,0,COLUMN())-INDEX(SP_CS_Cash,0,COLUMN())+INDEX(SP_CS_Debt,0,COLUMN())+INDEX(SP_CS_OL,0,COLUMN())+INDEX(SP_CS_EVCalc_Other,0,COLUMN())</f>
        <v/>
      </c>
      <c r="AQ11" s="1965">
        <f>INDEX(SP_CS_MarketCap,0,COLUMN())-INDEX(SP_CS_Cash,0,COLUMN())+INDEX(SP_CS_Debt,0,COLUMN())+INDEX(SP_CS_OL,0,COLUMN())+INDEX(SP_CS_EVCalc_Other,0,COLUMN())</f>
        <v/>
      </c>
      <c r="AR11" s="1965">
        <f>INDEX(SP_CS_MarketCap,0,COLUMN())-INDEX(SP_CS_Cash,0,COLUMN())+INDEX(SP_CS_Debt,0,COLUMN())+INDEX(SP_CS_OL,0,COLUMN())+INDEX(SP_CS_EVCalc_Other,0,COLUMN())</f>
        <v/>
      </c>
      <c r="AS11" s="1965">
        <f>INDEX(SP_CS_MarketCap,0,COLUMN())-INDEX(SP_CS_Cash,0,COLUMN())+INDEX(SP_CS_Debt,0,COLUMN())+INDEX(SP_CS_OL,0,COLUMN())+INDEX(SP_CS_EVCalc_Other,0,COLUMN())</f>
        <v/>
      </c>
      <c r="AT11" s="1965">
        <f>INDEX(SP_CS_MarketCap,0,COLUMN())-INDEX(SP_CS_Cash,0,COLUMN())+INDEX(SP_CS_Debt,0,COLUMN())+INDEX(SP_CS_OL,0,COLUMN())+INDEX(SP_CS_EVCalc_Other,0,COLUMN())</f>
        <v/>
      </c>
      <c r="AU11" s="1964">
        <f>INDEX(SP_CS_MarketCap,0,COLUMN())-INDEX(SP_CS_Cash,0,COLUMN())+INDEX(SP_CS_Debt,0,COLUMN())+INDEX(SP_CS_OL,0,COLUMN())+INDEX(SP_CS_EVCalc_Other,0,COLUMN())</f>
        <v/>
      </c>
      <c r="AV11" s="1965">
        <f>INDEX(SP_CS_MarketCap,0,COLUMN())-INDEX(SP_CS_Cash,0,COLUMN())+INDEX(SP_CS_Debt,0,COLUMN())+INDEX(SP_CS_OL,0,COLUMN())+INDEX(SP_CS_EVCalc_Other,0,COLUMN())</f>
        <v/>
      </c>
      <c r="AW11" s="1965">
        <f>INDEX(SP_CS_MarketCap,0,COLUMN())-INDEX(SP_CS_Cash,0,COLUMN())+INDEX(SP_CS_Debt,0,COLUMN())+INDEX(SP_CS_OL,0,COLUMN())+INDEX(SP_CS_EVCalc_Other,0,COLUMN())</f>
        <v/>
      </c>
      <c r="AX11" s="1965">
        <f>INDEX(SP_CS_MarketCap,0,COLUMN())-INDEX(SP_CS_Cash,0,COLUMN())+INDEX(SP_CS_Debt,0,COLUMN())+INDEX(SP_CS_OL,0,COLUMN())+INDEX(SP_CS_EVCalc_Other,0,COLUMN())</f>
        <v/>
      </c>
      <c r="AY11" s="1965">
        <f>INDEX(SP_CS_MarketCap,0,COLUMN())-INDEX(SP_CS_Cash,0,COLUMN())+INDEX(SP_CS_Debt,0,COLUMN())+INDEX(SP_CS_OL,0,COLUMN())+INDEX(SP_CS_EVCalc_Other,0,COLUMN())</f>
        <v/>
      </c>
      <c r="AZ11" s="1964">
        <f>INDEX(SP_CS_MarketCap,0,COLUMN())-INDEX(SP_CS_Cash,0,COLUMN())+INDEX(SP_CS_Debt,0,COLUMN())+INDEX(SP_CS_OL,0,COLUMN())+INDEX(SP_CS_EVCalc_Other,0,COLUMN())</f>
        <v/>
      </c>
      <c r="BA11" s="1965">
        <f>INDEX(SP_CS_MarketCap,0,COLUMN())-INDEX(SP_CS_Cash,0,COLUMN())+INDEX(SP_CS_Debt,0,COLUMN())+INDEX(SP_CS_OL,0,COLUMN())+INDEX(SP_CS_EVCalc_Other,0,COLUMN())</f>
        <v/>
      </c>
      <c r="BB11" s="1965">
        <f>INDEX(SP_CS_MarketCap,0,COLUMN())-INDEX(SP_CS_Cash,0,COLUMN())+INDEX(SP_CS_Debt,0,COLUMN())+INDEX(SP_CS_OL,0,COLUMN())+INDEX(SP_CS_EVCalc_Other,0,COLUMN())</f>
        <v/>
      </c>
      <c r="BC11" s="1965">
        <f>INDEX(SP_CS_MarketCap,0,COLUMN())-INDEX(SP_CS_Cash,0,COLUMN())+INDEX(SP_CS_Debt,0,COLUMN())+INDEX(SP_CS_OL,0,COLUMN())+INDEX(SP_CS_EVCalc_Other,0,COLUMN())</f>
        <v/>
      </c>
      <c r="BD11" s="1965">
        <f>INDEX(SP_CS_MarketCap,0,COLUMN())-INDEX(SP_CS_Cash,0,COLUMN())+INDEX(SP_CS_Debt,0,COLUMN())+INDEX(SP_CS_OL,0,COLUMN())+INDEX(SP_CS_EVCalc_Other,0,COLUMN())</f>
        <v/>
      </c>
      <c r="BE11" s="1964">
        <f>INDEX(SP_CS_MarketCap,0,COLUMN())-INDEX(SP_CS_Cash,0,COLUMN())+INDEX(SP_CS_Debt,0,COLUMN())+INDEX(SP_CS_OL,0,COLUMN())+INDEX(SP_CS_EVCalc_Other,0,COLUMN())</f>
        <v/>
      </c>
      <c r="BF11" s="1965">
        <f>INDEX(SP_CS_MarketCap,0,COLUMN())-INDEX(SP_CS_Cash,0,COLUMN())+INDEX(SP_CS_Debt,0,COLUMN())+INDEX(SP_CS_OL,0,COLUMN())+INDEX(SP_CS_EVCalc_Other,0,COLUMN())</f>
        <v/>
      </c>
      <c r="BG11" s="1965">
        <f>INDEX(SP_CS_MarketCap,0,COLUMN())-INDEX(SP_CS_Cash,0,COLUMN())+INDEX(SP_CS_Debt,0,COLUMN())+INDEX(SP_CS_OL,0,COLUMN())+INDEX(SP_CS_EVCalc_Other,0,COLUMN())</f>
        <v/>
      </c>
      <c r="BH11" s="1965">
        <f>INDEX(SP_CS_MarketCap,0,COLUMN())-INDEX(SP_CS_Cash,0,COLUMN())+INDEX(SP_CS_Debt,0,COLUMN())+INDEX(SP_CS_OL,0,COLUMN())+INDEX(SP_CS_EVCalc_Other,0,COLUMN())</f>
        <v/>
      </c>
      <c r="BI11" s="1965">
        <f>INDEX(SP_CS_MarketCap,0,COLUMN())-INDEX(SP_CS_Cash,0,COLUMN())+INDEX(SP_CS_Debt,0,COLUMN())+INDEX(SP_CS_OL,0,COLUMN())+INDEX(SP_CS_EVCalc_Other,0,COLUMN())</f>
        <v/>
      </c>
      <c r="BJ11" s="1964">
        <f>INDEX(SP_CS_MarketCap,0,COLUMN())-INDEX(SP_CS_Cash,0,COLUMN())+INDEX(SP_CS_Debt,0,COLUMN())+INDEX(SP_CS_OL,0,COLUMN())+INDEX(SP_CS_EVCalc_Other,0,COLUMN())</f>
        <v/>
      </c>
      <c r="BK11" s="1965">
        <f>INDEX(SP_CS_MarketCap,0,COLUMN())-INDEX(SP_CS_Cash,0,COLUMN())+INDEX(SP_CS_Debt,0,COLUMN())+INDEX(SP_CS_OL,0,COLUMN())+INDEX(SP_CS_EVCalc_Other,0,COLUMN())</f>
        <v/>
      </c>
      <c r="BL11" s="1965">
        <f>INDEX(SP_CS_MarketCap,0,COLUMN())-INDEX(SP_CS_Cash,0,COLUMN())+INDEX(SP_CS_Debt,0,COLUMN())+INDEX(SP_CS_OL,0,COLUMN())+INDEX(SP_CS_EVCalc_Other,0,COLUMN())</f>
        <v/>
      </c>
      <c r="BM11" s="1965">
        <f>INDEX(SP_CS_MarketCap,0,COLUMN())-INDEX(SP_CS_Cash,0,COLUMN())+INDEX(SP_CS_Debt,0,COLUMN())+INDEX(SP_CS_OL,0,COLUMN())+INDEX(SP_CS_EVCalc_Other,0,COLUMN())</f>
        <v/>
      </c>
      <c r="BN11" s="1965">
        <f>INDEX(SP_CS_MarketCap,0,COLUMN())-INDEX(SP_CS_Cash,0,COLUMN())+INDEX(SP_CS_Debt,0,COLUMN())+INDEX(SP_CS_OL,0,COLUMN())+INDEX(SP_CS_EVCalc_Other,0,COLUMN())</f>
        <v/>
      </c>
      <c r="BO11" s="1966">
        <f>INDEX(SP_CS_MarketCap,0,COLUMN())-INDEX(SP_CS_Cash,0,COLUMN())+INDEX(SP_CS_Debt,0,COLUMN())+INDEX(SP_CS_OL,0,COLUMN())+INDEX(SP_CS_EVCalc_Other,0,COLUMN())</f>
        <v/>
      </c>
      <c r="BP11" s="1965">
        <f>INDEX(SP_CS_MarketCap,0,COLUMN())-INDEX(SP_CS_Cash,0,COLUMN())+INDEX(SP_CS_Debt,0,COLUMN())+INDEX(SP_CS_OL,0,COLUMN())+INDEX(SP_CS_EVCalc_Other,0,COLUMN())</f>
        <v/>
      </c>
      <c r="BQ11" s="1965">
        <f>INDEX(SP_CS_MarketCap,0,COLUMN())-INDEX(SP_CS_Cash,0,COLUMN())+INDEX(SP_CS_Debt,0,COLUMN())+INDEX(SP_CS_OL,0,COLUMN())+INDEX(SP_CS_EVCalc_Other,0,COLUMN())</f>
        <v/>
      </c>
      <c r="BR11" s="1965">
        <f>INDEX(SP_CS_MarketCap,0,COLUMN())-INDEX(SP_CS_Cash,0,COLUMN())+INDEX(SP_CS_Debt,0,COLUMN())+INDEX(SP_CS_OL,0,COLUMN())+INDEX(SP_CS_EVCalc_Other,0,COLUMN())</f>
        <v/>
      </c>
      <c r="BS11" s="1965">
        <f>INDEX(SP_CS_MarketCap,0,COLUMN())-INDEX(SP_CS_Cash,0,COLUMN())+INDEX(SP_CS_Debt,0,COLUMN())+INDEX(SP_CS_OL,0,COLUMN())+INDEX(SP_CS_EVCalc_Other,0,COLUMN())</f>
        <v/>
      </c>
      <c r="BT11" s="1964">
        <f>INDEX(SP_CS_MarketCap,0,COLUMN())-INDEX(SP_CS_Cash,0,COLUMN())+INDEX(SP_CS_Debt,0,COLUMN())+INDEX(SP_CS_OL,0,COLUMN())+INDEX(SP_CS_EVCalc_Other,0,COLUMN())</f>
        <v/>
      </c>
      <c r="BU11" s="1965">
        <f>INDEX(SP_CS_MarketCap,0,COLUMN())-INDEX(SP_CS_Cash,0,COLUMN())+INDEX(SP_CS_Debt,0,COLUMN())+INDEX(SP_CS_OL,0,COLUMN())+INDEX(SP_CS_EVCalc_Other,0,COLUMN())</f>
        <v/>
      </c>
      <c r="BV11" s="1965">
        <f>INDEX(SP_CS_MarketCap,0,COLUMN())-INDEX(SP_CS_Cash,0,COLUMN())+INDEX(SP_CS_Debt,0,COLUMN())+INDEX(SP_CS_OL,0,COLUMN())+INDEX(SP_CS_EVCalc_Other,0,COLUMN())</f>
        <v/>
      </c>
      <c r="BW11" s="1965">
        <f>INDEX(SP_CS_MarketCap,0,COLUMN())-INDEX(SP_CS_Cash,0,COLUMN())+INDEX(SP_CS_Debt,0,COLUMN())+INDEX(SP_CS_OL,0,COLUMN())+INDEX(SP_CS_EVCalc_Other,0,COLUMN())</f>
        <v/>
      </c>
      <c r="BX11" s="1965">
        <f>INDEX(SP_CS_MarketCap,0,COLUMN())-INDEX(SP_CS_Cash,0,COLUMN())+INDEX(SP_CS_Debt,0,COLUMN())+INDEX(SP_CS_OL,0,COLUMN())+INDEX(SP_CS_EVCalc_Other,0,COLUMN())</f>
        <v/>
      </c>
      <c r="BY11" s="1964">
        <f>INDEX(SP_CS_MarketCap,0,COLUMN())-INDEX(SP_CS_Cash,0,COLUMN())+INDEX(SP_CS_Debt,0,COLUMN())+INDEX(SP_CS_OL,0,COLUMN())+INDEX(SP_CS_EVCalc_Other,0,COLUMN())</f>
        <v/>
      </c>
      <c r="BZ11" s="1964">
        <f>INDEX(SP_CS_MarketCap,0,COLUMN())-INDEX(SP_CS_Cash,0,COLUMN())+INDEX(SP_CS_Debt,0,COLUMN())+INDEX(SP_CS_OL,0,COLUMN())+INDEX(SP_CS_EVCalc_Other,0,COLUMN())</f>
        <v/>
      </c>
      <c r="CA11" s="1964">
        <f>INDEX(SP_CS_MarketCap,0,COLUMN())-INDEX(SP_CS_Cash,0,COLUMN())+INDEX(SP_CS_Debt,0,COLUMN())+INDEX(SP_CS_OL,0,COLUMN())+INDEX(SP_CS_EVCalc_Other,0,COLUMN())</f>
        <v/>
      </c>
      <c r="CB11" s="1964">
        <f>INDEX(SP_CS_MarketCap,0,COLUMN())-INDEX(SP_CS_Cash,0,COLUMN())+INDEX(SP_CS_Debt,0,COLUMN())+INDEX(SP_CS_OL,0,COLUMN())+INDEX(SP_CS_EVCalc_Other,0,COLUMN())</f>
        <v/>
      </c>
      <c r="CC11" s="1967" t="n"/>
    </row>
    <row r="12" ht="14.4" customFormat="1" customHeight="1" s="1974">
      <c r="A12" s="1949" t="n"/>
      <c r="B12" s="1975" t="n"/>
      <c r="C12" s="1976" t="n"/>
      <c r="D12" s="1976" t="n"/>
      <c r="E12" s="1976" t="n"/>
      <c r="F12" s="1976" t="n"/>
      <c r="G12" s="1976" t="n"/>
      <c r="H12" s="1977" t="n"/>
      <c r="I12" s="1977" t="n"/>
      <c r="J12" s="1977" t="n"/>
      <c r="K12" s="1977" t="n"/>
      <c r="L12" s="1976" t="n"/>
      <c r="M12" s="1977" t="n"/>
      <c r="N12" s="1977" t="n"/>
      <c r="O12" s="1977" t="n"/>
      <c r="P12" s="1977" t="n"/>
      <c r="Q12" s="1976" t="n"/>
      <c r="R12" s="1977" t="n"/>
      <c r="S12" s="1977" t="n"/>
      <c r="T12" s="1977" t="n"/>
      <c r="U12" s="1977" t="n"/>
      <c r="V12" s="1976" t="n"/>
      <c r="W12" s="1977" t="n"/>
      <c r="X12" s="1977" t="n"/>
      <c r="Y12" s="1977" t="n"/>
      <c r="Z12" s="1977" t="n"/>
      <c r="AA12" s="1976" t="n"/>
      <c r="AB12" s="1977" t="n"/>
      <c r="AC12" s="1977" t="n"/>
      <c r="AD12" s="1977" t="n"/>
      <c r="AE12" s="1977" t="n"/>
      <c r="AF12" s="1976" t="n"/>
      <c r="AG12" s="1977" t="n"/>
      <c r="AH12" s="1977" t="n"/>
      <c r="AI12" s="1977" t="n"/>
      <c r="AJ12" s="1977" t="n"/>
      <c r="AK12" s="1976" t="n"/>
      <c r="AL12" s="1977" t="n"/>
      <c r="AM12" s="1977" t="n"/>
      <c r="AN12" s="1977" t="n"/>
      <c r="AO12" s="1977" t="n"/>
      <c r="AP12" s="1976" t="n"/>
      <c r="AQ12" s="1977" t="n"/>
      <c r="AR12" s="1977" t="n"/>
      <c r="AS12" s="1977" t="n"/>
      <c r="AT12" s="1977" t="n"/>
      <c r="AU12" s="1976" t="n"/>
      <c r="AV12" s="1977" t="n"/>
      <c r="AW12" s="1977" t="n"/>
      <c r="AX12" s="1977" t="n"/>
      <c r="AY12" s="1977" t="n"/>
      <c r="AZ12" s="1976" t="n"/>
      <c r="BA12" s="1977" t="n"/>
      <c r="BB12" s="1977" t="n"/>
      <c r="BC12" s="1977" t="n"/>
      <c r="BD12" s="1977" t="n"/>
      <c r="BE12" s="1976" t="n"/>
      <c r="BF12" s="1977" t="n"/>
      <c r="BG12" s="1977" t="n"/>
      <c r="BH12" s="1977" t="n"/>
      <c r="BI12" s="1977" t="n"/>
      <c r="BJ12" s="1976" t="n"/>
      <c r="BK12" s="1977" t="n"/>
      <c r="BL12" s="1977" t="n"/>
      <c r="BM12" s="1977" t="n"/>
      <c r="BN12" s="1977" t="n"/>
      <c r="BO12" s="1978" t="n"/>
      <c r="BP12" s="1977" t="n"/>
      <c r="BQ12" s="1977" t="n"/>
      <c r="BR12" s="1977" t="n"/>
      <c r="BS12" s="1977" t="n"/>
      <c r="BT12" s="1976" t="n"/>
      <c r="BU12" s="1977" t="n"/>
      <c r="BV12" s="1977" t="n"/>
      <c r="BW12" s="1977" t="n"/>
      <c r="BX12" s="1977" t="n"/>
      <c r="BY12" s="1976" t="n"/>
      <c r="BZ12" s="1976" t="n"/>
      <c r="CA12" s="1976" t="n"/>
      <c r="CB12" s="1976" t="n"/>
      <c r="CC12" s="1977" t="n"/>
    </row>
    <row r="13" ht="14.4" customHeight="1" s="876">
      <c r="A13" s="1945" t="inlineStr">
        <is>
          <t>Company-Specific Operational Data</t>
        </is>
      </c>
      <c r="B13" s="1979" t="n"/>
      <c r="C13" s="1979" t="n"/>
      <c r="D13" s="1979" t="n"/>
      <c r="E13" s="1979" t="n"/>
      <c r="F13" s="1979" t="n"/>
      <c r="G13" s="1979" t="n"/>
      <c r="H13" s="1979" t="n"/>
      <c r="I13" s="1979" t="n"/>
      <c r="J13" s="1979" t="n"/>
      <c r="K13" s="1979" t="n"/>
      <c r="L13" s="1979" t="n"/>
      <c r="M13" s="1979" t="n"/>
      <c r="N13" s="1979" t="n"/>
      <c r="O13" s="1979" t="n"/>
      <c r="P13" s="1979" t="n"/>
      <c r="Q13" s="1979" t="n"/>
      <c r="R13" s="1979" t="n"/>
      <c r="S13" s="1979" t="n"/>
      <c r="T13" s="1979" t="n"/>
      <c r="U13" s="1979" t="n"/>
      <c r="V13" s="1979" t="n"/>
      <c r="W13" s="1979" t="n"/>
      <c r="X13" s="1979" t="n"/>
      <c r="Y13" s="1979" t="n"/>
      <c r="Z13" s="1979" t="n"/>
      <c r="AA13" s="1979" t="n"/>
      <c r="AB13" s="1979" t="n"/>
      <c r="AC13" s="1979" t="n"/>
      <c r="AD13" s="1979" t="n"/>
      <c r="AE13" s="1979" t="n"/>
      <c r="AF13" s="1979" t="n"/>
      <c r="AG13" s="1979" t="n"/>
      <c r="AH13" s="1979" t="n"/>
      <c r="AI13" s="1979" t="n"/>
      <c r="AJ13" s="1979" t="n"/>
      <c r="AK13" s="1979" t="n"/>
      <c r="AL13" s="1979" t="n"/>
      <c r="AM13" s="1979" t="n"/>
      <c r="AN13" s="1979" t="n"/>
      <c r="AO13" s="1979" t="n"/>
      <c r="AP13" s="1979" t="n"/>
      <c r="AQ13" s="1979" t="n"/>
      <c r="AR13" s="1979" t="n"/>
      <c r="AS13" s="1979" t="n"/>
      <c r="AT13" s="1979" t="n"/>
      <c r="AU13" s="1979" t="n"/>
      <c r="AV13" s="1979" t="n"/>
      <c r="AW13" s="1979" t="n"/>
      <c r="AX13" s="1979" t="n"/>
      <c r="AY13" s="1979" t="n"/>
      <c r="AZ13" s="1979" t="n"/>
      <c r="BA13" s="1979" t="n"/>
      <c r="BB13" s="1979" t="n"/>
      <c r="BC13" s="1979" t="n"/>
      <c r="BD13" s="1979" t="n"/>
      <c r="BE13" s="1979" t="n"/>
      <c r="BF13" s="1979" t="n"/>
      <c r="BG13" s="1979" t="n"/>
      <c r="BH13" s="1979" t="n"/>
      <c r="BI13" s="1979" t="n"/>
      <c r="BJ13" s="1979" t="n"/>
      <c r="BK13" s="1979" t="n"/>
      <c r="BL13" s="1979" t="n"/>
      <c r="BM13" s="1979" t="n"/>
      <c r="BN13" s="1979" t="n"/>
      <c r="BO13" s="1980" t="n"/>
      <c r="BP13" s="1979" t="n"/>
      <c r="BQ13" s="1979" t="n"/>
      <c r="BR13" s="1979" t="n"/>
      <c r="BS13" s="1979" t="n"/>
      <c r="BT13" s="1979" t="n"/>
      <c r="BU13" s="1979" t="n"/>
      <c r="BV13" s="1979" t="n"/>
      <c r="BW13" s="1979" t="n"/>
      <c r="BX13" s="1979" t="n"/>
      <c r="BY13" s="1979" t="n"/>
      <c r="BZ13" s="1979" t="n"/>
      <c r="CA13" s="1979" t="n"/>
      <c r="CB13" s="1979" t="n"/>
      <c r="CC13" s="1301" t="n"/>
    </row>
    <row r="14" ht="14.4" customFormat="1" customHeight="1" s="1925">
      <c r="A14" s="1981">
        <f>Model!A9</f>
        <v/>
      </c>
      <c r="B14" s="1982" t="n"/>
      <c r="C14" s="1983" t="n"/>
      <c r="D14" s="1983" t="n"/>
      <c r="E14" s="1983" t="n"/>
      <c r="F14" s="1983" t="n"/>
      <c r="G14" s="1983" t="n"/>
      <c r="H14" s="1984" t="n"/>
      <c r="I14" s="1984" t="n"/>
      <c r="J14" s="1984" t="n"/>
      <c r="K14" s="1984" t="n"/>
      <c r="L14" s="1983" t="n"/>
      <c r="M14" s="1984" t="n"/>
      <c r="N14" s="1984" t="n"/>
      <c r="O14" s="1984" t="n"/>
      <c r="P14" s="1984" t="n"/>
      <c r="Q14" s="1983" t="n"/>
      <c r="R14" s="1984" t="n"/>
      <c r="S14" s="1984" t="n"/>
      <c r="T14" s="1984" t="n"/>
      <c r="U14" s="1984" t="n"/>
      <c r="V14" s="1983" t="n"/>
      <c r="W14" s="1984" t="n"/>
      <c r="X14" s="1984" t="n"/>
      <c r="Y14" s="1984" t="n"/>
      <c r="Z14" s="1984" t="n"/>
      <c r="AA14" s="1983" t="n"/>
      <c r="AB14" s="1984" t="n"/>
      <c r="AC14" s="1984" t="n"/>
      <c r="AD14" s="1984" t="n"/>
      <c r="AE14" s="1984" t="n"/>
      <c r="AF14" s="1983" t="n"/>
      <c r="AG14" s="1984">
        <f>Model!AG9</f>
        <v/>
      </c>
      <c r="AH14" s="1984">
        <f>Model!AH9</f>
        <v/>
      </c>
      <c r="AI14" s="1984">
        <f>Model!AI9</f>
        <v/>
      </c>
      <c r="AJ14" s="1984">
        <f>Model!AJ9</f>
        <v/>
      </c>
      <c r="AK14" s="1983">
        <f>Model!AK9</f>
        <v/>
      </c>
      <c r="AL14" s="1984">
        <f>Model!AL9</f>
        <v/>
      </c>
      <c r="AM14" s="1984">
        <f>Model!AM9</f>
        <v/>
      </c>
      <c r="AN14" s="1984">
        <f>Model!AN9</f>
        <v/>
      </c>
      <c r="AO14" s="1984">
        <f>Model!AO9</f>
        <v/>
      </c>
      <c r="AP14" s="1983">
        <f>Model!AP9</f>
        <v/>
      </c>
      <c r="AQ14" s="1984">
        <f>Model!AQ9</f>
        <v/>
      </c>
      <c r="AR14" s="1984">
        <f>Model!AR9</f>
        <v/>
      </c>
      <c r="AS14" s="1984">
        <f>Model!AS9</f>
        <v/>
      </c>
      <c r="AT14" s="1984">
        <f>Model!AT9</f>
        <v/>
      </c>
      <c r="AU14" s="1983">
        <f>Model!AU9</f>
        <v/>
      </c>
      <c r="AV14" s="1984">
        <f>Model!AV9</f>
        <v/>
      </c>
      <c r="AW14" s="1984">
        <f>Model!AW9</f>
        <v/>
      </c>
      <c r="AX14" s="1984">
        <f>Model!AX9</f>
        <v/>
      </c>
      <c r="AY14" s="1984">
        <f>Model!AY9</f>
        <v/>
      </c>
      <c r="AZ14" s="1983">
        <f>Model!AZ9</f>
        <v/>
      </c>
      <c r="BA14" s="1984">
        <f>Model!BA9</f>
        <v/>
      </c>
      <c r="BB14" s="1984">
        <f>Model!BB9</f>
        <v/>
      </c>
      <c r="BC14" s="1984">
        <f>Model!BC9</f>
        <v/>
      </c>
      <c r="BD14" s="1984">
        <f>Model!BD9</f>
        <v/>
      </c>
      <c r="BE14" s="1983">
        <f>Model!BE9</f>
        <v/>
      </c>
      <c r="BF14" s="1984">
        <f>Model!BF9</f>
        <v/>
      </c>
      <c r="BG14" s="1984">
        <f>Model!BG9</f>
        <v/>
      </c>
      <c r="BH14" s="1984">
        <f>Model!BH9</f>
        <v/>
      </c>
      <c r="BI14" s="1984">
        <f>Model!BI9</f>
        <v/>
      </c>
      <c r="BJ14" s="1983">
        <f>Model!BJ9</f>
        <v/>
      </c>
      <c r="BK14" s="1984">
        <f>Model!BK9</f>
        <v/>
      </c>
      <c r="BL14" s="1984">
        <f>Model!BL9</f>
        <v/>
      </c>
      <c r="BM14" s="1984">
        <f>Model!BM9</f>
        <v/>
      </c>
      <c r="BN14" s="1984">
        <f>Model!BN9</f>
        <v/>
      </c>
      <c r="BO14" s="1985">
        <f>Model!BO9</f>
        <v/>
      </c>
      <c r="BP14" s="1984">
        <f>Model!BP9</f>
        <v/>
      </c>
      <c r="BQ14" s="1984">
        <f>Model!BQ9</f>
        <v/>
      </c>
      <c r="BR14" s="1984">
        <f>Model!BR9</f>
        <v/>
      </c>
      <c r="BS14" s="1984">
        <f>Model!BS9</f>
        <v/>
      </c>
      <c r="BT14" s="1983">
        <f>Model!BT9</f>
        <v/>
      </c>
      <c r="BU14" s="1984">
        <f>Model!BU9</f>
        <v/>
      </c>
      <c r="BV14" s="1984">
        <f>Model!BV9</f>
        <v/>
      </c>
      <c r="BW14" s="1984">
        <f>Model!BW9</f>
        <v/>
      </c>
      <c r="BX14" s="1984">
        <f>Model!BX9</f>
        <v/>
      </c>
      <c r="BY14" s="1983">
        <f>Model!BY9</f>
        <v/>
      </c>
      <c r="BZ14" s="1983">
        <f>Model!BZ9</f>
        <v/>
      </c>
      <c r="CA14" s="1983">
        <f>Model!CA9</f>
        <v/>
      </c>
      <c r="CB14" s="1983">
        <f>Model!CB9</f>
        <v/>
      </c>
      <c r="CC14" s="1527" t="n"/>
    </row>
    <row r="15" ht="14.4" customFormat="1" customHeight="1" s="1925">
      <c r="A15" s="1981">
        <f>Model!A12</f>
        <v/>
      </c>
      <c r="B15" s="1982" t="n"/>
      <c r="C15" s="1983" t="n"/>
      <c r="D15" s="1983" t="n"/>
      <c r="E15" s="1983" t="n"/>
      <c r="F15" s="1983" t="n"/>
      <c r="G15" s="1983" t="n"/>
      <c r="H15" s="1984" t="n"/>
      <c r="I15" s="1984" t="n"/>
      <c r="J15" s="1984" t="n"/>
      <c r="K15" s="1984" t="n"/>
      <c r="L15" s="1983" t="n"/>
      <c r="M15" s="1984" t="n"/>
      <c r="N15" s="1984" t="n"/>
      <c r="O15" s="1984" t="n"/>
      <c r="P15" s="1984" t="n"/>
      <c r="Q15" s="1983" t="n"/>
      <c r="R15" s="1984" t="n"/>
      <c r="S15" s="1984" t="n"/>
      <c r="T15" s="1984" t="n"/>
      <c r="U15" s="1984" t="n"/>
      <c r="V15" s="1983" t="n"/>
      <c r="W15" s="1984" t="n"/>
      <c r="X15" s="1984" t="n"/>
      <c r="Y15" s="1984" t="n"/>
      <c r="Z15" s="1984" t="n"/>
      <c r="AA15" s="1983" t="n"/>
      <c r="AB15" s="1984" t="n"/>
      <c r="AC15" s="1984" t="n"/>
      <c r="AD15" s="1984" t="n"/>
      <c r="AE15" s="1984" t="n"/>
      <c r="AF15" s="1983" t="n"/>
      <c r="AG15" s="1984">
        <f>Model!AG12</f>
        <v/>
      </c>
      <c r="AH15" s="1984">
        <f>Model!AH12</f>
        <v/>
      </c>
      <c r="AI15" s="1984">
        <f>Model!AI12</f>
        <v/>
      </c>
      <c r="AJ15" s="1984">
        <f>Model!AJ12</f>
        <v/>
      </c>
      <c r="AK15" s="1983">
        <f>Model!AK12</f>
        <v/>
      </c>
      <c r="AL15" s="1984">
        <f>Model!AL12</f>
        <v/>
      </c>
      <c r="AM15" s="1984">
        <f>Model!AM12</f>
        <v/>
      </c>
      <c r="AN15" s="1984">
        <f>Model!AN12</f>
        <v/>
      </c>
      <c r="AO15" s="1984">
        <f>Model!AO12</f>
        <v/>
      </c>
      <c r="AP15" s="1983">
        <f>Model!AP12</f>
        <v/>
      </c>
      <c r="AQ15" s="1984">
        <f>Model!AQ12</f>
        <v/>
      </c>
      <c r="AR15" s="1984">
        <f>Model!AR12</f>
        <v/>
      </c>
      <c r="AS15" s="1984">
        <f>Model!AS12</f>
        <v/>
      </c>
      <c r="AT15" s="1984">
        <f>Model!AT12</f>
        <v/>
      </c>
      <c r="AU15" s="1983">
        <f>Model!AU12</f>
        <v/>
      </c>
      <c r="AV15" s="1984">
        <f>Model!AV12</f>
        <v/>
      </c>
      <c r="AW15" s="1984">
        <f>Model!AW12</f>
        <v/>
      </c>
      <c r="AX15" s="1984">
        <f>Model!AX12</f>
        <v/>
      </c>
      <c r="AY15" s="1984">
        <f>Model!AY12</f>
        <v/>
      </c>
      <c r="AZ15" s="1983">
        <f>Model!AZ12</f>
        <v/>
      </c>
      <c r="BA15" s="1984">
        <f>Model!BA12</f>
        <v/>
      </c>
      <c r="BB15" s="1984">
        <f>Model!BB12</f>
        <v/>
      </c>
      <c r="BC15" s="1984">
        <f>Model!BC12</f>
        <v/>
      </c>
      <c r="BD15" s="1984">
        <f>Model!BD12</f>
        <v/>
      </c>
      <c r="BE15" s="1983">
        <f>Model!BE12</f>
        <v/>
      </c>
      <c r="BF15" s="1984">
        <f>Model!BF12</f>
        <v/>
      </c>
      <c r="BG15" s="1984">
        <f>Model!BG12</f>
        <v/>
      </c>
      <c r="BH15" s="1984">
        <f>Model!BH12</f>
        <v/>
      </c>
      <c r="BI15" s="1984">
        <f>Model!BI12</f>
        <v/>
      </c>
      <c r="BJ15" s="1983">
        <f>Model!BJ12</f>
        <v/>
      </c>
      <c r="BK15" s="1984">
        <f>Model!BK12</f>
        <v/>
      </c>
      <c r="BL15" s="1984">
        <f>Model!BL12</f>
        <v/>
      </c>
      <c r="BM15" s="1984">
        <f>Model!BM12</f>
        <v/>
      </c>
      <c r="BN15" s="1984">
        <f>Model!BN12</f>
        <v/>
      </c>
      <c r="BO15" s="1985">
        <f>Model!BO12</f>
        <v/>
      </c>
      <c r="BP15" s="1984">
        <f>Model!BP12</f>
        <v/>
      </c>
      <c r="BQ15" s="1984">
        <f>Model!BQ12</f>
        <v/>
      </c>
      <c r="BR15" s="1984">
        <f>Model!BR12</f>
        <v/>
      </c>
      <c r="BS15" s="1984">
        <f>Model!BS12</f>
        <v/>
      </c>
      <c r="BT15" s="1983">
        <f>Model!BT12</f>
        <v/>
      </c>
      <c r="BU15" s="1984">
        <f>Model!BU12</f>
        <v/>
      </c>
      <c r="BV15" s="1984">
        <f>Model!BV12</f>
        <v/>
      </c>
      <c r="BW15" s="1984">
        <f>Model!BW12</f>
        <v/>
      </c>
      <c r="BX15" s="1984">
        <f>Model!BX12</f>
        <v/>
      </c>
      <c r="BY15" s="1983">
        <f>Model!BY12</f>
        <v/>
      </c>
      <c r="BZ15" s="1983">
        <f>Model!BZ12</f>
        <v/>
      </c>
      <c r="CA15" s="1983">
        <f>Model!CA12</f>
        <v/>
      </c>
      <c r="CB15" s="1983">
        <f>Model!CB12</f>
        <v/>
      </c>
      <c r="CC15" s="1527" t="n"/>
    </row>
    <row r="16" ht="14.4" customFormat="1" customHeight="1" s="1925">
      <c r="A16" s="1981">
        <f>Model!A15</f>
        <v/>
      </c>
      <c r="B16" s="1982" t="n"/>
      <c r="C16" s="1983" t="n"/>
      <c r="D16" s="1983" t="n"/>
      <c r="E16" s="1983" t="n"/>
      <c r="F16" s="1983" t="n"/>
      <c r="G16" s="1983" t="n"/>
      <c r="H16" s="1984" t="n"/>
      <c r="I16" s="1984" t="n"/>
      <c r="J16" s="1984" t="n"/>
      <c r="K16" s="1984" t="n"/>
      <c r="L16" s="1983" t="n"/>
      <c r="M16" s="1984" t="n"/>
      <c r="N16" s="1984" t="n"/>
      <c r="O16" s="1984" t="n"/>
      <c r="P16" s="1984" t="n"/>
      <c r="Q16" s="1983" t="n"/>
      <c r="R16" s="1984" t="n"/>
      <c r="S16" s="1984" t="n"/>
      <c r="T16" s="1984" t="n"/>
      <c r="U16" s="1984" t="n"/>
      <c r="V16" s="1983" t="n"/>
      <c r="W16" s="1984" t="n"/>
      <c r="X16" s="1984" t="n"/>
      <c r="Y16" s="1984" t="n"/>
      <c r="Z16" s="1984" t="n"/>
      <c r="AA16" s="1983" t="n"/>
      <c r="AB16" s="1984" t="n"/>
      <c r="AC16" s="1984" t="n"/>
      <c r="AD16" s="1984" t="n"/>
      <c r="AE16" s="1984" t="n"/>
      <c r="AF16" s="1983" t="n"/>
      <c r="AG16" s="1984">
        <f>Model!AG15</f>
        <v/>
      </c>
      <c r="AH16" s="1984">
        <f>Model!AH15</f>
        <v/>
      </c>
      <c r="AI16" s="1984">
        <f>Model!AI15</f>
        <v/>
      </c>
      <c r="AJ16" s="1984">
        <f>Model!AJ15</f>
        <v/>
      </c>
      <c r="AK16" s="1983">
        <f>Model!AK15</f>
        <v/>
      </c>
      <c r="AL16" s="1984">
        <f>Model!AL15</f>
        <v/>
      </c>
      <c r="AM16" s="1984">
        <f>Model!AM15</f>
        <v/>
      </c>
      <c r="AN16" s="1984">
        <f>Model!AN15</f>
        <v/>
      </c>
      <c r="AO16" s="1984">
        <f>Model!AO15</f>
        <v/>
      </c>
      <c r="AP16" s="1983">
        <f>Model!AP15</f>
        <v/>
      </c>
      <c r="AQ16" s="1984">
        <f>Model!AQ15</f>
        <v/>
      </c>
      <c r="AR16" s="1984">
        <f>Model!AR15</f>
        <v/>
      </c>
      <c r="AS16" s="1984">
        <f>Model!AS15</f>
        <v/>
      </c>
      <c r="AT16" s="1984">
        <f>Model!AT15</f>
        <v/>
      </c>
      <c r="AU16" s="1983">
        <f>Model!AU15</f>
        <v/>
      </c>
      <c r="AV16" s="1984">
        <f>Model!AV15</f>
        <v/>
      </c>
      <c r="AW16" s="1984">
        <f>Model!AW15</f>
        <v/>
      </c>
      <c r="AX16" s="1984">
        <f>Model!AX15</f>
        <v/>
      </c>
      <c r="AY16" s="1984">
        <f>Model!AY15</f>
        <v/>
      </c>
      <c r="AZ16" s="1983">
        <f>Model!AZ15</f>
        <v/>
      </c>
      <c r="BA16" s="1984">
        <f>Model!BA15</f>
        <v/>
      </c>
      <c r="BB16" s="1984">
        <f>Model!BB15</f>
        <v/>
      </c>
      <c r="BC16" s="1984">
        <f>Model!BC15</f>
        <v/>
      </c>
      <c r="BD16" s="1984">
        <f>Model!BD15</f>
        <v/>
      </c>
      <c r="BE16" s="1983">
        <f>Model!BE15</f>
        <v/>
      </c>
      <c r="BF16" s="1984">
        <f>Model!BF15</f>
        <v/>
      </c>
      <c r="BG16" s="1984">
        <f>Model!BG15</f>
        <v/>
      </c>
      <c r="BH16" s="1984">
        <f>Model!BH15</f>
        <v/>
      </c>
      <c r="BI16" s="1984">
        <f>Model!BI15</f>
        <v/>
      </c>
      <c r="BJ16" s="1983">
        <f>Model!BJ15</f>
        <v/>
      </c>
      <c r="BK16" s="1984">
        <f>Model!BK15</f>
        <v/>
      </c>
      <c r="BL16" s="1984">
        <f>Model!BL15</f>
        <v/>
      </c>
      <c r="BM16" s="1984">
        <f>Model!BM15</f>
        <v/>
      </c>
      <c r="BN16" s="1984">
        <f>Model!BN15</f>
        <v/>
      </c>
      <c r="BO16" s="1985">
        <f>Model!BO15</f>
        <v/>
      </c>
      <c r="BP16" s="1984">
        <f>Model!BP15</f>
        <v/>
      </c>
      <c r="BQ16" s="1984">
        <f>Model!BQ15</f>
        <v/>
      </c>
      <c r="BR16" s="1984">
        <f>Model!BR15</f>
        <v/>
      </c>
      <c r="BS16" s="1984">
        <f>Model!BS15</f>
        <v/>
      </c>
      <c r="BT16" s="1983">
        <f>Model!BT15</f>
        <v/>
      </c>
      <c r="BU16" s="1984">
        <f>Model!BU15</f>
        <v/>
      </c>
      <c r="BV16" s="1984">
        <f>Model!BV15</f>
        <v/>
      </c>
      <c r="BW16" s="1984">
        <f>Model!BW15</f>
        <v/>
      </c>
      <c r="BX16" s="1984">
        <f>Model!BX15</f>
        <v/>
      </c>
      <c r="BY16" s="1983">
        <f>Model!BY15</f>
        <v/>
      </c>
      <c r="BZ16" s="1983">
        <f>Model!BZ15</f>
        <v/>
      </c>
      <c r="CA16" s="1983">
        <f>Model!CA15</f>
        <v/>
      </c>
      <c r="CB16" s="1983">
        <f>Model!CB15</f>
        <v/>
      </c>
      <c r="CC16" s="1527" t="n"/>
    </row>
    <row r="17" ht="14.4" customFormat="1" customHeight="1" s="1925">
      <c r="A17" s="1981">
        <f>Model!A18</f>
        <v/>
      </c>
      <c r="B17" s="1982" t="n"/>
      <c r="C17" s="1983" t="n"/>
      <c r="D17" s="1983" t="n"/>
      <c r="E17" s="1983" t="n"/>
      <c r="F17" s="1983" t="n"/>
      <c r="G17" s="1983" t="n"/>
      <c r="H17" s="1984" t="n"/>
      <c r="I17" s="1984" t="n"/>
      <c r="J17" s="1984" t="n"/>
      <c r="K17" s="1984" t="n"/>
      <c r="L17" s="1983" t="n"/>
      <c r="M17" s="1984" t="n"/>
      <c r="N17" s="1984" t="n"/>
      <c r="O17" s="1984" t="n"/>
      <c r="P17" s="1984" t="n"/>
      <c r="Q17" s="1983" t="n"/>
      <c r="R17" s="1984" t="n"/>
      <c r="S17" s="1984" t="n"/>
      <c r="T17" s="1984" t="n"/>
      <c r="U17" s="1984" t="n"/>
      <c r="V17" s="1983" t="n"/>
      <c r="W17" s="1984" t="n"/>
      <c r="X17" s="1984" t="n"/>
      <c r="Y17" s="1984" t="n"/>
      <c r="Z17" s="1984" t="n"/>
      <c r="AA17" s="1983" t="n"/>
      <c r="AB17" s="1984" t="n"/>
      <c r="AC17" s="1984" t="n"/>
      <c r="AD17" s="1984" t="n"/>
      <c r="AE17" s="1984" t="n"/>
      <c r="AF17" s="1983" t="n"/>
      <c r="AG17" s="1984">
        <f>Model!AG18</f>
        <v/>
      </c>
      <c r="AH17" s="1984">
        <f>Model!AH18</f>
        <v/>
      </c>
      <c r="AI17" s="1984">
        <f>Model!AI18</f>
        <v/>
      </c>
      <c r="AJ17" s="1984">
        <f>Model!AJ18</f>
        <v/>
      </c>
      <c r="AK17" s="1983">
        <f>Model!AK18</f>
        <v/>
      </c>
      <c r="AL17" s="1984">
        <f>Model!AL18</f>
        <v/>
      </c>
      <c r="AM17" s="1984">
        <f>Model!AM18</f>
        <v/>
      </c>
      <c r="AN17" s="1984">
        <f>Model!AN18</f>
        <v/>
      </c>
      <c r="AO17" s="1984">
        <f>Model!AO18</f>
        <v/>
      </c>
      <c r="AP17" s="1983">
        <f>Model!AP18</f>
        <v/>
      </c>
      <c r="AQ17" s="1984">
        <f>Model!AQ18</f>
        <v/>
      </c>
      <c r="AR17" s="1984">
        <f>Model!AR18</f>
        <v/>
      </c>
      <c r="AS17" s="1984">
        <f>Model!AS18</f>
        <v/>
      </c>
      <c r="AT17" s="1984">
        <f>Model!AT18</f>
        <v/>
      </c>
      <c r="AU17" s="1983">
        <f>Model!AU18</f>
        <v/>
      </c>
      <c r="AV17" s="1984">
        <f>Model!AV18</f>
        <v/>
      </c>
      <c r="AW17" s="1984">
        <f>Model!AW18</f>
        <v/>
      </c>
      <c r="AX17" s="1984">
        <f>Model!AX18</f>
        <v/>
      </c>
      <c r="AY17" s="1984">
        <f>Model!AY18</f>
        <v/>
      </c>
      <c r="AZ17" s="1983">
        <f>Model!AZ18</f>
        <v/>
      </c>
      <c r="BA17" s="1984">
        <f>Model!BA18</f>
        <v/>
      </c>
      <c r="BB17" s="1984">
        <f>Model!BB18</f>
        <v/>
      </c>
      <c r="BC17" s="1984">
        <f>Model!BC18</f>
        <v/>
      </c>
      <c r="BD17" s="1984">
        <f>Model!BD18</f>
        <v/>
      </c>
      <c r="BE17" s="1983">
        <f>Model!BE18</f>
        <v/>
      </c>
      <c r="BF17" s="1984">
        <f>Model!BF18</f>
        <v/>
      </c>
      <c r="BG17" s="1984">
        <f>Model!BG18</f>
        <v/>
      </c>
      <c r="BH17" s="1984">
        <f>Model!BH18</f>
        <v/>
      </c>
      <c r="BI17" s="1984">
        <f>Model!BI18</f>
        <v/>
      </c>
      <c r="BJ17" s="1983">
        <f>Model!BJ18</f>
        <v/>
      </c>
      <c r="BK17" s="1984">
        <f>Model!BK18</f>
        <v/>
      </c>
      <c r="BL17" s="1984">
        <f>Model!BL18</f>
        <v/>
      </c>
      <c r="BM17" s="1984">
        <f>Model!BM18</f>
        <v/>
      </c>
      <c r="BN17" s="1984">
        <f>Model!BN18</f>
        <v/>
      </c>
      <c r="BO17" s="1985">
        <f>Model!BO18</f>
        <v/>
      </c>
      <c r="BP17" s="1984">
        <f>Model!BP18</f>
        <v/>
      </c>
      <c r="BQ17" s="1984">
        <f>Model!BQ18</f>
        <v/>
      </c>
      <c r="BR17" s="1984">
        <f>Model!BR18</f>
        <v/>
      </c>
      <c r="BS17" s="1984">
        <f>Model!BS18</f>
        <v/>
      </c>
      <c r="BT17" s="1983">
        <f>Model!BT18</f>
        <v/>
      </c>
      <c r="BU17" s="1984">
        <f>Model!BU18</f>
        <v/>
      </c>
      <c r="BV17" s="1984">
        <f>Model!BV18</f>
        <v/>
      </c>
      <c r="BW17" s="1984">
        <f>Model!BW18</f>
        <v/>
      </c>
      <c r="BX17" s="1984">
        <f>Model!BX18</f>
        <v/>
      </c>
      <c r="BY17" s="1983">
        <f>Model!BY18</f>
        <v/>
      </c>
      <c r="BZ17" s="1983">
        <f>Model!BZ18</f>
        <v/>
      </c>
      <c r="CA17" s="1983">
        <f>Model!CA18</f>
        <v/>
      </c>
      <c r="CB17" s="1983">
        <f>Model!CB18</f>
        <v/>
      </c>
      <c r="CC17" s="1527" t="n"/>
    </row>
    <row r="18" ht="14.4" customFormat="1" customHeight="1" s="1925">
      <c r="A18" s="1981">
        <f>Model!A21</f>
        <v/>
      </c>
      <c r="B18" s="1982" t="n"/>
      <c r="C18" s="1983" t="n"/>
      <c r="D18" s="1983" t="n"/>
      <c r="E18" s="1983" t="n"/>
      <c r="F18" s="1983" t="n"/>
      <c r="G18" s="1983" t="n"/>
      <c r="H18" s="1984" t="n"/>
      <c r="I18" s="1984" t="n"/>
      <c r="J18" s="1984" t="n"/>
      <c r="K18" s="1984" t="n"/>
      <c r="L18" s="1983" t="n"/>
      <c r="M18" s="1984" t="n"/>
      <c r="N18" s="1984" t="n"/>
      <c r="O18" s="1984" t="n"/>
      <c r="P18" s="1984" t="n"/>
      <c r="Q18" s="1983" t="n"/>
      <c r="R18" s="1984" t="n"/>
      <c r="S18" s="1984" t="n"/>
      <c r="T18" s="1984" t="n"/>
      <c r="U18" s="1984" t="n"/>
      <c r="V18" s="1983" t="n"/>
      <c r="W18" s="1984" t="n"/>
      <c r="X18" s="1984" t="n"/>
      <c r="Y18" s="1984" t="n"/>
      <c r="Z18" s="1984" t="n"/>
      <c r="AA18" s="1983" t="n"/>
      <c r="AB18" s="1984" t="n"/>
      <c r="AC18" s="1984" t="n"/>
      <c r="AD18" s="1984" t="n"/>
      <c r="AE18" s="1984" t="n"/>
      <c r="AF18" s="1983" t="n"/>
      <c r="AG18" s="1984">
        <f>Model!AG21</f>
        <v/>
      </c>
      <c r="AH18" s="1984">
        <f>Model!AH21</f>
        <v/>
      </c>
      <c r="AI18" s="1984">
        <f>Model!AI21</f>
        <v/>
      </c>
      <c r="AJ18" s="1984">
        <f>Model!AJ21</f>
        <v/>
      </c>
      <c r="AK18" s="1983">
        <f>Model!AK21</f>
        <v/>
      </c>
      <c r="AL18" s="1984">
        <f>Model!AL21</f>
        <v/>
      </c>
      <c r="AM18" s="1984">
        <f>Model!AM21</f>
        <v/>
      </c>
      <c r="AN18" s="1984">
        <f>Model!AN21</f>
        <v/>
      </c>
      <c r="AO18" s="1984">
        <f>Model!AO21</f>
        <v/>
      </c>
      <c r="AP18" s="1983">
        <f>Model!AP21</f>
        <v/>
      </c>
      <c r="AQ18" s="1984">
        <f>Model!AQ21</f>
        <v/>
      </c>
      <c r="AR18" s="1984">
        <f>Model!AR21</f>
        <v/>
      </c>
      <c r="AS18" s="1984">
        <f>Model!AS21</f>
        <v/>
      </c>
      <c r="AT18" s="1984">
        <f>Model!AT21</f>
        <v/>
      </c>
      <c r="AU18" s="1983">
        <f>Model!AU21</f>
        <v/>
      </c>
      <c r="AV18" s="1984">
        <f>Model!AV21</f>
        <v/>
      </c>
      <c r="AW18" s="1984">
        <f>Model!AW21</f>
        <v/>
      </c>
      <c r="AX18" s="1984">
        <f>Model!AX21</f>
        <v/>
      </c>
      <c r="AY18" s="1984">
        <f>Model!AY21</f>
        <v/>
      </c>
      <c r="AZ18" s="1983">
        <f>Model!AZ21</f>
        <v/>
      </c>
      <c r="BA18" s="1984">
        <f>Model!BA21</f>
        <v/>
      </c>
      <c r="BB18" s="1984">
        <f>Model!BB21</f>
        <v/>
      </c>
      <c r="BC18" s="1984">
        <f>Model!BC21</f>
        <v/>
      </c>
      <c r="BD18" s="1984">
        <f>Model!BD21</f>
        <v/>
      </c>
      <c r="BE18" s="1983">
        <f>Model!BE21</f>
        <v/>
      </c>
      <c r="BF18" s="1984">
        <f>Model!BF21</f>
        <v/>
      </c>
      <c r="BG18" s="1984">
        <f>Model!BG21</f>
        <v/>
      </c>
      <c r="BH18" s="1984">
        <f>Model!BH21</f>
        <v/>
      </c>
      <c r="BI18" s="1984">
        <f>Model!BI21</f>
        <v/>
      </c>
      <c r="BJ18" s="1983">
        <f>Model!BJ21</f>
        <v/>
      </c>
      <c r="BK18" s="1984">
        <f>Model!BK21</f>
        <v/>
      </c>
      <c r="BL18" s="1984">
        <f>Model!BL21</f>
        <v/>
      </c>
      <c r="BM18" s="1984">
        <f>Model!BM21</f>
        <v/>
      </c>
      <c r="BN18" s="1984">
        <f>Model!BN21</f>
        <v/>
      </c>
      <c r="BO18" s="1985">
        <f>Model!BO21</f>
        <v/>
      </c>
      <c r="BP18" s="1984">
        <f>Model!BP21</f>
        <v/>
      </c>
      <c r="BQ18" s="1984">
        <f>Model!BQ21</f>
        <v/>
      </c>
      <c r="BR18" s="1984">
        <f>Model!BR21</f>
        <v/>
      </c>
      <c r="BS18" s="1984">
        <f>Model!BS21</f>
        <v/>
      </c>
      <c r="BT18" s="1983">
        <f>Model!BT21</f>
        <v/>
      </c>
      <c r="BU18" s="1984">
        <f>Model!BU21</f>
        <v/>
      </c>
      <c r="BV18" s="1984">
        <f>Model!BV21</f>
        <v/>
      </c>
      <c r="BW18" s="1984">
        <f>Model!BW21</f>
        <v/>
      </c>
      <c r="BX18" s="1984">
        <f>Model!BX21</f>
        <v/>
      </c>
      <c r="BY18" s="1983">
        <f>Model!BY21</f>
        <v/>
      </c>
      <c r="BZ18" s="1983">
        <f>Model!BZ21</f>
        <v/>
      </c>
      <c r="CA18" s="1983">
        <f>Model!CA21</f>
        <v/>
      </c>
      <c r="CB18" s="1983">
        <f>Model!CB21</f>
        <v/>
      </c>
      <c r="CC18" s="1527" t="n"/>
    </row>
    <row r="19" ht="14.4" customFormat="1" customHeight="1" s="1925">
      <c r="A19" s="1986">
        <f>Model!A24</f>
        <v/>
      </c>
      <c r="B19" s="1987" t="n"/>
      <c r="C19" s="1988" t="n"/>
      <c r="D19" s="1988" t="n"/>
      <c r="E19" s="1988" t="n"/>
      <c r="F19" s="1988" t="n"/>
      <c r="G19" s="1988" t="n"/>
      <c r="H19" s="1989" t="n"/>
      <c r="I19" s="1989" t="n"/>
      <c r="J19" s="1989" t="n"/>
      <c r="K19" s="1989" t="n"/>
      <c r="L19" s="1988" t="n"/>
      <c r="M19" s="1989" t="n"/>
      <c r="N19" s="1989" t="n"/>
      <c r="O19" s="1989" t="n"/>
      <c r="P19" s="1989" t="n"/>
      <c r="Q19" s="1988" t="n"/>
      <c r="R19" s="1989" t="n"/>
      <c r="S19" s="1989" t="n"/>
      <c r="T19" s="1989" t="n"/>
      <c r="U19" s="1989" t="n"/>
      <c r="V19" s="1988" t="n"/>
      <c r="W19" s="1989" t="n"/>
      <c r="X19" s="1989" t="n"/>
      <c r="Y19" s="1989" t="n"/>
      <c r="Z19" s="1989" t="n"/>
      <c r="AA19" s="1988" t="n"/>
      <c r="AB19" s="1989" t="n"/>
      <c r="AC19" s="1989" t="n"/>
      <c r="AD19" s="1989" t="n"/>
      <c r="AE19" s="1989" t="n"/>
      <c r="AF19" s="1988" t="n"/>
      <c r="AG19" s="1989">
        <f>Model!AG24</f>
        <v/>
      </c>
      <c r="AH19" s="1989">
        <f>Model!AH24</f>
        <v/>
      </c>
      <c r="AI19" s="1989">
        <f>Model!AI24</f>
        <v/>
      </c>
      <c r="AJ19" s="1989">
        <f>Model!AJ24</f>
        <v/>
      </c>
      <c r="AK19" s="1988">
        <f>Model!AK24</f>
        <v/>
      </c>
      <c r="AL19" s="1989">
        <f>Model!AL24</f>
        <v/>
      </c>
      <c r="AM19" s="1989">
        <f>Model!AM24</f>
        <v/>
      </c>
      <c r="AN19" s="1989">
        <f>Model!AN24</f>
        <v/>
      </c>
      <c r="AO19" s="1989">
        <f>Model!AO24</f>
        <v/>
      </c>
      <c r="AP19" s="1988">
        <f>Model!AP24</f>
        <v/>
      </c>
      <c r="AQ19" s="1989">
        <f>Model!AQ24</f>
        <v/>
      </c>
      <c r="AR19" s="1989">
        <f>Model!AR24</f>
        <v/>
      </c>
      <c r="AS19" s="1989">
        <f>Model!AS24</f>
        <v/>
      </c>
      <c r="AT19" s="1989">
        <f>Model!AT24</f>
        <v/>
      </c>
      <c r="AU19" s="1988">
        <f>Model!AU24</f>
        <v/>
      </c>
      <c r="AV19" s="1989">
        <f>Model!AV24</f>
        <v/>
      </c>
      <c r="AW19" s="1989">
        <f>Model!AW24</f>
        <v/>
      </c>
      <c r="AX19" s="1989">
        <f>Model!AX24</f>
        <v/>
      </c>
      <c r="AY19" s="1989">
        <f>Model!AY24</f>
        <v/>
      </c>
      <c r="AZ19" s="1988">
        <f>Model!AZ24</f>
        <v/>
      </c>
      <c r="BA19" s="1989">
        <f>Model!BA24</f>
        <v/>
      </c>
      <c r="BB19" s="1989">
        <f>Model!BB24</f>
        <v/>
      </c>
      <c r="BC19" s="1989">
        <f>Model!BC24</f>
        <v/>
      </c>
      <c r="BD19" s="1989">
        <f>Model!BD24</f>
        <v/>
      </c>
      <c r="BE19" s="1988">
        <f>Model!BE24</f>
        <v/>
      </c>
      <c r="BF19" s="1989">
        <f>Model!BF24</f>
        <v/>
      </c>
      <c r="BG19" s="1989">
        <f>Model!BG24</f>
        <v/>
      </c>
      <c r="BH19" s="1989">
        <f>Model!BH24</f>
        <v/>
      </c>
      <c r="BI19" s="1989">
        <f>Model!BI24</f>
        <v/>
      </c>
      <c r="BJ19" s="1988">
        <f>Model!BJ24</f>
        <v/>
      </c>
      <c r="BK19" s="1989">
        <f>Model!BK24</f>
        <v/>
      </c>
      <c r="BL19" s="1989">
        <f>Model!BL24</f>
        <v/>
      </c>
      <c r="BM19" s="1989">
        <f>Model!BM24</f>
        <v/>
      </c>
      <c r="BN19" s="1989">
        <f>Model!BN24</f>
        <v/>
      </c>
      <c r="BO19" s="1990">
        <f>Model!BO24</f>
        <v/>
      </c>
      <c r="BP19" s="1989">
        <f>Model!BP24</f>
        <v/>
      </c>
      <c r="BQ19" s="1989">
        <f>Model!BQ24</f>
        <v/>
      </c>
      <c r="BR19" s="1989">
        <f>Model!BR24</f>
        <v/>
      </c>
      <c r="BS19" s="1989">
        <f>Model!BS24</f>
        <v/>
      </c>
      <c r="BT19" s="1988">
        <f>Model!BT24</f>
        <v/>
      </c>
      <c r="BU19" s="1989">
        <f>Model!BU24</f>
        <v/>
      </c>
      <c r="BV19" s="1989">
        <f>Model!BV24</f>
        <v/>
      </c>
      <c r="BW19" s="1989">
        <f>Model!BW24</f>
        <v/>
      </c>
      <c r="BX19" s="1989">
        <f>Model!BX24</f>
        <v/>
      </c>
      <c r="BY19" s="1988">
        <f>Model!BY24</f>
        <v/>
      </c>
      <c r="BZ19" s="1988">
        <f>Model!BZ24</f>
        <v/>
      </c>
      <c r="CA19" s="1988">
        <f>Model!CA24</f>
        <v/>
      </c>
      <c r="CB19" s="1988">
        <f>Model!CB24</f>
        <v/>
      </c>
      <c r="CC19" s="1527" t="n"/>
    </row>
    <row r="20" ht="14.4" customFormat="1" customHeight="1" s="1991">
      <c r="A20" s="1992">
        <f>Model!A28</f>
        <v/>
      </c>
      <c r="B20" s="1993" t="n"/>
      <c r="C20" s="1994">
        <f>Model!C28</f>
        <v/>
      </c>
      <c r="D20" s="1994">
        <f>Model!D28</f>
        <v/>
      </c>
      <c r="E20" s="1994">
        <f>Model!E28</f>
        <v/>
      </c>
      <c r="F20" s="1994">
        <f>Model!F28</f>
        <v/>
      </c>
      <c r="G20" s="1994">
        <f>Model!G28</f>
        <v/>
      </c>
      <c r="H20" s="1995">
        <f>Model!H28</f>
        <v/>
      </c>
      <c r="I20" s="1995">
        <f>Model!I28</f>
        <v/>
      </c>
      <c r="J20" s="1995">
        <f>Model!J28</f>
        <v/>
      </c>
      <c r="K20" s="1995">
        <f>Model!K28</f>
        <v/>
      </c>
      <c r="L20" s="1994">
        <f>Model!L28</f>
        <v/>
      </c>
      <c r="M20" s="1995">
        <f>Model!M28</f>
        <v/>
      </c>
      <c r="N20" s="1995">
        <f>Model!N28</f>
        <v/>
      </c>
      <c r="O20" s="1995">
        <f>Model!O28</f>
        <v/>
      </c>
      <c r="P20" s="1995">
        <f>Model!P28</f>
        <v/>
      </c>
      <c r="Q20" s="1994">
        <f>Model!Q28</f>
        <v/>
      </c>
      <c r="R20" s="1995">
        <f>Model!R28</f>
        <v/>
      </c>
      <c r="S20" s="1995">
        <f>Model!S28</f>
        <v/>
      </c>
      <c r="T20" s="1995">
        <f>Model!T28</f>
        <v/>
      </c>
      <c r="U20" s="1995">
        <f>Model!U28</f>
        <v/>
      </c>
      <c r="V20" s="1994">
        <f>Model!V28</f>
        <v/>
      </c>
      <c r="W20" s="1995">
        <f>Model!W28</f>
        <v/>
      </c>
      <c r="X20" s="1995">
        <f>Model!X28</f>
        <v/>
      </c>
      <c r="Y20" s="1995">
        <f>Model!Y28</f>
        <v/>
      </c>
      <c r="Z20" s="1995">
        <f>Model!Z28</f>
        <v/>
      </c>
      <c r="AA20" s="1994">
        <f>Model!AA28</f>
        <v/>
      </c>
      <c r="AB20" s="1995">
        <f>Model!AB28</f>
        <v/>
      </c>
      <c r="AC20" s="1995">
        <f>Model!AC28</f>
        <v/>
      </c>
      <c r="AD20" s="1995">
        <f>Model!AD28</f>
        <v/>
      </c>
      <c r="AE20" s="1995">
        <f>Model!AE28</f>
        <v/>
      </c>
      <c r="AF20" s="1994">
        <f>Model!AF28</f>
        <v/>
      </c>
      <c r="AG20" s="1995">
        <f>Model!AG28</f>
        <v/>
      </c>
      <c r="AH20" s="1995">
        <f>Model!AH28</f>
        <v/>
      </c>
      <c r="AI20" s="1995">
        <f>Model!AI28</f>
        <v/>
      </c>
      <c r="AJ20" s="1995">
        <f>Model!AJ28</f>
        <v/>
      </c>
      <c r="AK20" s="1994">
        <f>Model!AK28</f>
        <v/>
      </c>
      <c r="AL20" s="1995">
        <f>Model!AL28</f>
        <v/>
      </c>
      <c r="AM20" s="1995">
        <f>Model!AM28</f>
        <v/>
      </c>
      <c r="AN20" s="1995">
        <f>Model!AN28</f>
        <v/>
      </c>
      <c r="AO20" s="1995">
        <f>Model!AO28</f>
        <v/>
      </c>
      <c r="AP20" s="1994">
        <f>Model!AP28</f>
        <v/>
      </c>
      <c r="AQ20" s="1995">
        <f>Model!AQ28</f>
        <v/>
      </c>
      <c r="AR20" s="1995">
        <f>Model!AR28</f>
        <v/>
      </c>
      <c r="AS20" s="1995">
        <f>Model!AS28</f>
        <v/>
      </c>
      <c r="AT20" s="1995">
        <f>Model!AT28</f>
        <v/>
      </c>
      <c r="AU20" s="1994">
        <f>Model!AU28</f>
        <v/>
      </c>
      <c r="AV20" s="1995">
        <f>Model!AV28</f>
        <v/>
      </c>
      <c r="AW20" s="1995">
        <f>Model!AW28</f>
        <v/>
      </c>
      <c r="AX20" s="1995">
        <f>Model!AX28</f>
        <v/>
      </c>
      <c r="AY20" s="1995">
        <f>Model!AY28</f>
        <v/>
      </c>
      <c r="AZ20" s="1994">
        <f>Model!AZ28</f>
        <v/>
      </c>
      <c r="BA20" s="1995">
        <f>Model!BA28</f>
        <v/>
      </c>
      <c r="BB20" s="1995">
        <f>Model!BB28</f>
        <v/>
      </c>
      <c r="BC20" s="1995">
        <f>Model!BC28</f>
        <v/>
      </c>
      <c r="BD20" s="1995">
        <f>Model!BD28</f>
        <v/>
      </c>
      <c r="BE20" s="1994">
        <f>Model!BE28</f>
        <v/>
      </c>
      <c r="BF20" s="1995">
        <f>Model!BF28</f>
        <v/>
      </c>
      <c r="BG20" s="1995">
        <f>Model!BG28</f>
        <v/>
      </c>
      <c r="BH20" s="1995">
        <f>Model!BH28</f>
        <v/>
      </c>
      <c r="BI20" s="1995">
        <f>Model!BI28</f>
        <v/>
      </c>
      <c r="BJ20" s="1994">
        <f>Model!BJ28</f>
        <v/>
      </c>
      <c r="BK20" s="1995">
        <f>Model!BK28</f>
        <v/>
      </c>
      <c r="BL20" s="1995">
        <f>Model!BL28</f>
        <v/>
      </c>
      <c r="BM20" s="1995">
        <f>Model!BM28</f>
        <v/>
      </c>
      <c r="BN20" s="1995">
        <f>Model!BN28</f>
        <v/>
      </c>
      <c r="BO20" s="1996">
        <f>Model!BO28</f>
        <v/>
      </c>
      <c r="BP20" s="1995">
        <f>Model!BP28</f>
        <v/>
      </c>
      <c r="BQ20" s="1995">
        <f>Model!BQ28</f>
        <v/>
      </c>
      <c r="BR20" s="1995">
        <f>Model!BR28</f>
        <v/>
      </c>
      <c r="BS20" s="1995">
        <f>Model!BS28</f>
        <v/>
      </c>
      <c r="BT20" s="1994">
        <f>Model!BT28</f>
        <v/>
      </c>
      <c r="BU20" s="1995">
        <f>Model!BU28</f>
        <v/>
      </c>
      <c r="BV20" s="1995">
        <f>Model!BV28</f>
        <v/>
      </c>
      <c r="BW20" s="1995">
        <f>Model!BW28</f>
        <v/>
      </c>
      <c r="BX20" s="1995">
        <f>Model!BX28</f>
        <v/>
      </c>
      <c r="BY20" s="1994">
        <f>Model!BY28</f>
        <v/>
      </c>
      <c r="BZ20" s="1994">
        <f>Model!BZ28</f>
        <v/>
      </c>
      <c r="CA20" s="1994">
        <f>Model!CA28</f>
        <v/>
      </c>
      <c r="CB20" s="1994">
        <f>Model!CB28</f>
        <v/>
      </c>
      <c r="CC20" s="1997" t="n"/>
    </row>
    <row r="21" ht="14.4" customFormat="1" customHeight="1" s="1991">
      <c r="A21" s="1998" t="n"/>
      <c r="B21" s="1999" t="n"/>
      <c r="C21" s="2000" t="n"/>
      <c r="D21" s="2000" t="n"/>
      <c r="E21" s="2000" t="n"/>
      <c r="F21" s="2000" t="n"/>
      <c r="G21" s="2000" t="n"/>
      <c r="H21" s="2001" t="n"/>
      <c r="I21" s="2001" t="n"/>
      <c r="J21" s="2001" t="n"/>
      <c r="K21" s="2001" t="n"/>
      <c r="L21" s="2000" t="n"/>
      <c r="M21" s="2001" t="n"/>
      <c r="N21" s="2001" t="n"/>
      <c r="O21" s="2001" t="n"/>
      <c r="P21" s="2001" t="n"/>
      <c r="Q21" s="2000" t="n"/>
      <c r="R21" s="2001" t="n"/>
      <c r="S21" s="2001" t="n"/>
      <c r="T21" s="2001" t="n"/>
      <c r="U21" s="2001" t="n"/>
      <c r="V21" s="2000" t="n"/>
      <c r="W21" s="2001" t="n"/>
      <c r="X21" s="2001" t="n"/>
      <c r="Y21" s="2001" t="n"/>
      <c r="Z21" s="2001" t="n"/>
      <c r="AA21" s="2000" t="n"/>
      <c r="AB21" s="2001" t="n"/>
      <c r="AC21" s="2001" t="n"/>
      <c r="AD21" s="2001" t="n"/>
      <c r="AE21" s="2001" t="n"/>
      <c r="AF21" s="2000" t="n"/>
      <c r="AG21" s="2001" t="n"/>
      <c r="AH21" s="2001" t="n"/>
      <c r="AI21" s="2001" t="n"/>
      <c r="AJ21" s="2001" t="n"/>
      <c r="AK21" s="2000" t="n"/>
      <c r="AL21" s="2001" t="n"/>
      <c r="AM21" s="2001" t="n"/>
      <c r="AN21" s="2001" t="n"/>
      <c r="AO21" s="2001" t="n"/>
      <c r="AP21" s="2000" t="n"/>
      <c r="AQ21" s="2001" t="n"/>
      <c r="AR21" s="2001" t="n"/>
      <c r="AS21" s="2001" t="n"/>
      <c r="AT21" s="2001" t="n"/>
      <c r="AU21" s="2000" t="n"/>
      <c r="AV21" s="2001" t="n"/>
      <c r="AW21" s="2001" t="n"/>
      <c r="AX21" s="2001" t="n"/>
      <c r="AY21" s="2001" t="n"/>
      <c r="AZ21" s="2000" t="n"/>
      <c r="BA21" s="2001" t="n"/>
      <c r="BB21" s="2001" t="n"/>
      <c r="BC21" s="2001" t="n"/>
      <c r="BD21" s="2001" t="n"/>
      <c r="BE21" s="2000" t="n"/>
      <c r="BF21" s="2001" t="n"/>
      <c r="BG21" s="2001" t="n"/>
      <c r="BH21" s="2001" t="n"/>
      <c r="BI21" s="2001" t="n"/>
      <c r="BJ21" s="2000" t="n"/>
      <c r="BK21" s="2001" t="n"/>
      <c r="BL21" s="2001" t="n"/>
      <c r="BM21" s="2001" t="n"/>
      <c r="BN21" s="2001" t="n"/>
      <c r="BO21" s="2002" t="n"/>
      <c r="BP21" s="2001" t="n"/>
      <c r="BQ21" s="2001" t="n"/>
      <c r="BR21" s="2001" t="n"/>
      <c r="BS21" s="2001" t="n"/>
      <c r="BT21" s="2000" t="n"/>
      <c r="BU21" s="2001" t="n"/>
      <c r="BV21" s="2001" t="n"/>
      <c r="BW21" s="2001" t="n"/>
      <c r="BX21" s="2001" t="n"/>
      <c r="BY21" s="2000" t="n"/>
      <c r="BZ21" s="2000" t="n"/>
      <c r="CA21" s="2000" t="n"/>
      <c r="CB21" s="2000" t="n"/>
      <c r="CC21" s="1997" t="n"/>
    </row>
    <row r="22" ht="14.4" customHeight="1" s="876">
      <c r="A22" s="1945" t="inlineStr">
        <is>
          <t>GAAP Financials</t>
        </is>
      </c>
      <c r="B22" s="1979" t="n"/>
      <c r="C22" s="1979" t="n"/>
      <c r="D22" s="1979" t="n"/>
      <c r="E22" s="1979" t="n"/>
      <c r="F22" s="1979" t="n"/>
      <c r="G22" s="1979" t="n"/>
      <c r="H22" s="1979" t="n"/>
      <c r="I22" s="1979" t="n"/>
      <c r="J22" s="1979" t="n"/>
      <c r="K22" s="1979" t="n"/>
      <c r="L22" s="1979" t="n"/>
      <c r="M22" s="1979" t="n"/>
      <c r="N22" s="1979" t="n"/>
      <c r="O22" s="1979" t="n"/>
      <c r="P22" s="1979" t="n"/>
      <c r="Q22" s="1979" t="n"/>
      <c r="R22" s="1979" t="n"/>
      <c r="S22" s="1979" t="n"/>
      <c r="T22" s="1979" t="n"/>
      <c r="U22" s="1979" t="n"/>
      <c r="V22" s="1979" t="n"/>
      <c r="W22" s="1979" t="n"/>
      <c r="X22" s="1979" t="n"/>
      <c r="Y22" s="1979" t="n"/>
      <c r="Z22" s="1979" t="n"/>
      <c r="AA22" s="1979" t="n"/>
      <c r="AB22" s="1979" t="n"/>
      <c r="AC22" s="1979" t="n"/>
      <c r="AD22" s="1979" t="n"/>
      <c r="AE22" s="1979" t="n"/>
      <c r="AF22" s="1979" t="n"/>
      <c r="AG22" s="1979" t="n"/>
      <c r="AH22" s="1979" t="n"/>
      <c r="AI22" s="1979" t="n"/>
      <c r="AJ22" s="1979" t="n"/>
      <c r="AK22" s="1979" t="n"/>
      <c r="AL22" s="1979" t="n"/>
      <c r="AM22" s="1979" t="n"/>
      <c r="AN22" s="1979" t="n"/>
      <c r="AO22" s="1979" t="n"/>
      <c r="AP22" s="1979" t="n"/>
      <c r="AQ22" s="1979" t="n"/>
      <c r="AR22" s="1979" t="n"/>
      <c r="AS22" s="1979" t="n"/>
      <c r="AT22" s="1979" t="n"/>
      <c r="AU22" s="1979" t="n"/>
      <c r="AV22" s="1979" t="n"/>
      <c r="AW22" s="1979" t="n"/>
      <c r="AX22" s="1979" t="n"/>
      <c r="AY22" s="1979" t="n"/>
      <c r="AZ22" s="1979" t="n"/>
      <c r="BA22" s="1979" t="n"/>
      <c r="BB22" s="1979" t="n"/>
      <c r="BC22" s="1979" t="n"/>
      <c r="BD22" s="1979" t="n"/>
      <c r="BE22" s="1979" t="n"/>
      <c r="BF22" s="1979" t="n"/>
      <c r="BG22" s="1979" t="n"/>
      <c r="BH22" s="1979" t="n"/>
      <c r="BI22" s="1979" t="n"/>
      <c r="BJ22" s="1979" t="n"/>
      <c r="BK22" s="1979" t="n"/>
      <c r="BL22" s="1979" t="n"/>
      <c r="BM22" s="1979" t="n"/>
      <c r="BN22" s="1979" t="n"/>
      <c r="BO22" s="1980" t="n"/>
      <c r="BP22" s="1979" t="n"/>
      <c r="BQ22" s="1979" t="n"/>
      <c r="BR22" s="1979" t="n"/>
      <c r="BS22" s="1979" t="n"/>
      <c r="BT22" s="1979" t="n"/>
      <c r="BU22" s="1979" t="n"/>
      <c r="BV22" s="1979" t="n"/>
      <c r="BW22" s="1979" t="n"/>
      <c r="BX22" s="1979" t="n"/>
      <c r="BY22" s="1979" t="n"/>
      <c r="BZ22" s="1979" t="n"/>
      <c r="CA22" s="1979" t="n"/>
      <c r="CB22" s="1979" t="n"/>
      <c r="CC22" s="1977" t="n"/>
    </row>
    <row r="23" ht="14.4" customFormat="1" customHeight="1" s="1974">
      <c r="A23" s="1949">
        <f>INDEX(MO_RIS_REV,0,COLUMN())</f>
        <v/>
      </c>
      <c r="B23" s="1975" t="n"/>
      <c r="C23" s="1976">
        <f>INDEX(MO_RIS_REV,0,COLUMN())</f>
        <v/>
      </c>
      <c r="D23" s="1976">
        <f>INDEX(MO_RIS_REV,0,COLUMN())</f>
        <v/>
      </c>
      <c r="E23" s="1976">
        <f>INDEX(MO_RIS_REV,0,COLUMN())</f>
        <v/>
      </c>
      <c r="F23" s="1976">
        <f>INDEX(MO_RIS_REV,0,COLUMN())</f>
        <v/>
      </c>
      <c r="G23" s="1976">
        <f>INDEX(MO_RIS_REV,0,COLUMN())</f>
        <v/>
      </c>
      <c r="H23" s="1977">
        <f>INDEX(MO_RIS_REV,0,COLUMN())</f>
        <v/>
      </c>
      <c r="I23" s="1977">
        <f>INDEX(MO_RIS_REV,0,COLUMN())</f>
        <v/>
      </c>
      <c r="J23" s="1977">
        <f>INDEX(MO_RIS_REV,0,COLUMN())</f>
        <v/>
      </c>
      <c r="K23" s="1977">
        <f>INDEX(MO_RIS_REV,0,COLUMN())</f>
        <v/>
      </c>
      <c r="L23" s="1976">
        <f>INDEX(MO_RIS_REV,0,COLUMN())</f>
        <v/>
      </c>
      <c r="M23" s="1977">
        <f>INDEX(MO_RIS_REV,0,COLUMN())</f>
        <v/>
      </c>
      <c r="N23" s="1977">
        <f>INDEX(MO_RIS_REV,0,COLUMN())</f>
        <v/>
      </c>
      <c r="O23" s="1977">
        <f>INDEX(MO_RIS_REV,0,COLUMN())</f>
        <v/>
      </c>
      <c r="P23" s="1977">
        <f>INDEX(MO_RIS_REV,0,COLUMN())</f>
        <v/>
      </c>
      <c r="Q23" s="1976">
        <f>INDEX(MO_RIS_REV,0,COLUMN())</f>
        <v/>
      </c>
      <c r="R23" s="1977">
        <f>INDEX(MO_RIS_REV,0,COLUMN())</f>
        <v/>
      </c>
      <c r="S23" s="1977">
        <f>INDEX(MO_RIS_REV,0,COLUMN())</f>
        <v/>
      </c>
      <c r="T23" s="1977">
        <f>INDEX(MO_RIS_REV,0,COLUMN())</f>
        <v/>
      </c>
      <c r="U23" s="1977">
        <f>INDEX(MO_RIS_REV,0,COLUMN())</f>
        <v/>
      </c>
      <c r="V23" s="1976">
        <f>INDEX(MO_RIS_REV,0,COLUMN())</f>
        <v/>
      </c>
      <c r="W23" s="1977">
        <f>INDEX(MO_RIS_REV,0,COLUMN())</f>
        <v/>
      </c>
      <c r="X23" s="1977">
        <f>INDEX(MO_RIS_REV,0,COLUMN())</f>
        <v/>
      </c>
      <c r="Y23" s="1977">
        <f>INDEX(MO_RIS_REV,0,COLUMN())</f>
        <v/>
      </c>
      <c r="Z23" s="1977">
        <f>INDEX(MO_RIS_REV,0,COLUMN())</f>
        <v/>
      </c>
      <c r="AA23" s="1976">
        <f>INDEX(MO_RIS_REV,0,COLUMN())</f>
        <v/>
      </c>
      <c r="AB23" s="1977">
        <f>INDEX(MO_RIS_REV,0,COLUMN())</f>
        <v/>
      </c>
      <c r="AC23" s="1977">
        <f>INDEX(MO_RIS_REV,0,COLUMN())</f>
        <v/>
      </c>
      <c r="AD23" s="1977">
        <f>INDEX(MO_RIS_REV,0,COLUMN())</f>
        <v/>
      </c>
      <c r="AE23" s="1977">
        <f>INDEX(MO_RIS_REV,0,COLUMN())</f>
        <v/>
      </c>
      <c r="AF23" s="1976">
        <f>INDEX(MO_RIS_REV,0,COLUMN())</f>
        <v/>
      </c>
      <c r="AG23" s="1977">
        <f>INDEX(MO_RIS_REV,0,COLUMN())</f>
        <v/>
      </c>
      <c r="AH23" s="1977">
        <f>INDEX(MO_RIS_REV,0,COLUMN())</f>
        <v/>
      </c>
      <c r="AI23" s="1977">
        <f>INDEX(MO_RIS_REV,0,COLUMN())</f>
        <v/>
      </c>
      <c r="AJ23" s="1977">
        <f>INDEX(MO_RIS_REV,0,COLUMN())</f>
        <v/>
      </c>
      <c r="AK23" s="1976">
        <f>INDEX(MO_RIS_REV,0,COLUMN())</f>
        <v/>
      </c>
      <c r="AL23" s="1977">
        <f>INDEX(MO_RIS_REV,0,COLUMN())</f>
        <v/>
      </c>
      <c r="AM23" s="1977">
        <f>INDEX(MO_RIS_REV,0,COLUMN())</f>
        <v/>
      </c>
      <c r="AN23" s="1977">
        <f>INDEX(MO_RIS_REV,0,COLUMN())</f>
        <v/>
      </c>
      <c r="AO23" s="1977">
        <f>INDEX(MO_RIS_REV,0,COLUMN())</f>
        <v/>
      </c>
      <c r="AP23" s="1976">
        <f>INDEX(MO_RIS_REV,0,COLUMN())</f>
        <v/>
      </c>
      <c r="AQ23" s="1977">
        <f>INDEX(MO_RIS_REV,0,COLUMN())</f>
        <v/>
      </c>
      <c r="AR23" s="1977">
        <f>INDEX(MO_RIS_REV,0,COLUMN())</f>
        <v/>
      </c>
      <c r="AS23" s="1977">
        <f>INDEX(MO_RIS_REV,0,COLUMN())</f>
        <v/>
      </c>
      <c r="AT23" s="1977">
        <f>INDEX(MO_RIS_REV,0,COLUMN())</f>
        <v/>
      </c>
      <c r="AU23" s="1976">
        <f>INDEX(MO_RIS_REV,0,COLUMN())</f>
        <v/>
      </c>
      <c r="AV23" s="1977">
        <f>INDEX(MO_RIS_REV,0,COLUMN())</f>
        <v/>
      </c>
      <c r="AW23" s="1977">
        <f>INDEX(MO_RIS_REV,0,COLUMN())</f>
        <v/>
      </c>
      <c r="AX23" s="1977">
        <f>INDEX(MO_RIS_REV,0,COLUMN())</f>
        <v/>
      </c>
      <c r="AY23" s="1977">
        <f>INDEX(MO_RIS_REV,0,COLUMN())</f>
        <v/>
      </c>
      <c r="AZ23" s="1976">
        <f>INDEX(MO_RIS_REV,0,COLUMN())</f>
        <v/>
      </c>
      <c r="BA23" s="1977">
        <f>INDEX(MO_RIS_REV,0,COLUMN())</f>
        <v/>
      </c>
      <c r="BB23" s="1977">
        <f>INDEX(MO_RIS_REV,0,COLUMN())</f>
        <v/>
      </c>
      <c r="BC23" s="1977">
        <f>INDEX(MO_RIS_REV,0,COLUMN())</f>
        <v/>
      </c>
      <c r="BD23" s="1977">
        <f>INDEX(MO_RIS_REV,0,COLUMN())</f>
        <v/>
      </c>
      <c r="BE23" s="1976">
        <f>INDEX(MO_RIS_REV,0,COLUMN())</f>
        <v/>
      </c>
      <c r="BF23" s="1977">
        <f>INDEX(MO_RIS_REV,0,COLUMN())</f>
        <v/>
      </c>
      <c r="BG23" s="1977">
        <f>INDEX(MO_RIS_REV,0,COLUMN())</f>
        <v/>
      </c>
      <c r="BH23" s="1977">
        <f>INDEX(MO_RIS_REV,0,COLUMN())</f>
        <v/>
      </c>
      <c r="BI23" s="1977">
        <f>INDEX(MO_RIS_REV,0,COLUMN())</f>
        <v/>
      </c>
      <c r="BJ23" s="1976">
        <f>INDEX(MO_RIS_REV,0,COLUMN())</f>
        <v/>
      </c>
      <c r="BK23" s="1977">
        <f>INDEX(MO_RIS_REV,0,COLUMN())</f>
        <v/>
      </c>
      <c r="BL23" s="1977">
        <f>INDEX(MO_RIS_REV,0,COLUMN())</f>
        <v/>
      </c>
      <c r="BM23" s="1977">
        <f>INDEX(MO_RIS_REV,0,COLUMN())</f>
        <v/>
      </c>
      <c r="BN23" s="1977">
        <f>INDEX(MO_RIS_REV,0,COLUMN())</f>
        <v/>
      </c>
      <c r="BO23" s="1978">
        <f>INDEX(MO_RIS_REV,0,COLUMN())</f>
        <v/>
      </c>
      <c r="BP23" s="1977">
        <f>INDEX(MO_RIS_REV,0,COLUMN())</f>
        <v/>
      </c>
      <c r="BQ23" s="1977">
        <f>INDEX(MO_RIS_REV,0,COLUMN())</f>
        <v/>
      </c>
      <c r="BR23" s="1977">
        <f>INDEX(MO_RIS_REV,0,COLUMN())</f>
        <v/>
      </c>
      <c r="BS23" s="1977">
        <f>INDEX(MO_RIS_REV,0,COLUMN())</f>
        <v/>
      </c>
      <c r="BT23" s="1976">
        <f>INDEX(MO_RIS_REV,0,COLUMN())</f>
        <v/>
      </c>
      <c r="BU23" s="1977">
        <f>INDEX(MO_RIS_REV,0,COLUMN())</f>
        <v/>
      </c>
      <c r="BV23" s="1977">
        <f>INDEX(MO_RIS_REV,0,COLUMN())</f>
        <v/>
      </c>
      <c r="BW23" s="1977">
        <f>INDEX(MO_RIS_REV,0,COLUMN())</f>
        <v/>
      </c>
      <c r="BX23" s="1977">
        <f>INDEX(MO_RIS_REV,0,COLUMN())</f>
        <v/>
      </c>
      <c r="BY23" s="1976">
        <f>INDEX(MO_RIS_REV,0,COLUMN())</f>
        <v/>
      </c>
      <c r="BZ23" s="1976">
        <f>INDEX(MO_RIS_REV,0,COLUMN())</f>
        <v/>
      </c>
      <c r="CA23" s="1976">
        <f>INDEX(MO_RIS_REV,0,COLUMN())</f>
        <v/>
      </c>
      <c r="CB23" s="1976">
        <f>INDEX(MO_RIS_REV,0,COLUMN())</f>
        <v/>
      </c>
      <c r="CC23" s="1977" t="n"/>
    </row>
    <row r="24" ht="14.4" customFormat="1" customHeight="1" s="1939">
      <c r="A24" s="1968">
        <f>INDEX(MO_RIS_COGS,0,COLUMN())</f>
        <v/>
      </c>
      <c r="B24" s="1969" t="n"/>
      <c r="C24" s="1928">
        <f>INDEX(MO_RIS_COGS,0,COLUMN())</f>
        <v/>
      </c>
      <c r="D24" s="1928">
        <f>INDEX(MO_RIS_COGS,0,COLUMN())</f>
        <v/>
      </c>
      <c r="E24" s="1928">
        <f>INDEX(MO_RIS_COGS,0,COLUMN())</f>
        <v/>
      </c>
      <c r="F24" s="1928">
        <f>INDEX(MO_RIS_COGS,0,COLUMN())</f>
        <v/>
      </c>
      <c r="G24" s="1928">
        <f>INDEX(MO_RIS_COGS,0,COLUMN())</f>
        <v/>
      </c>
      <c r="H24" s="1301">
        <f>INDEX(MO_RIS_COGS,0,COLUMN())</f>
        <v/>
      </c>
      <c r="I24" s="1301">
        <f>INDEX(MO_RIS_COGS,0,COLUMN())</f>
        <v/>
      </c>
      <c r="J24" s="1301">
        <f>INDEX(MO_RIS_COGS,0,COLUMN())</f>
        <v/>
      </c>
      <c r="K24" s="1301">
        <f>INDEX(MO_RIS_COGS,0,COLUMN())</f>
        <v/>
      </c>
      <c r="L24" s="1928">
        <f>INDEX(MO_RIS_COGS,0,COLUMN())</f>
        <v/>
      </c>
      <c r="M24" s="1301">
        <f>INDEX(MO_RIS_COGS,0,COLUMN())</f>
        <v/>
      </c>
      <c r="N24" s="1301">
        <f>INDEX(MO_RIS_COGS,0,COLUMN())</f>
        <v/>
      </c>
      <c r="O24" s="1301">
        <f>INDEX(MO_RIS_COGS,0,COLUMN())</f>
        <v/>
      </c>
      <c r="P24" s="1301">
        <f>INDEX(MO_RIS_COGS,0,COLUMN())</f>
        <v/>
      </c>
      <c r="Q24" s="1928">
        <f>INDEX(MO_RIS_COGS,0,COLUMN())</f>
        <v/>
      </c>
      <c r="R24" s="1301">
        <f>INDEX(MO_RIS_COGS,0,COLUMN())</f>
        <v/>
      </c>
      <c r="S24" s="1301">
        <f>INDEX(MO_RIS_COGS,0,COLUMN())</f>
        <v/>
      </c>
      <c r="T24" s="1301">
        <f>INDEX(MO_RIS_COGS,0,COLUMN())</f>
        <v/>
      </c>
      <c r="U24" s="1301">
        <f>INDEX(MO_RIS_COGS,0,COLUMN())</f>
        <v/>
      </c>
      <c r="V24" s="1928">
        <f>INDEX(MO_RIS_COGS,0,COLUMN())</f>
        <v/>
      </c>
      <c r="W24" s="1301">
        <f>INDEX(MO_RIS_COGS,0,COLUMN())</f>
        <v/>
      </c>
      <c r="X24" s="1301">
        <f>INDEX(MO_RIS_COGS,0,COLUMN())</f>
        <v/>
      </c>
      <c r="Y24" s="1301">
        <f>INDEX(MO_RIS_COGS,0,COLUMN())</f>
        <v/>
      </c>
      <c r="Z24" s="1301">
        <f>INDEX(MO_RIS_COGS,0,COLUMN())</f>
        <v/>
      </c>
      <c r="AA24" s="1928">
        <f>INDEX(MO_RIS_COGS,0,COLUMN())</f>
        <v/>
      </c>
      <c r="AB24" s="1301">
        <f>INDEX(MO_RIS_COGS,0,COLUMN())</f>
        <v/>
      </c>
      <c r="AC24" s="1301">
        <f>INDEX(MO_RIS_COGS,0,COLUMN())</f>
        <v/>
      </c>
      <c r="AD24" s="1301">
        <f>INDEX(MO_RIS_COGS,0,COLUMN())</f>
        <v/>
      </c>
      <c r="AE24" s="1301">
        <f>INDEX(MO_RIS_COGS,0,COLUMN())</f>
        <v/>
      </c>
      <c r="AF24" s="1928">
        <f>INDEX(MO_RIS_COGS,0,COLUMN())</f>
        <v/>
      </c>
      <c r="AG24" s="1301">
        <f>INDEX(MO_RIS_COGS,0,COLUMN())</f>
        <v/>
      </c>
      <c r="AH24" s="1301">
        <f>INDEX(MO_RIS_COGS,0,COLUMN())</f>
        <v/>
      </c>
      <c r="AI24" s="1301">
        <f>INDEX(MO_RIS_COGS,0,COLUMN())</f>
        <v/>
      </c>
      <c r="AJ24" s="1301">
        <f>INDEX(MO_RIS_COGS,0,COLUMN())</f>
        <v/>
      </c>
      <c r="AK24" s="1928">
        <f>INDEX(MO_RIS_COGS,0,COLUMN())</f>
        <v/>
      </c>
      <c r="AL24" s="1301">
        <f>INDEX(MO_RIS_COGS,0,COLUMN())</f>
        <v/>
      </c>
      <c r="AM24" s="1301">
        <f>INDEX(MO_RIS_COGS,0,COLUMN())</f>
        <v/>
      </c>
      <c r="AN24" s="1301">
        <f>INDEX(MO_RIS_COGS,0,COLUMN())</f>
        <v/>
      </c>
      <c r="AO24" s="1301">
        <f>INDEX(MO_RIS_COGS,0,COLUMN())</f>
        <v/>
      </c>
      <c r="AP24" s="1928">
        <f>INDEX(MO_RIS_COGS,0,COLUMN())</f>
        <v/>
      </c>
      <c r="AQ24" s="1301">
        <f>INDEX(MO_RIS_COGS,0,COLUMN())</f>
        <v/>
      </c>
      <c r="AR24" s="1301">
        <f>INDEX(MO_RIS_COGS,0,COLUMN())</f>
        <v/>
      </c>
      <c r="AS24" s="1301">
        <f>INDEX(MO_RIS_COGS,0,COLUMN())</f>
        <v/>
      </c>
      <c r="AT24" s="1301">
        <f>INDEX(MO_RIS_COGS,0,COLUMN())</f>
        <v/>
      </c>
      <c r="AU24" s="1928">
        <f>INDEX(MO_RIS_COGS,0,COLUMN())</f>
        <v/>
      </c>
      <c r="AV24" s="1301">
        <f>INDEX(MO_RIS_COGS,0,COLUMN())</f>
        <v/>
      </c>
      <c r="AW24" s="1301">
        <f>INDEX(MO_RIS_COGS,0,COLUMN())</f>
        <v/>
      </c>
      <c r="AX24" s="1301">
        <f>INDEX(MO_RIS_COGS,0,COLUMN())</f>
        <v/>
      </c>
      <c r="AY24" s="1301">
        <f>INDEX(MO_RIS_COGS,0,COLUMN())</f>
        <v/>
      </c>
      <c r="AZ24" s="1928">
        <f>INDEX(MO_RIS_COGS,0,COLUMN())</f>
        <v/>
      </c>
      <c r="BA24" s="1301">
        <f>INDEX(MO_RIS_COGS,0,COLUMN())</f>
        <v/>
      </c>
      <c r="BB24" s="1301">
        <f>INDEX(MO_RIS_COGS,0,COLUMN())</f>
        <v/>
      </c>
      <c r="BC24" s="1301">
        <f>INDEX(MO_RIS_COGS,0,COLUMN())</f>
        <v/>
      </c>
      <c r="BD24" s="1301">
        <f>INDEX(MO_RIS_COGS,0,COLUMN())</f>
        <v/>
      </c>
      <c r="BE24" s="1928">
        <f>INDEX(MO_RIS_COGS,0,COLUMN())</f>
        <v/>
      </c>
      <c r="BF24" s="1301">
        <f>INDEX(MO_RIS_COGS,0,COLUMN())</f>
        <v/>
      </c>
      <c r="BG24" s="1301">
        <f>INDEX(MO_RIS_COGS,0,COLUMN())</f>
        <v/>
      </c>
      <c r="BH24" s="1301">
        <f>INDEX(MO_RIS_COGS,0,COLUMN())</f>
        <v/>
      </c>
      <c r="BI24" s="1301">
        <f>INDEX(MO_RIS_COGS,0,COLUMN())</f>
        <v/>
      </c>
      <c r="BJ24" s="1928">
        <f>INDEX(MO_RIS_COGS,0,COLUMN())</f>
        <v/>
      </c>
      <c r="BK24" s="1301">
        <f>INDEX(MO_RIS_COGS,0,COLUMN())</f>
        <v/>
      </c>
      <c r="BL24" s="1301">
        <f>INDEX(MO_RIS_COGS,0,COLUMN())</f>
        <v/>
      </c>
      <c r="BM24" s="1301">
        <f>INDEX(MO_RIS_COGS,0,COLUMN())</f>
        <v/>
      </c>
      <c r="BN24" s="1301">
        <f>INDEX(MO_RIS_COGS,0,COLUMN())</f>
        <v/>
      </c>
      <c r="BO24" s="1970">
        <f>INDEX(MO_RIS_COGS,0,COLUMN())</f>
        <v/>
      </c>
      <c r="BP24" s="1301">
        <f>INDEX(MO_RIS_COGS,0,COLUMN())</f>
        <v/>
      </c>
      <c r="BQ24" s="1301">
        <f>INDEX(MO_RIS_COGS,0,COLUMN())</f>
        <v/>
      </c>
      <c r="BR24" s="1301">
        <f>INDEX(MO_RIS_COGS,0,COLUMN())</f>
        <v/>
      </c>
      <c r="BS24" s="1301">
        <f>INDEX(MO_RIS_COGS,0,COLUMN())</f>
        <v/>
      </c>
      <c r="BT24" s="1928">
        <f>INDEX(MO_RIS_COGS,0,COLUMN())</f>
        <v/>
      </c>
      <c r="BU24" s="1301">
        <f>INDEX(MO_RIS_COGS,0,COLUMN())</f>
        <v/>
      </c>
      <c r="BV24" s="1301">
        <f>INDEX(MO_RIS_COGS,0,COLUMN())</f>
        <v/>
      </c>
      <c r="BW24" s="1301">
        <f>INDEX(MO_RIS_COGS,0,COLUMN())</f>
        <v/>
      </c>
      <c r="BX24" s="1301">
        <f>INDEX(MO_RIS_COGS,0,COLUMN())</f>
        <v/>
      </c>
      <c r="BY24" s="1928">
        <f>INDEX(MO_RIS_COGS,0,COLUMN())</f>
        <v/>
      </c>
      <c r="BZ24" s="1928">
        <f>INDEX(MO_RIS_COGS,0,COLUMN())</f>
        <v/>
      </c>
      <c r="CA24" s="1928">
        <f>INDEX(MO_RIS_COGS,0,COLUMN())</f>
        <v/>
      </c>
      <c r="CB24" s="1928">
        <f>INDEX(MO_RIS_COGS,0,COLUMN())</f>
        <v/>
      </c>
      <c r="CC24" s="1301" t="n"/>
    </row>
    <row r="25" ht="14.4" customFormat="1" customHeight="1" s="1939">
      <c r="A25" s="1968">
        <f>INDEX(MO_RIS_SGA,0,COLUMN())</f>
        <v/>
      </c>
      <c r="B25" s="1969" t="n"/>
      <c r="C25" s="1928">
        <f>INDEX(MO_RIS_SGA,0,COLUMN())</f>
        <v/>
      </c>
      <c r="D25" s="1928">
        <f>INDEX(MO_RIS_SGA,0,COLUMN())</f>
        <v/>
      </c>
      <c r="E25" s="1928">
        <f>INDEX(MO_RIS_SGA,0,COLUMN())</f>
        <v/>
      </c>
      <c r="F25" s="1928">
        <f>INDEX(MO_RIS_SGA,0,COLUMN())</f>
        <v/>
      </c>
      <c r="G25" s="1928">
        <f>INDEX(MO_RIS_SGA,0,COLUMN())</f>
        <v/>
      </c>
      <c r="H25" s="1301">
        <f>INDEX(MO_RIS_SGA,0,COLUMN())</f>
        <v/>
      </c>
      <c r="I25" s="1301">
        <f>INDEX(MO_RIS_SGA,0,COLUMN())</f>
        <v/>
      </c>
      <c r="J25" s="1301">
        <f>INDEX(MO_RIS_SGA,0,COLUMN())</f>
        <v/>
      </c>
      <c r="K25" s="1301">
        <f>INDEX(MO_RIS_SGA,0,COLUMN())</f>
        <v/>
      </c>
      <c r="L25" s="1928">
        <f>INDEX(MO_RIS_SGA,0,COLUMN())</f>
        <v/>
      </c>
      <c r="M25" s="1301">
        <f>INDEX(MO_RIS_SGA,0,COLUMN())</f>
        <v/>
      </c>
      <c r="N25" s="1301">
        <f>INDEX(MO_RIS_SGA,0,COLUMN())</f>
        <v/>
      </c>
      <c r="O25" s="1301">
        <f>INDEX(MO_RIS_SGA,0,COLUMN())</f>
        <v/>
      </c>
      <c r="P25" s="1301">
        <f>INDEX(MO_RIS_SGA,0,COLUMN())</f>
        <v/>
      </c>
      <c r="Q25" s="1928">
        <f>INDEX(MO_RIS_SGA,0,COLUMN())</f>
        <v/>
      </c>
      <c r="R25" s="1301">
        <f>INDEX(MO_RIS_SGA,0,COLUMN())</f>
        <v/>
      </c>
      <c r="S25" s="1301">
        <f>INDEX(MO_RIS_SGA,0,COLUMN())</f>
        <v/>
      </c>
      <c r="T25" s="1301">
        <f>INDEX(MO_RIS_SGA,0,COLUMN())</f>
        <v/>
      </c>
      <c r="U25" s="1301">
        <f>INDEX(MO_RIS_SGA,0,COLUMN())</f>
        <v/>
      </c>
      <c r="V25" s="1928">
        <f>INDEX(MO_RIS_SGA,0,COLUMN())</f>
        <v/>
      </c>
      <c r="W25" s="1301">
        <f>INDEX(MO_RIS_SGA,0,COLUMN())</f>
        <v/>
      </c>
      <c r="X25" s="1301">
        <f>INDEX(MO_RIS_SGA,0,COLUMN())</f>
        <v/>
      </c>
      <c r="Y25" s="1301">
        <f>INDEX(MO_RIS_SGA,0,COLUMN())</f>
        <v/>
      </c>
      <c r="Z25" s="1301">
        <f>INDEX(MO_RIS_SGA,0,COLUMN())</f>
        <v/>
      </c>
      <c r="AA25" s="1928">
        <f>INDEX(MO_RIS_SGA,0,COLUMN())</f>
        <v/>
      </c>
      <c r="AB25" s="1301">
        <f>INDEX(MO_RIS_SGA,0,COLUMN())</f>
        <v/>
      </c>
      <c r="AC25" s="1301">
        <f>INDEX(MO_RIS_SGA,0,COLUMN())</f>
        <v/>
      </c>
      <c r="AD25" s="1301">
        <f>INDEX(MO_RIS_SGA,0,COLUMN())</f>
        <v/>
      </c>
      <c r="AE25" s="1301">
        <f>INDEX(MO_RIS_SGA,0,COLUMN())</f>
        <v/>
      </c>
      <c r="AF25" s="1928">
        <f>INDEX(MO_RIS_SGA,0,COLUMN())</f>
        <v/>
      </c>
      <c r="AG25" s="1301">
        <f>INDEX(MO_RIS_SGA,0,COLUMN())</f>
        <v/>
      </c>
      <c r="AH25" s="1301">
        <f>INDEX(MO_RIS_SGA,0,COLUMN())</f>
        <v/>
      </c>
      <c r="AI25" s="1301">
        <f>INDEX(MO_RIS_SGA,0,COLUMN())</f>
        <v/>
      </c>
      <c r="AJ25" s="1301">
        <f>INDEX(MO_RIS_SGA,0,COLUMN())</f>
        <v/>
      </c>
      <c r="AK25" s="1928">
        <f>INDEX(MO_RIS_SGA,0,COLUMN())</f>
        <v/>
      </c>
      <c r="AL25" s="1301">
        <f>INDEX(MO_RIS_SGA,0,COLUMN())</f>
        <v/>
      </c>
      <c r="AM25" s="1301">
        <f>INDEX(MO_RIS_SGA,0,COLUMN())</f>
        <v/>
      </c>
      <c r="AN25" s="1301">
        <f>INDEX(MO_RIS_SGA,0,COLUMN())</f>
        <v/>
      </c>
      <c r="AO25" s="1301">
        <f>INDEX(MO_RIS_SGA,0,COLUMN())</f>
        <v/>
      </c>
      <c r="AP25" s="1928">
        <f>INDEX(MO_RIS_SGA,0,COLUMN())</f>
        <v/>
      </c>
      <c r="AQ25" s="1301">
        <f>INDEX(MO_RIS_SGA,0,COLUMN())</f>
        <v/>
      </c>
      <c r="AR25" s="1301">
        <f>INDEX(MO_RIS_SGA,0,COLUMN())</f>
        <v/>
      </c>
      <c r="AS25" s="1301">
        <f>INDEX(MO_RIS_SGA,0,COLUMN())</f>
        <v/>
      </c>
      <c r="AT25" s="1301">
        <f>INDEX(MO_RIS_SGA,0,COLUMN())</f>
        <v/>
      </c>
      <c r="AU25" s="1928">
        <f>INDEX(MO_RIS_SGA,0,COLUMN())</f>
        <v/>
      </c>
      <c r="AV25" s="1301">
        <f>INDEX(MO_RIS_SGA,0,COLUMN())</f>
        <v/>
      </c>
      <c r="AW25" s="1301">
        <f>INDEX(MO_RIS_SGA,0,COLUMN())</f>
        <v/>
      </c>
      <c r="AX25" s="1301">
        <f>INDEX(MO_RIS_SGA,0,COLUMN())</f>
        <v/>
      </c>
      <c r="AY25" s="1301">
        <f>INDEX(MO_RIS_SGA,0,COLUMN())</f>
        <v/>
      </c>
      <c r="AZ25" s="1928">
        <f>INDEX(MO_RIS_SGA,0,COLUMN())</f>
        <v/>
      </c>
      <c r="BA25" s="1301">
        <f>INDEX(MO_RIS_SGA,0,COLUMN())</f>
        <v/>
      </c>
      <c r="BB25" s="1301">
        <f>INDEX(MO_RIS_SGA,0,COLUMN())</f>
        <v/>
      </c>
      <c r="BC25" s="1301">
        <f>INDEX(MO_RIS_SGA,0,COLUMN())</f>
        <v/>
      </c>
      <c r="BD25" s="1301">
        <f>INDEX(MO_RIS_SGA,0,COLUMN())</f>
        <v/>
      </c>
      <c r="BE25" s="1928">
        <f>INDEX(MO_RIS_SGA,0,COLUMN())</f>
        <v/>
      </c>
      <c r="BF25" s="1301">
        <f>INDEX(MO_RIS_SGA,0,COLUMN())</f>
        <v/>
      </c>
      <c r="BG25" s="1301">
        <f>INDEX(MO_RIS_SGA,0,COLUMN())</f>
        <v/>
      </c>
      <c r="BH25" s="1301">
        <f>INDEX(MO_RIS_SGA,0,COLUMN())</f>
        <v/>
      </c>
      <c r="BI25" s="1301">
        <f>INDEX(MO_RIS_SGA,0,COLUMN())</f>
        <v/>
      </c>
      <c r="BJ25" s="1928">
        <f>INDEX(MO_RIS_SGA,0,COLUMN())</f>
        <v/>
      </c>
      <c r="BK25" s="1301">
        <f>INDEX(MO_RIS_SGA,0,COLUMN())</f>
        <v/>
      </c>
      <c r="BL25" s="1301">
        <f>INDEX(MO_RIS_SGA,0,COLUMN())</f>
        <v/>
      </c>
      <c r="BM25" s="1301">
        <f>INDEX(MO_RIS_SGA,0,COLUMN())</f>
        <v/>
      </c>
      <c r="BN25" s="1301">
        <f>INDEX(MO_RIS_SGA,0,COLUMN())</f>
        <v/>
      </c>
      <c r="BO25" s="1970">
        <f>INDEX(MO_RIS_SGA,0,COLUMN())</f>
        <v/>
      </c>
      <c r="BP25" s="1301">
        <f>INDEX(MO_RIS_SGA,0,COLUMN())</f>
        <v/>
      </c>
      <c r="BQ25" s="1301">
        <f>INDEX(MO_RIS_SGA,0,COLUMN())</f>
        <v/>
      </c>
      <c r="BR25" s="1301">
        <f>INDEX(MO_RIS_SGA,0,COLUMN())</f>
        <v/>
      </c>
      <c r="BS25" s="1301">
        <f>INDEX(MO_RIS_SGA,0,COLUMN())</f>
        <v/>
      </c>
      <c r="BT25" s="1928">
        <f>INDEX(MO_RIS_SGA,0,COLUMN())</f>
        <v/>
      </c>
      <c r="BU25" s="1301">
        <f>INDEX(MO_RIS_SGA,0,COLUMN())</f>
        <v/>
      </c>
      <c r="BV25" s="1301">
        <f>INDEX(MO_RIS_SGA,0,COLUMN())</f>
        <v/>
      </c>
      <c r="BW25" s="1301">
        <f>INDEX(MO_RIS_SGA,0,COLUMN())</f>
        <v/>
      </c>
      <c r="BX25" s="1301">
        <f>INDEX(MO_RIS_SGA,0,COLUMN())</f>
        <v/>
      </c>
      <c r="BY25" s="1928">
        <f>INDEX(MO_RIS_SGA,0,COLUMN())</f>
        <v/>
      </c>
      <c r="BZ25" s="1928">
        <f>INDEX(MO_RIS_SGA,0,COLUMN())</f>
        <v/>
      </c>
      <c r="CA25" s="1928">
        <f>INDEX(MO_RIS_SGA,0,COLUMN())</f>
        <v/>
      </c>
      <c r="CB25" s="1928">
        <f>INDEX(MO_RIS_SGA,0,COLUMN())</f>
        <v/>
      </c>
      <c r="CC25" s="1301" t="n"/>
    </row>
    <row r="26" ht="14.4" customFormat="1" customHeight="1" s="1939">
      <c r="A26" s="1968">
        <f>INDEX(MO_RIS_RD,0,COLUMN())</f>
        <v/>
      </c>
      <c r="B26" s="1969" t="n"/>
      <c r="C26" s="1928">
        <f>INDEX(MO_RIS_RD,0,COLUMN())</f>
        <v/>
      </c>
      <c r="D26" s="1928">
        <f>INDEX(MO_RIS_RD,0,COLUMN())</f>
        <v/>
      </c>
      <c r="E26" s="1928">
        <f>INDEX(MO_RIS_RD,0,COLUMN())</f>
        <v/>
      </c>
      <c r="F26" s="1928">
        <f>INDEX(MO_RIS_RD,0,COLUMN())</f>
        <v/>
      </c>
      <c r="G26" s="1928">
        <f>INDEX(MO_RIS_RD,0,COLUMN())</f>
        <v/>
      </c>
      <c r="H26" s="1301">
        <f>INDEX(MO_RIS_RD,0,COLUMN())</f>
        <v/>
      </c>
      <c r="I26" s="1301">
        <f>INDEX(MO_RIS_RD,0,COLUMN())</f>
        <v/>
      </c>
      <c r="J26" s="1301">
        <f>INDEX(MO_RIS_RD,0,COLUMN())</f>
        <v/>
      </c>
      <c r="K26" s="1301">
        <f>INDEX(MO_RIS_RD,0,COLUMN())</f>
        <v/>
      </c>
      <c r="L26" s="1928">
        <f>INDEX(MO_RIS_RD,0,COLUMN())</f>
        <v/>
      </c>
      <c r="M26" s="1301">
        <f>INDEX(MO_RIS_RD,0,COLUMN())</f>
        <v/>
      </c>
      <c r="N26" s="1301">
        <f>INDEX(MO_RIS_RD,0,COLUMN())</f>
        <v/>
      </c>
      <c r="O26" s="1301">
        <f>INDEX(MO_RIS_RD,0,COLUMN())</f>
        <v/>
      </c>
      <c r="P26" s="1301">
        <f>INDEX(MO_RIS_RD,0,COLUMN())</f>
        <v/>
      </c>
      <c r="Q26" s="1928">
        <f>INDEX(MO_RIS_RD,0,COLUMN())</f>
        <v/>
      </c>
      <c r="R26" s="1301">
        <f>INDEX(MO_RIS_RD,0,COLUMN())</f>
        <v/>
      </c>
      <c r="S26" s="1301">
        <f>INDEX(MO_RIS_RD,0,COLUMN())</f>
        <v/>
      </c>
      <c r="T26" s="1301">
        <f>INDEX(MO_RIS_RD,0,COLUMN())</f>
        <v/>
      </c>
      <c r="U26" s="1301">
        <f>INDEX(MO_RIS_RD,0,COLUMN())</f>
        <v/>
      </c>
      <c r="V26" s="1928">
        <f>INDEX(MO_RIS_RD,0,COLUMN())</f>
        <v/>
      </c>
      <c r="W26" s="1301">
        <f>INDEX(MO_RIS_RD,0,COLUMN())</f>
        <v/>
      </c>
      <c r="X26" s="1301">
        <f>INDEX(MO_RIS_RD,0,COLUMN())</f>
        <v/>
      </c>
      <c r="Y26" s="1301">
        <f>INDEX(MO_RIS_RD,0,COLUMN())</f>
        <v/>
      </c>
      <c r="Z26" s="1301">
        <f>INDEX(MO_RIS_RD,0,COLUMN())</f>
        <v/>
      </c>
      <c r="AA26" s="1928">
        <f>INDEX(MO_RIS_RD,0,COLUMN())</f>
        <v/>
      </c>
      <c r="AB26" s="1301">
        <f>INDEX(MO_RIS_RD,0,COLUMN())</f>
        <v/>
      </c>
      <c r="AC26" s="1301">
        <f>INDEX(MO_RIS_RD,0,COLUMN())</f>
        <v/>
      </c>
      <c r="AD26" s="1301">
        <f>INDEX(MO_RIS_RD,0,COLUMN())</f>
        <v/>
      </c>
      <c r="AE26" s="1301">
        <f>INDEX(MO_RIS_RD,0,COLUMN())</f>
        <v/>
      </c>
      <c r="AF26" s="1928">
        <f>INDEX(MO_RIS_RD,0,COLUMN())</f>
        <v/>
      </c>
      <c r="AG26" s="1301">
        <f>INDEX(MO_RIS_RD,0,COLUMN())</f>
        <v/>
      </c>
      <c r="AH26" s="1301">
        <f>INDEX(MO_RIS_RD,0,COLUMN())</f>
        <v/>
      </c>
      <c r="AI26" s="1301">
        <f>INDEX(MO_RIS_RD,0,COLUMN())</f>
        <v/>
      </c>
      <c r="AJ26" s="1301">
        <f>INDEX(MO_RIS_RD,0,COLUMN())</f>
        <v/>
      </c>
      <c r="AK26" s="1928">
        <f>INDEX(MO_RIS_RD,0,COLUMN())</f>
        <v/>
      </c>
      <c r="AL26" s="1301">
        <f>INDEX(MO_RIS_RD,0,COLUMN())</f>
        <v/>
      </c>
      <c r="AM26" s="1301">
        <f>INDEX(MO_RIS_RD,0,COLUMN())</f>
        <v/>
      </c>
      <c r="AN26" s="1301">
        <f>INDEX(MO_RIS_RD,0,COLUMN())</f>
        <v/>
      </c>
      <c r="AO26" s="1301">
        <f>INDEX(MO_RIS_RD,0,COLUMN())</f>
        <v/>
      </c>
      <c r="AP26" s="1928">
        <f>INDEX(MO_RIS_RD,0,COLUMN())</f>
        <v/>
      </c>
      <c r="AQ26" s="1301">
        <f>INDEX(MO_RIS_RD,0,COLUMN())</f>
        <v/>
      </c>
      <c r="AR26" s="1301">
        <f>INDEX(MO_RIS_RD,0,COLUMN())</f>
        <v/>
      </c>
      <c r="AS26" s="1301">
        <f>INDEX(MO_RIS_RD,0,COLUMN())</f>
        <v/>
      </c>
      <c r="AT26" s="1301">
        <f>INDEX(MO_RIS_RD,0,COLUMN())</f>
        <v/>
      </c>
      <c r="AU26" s="1928">
        <f>INDEX(MO_RIS_RD,0,COLUMN())</f>
        <v/>
      </c>
      <c r="AV26" s="1301">
        <f>INDEX(MO_RIS_RD,0,COLUMN())</f>
        <v/>
      </c>
      <c r="AW26" s="1301">
        <f>INDEX(MO_RIS_RD,0,COLUMN())</f>
        <v/>
      </c>
      <c r="AX26" s="1301">
        <f>INDEX(MO_RIS_RD,0,COLUMN())</f>
        <v/>
      </c>
      <c r="AY26" s="1301">
        <f>INDEX(MO_RIS_RD,0,COLUMN())</f>
        <v/>
      </c>
      <c r="AZ26" s="1928">
        <f>INDEX(MO_RIS_RD,0,COLUMN())</f>
        <v/>
      </c>
      <c r="BA26" s="1301">
        <f>INDEX(MO_RIS_RD,0,COLUMN())</f>
        <v/>
      </c>
      <c r="BB26" s="1301">
        <f>INDEX(MO_RIS_RD,0,COLUMN())</f>
        <v/>
      </c>
      <c r="BC26" s="1301">
        <f>INDEX(MO_RIS_RD,0,COLUMN())</f>
        <v/>
      </c>
      <c r="BD26" s="1301">
        <f>INDEX(MO_RIS_RD,0,COLUMN())</f>
        <v/>
      </c>
      <c r="BE26" s="1928">
        <f>INDEX(MO_RIS_RD,0,COLUMN())</f>
        <v/>
      </c>
      <c r="BF26" s="1301">
        <f>INDEX(MO_RIS_RD,0,COLUMN())</f>
        <v/>
      </c>
      <c r="BG26" s="1301">
        <f>INDEX(MO_RIS_RD,0,COLUMN())</f>
        <v/>
      </c>
      <c r="BH26" s="1301">
        <f>INDEX(MO_RIS_RD,0,COLUMN())</f>
        <v/>
      </c>
      <c r="BI26" s="1301">
        <f>INDEX(MO_RIS_RD,0,COLUMN())</f>
        <v/>
      </c>
      <c r="BJ26" s="1928">
        <f>INDEX(MO_RIS_RD,0,COLUMN())</f>
        <v/>
      </c>
      <c r="BK26" s="1301">
        <f>INDEX(MO_RIS_RD,0,COLUMN())</f>
        <v/>
      </c>
      <c r="BL26" s="1301">
        <f>INDEX(MO_RIS_RD,0,COLUMN())</f>
        <v/>
      </c>
      <c r="BM26" s="1301">
        <f>INDEX(MO_RIS_RD,0,COLUMN())</f>
        <v/>
      </c>
      <c r="BN26" s="1301">
        <f>INDEX(MO_RIS_RD,0,COLUMN())</f>
        <v/>
      </c>
      <c r="BO26" s="1970">
        <f>INDEX(MO_RIS_RD,0,COLUMN())</f>
        <v/>
      </c>
      <c r="BP26" s="1301">
        <f>INDEX(MO_RIS_RD,0,COLUMN())</f>
        <v/>
      </c>
      <c r="BQ26" s="1301">
        <f>INDEX(MO_RIS_RD,0,COLUMN())</f>
        <v/>
      </c>
      <c r="BR26" s="1301">
        <f>INDEX(MO_RIS_RD,0,COLUMN())</f>
        <v/>
      </c>
      <c r="BS26" s="1301">
        <f>INDEX(MO_RIS_RD,0,COLUMN())</f>
        <v/>
      </c>
      <c r="BT26" s="1928">
        <f>INDEX(MO_RIS_RD,0,COLUMN())</f>
        <v/>
      </c>
      <c r="BU26" s="1301">
        <f>INDEX(MO_RIS_RD,0,COLUMN())</f>
        <v/>
      </c>
      <c r="BV26" s="1301">
        <f>INDEX(MO_RIS_RD,0,COLUMN())</f>
        <v/>
      </c>
      <c r="BW26" s="1301">
        <f>INDEX(MO_RIS_RD,0,COLUMN())</f>
        <v/>
      </c>
      <c r="BX26" s="1301">
        <f>INDEX(MO_RIS_RD,0,COLUMN())</f>
        <v/>
      </c>
      <c r="BY26" s="1928">
        <f>INDEX(MO_RIS_RD,0,COLUMN())</f>
        <v/>
      </c>
      <c r="BZ26" s="1928">
        <f>INDEX(MO_RIS_RD,0,COLUMN())</f>
        <v/>
      </c>
      <c r="CA26" s="1928">
        <f>INDEX(MO_RIS_RD,0,COLUMN())</f>
        <v/>
      </c>
      <c r="CB26" s="1928">
        <f>INDEX(MO_RIS_RD,0,COLUMN())</f>
        <v/>
      </c>
      <c r="CC26" s="1301" t="n"/>
    </row>
    <row r="27" ht="14.4" customFormat="1" customHeight="1" s="1939">
      <c r="A27" s="1968">
        <f>INDEX(MO_RIS_OPEX,0,COLUMN())</f>
        <v/>
      </c>
      <c r="B27" s="1971" t="n"/>
      <c r="C27" s="1960">
        <f>INDEX(MO_RIS_OPEX,0,COLUMN())</f>
        <v/>
      </c>
      <c r="D27" s="1960">
        <f>INDEX(MO_RIS_OPEX,0,COLUMN())</f>
        <v/>
      </c>
      <c r="E27" s="1960">
        <f>INDEX(MO_RIS_OPEX,0,COLUMN())</f>
        <v/>
      </c>
      <c r="F27" s="1960">
        <f>INDEX(MO_RIS_OPEX,0,COLUMN())</f>
        <v/>
      </c>
      <c r="G27" s="1960">
        <f>INDEX(MO_RIS_OPEX,0,COLUMN())</f>
        <v/>
      </c>
      <c r="H27" s="1972">
        <f>INDEX(MO_RIS_OPEX,0,COLUMN())</f>
        <v/>
      </c>
      <c r="I27" s="1972">
        <f>INDEX(MO_RIS_OPEX,0,COLUMN())</f>
        <v/>
      </c>
      <c r="J27" s="1972">
        <f>INDEX(MO_RIS_OPEX,0,COLUMN())</f>
        <v/>
      </c>
      <c r="K27" s="1972">
        <f>INDEX(MO_RIS_OPEX,0,COLUMN())</f>
        <v/>
      </c>
      <c r="L27" s="1960">
        <f>INDEX(MO_RIS_OPEX,0,COLUMN())</f>
        <v/>
      </c>
      <c r="M27" s="1972">
        <f>INDEX(MO_RIS_OPEX,0,COLUMN())</f>
        <v/>
      </c>
      <c r="N27" s="1972">
        <f>INDEX(MO_RIS_OPEX,0,COLUMN())</f>
        <v/>
      </c>
      <c r="O27" s="1972">
        <f>INDEX(MO_RIS_OPEX,0,COLUMN())</f>
        <v/>
      </c>
      <c r="P27" s="1972">
        <f>INDEX(MO_RIS_OPEX,0,COLUMN())</f>
        <v/>
      </c>
      <c r="Q27" s="1960">
        <f>INDEX(MO_RIS_OPEX,0,COLUMN())</f>
        <v/>
      </c>
      <c r="R27" s="1972">
        <f>INDEX(MO_RIS_OPEX,0,COLUMN())</f>
        <v/>
      </c>
      <c r="S27" s="1972">
        <f>INDEX(MO_RIS_OPEX,0,COLUMN())</f>
        <v/>
      </c>
      <c r="T27" s="1972">
        <f>INDEX(MO_RIS_OPEX,0,COLUMN())</f>
        <v/>
      </c>
      <c r="U27" s="1972">
        <f>INDEX(MO_RIS_OPEX,0,COLUMN())</f>
        <v/>
      </c>
      <c r="V27" s="1960">
        <f>INDEX(MO_RIS_OPEX,0,COLUMN())</f>
        <v/>
      </c>
      <c r="W27" s="1972">
        <f>INDEX(MO_RIS_OPEX,0,COLUMN())</f>
        <v/>
      </c>
      <c r="X27" s="1972">
        <f>INDEX(MO_RIS_OPEX,0,COLUMN())</f>
        <v/>
      </c>
      <c r="Y27" s="1972">
        <f>INDEX(MO_RIS_OPEX,0,COLUMN())</f>
        <v/>
      </c>
      <c r="Z27" s="1972">
        <f>INDEX(MO_RIS_OPEX,0,COLUMN())</f>
        <v/>
      </c>
      <c r="AA27" s="1960">
        <f>INDEX(MO_RIS_OPEX,0,COLUMN())</f>
        <v/>
      </c>
      <c r="AB27" s="1972">
        <f>INDEX(MO_RIS_OPEX,0,COLUMN())</f>
        <v/>
      </c>
      <c r="AC27" s="1972">
        <f>INDEX(MO_RIS_OPEX,0,COLUMN())</f>
        <v/>
      </c>
      <c r="AD27" s="1972">
        <f>INDEX(MO_RIS_OPEX,0,COLUMN())</f>
        <v/>
      </c>
      <c r="AE27" s="1972">
        <f>INDEX(MO_RIS_OPEX,0,COLUMN())</f>
        <v/>
      </c>
      <c r="AF27" s="1960">
        <f>INDEX(MO_RIS_OPEX,0,COLUMN())</f>
        <v/>
      </c>
      <c r="AG27" s="1972">
        <f>INDEX(MO_RIS_OPEX,0,COLUMN())</f>
        <v/>
      </c>
      <c r="AH27" s="1972">
        <f>INDEX(MO_RIS_OPEX,0,COLUMN())</f>
        <v/>
      </c>
      <c r="AI27" s="1972">
        <f>INDEX(MO_RIS_OPEX,0,COLUMN())</f>
        <v/>
      </c>
      <c r="AJ27" s="1972">
        <f>INDEX(MO_RIS_OPEX,0,COLUMN())</f>
        <v/>
      </c>
      <c r="AK27" s="1960">
        <f>INDEX(MO_RIS_OPEX,0,COLUMN())</f>
        <v/>
      </c>
      <c r="AL27" s="1972">
        <f>INDEX(MO_RIS_OPEX,0,COLUMN())</f>
        <v/>
      </c>
      <c r="AM27" s="1972">
        <f>INDEX(MO_RIS_OPEX,0,COLUMN())</f>
        <v/>
      </c>
      <c r="AN27" s="1972">
        <f>INDEX(MO_RIS_OPEX,0,COLUMN())</f>
        <v/>
      </c>
      <c r="AO27" s="1972">
        <f>INDEX(MO_RIS_OPEX,0,COLUMN())</f>
        <v/>
      </c>
      <c r="AP27" s="1960">
        <f>INDEX(MO_RIS_OPEX,0,COLUMN())</f>
        <v/>
      </c>
      <c r="AQ27" s="1972">
        <f>INDEX(MO_RIS_OPEX,0,COLUMN())</f>
        <v/>
      </c>
      <c r="AR27" s="1972">
        <f>INDEX(MO_RIS_OPEX,0,COLUMN())</f>
        <v/>
      </c>
      <c r="AS27" s="1972">
        <f>INDEX(MO_RIS_OPEX,0,COLUMN())</f>
        <v/>
      </c>
      <c r="AT27" s="1972">
        <f>INDEX(MO_RIS_OPEX,0,COLUMN())</f>
        <v/>
      </c>
      <c r="AU27" s="1960">
        <f>INDEX(MO_RIS_OPEX,0,COLUMN())</f>
        <v/>
      </c>
      <c r="AV27" s="1972">
        <f>INDEX(MO_RIS_OPEX,0,COLUMN())</f>
        <v/>
      </c>
      <c r="AW27" s="1972">
        <f>INDEX(MO_RIS_OPEX,0,COLUMN())</f>
        <v/>
      </c>
      <c r="AX27" s="1972">
        <f>INDEX(MO_RIS_OPEX,0,COLUMN())</f>
        <v/>
      </c>
      <c r="AY27" s="1972">
        <f>INDEX(MO_RIS_OPEX,0,COLUMN())</f>
        <v/>
      </c>
      <c r="AZ27" s="1960">
        <f>INDEX(MO_RIS_OPEX,0,COLUMN())</f>
        <v/>
      </c>
      <c r="BA27" s="1972">
        <f>INDEX(MO_RIS_OPEX,0,COLUMN())</f>
        <v/>
      </c>
      <c r="BB27" s="1972">
        <f>INDEX(MO_RIS_OPEX,0,COLUMN())</f>
        <v/>
      </c>
      <c r="BC27" s="1972">
        <f>INDEX(MO_RIS_OPEX,0,COLUMN())</f>
        <v/>
      </c>
      <c r="BD27" s="1972">
        <f>INDEX(MO_RIS_OPEX,0,COLUMN())</f>
        <v/>
      </c>
      <c r="BE27" s="1960">
        <f>INDEX(MO_RIS_OPEX,0,COLUMN())</f>
        <v/>
      </c>
      <c r="BF27" s="1972">
        <f>INDEX(MO_RIS_OPEX,0,COLUMN())</f>
        <v/>
      </c>
      <c r="BG27" s="1972">
        <f>INDEX(MO_RIS_OPEX,0,COLUMN())</f>
        <v/>
      </c>
      <c r="BH27" s="1972">
        <f>INDEX(MO_RIS_OPEX,0,COLUMN())</f>
        <v/>
      </c>
      <c r="BI27" s="1972">
        <f>INDEX(MO_RIS_OPEX,0,COLUMN())</f>
        <v/>
      </c>
      <c r="BJ27" s="1960">
        <f>INDEX(MO_RIS_OPEX,0,COLUMN())</f>
        <v/>
      </c>
      <c r="BK27" s="1972">
        <f>INDEX(MO_RIS_OPEX,0,COLUMN())</f>
        <v/>
      </c>
      <c r="BL27" s="1972">
        <f>INDEX(MO_RIS_OPEX,0,COLUMN())</f>
        <v/>
      </c>
      <c r="BM27" s="1972">
        <f>INDEX(MO_RIS_OPEX,0,COLUMN())</f>
        <v/>
      </c>
      <c r="BN27" s="1972">
        <f>INDEX(MO_RIS_OPEX,0,COLUMN())</f>
        <v/>
      </c>
      <c r="BO27" s="1973">
        <f>INDEX(MO_RIS_OPEX,0,COLUMN())</f>
        <v/>
      </c>
      <c r="BP27" s="1972">
        <f>INDEX(MO_RIS_OPEX,0,COLUMN())</f>
        <v/>
      </c>
      <c r="BQ27" s="1972">
        <f>INDEX(MO_RIS_OPEX,0,COLUMN())</f>
        <v/>
      </c>
      <c r="BR27" s="1972">
        <f>INDEX(MO_RIS_OPEX,0,COLUMN())</f>
        <v/>
      </c>
      <c r="BS27" s="1972">
        <f>INDEX(MO_RIS_OPEX,0,COLUMN())</f>
        <v/>
      </c>
      <c r="BT27" s="1960">
        <f>INDEX(MO_RIS_OPEX,0,COLUMN())</f>
        <v/>
      </c>
      <c r="BU27" s="1972">
        <f>INDEX(MO_RIS_OPEX,0,COLUMN())</f>
        <v/>
      </c>
      <c r="BV27" s="1972">
        <f>INDEX(MO_RIS_OPEX,0,COLUMN())</f>
        <v/>
      </c>
      <c r="BW27" s="1972">
        <f>INDEX(MO_RIS_OPEX,0,COLUMN())</f>
        <v/>
      </c>
      <c r="BX27" s="1972">
        <f>INDEX(MO_RIS_OPEX,0,COLUMN())</f>
        <v/>
      </c>
      <c r="BY27" s="1960">
        <f>INDEX(MO_RIS_OPEX,0,COLUMN())</f>
        <v/>
      </c>
      <c r="BZ27" s="1960">
        <f>INDEX(MO_RIS_OPEX,0,COLUMN())</f>
        <v/>
      </c>
      <c r="CA27" s="1960">
        <f>INDEX(MO_RIS_OPEX,0,COLUMN())</f>
        <v/>
      </c>
      <c r="CB27" s="1960">
        <f>INDEX(MO_RIS_OPEX,0,COLUMN())</f>
        <v/>
      </c>
      <c r="CC27" s="1301" t="n"/>
    </row>
    <row r="28" ht="14.4" customFormat="1" customHeight="1" s="1974">
      <c r="A28" s="2003">
        <f>INDEX(MO_RIS_EBIT,0,COLUMN())</f>
        <v/>
      </c>
      <c r="B28" s="2004" t="n"/>
      <c r="C28" s="2005">
        <f>IFERROR(INDEX(SP_GF_Rev,0,COLUMN()),0)-IFERROR(INDEX(SP_GF_COGS,0,COLUMN()),0)-IFERROR(INDEX(SP_GF_SGA,0,COLUMN()),0)-IFERROR(INDEX(SP_GF_OI_Operating,0,COLUMN()),0)-IFERROR(INDEX(SP_GF_DA_Operating,0,COLUMN()),0)-IFERROR(INDEX(SP_GF_OPEX,0,COLUMN()),0)-IFERROR(INDEX(SP_GF_RD,0,COLUMN()),0)</f>
        <v/>
      </c>
      <c r="D28" s="2005">
        <f>IFERROR(INDEX(SP_GF_Rev,0,COLUMN()),0)-IFERROR(INDEX(SP_GF_COGS,0,COLUMN()),0)-IFERROR(INDEX(SP_GF_SGA,0,COLUMN()),0)-IFERROR(INDEX(SP_GF_OI_Operating,0,COLUMN()),0)-IFERROR(INDEX(SP_GF_DA_Operating,0,COLUMN()),0)-IFERROR(INDEX(SP_GF_OPEX,0,COLUMN()),0)-IFERROR(INDEX(SP_GF_RD,0,COLUMN()),0)</f>
        <v/>
      </c>
      <c r="E28" s="2005">
        <f>IFERROR(INDEX(SP_GF_Rev,0,COLUMN()),0)-IFERROR(INDEX(SP_GF_COGS,0,COLUMN()),0)-IFERROR(INDEX(SP_GF_SGA,0,COLUMN()),0)-IFERROR(INDEX(SP_GF_OI_Operating,0,COLUMN()),0)-IFERROR(INDEX(SP_GF_DA_Operating,0,COLUMN()),0)-IFERROR(INDEX(SP_GF_OPEX,0,COLUMN()),0)-IFERROR(INDEX(SP_GF_RD,0,COLUMN()),0)</f>
        <v/>
      </c>
      <c r="F28" s="2005">
        <f>IFERROR(INDEX(SP_GF_Rev,0,COLUMN()),0)-IFERROR(INDEX(SP_GF_COGS,0,COLUMN()),0)-IFERROR(INDEX(SP_GF_SGA,0,COLUMN()),0)-IFERROR(INDEX(SP_GF_OI_Operating,0,COLUMN()),0)-IFERROR(INDEX(SP_GF_DA_Operating,0,COLUMN()),0)-IFERROR(INDEX(SP_GF_OPEX,0,COLUMN()),0)-IFERROR(INDEX(SP_GF_RD,0,COLUMN()),0)</f>
        <v/>
      </c>
      <c r="G28" s="2005">
        <f>IFERROR(INDEX(SP_GF_Rev,0,COLUMN()),0)-IFERROR(INDEX(SP_GF_COGS,0,COLUMN()),0)-IFERROR(INDEX(SP_GF_SGA,0,COLUMN()),0)-IFERROR(INDEX(SP_GF_OI_Operating,0,COLUMN()),0)-IFERROR(INDEX(SP_GF_DA_Operating,0,COLUMN()),0)-IFERROR(INDEX(SP_GF_OPEX,0,COLUMN()),0)-IFERROR(INDEX(SP_GF_RD,0,COLUMN()),0)</f>
        <v/>
      </c>
      <c r="H28" s="2006">
        <f>IFERROR(INDEX(SP_GF_Rev,0,COLUMN()),0)-IFERROR(INDEX(SP_GF_COGS,0,COLUMN()),0)-IFERROR(INDEX(SP_GF_SGA,0,COLUMN()),0)-IFERROR(INDEX(SP_GF_OI_Operating,0,COLUMN()),0)-IFERROR(INDEX(SP_GF_DA_Operating,0,COLUMN()),0)-IFERROR(INDEX(SP_GF_OPEX,0,COLUMN()),0)-IFERROR(INDEX(SP_GF_RD,0,COLUMN()),0)</f>
        <v/>
      </c>
      <c r="I28" s="2006">
        <f>IFERROR(INDEX(SP_GF_Rev,0,COLUMN()),0)-IFERROR(INDEX(SP_GF_COGS,0,COLUMN()),0)-IFERROR(INDEX(SP_GF_SGA,0,COLUMN()),0)-IFERROR(INDEX(SP_GF_OI_Operating,0,COLUMN()),0)-IFERROR(INDEX(SP_GF_DA_Operating,0,COLUMN()),0)-IFERROR(INDEX(SP_GF_OPEX,0,COLUMN()),0)-IFERROR(INDEX(SP_GF_RD,0,COLUMN()),0)</f>
        <v/>
      </c>
      <c r="J28" s="2006">
        <f>IFERROR(INDEX(SP_GF_Rev,0,COLUMN()),0)-IFERROR(INDEX(SP_GF_COGS,0,COLUMN()),0)-IFERROR(INDEX(SP_GF_SGA,0,COLUMN()),0)-IFERROR(INDEX(SP_GF_OI_Operating,0,COLUMN()),0)-IFERROR(INDEX(SP_GF_DA_Operating,0,COLUMN()),0)-IFERROR(INDEX(SP_GF_OPEX,0,COLUMN()),0)-IFERROR(INDEX(SP_GF_RD,0,COLUMN()),0)</f>
        <v/>
      </c>
      <c r="K28" s="2006">
        <f>IFERROR(INDEX(SP_GF_Rev,0,COLUMN()),0)-IFERROR(INDEX(SP_GF_COGS,0,COLUMN()),0)-IFERROR(INDEX(SP_GF_SGA,0,COLUMN()),0)-IFERROR(INDEX(SP_GF_OI_Operating,0,COLUMN()),0)-IFERROR(INDEX(SP_GF_DA_Operating,0,COLUMN()),0)-IFERROR(INDEX(SP_GF_OPEX,0,COLUMN()),0)-IFERROR(INDEX(SP_GF_RD,0,COLUMN()),0)</f>
        <v/>
      </c>
      <c r="L28" s="2005">
        <f>IFERROR(INDEX(SP_GF_Rev,0,COLUMN()),0)-IFERROR(INDEX(SP_GF_COGS,0,COLUMN()),0)-IFERROR(INDEX(SP_GF_SGA,0,COLUMN()),0)-IFERROR(INDEX(SP_GF_OI_Operating,0,COLUMN()),0)-IFERROR(INDEX(SP_GF_DA_Operating,0,COLUMN()),0)-IFERROR(INDEX(SP_GF_OPEX,0,COLUMN()),0)-IFERROR(INDEX(SP_GF_RD,0,COLUMN()),0)</f>
        <v/>
      </c>
      <c r="M28" s="2006">
        <f>IFERROR(INDEX(SP_GF_Rev,0,COLUMN()),0)-IFERROR(INDEX(SP_GF_COGS,0,COLUMN()),0)-IFERROR(INDEX(SP_GF_SGA,0,COLUMN()),0)-IFERROR(INDEX(SP_GF_OI_Operating,0,COLUMN()),0)-IFERROR(INDEX(SP_GF_DA_Operating,0,COLUMN()),0)-IFERROR(INDEX(SP_GF_OPEX,0,COLUMN()),0)-IFERROR(INDEX(SP_GF_RD,0,COLUMN()),0)</f>
        <v/>
      </c>
      <c r="N28" s="2006">
        <f>IFERROR(INDEX(SP_GF_Rev,0,COLUMN()),0)-IFERROR(INDEX(SP_GF_COGS,0,COLUMN()),0)-IFERROR(INDEX(SP_GF_SGA,0,COLUMN()),0)-IFERROR(INDEX(SP_GF_OI_Operating,0,COLUMN()),0)-IFERROR(INDEX(SP_GF_DA_Operating,0,COLUMN()),0)-IFERROR(INDEX(SP_GF_OPEX,0,COLUMN()),0)-IFERROR(INDEX(SP_GF_RD,0,COLUMN()),0)</f>
        <v/>
      </c>
      <c r="O28" s="2006">
        <f>IFERROR(INDEX(SP_GF_Rev,0,COLUMN()),0)-IFERROR(INDEX(SP_GF_COGS,0,COLUMN()),0)-IFERROR(INDEX(SP_GF_SGA,0,COLUMN()),0)-IFERROR(INDEX(SP_GF_OI_Operating,0,COLUMN()),0)-IFERROR(INDEX(SP_GF_DA_Operating,0,COLUMN()),0)-IFERROR(INDEX(SP_GF_OPEX,0,COLUMN()),0)-IFERROR(INDEX(SP_GF_RD,0,COLUMN()),0)</f>
        <v/>
      </c>
      <c r="P28" s="2006">
        <f>IFERROR(INDEX(SP_GF_Rev,0,COLUMN()),0)-IFERROR(INDEX(SP_GF_COGS,0,COLUMN()),0)-IFERROR(INDEX(SP_GF_SGA,0,COLUMN()),0)-IFERROR(INDEX(SP_GF_OI_Operating,0,COLUMN()),0)-IFERROR(INDEX(SP_GF_DA_Operating,0,COLUMN()),0)-IFERROR(INDEX(SP_GF_OPEX,0,COLUMN()),0)-IFERROR(INDEX(SP_GF_RD,0,COLUMN()),0)</f>
        <v/>
      </c>
      <c r="Q28" s="2005">
        <f>IFERROR(INDEX(SP_GF_Rev,0,COLUMN()),0)-IFERROR(INDEX(SP_GF_COGS,0,COLUMN()),0)-IFERROR(INDEX(SP_GF_SGA,0,COLUMN()),0)-IFERROR(INDEX(SP_GF_OI_Operating,0,COLUMN()),0)-IFERROR(INDEX(SP_GF_DA_Operating,0,COLUMN()),0)-IFERROR(INDEX(SP_GF_OPEX,0,COLUMN()),0)-IFERROR(INDEX(SP_GF_RD,0,COLUMN()),0)</f>
        <v/>
      </c>
      <c r="R28" s="2006">
        <f>IFERROR(INDEX(SP_GF_Rev,0,COLUMN()),0)-IFERROR(INDEX(SP_GF_COGS,0,COLUMN()),0)-IFERROR(INDEX(SP_GF_SGA,0,COLUMN()),0)-IFERROR(INDEX(SP_GF_OI_Operating,0,COLUMN()),0)-IFERROR(INDEX(SP_GF_DA_Operating,0,COLUMN()),0)-IFERROR(INDEX(SP_GF_OPEX,0,COLUMN()),0)-IFERROR(INDEX(SP_GF_RD,0,COLUMN()),0)</f>
        <v/>
      </c>
      <c r="S28" s="2006">
        <f>IFERROR(INDEX(SP_GF_Rev,0,COLUMN()),0)-IFERROR(INDEX(SP_GF_COGS,0,COLUMN()),0)-IFERROR(INDEX(SP_GF_SGA,0,COLUMN()),0)-IFERROR(INDEX(SP_GF_OI_Operating,0,COLUMN()),0)-IFERROR(INDEX(SP_GF_DA_Operating,0,COLUMN()),0)-IFERROR(INDEX(SP_GF_OPEX,0,COLUMN()),0)-IFERROR(INDEX(SP_GF_RD,0,COLUMN()),0)</f>
        <v/>
      </c>
      <c r="T28" s="2006">
        <f>IFERROR(INDEX(SP_GF_Rev,0,COLUMN()),0)-IFERROR(INDEX(SP_GF_COGS,0,COLUMN()),0)-IFERROR(INDEX(SP_GF_SGA,0,COLUMN()),0)-IFERROR(INDEX(SP_GF_OI_Operating,0,COLUMN()),0)-IFERROR(INDEX(SP_GF_DA_Operating,0,COLUMN()),0)-IFERROR(INDEX(SP_GF_OPEX,0,COLUMN()),0)-IFERROR(INDEX(SP_GF_RD,0,COLUMN()),0)</f>
        <v/>
      </c>
      <c r="U28" s="2006">
        <f>IFERROR(INDEX(SP_GF_Rev,0,COLUMN()),0)-IFERROR(INDEX(SP_GF_COGS,0,COLUMN()),0)-IFERROR(INDEX(SP_GF_SGA,0,COLUMN()),0)-IFERROR(INDEX(SP_GF_OI_Operating,0,COLUMN()),0)-IFERROR(INDEX(SP_GF_DA_Operating,0,COLUMN()),0)-IFERROR(INDEX(SP_GF_OPEX,0,COLUMN()),0)-IFERROR(INDEX(SP_GF_RD,0,COLUMN()),0)</f>
        <v/>
      </c>
      <c r="V28" s="2005">
        <f>IFERROR(INDEX(SP_GF_Rev,0,COLUMN()),0)-IFERROR(INDEX(SP_GF_COGS,0,COLUMN()),0)-IFERROR(INDEX(SP_GF_SGA,0,COLUMN()),0)-IFERROR(INDEX(SP_GF_OI_Operating,0,COLUMN()),0)-IFERROR(INDEX(SP_GF_DA_Operating,0,COLUMN()),0)-IFERROR(INDEX(SP_GF_OPEX,0,COLUMN()),0)-IFERROR(INDEX(SP_GF_RD,0,COLUMN()),0)</f>
        <v/>
      </c>
      <c r="W28" s="2006">
        <f>IFERROR(INDEX(SP_GF_Rev,0,COLUMN()),0)-IFERROR(INDEX(SP_GF_COGS,0,COLUMN()),0)-IFERROR(INDEX(SP_GF_SGA,0,COLUMN()),0)-IFERROR(INDEX(SP_GF_OI_Operating,0,COLUMN()),0)-IFERROR(INDEX(SP_GF_DA_Operating,0,COLUMN()),0)-IFERROR(INDEX(SP_GF_OPEX,0,COLUMN()),0)-IFERROR(INDEX(SP_GF_RD,0,COLUMN()),0)</f>
        <v/>
      </c>
      <c r="X28" s="2006">
        <f>IFERROR(INDEX(SP_GF_Rev,0,COLUMN()),0)-IFERROR(INDEX(SP_GF_COGS,0,COLUMN()),0)-IFERROR(INDEX(SP_GF_SGA,0,COLUMN()),0)-IFERROR(INDEX(SP_GF_OI_Operating,0,COLUMN()),0)-IFERROR(INDEX(SP_GF_DA_Operating,0,COLUMN()),0)-IFERROR(INDEX(SP_GF_OPEX,0,COLUMN()),0)-IFERROR(INDEX(SP_GF_RD,0,COLUMN()),0)</f>
        <v/>
      </c>
      <c r="Y28" s="2006">
        <f>IFERROR(INDEX(SP_GF_Rev,0,COLUMN()),0)-IFERROR(INDEX(SP_GF_COGS,0,COLUMN()),0)-IFERROR(INDEX(SP_GF_SGA,0,COLUMN()),0)-IFERROR(INDEX(SP_GF_OI_Operating,0,COLUMN()),0)-IFERROR(INDEX(SP_GF_DA_Operating,0,COLUMN()),0)-IFERROR(INDEX(SP_GF_OPEX,0,COLUMN()),0)-IFERROR(INDEX(SP_GF_RD,0,COLUMN()),0)</f>
        <v/>
      </c>
      <c r="Z28" s="2006">
        <f>IFERROR(INDEX(SP_GF_Rev,0,COLUMN()),0)-IFERROR(INDEX(SP_GF_COGS,0,COLUMN()),0)-IFERROR(INDEX(SP_GF_SGA,0,COLUMN()),0)-IFERROR(INDEX(SP_GF_OI_Operating,0,COLUMN()),0)-IFERROR(INDEX(SP_GF_DA_Operating,0,COLUMN()),0)-IFERROR(INDEX(SP_GF_OPEX,0,COLUMN()),0)-IFERROR(INDEX(SP_GF_RD,0,COLUMN()),0)</f>
        <v/>
      </c>
      <c r="AA28" s="2005">
        <f>IFERROR(INDEX(SP_GF_Rev,0,COLUMN()),0)-IFERROR(INDEX(SP_GF_COGS,0,COLUMN()),0)-IFERROR(INDEX(SP_GF_SGA,0,COLUMN()),0)-IFERROR(INDEX(SP_GF_OI_Operating,0,COLUMN()),0)-IFERROR(INDEX(SP_GF_DA_Operating,0,COLUMN()),0)-IFERROR(INDEX(SP_GF_OPEX,0,COLUMN()),0)-IFERROR(INDEX(SP_GF_RD,0,COLUMN()),0)</f>
        <v/>
      </c>
      <c r="AB28" s="2006">
        <f>IFERROR(INDEX(SP_GF_Rev,0,COLUMN()),0)-IFERROR(INDEX(SP_GF_COGS,0,COLUMN()),0)-IFERROR(INDEX(SP_GF_SGA,0,COLUMN()),0)-IFERROR(INDEX(SP_GF_OI_Operating,0,COLUMN()),0)-IFERROR(INDEX(SP_GF_DA_Operating,0,COLUMN()),0)-IFERROR(INDEX(SP_GF_OPEX,0,COLUMN()),0)-IFERROR(INDEX(SP_GF_RD,0,COLUMN()),0)</f>
        <v/>
      </c>
      <c r="AC28" s="2006">
        <f>IFERROR(INDEX(SP_GF_Rev,0,COLUMN()),0)-IFERROR(INDEX(SP_GF_COGS,0,COLUMN()),0)-IFERROR(INDEX(SP_GF_SGA,0,COLUMN()),0)-IFERROR(INDEX(SP_GF_OI_Operating,0,COLUMN()),0)-IFERROR(INDEX(SP_GF_DA_Operating,0,COLUMN()),0)-IFERROR(INDEX(SP_GF_OPEX,0,COLUMN()),0)-IFERROR(INDEX(SP_GF_RD,0,COLUMN()),0)</f>
        <v/>
      </c>
      <c r="AD28" s="2006">
        <f>IFERROR(INDEX(SP_GF_Rev,0,COLUMN()),0)-IFERROR(INDEX(SP_GF_COGS,0,COLUMN()),0)-IFERROR(INDEX(SP_GF_SGA,0,COLUMN()),0)-IFERROR(INDEX(SP_GF_OI_Operating,0,COLUMN()),0)-IFERROR(INDEX(SP_GF_DA_Operating,0,COLUMN()),0)-IFERROR(INDEX(SP_GF_OPEX,0,COLUMN()),0)-IFERROR(INDEX(SP_GF_RD,0,COLUMN()),0)</f>
        <v/>
      </c>
      <c r="AE28" s="2006">
        <f>IFERROR(INDEX(SP_GF_Rev,0,COLUMN()),0)-IFERROR(INDEX(SP_GF_COGS,0,COLUMN()),0)-IFERROR(INDEX(SP_GF_SGA,0,COLUMN()),0)-IFERROR(INDEX(SP_GF_OI_Operating,0,COLUMN()),0)-IFERROR(INDEX(SP_GF_DA_Operating,0,COLUMN()),0)-IFERROR(INDEX(SP_GF_OPEX,0,COLUMN()),0)-IFERROR(INDEX(SP_GF_RD,0,COLUMN()),0)</f>
        <v/>
      </c>
      <c r="AF28" s="2005">
        <f>IFERROR(INDEX(SP_GF_Rev,0,COLUMN()),0)-IFERROR(INDEX(SP_GF_COGS,0,COLUMN()),0)-IFERROR(INDEX(SP_GF_SGA,0,COLUMN()),0)-IFERROR(INDEX(SP_GF_OI_Operating,0,COLUMN()),0)-IFERROR(INDEX(SP_GF_DA_Operating,0,COLUMN()),0)-IFERROR(INDEX(SP_GF_OPEX,0,COLUMN()),0)-IFERROR(INDEX(SP_GF_RD,0,COLUMN()),0)</f>
        <v/>
      </c>
      <c r="AG28" s="2006">
        <f>IFERROR(INDEX(SP_GF_Rev,0,COLUMN()),0)-IFERROR(INDEX(SP_GF_COGS,0,COLUMN()),0)-IFERROR(INDEX(SP_GF_SGA,0,COLUMN()),0)-IFERROR(INDEX(SP_GF_OI_Operating,0,COLUMN()),0)-IFERROR(INDEX(SP_GF_DA_Operating,0,COLUMN()),0)-IFERROR(INDEX(SP_GF_OPEX,0,COLUMN()),0)-IFERROR(INDEX(SP_GF_RD,0,COLUMN()),0)</f>
        <v/>
      </c>
      <c r="AH28" s="2006">
        <f>IFERROR(INDEX(SP_GF_Rev,0,COLUMN()),0)-IFERROR(INDEX(SP_GF_COGS,0,COLUMN()),0)-IFERROR(INDEX(SP_GF_SGA,0,COLUMN()),0)-IFERROR(INDEX(SP_GF_OI_Operating,0,COLUMN()),0)-IFERROR(INDEX(SP_GF_DA_Operating,0,COLUMN()),0)-IFERROR(INDEX(SP_GF_OPEX,0,COLUMN()),0)-IFERROR(INDEX(SP_GF_RD,0,COLUMN()),0)</f>
        <v/>
      </c>
      <c r="AI28" s="2006">
        <f>IFERROR(INDEX(SP_GF_Rev,0,COLUMN()),0)-IFERROR(INDEX(SP_GF_COGS,0,COLUMN()),0)-IFERROR(INDEX(SP_GF_SGA,0,COLUMN()),0)-IFERROR(INDEX(SP_GF_OI_Operating,0,COLUMN()),0)-IFERROR(INDEX(SP_GF_DA_Operating,0,COLUMN()),0)-IFERROR(INDEX(SP_GF_OPEX,0,COLUMN()),0)-IFERROR(INDEX(SP_GF_RD,0,COLUMN()),0)</f>
        <v/>
      </c>
      <c r="AJ28" s="2006">
        <f>IFERROR(INDEX(SP_GF_Rev,0,COLUMN()),0)-IFERROR(INDEX(SP_GF_COGS,0,COLUMN()),0)-IFERROR(INDEX(SP_GF_SGA,0,COLUMN()),0)-IFERROR(INDEX(SP_GF_OI_Operating,0,COLUMN()),0)-IFERROR(INDEX(SP_GF_DA_Operating,0,COLUMN()),0)-IFERROR(INDEX(SP_GF_OPEX,0,COLUMN()),0)-IFERROR(INDEX(SP_GF_RD,0,COLUMN()),0)</f>
        <v/>
      </c>
      <c r="AK28" s="2005">
        <f>IFERROR(INDEX(SP_GF_Rev,0,COLUMN()),0)-IFERROR(INDEX(SP_GF_COGS,0,COLUMN()),0)-IFERROR(INDEX(SP_GF_SGA,0,COLUMN()),0)-IFERROR(INDEX(SP_GF_OI_Operating,0,COLUMN()),0)-IFERROR(INDEX(SP_GF_DA_Operating,0,COLUMN()),0)-IFERROR(INDEX(SP_GF_OPEX,0,COLUMN()),0)-IFERROR(INDEX(SP_GF_RD,0,COLUMN()),0)</f>
        <v/>
      </c>
      <c r="AL28" s="2006">
        <f>IFERROR(INDEX(SP_GF_Rev,0,COLUMN()),0)-IFERROR(INDEX(SP_GF_COGS,0,COLUMN()),0)-IFERROR(INDEX(SP_GF_SGA,0,COLUMN()),0)-IFERROR(INDEX(SP_GF_OI_Operating,0,COLUMN()),0)-IFERROR(INDEX(SP_GF_DA_Operating,0,COLUMN()),0)-IFERROR(INDEX(SP_GF_OPEX,0,COLUMN()),0)-IFERROR(INDEX(SP_GF_RD,0,COLUMN()),0)</f>
        <v/>
      </c>
      <c r="AM28" s="2006">
        <f>IFERROR(INDEX(SP_GF_Rev,0,COLUMN()),0)-IFERROR(INDEX(SP_GF_COGS,0,COLUMN()),0)-IFERROR(INDEX(SP_GF_SGA,0,COLUMN()),0)-IFERROR(INDEX(SP_GF_OI_Operating,0,COLUMN()),0)-IFERROR(INDEX(SP_GF_DA_Operating,0,COLUMN()),0)-IFERROR(INDEX(SP_GF_OPEX,0,COLUMN()),0)-IFERROR(INDEX(SP_GF_RD,0,COLUMN()),0)</f>
        <v/>
      </c>
      <c r="AN28" s="2006">
        <f>IFERROR(INDEX(SP_GF_Rev,0,COLUMN()),0)-IFERROR(INDEX(SP_GF_COGS,0,COLUMN()),0)-IFERROR(INDEX(SP_GF_SGA,0,COLUMN()),0)-IFERROR(INDEX(SP_GF_OI_Operating,0,COLUMN()),0)-IFERROR(INDEX(SP_GF_DA_Operating,0,COLUMN()),0)-IFERROR(INDEX(SP_GF_OPEX,0,COLUMN()),0)-IFERROR(INDEX(SP_GF_RD,0,COLUMN()),0)</f>
        <v/>
      </c>
      <c r="AO28" s="2006">
        <f>IFERROR(INDEX(SP_GF_Rev,0,COLUMN()),0)-IFERROR(INDEX(SP_GF_COGS,0,COLUMN()),0)-IFERROR(INDEX(SP_GF_SGA,0,COLUMN()),0)-IFERROR(INDEX(SP_GF_OI_Operating,0,COLUMN()),0)-IFERROR(INDEX(SP_GF_DA_Operating,0,COLUMN()),0)-IFERROR(INDEX(SP_GF_OPEX,0,COLUMN()),0)-IFERROR(INDEX(SP_GF_RD,0,COLUMN()),0)</f>
        <v/>
      </c>
      <c r="AP28" s="2005">
        <f>IFERROR(INDEX(SP_GF_Rev,0,COLUMN()),0)-IFERROR(INDEX(SP_GF_COGS,0,COLUMN()),0)-IFERROR(INDEX(SP_GF_SGA,0,COLUMN()),0)-IFERROR(INDEX(SP_GF_OI_Operating,0,COLUMN()),0)-IFERROR(INDEX(SP_GF_DA_Operating,0,COLUMN()),0)-IFERROR(INDEX(SP_GF_OPEX,0,COLUMN()),0)-IFERROR(INDEX(SP_GF_RD,0,COLUMN()),0)</f>
        <v/>
      </c>
      <c r="AQ28" s="2006">
        <f>IFERROR(INDEX(SP_GF_Rev,0,COLUMN()),0)-IFERROR(INDEX(SP_GF_COGS,0,COLUMN()),0)-IFERROR(INDEX(SP_GF_SGA,0,COLUMN()),0)-IFERROR(INDEX(SP_GF_OI_Operating,0,COLUMN()),0)-IFERROR(INDEX(SP_GF_DA_Operating,0,COLUMN()),0)-IFERROR(INDEX(SP_GF_OPEX,0,COLUMN()),0)-IFERROR(INDEX(SP_GF_RD,0,COLUMN()),0)</f>
        <v/>
      </c>
      <c r="AR28" s="2006">
        <f>IFERROR(INDEX(SP_GF_Rev,0,COLUMN()),0)-IFERROR(INDEX(SP_GF_COGS,0,COLUMN()),0)-IFERROR(INDEX(SP_GF_SGA,0,COLUMN()),0)-IFERROR(INDEX(SP_GF_OI_Operating,0,COLUMN()),0)-IFERROR(INDEX(SP_GF_DA_Operating,0,COLUMN()),0)-IFERROR(INDEX(SP_GF_OPEX,0,COLUMN()),0)-IFERROR(INDEX(SP_GF_RD,0,COLUMN()),0)</f>
        <v/>
      </c>
      <c r="AS28" s="2006">
        <f>IFERROR(INDEX(SP_GF_Rev,0,COLUMN()),0)-IFERROR(INDEX(SP_GF_COGS,0,COLUMN()),0)-IFERROR(INDEX(SP_GF_SGA,0,COLUMN()),0)-IFERROR(INDEX(SP_GF_OI_Operating,0,COLUMN()),0)-IFERROR(INDEX(SP_GF_DA_Operating,0,COLUMN()),0)-IFERROR(INDEX(SP_GF_OPEX,0,COLUMN()),0)-IFERROR(INDEX(SP_GF_RD,0,COLUMN()),0)</f>
        <v/>
      </c>
      <c r="AT28" s="2006">
        <f>IFERROR(INDEX(SP_GF_Rev,0,COLUMN()),0)-IFERROR(INDEX(SP_GF_COGS,0,COLUMN()),0)-IFERROR(INDEX(SP_GF_SGA,0,COLUMN()),0)-IFERROR(INDEX(SP_GF_OI_Operating,0,COLUMN()),0)-IFERROR(INDEX(SP_GF_DA_Operating,0,COLUMN()),0)-IFERROR(INDEX(SP_GF_OPEX,0,COLUMN()),0)-IFERROR(INDEX(SP_GF_RD,0,COLUMN()),0)</f>
        <v/>
      </c>
      <c r="AU28" s="2005">
        <f>IFERROR(INDEX(SP_GF_Rev,0,COLUMN()),0)-IFERROR(INDEX(SP_GF_COGS,0,COLUMN()),0)-IFERROR(INDEX(SP_GF_SGA,0,COLUMN()),0)-IFERROR(INDEX(SP_GF_OI_Operating,0,COLUMN()),0)-IFERROR(INDEX(SP_GF_DA_Operating,0,COLUMN()),0)-IFERROR(INDEX(SP_GF_OPEX,0,COLUMN()),0)-IFERROR(INDEX(SP_GF_RD,0,COLUMN()),0)</f>
        <v/>
      </c>
      <c r="AV28" s="2006">
        <f>IFERROR(INDEX(SP_GF_Rev,0,COLUMN()),0)-IFERROR(INDEX(SP_GF_COGS,0,COLUMN()),0)-IFERROR(INDEX(SP_GF_SGA,0,COLUMN()),0)-IFERROR(INDEX(SP_GF_OI_Operating,0,COLUMN()),0)-IFERROR(INDEX(SP_GF_DA_Operating,0,COLUMN()),0)-IFERROR(INDEX(SP_GF_OPEX,0,COLUMN()),0)-IFERROR(INDEX(SP_GF_RD,0,COLUMN()),0)</f>
        <v/>
      </c>
      <c r="AW28" s="2006">
        <f>IFERROR(INDEX(SP_GF_Rev,0,COLUMN()),0)-IFERROR(INDEX(SP_GF_COGS,0,COLUMN()),0)-IFERROR(INDEX(SP_GF_SGA,0,COLUMN()),0)-IFERROR(INDEX(SP_GF_OI_Operating,0,COLUMN()),0)-IFERROR(INDEX(SP_GF_DA_Operating,0,COLUMN()),0)-IFERROR(INDEX(SP_GF_OPEX,0,COLUMN()),0)-IFERROR(INDEX(SP_GF_RD,0,COLUMN()),0)</f>
        <v/>
      </c>
      <c r="AX28" s="2006">
        <f>IFERROR(INDEX(SP_GF_Rev,0,COLUMN()),0)-IFERROR(INDEX(SP_GF_COGS,0,COLUMN()),0)-IFERROR(INDEX(SP_GF_SGA,0,COLUMN()),0)-IFERROR(INDEX(SP_GF_OI_Operating,0,COLUMN()),0)-IFERROR(INDEX(SP_GF_DA_Operating,0,COLUMN()),0)-IFERROR(INDEX(SP_GF_OPEX,0,COLUMN()),0)-IFERROR(INDEX(SP_GF_RD,0,COLUMN()),0)</f>
        <v/>
      </c>
      <c r="AY28" s="2006">
        <f>IFERROR(INDEX(SP_GF_Rev,0,COLUMN()),0)-IFERROR(INDEX(SP_GF_COGS,0,COLUMN()),0)-IFERROR(INDEX(SP_GF_SGA,0,COLUMN()),0)-IFERROR(INDEX(SP_GF_OI_Operating,0,COLUMN()),0)-IFERROR(INDEX(SP_GF_DA_Operating,0,COLUMN()),0)-IFERROR(INDEX(SP_GF_OPEX,0,COLUMN()),0)-IFERROR(INDEX(SP_GF_RD,0,COLUMN()),0)</f>
        <v/>
      </c>
      <c r="AZ28" s="2005">
        <f>IFERROR(INDEX(SP_GF_Rev,0,COLUMN()),0)-IFERROR(INDEX(SP_GF_COGS,0,COLUMN()),0)-IFERROR(INDEX(SP_GF_SGA,0,COLUMN()),0)-IFERROR(INDEX(SP_GF_OI_Operating,0,COLUMN()),0)-IFERROR(INDEX(SP_GF_DA_Operating,0,COLUMN()),0)-IFERROR(INDEX(SP_GF_OPEX,0,COLUMN()),0)-IFERROR(INDEX(SP_GF_RD,0,COLUMN()),0)</f>
        <v/>
      </c>
      <c r="BA28" s="2006">
        <f>IFERROR(INDEX(SP_GF_Rev,0,COLUMN()),0)-IFERROR(INDEX(SP_GF_COGS,0,COLUMN()),0)-IFERROR(INDEX(SP_GF_SGA,0,COLUMN()),0)-IFERROR(INDEX(SP_GF_OI_Operating,0,COLUMN()),0)-IFERROR(INDEX(SP_GF_DA_Operating,0,COLUMN()),0)-IFERROR(INDEX(SP_GF_OPEX,0,COLUMN()),0)-IFERROR(INDEX(SP_GF_RD,0,COLUMN()),0)</f>
        <v/>
      </c>
      <c r="BB28" s="2006">
        <f>IFERROR(INDEX(SP_GF_Rev,0,COLUMN()),0)-IFERROR(INDEX(SP_GF_COGS,0,COLUMN()),0)-IFERROR(INDEX(SP_GF_SGA,0,COLUMN()),0)-IFERROR(INDEX(SP_GF_OI_Operating,0,COLUMN()),0)-IFERROR(INDEX(SP_GF_DA_Operating,0,COLUMN()),0)-IFERROR(INDEX(SP_GF_OPEX,0,COLUMN()),0)-IFERROR(INDEX(SP_GF_RD,0,COLUMN()),0)</f>
        <v/>
      </c>
      <c r="BC28" s="2006">
        <f>IFERROR(INDEX(SP_GF_Rev,0,COLUMN()),0)-IFERROR(INDEX(SP_GF_COGS,0,COLUMN()),0)-IFERROR(INDEX(SP_GF_SGA,0,COLUMN()),0)-IFERROR(INDEX(SP_GF_OI_Operating,0,COLUMN()),0)-IFERROR(INDEX(SP_GF_DA_Operating,0,COLUMN()),0)-IFERROR(INDEX(SP_GF_OPEX,0,COLUMN()),0)-IFERROR(INDEX(SP_GF_RD,0,COLUMN()),0)</f>
        <v/>
      </c>
      <c r="BD28" s="2006">
        <f>IFERROR(INDEX(SP_GF_Rev,0,COLUMN()),0)-IFERROR(INDEX(SP_GF_COGS,0,COLUMN()),0)-IFERROR(INDEX(SP_GF_SGA,0,COLUMN()),0)-IFERROR(INDEX(SP_GF_OI_Operating,0,COLUMN()),0)-IFERROR(INDEX(SP_GF_DA_Operating,0,COLUMN()),0)-IFERROR(INDEX(SP_GF_OPEX,0,COLUMN()),0)-IFERROR(INDEX(SP_GF_RD,0,COLUMN()),0)</f>
        <v/>
      </c>
      <c r="BE28" s="2005">
        <f>IFERROR(INDEX(SP_GF_Rev,0,COLUMN()),0)-IFERROR(INDEX(SP_GF_COGS,0,COLUMN()),0)-IFERROR(INDEX(SP_GF_SGA,0,COLUMN()),0)-IFERROR(INDEX(SP_GF_OI_Operating,0,COLUMN()),0)-IFERROR(INDEX(SP_GF_DA_Operating,0,COLUMN()),0)-IFERROR(INDEX(SP_GF_OPEX,0,COLUMN()),0)-IFERROR(INDEX(SP_GF_RD,0,COLUMN()),0)</f>
        <v/>
      </c>
      <c r="BF28" s="2006">
        <f>IFERROR(INDEX(SP_GF_Rev,0,COLUMN()),0)-IFERROR(INDEX(SP_GF_COGS,0,COLUMN()),0)-IFERROR(INDEX(SP_GF_SGA,0,COLUMN()),0)-IFERROR(INDEX(SP_GF_OI_Operating,0,COLUMN()),0)-IFERROR(INDEX(SP_GF_DA_Operating,0,COLUMN()),0)-IFERROR(INDEX(SP_GF_OPEX,0,COLUMN()),0)-IFERROR(INDEX(SP_GF_RD,0,COLUMN()),0)</f>
        <v/>
      </c>
      <c r="BG28" s="2006">
        <f>IFERROR(INDEX(SP_GF_Rev,0,COLUMN()),0)-IFERROR(INDEX(SP_GF_COGS,0,COLUMN()),0)-IFERROR(INDEX(SP_GF_SGA,0,COLUMN()),0)-IFERROR(INDEX(SP_GF_OI_Operating,0,COLUMN()),0)-IFERROR(INDEX(SP_GF_DA_Operating,0,COLUMN()),0)-IFERROR(INDEX(SP_GF_OPEX,0,COLUMN()),0)-IFERROR(INDEX(SP_GF_RD,0,COLUMN()),0)</f>
        <v/>
      </c>
      <c r="BH28" s="2006">
        <f>IFERROR(INDEX(SP_GF_Rev,0,COLUMN()),0)-IFERROR(INDEX(SP_GF_COGS,0,COLUMN()),0)-IFERROR(INDEX(SP_GF_SGA,0,COLUMN()),0)-IFERROR(INDEX(SP_GF_OI_Operating,0,COLUMN()),0)-IFERROR(INDEX(SP_GF_DA_Operating,0,COLUMN()),0)-IFERROR(INDEX(SP_GF_OPEX,0,COLUMN()),0)-IFERROR(INDEX(SP_GF_RD,0,COLUMN()),0)</f>
        <v/>
      </c>
      <c r="BI28" s="2006">
        <f>IFERROR(INDEX(SP_GF_Rev,0,COLUMN()),0)-IFERROR(INDEX(SP_GF_COGS,0,COLUMN()),0)-IFERROR(INDEX(SP_GF_SGA,0,COLUMN()),0)-IFERROR(INDEX(SP_GF_OI_Operating,0,COLUMN()),0)-IFERROR(INDEX(SP_GF_DA_Operating,0,COLUMN()),0)-IFERROR(INDEX(SP_GF_OPEX,0,COLUMN()),0)-IFERROR(INDEX(SP_GF_RD,0,COLUMN()),0)</f>
        <v/>
      </c>
      <c r="BJ28" s="2005">
        <f>IFERROR(INDEX(SP_GF_Rev,0,COLUMN()),0)-IFERROR(INDEX(SP_GF_COGS,0,COLUMN()),0)-IFERROR(INDEX(SP_GF_SGA,0,COLUMN()),0)-IFERROR(INDEX(SP_GF_OI_Operating,0,COLUMN()),0)-IFERROR(INDEX(SP_GF_DA_Operating,0,COLUMN()),0)-IFERROR(INDEX(SP_GF_OPEX,0,COLUMN()),0)-IFERROR(INDEX(SP_GF_RD,0,COLUMN()),0)</f>
        <v/>
      </c>
      <c r="BK28" s="2006">
        <f>IFERROR(INDEX(SP_GF_Rev,0,COLUMN()),0)-IFERROR(INDEX(SP_GF_COGS,0,COLUMN()),0)-IFERROR(INDEX(SP_GF_SGA,0,COLUMN()),0)-IFERROR(INDEX(SP_GF_OI_Operating,0,COLUMN()),0)-IFERROR(INDEX(SP_GF_DA_Operating,0,COLUMN()),0)-IFERROR(INDEX(SP_GF_OPEX,0,COLUMN()),0)-IFERROR(INDEX(SP_GF_RD,0,COLUMN()),0)</f>
        <v/>
      </c>
      <c r="BL28" s="2006">
        <f>IFERROR(INDEX(SP_GF_Rev,0,COLUMN()),0)-IFERROR(INDEX(SP_GF_COGS,0,COLUMN()),0)-IFERROR(INDEX(SP_GF_SGA,0,COLUMN()),0)-IFERROR(INDEX(SP_GF_OI_Operating,0,COLUMN()),0)-IFERROR(INDEX(SP_GF_DA_Operating,0,COLUMN()),0)-IFERROR(INDEX(SP_GF_OPEX,0,COLUMN()),0)-IFERROR(INDEX(SP_GF_RD,0,COLUMN()),0)</f>
        <v/>
      </c>
      <c r="BM28" s="2006">
        <f>IFERROR(INDEX(SP_GF_Rev,0,COLUMN()),0)-IFERROR(INDEX(SP_GF_COGS,0,COLUMN()),0)-IFERROR(INDEX(SP_GF_SGA,0,COLUMN()),0)-IFERROR(INDEX(SP_GF_OI_Operating,0,COLUMN()),0)-IFERROR(INDEX(SP_GF_DA_Operating,0,COLUMN()),0)-IFERROR(INDEX(SP_GF_OPEX,0,COLUMN()),0)-IFERROR(INDEX(SP_GF_RD,0,COLUMN()),0)</f>
        <v/>
      </c>
      <c r="BN28" s="2006">
        <f>IFERROR(INDEX(SP_GF_Rev,0,COLUMN()),0)-IFERROR(INDEX(SP_GF_COGS,0,COLUMN()),0)-IFERROR(INDEX(SP_GF_SGA,0,COLUMN()),0)-IFERROR(INDEX(SP_GF_OI_Operating,0,COLUMN()),0)-IFERROR(INDEX(SP_GF_DA_Operating,0,COLUMN()),0)-IFERROR(INDEX(SP_GF_OPEX,0,COLUMN()),0)-IFERROR(INDEX(SP_GF_RD,0,COLUMN()),0)</f>
        <v/>
      </c>
      <c r="BO28" s="2007">
        <f>IFERROR(INDEX(SP_GF_Rev,0,COLUMN()),0)-IFERROR(INDEX(SP_GF_COGS,0,COLUMN()),0)-IFERROR(INDEX(SP_GF_SGA,0,COLUMN()),0)-IFERROR(INDEX(SP_GF_OI_Operating,0,COLUMN()),0)-IFERROR(INDEX(SP_GF_DA_Operating,0,COLUMN()),0)-IFERROR(INDEX(SP_GF_OPEX,0,COLUMN()),0)-IFERROR(INDEX(SP_GF_RD,0,COLUMN()),0)</f>
        <v/>
      </c>
      <c r="BP28" s="2006">
        <f>IFERROR(INDEX(SP_GF_Rev,0,COLUMN()),0)-IFERROR(INDEX(SP_GF_COGS,0,COLUMN()),0)-IFERROR(INDEX(SP_GF_SGA,0,COLUMN()),0)-IFERROR(INDEX(SP_GF_OI_Operating,0,COLUMN()),0)-IFERROR(INDEX(SP_GF_DA_Operating,0,COLUMN()),0)-IFERROR(INDEX(SP_GF_OPEX,0,COLUMN()),0)-IFERROR(INDEX(SP_GF_RD,0,COLUMN()),0)</f>
        <v/>
      </c>
      <c r="BQ28" s="2006">
        <f>IFERROR(INDEX(SP_GF_Rev,0,COLUMN()),0)-IFERROR(INDEX(SP_GF_COGS,0,COLUMN()),0)-IFERROR(INDEX(SP_GF_SGA,0,COLUMN()),0)-IFERROR(INDEX(SP_GF_OI_Operating,0,COLUMN()),0)-IFERROR(INDEX(SP_GF_DA_Operating,0,COLUMN()),0)-IFERROR(INDEX(SP_GF_OPEX,0,COLUMN()),0)-IFERROR(INDEX(SP_GF_RD,0,COLUMN()),0)</f>
        <v/>
      </c>
      <c r="BR28" s="2006">
        <f>IFERROR(INDEX(SP_GF_Rev,0,COLUMN()),0)-IFERROR(INDEX(SP_GF_COGS,0,COLUMN()),0)-IFERROR(INDEX(SP_GF_SGA,0,COLUMN()),0)-IFERROR(INDEX(SP_GF_OI_Operating,0,COLUMN()),0)-IFERROR(INDEX(SP_GF_DA_Operating,0,COLUMN()),0)-IFERROR(INDEX(SP_GF_OPEX,0,COLUMN()),0)-IFERROR(INDEX(SP_GF_RD,0,COLUMN()),0)</f>
        <v/>
      </c>
      <c r="BS28" s="2006">
        <f>IFERROR(INDEX(SP_GF_Rev,0,COLUMN()),0)-IFERROR(INDEX(SP_GF_COGS,0,COLUMN()),0)-IFERROR(INDEX(SP_GF_SGA,0,COLUMN()),0)-IFERROR(INDEX(SP_GF_OI_Operating,0,COLUMN()),0)-IFERROR(INDEX(SP_GF_DA_Operating,0,COLUMN()),0)-IFERROR(INDEX(SP_GF_OPEX,0,COLUMN()),0)-IFERROR(INDEX(SP_GF_RD,0,COLUMN()),0)</f>
        <v/>
      </c>
      <c r="BT28" s="2005">
        <f>IFERROR(INDEX(SP_GF_Rev,0,COLUMN()),0)-IFERROR(INDEX(SP_GF_COGS,0,COLUMN()),0)-IFERROR(INDEX(SP_GF_SGA,0,COLUMN()),0)-IFERROR(INDEX(SP_GF_OI_Operating,0,COLUMN()),0)-IFERROR(INDEX(SP_GF_DA_Operating,0,COLUMN()),0)-IFERROR(INDEX(SP_GF_OPEX,0,COLUMN()),0)-IFERROR(INDEX(SP_GF_RD,0,COLUMN()),0)</f>
        <v/>
      </c>
      <c r="BU28" s="2006">
        <f>IFERROR(INDEX(SP_GF_Rev,0,COLUMN()),0)-IFERROR(INDEX(SP_GF_COGS,0,COLUMN()),0)-IFERROR(INDEX(SP_GF_SGA,0,COLUMN()),0)-IFERROR(INDEX(SP_GF_OI_Operating,0,COLUMN()),0)-IFERROR(INDEX(SP_GF_DA_Operating,0,COLUMN()),0)-IFERROR(INDEX(SP_GF_OPEX,0,COLUMN()),0)-IFERROR(INDEX(SP_GF_RD,0,COLUMN()),0)</f>
        <v/>
      </c>
      <c r="BV28" s="2006">
        <f>IFERROR(INDEX(SP_GF_Rev,0,COLUMN()),0)-IFERROR(INDEX(SP_GF_COGS,0,COLUMN()),0)-IFERROR(INDEX(SP_GF_SGA,0,COLUMN()),0)-IFERROR(INDEX(SP_GF_OI_Operating,0,COLUMN()),0)-IFERROR(INDEX(SP_GF_DA_Operating,0,COLUMN()),0)-IFERROR(INDEX(SP_GF_OPEX,0,COLUMN()),0)-IFERROR(INDEX(SP_GF_RD,0,COLUMN()),0)</f>
        <v/>
      </c>
      <c r="BW28" s="2006">
        <f>IFERROR(INDEX(SP_GF_Rev,0,COLUMN()),0)-IFERROR(INDEX(SP_GF_COGS,0,COLUMN()),0)-IFERROR(INDEX(SP_GF_SGA,0,COLUMN()),0)-IFERROR(INDEX(SP_GF_OI_Operating,0,COLUMN()),0)-IFERROR(INDEX(SP_GF_DA_Operating,0,COLUMN()),0)-IFERROR(INDEX(SP_GF_OPEX,0,COLUMN()),0)-IFERROR(INDEX(SP_GF_RD,0,COLUMN()),0)</f>
        <v/>
      </c>
      <c r="BX28" s="2006">
        <f>IFERROR(INDEX(SP_GF_Rev,0,COLUMN()),0)-IFERROR(INDEX(SP_GF_COGS,0,COLUMN()),0)-IFERROR(INDEX(SP_GF_SGA,0,COLUMN()),0)-IFERROR(INDEX(SP_GF_OI_Operating,0,COLUMN()),0)-IFERROR(INDEX(SP_GF_DA_Operating,0,COLUMN()),0)-IFERROR(INDEX(SP_GF_OPEX,0,COLUMN()),0)-IFERROR(INDEX(SP_GF_RD,0,COLUMN()),0)</f>
        <v/>
      </c>
      <c r="BY28" s="2005">
        <f>IFERROR(INDEX(SP_GF_Rev,0,COLUMN()),0)-IFERROR(INDEX(SP_GF_COGS,0,COLUMN()),0)-IFERROR(INDEX(SP_GF_SGA,0,COLUMN()),0)-IFERROR(INDEX(SP_GF_OI_Operating,0,COLUMN()),0)-IFERROR(INDEX(SP_GF_DA_Operating,0,COLUMN()),0)-IFERROR(INDEX(SP_GF_OPEX,0,COLUMN()),0)-IFERROR(INDEX(SP_GF_RD,0,COLUMN()),0)</f>
        <v/>
      </c>
      <c r="BZ28" s="2005">
        <f>IFERROR(INDEX(SP_GF_Rev,0,COLUMN()),0)-IFERROR(INDEX(SP_GF_COGS,0,COLUMN()),0)-IFERROR(INDEX(SP_GF_SGA,0,COLUMN()),0)-IFERROR(INDEX(SP_GF_OI_Operating,0,COLUMN()),0)-IFERROR(INDEX(SP_GF_DA_Operating,0,COLUMN()),0)-IFERROR(INDEX(SP_GF_OPEX,0,COLUMN()),0)-IFERROR(INDEX(SP_GF_RD,0,COLUMN()),0)</f>
        <v/>
      </c>
      <c r="CA28" s="2005">
        <f>IFERROR(INDEX(SP_GF_Rev,0,COLUMN()),0)-IFERROR(INDEX(SP_GF_COGS,0,COLUMN()),0)-IFERROR(INDEX(SP_GF_SGA,0,COLUMN()),0)-IFERROR(INDEX(SP_GF_OI_Operating,0,COLUMN()),0)-IFERROR(INDEX(SP_GF_DA_Operating,0,COLUMN()),0)-IFERROR(INDEX(SP_GF_OPEX,0,COLUMN()),0)-IFERROR(INDEX(SP_GF_RD,0,COLUMN()),0)</f>
        <v/>
      </c>
      <c r="CB28" s="2005">
        <f>IFERROR(INDEX(SP_GF_Rev,0,COLUMN()),0)-IFERROR(INDEX(SP_GF_COGS,0,COLUMN()),0)-IFERROR(INDEX(SP_GF_SGA,0,COLUMN()),0)-IFERROR(INDEX(SP_GF_OI_Operating,0,COLUMN()),0)-IFERROR(INDEX(SP_GF_DA_Operating,0,COLUMN()),0)-IFERROR(INDEX(SP_GF_OPEX,0,COLUMN()),0)-IFERROR(INDEX(SP_GF_RD,0,COLUMN()),0)</f>
        <v/>
      </c>
      <c r="CC28" s="1977" t="n"/>
    </row>
    <row r="29" ht="14.4" customFormat="1" customHeight="1" s="1939">
      <c r="A29" s="1968">
        <f>INDEX(MO_RIS_IE_Net,0,COLUMN())</f>
        <v/>
      </c>
      <c r="B29" s="1969" t="n"/>
      <c r="C29" s="1928">
        <f>IFERROR(INDEX(MO_RIS_IE_Net,0,COLUMN()),INDEX(MO_RIS_IE,0,COLUMN())+INDEX(MO_RIS_II,0,COLUMN()))</f>
        <v/>
      </c>
      <c r="D29" s="1928">
        <f>IFERROR(INDEX(MO_RIS_IE_Net,0,COLUMN()),INDEX(MO_RIS_IE,0,COLUMN())+INDEX(MO_RIS_II,0,COLUMN()))</f>
        <v/>
      </c>
      <c r="E29" s="1928">
        <f>IFERROR(INDEX(MO_RIS_IE_Net,0,COLUMN()),INDEX(MO_RIS_IE,0,COLUMN())+INDEX(MO_RIS_II,0,COLUMN()))</f>
        <v/>
      </c>
      <c r="F29" s="1928">
        <f>IFERROR(INDEX(MO_RIS_IE_Net,0,COLUMN()),INDEX(MO_RIS_IE,0,COLUMN())+INDEX(MO_RIS_II,0,COLUMN()))</f>
        <v/>
      </c>
      <c r="G29" s="1928">
        <f>IFERROR(INDEX(MO_RIS_IE_Net,0,COLUMN()),INDEX(MO_RIS_IE,0,COLUMN())+INDEX(MO_RIS_II,0,COLUMN()))</f>
        <v/>
      </c>
      <c r="H29" s="1301">
        <f>IFERROR(INDEX(MO_RIS_IE_Net,0,COLUMN()),INDEX(MO_RIS_IE,0,COLUMN())+INDEX(MO_RIS_II,0,COLUMN()))</f>
        <v/>
      </c>
      <c r="I29" s="1301">
        <f>IFERROR(INDEX(MO_RIS_IE_Net,0,COLUMN()),INDEX(MO_RIS_IE,0,COLUMN())+INDEX(MO_RIS_II,0,COLUMN()))</f>
        <v/>
      </c>
      <c r="J29" s="1301">
        <f>IFERROR(INDEX(MO_RIS_IE_Net,0,COLUMN()),INDEX(MO_RIS_IE,0,COLUMN())+INDEX(MO_RIS_II,0,COLUMN()))</f>
        <v/>
      </c>
      <c r="K29" s="1301">
        <f>IFERROR(INDEX(MO_RIS_IE_Net,0,COLUMN()),INDEX(MO_RIS_IE,0,COLUMN())+INDEX(MO_RIS_II,0,COLUMN()))</f>
        <v/>
      </c>
      <c r="L29" s="1928">
        <f>IFERROR(INDEX(MO_RIS_IE_Net,0,COLUMN()),INDEX(MO_RIS_IE,0,COLUMN())+INDEX(MO_RIS_II,0,COLUMN()))</f>
        <v/>
      </c>
      <c r="M29" s="1301">
        <f>IFERROR(INDEX(MO_RIS_IE_Net,0,COLUMN()),INDEX(MO_RIS_IE,0,COLUMN())+INDEX(MO_RIS_II,0,COLUMN()))</f>
        <v/>
      </c>
      <c r="N29" s="1301">
        <f>IFERROR(INDEX(MO_RIS_IE_Net,0,COLUMN()),INDEX(MO_RIS_IE,0,COLUMN())+INDEX(MO_RIS_II,0,COLUMN()))</f>
        <v/>
      </c>
      <c r="O29" s="1301">
        <f>IFERROR(INDEX(MO_RIS_IE_Net,0,COLUMN()),INDEX(MO_RIS_IE,0,COLUMN())+INDEX(MO_RIS_II,0,COLUMN()))</f>
        <v/>
      </c>
      <c r="P29" s="1301">
        <f>IFERROR(INDEX(MO_RIS_IE_Net,0,COLUMN()),INDEX(MO_RIS_IE,0,COLUMN())+INDEX(MO_RIS_II,0,COLUMN()))</f>
        <v/>
      </c>
      <c r="Q29" s="1928">
        <f>IFERROR(INDEX(MO_RIS_IE_Net,0,COLUMN()),INDEX(MO_RIS_IE,0,COLUMN())+INDEX(MO_RIS_II,0,COLUMN()))</f>
        <v/>
      </c>
      <c r="R29" s="1301">
        <f>IFERROR(INDEX(MO_RIS_IE_Net,0,COLUMN()),INDEX(MO_RIS_IE,0,COLUMN())+INDEX(MO_RIS_II,0,COLUMN()))</f>
        <v/>
      </c>
      <c r="S29" s="1301">
        <f>IFERROR(INDEX(MO_RIS_IE_Net,0,COLUMN()),INDEX(MO_RIS_IE,0,COLUMN())+INDEX(MO_RIS_II,0,COLUMN()))</f>
        <v/>
      </c>
      <c r="T29" s="1301">
        <f>IFERROR(INDEX(MO_RIS_IE_Net,0,COLUMN()),INDEX(MO_RIS_IE,0,COLUMN())+INDEX(MO_RIS_II,0,COLUMN()))</f>
        <v/>
      </c>
      <c r="U29" s="1301">
        <f>IFERROR(INDEX(MO_RIS_IE_Net,0,COLUMN()),INDEX(MO_RIS_IE,0,COLUMN())+INDEX(MO_RIS_II,0,COLUMN()))</f>
        <v/>
      </c>
      <c r="V29" s="1928">
        <f>IFERROR(INDEX(MO_RIS_IE_Net,0,COLUMN()),INDEX(MO_RIS_IE,0,COLUMN())+INDEX(MO_RIS_II,0,COLUMN()))</f>
        <v/>
      </c>
      <c r="W29" s="1301">
        <f>IFERROR(INDEX(MO_RIS_IE_Net,0,COLUMN()),INDEX(MO_RIS_IE,0,COLUMN())+INDEX(MO_RIS_II,0,COLUMN()))</f>
        <v/>
      </c>
      <c r="X29" s="1301">
        <f>IFERROR(INDEX(MO_RIS_IE_Net,0,COLUMN()),INDEX(MO_RIS_IE,0,COLUMN())+INDEX(MO_RIS_II,0,COLUMN()))</f>
        <v/>
      </c>
      <c r="Y29" s="1301">
        <f>IFERROR(INDEX(MO_RIS_IE_Net,0,COLUMN()),INDEX(MO_RIS_IE,0,COLUMN())+INDEX(MO_RIS_II,0,COLUMN()))</f>
        <v/>
      </c>
      <c r="Z29" s="1301">
        <f>IFERROR(INDEX(MO_RIS_IE_Net,0,COLUMN()),INDEX(MO_RIS_IE,0,COLUMN())+INDEX(MO_RIS_II,0,COLUMN()))</f>
        <v/>
      </c>
      <c r="AA29" s="1928">
        <f>IFERROR(INDEX(MO_RIS_IE_Net,0,COLUMN()),INDEX(MO_RIS_IE,0,COLUMN())+INDEX(MO_RIS_II,0,COLUMN()))</f>
        <v/>
      </c>
      <c r="AB29" s="1301">
        <f>IFERROR(INDEX(MO_RIS_IE_Net,0,COLUMN()),INDEX(MO_RIS_IE,0,COLUMN())+INDEX(MO_RIS_II,0,COLUMN()))</f>
        <v/>
      </c>
      <c r="AC29" s="1301">
        <f>IFERROR(INDEX(MO_RIS_IE_Net,0,COLUMN()),INDEX(MO_RIS_IE,0,COLUMN())+INDEX(MO_RIS_II,0,COLUMN()))</f>
        <v/>
      </c>
      <c r="AD29" s="1301">
        <f>IFERROR(INDEX(MO_RIS_IE_Net,0,COLUMN()),INDEX(MO_RIS_IE,0,COLUMN())+INDEX(MO_RIS_II,0,COLUMN()))</f>
        <v/>
      </c>
      <c r="AE29" s="1301">
        <f>IFERROR(INDEX(MO_RIS_IE_Net,0,COLUMN()),INDEX(MO_RIS_IE,0,COLUMN())+INDEX(MO_RIS_II,0,COLUMN()))</f>
        <v/>
      </c>
      <c r="AF29" s="1928">
        <f>IFERROR(INDEX(MO_RIS_IE_Net,0,COLUMN()),INDEX(MO_RIS_IE,0,COLUMN())+INDEX(MO_RIS_II,0,COLUMN()))</f>
        <v/>
      </c>
      <c r="AG29" s="1301">
        <f>IFERROR(INDEX(MO_RIS_IE_Net,0,COLUMN()),INDEX(MO_RIS_IE,0,COLUMN())+INDEX(MO_RIS_II,0,COLUMN()))</f>
        <v/>
      </c>
      <c r="AH29" s="1301">
        <f>IFERROR(INDEX(MO_RIS_IE_Net,0,COLUMN()),INDEX(MO_RIS_IE,0,COLUMN())+INDEX(MO_RIS_II,0,COLUMN()))</f>
        <v/>
      </c>
      <c r="AI29" s="1301">
        <f>IFERROR(INDEX(MO_RIS_IE_Net,0,COLUMN()),INDEX(MO_RIS_IE,0,COLUMN())+INDEX(MO_RIS_II,0,COLUMN()))</f>
        <v/>
      </c>
      <c r="AJ29" s="1301">
        <f>IFERROR(INDEX(MO_RIS_IE_Net,0,COLUMN()),INDEX(MO_RIS_IE,0,COLUMN())+INDEX(MO_RIS_II,0,COLUMN()))</f>
        <v/>
      </c>
      <c r="AK29" s="1928">
        <f>IFERROR(INDEX(MO_RIS_IE_Net,0,COLUMN()),INDEX(MO_RIS_IE,0,COLUMN())+INDEX(MO_RIS_II,0,COLUMN()))</f>
        <v/>
      </c>
      <c r="AL29" s="1301">
        <f>IFERROR(INDEX(MO_RIS_IE_Net,0,COLUMN()),INDEX(MO_RIS_IE,0,COLUMN())+INDEX(MO_RIS_II,0,COLUMN()))</f>
        <v/>
      </c>
      <c r="AM29" s="1301">
        <f>IFERROR(INDEX(MO_RIS_IE_Net,0,COLUMN()),INDEX(MO_RIS_IE,0,COLUMN())+INDEX(MO_RIS_II,0,COLUMN()))</f>
        <v/>
      </c>
      <c r="AN29" s="1301">
        <f>IFERROR(INDEX(MO_RIS_IE_Net,0,COLUMN()),INDEX(MO_RIS_IE,0,COLUMN())+INDEX(MO_RIS_II,0,COLUMN()))</f>
        <v/>
      </c>
      <c r="AO29" s="1301">
        <f>IFERROR(INDEX(MO_RIS_IE_Net,0,COLUMN()),INDEX(MO_RIS_IE,0,COLUMN())+INDEX(MO_RIS_II,0,COLUMN()))</f>
        <v/>
      </c>
      <c r="AP29" s="1928">
        <f>IFERROR(INDEX(MO_RIS_IE_Net,0,COLUMN()),INDEX(MO_RIS_IE,0,COLUMN())+INDEX(MO_RIS_II,0,COLUMN()))</f>
        <v/>
      </c>
      <c r="AQ29" s="1301">
        <f>IFERROR(INDEX(MO_RIS_IE_Net,0,COLUMN()),INDEX(MO_RIS_IE,0,COLUMN())+INDEX(MO_RIS_II,0,COLUMN()))</f>
        <v/>
      </c>
      <c r="AR29" s="1301">
        <f>IFERROR(INDEX(MO_RIS_IE_Net,0,COLUMN()),INDEX(MO_RIS_IE,0,COLUMN())+INDEX(MO_RIS_II,0,COLUMN()))</f>
        <v/>
      </c>
      <c r="AS29" s="1301">
        <f>IFERROR(INDEX(MO_RIS_IE_Net,0,COLUMN()),INDEX(MO_RIS_IE,0,COLUMN())+INDEX(MO_RIS_II,0,COLUMN()))</f>
        <v/>
      </c>
      <c r="AT29" s="1301">
        <f>IFERROR(INDEX(MO_RIS_IE_Net,0,COLUMN()),INDEX(MO_RIS_IE,0,COLUMN())+INDEX(MO_RIS_II,0,COLUMN()))</f>
        <v/>
      </c>
      <c r="AU29" s="1928">
        <f>IFERROR(INDEX(MO_RIS_IE_Net,0,COLUMN()),INDEX(MO_RIS_IE,0,COLUMN())+INDEX(MO_RIS_II,0,COLUMN()))</f>
        <v/>
      </c>
      <c r="AV29" s="1301">
        <f>IFERROR(INDEX(MO_RIS_IE_Net,0,COLUMN()),INDEX(MO_RIS_IE,0,COLUMN())+INDEX(MO_RIS_II,0,COLUMN()))</f>
        <v/>
      </c>
      <c r="AW29" s="1301">
        <f>IFERROR(INDEX(MO_RIS_IE_Net,0,COLUMN()),INDEX(MO_RIS_IE,0,COLUMN())+INDEX(MO_RIS_II,0,COLUMN()))</f>
        <v/>
      </c>
      <c r="AX29" s="1301">
        <f>IFERROR(INDEX(MO_RIS_IE_Net,0,COLUMN()),INDEX(MO_RIS_IE,0,COLUMN())+INDEX(MO_RIS_II,0,COLUMN()))</f>
        <v/>
      </c>
      <c r="AY29" s="1301">
        <f>IFERROR(INDEX(MO_RIS_IE_Net,0,COLUMN()),INDEX(MO_RIS_IE,0,COLUMN())+INDEX(MO_RIS_II,0,COLUMN()))</f>
        <v/>
      </c>
      <c r="AZ29" s="1928">
        <f>IFERROR(INDEX(MO_RIS_IE_Net,0,COLUMN()),INDEX(MO_RIS_IE,0,COLUMN())+INDEX(MO_RIS_II,0,COLUMN()))</f>
        <v/>
      </c>
      <c r="BA29" s="1301">
        <f>IFERROR(INDEX(MO_RIS_IE_Net,0,COLUMN()),INDEX(MO_RIS_IE,0,COLUMN())+INDEX(MO_RIS_II,0,COLUMN()))</f>
        <v/>
      </c>
      <c r="BB29" s="1301">
        <f>IFERROR(INDEX(MO_RIS_IE_Net,0,COLUMN()),INDEX(MO_RIS_IE,0,COLUMN())+INDEX(MO_RIS_II,0,COLUMN()))</f>
        <v/>
      </c>
      <c r="BC29" s="1301">
        <f>IFERROR(INDEX(MO_RIS_IE_Net,0,COLUMN()),INDEX(MO_RIS_IE,0,COLUMN())+INDEX(MO_RIS_II,0,COLUMN()))</f>
        <v/>
      </c>
      <c r="BD29" s="1301">
        <f>IFERROR(INDEX(MO_RIS_IE_Net,0,COLUMN()),INDEX(MO_RIS_IE,0,COLUMN())+INDEX(MO_RIS_II,0,COLUMN()))</f>
        <v/>
      </c>
      <c r="BE29" s="1928">
        <f>IFERROR(INDEX(MO_RIS_IE_Net,0,COLUMN()),INDEX(MO_RIS_IE,0,COLUMN())+INDEX(MO_RIS_II,0,COLUMN()))</f>
        <v/>
      </c>
      <c r="BF29" s="1301">
        <f>IFERROR(INDEX(MO_RIS_IE_Net,0,COLUMN()),INDEX(MO_RIS_IE,0,COLUMN())+INDEX(MO_RIS_II,0,COLUMN()))</f>
        <v/>
      </c>
      <c r="BG29" s="1301">
        <f>IFERROR(INDEX(MO_RIS_IE_Net,0,COLUMN()),INDEX(MO_RIS_IE,0,COLUMN())+INDEX(MO_RIS_II,0,COLUMN()))</f>
        <v/>
      </c>
      <c r="BH29" s="1301">
        <f>IFERROR(INDEX(MO_RIS_IE_Net,0,COLUMN()),INDEX(MO_RIS_IE,0,COLUMN())+INDEX(MO_RIS_II,0,COLUMN()))</f>
        <v/>
      </c>
      <c r="BI29" s="1301">
        <f>IFERROR(INDEX(MO_RIS_IE_Net,0,COLUMN()),INDEX(MO_RIS_IE,0,COLUMN())+INDEX(MO_RIS_II,0,COLUMN()))</f>
        <v/>
      </c>
      <c r="BJ29" s="1928">
        <f>IFERROR(INDEX(MO_RIS_IE_Net,0,COLUMN()),INDEX(MO_RIS_IE,0,COLUMN())+INDEX(MO_RIS_II,0,COLUMN()))</f>
        <v/>
      </c>
      <c r="BK29" s="1301">
        <f>IFERROR(INDEX(MO_RIS_IE_Net,0,COLUMN()),INDEX(MO_RIS_IE,0,COLUMN())+INDEX(MO_RIS_II,0,COLUMN()))</f>
        <v/>
      </c>
      <c r="BL29" s="1301">
        <f>IFERROR(INDEX(MO_RIS_IE_Net,0,COLUMN()),INDEX(MO_RIS_IE,0,COLUMN())+INDEX(MO_RIS_II,0,COLUMN()))</f>
        <v/>
      </c>
      <c r="BM29" s="1301">
        <f>IFERROR(INDEX(MO_RIS_IE_Net,0,COLUMN()),INDEX(MO_RIS_IE,0,COLUMN())+INDEX(MO_RIS_II,0,COLUMN()))</f>
        <v/>
      </c>
      <c r="BN29" s="1301">
        <f>IFERROR(INDEX(MO_RIS_IE_Net,0,COLUMN()),INDEX(MO_RIS_IE,0,COLUMN())+INDEX(MO_RIS_II,0,COLUMN()))</f>
        <v/>
      </c>
      <c r="BO29" s="1970">
        <f>IFERROR(INDEX(MO_RIS_IE_Net,0,COLUMN()),INDEX(MO_RIS_IE,0,COLUMN())+INDEX(MO_RIS_II,0,COLUMN()))</f>
        <v/>
      </c>
      <c r="BP29" s="1301">
        <f>IFERROR(INDEX(MO_RIS_IE_Net,0,COLUMN()),INDEX(MO_RIS_IE,0,COLUMN())+INDEX(MO_RIS_II,0,COLUMN()))</f>
        <v/>
      </c>
      <c r="BQ29" s="1301">
        <f>IFERROR(INDEX(MO_RIS_IE_Net,0,COLUMN()),INDEX(MO_RIS_IE,0,COLUMN())+INDEX(MO_RIS_II,0,COLUMN()))</f>
        <v/>
      </c>
      <c r="BR29" s="1301">
        <f>IFERROR(INDEX(MO_RIS_IE_Net,0,COLUMN()),INDEX(MO_RIS_IE,0,COLUMN())+INDEX(MO_RIS_II,0,COLUMN()))</f>
        <v/>
      </c>
      <c r="BS29" s="1301">
        <f>IFERROR(INDEX(MO_RIS_IE_Net,0,COLUMN()),INDEX(MO_RIS_IE,0,COLUMN())+INDEX(MO_RIS_II,0,COLUMN()))</f>
        <v/>
      </c>
      <c r="BT29" s="1928">
        <f>IFERROR(INDEX(MO_RIS_IE_Net,0,COLUMN()),INDEX(MO_RIS_IE,0,COLUMN())+INDEX(MO_RIS_II,0,COLUMN()))</f>
        <v/>
      </c>
      <c r="BU29" s="1301">
        <f>IFERROR(INDEX(MO_RIS_IE_Net,0,COLUMN()),INDEX(MO_RIS_IE,0,COLUMN())+INDEX(MO_RIS_II,0,COLUMN()))</f>
        <v/>
      </c>
      <c r="BV29" s="1301">
        <f>IFERROR(INDEX(MO_RIS_IE_Net,0,COLUMN()),INDEX(MO_RIS_IE,0,COLUMN())+INDEX(MO_RIS_II,0,COLUMN()))</f>
        <v/>
      </c>
      <c r="BW29" s="1301">
        <f>IFERROR(INDEX(MO_RIS_IE_Net,0,COLUMN()),INDEX(MO_RIS_IE,0,COLUMN())+INDEX(MO_RIS_II,0,COLUMN()))</f>
        <v/>
      </c>
      <c r="BX29" s="1301">
        <f>IFERROR(INDEX(MO_RIS_IE_Net,0,COLUMN()),INDEX(MO_RIS_IE,0,COLUMN())+INDEX(MO_RIS_II,0,COLUMN()))</f>
        <v/>
      </c>
      <c r="BY29" s="1928">
        <f>IFERROR(INDEX(MO_RIS_IE_Net,0,COLUMN()),INDEX(MO_RIS_IE,0,COLUMN())+INDEX(MO_RIS_II,0,COLUMN()))</f>
        <v/>
      </c>
      <c r="BZ29" s="1928">
        <f>IFERROR(INDEX(MO_RIS_IE_Net,0,COLUMN()),INDEX(MO_RIS_IE,0,COLUMN())+INDEX(MO_RIS_II,0,COLUMN()))</f>
        <v/>
      </c>
      <c r="CA29" s="1928">
        <f>IFERROR(INDEX(MO_RIS_IE_Net,0,COLUMN()),INDEX(MO_RIS_IE,0,COLUMN())+INDEX(MO_RIS_II,0,COLUMN()))</f>
        <v/>
      </c>
      <c r="CB29" s="1928">
        <f>IFERROR(INDEX(MO_RIS_IE_Net,0,COLUMN()),INDEX(MO_RIS_IE,0,COLUMN())+INDEX(MO_RIS_II,0,COLUMN()))</f>
        <v/>
      </c>
      <c r="CC29" s="1301" t="n"/>
    </row>
    <row r="30" ht="14.4" customFormat="1" customHeight="1" s="1939">
      <c r="A30" s="1968">
        <f>INDEX(MO_RIS_EI,0,COLUMN())</f>
        <v/>
      </c>
      <c r="B30" s="1969" t="n"/>
      <c r="C30" s="1928">
        <f>INDEX(MO_RIS_EI,0,COLUMN())</f>
        <v/>
      </c>
      <c r="D30" s="1928">
        <f>INDEX(MO_RIS_EI,0,COLUMN())</f>
        <v/>
      </c>
      <c r="E30" s="1928">
        <f>INDEX(MO_RIS_EI,0,COLUMN())</f>
        <v/>
      </c>
      <c r="F30" s="1928">
        <f>INDEX(MO_RIS_EI,0,COLUMN())</f>
        <v/>
      </c>
      <c r="G30" s="1928">
        <f>INDEX(MO_RIS_EI,0,COLUMN())</f>
        <v/>
      </c>
      <c r="H30" s="1301">
        <f>INDEX(MO_RIS_EI,0,COLUMN())</f>
        <v/>
      </c>
      <c r="I30" s="1301">
        <f>INDEX(MO_RIS_EI,0,COLUMN())</f>
        <v/>
      </c>
      <c r="J30" s="1301">
        <f>INDEX(MO_RIS_EI,0,COLUMN())</f>
        <v/>
      </c>
      <c r="K30" s="1301">
        <f>INDEX(MO_RIS_EI,0,COLUMN())</f>
        <v/>
      </c>
      <c r="L30" s="1928">
        <f>INDEX(MO_RIS_EI,0,COLUMN())</f>
        <v/>
      </c>
      <c r="M30" s="1301">
        <f>INDEX(MO_RIS_EI,0,COLUMN())</f>
        <v/>
      </c>
      <c r="N30" s="1301">
        <f>INDEX(MO_RIS_EI,0,COLUMN())</f>
        <v/>
      </c>
      <c r="O30" s="1301">
        <f>INDEX(MO_RIS_EI,0,COLUMN())</f>
        <v/>
      </c>
      <c r="P30" s="1301">
        <f>INDEX(MO_RIS_EI,0,COLUMN())</f>
        <v/>
      </c>
      <c r="Q30" s="1928">
        <f>INDEX(MO_RIS_EI,0,COLUMN())</f>
        <v/>
      </c>
      <c r="R30" s="1301">
        <f>INDEX(MO_RIS_EI,0,COLUMN())</f>
        <v/>
      </c>
      <c r="S30" s="1301">
        <f>INDEX(MO_RIS_EI,0,COLUMN())</f>
        <v/>
      </c>
      <c r="T30" s="1301">
        <f>INDEX(MO_RIS_EI,0,COLUMN())</f>
        <v/>
      </c>
      <c r="U30" s="1301">
        <f>INDEX(MO_RIS_EI,0,COLUMN())</f>
        <v/>
      </c>
      <c r="V30" s="1928">
        <f>INDEX(MO_RIS_EI,0,COLUMN())</f>
        <v/>
      </c>
      <c r="W30" s="1301">
        <f>INDEX(MO_RIS_EI,0,COLUMN())</f>
        <v/>
      </c>
      <c r="X30" s="1301">
        <f>INDEX(MO_RIS_EI,0,COLUMN())</f>
        <v/>
      </c>
      <c r="Y30" s="1301">
        <f>INDEX(MO_RIS_EI,0,COLUMN())</f>
        <v/>
      </c>
      <c r="Z30" s="1301">
        <f>INDEX(MO_RIS_EI,0,COLUMN())</f>
        <v/>
      </c>
      <c r="AA30" s="1928">
        <f>INDEX(MO_RIS_EI,0,COLUMN())</f>
        <v/>
      </c>
      <c r="AB30" s="1301">
        <f>INDEX(MO_RIS_EI,0,COLUMN())</f>
        <v/>
      </c>
      <c r="AC30" s="1301">
        <f>INDEX(MO_RIS_EI,0,COLUMN())</f>
        <v/>
      </c>
      <c r="AD30" s="1301">
        <f>INDEX(MO_RIS_EI,0,COLUMN())</f>
        <v/>
      </c>
      <c r="AE30" s="1301">
        <f>INDEX(MO_RIS_EI,0,COLUMN())</f>
        <v/>
      </c>
      <c r="AF30" s="1928">
        <f>INDEX(MO_RIS_EI,0,COLUMN())</f>
        <v/>
      </c>
      <c r="AG30" s="1301">
        <f>INDEX(MO_RIS_EI,0,COLUMN())</f>
        <v/>
      </c>
      <c r="AH30" s="1301">
        <f>INDEX(MO_RIS_EI,0,COLUMN())</f>
        <v/>
      </c>
      <c r="AI30" s="1301">
        <f>INDEX(MO_RIS_EI,0,COLUMN())</f>
        <v/>
      </c>
      <c r="AJ30" s="1301">
        <f>INDEX(MO_RIS_EI,0,COLUMN())</f>
        <v/>
      </c>
      <c r="AK30" s="1928">
        <f>INDEX(MO_RIS_EI,0,COLUMN())</f>
        <v/>
      </c>
      <c r="AL30" s="1301">
        <f>INDEX(MO_RIS_EI,0,COLUMN())</f>
        <v/>
      </c>
      <c r="AM30" s="1301">
        <f>INDEX(MO_RIS_EI,0,COLUMN())</f>
        <v/>
      </c>
      <c r="AN30" s="1301">
        <f>INDEX(MO_RIS_EI,0,COLUMN())</f>
        <v/>
      </c>
      <c r="AO30" s="1301">
        <f>INDEX(MO_RIS_EI,0,COLUMN())</f>
        <v/>
      </c>
      <c r="AP30" s="1928">
        <f>INDEX(MO_RIS_EI,0,COLUMN())</f>
        <v/>
      </c>
      <c r="AQ30" s="1301">
        <f>INDEX(MO_RIS_EI,0,COLUMN())</f>
        <v/>
      </c>
      <c r="AR30" s="1301">
        <f>INDEX(MO_RIS_EI,0,COLUMN())</f>
        <v/>
      </c>
      <c r="AS30" s="1301">
        <f>INDEX(MO_RIS_EI,0,COLUMN())</f>
        <v/>
      </c>
      <c r="AT30" s="1301">
        <f>INDEX(MO_RIS_EI,0,COLUMN())</f>
        <v/>
      </c>
      <c r="AU30" s="1928">
        <f>INDEX(MO_RIS_EI,0,COLUMN())</f>
        <v/>
      </c>
      <c r="AV30" s="1301">
        <f>INDEX(MO_RIS_EI,0,COLUMN())</f>
        <v/>
      </c>
      <c r="AW30" s="1301">
        <f>INDEX(MO_RIS_EI,0,COLUMN())</f>
        <v/>
      </c>
      <c r="AX30" s="1301">
        <f>INDEX(MO_RIS_EI,0,COLUMN())</f>
        <v/>
      </c>
      <c r="AY30" s="1301">
        <f>INDEX(MO_RIS_EI,0,COLUMN())</f>
        <v/>
      </c>
      <c r="AZ30" s="1928">
        <f>INDEX(MO_RIS_EI,0,COLUMN())</f>
        <v/>
      </c>
      <c r="BA30" s="1301">
        <f>INDEX(MO_RIS_EI,0,COLUMN())</f>
        <v/>
      </c>
      <c r="BB30" s="1301">
        <f>INDEX(MO_RIS_EI,0,COLUMN())</f>
        <v/>
      </c>
      <c r="BC30" s="1301">
        <f>INDEX(MO_RIS_EI,0,COLUMN())</f>
        <v/>
      </c>
      <c r="BD30" s="1301">
        <f>INDEX(MO_RIS_EI,0,COLUMN())</f>
        <v/>
      </c>
      <c r="BE30" s="1928">
        <f>INDEX(MO_RIS_EI,0,COLUMN())</f>
        <v/>
      </c>
      <c r="BF30" s="1301">
        <f>INDEX(MO_RIS_EI,0,COLUMN())</f>
        <v/>
      </c>
      <c r="BG30" s="1301">
        <f>INDEX(MO_RIS_EI,0,COLUMN())</f>
        <v/>
      </c>
      <c r="BH30" s="1301">
        <f>INDEX(MO_RIS_EI,0,COLUMN())</f>
        <v/>
      </c>
      <c r="BI30" s="1301">
        <f>INDEX(MO_RIS_EI,0,COLUMN())</f>
        <v/>
      </c>
      <c r="BJ30" s="1928">
        <f>INDEX(MO_RIS_EI,0,COLUMN())</f>
        <v/>
      </c>
      <c r="BK30" s="1301">
        <f>INDEX(MO_RIS_EI,0,COLUMN())</f>
        <v/>
      </c>
      <c r="BL30" s="1301">
        <f>INDEX(MO_RIS_EI,0,COLUMN())</f>
        <v/>
      </c>
      <c r="BM30" s="1301">
        <f>INDEX(MO_RIS_EI,0,COLUMN())</f>
        <v/>
      </c>
      <c r="BN30" s="1301">
        <f>INDEX(MO_RIS_EI,0,COLUMN())</f>
        <v/>
      </c>
      <c r="BO30" s="1970">
        <f>INDEX(MO_RIS_EI,0,COLUMN())</f>
        <v/>
      </c>
      <c r="BP30" s="1301">
        <f>INDEX(MO_RIS_EI,0,COLUMN())</f>
        <v/>
      </c>
      <c r="BQ30" s="1301">
        <f>INDEX(MO_RIS_EI,0,COLUMN())</f>
        <v/>
      </c>
      <c r="BR30" s="1301">
        <f>INDEX(MO_RIS_EI,0,COLUMN())</f>
        <v/>
      </c>
      <c r="BS30" s="1301">
        <f>INDEX(MO_RIS_EI,0,COLUMN())</f>
        <v/>
      </c>
      <c r="BT30" s="1928">
        <f>INDEX(MO_RIS_EI,0,COLUMN())</f>
        <v/>
      </c>
      <c r="BU30" s="1301">
        <f>INDEX(MO_RIS_EI,0,COLUMN())</f>
        <v/>
      </c>
      <c r="BV30" s="1301">
        <f>INDEX(MO_RIS_EI,0,COLUMN())</f>
        <v/>
      </c>
      <c r="BW30" s="1301">
        <f>INDEX(MO_RIS_EI,0,COLUMN())</f>
        <v/>
      </c>
      <c r="BX30" s="1301">
        <f>INDEX(MO_RIS_EI,0,COLUMN())</f>
        <v/>
      </c>
      <c r="BY30" s="1928">
        <f>INDEX(MO_RIS_EI,0,COLUMN())</f>
        <v/>
      </c>
      <c r="BZ30" s="1928">
        <f>INDEX(MO_RIS_EI,0,COLUMN())</f>
        <v/>
      </c>
      <c r="CA30" s="1928">
        <f>INDEX(MO_RIS_EI,0,COLUMN())</f>
        <v/>
      </c>
      <c r="CB30" s="1928">
        <f>INDEX(MO_RIS_EI,0,COLUMN())</f>
        <v/>
      </c>
      <c r="CC30" s="1301" t="n"/>
    </row>
    <row r="31" ht="14.4" customFormat="1" customHeight="1" s="1939">
      <c r="A31" s="1955" t="inlineStr">
        <is>
          <t>Other Items</t>
        </is>
      </c>
      <c r="B31" s="1971" t="n"/>
      <c r="C31" s="1960">
        <f>INDEX(MO_RIS_OI,0,COLUMN())+INDEX(MO_RIS_OTI,0,COLUMN())</f>
        <v/>
      </c>
      <c r="D31" s="1960">
        <f>INDEX(MO_RIS_OI,0,COLUMN())+INDEX(MO_RIS_OTI,0,COLUMN())</f>
        <v/>
      </c>
      <c r="E31" s="1960">
        <f>INDEX(MO_RIS_OI,0,COLUMN())+INDEX(MO_RIS_OTI,0,COLUMN())</f>
        <v/>
      </c>
      <c r="F31" s="1960">
        <f>INDEX(MO_RIS_OI,0,COLUMN())+INDEX(MO_RIS_OTI,0,COLUMN())</f>
        <v/>
      </c>
      <c r="G31" s="1960">
        <f>INDEX(MO_RIS_OI,0,COLUMN())+INDEX(MO_RIS_OTI,0,COLUMN())</f>
        <v/>
      </c>
      <c r="H31" s="1972">
        <f>INDEX(MO_RIS_OI,0,COLUMN())+INDEX(MO_RIS_OTI,0,COLUMN())</f>
        <v/>
      </c>
      <c r="I31" s="1972">
        <f>INDEX(MO_RIS_OI,0,COLUMN())+INDEX(MO_RIS_OTI,0,COLUMN())</f>
        <v/>
      </c>
      <c r="J31" s="1972">
        <f>INDEX(MO_RIS_OI,0,COLUMN())+INDEX(MO_RIS_OTI,0,COLUMN())</f>
        <v/>
      </c>
      <c r="K31" s="1972">
        <f>INDEX(MO_RIS_OI,0,COLUMN())+INDEX(MO_RIS_OTI,0,COLUMN())</f>
        <v/>
      </c>
      <c r="L31" s="1960">
        <f>INDEX(MO_RIS_OI,0,COLUMN())+INDEX(MO_RIS_OTI,0,COLUMN())</f>
        <v/>
      </c>
      <c r="M31" s="1972">
        <f>INDEX(MO_RIS_OI,0,COLUMN())+INDEX(MO_RIS_OTI,0,COLUMN())</f>
        <v/>
      </c>
      <c r="N31" s="1972">
        <f>INDEX(MO_RIS_OI,0,COLUMN())+INDEX(MO_RIS_OTI,0,COLUMN())</f>
        <v/>
      </c>
      <c r="O31" s="1972">
        <f>INDEX(MO_RIS_OI,0,COLUMN())+INDEX(MO_RIS_OTI,0,COLUMN())</f>
        <v/>
      </c>
      <c r="P31" s="1972">
        <f>INDEX(MO_RIS_OI,0,COLUMN())+INDEX(MO_RIS_OTI,0,COLUMN())</f>
        <v/>
      </c>
      <c r="Q31" s="1960">
        <f>INDEX(MO_RIS_OI,0,COLUMN())+INDEX(MO_RIS_OTI,0,COLUMN())</f>
        <v/>
      </c>
      <c r="R31" s="1972">
        <f>INDEX(MO_RIS_OI,0,COLUMN())+INDEX(MO_RIS_OTI,0,COLUMN())</f>
        <v/>
      </c>
      <c r="S31" s="1972">
        <f>INDEX(MO_RIS_OI,0,COLUMN())+INDEX(MO_RIS_OTI,0,COLUMN())</f>
        <v/>
      </c>
      <c r="T31" s="1972">
        <f>INDEX(MO_RIS_OI,0,COLUMN())+INDEX(MO_RIS_OTI,0,COLUMN())</f>
        <v/>
      </c>
      <c r="U31" s="1972">
        <f>INDEX(MO_RIS_OI,0,COLUMN())+INDEX(MO_RIS_OTI,0,COLUMN())</f>
        <v/>
      </c>
      <c r="V31" s="1960">
        <f>INDEX(MO_RIS_OI,0,COLUMN())+INDEX(MO_RIS_OTI,0,COLUMN())</f>
        <v/>
      </c>
      <c r="W31" s="1972">
        <f>INDEX(MO_RIS_OI,0,COLUMN())+INDEX(MO_RIS_OTI,0,COLUMN())</f>
        <v/>
      </c>
      <c r="X31" s="1972">
        <f>INDEX(MO_RIS_OI,0,COLUMN())+INDEX(MO_RIS_OTI,0,COLUMN())</f>
        <v/>
      </c>
      <c r="Y31" s="1972">
        <f>INDEX(MO_RIS_OI,0,COLUMN())+INDEX(MO_RIS_OTI,0,COLUMN())</f>
        <v/>
      </c>
      <c r="Z31" s="1972">
        <f>INDEX(MO_RIS_OI,0,COLUMN())+INDEX(MO_RIS_OTI,0,COLUMN())</f>
        <v/>
      </c>
      <c r="AA31" s="1960">
        <f>INDEX(MO_RIS_OI,0,COLUMN())+INDEX(MO_RIS_OTI,0,COLUMN())</f>
        <v/>
      </c>
      <c r="AB31" s="1972">
        <f>INDEX(MO_RIS_OI,0,COLUMN())+INDEX(MO_RIS_OTI,0,COLUMN())</f>
        <v/>
      </c>
      <c r="AC31" s="1972">
        <f>INDEX(MO_RIS_OI,0,COLUMN())+INDEX(MO_RIS_OTI,0,COLUMN())</f>
        <v/>
      </c>
      <c r="AD31" s="1972">
        <f>INDEX(MO_RIS_OI,0,COLUMN())+INDEX(MO_RIS_OTI,0,COLUMN())</f>
        <v/>
      </c>
      <c r="AE31" s="1972">
        <f>INDEX(MO_RIS_OI,0,COLUMN())+INDEX(MO_RIS_OTI,0,COLUMN())</f>
        <v/>
      </c>
      <c r="AF31" s="1960">
        <f>INDEX(MO_RIS_OI,0,COLUMN())+INDEX(MO_RIS_OTI,0,COLUMN())</f>
        <v/>
      </c>
      <c r="AG31" s="1972">
        <f>INDEX(MO_RIS_OI,0,COLUMN())+INDEX(MO_RIS_OTI,0,COLUMN())</f>
        <v/>
      </c>
      <c r="AH31" s="1972">
        <f>INDEX(MO_RIS_OI,0,COLUMN())+INDEX(MO_RIS_OTI,0,COLUMN())</f>
        <v/>
      </c>
      <c r="AI31" s="1972">
        <f>INDEX(MO_RIS_OI,0,COLUMN())+INDEX(MO_RIS_OTI,0,COLUMN())</f>
        <v/>
      </c>
      <c r="AJ31" s="1972">
        <f>INDEX(MO_RIS_OI,0,COLUMN())+INDEX(MO_RIS_OTI,0,COLUMN())</f>
        <v/>
      </c>
      <c r="AK31" s="1960">
        <f>INDEX(MO_RIS_OI,0,COLUMN())+INDEX(MO_RIS_OTI,0,COLUMN())</f>
        <v/>
      </c>
      <c r="AL31" s="1972">
        <f>INDEX(MO_RIS_OI,0,COLUMN())+INDEX(MO_RIS_OTI,0,COLUMN())</f>
        <v/>
      </c>
      <c r="AM31" s="1972">
        <f>INDEX(MO_RIS_OI,0,COLUMN())+INDEX(MO_RIS_OTI,0,COLUMN())</f>
        <v/>
      </c>
      <c r="AN31" s="1972">
        <f>INDEX(MO_RIS_OI,0,COLUMN())+INDEX(MO_RIS_OTI,0,COLUMN())</f>
        <v/>
      </c>
      <c r="AO31" s="1972">
        <f>INDEX(MO_RIS_OI,0,COLUMN())+INDEX(MO_RIS_OTI,0,COLUMN())</f>
        <v/>
      </c>
      <c r="AP31" s="1960">
        <f>INDEX(MO_RIS_OI,0,COLUMN())+INDEX(MO_RIS_OTI,0,COLUMN())</f>
        <v/>
      </c>
      <c r="AQ31" s="1972">
        <f>INDEX(MO_RIS_OI,0,COLUMN())+INDEX(MO_RIS_OTI,0,COLUMN())</f>
        <v/>
      </c>
      <c r="AR31" s="1972">
        <f>INDEX(MO_RIS_OI,0,COLUMN())+INDEX(MO_RIS_OTI,0,COLUMN())</f>
        <v/>
      </c>
      <c r="AS31" s="1972">
        <f>INDEX(MO_RIS_OI,0,COLUMN())+INDEX(MO_RIS_OTI,0,COLUMN())</f>
        <v/>
      </c>
      <c r="AT31" s="1972">
        <f>INDEX(MO_RIS_OI,0,COLUMN())+INDEX(MO_RIS_OTI,0,COLUMN())</f>
        <v/>
      </c>
      <c r="AU31" s="1960">
        <f>INDEX(MO_RIS_OI,0,COLUMN())+INDEX(MO_RIS_OTI,0,COLUMN())</f>
        <v/>
      </c>
      <c r="AV31" s="1972">
        <f>INDEX(MO_RIS_OI,0,COLUMN())+INDEX(MO_RIS_OTI,0,COLUMN())</f>
        <v/>
      </c>
      <c r="AW31" s="1972">
        <f>INDEX(MO_RIS_OI,0,COLUMN())+INDEX(MO_RIS_OTI,0,COLUMN())</f>
        <v/>
      </c>
      <c r="AX31" s="1972">
        <f>INDEX(MO_RIS_OI,0,COLUMN())+INDEX(MO_RIS_OTI,0,COLUMN())</f>
        <v/>
      </c>
      <c r="AY31" s="1972">
        <f>INDEX(MO_RIS_OI,0,COLUMN())+INDEX(MO_RIS_OTI,0,COLUMN())</f>
        <v/>
      </c>
      <c r="AZ31" s="1960">
        <f>INDEX(MO_RIS_OI,0,COLUMN())+INDEX(MO_RIS_OTI,0,COLUMN())</f>
        <v/>
      </c>
      <c r="BA31" s="1972">
        <f>INDEX(MO_RIS_OI,0,COLUMN())+INDEX(MO_RIS_OTI,0,COLUMN())</f>
        <v/>
      </c>
      <c r="BB31" s="1972">
        <f>INDEX(MO_RIS_OI,0,COLUMN())+INDEX(MO_RIS_OTI,0,COLUMN())</f>
        <v/>
      </c>
      <c r="BC31" s="1972">
        <f>INDEX(MO_RIS_OI,0,COLUMN())+INDEX(MO_RIS_OTI,0,COLUMN())</f>
        <v/>
      </c>
      <c r="BD31" s="1972">
        <f>INDEX(MO_RIS_OI,0,COLUMN())+INDEX(MO_RIS_OTI,0,COLUMN())</f>
        <v/>
      </c>
      <c r="BE31" s="1960">
        <f>INDEX(MO_RIS_OI,0,COLUMN())+INDEX(MO_RIS_OTI,0,COLUMN())</f>
        <v/>
      </c>
      <c r="BF31" s="1972">
        <f>INDEX(MO_RIS_OI,0,COLUMN())+INDEX(MO_RIS_OTI,0,COLUMN())</f>
        <v/>
      </c>
      <c r="BG31" s="1972">
        <f>INDEX(MO_RIS_OI,0,COLUMN())+INDEX(MO_RIS_OTI,0,COLUMN())</f>
        <v/>
      </c>
      <c r="BH31" s="1972">
        <f>INDEX(MO_RIS_OI,0,COLUMN())+INDEX(MO_RIS_OTI,0,COLUMN())</f>
        <v/>
      </c>
      <c r="BI31" s="1972">
        <f>INDEX(MO_RIS_OI,0,COLUMN())+INDEX(MO_RIS_OTI,0,COLUMN())</f>
        <v/>
      </c>
      <c r="BJ31" s="1960">
        <f>INDEX(MO_RIS_OI,0,COLUMN())+INDEX(MO_RIS_OTI,0,COLUMN())</f>
        <v/>
      </c>
      <c r="BK31" s="1972">
        <f>INDEX(MO_RIS_OI,0,COLUMN())+INDEX(MO_RIS_OTI,0,COLUMN())</f>
        <v/>
      </c>
      <c r="BL31" s="1972">
        <f>INDEX(MO_RIS_OI,0,COLUMN())+INDEX(MO_RIS_OTI,0,COLUMN())</f>
        <v/>
      </c>
      <c r="BM31" s="1972">
        <f>INDEX(MO_RIS_OI,0,COLUMN())+INDEX(MO_RIS_OTI,0,COLUMN())</f>
        <v/>
      </c>
      <c r="BN31" s="1972">
        <f>INDEX(MO_RIS_OI,0,COLUMN())+INDEX(MO_RIS_OTI,0,COLUMN())</f>
        <v/>
      </c>
      <c r="BO31" s="1973">
        <f>INDEX(MO_RIS_OI,0,COLUMN())+INDEX(MO_RIS_OTI,0,COLUMN())</f>
        <v/>
      </c>
      <c r="BP31" s="1972">
        <f>INDEX(MO_RIS_OI,0,COLUMN())+INDEX(MO_RIS_OTI,0,COLUMN())</f>
        <v/>
      </c>
      <c r="BQ31" s="1972">
        <f>INDEX(MO_RIS_OI,0,COLUMN())+INDEX(MO_RIS_OTI,0,COLUMN())</f>
        <v/>
      </c>
      <c r="BR31" s="1972">
        <f>INDEX(MO_RIS_OI,0,COLUMN())+INDEX(MO_RIS_OTI,0,COLUMN())</f>
        <v/>
      </c>
      <c r="BS31" s="1972">
        <f>INDEX(MO_RIS_OI,0,COLUMN())+INDEX(MO_RIS_OTI,0,COLUMN())</f>
        <v/>
      </c>
      <c r="BT31" s="1960">
        <f>INDEX(MO_RIS_OI,0,COLUMN())+INDEX(MO_RIS_OTI,0,COLUMN())</f>
        <v/>
      </c>
      <c r="BU31" s="1972">
        <f>INDEX(MO_RIS_OI,0,COLUMN())+INDEX(MO_RIS_OTI,0,COLUMN())</f>
        <v/>
      </c>
      <c r="BV31" s="1972">
        <f>INDEX(MO_RIS_OI,0,COLUMN())+INDEX(MO_RIS_OTI,0,COLUMN())</f>
        <v/>
      </c>
      <c r="BW31" s="1972">
        <f>INDEX(MO_RIS_OI,0,COLUMN())+INDEX(MO_RIS_OTI,0,COLUMN())</f>
        <v/>
      </c>
      <c r="BX31" s="1972">
        <f>INDEX(MO_RIS_OI,0,COLUMN())+INDEX(MO_RIS_OTI,0,COLUMN())</f>
        <v/>
      </c>
      <c r="BY31" s="1960">
        <f>INDEX(MO_RIS_OI,0,COLUMN())+INDEX(MO_RIS_OTI,0,COLUMN())</f>
        <v/>
      </c>
      <c r="BZ31" s="1960">
        <f>INDEX(MO_RIS_OI,0,COLUMN())+INDEX(MO_RIS_OTI,0,COLUMN())</f>
        <v/>
      </c>
      <c r="CA31" s="1960">
        <f>INDEX(MO_RIS_OI,0,COLUMN())+INDEX(MO_RIS_OTI,0,COLUMN())</f>
        <v/>
      </c>
      <c r="CB31" s="1960">
        <f>INDEX(MO_RIS_OI,0,COLUMN())+INDEX(MO_RIS_OTI,0,COLUMN())</f>
        <v/>
      </c>
      <c r="CC31" s="1301" t="n"/>
    </row>
    <row r="32" ht="14.4" customFormat="1" customHeight="1" s="1974">
      <c r="A32" s="2003">
        <f>INDEX(MO_RIS_EBT,0,COLUMN())</f>
        <v/>
      </c>
      <c r="B32" s="2004" t="n"/>
      <c r="C32" s="2005">
        <f>INDEX(SP_GF_EBIT,0,COLUMN())-INDEX(SP_GF_IE,0,COLUMN())-INDEX(SP_GF_OI,0,COLUMN())-INDEX(SP_GF_EI,0,COLUMN())</f>
        <v/>
      </c>
      <c r="D32" s="2005">
        <f>INDEX(SP_GF_EBIT,0,COLUMN())-INDEX(SP_GF_IE,0,COLUMN())-INDEX(SP_GF_OI,0,COLUMN())-INDEX(SP_GF_EI,0,COLUMN())</f>
        <v/>
      </c>
      <c r="E32" s="2005">
        <f>INDEX(SP_GF_EBIT,0,COLUMN())-INDEX(SP_GF_IE,0,COLUMN())-INDEX(SP_GF_OI,0,COLUMN())-INDEX(SP_GF_EI,0,COLUMN())</f>
        <v/>
      </c>
      <c r="F32" s="2005">
        <f>INDEX(SP_GF_EBIT,0,COLUMN())-INDEX(SP_GF_IE,0,COLUMN())-INDEX(SP_GF_OI,0,COLUMN())-INDEX(SP_GF_EI,0,COLUMN())</f>
        <v/>
      </c>
      <c r="G32" s="2005">
        <f>INDEX(SP_GF_EBIT,0,COLUMN())-INDEX(SP_GF_IE,0,COLUMN())-INDEX(SP_GF_OI,0,COLUMN())-INDEX(SP_GF_EI,0,COLUMN())</f>
        <v/>
      </c>
      <c r="H32" s="2006">
        <f>INDEX(SP_GF_EBIT,0,COLUMN())-INDEX(SP_GF_IE,0,COLUMN())-INDEX(SP_GF_OI,0,COLUMN())-INDEX(SP_GF_EI,0,COLUMN())</f>
        <v/>
      </c>
      <c r="I32" s="2006">
        <f>INDEX(SP_GF_EBIT,0,COLUMN())-INDEX(SP_GF_IE,0,COLUMN())-INDEX(SP_GF_OI,0,COLUMN())-INDEX(SP_GF_EI,0,COLUMN())</f>
        <v/>
      </c>
      <c r="J32" s="2006">
        <f>INDEX(SP_GF_EBIT,0,COLUMN())-INDEX(SP_GF_IE,0,COLUMN())-INDEX(SP_GF_OI,0,COLUMN())-INDEX(SP_GF_EI,0,COLUMN())</f>
        <v/>
      </c>
      <c r="K32" s="2006">
        <f>INDEX(SP_GF_EBIT,0,COLUMN())-INDEX(SP_GF_IE,0,COLUMN())-INDEX(SP_GF_OI,0,COLUMN())-INDEX(SP_GF_EI,0,COLUMN())</f>
        <v/>
      </c>
      <c r="L32" s="2005">
        <f>INDEX(SP_GF_EBIT,0,COLUMN())-INDEX(SP_GF_IE,0,COLUMN())-INDEX(SP_GF_OI,0,COLUMN())-INDEX(SP_GF_EI,0,COLUMN())</f>
        <v/>
      </c>
      <c r="M32" s="2006">
        <f>INDEX(SP_GF_EBIT,0,COLUMN())-INDEX(SP_GF_IE,0,COLUMN())-INDEX(SP_GF_OI,0,COLUMN())-INDEX(SP_GF_EI,0,COLUMN())</f>
        <v/>
      </c>
      <c r="N32" s="2006">
        <f>INDEX(SP_GF_EBIT,0,COLUMN())-INDEX(SP_GF_IE,0,COLUMN())-INDEX(SP_GF_OI,0,COLUMN())-INDEX(SP_GF_EI,0,COLUMN())</f>
        <v/>
      </c>
      <c r="O32" s="2006">
        <f>INDEX(SP_GF_EBIT,0,COLUMN())-INDEX(SP_GF_IE,0,COLUMN())-INDEX(SP_GF_OI,0,COLUMN())-INDEX(SP_GF_EI,0,COLUMN())</f>
        <v/>
      </c>
      <c r="P32" s="2006">
        <f>INDEX(SP_GF_EBIT,0,COLUMN())-INDEX(SP_GF_IE,0,COLUMN())-INDEX(SP_GF_OI,0,COLUMN())-INDEX(SP_GF_EI,0,COLUMN())</f>
        <v/>
      </c>
      <c r="Q32" s="2005">
        <f>INDEX(SP_GF_EBIT,0,COLUMN())-INDEX(SP_GF_IE,0,COLUMN())-INDEX(SP_GF_OI,0,COLUMN())-INDEX(SP_GF_EI,0,COLUMN())</f>
        <v/>
      </c>
      <c r="R32" s="2006">
        <f>INDEX(SP_GF_EBIT,0,COLUMN())-INDEX(SP_GF_IE,0,COLUMN())-INDEX(SP_GF_OI,0,COLUMN())-INDEX(SP_GF_EI,0,COLUMN())</f>
        <v/>
      </c>
      <c r="S32" s="2006">
        <f>INDEX(SP_GF_EBIT,0,COLUMN())-INDEX(SP_GF_IE,0,COLUMN())-INDEX(SP_GF_OI,0,COLUMN())-INDEX(SP_GF_EI,0,COLUMN())</f>
        <v/>
      </c>
      <c r="T32" s="2006">
        <f>INDEX(SP_GF_EBIT,0,COLUMN())-INDEX(SP_GF_IE,0,COLUMN())-INDEX(SP_GF_OI,0,COLUMN())-INDEX(SP_GF_EI,0,COLUMN())</f>
        <v/>
      </c>
      <c r="U32" s="2006">
        <f>INDEX(SP_GF_EBIT,0,COLUMN())-INDEX(SP_GF_IE,0,COLUMN())-INDEX(SP_GF_OI,0,COLUMN())-INDEX(SP_GF_EI,0,COLUMN())</f>
        <v/>
      </c>
      <c r="V32" s="2005">
        <f>INDEX(SP_GF_EBIT,0,COLUMN())-INDEX(SP_GF_IE,0,COLUMN())-INDEX(SP_GF_OI,0,COLUMN())-INDEX(SP_GF_EI,0,COLUMN())</f>
        <v/>
      </c>
      <c r="W32" s="2006">
        <f>INDEX(SP_GF_EBIT,0,COLUMN())-INDEX(SP_GF_IE,0,COLUMN())-INDEX(SP_GF_OI,0,COLUMN())-INDEX(SP_GF_EI,0,COLUMN())</f>
        <v/>
      </c>
      <c r="X32" s="2006">
        <f>INDEX(SP_GF_EBIT,0,COLUMN())-INDEX(SP_GF_IE,0,COLUMN())-INDEX(SP_GF_OI,0,COLUMN())-INDEX(SP_GF_EI,0,COLUMN())</f>
        <v/>
      </c>
      <c r="Y32" s="2006">
        <f>INDEX(SP_GF_EBIT,0,COLUMN())-INDEX(SP_GF_IE,0,COLUMN())-INDEX(SP_GF_OI,0,COLUMN())-INDEX(SP_GF_EI,0,COLUMN())</f>
        <v/>
      </c>
      <c r="Z32" s="2006">
        <f>INDEX(SP_GF_EBIT,0,COLUMN())-INDEX(SP_GF_IE,0,COLUMN())-INDEX(SP_GF_OI,0,COLUMN())-INDEX(SP_GF_EI,0,COLUMN())</f>
        <v/>
      </c>
      <c r="AA32" s="2005">
        <f>INDEX(SP_GF_EBIT,0,COLUMN())-INDEX(SP_GF_IE,0,COLUMN())-INDEX(SP_GF_OI,0,COLUMN())-INDEX(SP_GF_EI,0,COLUMN())</f>
        <v/>
      </c>
      <c r="AB32" s="2006">
        <f>INDEX(SP_GF_EBIT,0,COLUMN())-INDEX(SP_GF_IE,0,COLUMN())-INDEX(SP_GF_OI,0,COLUMN())-INDEX(SP_GF_EI,0,COLUMN())</f>
        <v/>
      </c>
      <c r="AC32" s="2006">
        <f>INDEX(SP_GF_EBIT,0,COLUMN())-INDEX(SP_GF_IE,0,COLUMN())-INDEX(SP_GF_OI,0,COLUMN())-INDEX(SP_GF_EI,0,COLUMN())</f>
        <v/>
      </c>
      <c r="AD32" s="2006">
        <f>INDEX(SP_GF_EBIT,0,COLUMN())-INDEX(SP_GF_IE,0,COLUMN())-INDEX(SP_GF_OI,0,COLUMN())-INDEX(SP_GF_EI,0,COLUMN())</f>
        <v/>
      </c>
      <c r="AE32" s="2006">
        <f>INDEX(SP_GF_EBIT,0,COLUMN())-INDEX(SP_GF_IE,0,COLUMN())-INDEX(SP_GF_OI,0,COLUMN())-INDEX(SP_GF_EI,0,COLUMN())</f>
        <v/>
      </c>
      <c r="AF32" s="2005">
        <f>INDEX(SP_GF_EBIT,0,COLUMN())-INDEX(SP_GF_IE,0,COLUMN())-INDEX(SP_GF_OI,0,COLUMN())-INDEX(SP_GF_EI,0,COLUMN())</f>
        <v/>
      </c>
      <c r="AG32" s="2006">
        <f>INDEX(SP_GF_EBIT,0,COLUMN())-INDEX(SP_GF_IE,0,COLUMN())-INDEX(SP_GF_OI,0,COLUMN())-INDEX(SP_GF_EI,0,COLUMN())</f>
        <v/>
      </c>
      <c r="AH32" s="2006">
        <f>INDEX(SP_GF_EBIT,0,COLUMN())-INDEX(SP_GF_IE,0,COLUMN())-INDEX(SP_GF_OI,0,COLUMN())-INDEX(SP_GF_EI,0,COLUMN())</f>
        <v/>
      </c>
      <c r="AI32" s="2006">
        <f>INDEX(SP_GF_EBIT,0,COLUMN())-INDEX(SP_GF_IE,0,COLUMN())-INDEX(SP_GF_OI,0,COLUMN())-INDEX(SP_GF_EI,0,COLUMN())</f>
        <v/>
      </c>
      <c r="AJ32" s="2006">
        <f>INDEX(SP_GF_EBIT,0,COLUMN())-INDEX(SP_GF_IE,0,COLUMN())-INDEX(SP_GF_OI,0,COLUMN())-INDEX(SP_GF_EI,0,COLUMN())</f>
        <v/>
      </c>
      <c r="AK32" s="2005">
        <f>INDEX(SP_GF_EBIT,0,COLUMN())-INDEX(SP_GF_IE,0,COLUMN())-INDEX(SP_GF_OI,0,COLUMN())-INDEX(SP_GF_EI,0,COLUMN())</f>
        <v/>
      </c>
      <c r="AL32" s="2006">
        <f>INDEX(SP_GF_EBIT,0,COLUMN())-INDEX(SP_GF_IE,0,COLUMN())-INDEX(SP_GF_OI,0,COLUMN())-INDEX(SP_GF_EI,0,COLUMN())</f>
        <v/>
      </c>
      <c r="AM32" s="2006">
        <f>INDEX(SP_GF_EBIT,0,COLUMN())-INDEX(SP_GF_IE,0,COLUMN())-INDEX(SP_GF_OI,0,COLUMN())-INDEX(SP_GF_EI,0,COLUMN())</f>
        <v/>
      </c>
      <c r="AN32" s="2006">
        <f>INDEX(SP_GF_EBIT,0,COLUMN())-INDEX(SP_GF_IE,0,COLUMN())-INDEX(SP_GF_OI,0,COLUMN())-INDEX(SP_GF_EI,0,COLUMN())</f>
        <v/>
      </c>
      <c r="AO32" s="2006">
        <f>INDEX(SP_GF_EBIT,0,COLUMN())-INDEX(SP_GF_IE,0,COLUMN())-INDEX(SP_GF_OI,0,COLUMN())-INDEX(SP_GF_EI,0,COLUMN())</f>
        <v/>
      </c>
      <c r="AP32" s="2005">
        <f>INDEX(SP_GF_EBIT,0,COLUMN())-INDEX(SP_GF_IE,0,COLUMN())-INDEX(SP_GF_OI,0,COLUMN())-INDEX(SP_GF_EI,0,COLUMN())</f>
        <v/>
      </c>
      <c r="AQ32" s="2006">
        <f>INDEX(SP_GF_EBIT,0,COLUMN())-INDEX(SP_GF_IE,0,COLUMN())-INDEX(SP_GF_OI,0,COLUMN())-INDEX(SP_GF_EI,0,COLUMN())</f>
        <v/>
      </c>
      <c r="AR32" s="2006">
        <f>INDEX(SP_GF_EBIT,0,COLUMN())-INDEX(SP_GF_IE,0,COLUMN())-INDEX(SP_GF_OI,0,COLUMN())-INDEX(SP_GF_EI,0,COLUMN())</f>
        <v/>
      </c>
      <c r="AS32" s="2006">
        <f>INDEX(SP_GF_EBIT,0,COLUMN())-INDEX(SP_GF_IE,0,COLUMN())-INDEX(SP_GF_OI,0,COLUMN())-INDEX(SP_GF_EI,0,COLUMN())</f>
        <v/>
      </c>
      <c r="AT32" s="2006">
        <f>INDEX(SP_GF_EBIT,0,COLUMN())-INDEX(SP_GF_IE,0,COLUMN())-INDEX(SP_GF_OI,0,COLUMN())-INDEX(SP_GF_EI,0,COLUMN())</f>
        <v/>
      </c>
      <c r="AU32" s="2005">
        <f>INDEX(SP_GF_EBIT,0,COLUMN())-INDEX(SP_GF_IE,0,COLUMN())-INDEX(SP_GF_OI,0,COLUMN())-INDEX(SP_GF_EI,0,COLUMN())</f>
        <v/>
      </c>
      <c r="AV32" s="2006">
        <f>INDEX(SP_GF_EBIT,0,COLUMN())-INDEX(SP_GF_IE,0,COLUMN())-INDEX(SP_GF_OI,0,COLUMN())-INDEX(SP_GF_EI,0,COLUMN())</f>
        <v/>
      </c>
      <c r="AW32" s="2006">
        <f>INDEX(SP_GF_EBIT,0,COLUMN())-INDEX(SP_GF_IE,0,COLUMN())-INDEX(SP_GF_OI,0,COLUMN())-INDEX(SP_GF_EI,0,COLUMN())</f>
        <v/>
      </c>
      <c r="AX32" s="2006">
        <f>INDEX(SP_GF_EBIT,0,COLUMN())-INDEX(SP_GF_IE,0,COLUMN())-INDEX(SP_GF_OI,0,COLUMN())-INDEX(SP_GF_EI,0,COLUMN())</f>
        <v/>
      </c>
      <c r="AY32" s="2006">
        <f>INDEX(SP_GF_EBIT,0,COLUMN())-INDEX(SP_GF_IE,0,COLUMN())-INDEX(SP_GF_OI,0,COLUMN())-INDEX(SP_GF_EI,0,COLUMN())</f>
        <v/>
      </c>
      <c r="AZ32" s="2005">
        <f>INDEX(SP_GF_EBIT,0,COLUMN())-INDEX(SP_GF_IE,0,COLUMN())-INDEX(SP_GF_OI,0,COLUMN())-INDEX(SP_GF_EI,0,COLUMN())</f>
        <v/>
      </c>
      <c r="BA32" s="2006">
        <f>INDEX(SP_GF_EBIT,0,COLUMN())-INDEX(SP_GF_IE,0,COLUMN())-INDEX(SP_GF_OI,0,COLUMN())-INDEX(SP_GF_EI,0,COLUMN())</f>
        <v/>
      </c>
      <c r="BB32" s="2006">
        <f>INDEX(SP_GF_EBIT,0,COLUMN())-INDEX(SP_GF_IE,0,COLUMN())-INDEX(SP_GF_OI,0,COLUMN())-INDEX(SP_GF_EI,0,COLUMN())</f>
        <v/>
      </c>
      <c r="BC32" s="2006">
        <f>INDEX(SP_GF_EBIT,0,COLUMN())-INDEX(SP_GF_IE,0,COLUMN())-INDEX(SP_GF_OI,0,COLUMN())-INDEX(SP_GF_EI,0,COLUMN())</f>
        <v/>
      </c>
      <c r="BD32" s="2006">
        <f>INDEX(SP_GF_EBIT,0,COLUMN())-INDEX(SP_GF_IE,0,COLUMN())-INDEX(SP_GF_OI,0,COLUMN())-INDEX(SP_GF_EI,0,COLUMN())</f>
        <v/>
      </c>
      <c r="BE32" s="2005">
        <f>INDEX(SP_GF_EBIT,0,COLUMN())-INDEX(SP_GF_IE,0,COLUMN())-INDEX(SP_GF_OI,0,COLUMN())-INDEX(SP_GF_EI,0,COLUMN())</f>
        <v/>
      </c>
      <c r="BF32" s="2006">
        <f>INDEX(SP_GF_EBIT,0,COLUMN())-INDEX(SP_GF_IE,0,COLUMN())-INDEX(SP_GF_OI,0,COLUMN())-INDEX(SP_GF_EI,0,COLUMN())</f>
        <v/>
      </c>
      <c r="BG32" s="2006">
        <f>INDEX(SP_GF_EBIT,0,COLUMN())-INDEX(SP_GF_IE,0,COLUMN())-INDEX(SP_GF_OI,0,COLUMN())-INDEX(SP_GF_EI,0,COLUMN())</f>
        <v/>
      </c>
      <c r="BH32" s="2006">
        <f>INDEX(SP_GF_EBIT,0,COLUMN())-INDEX(SP_GF_IE,0,COLUMN())-INDEX(SP_GF_OI,0,COLUMN())-INDEX(SP_GF_EI,0,COLUMN())</f>
        <v/>
      </c>
      <c r="BI32" s="2006">
        <f>INDEX(SP_GF_EBIT,0,COLUMN())-INDEX(SP_GF_IE,0,COLUMN())-INDEX(SP_GF_OI,0,COLUMN())-INDEX(SP_GF_EI,0,COLUMN())</f>
        <v/>
      </c>
      <c r="BJ32" s="2005">
        <f>INDEX(SP_GF_EBIT,0,COLUMN())-INDEX(SP_GF_IE,0,COLUMN())-INDEX(SP_GF_OI,0,COLUMN())-INDEX(SP_GF_EI,0,COLUMN())</f>
        <v/>
      </c>
      <c r="BK32" s="2006">
        <f>INDEX(SP_GF_EBIT,0,COLUMN())-INDEX(SP_GF_IE,0,COLUMN())-INDEX(SP_GF_OI,0,COLUMN())-INDEX(SP_GF_EI,0,COLUMN())</f>
        <v/>
      </c>
      <c r="BL32" s="2006">
        <f>INDEX(SP_GF_EBIT,0,COLUMN())-INDEX(SP_GF_IE,0,COLUMN())-INDEX(SP_GF_OI,0,COLUMN())-INDEX(SP_GF_EI,0,COLUMN())</f>
        <v/>
      </c>
      <c r="BM32" s="2006">
        <f>INDEX(SP_GF_EBIT,0,COLUMN())-INDEX(SP_GF_IE,0,COLUMN())-INDEX(SP_GF_OI,0,COLUMN())-INDEX(SP_GF_EI,0,COLUMN())</f>
        <v/>
      </c>
      <c r="BN32" s="2006">
        <f>INDEX(SP_GF_EBIT,0,COLUMN())-INDEX(SP_GF_IE,0,COLUMN())-INDEX(SP_GF_OI,0,COLUMN())-INDEX(SP_GF_EI,0,COLUMN())</f>
        <v/>
      </c>
      <c r="BO32" s="2007">
        <f>INDEX(SP_GF_EBIT,0,COLUMN())-INDEX(SP_GF_IE,0,COLUMN())-INDEX(SP_GF_OI,0,COLUMN())-INDEX(SP_GF_EI,0,COLUMN())</f>
        <v/>
      </c>
      <c r="BP32" s="2006">
        <f>INDEX(SP_GF_EBIT,0,COLUMN())-INDEX(SP_GF_IE,0,COLUMN())-INDEX(SP_GF_OI,0,COLUMN())-INDEX(SP_GF_EI,0,COLUMN())</f>
        <v/>
      </c>
      <c r="BQ32" s="2006">
        <f>INDEX(SP_GF_EBIT,0,COLUMN())-INDEX(SP_GF_IE,0,COLUMN())-INDEX(SP_GF_OI,0,COLUMN())-INDEX(SP_GF_EI,0,COLUMN())</f>
        <v/>
      </c>
      <c r="BR32" s="2006">
        <f>INDEX(SP_GF_EBIT,0,COLUMN())-INDEX(SP_GF_IE,0,COLUMN())-INDEX(SP_GF_OI,0,COLUMN())-INDEX(SP_GF_EI,0,COLUMN())</f>
        <v/>
      </c>
      <c r="BS32" s="2006">
        <f>INDEX(SP_GF_EBIT,0,COLUMN())-INDEX(SP_GF_IE,0,COLUMN())-INDEX(SP_GF_OI,0,COLUMN())-INDEX(SP_GF_EI,0,COLUMN())</f>
        <v/>
      </c>
      <c r="BT32" s="2005">
        <f>INDEX(SP_GF_EBIT,0,COLUMN())-INDEX(SP_GF_IE,0,COLUMN())-INDEX(SP_GF_OI,0,COLUMN())-INDEX(SP_GF_EI,0,COLUMN())</f>
        <v/>
      </c>
      <c r="BU32" s="2006">
        <f>INDEX(SP_GF_EBIT,0,COLUMN())-INDEX(SP_GF_IE,0,COLUMN())-INDEX(SP_GF_OI,0,COLUMN())-INDEX(SP_GF_EI,0,COLUMN())</f>
        <v/>
      </c>
      <c r="BV32" s="2006">
        <f>INDEX(SP_GF_EBIT,0,COLUMN())-INDEX(SP_GF_IE,0,COLUMN())-INDEX(SP_GF_OI,0,COLUMN())-INDEX(SP_GF_EI,0,COLUMN())</f>
        <v/>
      </c>
      <c r="BW32" s="2006">
        <f>INDEX(SP_GF_EBIT,0,COLUMN())-INDEX(SP_GF_IE,0,COLUMN())-INDEX(SP_GF_OI,0,COLUMN())-INDEX(SP_GF_EI,0,COLUMN())</f>
        <v/>
      </c>
      <c r="BX32" s="2006">
        <f>INDEX(SP_GF_EBIT,0,COLUMN())-INDEX(SP_GF_IE,0,COLUMN())-INDEX(SP_GF_OI,0,COLUMN())-INDEX(SP_GF_EI,0,COLUMN())</f>
        <v/>
      </c>
      <c r="BY32" s="2005">
        <f>INDEX(SP_GF_EBIT,0,COLUMN())-INDEX(SP_GF_IE,0,COLUMN())-INDEX(SP_GF_OI,0,COLUMN())-INDEX(SP_GF_EI,0,COLUMN())</f>
        <v/>
      </c>
      <c r="BZ32" s="2005">
        <f>INDEX(SP_GF_EBIT,0,COLUMN())-INDEX(SP_GF_IE,0,COLUMN())-INDEX(SP_GF_OI,0,COLUMN())-INDEX(SP_GF_EI,0,COLUMN())</f>
        <v/>
      </c>
      <c r="CA32" s="2005">
        <f>INDEX(SP_GF_EBIT,0,COLUMN())-INDEX(SP_GF_IE,0,COLUMN())-INDEX(SP_GF_OI,0,COLUMN())-INDEX(SP_GF_EI,0,COLUMN())</f>
        <v/>
      </c>
      <c r="CB32" s="2005">
        <f>INDEX(SP_GF_EBIT,0,COLUMN())-INDEX(SP_GF_IE,0,COLUMN())-INDEX(SP_GF_OI,0,COLUMN())-INDEX(SP_GF_EI,0,COLUMN())</f>
        <v/>
      </c>
      <c r="CC32" s="1977" t="n"/>
    </row>
    <row r="33" ht="14.4" customFormat="1" customHeight="1" s="1939">
      <c r="A33" s="1968" t="inlineStr">
        <is>
          <t>Tax</t>
        </is>
      </c>
      <c r="B33" s="1969" t="n"/>
      <c r="C33" s="1928">
        <f>INDEX(MO_RIS_Tax_Current,0,COLUMN())+INDEX(MO_RIS_Tax_Deferred,0,COLUMN())</f>
        <v/>
      </c>
      <c r="D33" s="1928">
        <f>INDEX(MO_RIS_Tax_Current,0,COLUMN())+INDEX(MO_RIS_Tax_Deferred,0,COLUMN())</f>
        <v/>
      </c>
      <c r="E33" s="1928">
        <f>INDEX(MO_RIS_Tax_Current,0,COLUMN())+INDEX(MO_RIS_Tax_Deferred,0,COLUMN())</f>
        <v/>
      </c>
      <c r="F33" s="1928">
        <f>INDEX(MO_RIS_Tax_Current,0,COLUMN())+INDEX(MO_RIS_Tax_Deferred,0,COLUMN())</f>
        <v/>
      </c>
      <c r="G33" s="1928">
        <f>INDEX(MO_RIS_Tax_Current,0,COLUMN())+INDEX(MO_RIS_Tax_Deferred,0,COLUMN())</f>
        <v/>
      </c>
      <c r="H33" s="1301">
        <f>INDEX(MO_RIS_Tax_Current,0,COLUMN())+INDEX(MO_RIS_Tax_Deferred,0,COLUMN())</f>
        <v/>
      </c>
      <c r="I33" s="1301">
        <f>INDEX(MO_RIS_Tax_Current,0,COLUMN())+INDEX(MO_RIS_Tax_Deferred,0,COLUMN())</f>
        <v/>
      </c>
      <c r="J33" s="1301">
        <f>INDEX(MO_RIS_Tax_Current,0,COLUMN())+INDEX(MO_RIS_Tax_Deferred,0,COLUMN())</f>
        <v/>
      </c>
      <c r="K33" s="1301">
        <f>INDEX(MO_RIS_Tax_Current,0,COLUMN())+INDEX(MO_RIS_Tax_Deferred,0,COLUMN())</f>
        <v/>
      </c>
      <c r="L33" s="1928">
        <f>INDEX(MO_RIS_Tax_Current,0,COLUMN())+INDEX(MO_RIS_Tax_Deferred,0,COLUMN())</f>
        <v/>
      </c>
      <c r="M33" s="1301">
        <f>INDEX(MO_RIS_Tax_Current,0,COLUMN())+INDEX(MO_RIS_Tax_Deferred,0,COLUMN())</f>
        <v/>
      </c>
      <c r="N33" s="1301">
        <f>INDEX(MO_RIS_Tax_Current,0,COLUMN())+INDEX(MO_RIS_Tax_Deferred,0,COLUMN())</f>
        <v/>
      </c>
      <c r="O33" s="1301">
        <f>INDEX(MO_RIS_Tax_Current,0,COLUMN())+INDEX(MO_RIS_Tax_Deferred,0,COLUMN())</f>
        <v/>
      </c>
      <c r="P33" s="1301">
        <f>INDEX(MO_RIS_Tax_Current,0,COLUMN())+INDEX(MO_RIS_Tax_Deferred,0,COLUMN())</f>
        <v/>
      </c>
      <c r="Q33" s="1928">
        <f>INDEX(MO_RIS_Tax_Current,0,COLUMN())+INDEX(MO_RIS_Tax_Deferred,0,COLUMN())</f>
        <v/>
      </c>
      <c r="R33" s="1301">
        <f>INDEX(MO_RIS_Tax_Current,0,COLUMN())+INDEX(MO_RIS_Tax_Deferred,0,COLUMN())</f>
        <v/>
      </c>
      <c r="S33" s="1301">
        <f>INDEX(MO_RIS_Tax_Current,0,COLUMN())+INDEX(MO_RIS_Tax_Deferred,0,COLUMN())</f>
        <v/>
      </c>
      <c r="T33" s="1301">
        <f>INDEX(MO_RIS_Tax_Current,0,COLUMN())+INDEX(MO_RIS_Tax_Deferred,0,COLUMN())</f>
        <v/>
      </c>
      <c r="U33" s="1301">
        <f>INDEX(MO_RIS_Tax_Current,0,COLUMN())+INDEX(MO_RIS_Tax_Deferred,0,COLUMN())</f>
        <v/>
      </c>
      <c r="V33" s="1928">
        <f>INDEX(MO_RIS_Tax_Current,0,COLUMN())+INDEX(MO_RIS_Tax_Deferred,0,COLUMN())</f>
        <v/>
      </c>
      <c r="W33" s="1301">
        <f>INDEX(MO_RIS_Tax_Current,0,COLUMN())+INDEX(MO_RIS_Tax_Deferred,0,COLUMN())</f>
        <v/>
      </c>
      <c r="X33" s="1301">
        <f>INDEX(MO_RIS_Tax_Current,0,COLUMN())+INDEX(MO_RIS_Tax_Deferred,0,COLUMN())</f>
        <v/>
      </c>
      <c r="Y33" s="1301">
        <f>INDEX(MO_RIS_Tax_Current,0,COLUMN())+INDEX(MO_RIS_Tax_Deferred,0,COLUMN())</f>
        <v/>
      </c>
      <c r="Z33" s="1301">
        <f>INDEX(MO_RIS_Tax_Current,0,COLUMN())+INDEX(MO_RIS_Tax_Deferred,0,COLUMN())</f>
        <v/>
      </c>
      <c r="AA33" s="1928">
        <f>INDEX(MO_RIS_Tax_Current,0,COLUMN())+INDEX(MO_RIS_Tax_Deferred,0,COLUMN())</f>
        <v/>
      </c>
      <c r="AB33" s="1301">
        <f>INDEX(MO_RIS_Tax_Current,0,COLUMN())+INDEX(MO_RIS_Tax_Deferred,0,COLUMN())</f>
        <v/>
      </c>
      <c r="AC33" s="1301">
        <f>INDEX(MO_RIS_Tax_Current,0,COLUMN())+INDEX(MO_RIS_Tax_Deferred,0,COLUMN())</f>
        <v/>
      </c>
      <c r="AD33" s="1301">
        <f>INDEX(MO_RIS_Tax_Current,0,COLUMN())+INDEX(MO_RIS_Tax_Deferred,0,COLUMN())</f>
        <v/>
      </c>
      <c r="AE33" s="1301">
        <f>INDEX(MO_RIS_Tax_Current,0,COLUMN())+INDEX(MO_RIS_Tax_Deferred,0,COLUMN())</f>
        <v/>
      </c>
      <c r="AF33" s="1928">
        <f>INDEX(MO_RIS_Tax_Current,0,COLUMN())+INDEX(MO_RIS_Tax_Deferred,0,COLUMN())</f>
        <v/>
      </c>
      <c r="AG33" s="1301">
        <f>INDEX(MO_RIS_Tax_Current,0,COLUMN())+INDEX(MO_RIS_Tax_Deferred,0,COLUMN())</f>
        <v/>
      </c>
      <c r="AH33" s="1301">
        <f>INDEX(MO_RIS_Tax_Current,0,COLUMN())+INDEX(MO_RIS_Tax_Deferred,0,COLUMN())</f>
        <v/>
      </c>
      <c r="AI33" s="1301">
        <f>INDEX(MO_RIS_Tax_Current,0,COLUMN())+INDEX(MO_RIS_Tax_Deferred,0,COLUMN())</f>
        <v/>
      </c>
      <c r="AJ33" s="1301">
        <f>INDEX(MO_RIS_Tax_Current,0,COLUMN())+INDEX(MO_RIS_Tax_Deferred,0,COLUMN())</f>
        <v/>
      </c>
      <c r="AK33" s="1928">
        <f>INDEX(MO_RIS_Tax_Current,0,COLUMN())+INDEX(MO_RIS_Tax_Deferred,0,COLUMN())</f>
        <v/>
      </c>
      <c r="AL33" s="1301">
        <f>INDEX(MO_RIS_Tax_Current,0,COLUMN())+INDEX(MO_RIS_Tax_Deferred,0,COLUMN())</f>
        <v/>
      </c>
      <c r="AM33" s="1301">
        <f>INDEX(MO_RIS_Tax_Current,0,COLUMN())+INDEX(MO_RIS_Tax_Deferred,0,COLUMN())</f>
        <v/>
      </c>
      <c r="AN33" s="1301">
        <f>INDEX(MO_RIS_Tax_Current,0,COLUMN())+INDEX(MO_RIS_Tax_Deferred,0,COLUMN())</f>
        <v/>
      </c>
      <c r="AO33" s="1301">
        <f>INDEX(MO_RIS_Tax_Current,0,COLUMN())+INDEX(MO_RIS_Tax_Deferred,0,COLUMN())</f>
        <v/>
      </c>
      <c r="AP33" s="1928">
        <f>INDEX(MO_RIS_Tax_Current,0,COLUMN())+INDEX(MO_RIS_Tax_Deferred,0,COLUMN())</f>
        <v/>
      </c>
      <c r="AQ33" s="1301">
        <f>INDEX(MO_RIS_Tax_Current,0,COLUMN())+INDEX(MO_RIS_Tax_Deferred,0,COLUMN())</f>
        <v/>
      </c>
      <c r="AR33" s="1301">
        <f>INDEX(MO_RIS_Tax_Current,0,COLUMN())+INDEX(MO_RIS_Tax_Deferred,0,COLUMN())</f>
        <v/>
      </c>
      <c r="AS33" s="1301">
        <f>INDEX(MO_RIS_Tax_Current,0,COLUMN())+INDEX(MO_RIS_Tax_Deferred,0,COLUMN())</f>
        <v/>
      </c>
      <c r="AT33" s="1301">
        <f>INDEX(MO_RIS_Tax_Current,0,COLUMN())+INDEX(MO_RIS_Tax_Deferred,0,COLUMN())</f>
        <v/>
      </c>
      <c r="AU33" s="1928">
        <f>INDEX(MO_RIS_Tax_Current,0,COLUMN())+INDEX(MO_RIS_Tax_Deferred,0,COLUMN())</f>
        <v/>
      </c>
      <c r="AV33" s="1301">
        <f>INDEX(MO_RIS_Tax_Current,0,COLUMN())+INDEX(MO_RIS_Tax_Deferred,0,COLUMN())</f>
        <v/>
      </c>
      <c r="AW33" s="1301">
        <f>INDEX(MO_RIS_Tax_Current,0,COLUMN())+INDEX(MO_RIS_Tax_Deferred,0,COLUMN())</f>
        <v/>
      </c>
      <c r="AX33" s="1301">
        <f>INDEX(MO_RIS_Tax_Current,0,COLUMN())+INDEX(MO_RIS_Tax_Deferred,0,COLUMN())</f>
        <v/>
      </c>
      <c r="AY33" s="1301">
        <f>INDEX(MO_RIS_Tax_Current,0,COLUMN())+INDEX(MO_RIS_Tax_Deferred,0,COLUMN())</f>
        <v/>
      </c>
      <c r="AZ33" s="1928">
        <f>INDEX(MO_RIS_Tax_Current,0,COLUMN())+INDEX(MO_RIS_Tax_Deferred,0,COLUMN())</f>
        <v/>
      </c>
      <c r="BA33" s="1301">
        <f>INDEX(MO_RIS_Tax_Current,0,COLUMN())+INDEX(MO_RIS_Tax_Deferred,0,COLUMN())</f>
        <v/>
      </c>
      <c r="BB33" s="1301">
        <f>INDEX(MO_RIS_Tax_Current,0,COLUMN())+INDEX(MO_RIS_Tax_Deferred,0,COLUMN())</f>
        <v/>
      </c>
      <c r="BC33" s="1301">
        <f>INDEX(MO_RIS_Tax_Current,0,COLUMN())+INDEX(MO_RIS_Tax_Deferred,0,COLUMN())</f>
        <v/>
      </c>
      <c r="BD33" s="1301">
        <f>INDEX(MO_RIS_Tax_Current,0,COLUMN())+INDEX(MO_RIS_Tax_Deferred,0,COLUMN())</f>
        <v/>
      </c>
      <c r="BE33" s="1928">
        <f>INDEX(MO_RIS_Tax_Current,0,COLUMN())+INDEX(MO_RIS_Tax_Deferred,0,COLUMN())</f>
        <v/>
      </c>
      <c r="BF33" s="1301">
        <f>INDEX(MO_RIS_Tax_Current,0,COLUMN())+INDEX(MO_RIS_Tax_Deferred,0,COLUMN())</f>
        <v/>
      </c>
      <c r="BG33" s="1301">
        <f>INDEX(MO_RIS_Tax_Current,0,COLUMN())+INDEX(MO_RIS_Tax_Deferred,0,COLUMN())</f>
        <v/>
      </c>
      <c r="BH33" s="1301">
        <f>INDEX(MO_RIS_Tax_Current,0,COLUMN())+INDEX(MO_RIS_Tax_Deferred,0,COLUMN())</f>
        <v/>
      </c>
      <c r="BI33" s="1301">
        <f>INDEX(MO_RIS_Tax_Current,0,COLUMN())+INDEX(MO_RIS_Tax_Deferred,0,COLUMN())</f>
        <v/>
      </c>
      <c r="BJ33" s="1928">
        <f>INDEX(MO_RIS_Tax_Current,0,COLUMN())+INDEX(MO_RIS_Tax_Deferred,0,COLUMN())</f>
        <v/>
      </c>
      <c r="BK33" s="1301">
        <f>INDEX(MO_RIS_Tax_Current,0,COLUMN())+INDEX(MO_RIS_Tax_Deferred,0,COLUMN())</f>
        <v/>
      </c>
      <c r="BL33" s="1301">
        <f>INDEX(MO_RIS_Tax_Current,0,COLUMN())+INDEX(MO_RIS_Tax_Deferred,0,COLUMN())</f>
        <v/>
      </c>
      <c r="BM33" s="1301">
        <f>INDEX(MO_RIS_Tax_Current,0,COLUMN())+INDEX(MO_RIS_Tax_Deferred,0,COLUMN())</f>
        <v/>
      </c>
      <c r="BN33" s="1301">
        <f>INDEX(MO_RIS_Tax_Current,0,COLUMN())+INDEX(MO_RIS_Tax_Deferred,0,COLUMN())</f>
        <v/>
      </c>
      <c r="BO33" s="1970">
        <f>INDEX(MO_RIS_Tax_Current,0,COLUMN())+INDEX(MO_RIS_Tax_Deferred,0,COLUMN())</f>
        <v/>
      </c>
      <c r="BP33" s="1301">
        <f>INDEX(MO_RIS_Tax_Current,0,COLUMN())+INDEX(MO_RIS_Tax_Deferred,0,COLUMN())</f>
        <v/>
      </c>
      <c r="BQ33" s="1301">
        <f>INDEX(MO_RIS_Tax_Current,0,COLUMN())+INDEX(MO_RIS_Tax_Deferred,0,COLUMN())</f>
        <v/>
      </c>
      <c r="BR33" s="1301">
        <f>INDEX(MO_RIS_Tax_Current,0,COLUMN())+INDEX(MO_RIS_Tax_Deferred,0,COLUMN())</f>
        <v/>
      </c>
      <c r="BS33" s="1301">
        <f>INDEX(MO_RIS_Tax_Current,0,COLUMN())+INDEX(MO_RIS_Tax_Deferred,0,COLUMN())</f>
        <v/>
      </c>
      <c r="BT33" s="1928">
        <f>INDEX(MO_RIS_Tax_Current,0,COLUMN())+INDEX(MO_RIS_Tax_Deferred,0,COLUMN())</f>
        <v/>
      </c>
      <c r="BU33" s="1301">
        <f>INDEX(MO_RIS_Tax_Current,0,COLUMN())+INDEX(MO_RIS_Tax_Deferred,0,COLUMN())</f>
        <v/>
      </c>
      <c r="BV33" s="1301">
        <f>INDEX(MO_RIS_Tax_Current,0,COLUMN())+INDEX(MO_RIS_Tax_Deferred,0,COLUMN())</f>
        <v/>
      </c>
      <c r="BW33" s="1301">
        <f>INDEX(MO_RIS_Tax_Current,0,COLUMN())+INDEX(MO_RIS_Tax_Deferred,0,COLUMN())</f>
        <v/>
      </c>
      <c r="BX33" s="1301">
        <f>INDEX(MO_RIS_Tax_Current,0,COLUMN())+INDEX(MO_RIS_Tax_Deferred,0,COLUMN())</f>
        <v/>
      </c>
      <c r="BY33" s="1928">
        <f>INDEX(MO_RIS_Tax_Current,0,COLUMN())+INDEX(MO_RIS_Tax_Deferred,0,COLUMN())</f>
        <v/>
      </c>
      <c r="BZ33" s="1928">
        <f>INDEX(MO_RIS_Tax_Current,0,COLUMN())+INDEX(MO_RIS_Tax_Deferred,0,COLUMN())</f>
        <v/>
      </c>
      <c r="CA33" s="1928">
        <f>INDEX(MO_RIS_Tax_Current,0,COLUMN())+INDEX(MO_RIS_Tax_Deferred,0,COLUMN())</f>
        <v/>
      </c>
      <c r="CB33" s="1928">
        <f>INDEX(MO_RIS_Tax_Current,0,COLUMN())+INDEX(MO_RIS_Tax_Deferred,0,COLUMN())</f>
        <v/>
      </c>
      <c r="CC33" s="1301" t="n"/>
    </row>
    <row r="34" ht="14.4" customFormat="1" customHeight="1" s="1939">
      <c r="A34" s="1968">
        <f>INDEX(MO_RIS_DisCont,0,COLUMN())</f>
        <v/>
      </c>
      <c r="B34" s="1969" t="n"/>
      <c r="C34" s="1928">
        <f>INDEX(MO_RIS_DisCont,0,COLUMN())</f>
        <v/>
      </c>
      <c r="D34" s="1928">
        <f>INDEX(MO_RIS_DisCont,0,COLUMN())</f>
        <v/>
      </c>
      <c r="E34" s="1928">
        <f>INDEX(MO_RIS_DisCont,0,COLUMN())</f>
        <v/>
      </c>
      <c r="F34" s="1928">
        <f>INDEX(MO_RIS_DisCont,0,COLUMN())</f>
        <v/>
      </c>
      <c r="G34" s="1928">
        <f>INDEX(MO_RIS_DisCont,0,COLUMN())</f>
        <v/>
      </c>
      <c r="H34" s="1301">
        <f>INDEX(MO_RIS_DisCont,0,COLUMN())</f>
        <v/>
      </c>
      <c r="I34" s="1301">
        <f>INDEX(MO_RIS_DisCont,0,COLUMN())</f>
        <v/>
      </c>
      <c r="J34" s="1301">
        <f>INDEX(MO_RIS_DisCont,0,COLUMN())</f>
        <v/>
      </c>
      <c r="K34" s="1301">
        <f>INDEX(MO_RIS_DisCont,0,COLUMN())</f>
        <v/>
      </c>
      <c r="L34" s="1928">
        <f>INDEX(MO_RIS_DisCont,0,COLUMN())</f>
        <v/>
      </c>
      <c r="M34" s="1301">
        <f>INDEX(MO_RIS_DisCont,0,COLUMN())</f>
        <v/>
      </c>
      <c r="N34" s="1301">
        <f>INDEX(MO_RIS_DisCont,0,COLUMN())</f>
        <v/>
      </c>
      <c r="O34" s="1301">
        <f>INDEX(MO_RIS_DisCont,0,COLUMN())</f>
        <v/>
      </c>
      <c r="P34" s="1301">
        <f>INDEX(MO_RIS_DisCont,0,COLUMN())</f>
        <v/>
      </c>
      <c r="Q34" s="1928">
        <f>INDEX(MO_RIS_DisCont,0,COLUMN())</f>
        <v/>
      </c>
      <c r="R34" s="1301">
        <f>INDEX(MO_RIS_DisCont,0,COLUMN())</f>
        <v/>
      </c>
      <c r="S34" s="1301">
        <f>INDEX(MO_RIS_DisCont,0,COLUMN())</f>
        <v/>
      </c>
      <c r="T34" s="1301">
        <f>INDEX(MO_RIS_DisCont,0,COLUMN())</f>
        <v/>
      </c>
      <c r="U34" s="1301">
        <f>INDEX(MO_RIS_DisCont,0,COLUMN())</f>
        <v/>
      </c>
      <c r="V34" s="1928">
        <f>INDEX(MO_RIS_DisCont,0,COLUMN())</f>
        <v/>
      </c>
      <c r="W34" s="1301">
        <f>INDEX(MO_RIS_DisCont,0,COLUMN())</f>
        <v/>
      </c>
      <c r="X34" s="1301">
        <f>INDEX(MO_RIS_DisCont,0,COLUMN())</f>
        <v/>
      </c>
      <c r="Y34" s="1301">
        <f>INDEX(MO_RIS_DisCont,0,COLUMN())</f>
        <v/>
      </c>
      <c r="Z34" s="1301">
        <f>INDEX(MO_RIS_DisCont,0,COLUMN())</f>
        <v/>
      </c>
      <c r="AA34" s="1928">
        <f>INDEX(MO_RIS_DisCont,0,COLUMN())</f>
        <v/>
      </c>
      <c r="AB34" s="1301">
        <f>INDEX(MO_RIS_DisCont,0,COLUMN())</f>
        <v/>
      </c>
      <c r="AC34" s="1301">
        <f>INDEX(MO_RIS_DisCont,0,COLUMN())</f>
        <v/>
      </c>
      <c r="AD34" s="1301">
        <f>INDEX(MO_RIS_DisCont,0,COLUMN())</f>
        <v/>
      </c>
      <c r="AE34" s="1301">
        <f>INDEX(MO_RIS_DisCont,0,COLUMN())</f>
        <v/>
      </c>
      <c r="AF34" s="1928">
        <f>INDEX(MO_RIS_DisCont,0,COLUMN())</f>
        <v/>
      </c>
      <c r="AG34" s="1301">
        <f>INDEX(MO_RIS_DisCont,0,COLUMN())</f>
        <v/>
      </c>
      <c r="AH34" s="1301">
        <f>INDEX(MO_RIS_DisCont,0,COLUMN())</f>
        <v/>
      </c>
      <c r="AI34" s="1301">
        <f>INDEX(MO_RIS_DisCont,0,COLUMN())</f>
        <v/>
      </c>
      <c r="AJ34" s="1301">
        <f>INDEX(MO_RIS_DisCont,0,COLUMN())</f>
        <v/>
      </c>
      <c r="AK34" s="1928">
        <f>INDEX(MO_RIS_DisCont,0,COLUMN())</f>
        <v/>
      </c>
      <c r="AL34" s="1301">
        <f>INDEX(MO_RIS_DisCont,0,COLUMN())</f>
        <v/>
      </c>
      <c r="AM34" s="1301">
        <f>INDEX(MO_RIS_DisCont,0,COLUMN())</f>
        <v/>
      </c>
      <c r="AN34" s="1301">
        <f>INDEX(MO_RIS_DisCont,0,COLUMN())</f>
        <v/>
      </c>
      <c r="AO34" s="1301">
        <f>INDEX(MO_RIS_DisCont,0,COLUMN())</f>
        <v/>
      </c>
      <c r="AP34" s="1928">
        <f>INDEX(MO_RIS_DisCont,0,COLUMN())</f>
        <v/>
      </c>
      <c r="AQ34" s="1301">
        <f>INDEX(MO_RIS_DisCont,0,COLUMN())</f>
        <v/>
      </c>
      <c r="AR34" s="1301">
        <f>INDEX(MO_RIS_DisCont,0,COLUMN())</f>
        <v/>
      </c>
      <c r="AS34" s="1301">
        <f>INDEX(MO_RIS_DisCont,0,COLUMN())</f>
        <v/>
      </c>
      <c r="AT34" s="1301">
        <f>INDEX(MO_RIS_DisCont,0,COLUMN())</f>
        <v/>
      </c>
      <c r="AU34" s="1928">
        <f>INDEX(MO_RIS_DisCont,0,COLUMN())</f>
        <v/>
      </c>
      <c r="AV34" s="1301">
        <f>INDEX(MO_RIS_DisCont,0,COLUMN())</f>
        <v/>
      </c>
      <c r="AW34" s="1301">
        <f>INDEX(MO_RIS_DisCont,0,COLUMN())</f>
        <v/>
      </c>
      <c r="AX34" s="1301">
        <f>INDEX(MO_RIS_DisCont,0,COLUMN())</f>
        <v/>
      </c>
      <c r="AY34" s="1301">
        <f>INDEX(MO_RIS_DisCont,0,COLUMN())</f>
        <v/>
      </c>
      <c r="AZ34" s="1928">
        <f>INDEX(MO_RIS_DisCont,0,COLUMN())</f>
        <v/>
      </c>
      <c r="BA34" s="1301">
        <f>INDEX(MO_RIS_DisCont,0,COLUMN())</f>
        <v/>
      </c>
      <c r="BB34" s="1301">
        <f>INDEX(MO_RIS_DisCont,0,COLUMN())</f>
        <v/>
      </c>
      <c r="BC34" s="1301">
        <f>INDEX(MO_RIS_DisCont,0,COLUMN())</f>
        <v/>
      </c>
      <c r="BD34" s="1301">
        <f>INDEX(MO_RIS_DisCont,0,COLUMN())</f>
        <v/>
      </c>
      <c r="BE34" s="1928">
        <f>INDEX(MO_RIS_DisCont,0,COLUMN())</f>
        <v/>
      </c>
      <c r="BF34" s="1301">
        <f>INDEX(MO_RIS_DisCont,0,COLUMN())</f>
        <v/>
      </c>
      <c r="BG34" s="1301">
        <f>INDEX(MO_RIS_DisCont,0,COLUMN())</f>
        <v/>
      </c>
      <c r="BH34" s="1301">
        <f>INDEX(MO_RIS_DisCont,0,COLUMN())</f>
        <v/>
      </c>
      <c r="BI34" s="1301">
        <f>INDEX(MO_RIS_DisCont,0,COLUMN())</f>
        <v/>
      </c>
      <c r="BJ34" s="1928">
        <f>INDEX(MO_RIS_DisCont,0,COLUMN())</f>
        <v/>
      </c>
      <c r="BK34" s="1301">
        <f>INDEX(MO_RIS_DisCont,0,COLUMN())</f>
        <v/>
      </c>
      <c r="BL34" s="1301">
        <f>INDEX(MO_RIS_DisCont,0,COLUMN())</f>
        <v/>
      </c>
      <c r="BM34" s="1301">
        <f>INDEX(MO_RIS_DisCont,0,COLUMN())</f>
        <v/>
      </c>
      <c r="BN34" s="1301">
        <f>INDEX(MO_RIS_DisCont,0,COLUMN())</f>
        <v/>
      </c>
      <c r="BO34" s="1970">
        <f>INDEX(MO_RIS_DisCont,0,COLUMN())</f>
        <v/>
      </c>
      <c r="BP34" s="1301">
        <f>INDEX(MO_RIS_DisCont,0,COLUMN())</f>
        <v/>
      </c>
      <c r="BQ34" s="1301">
        <f>INDEX(MO_RIS_DisCont,0,COLUMN())</f>
        <v/>
      </c>
      <c r="BR34" s="1301">
        <f>INDEX(MO_RIS_DisCont,0,COLUMN())</f>
        <v/>
      </c>
      <c r="BS34" s="1301">
        <f>INDEX(MO_RIS_DisCont,0,COLUMN())</f>
        <v/>
      </c>
      <c r="BT34" s="1928">
        <f>INDEX(MO_RIS_DisCont,0,COLUMN())</f>
        <v/>
      </c>
      <c r="BU34" s="1301">
        <f>INDEX(MO_RIS_DisCont,0,COLUMN())</f>
        <v/>
      </c>
      <c r="BV34" s="1301">
        <f>INDEX(MO_RIS_DisCont,0,COLUMN())</f>
        <v/>
      </c>
      <c r="BW34" s="1301">
        <f>INDEX(MO_RIS_DisCont,0,COLUMN())</f>
        <v/>
      </c>
      <c r="BX34" s="1301">
        <f>INDEX(MO_RIS_DisCont,0,COLUMN())</f>
        <v/>
      </c>
      <c r="BY34" s="1928">
        <f>INDEX(MO_RIS_DisCont,0,COLUMN())</f>
        <v/>
      </c>
      <c r="BZ34" s="1928">
        <f>INDEX(MO_RIS_DisCont,0,COLUMN())</f>
        <v/>
      </c>
      <c r="CA34" s="1928">
        <f>INDEX(MO_RIS_DisCont,0,COLUMN())</f>
        <v/>
      </c>
      <c r="CB34" s="1928">
        <f>INDEX(MO_RIS_DisCont,0,COLUMN())</f>
        <v/>
      </c>
      <c r="CC34" s="1301" t="n"/>
    </row>
    <row r="35" ht="14.4" customFormat="1" customHeight="1" s="1939">
      <c r="A35" s="1968">
        <f>INDEX(MO_RIS_NCI,0,COLUMN())</f>
        <v/>
      </c>
      <c r="B35" s="1969" t="n"/>
      <c r="C35" s="1928">
        <f>INDEX(MO_RIS_NCI,0,COLUMN())</f>
        <v/>
      </c>
      <c r="D35" s="1928">
        <f>INDEX(MO_RIS_NCI,0,COLUMN())</f>
        <v/>
      </c>
      <c r="E35" s="1928">
        <f>INDEX(MO_RIS_NCI,0,COLUMN())</f>
        <v/>
      </c>
      <c r="F35" s="1928">
        <f>INDEX(MO_RIS_NCI,0,COLUMN())</f>
        <v/>
      </c>
      <c r="G35" s="1928">
        <f>INDEX(MO_RIS_NCI,0,COLUMN())</f>
        <v/>
      </c>
      <c r="H35" s="1301">
        <f>INDEX(MO_RIS_NCI,0,COLUMN())</f>
        <v/>
      </c>
      <c r="I35" s="1301">
        <f>INDEX(MO_RIS_NCI,0,COLUMN())</f>
        <v/>
      </c>
      <c r="J35" s="1301">
        <f>INDEX(MO_RIS_NCI,0,COLUMN())</f>
        <v/>
      </c>
      <c r="K35" s="1301">
        <f>INDEX(MO_RIS_NCI,0,COLUMN())</f>
        <v/>
      </c>
      <c r="L35" s="1928">
        <f>INDEX(MO_RIS_NCI,0,COLUMN())</f>
        <v/>
      </c>
      <c r="M35" s="1301">
        <f>INDEX(MO_RIS_NCI,0,COLUMN())</f>
        <v/>
      </c>
      <c r="N35" s="1301">
        <f>INDEX(MO_RIS_NCI,0,COLUMN())</f>
        <v/>
      </c>
      <c r="O35" s="1301">
        <f>INDEX(MO_RIS_NCI,0,COLUMN())</f>
        <v/>
      </c>
      <c r="P35" s="1301">
        <f>INDEX(MO_RIS_NCI,0,COLUMN())</f>
        <v/>
      </c>
      <c r="Q35" s="1928">
        <f>INDEX(MO_RIS_NCI,0,COLUMN())</f>
        <v/>
      </c>
      <c r="R35" s="1301">
        <f>INDEX(MO_RIS_NCI,0,COLUMN())</f>
        <v/>
      </c>
      <c r="S35" s="1301">
        <f>INDEX(MO_RIS_NCI,0,COLUMN())</f>
        <v/>
      </c>
      <c r="T35" s="1301">
        <f>INDEX(MO_RIS_NCI,0,COLUMN())</f>
        <v/>
      </c>
      <c r="U35" s="1301">
        <f>INDEX(MO_RIS_NCI,0,COLUMN())</f>
        <v/>
      </c>
      <c r="V35" s="1928">
        <f>INDEX(MO_RIS_NCI,0,COLUMN())</f>
        <v/>
      </c>
      <c r="W35" s="1301">
        <f>INDEX(MO_RIS_NCI,0,COLUMN())</f>
        <v/>
      </c>
      <c r="X35" s="1301">
        <f>INDEX(MO_RIS_NCI,0,COLUMN())</f>
        <v/>
      </c>
      <c r="Y35" s="1301">
        <f>INDEX(MO_RIS_NCI,0,COLUMN())</f>
        <v/>
      </c>
      <c r="Z35" s="1301">
        <f>INDEX(MO_RIS_NCI,0,COLUMN())</f>
        <v/>
      </c>
      <c r="AA35" s="1928">
        <f>INDEX(MO_RIS_NCI,0,COLUMN())</f>
        <v/>
      </c>
      <c r="AB35" s="1301">
        <f>INDEX(MO_RIS_NCI,0,COLUMN())</f>
        <v/>
      </c>
      <c r="AC35" s="1301">
        <f>INDEX(MO_RIS_NCI,0,COLUMN())</f>
        <v/>
      </c>
      <c r="AD35" s="1301">
        <f>INDEX(MO_RIS_NCI,0,COLUMN())</f>
        <v/>
      </c>
      <c r="AE35" s="1301">
        <f>INDEX(MO_RIS_NCI,0,COLUMN())</f>
        <v/>
      </c>
      <c r="AF35" s="1928">
        <f>INDEX(MO_RIS_NCI,0,COLUMN())</f>
        <v/>
      </c>
      <c r="AG35" s="1301">
        <f>INDEX(MO_RIS_NCI,0,COLUMN())</f>
        <v/>
      </c>
      <c r="AH35" s="1301">
        <f>INDEX(MO_RIS_NCI,0,COLUMN())</f>
        <v/>
      </c>
      <c r="AI35" s="1301">
        <f>INDEX(MO_RIS_NCI,0,COLUMN())</f>
        <v/>
      </c>
      <c r="AJ35" s="1301">
        <f>INDEX(MO_RIS_NCI,0,COLUMN())</f>
        <v/>
      </c>
      <c r="AK35" s="1928">
        <f>INDEX(MO_RIS_NCI,0,COLUMN())</f>
        <v/>
      </c>
      <c r="AL35" s="1301">
        <f>INDEX(MO_RIS_NCI,0,COLUMN())</f>
        <v/>
      </c>
      <c r="AM35" s="1301">
        <f>INDEX(MO_RIS_NCI,0,COLUMN())</f>
        <v/>
      </c>
      <c r="AN35" s="1301">
        <f>INDEX(MO_RIS_NCI,0,COLUMN())</f>
        <v/>
      </c>
      <c r="AO35" s="1301">
        <f>INDEX(MO_RIS_NCI,0,COLUMN())</f>
        <v/>
      </c>
      <c r="AP35" s="1928">
        <f>INDEX(MO_RIS_NCI,0,COLUMN())</f>
        <v/>
      </c>
      <c r="AQ35" s="1301">
        <f>INDEX(MO_RIS_NCI,0,COLUMN())</f>
        <v/>
      </c>
      <c r="AR35" s="1301">
        <f>INDEX(MO_RIS_NCI,0,COLUMN())</f>
        <v/>
      </c>
      <c r="AS35" s="1301">
        <f>INDEX(MO_RIS_NCI,0,COLUMN())</f>
        <v/>
      </c>
      <c r="AT35" s="1301">
        <f>INDEX(MO_RIS_NCI,0,COLUMN())</f>
        <v/>
      </c>
      <c r="AU35" s="1928">
        <f>INDEX(MO_RIS_NCI,0,COLUMN())</f>
        <v/>
      </c>
      <c r="AV35" s="1301">
        <f>INDEX(MO_RIS_NCI,0,COLUMN())</f>
        <v/>
      </c>
      <c r="AW35" s="1301">
        <f>INDEX(MO_RIS_NCI,0,COLUMN())</f>
        <v/>
      </c>
      <c r="AX35" s="1301">
        <f>INDEX(MO_RIS_NCI,0,COLUMN())</f>
        <v/>
      </c>
      <c r="AY35" s="1301">
        <f>INDEX(MO_RIS_NCI,0,COLUMN())</f>
        <v/>
      </c>
      <c r="AZ35" s="1928">
        <f>INDEX(MO_RIS_NCI,0,COLUMN())</f>
        <v/>
      </c>
      <c r="BA35" s="1301">
        <f>INDEX(MO_RIS_NCI,0,COLUMN())</f>
        <v/>
      </c>
      <c r="BB35" s="1301">
        <f>INDEX(MO_RIS_NCI,0,COLUMN())</f>
        <v/>
      </c>
      <c r="BC35" s="1301">
        <f>INDEX(MO_RIS_NCI,0,COLUMN())</f>
        <v/>
      </c>
      <c r="BD35" s="1301">
        <f>INDEX(MO_RIS_NCI,0,COLUMN())</f>
        <v/>
      </c>
      <c r="BE35" s="1928">
        <f>INDEX(MO_RIS_NCI,0,COLUMN())</f>
        <v/>
      </c>
      <c r="BF35" s="1301">
        <f>INDEX(MO_RIS_NCI,0,COLUMN())</f>
        <v/>
      </c>
      <c r="BG35" s="1301">
        <f>INDEX(MO_RIS_NCI,0,COLUMN())</f>
        <v/>
      </c>
      <c r="BH35" s="1301">
        <f>INDEX(MO_RIS_NCI,0,COLUMN())</f>
        <v/>
      </c>
      <c r="BI35" s="1301">
        <f>INDEX(MO_RIS_NCI,0,COLUMN())</f>
        <v/>
      </c>
      <c r="BJ35" s="1928">
        <f>INDEX(MO_RIS_NCI,0,COLUMN())</f>
        <v/>
      </c>
      <c r="BK35" s="1301">
        <f>INDEX(MO_RIS_NCI,0,COLUMN())</f>
        <v/>
      </c>
      <c r="BL35" s="1301">
        <f>INDEX(MO_RIS_NCI,0,COLUMN())</f>
        <v/>
      </c>
      <c r="BM35" s="1301">
        <f>INDEX(MO_RIS_NCI,0,COLUMN())</f>
        <v/>
      </c>
      <c r="BN35" s="1301">
        <f>INDEX(MO_RIS_NCI,0,COLUMN())</f>
        <v/>
      </c>
      <c r="BO35" s="1970">
        <f>INDEX(MO_RIS_NCI,0,COLUMN())</f>
        <v/>
      </c>
      <c r="BP35" s="1301">
        <f>INDEX(MO_RIS_NCI,0,COLUMN())</f>
        <v/>
      </c>
      <c r="BQ35" s="1301">
        <f>INDEX(MO_RIS_NCI,0,COLUMN())</f>
        <v/>
      </c>
      <c r="BR35" s="1301">
        <f>INDEX(MO_RIS_NCI,0,COLUMN())</f>
        <v/>
      </c>
      <c r="BS35" s="1301">
        <f>INDEX(MO_RIS_NCI,0,COLUMN())</f>
        <v/>
      </c>
      <c r="BT35" s="1928">
        <f>INDEX(MO_RIS_NCI,0,COLUMN())</f>
        <v/>
      </c>
      <c r="BU35" s="1301">
        <f>INDEX(MO_RIS_NCI,0,COLUMN())</f>
        <v/>
      </c>
      <c r="BV35" s="1301">
        <f>INDEX(MO_RIS_NCI,0,COLUMN())</f>
        <v/>
      </c>
      <c r="BW35" s="1301">
        <f>INDEX(MO_RIS_NCI,0,COLUMN())</f>
        <v/>
      </c>
      <c r="BX35" s="1301">
        <f>INDEX(MO_RIS_NCI,0,COLUMN())</f>
        <v/>
      </c>
      <c r="BY35" s="1928">
        <f>INDEX(MO_RIS_NCI,0,COLUMN())</f>
        <v/>
      </c>
      <c r="BZ35" s="1928">
        <f>INDEX(MO_RIS_NCI,0,COLUMN())</f>
        <v/>
      </c>
      <c r="CA35" s="1928">
        <f>INDEX(MO_RIS_NCI,0,COLUMN())</f>
        <v/>
      </c>
      <c r="CB35" s="1928">
        <f>INDEX(MO_RIS_NCI,0,COLUMN())</f>
        <v/>
      </c>
      <c r="CC35" s="1301" t="n"/>
    </row>
    <row r="36" ht="14.4" customFormat="1" customHeight="1" s="1939">
      <c r="A36" s="1955">
        <f>INDEX(MO_RIS_Dividend_Prefs,0,COLUMN())</f>
        <v/>
      </c>
      <c r="B36" s="1971" t="n"/>
      <c r="C36" s="1960">
        <f>INDEX(MO_RIS_Dividend_Prefs,0,COLUMN())</f>
        <v/>
      </c>
      <c r="D36" s="1960">
        <f>INDEX(MO_RIS_Dividend_Prefs,0,COLUMN())</f>
        <v/>
      </c>
      <c r="E36" s="1960">
        <f>INDEX(MO_RIS_Dividend_Prefs,0,COLUMN())</f>
        <v/>
      </c>
      <c r="F36" s="1960">
        <f>INDEX(MO_RIS_Dividend_Prefs,0,COLUMN())</f>
        <v/>
      </c>
      <c r="G36" s="1960">
        <f>INDEX(MO_RIS_Dividend_Prefs,0,COLUMN())</f>
        <v/>
      </c>
      <c r="H36" s="1972">
        <f>INDEX(MO_RIS_Dividend_Prefs,0,COLUMN())</f>
        <v/>
      </c>
      <c r="I36" s="1972">
        <f>INDEX(MO_RIS_Dividend_Prefs,0,COLUMN())</f>
        <v/>
      </c>
      <c r="J36" s="1972">
        <f>INDEX(MO_RIS_Dividend_Prefs,0,COLUMN())</f>
        <v/>
      </c>
      <c r="K36" s="1972">
        <f>INDEX(MO_RIS_Dividend_Prefs,0,COLUMN())</f>
        <v/>
      </c>
      <c r="L36" s="1960">
        <f>INDEX(MO_RIS_Dividend_Prefs,0,COLUMN())</f>
        <v/>
      </c>
      <c r="M36" s="1972">
        <f>INDEX(MO_RIS_Dividend_Prefs,0,COLUMN())</f>
        <v/>
      </c>
      <c r="N36" s="1972">
        <f>INDEX(MO_RIS_Dividend_Prefs,0,COLUMN())</f>
        <v/>
      </c>
      <c r="O36" s="1972">
        <f>INDEX(MO_RIS_Dividend_Prefs,0,COLUMN())</f>
        <v/>
      </c>
      <c r="P36" s="1972">
        <f>INDEX(MO_RIS_Dividend_Prefs,0,COLUMN())</f>
        <v/>
      </c>
      <c r="Q36" s="1960">
        <f>INDEX(MO_RIS_Dividend_Prefs,0,COLUMN())</f>
        <v/>
      </c>
      <c r="R36" s="1972">
        <f>INDEX(MO_RIS_Dividend_Prefs,0,COLUMN())</f>
        <v/>
      </c>
      <c r="S36" s="1972">
        <f>INDEX(MO_RIS_Dividend_Prefs,0,COLUMN())</f>
        <v/>
      </c>
      <c r="T36" s="1972">
        <f>INDEX(MO_RIS_Dividend_Prefs,0,COLUMN())</f>
        <v/>
      </c>
      <c r="U36" s="1972">
        <f>INDEX(MO_RIS_Dividend_Prefs,0,COLUMN())</f>
        <v/>
      </c>
      <c r="V36" s="1960">
        <f>INDEX(MO_RIS_Dividend_Prefs,0,COLUMN())</f>
        <v/>
      </c>
      <c r="W36" s="1972">
        <f>INDEX(MO_RIS_Dividend_Prefs,0,COLUMN())</f>
        <v/>
      </c>
      <c r="X36" s="1972">
        <f>INDEX(MO_RIS_Dividend_Prefs,0,COLUMN())</f>
        <v/>
      </c>
      <c r="Y36" s="1972">
        <f>INDEX(MO_RIS_Dividend_Prefs,0,COLUMN())</f>
        <v/>
      </c>
      <c r="Z36" s="1972">
        <f>INDEX(MO_RIS_Dividend_Prefs,0,COLUMN())</f>
        <v/>
      </c>
      <c r="AA36" s="1960">
        <f>INDEX(MO_RIS_Dividend_Prefs,0,COLUMN())</f>
        <v/>
      </c>
      <c r="AB36" s="1972">
        <f>INDEX(MO_RIS_Dividend_Prefs,0,COLUMN())</f>
        <v/>
      </c>
      <c r="AC36" s="1972">
        <f>INDEX(MO_RIS_Dividend_Prefs,0,COLUMN())</f>
        <v/>
      </c>
      <c r="AD36" s="1972">
        <f>INDEX(MO_RIS_Dividend_Prefs,0,COLUMN())</f>
        <v/>
      </c>
      <c r="AE36" s="1972">
        <f>INDEX(MO_RIS_Dividend_Prefs,0,COLUMN())</f>
        <v/>
      </c>
      <c r="AF36" s="1960">
        <f>INDEX(MO_RIS_Dividend_Prefs,0,COLUMN())</f>
        <v/>
      </c>
      <c r="AG36" s="1972">
        <f>INDEX(MO_RIS_Dividend_Prefs,0,COLUMN())</f>
        <v/>
      </c>
      <c r="AH36" s="1972">
        <f>INDEX(MO_RIS_Dividend_Prefs,0,COLUMN())</f>
        <v/>
      </c>
      <c r="AI36" s="1972">
        <f>INDEX(MO_RIS_Dividend_Prefs,0,COLUMN())</f>
        <v/>
      </c>
      <c r="AJ36" s="1972">
        <f>INDEX(MO_RIS_Dividend_Prefs,0,COLUMN())</f>
        <v/>
      </c>
      <c r="AK36" s="1960">
        <f>INDEX(MO_RIS_Dividend_Prefs,0,COLUMN())</f>
        <v/>
      </c>
      <c r="AL36" s="1972">
        <f>INDEX(MO_RIS_Dividend_Prefs,0,COLUMN())</f>
        <v/>
      </c>
      <c r="AM36" s="1972">
        <f>INDEX(MO_RIS_Dividend_Prefs,0,COLUMN())</f>
        <v/>
      </c>
      <c r="AN36" s="1972">
        <f>INDEX(MO_RIS_Dividend_Prefs,0,COLUMN())</f>
        <v/>
      </c>
      <c r="AO36" s="1972">
        <f>INDEX(MO_RIS_Dividend_Prefs,0,COLUMN())</f>
        <v/>
      </c>
      <c r="AP36" s="1960">
        <f>INDEX(MO_RIS_Dividend_Prefs,0,COLUMN())</f>
        <v/>
      </c>
      <c r="AQ36" s="1972">
        <f>INDEX(MO_RIS_Dividend_Prefs,0,COLUMN())</f>
        <v/>
      </c>
      <c r="AR36" s="1972">
        <f>INDEX(MO_RIS_Dividend_Prefs,0,COLUMN())</f>
        <v/>
      </c>
      <c r="AS36" s="1972">
        <f>INDEX(MO_RIS_Dividend_Prefs,0,COLUMN())</f>
        <v/>
      </c>
      <c r="AT36" s="1972">
        <f>INDEX(MO_RIS_Dividend_Prefs,0,COLUMN())</f>
        <v/>
      </c>
      <c r="AU36" s="1960">
        <f>INDEX(MO_RIS_Dividend_Prefs,0,COLUMN())</f>
        <v/>
      </c>
      <c r="AV36" s="1972">
        <f>INDEX(MO_RIS_Dividend_Prefs,0,COLUMN())</f>
        <v/>
      </c>
      <c r="AW36" s="1972">
        <f>INDEX(MO_RIS_Dividend_Prefs,0,COLUMN())</f>
        <v/>
      </c>
      <c r="AX36" s="1972">
        <f>INDEX(MO_RIS_Dividend_Prefs,0,COLUMN())</f>
        <v/>
      </c>
      <c r="AY36" s="1972">
        <f>INDEX(MO_RIS_Dividend_Prefs,0,COLUMN())</f>
        <v/>
      </c>
      <c r="AZ36" s="1960">
        <f>INDEX(MO_RIS_Dividend_Prefs,0,COLUMN())</f>
        <v/>
      </c>
      <c r="BA36" s="1972">
        <f>INDEX(MO_RIS_Dividend_Prefs,0,COLUMN())</f>
        <v/>
      </c>
      <c r="BB36" s="1972">
        <f>INDEX(MO_RIS_Dividend_Prefs,0,COLUMN())</f>
        <v/>
      </c>
      <c r="BC36" s="1972">
        <f>INDEX(MO_RIS_Dividend_Prefs,0,COLUMN())</f>
        <v/>
      </c>
      <c r="BD36" s="1972">
        <f>INDEX(MO_RIS_Dividend_Prefs,0,COLUMN())</f>
        <v/>
      </c>
      <c r="BE36" s="1960">
        <f>INDEX(MO_RIS_Dividend_Prefs,0,COLUMN())</f>
        <v/>
      </c>
      <c r="BF36" s="1972">
        <f>INDEX(MO_RIS_Dividend_Prefs,0,COLUMN())</f>
        <v/>
      </c>
      <c r="BG36" s="1972">
        <f>INDEX(MO_RIS_Dividend_Prefs,0,COLUMN())</f>
        <v/>
      </c>
      <c r="BH36" s="1972">
        <f>INDEX(MO_RIS_Dividend_Prefs,0,COLUMN())</f>
        <v/>
      </c>
      <c r="BI36" s="1972">
        <f>INDEX(MO_RIS_Dividend_Prefs,0,COLUMN())</f>
        <v/>
      </c>
      <c r="BJ36" s="1960">
        <f>INDEX(MO_RIS_Dividend_Prefs,0,COLUMN())</f>
        <v/>
      </c>
      <c r="BK36" s="1972">
        <f>INDEX(MO_RIS_Dividend_Prefs,0,COLUMN())</f>
        <v/>
      </c>
      <c r="BL36" s="1972">
        <f>INDEX(MO_RIS_Dividend_Prefs,0,COLUMN())</f>
        <v/>
      </c>
      <c r="BM36" s="1972">
        <f>INDEX(MO_RIS_Dividend_Prefs,0,COLUMN())</f>
        <v/>
      </c>
      <c r="BN36" s="1972">
        <f>INDEX(MO_RIS_Dividend_Prefs,0,COLUMN())</f>
        <v/>
      </c>
      <c r="BO36" s="1973">
        <f>INDEX(MO_RIS_Dividend_Prefs,0,COLUMN())</f>
        <v/>
      </c>
      <c r="BP36" s="1972">
        <f>INDEX(MO_RIS_Dividend_Prefs,0,COLUMN())</f>
        <v/>
      </c>
      <c r="BQ36" s="1972">
        <f>INDEX(MO_RIS_Dividend_Prefs,0,COLUMN())</f>
        <v/>
      </c>
      <c r="BR36" s="1972">
        <f>INDEX(MO_RIS_Dividend_Prefs,0,COLUMN())</f>
        <v/>
      </c>
      <c r="BS36" s="1972">
        <f>INDEX(MO_RIS_Dividend_Prefs,0,COLUMN())</f>
        <v/>
      </c>
      <c r="BT36" s="1960">
        <f>INDEX(MO_RIS_Dividend_Prefs,0,COLUMN())</f>
        <v/>
      </c>
      <c r="BU36" s="1972">
        <f>INDEX(MO_RIS_Dividend_Prefs,0,COLUMN())</f>
        <v/>
      </c>
      <c r="BV36" s="1972">
        <f>INDEX(MO_RIS_Dividend_Prefs,0,COLUMN())</f>
        <v/>
      </c>
      <c r="BW36" s="1972">
        <f>INDEX(MO_RIS_Dividend_Prefs,0,COLUMN())</f>
        <v/>
      </c>
      <c r="BX36" s="1972">
        <f>INDEX(MO_RIS_Dividend_Prefs,0,COLUMN())</f>
        <v/>
      </c>
      <c r="BY36" s="1960">
        <f>INDEX(MO_RIS_Dividend_Prefs,0,COLUMN())</f>
        <v/>
      </c>
      <c r="BZ36" s="1960">
        <f>INDEX(MO_RIS_Dividend_Prefs,0,COLUMN())</f>
        <v/>
      </c>
      <c r="CA36" s="1960">
        <f>INDEX(MO_RIS_Dividend_Prefs,0,COLUMN())</f>
        <v/>
      </c>
      <c r="CB36" s="1960">
        <f>INDEX(MO_RIS_Dividend_Prefs,0,COLUMN())</f>
        <v/>
      </c>
      <c r="CC36" s="1301" t="n"/>
    </row>
    <row r="37" ht="14.4" customFormat="1" customHeight="1" s="1974">
      <c r="A37" s="2003">
        <f>INDEX(MO_RIS_NI_GAAP_Basic,0,COLUMN())</f>
        <v/>
      </c>
      <c r="B37" s="2004" t="n"/>
      <c r="C37" s="2005">
        <f>INDEX(MO_RIS_NI_GAAP_Basic,0,COLUMN())</f>
        <v/>
      </c>
      <c r="D37" s="2005">
        <f>INDEX(MO_RIS_NI_GAAP_Basic,0,COLUMN())</f>
        <v/>
      </c>
      <c r="E37" s="2005">
        <f>INDEX(MO_RIS_NI_GAAP_Basic,0,COLUMN())</f>
        <v/>
      </c>
      <c r="F37" s="2005">
        <f>INDEX(MO_RIS_NI_GAAP_Basic,0,COLUMN())</f>
        <v/>
      </c>
      <c r="G37" s="2005">
        <f>INDEX(MO_RIS_NI_GAAP_Basic,0,COLUMN())</f>
        <v/>
      </c>
      <c r="H37" s="2006">
        <f>INDEX(MO_RIS_NI_GAAP_Basic,0,COLUMN())</f>
        <v/>
      </c>
      <c r="I37" s="2006">
        <f>INDEX(MO_RIS_NI_GAAP_Basic,0,COLUMN())</f>
        <v/>
      </c>
      <c r="J37" s="2006">
        <f>INDEX(MO_RIS_NI_GAAP_Basic,0,COLUMN())</f>
        <v/>
      </c>
      <c r="K37" s="2006">
        <f>INDEX(MO_RIS_NI_GAAP_Basic,0,COLUMN())</f>
        <v/>
      </c>
      <c r="L37" s="2005">
        <f>INDEX(MO_RIS_NI_GAAP_Basic,0,COLUMN())</f>
        <v/>
      </c>
      <c r="M37" s="2006">
        <f>INDEX(MO_RIS_NI_GAAP_Basic,0,COLUMN())</f>
        <v/>
      </c>
      <c r="N37" s="2006">
        <f>INDEX(MO_RIS_NI_GAAP_Basic,0,COLUMN())</f>
        <v/>
      </c>
      <c r="O37" s="2006">
        <f>INDEX(MO_RIS_NI_GAAP_Basic,0,COLUMN())</f>
        <v/>
      </c>
      <c r="P37" s="2006">
        <f>INDEX(MO_RIS_NI_GAAP_Basic,0,COLUMN())</f>
        <v/>
      </c>
      <c r="Q37" s="2005">
        <f>INDEX(MO_RIS_NI_GAAP_Basic,0,COLUMN())</f>
        <v/>
      </c>
      <c r="R37" s="2006">
        <f>INDEX(MO_RIS_NI_GAAP_Basic,0,COLUMN())</f>
        <v/>
      </c>
      <c r="S37" s="2006">
        <f>INDEX(MO_RIS_NI_GAAP_Basic,0,COLUMN())</f>
        <v/>
      </c>
      <c r="T37" s="2006">
        <f>INDEX(MO_RIS_NI_GAAP_Basic,0,COLUMN())</f>
        <v/>
      </c>
      <c r="U37" s="2006">
        <f>INDEX(MO_RIS_NI_GAAP_Basic,0,COLUMN())</f>
        <v/>
      </c>
      <c r="V37" s="2005">
        <f>INDEX(MO_RIS_NI_GAAP_Basic,0,COLUMN())</f>
        <v/>
      </c>
      <c r="W37" s="2006">
        <f>INDEX(MO_RIS_NI_GAAP_Basic,0,COLUMN())</f>
        <v/>
      </c>
      <c r="X37" s="2006">
        <f>INDEX(MO_RIS_NI_GAAP_Basic,0,COLUMN())</f>
        <v/>
      </c>
      <c r="Y37" s="2006">
        <f>INDEX(MO_RIS_NI_GAAP_Basic,0,COLUMN())</f>
        <v/>
      </c>
      <c r="Z37" s="2006">
        <f>INDEX(MO_RIS_NI_GAAP_Basic,0,COLUMN())</f>
        <v/>
      </c>
      <c r="AA37" s="2005">
        <f>INDEX(MO_RIS_NI_GAAP_Basic,0,COLUMN())</f>
        <v/>
      </c>
      <c r="AB37" s="2006">
        <f>INDEX(MO_RIS_NI_GAAP_Basic,0,COLUMN())</f>
        <v/>
      </c>
      <c r="AC37" s="2006">
        <f>INDEX(MO_RIS_NI_GAAP_Basic,0,COLUMN())</f>
        <v/>
      </c>
      <c r="AD37" s="2006">
        <f>INDEX(MO_RIS_NI_GAAP_Basic,0,COLUMN())</f>
        <v/>
      </c>
      <c r="AE37" s="2006">
        <f>INDEX(MO_RIS_NI_GAAP_Basic,0,COLUMN())</f>
        <v/>
      </c>
      <c r="AF37" s="2005">
        <f>INDEX(MO_RIS_NI_GAAP_Basic,0,COLUMN())</f>
        <v/>
      </c>
      <c r="AG37" s="2006">
        <f>INDEX(MO_RIS_NI_GAAP_Basic,0,COLUMN())</f>
        <v/>
      </c>
      <c r="AH37" s="2006">
        <f>INDEX(MO_RIS_NI_GAAP_Basic,0,COLUMN())</f>
        <v/>
      </c>
      <c r="AI37" s="2006">
        <f>INDEX(MO_RIS_NI_GAAP_Basic,0,COLUMN())</f>
        <v/>
      </c>
      <c r="AJ37" s="2006">
        <f>INDEX(MO_RIS_NI_GAAP_Basic,0,COLUMN())</f>
        <v/>
      </c>
      <c r="AK37" s="2005">
        <f>INDEX(MO_RIS_NI_GAAP_Basic,0,COLUMN())</f>
        <v/>
      </c>
      <c r="AL37" s="2006">
        <f>INDEX(MO_RIS_NI_GAAP_Basic,0,COLUMN())</f>
        <v/>
      </c>
      <c r="AM37" s="2006">
        <f>INDEX(MO_RIS_NI_GAAP_Basic,0,COLUMN())</f>
        <v/>
      </c>
      <c r="AN37" s="2006">
        <f>INDEX(MO_RIS_NI_GAAP_Basic,0,COLUMN())</f>
        <v/>
      </c>
      <c r="AO37" s="2006">
        <f>INDEX(MO_RIS_NI_GAAP_Basic,0,COLUMN())</f>
        <v/>
      </c>
      <c r="AP37" s="2005">
        <f>INDEX(MO_RIS_NI_GAAP_Basic,0,COLUMN())</f>
        <v/>
      </c>
      <c r="AQ37" s="2006">
        <f>INDEX(MO_RIS_NI_GAAP_Basic,0,COLUMN())</f>
        <v/>
      </c>
      <c r="AR37" s="2006">
        <f>INDEX(MO_RIS_NI_GAAP_Basic,0,COLUMN())</f>
        <v/>
      </c>
      <c r="AS37" s="2006">
        <f>INDEX(MO_RIS_NI_GAAP_Basic,0,COLUMN())</f>
        <v/>
      </c>
      <c r="AT37" s="2006">
        <f>INDEX(MO_RIS_NI_GAAP_Basic,0,COLUMN())</f>
        <v/>
      </c>
      <c r="AU37" s="2005">
        <f>INDEX(MO_RIS_NI_GAAP_Basic,0,COLUMN())</f>
        <v/>
      </c>
      <c r="AV37" s="2006">
        <f>INDEX(MO_RIS_NI_GAAP_Basic,0,COLUMN())</f>
        <v/>
      </c>
      <c r="AW37" s="2006">
        <f>INDEX(MO_RIS_NI_GAAP_Basic,0,COLUMN())</f>
        <v/>
      </c>
      <c r="AX37" s="2006">
        <f>INDEX(MO_RIS_NI_GAAP_Basic,0,COLUMN())</f>
        <v/>
      </c>
      <c r="AY37" s="2006">
        <f>INDEX(MO_RIS_NI_GAAP_Basic,0,COLUMN())</f>
        <v/>
      </c>
      <c r="AZ37" s="2005">
        <f>INDEX(MO_RIS_NI_GAAP_Basic,0,COLUMN())</f>
        <v/>
      </c>
      <c r="BA37" s="2006">
        <f>INDEX(MO_RIS_NI_GAAP_Basic,0,COLUMN())</f>
        <v/>
      </c>
      <c r="BB37" s="2006">
        <f>INDEX(MO_RIS_NI_GAAP_Basic,0,COLUMN())</f>
        <v/>
      </c>
      <c r="BC37" s="2006">
        <f>INDEX(MO_RIS_NI_GAAP_Basic,0,COLUMN())</f>
        <v/>
      </c>
      <c r="BD37" s="2006">
        <f>INDEX(MO_RIS_NI_GAAP_Basic,0,COLUMN())</f>
        <v/>
      </c>
      <c r="BE37" s="2005">
        <f>INDEX(MO_RIS_NI_GAAP_Basic,0,COLUMN())</f>
        <v/>
      </c>
      <c r="BF37" s="2006">
        <f>INDEX(MO_RIS_NI_GAAP_Basic,0,COLUMN())</f>
        <v/>
      </c>
      <c r="BG37" s="2006">
        <f>INDEX(MO_RIS_NI_GAAP_Basic,0,COLUMN())</f>
        <v/>
      </c>
      <c r="BH37" s="2006">
        <f>INDEX(MO_RIS_NI_GAAP_Basic,0,COLUMN())</f>
        <v/>
      </c>
      <c r="BI37" s="2006">
        <f>INDEX(MO_RIS_NI_GAAP_Basic,0,COLUMN())</f>
        <v/>
      </c>
      <c r="BJ37" s="2005">
        <f>INDEX(MO_RIS_NI_GAAP_Basic,0,COLUMN())</f>
        <v/>
      </c>
      <c r="BK37" s="2006">
        <f>INDEX(MO_RIS_NI_GAAP_Basic,0,COLUMN())</f>
        <v/>
      </c>
      <c r="BL37" s="2006">
        <f>INDEX(MO_RIS_NI_GAAP_Basic,0,COLUMN())</f>
        <v/>
      </c>
      <c r="BM37" s="2006">
        <f>INDEX(MO_RIS_NI_GAAP_Basic,0,COLUMN())</f>
        <v/>
      </c>
      <c r="BN37" s="2006">
        <f>INDEX(MO_RIS_NI_GAAP_Basic,0,COLUMN())</f>
        <v/>
      </c>
      <c r="BO37" s="2007">
        <f>INDEX(MO_RIS_NI_GAAP_Basic,0,COLUMN())</f>
        <v/>
      </c>
      <c r="BP37" s="2006">
        <f>INDEX(MO_RIS_NI_GAAP_Basic,0,COLUMN())</f>
        <v/>
      </c>
      <c r="BQ37" s="2006">
        <f>INDEX(MO_RIS_NI_GAAP_Basic,0,COLUMN())</f>
        <v/>
      </c>
      <c r="BR37" s="2006">
        <f>INDEX(MO_RIS_NI_GAAP_Basic,0,COLUMN())</f>
        <v/>
      </c>
      <c r="BS37" s="2006">
        <f>INDEX(MO_RIS_NI_GAAP_Basic,0,COLUMN())</f>
        <v/>
      </c>
      <c r="BT37" s="2005">
        <f>INDEX(MO_RIS_NI_GAAP_Basic,0,COLUMN())</f>
        <v/>
      </c>
      <c r="BU37" s="2006">
        <f>INDEX(MO_RIS_NI_GAAP_Basic,0,COLUMN())</f>
        <v/>
      </c>
      <c r="BV37" s="2006">
        <f>INDEX(MO_RIS_NI_GAAP_Basic,0,COLUMN())</f>
        <v/>
      </c>
      <c r="BW37" s="2006">
        <f>INDEX(MO_RIS_NI_GAAP_Basic,0,COLUMN())</f>
        <v/>
      </c>
      <c r="BX37" s="2006">
        <f>INDEX(MO_RIS_NI_GAAP_Basic,0,COLUMN())</f>
        <v/>
      </c>
      <c r="BY37" s="2005">
        <f>INDEX(MO_RIS_NI_GAAP_Basic,0,COLUMN())</f>
        <v/>
      </c>
      <c r="BZ37" s="2005">
        <f>INDEX(MO_RIS_NI_GAAP_Basic,0,COLUMN())</f>
        <v/>
      </c>
      <c r="CA37" s="2005">
        <f>INDEX(MO_RIS_NI_GAAP_Basic,0,COLUMN())</f>
        <v/>
      </c>
      <c r="CB37" s="2005">
        <f>INDEX(MO_RIS_NI_GAAP_Basic,0,COLUMN())</f>
        <v/>
      </c>
      <c r="CC37" s="1977" t="n"/>
    </row>
    <row r="38" ht="14.4" customFormat="1" customHeight="1" s="1974">
      <c r="A38" s="1968">
        <f>INDEX(MO_RIS_Adjustments_Dilution_GAAP,0,COLUMN())</f>
        <v/>
      </c>
      <c r="B38" s="1969" t="n"/>
      <c r="C38" s="1928">
        <f>INDEX(MO_RIS_Adjustments_Dilution_GAAP,0,COLUMN())</f>
        <v/>
      </c>
      <c r="D38" s="1928">
        <f>INDEX(MO_RIS_Adjustments_Dilution_GAAP,0,COLUMN())</f>
        <v/>
      </c>
      <c r="E38" s="1928">
        <f>INDEX(MO_RIS_Adjustments_Dilution_GAAP,0,COLUMN())</f>
        <v/>
      </c>
      <c r="F38" s="1928">
        <f>INDEX(MO_RIS_Adjustments_Dilution_GAAP,0,COLUMN())</f>
        <v/>
      </c>
      <c r="G38" s="1928">
        <f>INDEX(MO_RIS_Adjustments_Dilution_GAAP,0,COLUMN())</f>
        <v/>
      </c>
      <c r="H38" s="1301">
        <f>INDEX(MO_RIS_Adjustments_Dilution_GAAP,0,COLUMN())</f>
        <v/>
      </c>
      <c r="I38" s="1301">
        <f>INDEX(MO_RIS_Adjustments_Dilution_GAAP,0,COLUMN())</f>
        <v/>
      </c>
      <c r="J38" s="1301">
        <f>INDEX(MO_RIS_Adjustments_Dilution_GAAP,0,COLUMN())</f>
        <v/>
      </c>
      <c r="K38" s="1301">
        <f>INDEX(MO_RIS_Adjustments_Dilution_GAAP,0,COLUMN())</f>
        <v/>
      </c>
      <c r="L38" s="1928">
        <f>INDEX(MO_RIS_Adjustments_Dilution_GAAP,0,COLUMN())</f>
        <v/>
      </c>
      <c r="M38" s="1301">
        <f>INDEX(MO_RIS_Adjustments_Dilution_GAAP,0,COLUMN())</f>
        <v/>
      </c>
      <c r="N38" s="1301">
        <f>INDEX(MO_RIS_Adjustments_Dilution_GAAP,0,COLUMN())</f>
        <v/>
      </c>
      <c r="O38" s="1301">
        <f>INDEX(MO_RIS_Adjustments_Dilution_GAAP,0,COLUMN())</f>
        <v/>
      </c>
      <c r="P38" s="1301">
        <f>INDEX(MO_RIS_Adjustments_Dilution_GAAP,0,COLUMN())</f>
        <v/>
      </c>
      <c r="Q38" s="1928">
        <f>INDEX(MO_RIS_Adjustments_Dilution_GAAP,0,COLUMN())</f>
        <v/>
      </c>
      <c r="R38" s="1301">
        <f>INDEX(MO_RIS_Adjustments_Dilution_GAAP,0,COLUMN())</f>
        <v/>
      </c>
      <c r="S38" s="1301">
        <f>INDEX(MO_RIS_Adjustments_Dilution_GAAP,0,COLUMN())</f>
        <v/>
      </c>
      <c r="T38" s="1301">
        <f>INDEX(MO_RIS_Adjustments_Dilution_GAAP,0,COLUMN())</f>
        <v/>
      </c>
      <c r="U38" s="1301">
        <f>INDEX(MO_RIS_Adjustments_Dilution_GAAP,0,COLUMN())</f>
        <v/>
      </c>
      <c r="V38" s="1928">
        <f>INDEX(MO_RIS_Adjustments_Dilution_GAAP,0,COLUMN())</f>
        <v/>
      </c>
      <c r="W38" s="1301">
        <f>INDEX(MO_RIS_Adjustments_Dilution_GAAP,0,COLUMN())</f>
        <v/>
      </c>
      <c r="X38" s="1301">
        <f>INDEX(MO_RIS_Adjustments_Dilution_GAAP,0,COLUMN())</f>
        <v/>
      </c>
      <c r="Y38" s="1301">
        <f>INDEX(MO_RIS_Adjustments_Dilution_GAAP,0,COLUMN())</f>
        <v/>
      </c>
      <c r="Z38" s="1301">
        <f>INDEX(MO_RIS_Adjustments_Dilution_GAAP,0,COLUMN())</f>
        <v/>
      </c>
      <c r="AA38" s="1928">
        <f>INDEX(MO_RIS_Adjustments_Dilution_GAAP,0,COLUMN())</f>
        <v/>
      </c>
      <c r="AB38" s="1301">
        <f>INDEX(MO_RIS_Adjustments_Dilution_GAAP,0,COLUMN())</f>
        <v/>
      </c>
      <c r="AC38" s="1301">
        <f>INDEX(MO_RIS_Adjustments_Dilution_GAAP,0,COLUMN())</f>
        <v/>
      </c>
      <c r="AD38" s="1301">
        <f>INDEX(MO_RIS_Adjustments_Dilution_GAAP,0,COLUMN())</f>
        <v/>
      </c>
      <c r="AE38" s="1301">
        <f>INDEX(MO_RIS_Adjustments_Dilution_GAAP,0,COLUMN())</f>
        <v/>
      </c>
      <c r="AF38" s="1928">
        <f>INDEX(MO_RIS_Adjustments_Dilution_GAAP,0,COLUMN())</f>
        <v/>
      </c>
      <c r="AG38" s="1301">
        <f>INDEX(MO_RIS_Adjustments_Dilution_GAAP,0,COLUMN())</f>
        <v/>
      </c>
      <c r="AH38" s="1301">
        <f>INDEX(MO_RIS_Adjustments_Dilution_GAAP,0,COLUMN())</f>
        <v/>
      </c>
      <c r="AI38" s="1301">
        <f>INDEX(MO_RIS_Adjustments_Dilution_GAAP,0,COLUMN())</f>
        <v/>
      </c>
      <c r="AJ38" s="1301">
        <f>INDEX(MO_RIS_Adjustments_Dilution_GAAP,0,COLUMN())</f>
        <v/>
      </c>
      <c r="AK38" s="1928">
        <f>INDEX(MO_RIS_Adjustments_Dilution_GAAP,0,COLUMN())</f>
        <v/>
      </c>
      <c r="AL38" s="1301">
        <f>INDEX(MO_RIS_Adjustments_Dilution_GAAP,0,COLUMN())</f>
        <v/>
      </c>
      <c r="AM38" s="1301">
        <f>INDEX(MO_RIS_Adjustments_Dilution_GAAP,0,COLUMN())</f>
        <v/>
      </c>
      <c r="AN38" s="1301">
        <f>INDEX(MO_RIS_Adjustments_Dilution_GAAP,0,COLUMN())</f>
        <v/>
      </c>
      <c r="AO38" s="1301">
        <f>INDEX(MO_RIS_Adjustments_Dilution_GAAP,0,COLUMN())</f>
        <v/>
      </c>
      <c r="AP38" s="1928">
        <f>INDEX(MO_RIS_Adjustments_Dilution_GAAP,0,COLUMN())</f>
        <v/>
      </c>
      <c r="AQ38" s="1301">
        <f>INDEX(MO_RIS_Adjustments_Dilution_GAAP,0,COLUMN())</f>
        <v/>
      </c>
      <c r="AR38" s="1301">
        <f>INDEX(MO_RIS_Adjustments_Dilution_GAAP,0,COLUMN())</f>
        <v/>
      </c>
      <c r="AS38" s="1301">
        <f>INDEX(MO_RIS_Adjustments_Dilution_GAAP,0,COLUMN())</f>
        <v/>
      </c>
      <c r="AT38" s="1301">
        <f>INDEX(MO_RIS_Adjustments_Dilution_GAAP,0,COLUMN())</f>
        <v/>
      </c>
      <c r="AU38" s="1928">
        <f>INDEX(MO_RIS_Adjustments_Dilution_GAAP,0,COLUMN())</f>
        <v/>
      </c>
      <c r="AV38" s="1301">
        <f>INDEX(MO_RIS_Adjustments_Dilution_GAAP,0,COLUMN())</f>
        <v/>
      </c>
      <c r="AW38" s="1301">
        <f>INDEX(MO_RIS_Adjustments_Dilution_GAAP,0,COLUMN())</f>
        <v/>
      </c>
      <c r="AX38" s="1301">
        <f>INDEX(MO_RIS_Adjustments_Dilution_GAAP,0,COLUMN())</f>
        <v/>
      </c>
      <c r="AY38" s="1301">
        <f>INDEX(MO_RIS_Adjustments_Dilution_GAAP,0,COLUMN())</f>
        <v/>
      </c>
      <c r="AZ38" s="1928">
        <f>INDEX(MO_RIS_Adjustments_Dilution_GAAP,0,COLUMN())</f>
        <v/>
      </c>
      <c r="BA38" s="1301">
        <f>INDEX(MO_RIS_Adjustments_Dilution_GAAP,0,COLUMN())</f>
        <v/>
      </c>
      <c r="BB38" s="1301">
        <f>INDEX(MO_RIS_Adjustments_Dilution_GAAP,0,COLUMN())</f>
        <v/>
      </c>
      <c r="BC38" s="1301">
        <f>INDEX(MO_RIS_Adjustments_Dilution_GAAP,0,COLUMN())</f>
        <v/>
      </c>
      <c r="BD38" s="1301">
        <f>INDEX(MO_RIS_Adjustments_Dilution_GAAP,0,COLUMN())</f>
        <v/>
      </c>
      <c r="BE38" s="1928">
        <f>INDEX(MO_RIS_Adjustments_Dilution_GAAP,0,COLUMN())</f>
        <v/>
      </c>
      <c r="BF38" s="1301">
        <f>INDEX(MO_RIS_Adjustments_Dilution_GAAP,0,COLUMN())</f>
        <v/>
      </c>
      <c r="BG38" s="1301">
        <f>INDEX(MO_RIS_Adjustments_Dilution_GAAP,0,COLUMN())</f>
        <v/>
      </c>
      <c r="BH38" s="1301">
        <f>INDEX(MO_RIS_Adjustments_Dilution_GAAP,0,COLUMN())</f>
        <v/>
      </c>
      <c r="BI38" s="1301">
        <f>INDEX(MO_RIS_Adjustments_Dilution_GAAP,0,COLUMN())</f>
        <v/>
      </c>
      <c r="BJ38" s="1928">
        <f>INDEX(MO_RIS_Adjustments_Dilution_GAAP,0,COLUMN())</f>
        <v/>
      </c>
      <c r="BK38" s="1301">
        <f>INDEX(MO_RIS_Adjustments_Dilution_GAAP,0,COLUMN())</f>
        <v/>
      </c>
      <c r="BL38" s="1301">
        <f>INDEX(MO_RIS_Adjustments_Dilution_GAAP,0,COLUMN())</f>
        <v/>
      </c>
      <c r="BM38" s="1301">
        <f>INDEX(MO_RIS_Adjustments_Dilution_GAAP,0,COLUMN())</f>
        <v/>
      </c>
      <c r="BN38" s="1301">
        <f>INDEX(MO_RIS_Adjustments_Dilution_GAAP,0,COLUMN())</f>
        <v/>
      </c>
      <c r="BO38" s="1970">
        <f>INDEX(MO_RIS_Adjustments_Dilution_GAAP,0,COLUMN())</f>
        <v/>
      </c>
      <c r="BP38" s="1301">
        <f>INDEX(MO_RIS_Adjustments_Dilution_GAAP,0,COLUMN())</f>
        <v/>
      </c>
      <c r="BQ38" s="1301">
        <f>INDEX(MO_RIS_Adjustments_Dilution_GAAP,0,COLUMN())</f>
        <v/>
      </c>
      <c r="BR38" s="1301">
        <f>INDEX(MO_RIS_Adjustments_Dilution_GAAP,0,COLUMN())</f>
        <v/>
      </c>
      <c r="BS38" s="1301">
        <f>INDEX(MO_RIS_Adjustments_Dilution_GAAP,0,COLUMN())</f>
        <v/>
      </c>
      <c r="BT38" s="1928">
        <f>INDEX(MO_RIS_Adjustments_Dilution_GAAP,0,COLUMN())</f>
        <v/>
      </c>
      <c r="BU38" s="1301">
        <f>INDEX(MO_RIS_Adjustments_Dilution_GAAP,0,COLUMN())</f>
        <v/>
      </c>
      <c r="BV38" s="1301">
        <f>INDEX(MO_RIS_Adjustments_Dilution_GAAP,0,COLUMN())</f>
        <v/>
      </c>
      <c r="BW38" s="1301">
        <f>INDEX(MO_RIS_Adjustments_Dilution_GAAP,0,COLUMN())</f>
        <v/>
      </c>
      <c r="BX38" s="1301">
        <f>INDEX(MO_RIS_Adjustments_Dilution_GAAP,0,COLUMN())</f>
        <v/>
      </c>
      <c r="BY38" s="1928">
        <f>INDEX(MO_RIS_Adjustments_Dilution_GAAP,0,COLUMN())</f>
        <v/>
      </c>
      <c r="BZ38" s="1928">
        <f>INDEX(MO_RIS_Adjustments_Dilution_GAAP,0,COLUMN())</f>
        <v/>
      </c>
      <c r="CA38" s="1928">
        <f>INDEX(MO_RIS_Adjustments_Dilution_GAAP,0,COLUMN())</f>
        <v/>
      </c>
      <c r="CB38" s="1928">
        <f>INDEX(MO_RIS_Adjustments_Dilution_GAAP,0,COLUMN())</f>
        <v/>
      </c>
      <c r="CC38" s="1977" t="n"/>
    </row>
    <row r="39" ht="14.4" customFormat="1" customHeight="1" s="1974">
      <c r="A39" s="2003">
        <f>INDEX(MO_RIS_NI_GAAP_Diluted,0,COLUMN())</f>
        <v/>
      </c>
      <c r="B39" s="2004" t="n"/>
      <c r="C39" s="2005">
        <f>INDEX(MO_RIS_NI_GAAP_Diluted,0,COLUMN())</f>
        <v/>
      </c>
      <c r="D39" s="2005">
        <f>INDEX(MO_RIS_NI_GAAP_Diluted,0,COLUMN())</f>
        <v/>
      </c>
      <c r="E39" s="2005">
        <f>INDEX(MO_RIS_NI_GAAP_Diluted,0,COLUMN())</f>
        <v/>
      </c>
      <c r="F39" s="2005">
        <f>INDEX(MO_RIS_NI_GAAP_Diluted,0,COLUMN())</f>
        <v/>
      </c>
      <c r="G39" s="2005">
        <f>INDEX(MO_RIS_NI_GAAP_Diluted,0,COLUMN())</f>
        <v/>
      </c>
      <c r="H39" s="2006">
        <f>INDEX(MO_RIS_NI_GAAP_Diluted,0,COLUMN())</f>
        <v/>
      </c>
      <c r="I39" s="2006">
        <f>INDEX(MO_RIS_NI_GAAP_Diluted,0,COLUMN())</f>
        <v/>
      </c>
      <c r="J39" s="2006">
        <f>INDEX(MO_RIS_NI_GAAP_Diluted,0,COLUMN())</f>
        <v/>
      </c>
      <c r="K39" s="2006">
        <f>INDEX(MO_RIS_NI_GAAP_Diluted,0,COLUMN())</f>
        <v/>
      </c>
      <c r="L39" s="2005">
        <f>INDEX(MO_RIS_NI_GAAP_Diluted,0,COLUMN())</f>
        <v/>
      </c>
      <c r="M39" s="2006">
        <f>INDEX(MO_RIS_NI_GAAP_Diluted,0,COLUMN())</f>
        <v/>
      </c>
      <c r="N39" s="2006">
        <f>INDEX(MO_RIS_NI_GAAP_Diluted,0,COLUMN())</f>
        <v/>
      </c>
      <c r="O39" s="2006">
        <f>INDEX(MO_RIS_NI_GAAP_Diluted,0,COLUMN())</f>
        <v/>
      </c>
      <c r="P39" s="2006">
        <f>INDEX(MO_RIS_NI_GAAP_Diluted,0,COLUMN())</f>
        <v/>
      </c>
      <c r="Q39" s="2005">
        <f>INDEX(MO_RIS_NI_GAAP_Diluted,0,COLUMN())</f>
        <v/>
      </c>
      <c r="R39" s="2006">
        <f>INDEX(MO_RIS_NI_GAAP_Diluted,0,COLUMN())</f>
        <v/>
      </c>
      <c r="S39" s="2006">
        <f>INDEX(MO_RIS_NI_GAAP_Diluted,0,COLUMN())</f>
        <v/>
      </c>
      <c r="T39" s="2006">
        <f>INDEX(MO_RIS_NI_GAAP_Diluted,0,COLUMN())</f>
        <v/>
      </c>
      <c r="U39" s="2006">
        <f>INDEX(MO_RIS_NI_GAAP_Diluted,0,COLUMN())</f>
        <v/>
      </c>
      <c r="V39" s="2005">
        <f>INDEX(MO_RIS_NI_GAAP_Diluted,0,COLUMN())</f>
        <v/>
      </c>
      <c r="W39" s="2006">
        <f>INDEX(MO_RIS_NI_GAAP_Diluted,0,COLUMN())</f>
        <v/>
      </c>
      <c r="X39" s="2006">
        <f>INDEX(MO_RIS_NI_GAAP_Diluted,0,COLUMN())</f>
        <v/>
      </c>
      <c r="Y39" s="2006">
        <f>INDEX(MO_RIS_NI_GAAP_Diluted,0,COLUMN())</f>
        <v/>
      </c>
      <c r="Z39" s="2006">
        <f>INDEX(MO_RIS_NI_GAAP_Diluted,0,COLUMN())</f>
        <v/>
      </c>
      <c r="AA39" s="2005">
        <f>INDEX(MO_RIS_NI_GAAP_Diluted,0,COLUMN())</f>
        <v/>
      </c>
      <c r="AB39" s="2006">
        <f>INDEX(MO_RIS_NI_GAAP_Diluted,0,COLUMN())</f>
        <v/>
      </c>
      <c r="AC39" s="2006">
        <f>INDEX(MO_RIS_NI_GAAP_Diluted,0,COLUMN())</f>
        <v/>
      </c>
      <c r="AD39" s="2006">
        <f>INDEX(MO_RIS_NI_GAAP_Diluted,0,COLUMN())</f>
        <v/>
      </c>
      <c r="AE39" s="2006">
        <f>INDEX(MO_RIS_NI_GAAP_Diluted,0,COLUMN())</f>
        <v/>
      </c>
      <c r="AF39" s="2005">
        <f>INDEX(MO_RIS_NI_GAAP_Diluted,0,COLUMN())</f>
        <v/>
      </c>
      <c r="AG39" s="2006">
        <f>INDEX(MO_RIS_NI_GAAP_Diluted,0,COLUMN())</f>
        <v/>
      </c>
      <c r="AH39" s="2006">
        <f>INDEX(MO_RIS_NI_GAAP_Diluted,0,COLUMN())</f>
        <v/>
      </c>
      <c r="AI39" s="2006">
        <f>INDEX(MO_RIS_NI_GAAP_Diluted,0,COLUMN())</f>
        <v/>
      </c>
      <c r="AJ39" s="2006">
        <f>INDEX(MO_RIS_NI_GAAP_Diluted,0,COLUMN())</f>
        <v/>
      </c>
      <c r="AK39" s="2005">
        <f>INDEX(MO_RIS_NI_GAAP_Diluted,0,COLUMN())</f>
        <v/>
      </c>
      <c r="AL39" s="2006">
        <f>INDEX(MO_RIS_NI_GAAP_Diluted,0,COLUMN())</f>
        <v/>
      </c>
      <c r="AM39" s="2006">
        <f>INDEX(MO_RIS_NI_GAAP_Diluted,0,COLUMN())</f>
        <v/>
      </c>
      <c r="AN39" s="2006">
        <f>INDEX(MO_RIS_NI_GAAP_Diluted,0,COLUMN())</f>
        <v/>
      </c>
      <c r="AO39" s="2006">
        <f>INDEX(MO_RIS_NI_GAAP_Diluted,0,COLUMN())</f>
        <v/>
      </c>
      <c r="AP39" s="2005">
        <f>INDEX(MO_RIS_NI_GAAP_Diluted,0,COLUMN())</f>
        <v/>
      </c>
      <c r="AQ39" s="2006">
        <f>INDEX(MO_RIS_NI_GAAP_Diluted,0,COLUMN())</f>
        <v/>
      </c>
      <c r="AR39" s="2006">
        <f>INDEX(MO_RIS_NI_GAAP_Diluted,0,COLUMN())</f>
        <v/>
      </c>
      <c r="AS39" s="2006">
        <f>INDEX(MO_RIS_NI_GAAP_Diluted,0,COLUMN())</f>
        <v/>
      </c>
      <c r="AT39" s="2006">
        <f>INDEX(MO_RIS_NI_GAAP_Diluted,0,COLUMN())</f>
        <v/>
      </c>
      <c r="AU39" s="2005">
        <f>INDEX(MO_RIS_NI_GAAP_Diluted,0,COLUMN())</f>
        <v/>
      </c>
      <c r="AV39" s="2006">
        <f>INDEX(MO_RIS_NI_GAAP_Diluted,0,COLUMN())</f>
        <v/>
      </c>
      <c r="AW39" s="2006">
        <f>INDEX(MO_RIS_NI_GAAP_Diluted,0,COLUMN())</f>
        <v/>
      </c>
      <c r="AX39" s="2006">
        <f>INDEX(MO_RIS_NI_GAAP_Diluted,0,COLUMN())</f>
        <v/>
      </c>
      <c r="AY39" s="2006">
        <f>INDEX(MO_RIS_NI_GAAP_Diluted,0,COLUMN())</f>
        <v/>
      </c>
      <c r="AZ39" s="2005">
        <f>INDEX(MO_RIS_NI_GAAP_Diluted,0,COLUMN())</f>
        <v/>
      </c>
      <c r="BA39" s="2006">
        <f>INDEX(MO_RIS_NI_GAAP_Diluted,0,COLUMN())</f>
        <v/>
      </c>
      <c r="BB39" s="2006">
        <f>INDEX(MO_RIS_NI_GAAP_Diluted,0,COLUMN())</f>
        <v/>
      </c>
      <c r="BC39" s="2006">
        <f>INDEX(MO_RIS_NI_GAAP_Diluted,0,COLUMN())</f>
        <v/>
      </c>
      <c r="BD39" s="2006">
        <f>INDEX(MO_RIS_NI_GAAP_Diluted,0,COLUMN())</f>
        <v/>
      </c>
      <c r="BE39" s="2005">
        <f>INDEX(MO_RIS_NI_GAAP_Diluted,0,COLUMN())</f>
        <v/>
      </c>
      <c r="BF39" s="2006">
        <f>INDEX(MO_RIS_NI_GAAP_Diluted,0,COLUMN())</f>
        <v/>
      </c>
      <c r="BG39" s="2006">
        <f>INDEX(MO_RIS_NI_GAAP_Diluted,0,COLUMN())</f>
        <v/>
      </c>
      <c r="BH39" s="2006">
        <f>INDEX(MO_RIS_NI_GAAP_Diluted,0,COLUMN())</f>
        <v/>
      </c>
      <c r="BI39" s="2006">
        <f>INDEX(MO_RIS_NI_GAAP_Diluted,0,COLUMN())</f>
        <v/>
      </c>
      <c r="BJ39" s="2005">
        <f>INDEX(MO_RIS_NI_GAAP_Diluted,0,COLUMN())</f>
        <v/>
      </c>
      <c r="BK39" s="2006">
        <f>INDEX(MO_RIS_NI_GAAP_Diluted,0,COLUMN())</f>
        <v/>
      </c>
      <c r="BL39" s="2006">
        <f>INDEX(MO_RIS_NI_GAAP_Diluted,0,COLUMN())</f>
        <v/>
      </c>
      <c r="BM39" s="2006">
        <f>INDEX(MO_RIS_NI_GAAP_Diluted,0,COLUMN())</f>
        <v/>
      </c>
      <c r="BN39" s="2006">
        <f>INDEX(MO_RIS_NI_GAAP_Diluted,0,COLUMN())</f>
        <v/>
      </c>
      <c r="BO39" s="2007">
        <f>INDEX(MO_RIS_NI_GAAP_Diluted,0,COLUMN())</f>
        <v/>
      </c>
      <c r="BP39" s="2006">
        <f>INDEX(MO_RIS_NI_GAAP_Diluted,0,COLUMN())</f>
        <v/>
      </c>
      <c r="BQ39" s="2006">
        <f>INDEX(MO_RIS_NI_GAAP_Diluted,0,COLUMN())</f>
        <v/>
      </c>
      <c r="BR39" s="2006">
        <f>INDEX(MO_RIS_NI_GAAP_Diluted,0,COLUMN())</f>
        <v/>
      </c>
      <c r="BS39" s="2006">
        <f>INDEX(MO_RIS_NI_GAAP_Diluted,0,COLUMN())</f>
        <v/>
      </c>
      <c r="BT39" s="2005">
        <f>INDEX(MO_RIS_NI_GAAP_Diluted,0,COLUMN())</f>
        <v/>
      </c>
      <c r="BU39" s="2006">
        <f>INDEX(MO_RIS_NI_GAAP_Diluted,0,COLUMN())</f>
        <v/>
      </c>
      <c r="BV39" s="2006">
        <f>INDEX(MO_RIS_NI_GAAP_Diluted,0,COLUMN())</f>
        <v/>
      </c>
      <c r="BW39" s="2006">
        <f>INDEX(MO_RIS_NI_GAAP_Diluted,0,COLUMN())</f>
        <v/>
      </c>
      <c r="BX39" s="2006">
        <f>INDEX(MO_RIS_NI_GAAP_Diluted,0,COLUMN())</f>
        <v/>
      </c>
      <c r="BY39" s="2005">
        <f>INDEX(MO_RIS_NI_GAAP_Diluted,0,COLUMN())</f>
        <v/>
      </c>
      <c r="BZ39" s="2005">
        <f>INDEX(MO_RIS_NI_GAAP_Diluted,0,COLUMN())</f>
        <v/>
      </c>
      <c r="CA39" s="2005">
        <f>INDEX(MO_RIS_NI_GAAP_Diluted,0,COLUMN())</f>
        <v/>
      </c>
      <c r="CB39" s="2005">
        <f>INDEX(MO_RIS_NI_GAAP_Diluted,0,COLUMN())</f>
        <v/>
      </c>
      <c r="CC39" s="1977" t="n"/>
    </row>
    <row r="40" ht="14.4" customFormat="1" customHeight="1" s="1947">
      <c r="A40" s="2008">
        <f>INDEX(MO_RIS_EPS_WAD,0,COLUMN())</f>
        <v/>
      </c>
      <c r="B40" s="2009" t="n"/>
      <c r="C40" s="2010">
        <f>INDEX(MO_RIS_EPS_WAD,0,COLUMN())</f>
        <v/>
      </c>
      <c r="D40" s="2010">
        <f>INDEX(MO_RIS_EPS_WAD,0,COLUMN())</f>
        <v/>
      </c>
      <c r="E40" s="2010">
        <f>INDEX(MO_RIS_EPS_WAD,0,COLUMN())</f>
        <v/>
      </c>
      <c r="F40" s="2010">
        <f>INDEX(MO_RIS_EPS_WAD,0,COLUMN())</f>
        <v/>
      </c>
      <c r="G40" s="2010">
        <f>INDEX(MO_RIS_EPS_WAD,0,COLUMN())</f>
        <v/>
      </c>
      <c r="H40" s="2011">
        <f>INDEX(MO_RIS_EPS_WAD,0,COLUMN())</f>
        <v/>
      </c>
      <c r="I40" s="2011">
        <f>INDEX(MO_RIS_EPS_WAD,0,COLUMN())</f>
        <v/>
      </c>
      <c r="J40" s="2011">
        <f>INDEX(MO_RIS_EPS_WAD,0,COLUMN())</f>
        <v/>
      </c>
      <c r="K40" s="2011">
        <f>INDEX(MO_RIS_EPS_WAD,0,COLUMN())</f>
        <v/>
      </c>
      <c r="L40" s="2010">
        <f>INDEX(MO_RIS_EPS_WAD,0,COLUMN())</f>
        <v/>
      </c>
      <c r="M40" s="2011">
        <f>INDEX(MO_RIS_EPS_WAD,0,COLUMN())</f>
        <v/>
      </c>
      <c r="N40" s="2011">
        <f>INDEX(MO_RIS_EPS_WAD,0,COLUMN())</f>
        <v/>
      </c>
      <c r="O40" s="2011">
        <f>INDEX(MO_RIS_EPS_WAD,0,COLUMN())</f>
        <v/>
      </c>
      <c r="P40" s="2011">
        <f>INDEX(MO_RIS_EPS_WAD,0,COLUMN())</f>
        <v/>
      </c>
      <c r="Q40" s="2010">
        <f>INDEX(MO_RIS_EPS_WAD,0,COLUMN())</f>
        <v/>
      </c>
      <c r="R40" s="2011">
        <f>INDEX(MO_RIS_EPS_WAD,0,COLUMN())</f>
        <v/>
      </c>
      <c r="S40" s="2011">
        <f>INDEX(MO_RIS_EPS_WAD,0,COLUMN())</f>
        <v/>
      </c>
      <c r="T40" s="2011">
        <f>INDEX(MO_RIS_EPS_WAD,0,COLUMN())</f>
        <v/>
      </c>
      <c r="U40" s="2011">
        <f>INDEX(MO_RIS_EPS_WAD,0,COLUMN())</f>
        <v/>
      </c>
      <c r="V40" s="2010">
        <f>INDEX(MO_RIS_EPS_WAD,0,COLUMN())</f>
        <v/>
      </c>
      <c r="W40" s="2011">
        <f>INDEX(MO_RIS_EPS_WAD,0,COLUMN())</f>
        <v/>
      </c>
      <c r="X40" s="2011">
        <f>INDEX(MO_RIS_EPS_WAD,0,COLUMN())</f>
        <v/>
      </c>
      <c r="Y40" s="2011">
        <f>INDEX(MO_RIS_EPS_WAD,0,COLUMN())</f>
        <v/>
      </c>
      <c r="Z40" s="2011">
        <f>INDEX(MO_RIS_EPS_WAD,0,COLUMN())</f>
        <v/>
      </c>
      <c r="AA40" s="2010">
        <f>INDEX(MO_RIS_EPS_WAD,0,COLUMN())</f>
        <v/>
      </c>
      <c r="AB40" s="2011">
        <f>INDEX(MO_RIS_EPS_WAD,0,COLUMN())</f>
        <v/>
      </c>
      <c r="AC40" s="2011">
        <f>INDEX(MO_RIS_EPS_WAD,0,COLUMN())</f>
        <v/>
      </c>
      <c r="AD40" s="2011">
        <f>INDEX(MO_RIS_EPS_WAD,0,COLUMN())</f>
        <v/>
      </c>
      <c r="AE40" s="2011">
        <f>INDEX(MO_RIS_EPS_WAD,0,COLUMN())</f>
        <v/>
      </c>
      <c r="AF40" s="2010">
        <f>INDEX(MO_RIS_EPS_WAD,0,COLUMN())</f>
        <v/>
      </c>
      <c r="AG40" s="2011">
        <f>INDEX(MO_RIS_EPS_WAD,0,COLUMN())</f>
        <v/>
      </c>
      <c r="AH40" s="2011">
        <f>INDEX(MO_RIS_EPS_WAD,0,COLUMN())</f>
        <v/>
      </c>
      <c r="AI40" s="2011">
        <f>INDEX(MO_RIS_EPS_WAD,0,COLUMN())</f>
        <v/>
      </c>
      <c r="AJ40" s="2011">
        <f>INDEX(MO_RIS_EPS_WAD,0,COLUMN())</f>
        <v/>
      </c>
      <c r="AK40" s="2010">
        <f>INDEX(MO_RIS_EPS_WAD,0,COLUMN())</f>
        <v/>
      </c>
      <c r="AL40" s="2011">
        <f>INDEX(MO_RIS_EPS_WAD,0,COLUMN())</f>
        <v/>
      </c>
      <c r="AM40" s="2011">
        <f>INDEX(MO_RIS_EPS_WAD,0,COLUMN())</f>
        <v/>
      </c>
      <c r="AN40" s="2011">
        <f>INDEX(MO_RIS_EPS_WAD,0,COLUMN())</f>
        <v/>
      </c>
      <c r="AO40" s="2011">
        <f>INDEX(MO_RIS_EPS_WAD,0,COLUMN())</f>
        <v/>
      </c>
      <c r="AP40" s="2010">
        <f>INDEX(MO_RIS_EPS_WAD,0,COLUMN())</f>
        <v/>
      </c>
      <c r="AQ40" s="2011">
        <f>INDEX(MO_RIS_EPS_WAD,0,COLUMN())</f>
        <v/>
      </c>
      <c r="AR40" s="2011">
        <f>INDEX(MO_RIS_EPS_WAD,0,COLUMN())</f>
        <v/>
      </c>
      <c r="AS40" s="2011">
        <f>INDEX(MO_RIS_EPS_WAD,0,COLUMN())</f>
        <v/>
      </c>
      <c r="AT40" s="2011">
        <f>INDEX(MO_RIS_EPS_WAD,0,COLUMN())</f>
        <v/>
      </c>
      <c r="AU40" s="2010">
        <f>INDEX(MO_RIS_EPS_WAD,0,COLUMN())</f>
        <v/>
      </c>
      <c r="AV40" s="2011">
        <f>INDEX(MO_RIS_EPS_WAD,0,COLUMN())</f>
        <v/>
      </c>
      <c r="AW40" s="2011">
        <f>INDEX(MO_RIS_EPS_WAD,0,COLUMN())</f>
        <v/>
      </c>
      <c r="AX40" s="2011">
        <f>INDEX(MO_RIS_EPS_WAD,0,COLUMN())</f>
        <v/>
      </c>
      <c r="AY40" s="2011">
        <f>INDEX(MO_RIS_EPS_WAD,0,COLUMN())</f>
        <v/>
      </c>
      <c r="AZ40" s="2010">
        <f>INDEX(MO_RIS_EPS_WAD,0,COLUMN())</f>
        <v/>
      </c>
      <c r="BA40" s="2011">
        <f>INDEX(MO_RIS_EPS_WAD,0,COLUMN())</f>
        <v/>
      </c>
      <c r="BB40" s="2011">
        <f>INDEX(MO_RIS_EPS_WAD,0,COLUMN())</f>
        <v/>
      </c>
      <c r="BC40" s="2011">
        <f>INDEX(MO_RIS_EPS_WAD,0,COLUMN())</f>
        <v/>
      </c>
      <c r="BD40" s="2011">
        <f>INDEX(MO_RIS_EPS_WAD,0,COLUMN())</f>
        <v/>
      </c>
      <c r="BE40" s="2010">
        <f>INDEX(MO_RIS_EPS_WAD,0,COLUMN())</f>
        <v/>
      </c>
      <c r="BF40" s="2011">
        <f>INDEX(MO_RIS_EPS_WAD,0,COLUMN())</f>
        <v/>
      </c>
      <c r="BG40" s="2011">
        <f>INDEX(MO_RIS_EPS_WAD,0,COLUMN())</f>
        <v/>
      </c>
      <c r="BH40" s="2011">
        <f>INDEX(MO_RIS_EPS_WAD,0,COLUMN())</f>
        <v/>
      </c>
      <c r="BI40" s="2011">
        <f>INDEX(MO_RIS_EPS_WAD,0,COLUMN())</f>
        <v/>
      </c>
      <c r="BJ40" s="2010">
        <f>INDEX(MO_RIS_EPS_WAD,0,COLUMN())</f>
        <v/>
      </c>
      <c r="BK40" s="2011">
        <f>INDEX(MO_RIS_EPS_WAD,0,COLUMN())</f>
        <v/>
      </c>
      <c r="BL40" s="2011">
        <f>INDEX(MO_RIS_EPS_WAD,0,COLUMN())</f>
        <v/>
      </c>
      <c r="BM40" s="2011">
        <f>INDEX(MO_RIS_EPS_WAD,0,COLUMN())</f>
        <v/>
      </c>
      <c r="BN40" s="2011">
        <f>INDEX(MO_RIS_EPS_WAD,0,COLUMN())</f>
        <v/>
      </c>
      <c r="BO40" s="2012">
        <f>INDEX(MO_RIS_EPS_WAD,0,COLUMN())</f>
        <v/>
      </c>
      <c r="BP40" s="2011">
        <f>INDEX(MO_RIS_EPS_WAD,0,COLUMN())</f>
        <v/>
      </c>
      <c r="BQ40" s="2011">
        <f>INDEX(MO_RIS_EPS_WAD,0,COLUMN())</f>
        <v/>
      </c>
      <c r="BR40" s="2011">
        <f>INDEX(MO_RIS_EPS_WAD,0,COLUMN())</f>
        <v/>
      </c>
      <c r="BS40" s="2011">
        <f>INDEX(MO_RIS_EPS_WAD,0,COLUMN())</f>
        <v/>
      </c>
      <c r="BT40" s="2010">
        <f>INDEX(MO_RIS_EPS_WAD,0,COLUMN())</f>
        <v/>
      </c>
      <c r="BU40" s="2011">
        <f>INDEX(MO_RIS_EPS_WAD,0,COLUMN())</f>
        <v/>
      </c>
      <c r="BV40" s="2011">
        <f>INDEX(MO_RIS_EPS_WAD,0,COLUMN())</f>
        <v/>
      </c>
      <c r="BW40" s="2011">
        <f>INDEX(MO_RIS_EPS_WAD,0,COLUMN())</f>
        <v/>
      </c>
      <c r="BX40" s="2011">
        <f>INDEX(MO_RIS_EPS_WAD,0,COLUMN())</f>
        <v/>
      </c>
      <c r="BY40" s="2010">
        <f>INDEX(MO_RIS_EPS_WAD,0,COLUMN())</f>
        <v/>
      </c>
      <c r="BZ40" s="2010">
        <f>INDEX(MO_RIS_EPS_WAD,0,COLUMN())</f>
        <v/>
      </c>
      <c r="CA40" s="2010">
        <f>INDEX(MO_RIS_EPS_WAD,0,COLUMN())</f>
        <v/>
      </c>
      <c r="CB40" s="2010">
        <f>INDEX(MO_RIS_EPS_WAD,0,COLUMN())</f>
        <v/>
      </c>
      <c r="CC40" s="1954" t="n"/>
    </row>
    <row r="41" ht="14.4" customFormat="1" customHeight="1" s="1939">
      <c r="A41" s="2013">
        <f>INDEX(MO_RIS_ShareCount_WAD_Adj,0,COLUMN())</f>
        <v/>
      </c>
      <c r="B41" s="1969" t="n"/>
      <c r="C41" s="1928">
        <f>INDEX(MO_RIS_ShareCount_WAD_Adj,0,COLUMN())</f>
        <v/>
      </c>
      <c r="D41" s="1928">
        <f>INDEX(MO_RIS_ShareCount_WAD_Adj,0,COLUMN())</f>
        <v/>
      </c>
      <c r="E41" s="1928">
        <f>INDEX(MO_RIS_ShareCount_WAD_Adj,0,COLUMN())</f>
        <v/>
      </c>
      <c r="F41" s="1928">
        <f>INDEX(MO_RIS_ShareCount_WAD_Adj,0,COLUMN())</f>
        <v/>
      </c>
      <c r="G41" s="1928">
        <f>INDEX(MO_RIS_ShareCount_WAD_Adj,0,COLUMN())</f>
        <v/>
      </c>
      <c r="H41" s="1301">
        <f>INDEX(MO_RIS_ShareCount_WAD_Adj,0,COLUMN())</f>
        <v/>
      </c>
      <c r="I41" s="1301">
        <f>INDEX(MO_RIS_ShareCount_WAD_Adj,0,COLUMN())</f>
        <v/>
      </c>
      <c r="J41" s="1301">
        <f>INDEX(MO_RIS_ShareCount_WAD_Adj,0,COLUMN())</f>
        <v/>
      </c>
      <c r="K41" s="1301">
        <f>INDEX(MO_RIS_ShareCount_WAD_Adj,0,COLUMN())</f>
        <v/>
      </c>
      <c r="L41" s="1928">
        <f>INDEX(MO_RIS_ShareCount_WAD_Adj,0,COLUMN())</f>
        <v/>
      </c>
      <c r="M41" s="1301">
        <f>INDEX(MO_RIS_ShareCount_WAD_Adj,0,COLUMN())</f>
        <v/>
      </c>
      <c r="N41" s="1301">
        <f>INDEX(MO_RIS_ShareCount_WAD_Adj,0,COLUMN())</f>
        <v/>
      </c>
      <c r="O41" s="1301">
        <f>INDEX(MO_RIS_ShareCount_WAD_Adj,0,COLUMN())</f>
        <v/>
      </c>
      <c r="P41" s="1301">
        <f>INDEX(MO_RIS_ShareCount_WAD_Adj,0,COLUMN())</f>
        <v/>
      </c>
      <c r="Q41" s="1928">
        <f>INDEX(MO_RIS_ShareCount_WAD_Adj,0,COLUMN())</f>
        <v/>
      </c>
      <c r="R41" s="1301">
        <f>INDEX(MO_RIS_ShareCount_WAD_Adj,0,COLUMN())</f>
        <v/>
      </c>
      <c r="S41" s="1301">
        <f>INDEX(MO_RIS_ShareCount_WAD_Adj,0,COLUMN())</f>
        <v/>
      </c>
      <c r="T41" s="1301">
        <f>INDEX(MO_RIS_ShareCount_WAD_Adj,0,COLUMN())</f>
        <v/>
      </c>
      <c r="U41" s="1301">
        <f>INDEX(MO_RIS_ShareCount_WAD_Adj,0,COLUMN())</f>
        <v/>
      </c>
      <c r="V41" s="1928">
        <f>INDEX(MO_RIS_ShareCount_WAD_Adj,0,COLUMN())</f>
        <v/>
      </c>
      <c r="W41" s="1301">
        <f>INDEX(MO_RIS_ShareCount_WAD_Adj,0,COLUMN())</f>
        <v/>
      </c>
      <c r="X41" s="1301">
        <f>INDEX(MO_RIS_ShareCount_WAD_Adj,0,COLUMN())</f>
        <v/>
      </c>
      <c r="Y41" s="1301">
        <f>INDEX(MO_RIS_ShareCount_WAD_Adj,0,COLUMN())</f>
        <v/>
      </c>
      <c r="Z41" s="1301">
        <f>INDEX(MO_RIS_ShareCount_WAD_Adj,0,COLUMN())</f>
        <v/>
      </c>
      <c r="AA41" s="1928">
        <f>INDEX(MO_RIS_ShareCount_WAD_Adj,0,COLUMN())</f>
        <v/>
      </c>
      <c r="AB41" s="1301">
        <f>INDEX(MO_RIS_ShareCount_WAD_Adj,0,COLUMN())</f>
        <v/>
      </c>
      <c r="AC41" s="1301">
        <f>INDEX(MO_RIS_ShareCount_WAD_Adj,0,COLUMN())</f>
        <v/>
      </c>
      <c r="AD41" s="1301">
        <f>INDEX(MO_RIS_ShareCount_WAD_Adj,0,COLUMN())</f>
        <v/>
      </c>
      <c r="AE41" s="1301">
        <f>INDEX(MO_RIS_ShareCount_WAD_Adj,0,COLUMN())</f>
        <v/>
      </c>
      <c r="AF41" s="1928">
        <f>INDEX(MO_RIS_ShareCount_WAD_Adj,0,COLUMN())</f>
        <v/>
      </c>
      <c r="AG41" s="1301">
        <f>INDEX(MO_RIS_ShareCount_WAD_Adj,0,COLUMN())</f>
        <v/>
      </c>
      <c r="AH41" s="1301">
        <f>INDEX(MO_RIS_ShareCount_WAD_Adj,0,COLUMN())</f>
        <v/>
      </c>
      <c r="AI41" s="1301">
        <f>INDEX(MO_RIS_ShareCount_WAD_Adj,0,COLUMN())</f>
        <v/>
      </c>
      <c r="AJ41" s="1301">
        <f>INDEX(MO_RIS_ShareCount_WAD_Adj,0,COLUMN())</f>
        <v/>
      </c>
      <c r="AK41" s="1928">
        <f>INDEX(MO_RIS_ShareCount_WAD_Adj,0,COLUMN())</f>
        <v/>
      </c>
      <c r="AL41" s="1301">
        <f>INDEX(MO_RIS_ShareCount_WAD_Adj,0,COLUMN())</f>
        <v/>
      </c>
      <c r="AM41" s="1301">
        <f>INDEX(MO_RIS_ShareCount_WAD_Adj,0,COLUMN())</f>
        <v/>
      </c>
      <c r="AN41" s="1301">
        <f>INDEX(MO_RIS_ShareCount_WAD_Adj,0,COLUMN())</f>
        <v/>
      </c>
      <c r="AO41" s="1301">
        <f>INDEX(MO_RIS_ShareCount_WAD_Adj,0,COLUMN())</f>
        <v/>
      </c>
      <c r="AP41" s="1928">
        <f>INDEX(MO_RIS_ShareCount_WAD_Adj,0,COLUMN())</f>
        <v/>
      </c>
      <c r="AQ41" s="1301">
        <f>INDEX(MO_RIS_ShareCount_WAD_Adj,0,COLUMN())</f>
        <v/>
      </c>
      <c r="AR41" s="1301">
        <f>INDEX(MO_RIS_ShareCount_WAD_Adj,0,COLUMN())</f>
        <v/>
      </c>
      <c r="AS41" s="1301">
        <f>INDEX(MO_RIS_ShareCount_WAD_Adj,0,COLUMN())</f>
        <v/>
      </c>
      <c r="AT41" s="1301">
        <f>INDEX(MO_RIS_ShareCount_WAD_Adj,0,COLUMN())</f>
        <v/>
      </c>
      <c r="AU41" s="1928">
        <f>INDEX(MO_RIS_ShareCount_WAD_Adj,0,COLUMN())</f>
        <v/>
      </c>
      <c r="AV41" s="1301">
        <f>INDEX(MO_RIS_ShareCount_WAD_Adj,0,COLUMN())</f>
        <v/>
      </c>
      <c r="AW41" s="1301">
        <f>INDEX(MO_RIS_ShareCount_WAD_Adj,0,COLUMN())</f>
        <v/>
      </c>
      <c r="AX41" s="1301">
        <f>INDEX(MO_RIS_ShareCount_WAD_Adj,0,COLUMN())</f>
        <v/>
      </c>
      <c r="AY41" s="1301">
        <f>INDEX(MO_RIS_ShareCount_WAD_Adj,0,COLUMN())</f>
        <v/>
      </c>
      <c r="AZ41" s="1928">
        <f>INDEX(MO_RIS_ShareCount_WAD_Adj,0,COLUMN())</f>
        <v/>
      </c>
      <c r="BA41" s="1301">
        <f>INDEX(MO_RIS_ShareCount_WAD_Adj,0,COLUMN())</f>
        <v/>
      </c>
      <c r="BB41" s="1301">
        <f>INDEX(MO_RIS_ShareCount_WAD_Adj,0,COLUMN())</f>
        <v/>
      </c>
      <c r="BC41" s="1301">
        <f>INDEX(MO_RIS_ShareCount_WAD_Adj,0,COLUMN())</f>
        <v/>
      </c>
      <c r="BD41" s="1301">
        <f>INDEX(MO_RIS_ShareCount_WAD_Adj,0,COLUMN())</f>
        <v/>
      </c>
      <c r="BE41" s="1928">
        <f>INDEX(MO_RIS_ShareCount_WAD_Adj,0,COLUMN())</f>
        <v/>
      </c>
      <c r="BF41" s="1301">
        <f>INDEX(MO_RIS_ShareCount_WAD_Adj,0,COLUMN())</f>
        <v/>
      </c>
      <c r="BG41" s="1301">
        <f>INDEX(MO_RIS_ShareCount_WAD_Adj,0,COLUMN())</f>
        <v/>
      </c>
      <c r="BH41" s="1301">
        <f>INDEX(MO_RIS_ShareCount_WAD_Adj,0,COLUMN())</f>
        <v/>
      </c>
      <c r="BI41" s="1301">
        <f>INDEX(MO_RIS_ShareCount_WAD_Adj,0,COLUMN())</f>
        <v/>
      </c>
      <c r="BJ41" s="1928">
        <f>INDEX(MO_RIS_ShareCount_WAD_Adj,0,COLUMN())</f>
        <v/>
      </c>
      <c r="BK41" s="1301">
        <f>INDEX(MO_RIS_ShareCount_WAD_Adj,0,COLUMN())</f>
        <v/>
      </c>
      <c r="BL41" s="1301">
        <f>INDEX(MO_RIS_ShareCount_WAD_Adj,0,COLUMN())</f>
        <v/>
      </c>
      <c r="BM41" s="1301">
        <f>INDEX(MO_RIS_ShareCount_WAD_Adj,0,COLUMN())</f>
        <v/>
      </c>
      <c r="BN41" s="1301">
        <f>INDEX(MO_RIS_ShareCount_WAD_Adj,0,COLUMN())</f>
        <v/>
      </c>
      <c r="BO41" s="1970">
        <f>INDEX(MO_RIS_ShareCount_WAD_Adj,0,COLUMN())</f>
        <v/>
      </c>
      <c r="BP41" s="1301">
        <f>INDEX(MO_RIS_ShareCount_WAD_Adj,0,COLUMN())</f>
        <v/>
      </c>
      <c r="BQ41" s="1301">
        <f>INDEX(MO_RIS_ShareCount_WAD_Adj,0,COLUMN())</f>
        <v/>
      </c>
      <c r="BR41" s="1301">
        <f>INDEX(MO_RIS_ShareCount_WAD_Adj,0,COLUMN())</f>
        <v/>
      </c>
      <c r="BS41" s="1301">
        <f>INDEX(MO_RIS_ShareCount_WAD_Adj,0,COLUMN())</f>
        <v/>
      </c>
      <c r="BT41" s="1928">
        <f>INDEX(MO_RIS_ShareCount_WAD_Adj,0,COLUMN())</f>
        <v/>
      </c>
      <c r="BU41" s="1301">
        <f>INDEX(MO_RIS_ShareCount_WAD_Adj,0,COLUMN())</f>
        <v/>
      </c>
      <c r="BV41" s="1301">
        <f>INDEX(MO_RIS_ShareCount_WAD_Adj,0,COLUMN())</f>
        <v/>
      </c>
      <c r="BW41" s="1301">
        <f>INDEX(MO_RIS_ShareCount_WAD_Adj,0,COLUMN())</f>
        <v/>
      </c>
      <c r="BX41" s="1301">
        <f>INDEX(MO_RIS_ShareCount_WAD_Adj,0,COLUMN())</f>
        <v/>
      </c>
      <c r="BY41" s="1928">
        <f>INDEX(MO_RIS_ShareCount_WAD_Adj,0,COLUMN())</f>
        <v/>
      </c>
      <c r="BZ41" s="1928">
        <f>INDEX(MO_RIS_ShareCount_WAD_Adj,0,COLUMN())</f>
        <v/>
      </c>
      <c r="CA41" s="1928">
        <f>INDEX(MO_RIS_ShareCount_WAD_Adj,0,COLUMN())</f>
        <v/>
      </c>
      <c r="CB41" s="1928">
        <f>INDEX(MO_RIS_ShareCount_WAD_Adj,0,COLUMN())</f>
        <v/>
      </c>
      <c r="CC41" s="1301" t="n"/>
    </row>
    <row r="42" ht="14.4" customFormat="1" customHeight="1" s="1939">
      <c r="A42" s="1968" t="n"/>
      <c r="B42" s="1969" t="n"/>
      <c r="C42" s="1928" t="n"/>
      <c r="D42" s="1928" t="n"/>
      <c r="E42" s="1928" t="n"/>
      <c r="F42" s="1928" t="n"/>
      <c r="G42" s="1928" t="n"/>
      <c r="H42" s="1301" t="n"/>
      <c r="I42" s="1301" t="n"/>
      <c r="J42" s="1301" t="n"/>
      <c r="K42" s="1301" t="n"/>
      <c r="L42" s="1928" t="n"/>
      <c r="M42" s="1301" t="n"/>
      <c r="N42" s="1301" t="n"/>
      <c r="O42" s="1301" t="n"/>
      <c r="P42" s="1301" t="n"/>
      <c r="Q42" s="1928" t="n"/>
      <c r="R42" s="1301" t="n"/>
      <c r="S42" s="1301" t="n"/>
      <c r="T42" s="1301" t="n"/>
      <c r="U42" s="1301" t="n"/>
      <c r="V42" s="1928" t="n"/>
      <c r="W42" s="1301" t="n"/>
      <c r="X42" s="1301" t="n"/>
      <c r="Y42" s="1301" t="n"/>
      <c r="Z42" s="1301" t="n"/>
      <c r="AA42" s="1928" t="n"/>
      <c r="AB42" s="1301" t="n"/>
      <c r="AC42" s="1301" t="n"/>
      <c r="AD42" s="1301" t="n"/>
      <c r="AE42" s="1301" t="n"/>
      <c r="AF42" s="1928" t="n"/>
      <c r="AG42" s="1301" t="n"/>
      <c r="AH42" s="1301" t="n"/>
      <c r="AI42" s="1301" t="n"/>
      <c r="AJ42" s="1301" t="n"/>
      <c r="AK42" s="1928" t="n"/>
      <c r="AL42" s="1301" t="n"/>
      <c r="AM42" s="1301" t="n"/>
      <c r="AN42" s="1301" t="n"/>
      <c r="AO42" s="1301" t="n"/>
      <c r="AP42" s="1928" t="n"/>
      <c r="AQ42" s="1301" t="n"/>
      <c r="AR42" s="1301" t="n"/>
      <c r="AS42" s="1301" t="n"/>
      <c r="AT42" s="1301" t="n"/>
      <c r="AU42" s="1928" t="n"/>
      <c r="AV42" s="1301" t="n"/>
      <c r="AW42" s="1301" t="n"/>
      <c r="AX42" s="1301" t="n"/>
      <c r="AY42" s="1301" t="n"/>
      <c r="AZ42" s="1928" t="n"/>
      <c r="BA42" s="1301" t="n"/>
      <c r="BB42" s="1301" t="n"/>
      <c r="BC42" s="1301" t="n"/>
      <c r="BD42" s="1301" t="n"/>
      <c r="BE42" s="1928" t="n"/>
      <c r="BF42" s="1301" t="n"/>
      <c r="BG42" s="1301" t="n"/>
      <c r="BH42" s="1301" t="n"/>
      <c r="BI42" s="1301" t="n"/>
      <c r="BJ42" s="1928" t="n"/>
      <c r="BK42" s="1301" t="n"/>
      <c r="BL42" s="1301" t="n"/>
      <c r="BM42" s="1301" t="n"/>
      <c r="BN42" s="1301" t="n"/>
      <c r="BO42" s="1970" t="n"/>
      <c r="BP42" s="1301" t="n"/>
      <c r="BQ42" s="1301" t="n"/>
      <c r="BR42" s="1301" t="n"/>
      <c r="BS42" s="1301" t="n"/>
      <c r="BT42" s="1928" t="n"/>
      <c r="BU42" s="1301" t="n"/>
      <c r="BV42" s="1301" t="n"/>
      <c r="BW42" s="1301" t="n"/>
      <c r="BX42" s="1301" t="n"/>
      <c r="BY42" s="1928" t="n"/>
      <c r="BZ42" s="1928" t="n"/>
      <c r="CA42" s="1928" t="n"/>
      <c r="CB42" s="1928" t="n"/>
      <c r="CC42" s="1301" t="n"/>
    </row>
    <row r="43" ht="14.4" customHeight="1" s="876">
      <c r="A43" s="2014" t="inlineStr">
        <is>
          <t>Non-GAAP Financials</t>
        </is>
      </c>
      <c r="B43" s="2015" t="n"/>
      <c r="C43" s="2015" t="n"/>
      <c r="D43" s="2015" t="n"/>
      <c r="E43" s="2015" t="n"/>
      <c r="F43" s="2015" t="n"/>
      <c r="G43" s="2015" t="n"/>
      <c r="H43" s="2015" t="n"/>
      <c r="I43" s="2015" t="n"/>
      <c r="J43" s="2015" t="n"/>
      <c r="K43" s="2015" t="n"/>
      <c r="L43" s="2015" t="n"/>
      <c r="M43" s="2015" t="n"/>
      <c r="N43" s="2015" t="n"/>
      <c r="O43" s="2015" t="n"/>
      <c r="P43" s="2015" t="n"/>
      <c r="Q43" s="2015" t="n"/>
      <c r="R43" s="2015" t="n"/>
      <c r="S43" s="2015" t="n"/>
      <c r="T43" s="2015" t="n"/>
      <c r="U43" s="2015" t="n"/>
      <c r="V43" s="2015" t="n"/>
      <c r="W43" s="2015" t="n"/>
      <c r="X43" s="2015" t="n"/>
      <c r="Y43" s="2015" t="n"/>
      <c r="Z43" s="2015" t="n"/>
      <c r="AA43" s="2015" t="n"/>
      <c r="AB43" s="2015" t="n"/>
      <c r="AC43" s="2015" t="n"/>
      <c r="AD43" s="2015" t="n"/>
      <c r="AE43" s="2015" t="n"/>
      <c r="AF43" s="2015" t="n"/>
      <c r="AG43" s="2015" t="n"/>
      <c r="AH43" s="2015" t="n"/>
      <c r="AI43" s="2015" t="n"/>
      <c r="AJ43" s="2015" t="n"/>
      <c r="AK43" s="2015" t="n"/>
      <c r="AL43" s="2015" t="n"/>
      <c r="AM43" s="2015" t="n"/>
      <c r="AN43" s="2015" t="n"/>
      <c r="AO43" s="2015" t="n"/>
      <c r="AP43" s="2015" t="n"/>
      <c r="AQ43" s="2015" t="n"/>
      <c r="AR43" s="2015" t="n"/>
      <c r="AS43" s="2015" t="n"/>
      <c r="AT43" s="2015" t="n"/>
      <c r="AU43" s="2015" t="n"/>
      <c r="AV43" s="2015" t="n"/>
      <c r="AW43" s="2015" t="n"/>
      <c r="AX43" s="2015" t="n"/>
      <c r="AY43" s="2015" t="n"/>
      <c r="AZ43" s="2015" t="n"/>
      <c r="BA43" s="2015" t="n"/>
      <c r="BB43" s="2015" t="n"/>
      <c r="BC43" s="2015" t="n"/>
      <c r="BD43" s="2015" t="n"/>
      <c r="BE43" s="2015" t="n"/>
      <c r="BF43" s="2015" t="n"/>
      <c r="BG43" s="2015" t="n"/>
      <c r="BH43" s="2015" t="n"/>
      <c r="BI43" s="2015" t="n"/>
      <c r="BJ43" s="2015" t="n"/>
      <c r="BK43" s="2015" t="n"/>
      <c r="BL43" s="2015" t="n"/>
      <c r="BM43" s="2015" t="n"/>
      <c r="BN43" s="2015" t="n"/>
      <c r="BO43" s="2016" t="n"/>
      <c r="BP43" s="2015" t="n"/>
      <c r="BQ43" s="2015" t="n"/>
      <c r="BR43" s="2015" t="n"/>
      <c r="BS43" s="2015" t="n"/>
      <c r="BT43" s="2015" t="n"/>
      <c r="BU43" s="2015" t="n"/>
      <c r="BV43" s="2015" t="n"/>
      <c r="BW43" s="2015" t="n"/>
      <c r="BX43" s="2015" t="n"/>
      <c r="BY43" s="2015" t="n"/>
      <c r="BZ43" s="2015" t="n"/>
      <c r="CA43" s="2015" t="n"/>
      <c r="CB43" s="2015" t="n"/>
      <c r="CC43" s="1527" t="n"/>
    </row>
    <row r="44" ht="14.4" customFormat="1" customHeight="1" s="1974">
      <c r="A44" s="1949">
        <f>INDEX(MO_RIS_EBITDA_Adj,0,COLUMN())</f>
        <v/>
      </c>
      <c r="B44" s="1975" t="n"/>
      <c r="C44" s="1976">
        <f>INDEX(MO_RIS_EBITDA_Adj,0,COLUMN())</f>
        <v/>
      </c>
      <c r="D44" s="1976">
        <f>INDEX(MO_RIS_EBITDA_Adj,0,COLUMN())</f>
        <v/>
      </c>
      <c r="E44" s="1976">
        <f>INDEX(MO_RIS_EBITDA_Adj,0,COLUMN())</f>
        <v/>
      </c>
      <c r="F44" s="1976">
        <f>INDEX(MO_RIS_EBITDA_Adj,0,COLUMN())</f>
        <v/>
      </c>
      <c r="G44" s="1976">
        <f>INDEX(MO_RIS_EBITDA_Adj,0,COLUMN())</f>
        <v/>
      </c>
      <c r="H44" s="1977">
        <f>INDEX(MO_RIS_EBITDA_Adj,0,COLUMN())</f>
        <v/>
      </c>
      <c r="I44" s="1977">
        <f>INDEX(MO_RIS_EBITDA_Adj,0,COLUMN())</f>
        <v/>
      </c>
      <c r="J44" s="1977">
        <f>INDEX(MO_RIS_EBITDA_Adj,0,COLUMN())</f>
        <v/>
      </c>
      <c r="K44" s="1977">
        <f>INDEX(MO_RIS_EBITDA_Adj,0,COLUMN())</f>
        <v/>
      </c>
      <c r="L44" s="1976">
        <f>INDEX(MO_RIS_EBITDA_Adj,0,COLUMN())</f>
        <v/>
      </c>
      <c r="M44" s="1977">
        <f>INDEX(MO_RIS_EBITDA_Adj,0,COLUMN())</f>
        <v/>
      </c>
      <c r="N44" s="1977">
        <f>INDEX(MO_RIS_EBITDA_Adj,0,COLUMN())</f>
        <v/>
      </c>
      <c r="O44" s="1977">
        <f>INDEX(MO_RIS_EBITDA_Adj,0,COLUMN())</f>
        <v/>
      </c>
      <c r="P44" s="1977">
        <f>INDEX(MO_RIS_EBITDA_Adj,0,COLUMN())</f>
        <v/>
      </c>
      <c r="Q44" s="1976">
        <f>INDEX(MO_RIS_EBITDA_Adj,0,COLUMN())</f>
        <v/>
      </c>
      <c r="R44" s="1977">
        <f>INDEX(MO_RIS_EBITDA_Adj,0,COLUMN())</f>
        <v/>
      </c>
      <c r="S44" s="1977">
        <f>INDEX(MO_RIS_EBITDA_Adj,0,COLUMN())</f>
        <v/>
      </c>
      <c r="T44" s="1977">
        <f>INDEX(MO_RIS_EBITDA_Adj,0,COLUMN())</f>
        <v/>
      </c>
      <c r="U44" s="1977">
        <f>INDEX(MO_RIS_EBITDA_Adj,0,COLUMN())</f>
        <v/>
      </c>
      <c r="V44" s="1976">
        <f>INDEX(MO_RIS_EBITDA_Adj,0,COLUMN())</f>
        <v/>
      </c>
      <c r="W44" s="1977">
        <f>INDEX(MO_RIS_EBITDA_Adj,0,COLUMN())</f>
        <v/>
      </c>
      <c r="X44" s="1977">
        <f>INDEX(MO_RIS_EBITDA_Adj,0,COLUMN())</f>
        <v/>
      </c>
      <c r="Y44" s="1977">
        <f>INDEX(MO_RIS_EBITDA_Adj,0,COLUMN())</f>
        <v/>
      </c>
      <c r="Z44" s="1977">
        <f>INDEX(MO_RIS_EBITDA_Adj,0,COLUMN())</f>
        <v/>
      </c>
      <c r="AA44" s="1976">
        <f>INDEX(MO_RIS_EBITDA_Adj,0,COLUMN())</f>
        <v/>
      </c>
      <c r="AB44" s="1977">
        <f>INDEX(MO_RIS_EBITDA_Adj,0,COLUMN())</f>
        <v/>
      </c>
      <c r="AC44" s="1977">
        <f>INDEX(MO_RIS_EBITDA_Adj,0,COLUMN())</f>
        <v/>
      </c>
      <c r="AD44" s="1977">
        <f>INDEX(MO_RIS_EBITDA_Adj,0,COLUMN())</f>
        <v/>
      </c>
      <c r="AE44" s="1977">
        <f>INDEX(MO_RIS_EBITDA_Adj,0,COLUMN())</f>
        <v/>
      </c>
      <c r="AF44" s="1976">
        <f>INDEX(MO_RIS_EBITDA_Adj,0,COLUMN())</f>
        <v/>
      </c>
      <c r="AG44" s="1977">
        <f>INDEX(MO_RIS_EBITDA_Adj,0,COLUMN())</f>
        <v/>
      </c>
      <c r="AH44" s="1977">
        <f>INDEX(MO_RIS_EBITDA_Adj,0,COLUMN())</f>
        <v/>
      </c>
      <c r="AI44" s="1977">
        <f>INDEX(MO_RIS_EBITDA_Adj,0,COLUMN())</f>
        <v/>
      </c>
      <c r="AJ44" s="1977">
        <f>INDEX(MO_RIS_EBITDA_Adj,0,COLUMN())</f>
        <v/>
      </c>
      <c r="AK44" s="1976">
        <f>INDEX(MO_RIS_EBITDA_Adj,0,COLUMN())</f>
        <v/>
      </c>
      <c r="AL44" s="1977">
        <f>INDEX(MO_RIS_EBITDA_Adj,0,COLUMN())</f>
        <v/>
      </c>
      <c r="AM44" s="1977">
        <f>INDEX(MO_RIS_EBITDA_Adj,0,COLUMN())</f>
        <v/>
      </c>
      <c r="AN44" s="1977">
        <f>INDEX(MO_RIS_EBITDA_Adj,0,COLUMN())</f>
        <v/>
      </c>
      <c r="AO44" s="1977">
        <f>INDEX(MO_RIS_EBITDA_Adj,0,COLUMN())</f>
        <v/>
      </c>
      <c r="AP44" s="1976">
        <f>INDEX(MO_RIS_EBITDA_Adj,0,COLUMN())</f>
        <v/>
      </c>
      <c r="AQ44" s="1977">
        <f>INDEX(MO_RIS_EBITDA_Adj,0,COLUMN())</f>
        <v/>
      </c>
      <c r="AR44" s="1977">
        <f>INDEX(MO_RIS_EBITDA_Adj,0,COLUMN())</f>
        <v/>
      </c>
      <c r="AS44" s="1977">
        <f>INDEX(MO_RIS_EBITDA_Adj,0,COLUMN())</f>
        <v/>
      </c>
      <c r="AT44" s="1977">
        <f>INDEX(MO_RIS_EBITDA_Adj,0,COLUMN())</f>
        <v/>
      </c>
      <c r="AU44" s="1976">
        <f>INDEX(MO_RIS_EBITDA_Adj,0,COLUMN())</f>
        <v/>
      </c>
      <c r="AV44" s="1977">
        <f>INDEX(MO_RIS_EBITDA_Adj,0,COLUMN())</f>
        <v/>
      </c>
      <c r="AW44" s="1977">
        <f>INDEX(MO_RIS_EBITDA_Adj,0,COLUMN())</f>
        <v/>
      </c>
      <c r="AX44" s="1977">
        <f>INDEX(MO_RIS_EBITDA_Adj,0,COLUMN())</f>
        <v/>
      </c>
      <c r="AY44" s="1977">
        <f>INDEX(MO_RIS_EBITDA_Adj,0,COLUMN())</f>
        <v/>
      </c>
      <c r="AZ44" s="1976">
        <f>INDEX(MO_RIS_EBITDA_Adj,0,COLUMN())</f>
        <v/>
      </c>
      <c r="BA44" s="1977">
        <f>INDEX(MO_RIS_EBITDA_Adj,0,COLUMN())</f>
        <v/>
      </c>
      <c r="BB44" s="1977">
        <f>INDEX(MO_RIS_EBITDA_Adj,0,COLUMN())</f>
        <v/>
      </c>
      <c r="BC44" s="1977">
        <f>INDEX(MO_RIS_EBITDA_Adj,0,COLUMN())</f>
        <v/>
      </c>
      <c r="BD44" s="1977">
        <f>INDEX(MO_RIS_EBITDA_Adj,0,COLUMN())</f>
        <v/>
      </c>
      <c r="BE44" s="1976">
        <f>INDEX(MO_RIS_EBITDA_Adj,0,COLUMN())</f>
        <v/>
      </c>
      <c r="BF44" s="1977">
        <f>INDEX(MO_RIS_EBITDA_Adj,0,COLUMN())</f>
        <v/>
      </c>
      <c r="BG44" s="1977">
        <f>INDEX(MO_RIS_EBITDA_Adj,0,COLUMN())</f>
        <v/>
      </c>
      <c r="BH44" s="1977">
        <f>INDEX(MO_RIS_EBITDA_Adj,0,COLUMN())</f>
        <v/>
      </c>
      <c r="BI44" s="1977">
        <f>INDEX(MO_RIS_EBITDA_Adj,0,COLUMN())</f>
        <v/>
      </c>
      <c r="BJ44" s="1976">
        <f>INDEX(MO_RIS_EBITDA_Adj,0,COLUMN())</f>
        <v/>
      </c>
      <c r="BK44" s="1977">
        <f>INDEX(MO_RIS_EBITDA_Adj,0,COLUMN())</f>
        <v/>
      </c>
      <c r="BL44" s="1977">
        <f>INDEX(MO_RIS_EBITDA_Adj,0,COLUMN())</f>
        <v/>
      </c>
      <c r="BM44" s="1977">
        <f>INDEX(MO_RIS_EBITDA_Adj,0,COLUMN())</f>
        <v/>
      </c>
      <c r="BN44" s="1977">
        <f>INDEX(MO_RIS_EBITDA_Adj,0,COLUMN())</f>
        <v/>
      </c>
      <c r="BO44" s="1978">
        <f>INDEX(MO_RIS_EBITDA_Adj,0,COLUMN())</f>
        <v/>
      </c>
      <c r="BP44" s="1977">
        <f>INDEX(MO_RIS_EBITDA_Adj,0,COLUMN())</f>
        <v/>
      </c>
      <c r="BQ44" s="1977">
        <f>INDEX(MO_RIS_EBITDA_Adj,0,COLUMN())</f>
        <v/>
      </c>
      <c r="BR44" s="1977">
        <f>INDEX(MO_RIS_EBITDA_Adj,0,COLUMN())</f>
        <v/>
      </c>
      <c r="BS44" s="1977">
        <f>INDEX(MO_RIS_EBITDA_Adj,0,COLUMN())</f>
        <v/>
      </c>
      <c r="BT44" s="1976">
        <f>INDEX(MO_RIS_EBITDA_Adj,0,COLUMN())</f>
        <v/>
      </c>
      <c r="BU44" s="1977">
        <f>INDEX(MO_RIS_EBITDA_Adj,0,COLUMN())</f>
        <v/>
      </c>
      <c r="BV44" s="1977">
        <f>INDEX(MO_RIS_EBITDA_Adj,0,COLUMN())</f>
        <v/>
      </c>
      <c r="BW44" s="1977">
        <f>INDEX(MO_RIS_EBITDA_Adj,0,COLUMN())</f>
        <v/>
      </c>
      <c r="BX44" s="1977">
        <f>INDEX(MO_RIS_EBITDA_Adj,0,COLUMN())</f>
        <v/>
      </c>
      <c r="BY44" s="1976">
        <f>INDEX(MO_RIS_EBITDA_Adj,0,COLUMN())</f>
        <v/>
      </c>
      <c r="BZ44" s="1976">
        <f>INDEX(MO_RIS_EBITDA_Adj,0,COLUMN())</f>
        <v/>
      </c>
      <c r="CA44" s="1976">
        <f>INDEX(MO_RIS_EBITDA_Adj,0,COLUMN())</f>
        <v/>
      </c>
      <c r="CB44" s="1976">
        <f>INDEX(MO_RIS_EBITDA_Adj,0,COLUMN())</f>
        <v/>
      </c>
      <c r="CC44" s="1977" t="n"/>
    </row>
    <row r="45" ht="14.4" customFormat="1" customHeight="1" s="1974">
      <c r="A45" s="1949">
        <f>INDEX(MO_RIS_EBIT_Adj,0,COLUMN())</f>
        <v/>
      </c>
      <c r="B45" s="1975" t="n"/>
      <c r="C45" s="1976">
        <f>INDEX(MO_RIS_EBIT_Adj,0,COLUMN())</f>
        <v/>
      </c>
      <c r="D45" s="1976">
        <f>INDEX(MO_RIS_EBIT_Adj,0,COLUMN())</f>
        <v/>
      </c>
      <c r="E45" s="1976">
        <f>INDEX(MO_RIS_EBIT_Adj,0,COLUMN())</f>
        <v/>
      </c>
      <c r="F45" s="1976">
        <f>INDEX(MO_RIS_EBIT_Adj,0,COLUMN())</f>
        <v/>
      </c>
      <c r="G45" s="1976">
        <f>INDEX(MO_RIS_EBIT_Adj,0,COLUMN())</f>
        <v/>
      </c>
      <c r="H45" s="1977">
        <f>INDEX(MO_RIS_EBIT_Adj,0,COLUMN())</f>
        <v/>
      </c>
      <c r="I45" s="1977">
        <f>INDEX(MO_RIS_EBIT_Adj,0,COLUMN())</f>
        <v/>
      </c>
      <c r="J45" s="1977">
        <f>INDEX(MO_RIS_EBIT_Adj,0,COLUMN())</f>
        <v/>
      </c>
      <c r="K45" s="1977">
        <f>INDEX(MO_RIS_EBIT_Adj,0,COLUMN())</f>
        <v/>
      </c>
      <c r="L45" s="1976">
        <f>INDEX(MO_RIS_EBIT_Adj,0,COLUMN())</f>
        <v/>
      </c>
      <c r="M45" s="1977">
        <f>INDEX(MO_RIS_EBIT_Adj,0,COLUMN())</f>
        <v/>
      </c>
      <c r="N45" s="1977">
        <f>INDEX(MO_RIS_EBIT_Adj,0,COLUMN())</f>
        <v/>
      </c>
      <c r="O45" s="1977">
        <f>INDEX(MO_RIS_EBIT_Adj,0,COLUMN())</f>
        <v/>
      </c>
      <c r="P45" s="1977">
        <f>INDEX(MO_RIS_EBIT_Adj,0,COLUMN())</f>
        <v/>
      </c>
      <c r="Q45" s="1976">
        <f>INDEX(MO_RIS_EBIT_Adj,0,COLUMN())</f>
        <v/>
      </c>
      <c r="R45" s="1977">
        <f>INDEX(MO_RIS_EBIT_Adj,0,COLUMN())</f>
        <v/>
      </c>
      <c r="S45" s="1977">
        <f>INDEX(MO_RIS_EBIT_Adj,0,COLUMN())</f>
        <v/>
      </c>
      <c r="T45" s="1977">
        <f>INDEX(MO_RIS_EBIT_Adj,0,COLUMN())</f>
        <v/>
      </c>
      <c r="U45" s="1977">
        <f>INDEX(MO_RIS_EBIT_Adj,0,COLUMN())</f>
        <v/>
      </c>
      <c r="V45" s="1976">
        <f>INDEX(MO_RIS_EBIT_Adj,0,COLUMN())</f>
        <v/>
      </c>
      <c r="W45" s="1977">
        <f>INDEX(MO_RIS_EBIT_Adj,0,COLUMN())</f>
        <v/>
      </c>
      <c r="X45" s="1977">
        <f>INDEX(MO_RIS_EBIT_Adj,0,COLUMN())</f>
        <v/>
      </c>
      <c r="Y45" s="1977">
        <f>INDEX(MO_RIS_EBIT_Adj,0,COLUMN())</f>
        <v/>
      </c>
      <c r="Z45" s="1977">
        <f>INDEX(MO_RIS_EBIT_Adj,0,COLUMN())</f>
        <v/>
      </c>
      <c r="AA45" s="1976">
        <f>INDEX(MO_RIS_EBIT_Adj,0,COLUMN())</f>
        <v/>
      </c>
      <c r="AB45" s="1977">
        <f>INDEX(MO_RIS_EBIT_Adj,0,COLUMN())</f>
        <v/>
      </c>
      <c r="AC45" s="1977">
        <f>INDEX(MO_RIS_EBIT_Adj,0,COLUMN())</f>
        <v/>
      </c>
      <c r="AD45" s="1977">
        <f>INDEX(MO_RIS_EBIT_Adj,0,COLUMN())</f>
        <v/>
      </c>
      <c r="AE45" s="1977">
        <f>INDEX(MO_RIS_EBIT_Adj,0,COLUMN())</f>
        <v/>
      </c>
      <c r="AF45" s="1976">
        <f>INDEX(MO_RIS_EBIT_Adj,0,COLUMN())</f>
        <v/>
      </c>
      <c r="AG45" s="1977">
        <f>INDEX(MO_RIS_EBIT_Adj,0,COLUMN())</f>
        <v/>
      </c>
      <c r="AH45" s="1977">
        <f>INDEX(MO_RIS_EBIT_Adj,0,COLUMN())</f>
        <v/>
      </c>
      <c r="AI45" s="1977">
        <f>INDEX(MO_RIS_EBIT_Adj,0,COLUMN())</f>
        <v/>
      </c>
      <c r="AJ45" s="1977">
        <f>INDEX(MO_RIS_EBIT_Adj,0,COLUMN())</f>
        <v/>
      </c>
      <c r="AK45" s="1976">
        <f>INDEX(MO_RIS_EBIT_Adj,0,COLUMN())</f>
        <v/>
      </c>
      <c r="AL45" s="1977">
        <f>INDEX(MO_RIS_EBIT_Adj,0,COLUMN())</f>
        <v/>
      </c>
      <c r="AM45" s="1977">
        <f>INDEX(MO_RIS_EBIT_Adj,0,COLUMN())</f>
        <v/>
      </c>
      <c r="AN45" s="1977">
        <f>INDEX(MO_RIS_EBIT_Adj,0,COLUMN())</f>
        <v/>
      </c>
      <c r="AO45" s="1977">
        <f>INDEX(MO_RIS_EBIT_Adj,0,COLUMN())</f>
        <v/>
      </c>
      <c r="AP45" s="1976">
        <f>INDEX(MO_RIS_EBIT_Adj,0,COLUMN())</f>
        <v/>
      </c>
      <c r="AQ45" s="1977">
        <f>INDEX(MO_RIS_EBIT_Adj,0,COLUMN())</f>
        <v/>
      </c>
      <c r="AR45" s="1977">
        <f>INDEX(MO_RIS_EBIT_Adj,0,COLUMN())</f>
        <v/>
      </c>
      <c r="AS45" s="1977">
        <f>INDEX(MO_RIS_EBIT_Adj,0,COLUMN())</f>
        <v/>
      </c>
      <c r="AT45" s="1977">
        <f>INDEX(MO_RIS_EBIT_Adj,0,COLUMN())</f>
        <v/>
      </c>
      <c r="AU45" s="1976">
        <f>INDEX(MO_RIS_EBIT_Adj,0,COLUMN())</f>
        <v/>
      </c>
      <c r="AV45" s="1977">
        <f>INDEX(MO_RIS_EBIT_Adj,0,COLUMN())</f>
        <v/>
      </c>
      <c r="AW45" s="1977">
        <f>INDEX(MO_RIS_EBIT_Adj,0,COLUMN())</f>
        <v/>
      </c>
      <c r="AX45" s="1977">
        <f>INDEX(MO_RIS_EBIT_Adj,0,COLUMN())</f>
        <v/>
      </c>
      <c r="AY45" s="1977">
        <f>INDEX(MO_RIS_EBIT_Adj,0,COLUMN())</f>
        <v/>
      </c>
      <c r="AZ45" s="1976">
        <f>INDEX(MO_RIS_EBIT_Adj,0,COLUMN())</f>
        <v/>
      </c>
      <c r="BA45" s="1977">
        <f>INDEX(MO_RIS_EBIT_Adj,0,COLUMN())</f>
        <v/>
      </c>
      <c r="BB45" s="1977">
        <f>INDEX(MO_RIS_EBIT_Adj,0,COLUMN())</f>
        <v/>
      </c>
      <c r="BC45" s="1977">
        <f>INDEX(MO_RIS_EBIT_Adj,0,COLUMN())</f>
        <v/>
      </c>
      <c r="BD45" s="1977">
        <f>INDEX(MO_RIS_EBIT_Adj,0,COLUMN())</f>
        <v/>
      </c>
      <c r="BE45" s="1976">
        <f>INDEX(MO_RIS_EBIT_Adj,0,COLUMN())</f>
        <v/>
      </c>
      <c r="BF45" s="1977">
        <f>INDEX(MO_RIS_EBIT_Adj,0,COLUMN())</f>
        <v/>
      </c>
      <c r="BG45" s="1977">
        <f>INDEX(MO_RIS_EBIT_Adj,0,COLUMN())</f>
        <v/>
      </c>
      <c r="BH45" s="1977">
        <f>INDEX(MO_RIS_EBIT_Adj,0,COLUMN())</f>
        <v/>
      </c>
      <c r="BI45" s="1977">
        <f>INDEX(MO_RIS_EBIT_Adj,0,COLUMN())</f>
        <v/>
      </c>
      <c r="BJ45" s="1976">
        <f>INDEX(MO_RIS_EBIT_Adj,0,COLUMN())</f>
        <v/>
      </c>
      <c r="BK45" s="1977">
        <f>INDEX(MO_RIS_EBIT_Adj,0,COLUMN())</f>
        <v/>
      </c>
      <c r="BL45" s="1977">
        <f>INDEX(MO_RIS_EBIT_Adj,0,COLUMN())</f>
        <v/>
      </c>
      <c r="BM45" s="1977">
        <f>INDEX(MO_RIS_EBIT_Adj,0,COLUMN())</f>
        <v/>
      </c>
      <c r="BN45" s="1977">
        <f>INDEX(MO_RIS_EBIT_Adj,0,COLUMN())</f>
        <v/>
      </c>
      <c r="BO45" s="1978">
        <f>INDEX(MO_RIS_EBIT_Adj,0,COLUMN())</f>
        <v/>
      </c>
      <c r="BP45" s="1977">
        <f>INDEX(MO_RIS_EBIT_Adj,0,COLUMN())</f>
        <v/>
      </c>
      <c r="BQ45" s="1977">
        <f>INDEX(MO_RIS_EBIT_Adj,0,COLUMN())</f>
        <v/>
      </c>
      <c r="BR45" s="1977">
        <f>INDEX(MO_RIS_EBIT_Adj,0,COLUMN())</f>
        <v/>
      </c>
      <c r="BS45" s="1977">
        <f>INDEX(MO_RIS_EBIT_Adj,0,COLUMN())</f>
        <v/>
      </c>
      <c r="BT45" s="1976">
        <f>INDEX(MO_RIS_EBIT_Adj,0,COLUMN())</f>
        <v/>
      </c>
      <c r="BU45" s="1977">
        <f>INDEX(MO_RIS_EBIT_Adj,0,COLUMN())</f>
        <v/>
      </c>
      <c r="BV45" s="1977">
        <f>INDEX(MO_RIS_EBIT_Adj,0,COLUMN())</f>
        <v/>
      </c>
      <c r="BW45" s="1977">
        <f>INDEX(MO_RIS_EBIT_Adj,0,COLUMN())</f>
        <v/>
      </c>
      <c r="BX45" s="1977">
        <f>INDEX(MO_RIS_EBIT_Adj,0,COLUMN())</f>
        <v/>
      </c>
      <c r="BY45" s="1976">
        <f>INDEX(MO_RIS_EBIT_Adj,0,COLUMN())</f>
        <v/>
      </c>
      <c r="BZ45" s="1976">
        <f>INDEX(MO_RIS_EBIT_Adj,0,COLUMN())</f>
        <v/>
      </c>
      <c r="CA45" s="1976">
        <f>INDEX(MO_RIS_EBIT_Adj,0,COLUMN())</f>
        <v/>
      </c>
      <c r="CB45" s="1976">
        <f>INDEX(MO_RIS_EBIT_Adj,0,COLUMN())</f>
        <v/>
      </c>
      <c r="CC45" s="1977" t="n"/>
    </row>
    <row r="46" ht="14.4" customFormat="1" customHeight="1" s="1974">
      <c r="A46" s="1949">
        <f>INDEX(MO_RIS_NI_NONGAAP_Diluted,0,COLUMN())</f>
        <v/>
      </c>
      <c r="B46" s="1975" t="n"/>
      <c r="C46" s="1976">
        <f>INDEX(MO_RIS_NI_NONGAAP_Diluted,0,COLUMN())</f>
        <v/>
      </c>
      <c r="D46" s="1976">
        <f>INDEX(MO_RIS_NI_NONGAAP_Diluted,0,COLUMN())</f>
        <v/>
      </c>
      <c r="E46" s="1976">
        <f>INDEX(MO_RIS_NI_NONGAAP_Diluted,0,COLUMN())</f>
        <v/>
      </c>
      <c r="F46" s="1976">
        <f>INDEX(MO_RIS_NI_NONGAAP_Diluted,0,COLUMN())</f>
        <v/>
      </c>
      <c r="G46" s="1976">
        <f>INDEX(MO_RIS_NI_NONGAAP_Diluted,0,COLUMN())</f>
        <v/>
      </c>
      <c r="H46" s="1977">
        <f>INDEX(MO_RIS_NI_NONGAAP_Diluted,0,COLUMN())</f>
        <v/>
      </c>
      <c r="I46" s="1977">
        <f>INDEX(MO_RIS_NI_NONGAAP_Diluted,0,COLUMN())</f>
        <v/>
      </c>
      <c r="J46" s="1977">
        <f>INDEX(MO_RIS_NI_NONGAAP_Diluted,0,COLUMN())</f>
        <v/>
      </c>
      <c r="K46" s="1977">
        <f>INDEX(MO_RIS_NI_NONGAAP_Diluted,0,COLUMN())</f>
        <v/>
      </c>
      <c r="L46" s="1976">
        <f>INDEX(MO_RIS_NI_NONGAAP_Diluted,0,COLUMN())</f>
        <v/>
      </c>
      <c r="M46" s="1977">
        <f>INDEX(MO_RIS_NI_NONGAAP_Diluted,0,COLUMN())</f>
        <v/>
      </c>
      <c r="N46" s="1977">
        <f>INDEX(MO_RIS_NI_NONGAAP_Diluted,0,COLUMN())</f>
        <v/>
      </c>
      <c r="O46" s="1977">
        <f>INDEX(MO_RIS_NI_NONGAAP_Diluted,0,COLUMN())</f>
        <v/>
      </c>
      <c r="P46" s="1977">
        <f>INDEX(MO_RIS_NI_NONGAAP_Diluted,0,COLUMN())</f>
        <v/>
      </c>
      <c r="Q46" s="1976">
        <f>INDEX(MO_RIS_NI_NONGAAP_Diluted,0,COLUMN())</f>
        <v/>
      </c>
      <c r="R46" s="1977">
        <f>INDEX(MO_RIS_NI_NONGAAP_Diluted,0,COLUMN())</f>
        <v/>
      </c>
      <c r="S46" s="1977">
        <f>INDEX(MO_RIS_NI_NONGAAP_Diluted,0,COLUMN())</f>
        <v/>
      </c>
      <c r="T46" s="1977">
        <f>INDEX(MO_RIS_NI_NONGAAP_Diluted,0,COLUMN())</f>
        <v/>
      </c>
      <c r="U46" s="1977">
        <f>INDEX(MO_RIS_NI_NONGAAP_Diluted,0,COLUMN())</f>
        <v/>
      </c>
      <c r="V46" s="1976">
        <f>INDEX(MO_RIS_NI_NONGAAP_Diluted,0,COLUMN())</f>
        <v/>
      </c>
      <c r="W46" s="1977">
        <f>INDEX(MO_RIS_NI_NONGAAP_Diluted,0,COLUMN())</f>
        <v/>
      </c>
      <c r="X46" s="1977">
        <f>INDEX(MO_RIS_NI_NONGAAP_Diluted,0,COLUMN())</f>
        <v/>
      </c>
      <c r="Y46" s="1977">
        <f>INDEX(MO_RIS_NI_NONGAAP_Diluted,0,COLUMN())</f>
        <v/>
      </c>
      <c r="Z46" s="1977">
        <f>INDEX(MO_RIS_NI_NONGAAP_Diluted,0,COLUMN())</f>
        <v/>
      </c>
      <c r="AA46" s="1976">
        <f>INDEX(MO_RIS_NI_NONGAAP_Diluted,0,COLUMN())</f>
        <v/>
      </c>
      <c r="AB46" s="1977">
        <f>INDEX(MO_RIS_NI_NONGAAP_Diluted,0,COLUMN())</f>
        <v/>
      </c>
      <c r="AC46" s="1977">
        <f>INDEX(MO_RIS_NI_NONGAAP_Diluted,0,COLUMN())</f>
        <v/>
      </c>
      <c r="AD46" s="1977">
        <f>INDEX(MO_RIS_NI_NONGAAP_Diluted,0,COLUMN())</f>
        <v/>
      </c>
      <c r="AE46" s="1977">
        <f>INDEX(MO_RIS_NI_NONGAAP_Diluted,0,COLUMN())</f>
        <v/>
      </c>
      <c r="AF46" s="1976">
        <f>INDEX(MO_RIS_NI_NONGAAP_Diluted,0,COLUMN())</f>
        <v/>
      </c>
      <c r="AG46" s="1977">
        <f>INDEX(MO_RIS_NI_NONGAAP_Diluted,0,COLUMN())</f>
        <v/>
      </c>
      <c r="AH46" s="1977">
        <f>INDEX(MO_RIS_NI_NONGAAP_Diluted,0,COLUMN())</f>
        <v/>
      </c>
      <c r="AI46" s="1977">
        <f>INDEX(MO_RIS_NI_NONGAAP_Diluted,0,COLUMN())</f>
        <v/>
      </c>
      <c r="AJ46" s="1977">
        <f>INDEX(MO_RIS_NI_NONGAAP_Diluted,0,COLUMN())</f>
        <v/>
      </c>
      <c r="AK46" s="1976">
        <f>INDEX(MO_RIS_NI_NONGAAP_Diluted,0,COLUMN())</f>
        <v/>
      </c>
      <c r="AL46" s="1977">
        <f>INDEX(MO_RIS_NI_NONGAAP_Diluted,0,COLUMN())</f>
        <v/>
      </c>
      <c r="AM46" s="1977">
        <f>INDEX(MO_RIS_NI_NONGAAP_Diluted,0,COLUMN())</f>
        <v/>
      </c>
      <c r="AN46" s="1977">
        <f>INDEX(MO_RIS_NI_NONGAAP_Diluted,0,COLUMN())</f>
        <v/>
      </c>
      <c r="AO46" s="1977">
        <f>INDEX(MO_RIS_NI_NONGAAP_Diluted,0,COLUMN())</f>
        <v/>
      </c>
      <c r="AP46" s="1976">
        <f>INDEX(MO_RIS_NI_NONGAAP_Diluted,0,COLUMN())</f>
        <v/>
      </c>
      <c r="AQ46" s="1977">
        <f>INDEX(MO_RIS_NI_NONGAAP_Diluted,0,COLUMN())</f>
        <v/>
      </c>
      <c r="AR46" s="1977">
        <f>INDEX(MO_RIS_NI_NONGAAP_Diluted,0,COLUMN())</f>
        <v/>
      </c>
      <c r="AS46" s="1977">
        <f>INDEX(MO_RIS_NI_NONGAAP_Diluted,0,COLUMN())</f>
        <v/>
      </c>
      <c r="AT46" s="1977">
        <f>INDEX(MO_RIS_NI_NONGAAP_Diluted,0,COLUMN())</f>
        <v/>
      </c>
      <c r="AU46" s="1976">
        <f>INDEX(MO_RIS_NI_NONGAAP_Diluted,0,COLUMN())</f>
        <v/>
      </c>
      <c r="AV46" s="1977">
        <f>INDEX(MO_RIS_NI_NONGAAP_Diluted,0,COLUMN())</f>
        <v/>
      </c>
      <c r="AW46" s="1977">
        <f>INDEX(MO_RIS_NI_NONGAAP_Diluted,0,COLUMN())</f>
        <v/>
      </c>
      <c r="AX46" s="1977">
        <f>INDEX(MO_RIS_NI_NONGAAP_Diluted,0,COLUMN())</f>
        <v/>
      </c>
      <c r="AY46" s="1977">
        <f>INDEX(MO_RIS_NI_NONGAAP_Diluted,0,COLUMN())</f>
        <v/>
      </c>
      <c r="AZ46" s="1976">
        <f>INDEX(MO_RIS_NI_NONGAAP_Diluted,0,COLUMN())</f>
        <v/>
      </c>
      <c r="BA46" s="1977">
        <f>INDEX(MO_RIS_NI_NONGAAP_Diluted,0,COLUMN())</f>
        <v/>
      </c>
      <c r="BB46" s="1977">
        <f>INDEX(MO_RIS_NI_NONGAAP_Diluted,0,COLUMN())</f>
        <v/>
      </c>
      <c r="BC46" s="1977">
        <f>INDEX(MO_RIS_NI_NONGAAP_Diluted,0,COLUMN())</f>
        <v/>
      </c>
      <c r="BD46" s="1977">
        <f>INDEX(MO_RIS_NI_NONGAAP_Diluted,0,COLUMN())</f>
        <v/>
      </c>
      <c r="BE46" s="1976">
        <f>INDEX(MO_RIS_NI_NONGAAP_Diluted,0,COLUMN())</f>
        <v/>
      </c>
      <c r="BF46" s="1977">
        <f>INDEX(MO_RIS_NI_NONGAAP_Diluted,0,COLUMN())</f>
        <v/>
      </c>
      <c r="BG46" s="1977">
        <f>INDEX(MO_RIS_NI_NONGAAP_Diluted,0,COLUMN())</f>
        <v/>
      </c>
      <c r="BH46" s="1977">
        <f>INDEX(MO_RIS_NI_NONGAAP_Diluted,0,COLUMN())</f>
        <v/>
      </c>
      <c r="BI46" s="1977">
        <f>INDEX(MO_RIS_NI_NONGAAP_Diluted,0,COLUMN())</f>
        <v/>
      </c>
      <c r="BJ46" s="1976">
        <f>INDEX(MO_RIS_NI_NONGAAP_Diluted,0,COLUMN())</f>
        <v/>
      </c>
      <c r="BK46" s="1977">
        <f>INDEX(MO_RIS_NI_NONGAAP_Diluted,0,COLUMN())</f>
        <v/>
      </c>
      <c r="BL46" s="1977">
        <f>INDEX(MO_RIS_NI_NONGAAP_Diluted,0,COLUMN())</f>
        <v/>
      </c>
      <c r="BM46" s="1977">
        <f>INDEX(MO_RIS_NI_NONGAAP_Diluted,0,COLUMN())</f>
        <v/>
      </c>
      <c r="BN46" s="1977">
        <f>INDEX(MO_RIS_NI_NONGAAP_Diluted,0,COLUMN())</f>
        <v/>
      </c>
      <c r="BO46" s="1978">
        <f>INDEX(MO_RIS_NI_NONGAAP_Diluted,0,COLUMN())</f>
        <v/>
      </c>
      <c r="BP46" s="1977">
        <f>INDEX(MO_RIS_NI_NONGAAP_Diluted,0,COLUMN())</f>
        <v/>
      </c>
      <c r="BQ46" s="1977">
        <f>INDEX(MO_RIS_NI_NONGAAP_Diluted,0,COLUMN())</f>
        <v/>
      </c>
      <c r="BR46" s="1977">
        <f>INDEX(MO_RIS_NI_NONGAAP_Diluted,0,COLUMN())</f>
        <v/>
      </c>
      <c r="BS46" s="1977">
        <f>INDEX(MO_RIS_NI_NONGAAP_Diluted,0,COLUMN())</f>
        <v/>
      </c>
      <c r="BT46" s="1976">
        <f>INDEX(MO_RIS_NI_NONGAAP_Diluted,0,COLUMN())</f>
        <v/>
      </c>
      <c r="BU46" s="1977">
        <f>INDEX(MO_RIS_NI_NONGAAP_Diluted,0,COLUMN())</f>
        <v/>
      </c>
      <c r="BV46" s="1977">
        <f>INDEX(MO_RIS_NI_NONGAAP_Diluted,0,COLUMN())</f>
        <v/>
      </c>
      <c r="BW46" s="1977">
        <f>INDEX(MO_RIS_NI_NONGAAP_Diluted,0,COLUMN())</f>
        <v/>
      </c>
      <c r="BX46" s="1977">
        <f>INDEX(MO_RIS_NI_NONGAAP_Diluted,0,COLUMN())</f>
        <v/>
      </c>
      <c r="BY46" s="1976">
        <f>INDEX(MO_RIS_NI_NONGAAP_Diluted,0,COLUMN())</f>
        <v/>
      </c>
      <c r="BZ46" s="1976">
        <f>INDEX(MO_RIS_NI_NONGAAP_Diluted,0,COLUMN())</f>
        <v/>
      </c>
      <c r="CA46" s="1976">
        <f>INDEX(MO_RIS_NI_NONGAAP_Diluted,0,COLUMN())</f>
        <v/>
      </c>
      <c r="CB46" s="1976">
        <f>INDEX(MO_RIS_NI_NONGAAP_Diluted,0,COLUMN())</f>
        <v/>
      </c>
      <c r="CC46" s="1977" t="n"/>
    </row>
    <row r="47" ht="14.4" customFormat="1" customHeight="1" s="1947">
      <c r="A47" s="2008">
        <f>INDEX(MO_RIS_EPS_WAD_Adj,0,COLUMN())</f>
        <v/>
      </c>
      <c r="B47" s="2009" t="n"/>
      <c r="C47" s="2010">
        <f>INDEX(MO_RIS_EPS_WAD_Adj,0,COLUMN())</f>
        <v/>
      </c>
      <c r="D47" s="2010">
        <f>INDEX(MO_RIS_EPS_WAD_Adj,0,COLUMN())</f>
        <v/>
      </c>
      <c r="E47" s="2010">
        <f>INDEX(MO_RIS_EPS_WAD_Adj,0,COLUMN())</f>
        <v/>
      </c>
      <c r="F47" s="2010">
        <f>INDEX(MO_RIS_EPS_WAD_Adj,0,COLUMN())</f>
        <v/>
      </c>
      <c r="G47" s="2010">
        <f>INDEX(MO_RIS_EPS_WAD_Adj,0,COLUMN())</f>
        <v/>
      </c>
      <c r="H47" s="2011">
        <f>INDEX(MO_RIS_EPS_WAD_Adj,0,COLUMN())</f>
        <v/>
      </c>
      <c r="I47" s="2011">
        <f>INDEX(MO_RIS_EPS_WAD_Adj,0,COLUMN())</f>
        <v/>
      </c>
      <c r="J47" s="2011">
        <f>INDEX(MO_RIS_EPS_WAD_Adj,0,COLUMN())</f>
        <v/>
      </c>
      <c r="K47" s="2011">
        <f>INDEX(MO_RIS_EPS_WAD_Adj,0,COLUMN())</f>
        <v/>
      </c>
      <c r="L47" s="2010">
        <f>INDEX(MO_RIS_EPS_WAD_Adj,0,COLUMN())</f>
        <v/>
      </c>
      <c r="M47" s="2011">
        <f>INDEX(MO_RIS_EPS_WAD_Adj,0,COLUMN())</f>
        <v/>
      </c>
      <c r="N47" s="2011">
        <f>INDEX(MO_RIS_EPS_WAD_Adj,0,COLUMN())</f>
        <v/>
      </c>
      <c r="O47" s="2011">
        <f>INDEX(MO_RIS_EPS_WAD_Adj,0,COLUMN())</f>
        <v/>
      </c>
      <c r="P47" s="2011">
        <f>INDEX(MO_RIS_EPS_WAD_Adj,0,COLUMN())</f>
        <v/>
      </c>
      <c r="Q47" s="2010">
        <f>INDEX(MO_RIS_EPS_WAD_Adj,0,COLUMN())</f>
        <v/>
      </c>
      <c r="R47" s="2011">
        <f>INDEX(MO_RIS_EPS_WAD_Adj,0,COLUMN())</f>
        <v/>
      </c>
      <c r="S47" s="2011">
        <f>INDEX(MO_RIS_EPS_WAD_Adj,0,COLUMN())</f>
        <v/>
      </c>
      <c r="T47" s="2011">
        <f>INDEX(MO_RIS_EPS_WAD_Adj,0,COLUMN())</f>
        <v/>
      </c>
      <c r="U47" s="2011">
        <f>INDEX(MO_RIS_EPS_WAD_Adj,0,COLUMN())</f>
        <v/>
      </c>
      <c r="V47" s="2010">
        <f>INDEX(MO_RIS_EPS_WAD_Adj,0,COLUMN())</f>
        <v/>
      </c>
      <c r="W47" s="2011">
        <f>INDEX(MO_RIS_EPS_WAD_Adj,0,COLUMN())</f>
        <v/>
      </c>
      <c r="X47" s="2011">
        <f>INDEX(MO_RIS_EPS_WAD_Adj,0,COLUMN())</f>
        <v/>
      </c>
      <c r="Y47" s="2011">
        <f>INDEX(MO_RIS_EPS_WAD_Adj,0,COLUMN())</f>
        <v/>
      </c>
      <c r="Z47" s="2011">
        <f>INDEX(MO_RIS_EPS_WAD_Adj,0,COLUMN())</f>
        <v/>
      </c>
      <c r="AA47" s="2010">
        <f>INDEX(MO_RIS_EPS_WAD_Adj,0,COLUMN())</f>
        <v/>
      </c>
      <c r="AB47" s="2011">
        <f>INDEX(MO_RIS_EPS_WAD_Adj,0,COLUMN())</f>
        <v/>
      </c>
      <c r="AC47" s="2011">
        <f>INDEX(MO_RIS_EPS_WAD_Adj,0,COLUMN())</f>
        <v/>
      </c>
      <c r="AD47" s="2011">
        <f>INDEX(MO_RIS_EPS_WAD_Adj,0,COLUMN())</f>
        <v/>
      </c>
      <c r="AE47" s="2011">
        <f>INDEX(MO_RIS_EPS_WAD_Adj,0,COLUMN())</f>
        <v/>
      </c>
      <c r="AF47" s="2010">
        <f>INDEX(MO_RIS_EPS_WAD_Adj,0,COLUMN())</f>
        <v/>
      </c>
      <c r="AG47" s="2011">
        <f>INDEX(MO_RIS_EPS_WAD_Adj,0,COLUMN())</f>
        <v/>
      </c>
      <c r="AH47" s="2011">
        <f>INDEX(MO_RIS_EPS_WAD_Adj,0,COLUMN())</f>
        <v/>
      </c>
      <c r="AI47" s="2011">
        <f>INDEX(MO_RIS_EPS_WAD_Adj,0,COLUMN())</f>
        <v/>
      </c>
      <c r="AJ47" s="2011">
        <f>INDEX(MO_RIS_EPS_WAD_Adj,0,COLUMN())</f>
        <v/>
      </c>
      <c r="AK47" s="2010">
        <f>INDEX(MO_RIS_EPS_WAD_Adj,0,COLUMN())</f>
        <v/>
      </c>
      <c r="AL47" s="2011">
        <f>INDEX(MO_RIS_EPS_WAD_Adj,0,COLUMN())</f>
        <v/>
      </c>
      <c r="AM47" s="2011">
        <f>INDEX(MO_RIS_EPS_WAD_Adj,0,COLUMN())</f>
        <v/>
      </c>
      <c r="AN47" s="2011">
        <f>INDEX(MO_RIS_EPS_WAD_Adj,0,COLUMN())</f>
        <v/>
      </c>
      <c r="AO47" s="2011">
        <f>INDEX(MO_RIS_EPS_WAD_Adj,0,COLUMN())</f>
        <v/>
      </c>
      <c r="AP47" s="2010">
        <f>INDEX(MO_RIS_EPS_WAD_Adj,0,COLUMN())</f>
        <v/>
      </c>
      <c r="AQ47" s="2011">
        <f>INDEX(MO_RIS_EPS_WAD_Adj,0,COLUMN())</f>
        <v/>
      </c>
      <c r="AR47" s="2011">
        <f>INDEX(MO_RIS_EPS_WAD_Adj,0,COLUMN())</f>
        <v/>
      </c>
      <c r="AS47" s="2011">
        <f>INDEX(MO_RIS_EPS_WAD_Adj,0,COLUMN())</f>
        <v/>
      </c>
      <c r="AT47" s="2011">
        <f>INDEX(MO_RIS_EPS_WAD_Adj,0,COLUMN())</f>
        <v/>
      </c>
      <c r="AU47" s="2010">
        <f>INDEX(MO_RIS_EPS_WAD_Adj,0,COLUMN())</f>
        <v/>
      </c>
      <c r="AV47" s="2011">
        <f>INDEX(MO_RIS_EPS_WAD_Adj,0,COLUMN())</f>
        <v/>
      </c>
      <c r="AW47" s="2011">
        <f>INDEX(MO_RIS_EPS_WAD_Adj,0,COLUMN())</f>
        <v/>
      </c>
      <c r="AX47" s="2011">
        <f>INDEX(MO_RIS_EPS_WAD_Adj,0,COLUMN())</f>
        <v/>
      </c>
      <c r="AY47" s="2011">
        <f>INDEX(MO_RIS_EPS_WAD_Adj,0,COLUMN())</f>
        <v/>
      </c>
      <c r="AZ47" s="2010">
        <f>INDEX(MO_RIS_EPS_WAD_Adj,0,COLUMN())</f>
        <v/>
      </c>
      <c r="BA47" s="2011">
        <f>INDEX(MO_RIS_EPS_WAD_Adj,0,COLUMN())</f>
        <v/>
      </c>
      <c r="BB47" s="2011">
        <f>INDEX(MO_RIS_EPS_WAD_Adj,0,COLUMN())</f>
        <v/>
      </c>
      <c r="BC47" s="2011">
        <f>INDEX(MO_RIS_EPS_WAD_Adj,0,COLUMN())</f>
        <v/>
      </c>
      <c r="BD47" s="2011">
        <f>INDEX(MO_RIS_EPS_WAD_Adj,0,COLUMN())</f>
        <v/>
      </c>
      <c r="BE47" s="2010">
        <f>INDEX(MO_RIS_EPS_WAD_Adj,0,COLUMN())</f>
        <v/>
      </c>
      <c r="BF47" s="2011">
        <f>INDEX(MO_RIS_EPS_WAD_Adj,0,COLUMN())</f>
        <v/>
      </c>
      <c r="BG47" s="2011">
        <f>INDEX(MO_RIS_EPS_WAD_Adj,0,COLUMN())</f>
        <v/>
      </c>
      <c r="BH47" s="2011">
        <f>INDEX(MO_RIS_EPS_WAD_Adj,0,COLUMN())</f>
        <v/>
      </c>
      <c r="BI47" s="2011">
        <f>INDEX(MO_RIS_EPS_WAD_Adj,0,COLUMN())</f>
        <v/>
      </c>
      <c r="BJ47" s="2010">
        <f>INDEX(MO_RIS_EPS_WAD_Adj,0,COLUMN())</f>
        <v/>
      </c>
      <c r="BK47" s="2011">
        <f>INDEX(MO_RIS_EPS_WAD_Adj,0,COLUMN())</f>
        <v/>
      </c>
      <c r="BL47" s="2011">
        <f>INDEX(MO_RIS_EPS_WAD_Adj,0,COLUMN())</f>
        <v/>
      </c>
      <c r="BM47" s="2011">
        <f>INDEX(MO_RIS_EPS_WAD_Adj,0,COLUMN())</f>
        <v/>
      </c>
      <c r="BN47" s="2011">
        <f>INDEX(MO_RIS_EPS_WAD_Adj,0,COLUMN())</f>
        <v/>
      </c>
      <c r="BO47" s="2012">
        <f>INDEX(MO_RIS_EPS_WAD_Adj,0,COLUMN())</f>
        <v/>
      </c>
      <c r="BP47" s="2011">
        <f>INDEX(MO_RIS_EPS_WAD_Adj,0,COLUMN())</f>
        <v/>
      </c>
      <c r="BQ47" s="2011">
        <f>INDEX(MO_RIS_EPS_WAD_Adj,0,COLUMN())</f>
        <v/>
      </c>
      <c r="BR47" s="2011">
        <f>INDEX(MO_RIS_EPS_WAD_Adj,0,COLUMN())</f>
        <v/>
      </c>
      <c r="BS47" s="2011">
        <f>INDEX(MO_RIS_EPS_WAD_Adj,0,COLUMN())</f>
        <v/>
      </c>
      <c r="BT47" s="2010">
        <f>INDEX(MO_RIS_EPS_WAD_Adj,0,COLUMN())</f>
        <v/>
      </c>
      <c r="BU47" s="2011">
        <f>INDEX(MO_RIS_EPS_WAD_Adj,0,COLUMN())</f>
        <v/>
      </c>
      <c r="BV47" s="2011">
        <f>INDEX(MO_RIS_EPS_WAD_Adj,0,COLUMN())</f>
        <v/>
      </c>
      <c r="BW47" s="2011">
        <f>INDEX(MO_RIS_EPS_WAD_Adj,0,COLUMN())</f>
        <v/>
      </c>
      <c r="BX47" s="2011">
        <f>INDEX(MO_RIS_EPS_WAD_Adj,0,COLUMN())</f>
        <v/>
      </c>
      <c r="BY47" s="2010">
        <f>INDEX(MO_RIS_EPS_WAD_Adj,0,COLUMN())</f>
        <v/>
      </c>
      <c r="BZ47" s="2010">
        <f>INDEX(MO_RIS_EPS_WAD_Adj,0,COLUMN())</f>
        <v/>
      </c>
      <c r="CA47" s="2010">
        <f>INDEX(MO_RIS_EPS_WAD_Adj,0,COLUMN())</f>
        <v/>
      </c>
      <c r="CB47" s="2010">
        <f>INDEX(MO_RIS_EPS_WAD_Adj,0,COLUMN())</f>
        <v/>
      </c>
      <c r="CC47" s="1954" t="n"/>
    </row>
    <row r="48" ht="14.4" customHeight="1" s="876">
      <c r="A48" s="1527" t="n"/>
      <c r="B48" s="1982" t="n"/>
      <c r="C48" s="1930" t="n"/>
      <c r="D48" s="1930" t="n"/>
      <c r="E48" s="1930" t="n"/>
      <c r="F48" s="1930" t="n"/>
      <c r="G48" s="1930" t="n"/>
      <c r="H48" s="1932" t="n"/>
      <c r="I48" s="1932" t="n"/>
      <c r="J48" s="1932" t="n"/>
      <c r="K48" s="1932" t="n"/>
      <c r="L48" s="1930" t="n"/>
      <c r="M48" s="1932" t="n"/>
      <c r="N48" s="1932" t="n"/>
      <c r="O48" s="1932" t="n"/>
      <c r="P48" s="1932" t="n"/>
      <c r="Q48" s="1930" t="n"/>
      <c r="R48" s="1932" t="n"/>
      <c r="S48" s="1932" t="n"/>
      <c r="T48" s="1932" t="n"/>
      <c r="U48" s="1932" t="n"/>
      <c r="V48" s="1930" t="n"/>
      <c r="W48" s="1932" t="n"/>
      <c r="X48" s="1932" t="n"/>
      <c r="Y48" s="1932" t="n"/>
      <c r="Z48" s="1932" t="n"/>
      <c r="AA48" s="1930" t="n"/>
      <c r="AB48" s="1932" t="n"/>
      <c r="AC48" s="1932" t="n"/>
      <c r="AD48" s="1932" t="n"/>
      <c r="AE48" s="1932" t="n"/>
      <c r="AF48" s="1930" t="n"/>
      <c r="AG48" s="1932" t="n"/>
      <c r="AH48" s="1932" t="n"/>
      <c r="AI48" s="1932" t="n"/>
      <c r="AJ48" s="1932" t="n"/>
      <c r="AK48" s="1930" t="n"/>
      <c r="AL48" s="1932" t="n"/>
      <c r="AM48" s="1932" t="n"/>
      <c r="AN48" s="1932" t="n"/>
      <c r="AO48" s="1932" t="n"/>
      <c r="AP48" s="1930" t="n"/>
      <c r="AQ48" s="1932" t="n"/>
      <c r="AR48" s="1932" t="n"/>
      <c r="AS48" s="1932" t="n"/>
      <c r="AT48" s="1932" t="n"/>
      <c r="AU48" s="1930" t="n"/>
      <c r="AV48" s="1932" t="n"/>
      <c r="AW48" s="1932" t="n"/>
      <c r="AX48" s="1932" t="n"/>
      <c r="AY48" s="1932" t="n"/>
      <c r="AZ48" s="1930" t="n"/>
      <c r="BA48" s="1932" t="n"/>
      <c r="BB48" s="1932" t="n"/>
      <c r="BC48" s="1932" t="n"/>
      <c r="BD48" s="1932" t="n"/>
      <c r="BE48" s="1930" t="n"/>
      <c r="BF48" s="1932" t="n"/>
      <c r="BG48" s="1932" t="n"/>
      <c r="BH48" s="1932" t="n"/>
      <c r="BI48" s="1932" t="n"/>
      <c r="BJ48" s="1930" t="n"/>
      <c r="BK48" s="1932" t="n"/>
      <c r="BL48" s="1932" t="n"/>
      <c r="BM48" s="1932" t="n"/>
      <c r="BN48" s="1932" t="n"/>
      <c r="BO48" s="2017" t="n"/>
      <c r="BP48" s="1932" t="n"/>
      <c r="BQ48" s="1932" t="n"/>
      <c r="BR48" s="1932" t="n"/>
      <c r="BS48" s="1938" t="n"/>
      <c r="BT48" s="1933" t="n"/>
      <c r="BU48" s="1932" t="n"/>
      <c r="BV48" s="1932" t="n"/>
      <c r="BW48" s="1932" t="n"/>
      <c r="BX48" s="1938" t="n"/>
      <c r="BY48" s="1933" t="n"/>
      <c r="BZ48" s="1933" t="n"/>
      <c r="CA48" s="1933" t="n"/>
      <c r="CB48" s="1933" t="n"/>
      <c r="CC48" s="1527" t="n"/>
    </row>
    <row r="49" ht="14.4" customHeight="1" s="876">
      <c r="A49" s="2018" t="inlineStr">
        <is>
          <t>Margin Analysis</t>
        </is>
      </c>
      <c r="B49" s="1979" t="n"/>
      <c r="C49" s="1979" t="n"/>
      <c r="D49" s="1979" t="n"/>
      <c r="E49" s="1979" t="n"/>
      <c r="F49" s="1979" t="n"/>
      <c r="G49" s="1979" t="n"/>
      <c r="H49" s="1979" t="n"/>
      <c r="I49" s="1979" t="n"/>
      <c r="J49" s="1979" t="n"/>
      <c r="K49" s="1979" t="n"/>
      <c r="L49" s="1979" t="n"/>
      <c r="M49" s="1979" t="n"/>
      <c r="N49" s="1979" t="n"/>
      <c r="O49" s="1979" t="n"/>
      <c r="P49" s="1979" t="n"/>
      <c r="Q49" s="1979" t="n"/>
      <c r="R49" s="1979" t="n"/>
      <c r="S49" s="1979" t="n"/>
      <c r="T49" s="1979" t="n"/>
      <c r="U49" s="1979" t="n"/>
      <c r="V49" s="1979" t="n"/>
      <c r="W49" s="1979" t="n"/>
      <c r="X49" s="1979" t="n"/>
      <c r="Y49" s="1979" t="n"/>
      <c r="Z49" s="1979" t="n"/>
      <c r="AA49" s="1979" t="n"/>
      <c r="AB49" s="1979" t="n"/>
      <c r="AC49" s="1979" t="n"/>
      <c r="AD49" s="1979" t="n"/>
      <c r="AE49" s="1979" t="n"/>
      <c r="AF49" s="1979" t="n"/>
      <c r="AG49" s="1979" t="n"/>
      <c r="AH49" s="1979" t="n"/>
      <c r="AI49" s="1979" t="n"/>
      <c r="AJ49" s="1979" t="n"/>
      <c r="AK49" s="1979" t="n"/>
      <c r="AL49" s="1979" t="n"/>
      <c r="AM49" s="1979" t="n"/>
      <c r="AN49" s="1979" t="n"/>
      <c r="AO49" s="1979" t="n"/>
      <c r="AP49" s="1979" t="n"/>
      <c r="AQ49" s="1979" t="n"/>
      <c r="AR49" s="1979" t="n"/>
      <c r="AS49" s="1979" t="n"/>
      <c r="AT49" s="1979" t="n"/>
      <c r="AU49" s="1979" t="n"/>
      <c r="AV49" s="1979" t="n"/>
      <c r="AW49" s="1979" t="n"/>
      <c r="AX49" s="1979" t="n"/>
      <c r="AY49" s="1979" t="n"/>
      <c r="AZ49" s="1979" t="n"/>
      <c r="BA49" s="1979" t="n"/>
      <c r="BB49" s="1979" t="n"/>
      <c r="BC49" s="1979" t="n"/>
      <c r="BD49" s="1979" t="n"/>
      <c r="BE49" s="1979" t="n"/>
      <c r="BF49" s="1979" t="n"/>
      <c r="BG49" s="1979" t="n"/>
      <c r="BH49" s="1979" t="n"/>
      <c r="BI49" s="1979" t="n"/>
      <c r="BJ49" s="1979" t="n"/>
      <c r="BK49" s="1979" t="n"/>
      <c r="BL49" s="1979" t="n"/>
      <c r="BM49" s="1979" t="n"/>
      <c r="BN49" s="1979" t="n"/>
      <c r="BO49" s="1980" t="n"/>
      <c r="BP49" s="1979" t="n"/>
      <c r="BQ49" s="1979" t="n"/>
      <c r="BR49" s="1979" t="n"/>
      <c r="BS49" s="1979" t="n"/>
      <c r="BT49" s="1979" t="n"/>
      <c r="BU49" s="1979" t="n"/>
      <c r="BV49" s="1979" t="n"/>
      <c r="BW49" s="1979" t="n"/>
      <c r="BX49" s="1979" t="n"/>
      <c r="BY49" s="1979" t="n"/>
      <c r="BZ49" s="1979" t="n"/>
      <c r="CA49" s="1979" t="n"/>
      <c r="CB49" s="1979" t="n"/>
      <c r="CC49" s="1301" t="n"/>
    </row>
    <row r="50" ht="14.4" customFormat="1" customHeight="1" s="1925">
      <c r="A50" s="1981">
        <f>INDEX(MO_MA_COGS,0,COLUMN())</f>
        <v/>
      </c>
      <c r="B50" s="1982" t="n"/>
      <c r="C50" s="1983">
        <f>INDEX(MO_MA_COGS,0,COLUMN())</f>
        <v/>
      </c>
      <c r="D50" s="1983">
        <f>INDEX(MO_MA_COGS,0,COLUMN())</f>
        <v/>
      </c>
      <c r="E50" s="1983">
        <f>INDEX(MO_MA_COGS,0,COLUMN())</f>
        <v/>
      </c>
      <c r="F50" s="1983">
        <f>INDEX(MO_MA_COGS,0,COLUMN())</f>
        <v/>
      </c>
      <c r="G50" s="1983">
        <f>INDEX(MO_MA_COGS,0,COLUMN())</f>
        <v/>
      </c>
      <c r="H50" s="1984">
        <f>INDEX(MO_MA_COGS,0,COLUMN())</f>
        <v/>
      </c>
      <c r="I50" s="1984">
        <f>INDEX(MO_MA_COGS,0,COLUMN())</f>
        <v/>
      </c>
      <c r="J50" s="1984">
        <f>INDEX(MO_MA_COGS,0,COLUMN())</f>
        <v/>
      </c>
      <c r="K50" s="1984">
        <f>INDEX(MO_MA_COGS,0,COLUMN())</f>
        <v/>
      </c>
      <c r="L50" s="1983">
        <f>INDEX(MO_MA_COGS,0,COLUMN())</f>
        <v/>
      </c>
      <c r="M50" s="1984">
        <f>INDEX(MO_MA_COGS,0,COLUMN())</f>
        <v/>
      </c>
      <c r="N50" s="1984">
        <f>INDEX(MO_MA_COGS,0,COLUMN())</f>
        <v/>
      </c>
      <c r="O50" s="1984">
        <f>INDEX(MO_MA_COGS,0,COLUMN())</f>
        <v/>
      </c>
      <c r="P50" s="1984">
        <f>INDEX(MO_MA_COGS,0,COLUMN())</f>
        <v/>
      </c>
      <c r="Q50" s="1983">
        <f>INDEX(MO_MA_COGS,0,COLUMN())</f>
        <v/>
      </c>
      <c r="R50" s="1984">
        <f>INDEX(MO_MA_COGS,0,COLUMN())</f>
        <v/>
      </c>
      <c r="S50" s="1984">
        <f>INDEX(MO_MA_COGS,0,COLUMN())</f>
        <v/>
      </c>
      <c r="T50" s="1984">
        <f>INDEX(MO_MA_COGS,0,COLUMN())</f>
        <v/>
      </c>
      <c r="U50" s="1984">
        <f>INDEX(MO_MA_COGS,0,COLUMN())</f>
        <v/>
      </c>
      <c r="V50" s="1983">
        <f>INDEX(MO_MA_COGS,0,COLUMN())</f>
        <v/>
      </c>
      <c r="W50" s="1984">
        <f>INDEX(MO_MA_COGS,0,COLUMN())</f>
        <v/>
      </c>
      <c r="X50" s="1984">
        <f>INDEX(MO_MA_COGS,0,COLUMN())</f>
        <v/>
      </c>
      <c r="Y50" s="1984">
        <f>INDEX(MO_MA_COGS,0,COLUMN())</f>
        <v/>
      </c>
      <c r="Z50" s="1984">
        <f>INDEX(MO_MA_COGS,0,COLUMN())</f>
        <v/>
      </c>
      <c r="AA50" s="1983">
        <f>INDEX(MO_MA_COGS,0,COLUMN())</f>
        <v/>
      </c>
      <c r="AB50" s="1984">
        <f>INDEX(MO_MA_COGS,0,COLUMN())</f>
        <v/>
      </c>
      <c r="AC50" s="1984">
        <f>INDEX(MO_MA_COGS,0,COLUMN())</f>
        <v/>
      </c>
      <c r="AD50" s="1984">
        <f>INDEX(MO_MA_COGS,0,COLUMN())</f>
        <v/>
      </c>
      <c r="AE50" s="1984">
        <f>INDEX(MO_MA_COGS,0,COLUMN())</f>
        <v/>
      </c>
      <c r="AF50" s="1983">
        <f>INDEX(MO_MA_COGS,0,COLUMN())</f>
        <v/>
      </c>
      <c r="AG50" s="1984">
        <f>INDEX(MO_MA_COGS,0,COLUMN())</f>
        <v/>
      </c>
      <c r="AH50" s="1984">
        <f>INDEX(MO_MA_COGS,0,COLUMN())</f>
        <v/>
      </c>
      <c r="AI50" s="1984">
        <f>INDEX(MO_MA_COGS,0,COLUMN())</f>
        <v/>
      </c>
      <c r="AJ50" s="1984">
        <f>INDEX(MO_MA_COGS,0,COLUMN())</f>
        <v/>
      </c>
      <c r="AK50" s="1983">
        <f>INDEX(MO_MA_COGS,0,COLUMN())</f>
        <v/>
      </c>
      <c r="AL50" s="1984">
        <f>INDEX(MO_MA_COGS,0,COLUMN())</f>
        <v/>
      </c>
      <c r="AM50" s="1984">
        <f>INDEX(MO_MA_COGS,0,COLUMN())</f>
        <v/>
      </c>
      <c r="AN50" s="1984">
        <f>INDEX(MO_MA_COGS,0,COLUMN())</f>
        <v/>
      </c>
      <c r="AO50" s="1984">
        <f>INDEX(MO_MA_COGS,0,COLUMN())</f>
        <v/>
      </c>
      <c r="AP50" s="1983">
        <f>INDEX(MO_MA_COGS,0,COLUMN())</f>
        <v/>
      </c>
      <c r="AQ50" s="1984">
        <f>INDEX(MO_MA_COGS,0,COLUMN())</f>
        <v/>
      </c>
      <c r="AR50" s="1984">
        <f>INDEX(MO_MA_COGS,0,COLUMN())</f>
        <v/>
      </c>
      <c r="AS50" s="1984">
        <f>INDEX(MO_MA_COGS,0,COLUMN())</f>
        <v/>
      </c>
      <c r="AT50" s="1984">
        <f>INDEX(MO_MA_COGS,0,COLUMN())</f>
        <v/>
      </c>
      <c r="AU50" s="1983">
        <f>INDEX(MO_MA_COGS,0,COLUMN())</f>
        <v/>
      </c>
      <c r="AV50" s="1984">
        <f>INDEX(MO_MA_COGS,0,COLUMN())</f>
        <v/>
      </c>
      <c r="AW50" s="1984">
        <f>INDEX(MO_MA_COGS,0,COLUMN())</f>
        <v/>
      </c>
      <c r="AX50" s="1984">
        <f>INDEX(MO_MA_COGS,0,COLUMN())</f>
        <v/>
      </c>
      <c r="AY50" s="1984">
        <f>INDEX(MO_MA_COGS,0,COLUMN())</f>
        <v/>
      </c>
      <c r="AZ50" s="1983">
        <f>INDEX(MO_MA_COGS,0,COLUMN())</f>
        <v/>
      </c>
      <c r="BA50" s="1984">
        <f>INDEX(MO_MA_COGS,0,COLUMN())</f>
        <v/>
      </c>
      <c r="BB50" s="1984">
        <f>INDEX(MO_MA_COGS,0,COLUMN())</f>
        <v/>
      </c>
      <c r="BC50" s="1984">
        <f>INDEX(MO_MA_COGS,0,COLUMN())</f>
        <v/>
      </c>
      <c r="BD50" s="1984">
        <f>INDEX(MO_MA_COGS,0,COLUMN())</f>
        <v/>
      </c>
      <c r="BE50" s="1983">
        <f>INDEX(MO_MA_COGS,0,COLUMN())</f>
        <v/>
      </c>
      <c r="BF50" s="1984">
        <f>INDEX(MO_MA_COGS,0,COLUMN())</f>
        <v/>
      </c>
      <c r="BG50" s="1984">
        <f>INDEX(MO_MA_COGS,0,COLUMN())</f>
        <v/>
      </c>
      <c r="BH50" s="1984">
        <f>INDEX(MO_MA_COGS,0,COLUMN())</f>
        <v/>
      </c>
      <c r="BI50" s="1984">
        <f>INDEX(MO_MA_COGS,0,COLUMN())</f>
        <v/>
      </c>
      <c r="BJ50" s="1983">
        <f>INDEX(MO_MA_COGS,0,COLUMN())</f>
        <v/>
      </c>
      <c r="BK50" s="1984">
        <f>INDEX(MO_MA_COGS,0,COLUMN())</f>
        <v/>
      </c>
      <c r="BL50" s="1984">
        <f>INDEX(MO_MA_COGS,0,COLUMN())</f>
        <v/>
      </c>
      <c r="BM50" s="1984">
        <f>INDEX(MO_MA_COGS,0,COLUMN())</f>
        <v/>
      </c>
      <c r="BN50" s="1984">
        <f>INDEX(MO_MA_COGS,0,COLUMN())</f>
        <v/>
      </c>
      <c r="BO50" s="1985">
        <f>INDEX(MO_MA_COGS,0,COLUMN())</f>
        <v/>
      </c>
      <c r="BP50" s="1984">
        <f>INDEX(MO_MA_COGS,0,COLUMN())</f>
        <v/>
      </c>
      <c r="BQ50" s="1984">
        <f>INDEX(MO_MA_COGS,0,COLUMN())</f>
        <v/>
      </c>
      <c r="BR50" s="1984">
        <f>INDEX(MO_MA_COGS,0,COLUMN())</f>
        <v/>
      </c>
      <c r="BS50" s="1984">
        <f>INDEX(MO_MA_COGS,0,COLUMN())</f>
        <v/>
      </c>
      <c r="BT50" s="1933">
        <f>INDEX(MO_MA_COGS,0,COLUMN())</f>
        <v/>
      </c>
      <c r="BU50" s="1984">
        <f>INDEX(MO_MA_COGS,0,COLUMN())</f>
        <v/>
      </c>
      <c r="BV50" s="1984">
        <f>INDEX(MO_MA_COGS,0,COLUMN())</f>
        <v/>
      </c>
      <c r="BW50" s="1984">
        <f>INDEX(MO_MA_COGS,0,COLUMN())</f>
        <v/>
      </c>
      <c r="BX50" s="1984">
        <f>INDEX(MO_MA_COGS,0,COLUMN())</f>
        <v/>
      </c>
      <c r="BY50" s="1933">
        <f>INDEX(MO_MA_COGS,0,COLUMN())</f>
        <v/>
      </c>
      <c r="BZ50" s="1933">
        <f>INDEX(MO_MA_COGS,0,COLUMN())</f>
        <v/>
      </c>
      <c r="CA50" s="1933">
        <f>INDEX(MO_MA_COGS,0,COLUMN())</f>
        <v/>
      </c>
      <c r="CB50" s="1933">
        <f>INDEX(MO_MA_COGS,0,COLUMN())</f>
        <v/>
      </c>
      <c r="CC50" s="1527" t="n"/>
    </row>
    <row r="51" ht="14.4" customFormat="1" customHeight="1" s="1925">
      <c r="A51" s="2019">
        <f>INDEX(MO_MA_GA,0,COLUMN())</f>
        <v/>
      </c>
      <c r="B51" s="1982" t="n"/>
      <c r="C51" s="1983">
        <f>INDEX(MO_MA_GA,0,COLUMN())</f>
        <v/>
      </c>
      <c r="D51" s="1983">
        <f>INDEX(MO_MA_GA,0,COLUMN())</f>
        <v/>
      </c>
      <c r="E51" s="1983">
        <f>INDEX(MO_MA_GA,0,COLUMN())</f>
        <v/>
      </c>
      <c r="F51" s="1983">
        <f>INDEX(MO_MA_GA,0,COLUMN())</f>
        <v/>
      </c>
      <c r="G51" s="1983">
        <f>INDEX(MO_MA_GA,0,COLUMN())</f>
        <v/>
      </c>
      <c r="H51" s="1984">
        <f>INDEX(MO_MA_GA,0,COLUMN())</f>
        <v/>
      </c>
      <c r="I51" s="1984">
        <f>INDEX(MO_MA_GA,0,COLUMN())</f>
        <v/>
      </c>
      <c r="J51" s="1984">
        <f>INDEX(MO_MA_GA,0,COLUMN())</f>
        <v/>
      </c>
      <c r="K51" s="1984">
        <f>INDEX(MO_MA_GA,0,COLUMN())</f>
        <v/>
      </c>
      <c r="L51" s="1983">
        <f>INDEX(MO_MA_GA,0,COLUMN())</f>
        <v/>
      </c>
      <c r="M51" s="1984">
        <f>INDEX(MO_MA_GA,0,COLUMN())</f>
        <v/>
      </c>
      <c r="N51" s="1984">
        <f>INDEX(MO_MA_GA,0,COLUMN())</f>
        <v/>
      </c>
      <c r="O51" s="1984">
        <f>INDEX(MO_MA_GA,0,COLUMN())</f>
        <v/>
      </c>
      <c r="P51" s="1984">
        <f>INDEX(MO_MA_GA,0,COLUMN())</f>
        <v/>
      </c>
      <c r="Q51" s="1983">
        <f>INDEX(MO_MA_GA,0,COLUMN())</f>
        <v/>
      </c>
      <c r="R51" s="1984">
        <f>INDEX(MO_MA_GA,0,COLUMN())</f>
        <v/>
      </c>
      <c r="S51" s="1984">
        <f>INDEX(MO_MA_GA,0,COLUMN())</f>
        <v/>
      </c>
      <c r="T51" s="1984">
        <f>INDEX(MO_MA_GA,0,COLUMN())</f>
        <v/>
      </c>
      <c r="U51" s="1984">
        <f>INDEX(MO_MA_GA,0,COLUMN())</f>
        <v/>
      </c>
      <c r="V51" s="1983">
        <f>INDEX(MO_MA_GA,0,COLUMN())</f>
        <v/>
      </c>
      <c r="W51" s="1984">
        <f>INDEX(MO_MA_GA,0,COLUMN())</f>
        <v/>
      </c>
      <c r="X51" s="1984">
        <f>INDEX(MO_MA_GA,0,COLUMN())</f>
        <v/>
      </c>
      <c r="Y51" s="1984">
        <f>INDEX(MO_MA_GA,0,COLUMN())</f>
        <v/>
      </c>
      <c r="Z51" s="1984">
        <f>INDEX(MO_MA_GA,0,COLUMN())</f>
        <v/>
      </c>
      <c r="AA51" s="1983">
        <f>INDEX(MO_MA_GA,0,COLUMN())</f>
        <v/>
      </c>
      <c r="AB51" s="1984">
        <f>INDEX(MO_MA_GA,0,COLUMN())</f>
        <v/>
      </c>
      <c r="AC51" s="1984">
        <f>INDEX(MO_MA_GA,0,COLUMN())</f>
        <v/>
      </c>
      <c r="AD51" s="1984">
        <f>INDEX(MO_MA_GA,0,COLUMN())</f>
        <v/>
      </c>
      <c r="AE51" s="1984">
        <f>INDEX(MO_MA_GA,0,COLUMN())</f>
        <v/>
      </c>
      <c r="AF51" s="1983">
        <f>INDEX(MO_MA_GA,0,COLUMN())</f>
        <v/>
      </c>
      <c r="AG51" s="1984">
        <f>INDEX(MO_MA_GA,0,COLUMN())</f>
        <v/>
      </c>
      <c r="AH51" s="1984">
        <f>INDEX(MO_MA_GA,0,COLUMN())</f>
        <v/>
      </c>
      <c r="AI51" s="1984">
        <f>INDEX(MO_MA_GA,0,COLUMN())</f>
        <v/>
      </c>
      <c r="AJ51" s="1984">
        <f>INDEX(MO_MA_GA,0,COLUMN())</f>
        <v/>
      </c>
      <c r="AK51" s="1983">
        <f>INDEX(MO_MA_GA,0,COLUMN())</f>
        <v/>
      </c>
      <c r="AL51" s="1984">
        <f>INDEX(MO_MA_GA,0,COLUMN())</f>
        <v/>
      </c>
      <c r="AM51" s="1984">
        <f>INDEX(MO_MA_GA,0,COLUMN())</f>
        <v/>
      </c>
      <c r="AN51" s="1984">
        <f>INDEX(MO_MA_GA,0,COLUMN())</f>
        <v/>
      </c>
      <c r="AO51" s="1984">
        <f>INDEX(MO_MA_GA,0,COLUMN())</f>
        <v/>
      </c>
      <c r="AP51" s="1983">
        <f>INDEX(MO_MA_GA,0,COLUMN())</f>
        <v/>
      </c>
      <c r="AQ51" s="1984">
        <f>INDEX(MO_MA_GA,0,COLUMN())</f>
        <v/>
      </c>
      <c r="AR51" s="1984">
        <f>INDEX(MO_MA_GA,0,COLUMN())</f>
        <v/>
      </c>
      <c r="AS51" s="1984">
        <f>INDEX(MO_MA_GA,0,COLUMN())</f>
        <v/>
      </c>
      <c r="AT51" s="1984">
        <f>INDEX(MO_MA_GA,0,COLUMN())</f>
        <v/>
      </c>
      <c r="AU51" s="1983">
        <f>INDEX(MO_MA_GA,0,COLUMN())</f>
        <v/>
      </c>
      <c r="AV51" s="1984">
        <f>INDEX(MO_MA_GA,0,COLUMN())</f>
        <v/>
      </c>
      <c r="AW51" s="1984">
        <f>INDEX(MO_MA_GA,0,COLUMN())</f>
        <v/>
      </c>
      <c r="AX51" s="1984">
        <f>INDEX(MO_MA_GA,0,COLUMN())</f>
        <v/>
      </c>
      <c r="AY51" s="1984">
        <f>INDEX(MO_MA_GA,0,COLUMN())</f>
        <v/>
      </c>
      <c r="AZ51" s="1983">
        <f>INDEX(MO_MA_GA,0,COLUMN())</f>
        <v/>
      </c>
      <c r="BA51" s="1984">
        <f>INDEX(MO_MA_GA,0,COLUMN())</f>
        <v/>
      </c>
      <c r="BB51" s="1984">
        <f>INDEX(MO_MA_GA,0,COLUMN())</f>
        <v/>
      </c>
      <c r="BC51" s="1984">
        <f>INDEX(MO_MA_GA,0,COLUMN())</f>
        <v/>
      </c>
      <c r="BD51" s="1984">
        <f>INDEX(MO_MA_GA,0,COLUMN())</f>
        <v/>
      </c>
      <c r="BE51" s="1983">
        <f>INDEX(MO_MA_GA,0,COLUMN())</f>
        <v/>
      </c>
      <c r="BF51" s="1984">
        <f>INDEX(MO_MA_GA,0,COLUMN())</f>
        <v/>
      </c>
      <c r="BG51" s="1984">
        <f>INDEX(MO_MA_GA,0,COLUMN())</f>
        <v/>
      </c>
      <c r="BH51" s="1984">
        <f>INDEX(MO_MA_GA,0,COLUMN())</f>
        <v/>
      </c>
      <c r="BI51" s="1984">
        <f>INDEX(MO_MA_GA,0,COLUMN())</f>
        <v/>
      </c>
      <c r="BJ51" s="1983">
        <f>INDEX(MO_MA_GA,0,COLUMN())</f>
        <v/>
      </c>
      <c r="BK51" s="1984">
        <f>INDEX(MO_MA_GA,0,COLUMN())</f>
        <v/>
      </c>
      <c r="BL51" s="1984">
        <f>INDEX(MO_MA_GA,0,COLUMN())</f>
        <v/>
      </c>
      <c r="BM51" s="1984">
        <f>INDEX(MO_MA_GA,0,COLUMN())</f>
        <v/>
      </c>
      <c r="BN51" s="1984">
        <f>INDEX(MO_MA_GA,0,COLUMN())</f>
        <v/>
      </c>
      <c r="BO51" s="1985">
        <f>INDEX(MO_MA_GA,0,COLUMN())</f>
        <v/>
      </c>
      <c r="BP51" s="1984">
        <f>INDEX(MO_MA_GA,0,COLUMN())</f>
        <v/>
      </c>
      <c r="BQ51" s="1984">
        <f>INDEX(MO_MA_GA,0,COLUMN())</f>
        <v/>
      </c>
      <c r="BR51" s="1984">
        <f>INDEX(MO_MA_GA,0,COLUMN())</f>
        <v/>
      </c>
      <c r="BS51" s="1984">
        <f>INDEX(MO_MA_GA,0,COLUMN())</f>
        <v/>
      </c>
      <c r="BT51" s="1933">
        <f>INDEX(MO_MA_GA,0,COLUMN())</f>
        <v/>
      </c>
      <c r="BU51" s="1984">
        <f>INDEX(MO_MA_GA,0,COLUMN())</f>
        <v/>
      </c>
      <c r="BV51" s="1984">
        <f>INDEX(MO_MA_GA,0,COLUMN())</f>
        <v/>
      </c>
      <c r="BW51" s="1984">
        <f>INDEX(MO_MA_GA,0,COLUMN())</f>
        <v/>
      </c>
      <c r="BX51" s="1984">
        <f>INDEX(MO_MA_GA,0,COLUMN())</f>
        <v/>
      </c>
      <c r="BY51" s="1933">
        <f>INDEX(MO_MA_GA,0,COLUMN())</f>
        <v/>
      </c>
      <c r="BZ51" s="1933">
        <f>INDEX(MO_MA_GA,0,COLUMN())</f>
        <v/>
      </c>
      <c r="CA51" s="1933">
        <f>INDEX(MO_MA_GA,0,COLUMN())</f>
        <v/>
      </c>
      <c r="CB51" s="1933">
        <f>INDEX(MO_MA_GA,0,COLUMN())</f>
        <v/>
      </c>
      <c r="CC51" s="1527" t="n"/>
    </row>
    <row r="52" ht="14.4" customFormat="1" customHeight="1" s="1925">
      <c r="A52" s="2020">
        <f>INDEX(MO_MA_SM,0,COLUMN())</f>
        <v/>
      </c>
      <c r="B52" s="1987" t="n"/>
      <c r="C52" s="1988">
        <f>INDEX(MO_MA_SM,0,COLUMN())</f>
        <v/>
      </c>
      <c r="D52" s="1988">
        <f>INDEX(MO_MA_SM,0,COLUMN())</f>
        <v/>
      </c>
      <c r="E52" s="1988">
        <f>INDEX(MO_MA_SM,0,COLUMN())</f>
        <v/>
      </c>
      <c r="F52" s="1988">
        <f>INDEX(MO_MA_SM,0,COLUMN())</f>
        <v/>
      </c>
      <c r="G52" s="1988">
        <f>INDEX(MO_MA_SM,0,COLUMN())</f>
        <v/>
      </c>
      <c r="H52" s="1989">
        <f>INDEX(MO_MA_SM,0,COLUMN())</f>
        <v/>
      </c>
      <c r="I52" s="1989">
        <f>INDEX(MO_MA_SM,0,COLUMN())</f>
        <v/>
      </c>
      <c r="J52" s="1989">
        <f>INDEX(MO_MA_SM,0,COLUMN())</f>
        <v/>
      </c>
      <c r="K52" s="1989">
        <f>INDEX(MO_MA_SM,0,COLUMN())</f>
        <v/>
      </c>
      <c r="L52" s="1988">
        <f>INDEX(MO_MA_SM,0,COLUMN())</f>
        <v/>
      </c>
      <c r="M52" s="1989">
        <f>INDEX(MO_MA_SM,0,COLUMN())</f>
        <v/>
      </c>
      <c r="N52" s="1989">
        <f>INDEX(MO_MA_SM,0,COLUMN())</f>
        <v/>
      </c>
      <c r="O52" s="1989">
        <f>INDEX(MO_MA_SM,0,COLUMN())</f>
        <v/>
      </c>
      <c r="P52" s="1989">
        <f>INDEX(MO_MA_SM,0,COLUMN())</f>
        <v/>
      </c>
      <c r="Q52" s="1988">
        <f>INDEX(MO_MA_SM,0,COLUMN())</f>
        <v/>
      </c>
      <c r="R52" s="1989">
        <f>INDEX(MO_MA_SM,0,COLUMN())</f>
        <v/>
      </c>
      <c r="S52" s="1989">
        <f>INDEX(MO_MA_SM,0,COLUMN())</f>
        <v/>
      </c>
      <c r="T52" s="1989">
        <f>INDEX(MO_MA_SM,0,COLUMN())</f>
        <v/>
      </c>
      <c r="U52" s="1989">
        <f>INDEX(MO_MA_SM,0,COLUMN())</f>
        <v/>
      </c>
      <c r="V52" s="1988">
        <f>INDEX(MO_MA_SM,0,COLUMN())</f>
        <v/>
      </c>
      <c r="W52" s="1989">
        <f>INDEX(MO_MA_SM,0,COLUMN())</f>
        <v/>
      </c>
      <c r="X52" s="1989">
        <f>INDEX(MO_MA_SM,0,COLUMN())</f>
        <v/>
      </c>
      <c r="Y52" s="1989">
        <f>INDEX(MO_MA_SM,0,COLUMN())</f>
        <v/>
      </c>
      <c r="Z52" s="1989">
        <f>INDEX(MO_MA_SM,0,COLUMN())</f>
        <v/>
      </c>
      <c r="AA52" s="1988">
        <f>INDEX(MO_MA_SM,0,COLUMN())</f>
        <v/>
      </c>
      <c r="AB52" s="1989">
        <f>INDEX(MO_MA_SM,0,COLUMN())</f>
        <v/>
      </c>
      <c r="AC52" s="1989">
        <f>INDEX(MO_MA_SM,0,COLUMN())</f>
        <v/>
      </c>
      <c r="AD52" s="1989">
        <f>INDEX(MO_MA_SM,0,COLUMN())</f>
        <v/>
      </c>
      <c r="AE52" s="1989">
        <f>INDEX(MO_MA_SM,0,COLUMN())</f>
        <v/>
      </c>
      <c r="AF52" s="1988">
        <f>INDEX(MO_MA_SM,0,COLUMN())</f>
        <v/>
      </c>
      <c r="AG52" s="1989">
        <f>INDEX(MO_MA_SM,0,COLUMN())</f>
        <v/>
      </c>
      <c r="AH52" s="1989">
        <f>INDEX(MO_MA_SM,0,COLUMN())</f>
        <v/>
      </c>
      <c r="AI52" s="1989">
        <f>INDEX(MO_MA_SM,0,COLUMN())</f>
        <v/>
      </c>
      <c r="AJ52" s="1989">
        <f>INDEX(MO_MA_SM,0,COLUMN())</f>
        <v/>
      </c>
      <c r="AK52" s="1988">
        <f>INDEX(MO_MA_SM,0,COLUMN())</f>
        <v/>
      </c>
      <c r="AL52" s="1989">
        <f>INDEX(MO_MA_SM,0,COLUMN())</f>
        <v/>
      </c>
      <c r="AM52" s="1989">
        <f>INDEX(MO_MA_SM,0,COLUMN())</f>
        <v/>
      </c>
      <c r="AN52" s="1989">
        <f>INDEX(MO_MA_SM,0,COLUMN())</f>
        <v/>
      </c>
      <c r="AO52" s="1989">
        <f>INDEX(MO_MA_SM,0,COLUMN())</f>
        <v/>
      </c>
      <c r="AP52" s="1988">
        <f>INDEX(MO_MA_SM,0,COLUMN())</f>
        <v/>
      </c>
      <c r="AQ52" s="1989">
        <f>INDEX(MO_MA_SM,0,COLUMN())</f>
        <v/>
      </c>
      <c r="AR52" s="1989">
        <f>INDEX(MO_MA_SM,0,COLUMN())</f>
        <v/>
      </c>
      <c r="AS52" s="1989">
        <f>INDEX(MO_MA_SM,0,COLUMN())</f>
        <v/>
      </c>
      <c r="AT52" s="1989">
        <f>INDEX(MO_MA_SM,0,COLUMN())</f>
        <v/>
      </c>
      <c r="AU52" s="1988">
        <f>INDEX(MO_MA_SM,0,COLUMN())</f>
        <v/>
      </c>
      <c r="AV52" s="1989">
        <f>INDEX(MO_MA_SM,0,COLUMN())</f>
        <v/>
      </c>
      <c r="AW52" s="1989">
        <f>INDEX(MO_MA_SM,0,COLUMN())</f>
        <v/>
      </c>
      <c r="AX52" s="1989">
        <f>INDEX(MO_MA_SM,0,COLUMN())</f>
        <v/>
      </c>
      <c r="AY52" s="1989">
        <f>INDEX(MO_MA_SM,0,COLUMN())</f>
        <v/>
      </c>
      <c r="AZ52" s="1988">
        <f>INDEX(MO_MA_SM,0,COLUMN())</f>
        <v/>
      </c>
      <c r="BA52" s="1989">
        <f>INDEX(MO_MA_SM,0,COLUMN())</f>
        <v/>
      </c>
      <c r="BB52" s="1989">
        <f>INDEX(MO_MA_SM,0,COLUMN())</f>
        <v/>
      </c>
      <c r="BC52" s="1989">
        <f>INDEX(MO_MA_SM,0,COLUMN())</f>
        <v/>
      </c>
      <c r="BD52" s="1989">
        <f>INDEX(MO_MA_SM,0,COLUMN())</f>
        <v/>
      </c>
      <c r="BE52" s="1988">
        <f>INDEX(MO_MA_SM,0,COLUMN())</f>
        <v/>
      </c>
      <c r="BF52" s="1989">
        <f>INDEX(MO_MA_SM,0,COLUMN())</f>
        <v/>
      </c>
      <c r="BG52" s="1989">
        <f>INDEX(MO_MA_SM,0,COLUMN())</f>
        <v/>
      </c>
      <c r="BH52" s="1989">
        <f>INDEX(MO_MA_SM,0,COLUMN())</f>
        <v/>
      </c>
      <c r="BI52" s="1989">
        <f>INDEX(MO_MA_SM,0,COLUMN())</f>
        <v/>
      </c>
      <c r="BJ52" s="1988">
        <f>INDEX(MO_MA_SM,0,COLUMN())</f>
        <v/>
      </c>
      <c r="BK52" s="1989">
        <f>INDEX(MO_MA_SM,0,COLUMN())</f>
        <v/>
      </c>
      <c r="BL52" s="1989">
        <f>INDEX(MO_MA_SM,0,COLUMN())</f>
        <v/>
      </c>
      <c r="BM52" s="1989">
        <f>INDEX(MO_MA_SM,0,COLUMN())</f>
        <v/>
      </c>
      <c r="BN52" s="1989">
        <f>INDEX(MO_MA_SM,0,COLUMN())</f>
        <v/>
      </c>
      <c r="BO52" s="1990">
        <f>INDEX(MO_MA_SM,0,COLUMN())</f>
        <v/>
      </c>
      <c r="BP52" s="1989">
        <f>INDEX(MO_MA_SM,0,COLUMN())</f>
        <v/>
      </c>
      <c r="BQ52" s="1989">
        <f>INDEX(MO_MA_SM,0,COLUMN())</f>
        <v/>
      </c>
      <c r="BR52" s="1989">
        <f>INDEX(MO_MA_SM,0,COLUMN())</f>
        <v/>
      </c>
      <c r="BS52" s="1989">
        <f>INDEX(MO_MA_SM,0,COLUMN())</f>
        <v/>
      </c>
      <c r="BT52" s="2021">
        <f>INDEX(MO_MA_SM,0,COLUMN())</f>
        <v/>
      </c>
      <c r="BU52" s="1989">
        <f>INDEX(MO_MA_SM,0,COLUMN())</f>
        <v/>
      </c>
      <c r="BV52" s="1989">
        <f>INDEX(MO_MA_SM,0,COLUMN())</f>
        <v/>
      </c>
      <c r="BW52" s="1989">
        <f>INDEX(MO_MA_SM,0,COLUMN())</f>
        <v/>
      </c>
      <c r="BX52" s="1989">
        <f>INDEX(MO_MA_SM,0,COLUMN())</f>
        <v/>
      </c>
      <c r="BY52" s="2021">
        <f>INDEX(MO_MA_SM,0,COLUMN())</f>
        <v/>
      </c>
      <c r="BZ52" s="2021">
        <f>INDEX(MO_MA_SM,0,COLUMN())</f>
        <v/>
      </c>
      <c r="CA52" s="2021">
        <f>INDEX(MO_MA_SM,0,COLUMN())</f>
        <v/>
      </c>
      <c r="CB52" s="2021">
        <f>INDEX(MO_MA_SM,0,COLUMN())</f>
        <v/>
      </c>
      <c r="CC52" s="1527" t="n"/>
    </row>
    <row r="53" ht="14.4" customFormat="1" customHeight="1" s="1925">
      <c r="A53" s="2022">
        <f>INDEX(MO_MA_SGA,0,COLUMN())</f>
        <v/>
      </c>
      <c r="B53" s="2023" t="n"/>
      <c r="C53" s="2024">
        <f>INDEX(SP_GF_SGA,0,COLUMN())/INDEX(SP_GF_Rev,0,COLUMN())</f>
        <v/>
      </c>
      <c r="D53" s="2024">
        <f>INDEX(SP_GF_SGA,0,COLUMN())/INDEX(SP_GF_Rev,0,COLUMN())</f>
        <v/>
      </c>
      <c r="E53" s="2024">
        <f>INDEX(SP_GF_SGA,0,COLUMN())/INDEX(SP_GF_Rev,0,COLUMN())</f>
        <v/>
      </c>
      <c r="F53" s="2024">
        <f>INDEX(SP_GF_SGA,0,COLUMN())/INDEX(SP_GF_Rev,0,COLUMN())</f>
        <v/>
      </c>
      <c r="G53" s="2024">
        <f>INDEX(SP_GF_SGA,0,COLUMN())/INDEX(SP_GF_Rev,0,COLUMN())</f>
        <v/>
      </c>
      <c r="H53" s="2025">
        <f>INDEX(SP_GF_SGA,0,COLUMN())/INDEX(SP_GF_Rev,0,COLUMN())</f>
        <v/>
      </c>
      <c r="I53" s="2025">
        <f>INDEX(SP_GF_SGA,0,COLUMN())/INDEX(SP_GF_Rev,0,COLUMN())</f>
        <v/>
      </c>
      <c r="J53" s="2025">
        <f>INDEX(SP_GF_SGA,0,COLUMN())/INDEX(SP_GF_Rev,0,COLUMN())</f>
        <v/>
      </c>
      <c r="K53" s="2025">
        <f>INDEX(SP_GF_SGA,0,COLUMN())/INDEX(SP_GF_Rev,0,COLUMN())</f>
        <v/>
      </c>
      <c r="L53" s="2024">
        <f>INDEX(SP_GF_SGA,0,COLUMN())/INDEX(SP_GF_Rev,0,COLUMN())</f>
        <v/>
      </c>
      <c r="M53" s="2025">
        <f>INDEX(SP_GF_SGA,0,COLUMN())/INDEX(SP_GF_Rev,0,COLUMN())</f>
        <v/>
      </c>
      <c r="N53" s="2025">
        <f>INDEX(SP_GF_SGA,0,COLUMN())/INDEX(SP_GF_Rev,0,COLUMN())</f>
        <v/>
      </c>
      <c r="O53" s="2025">
        <f>INDEX(SP_GF_SGA,0,COLUMN())/INDEX(SP_GF_Rev,0,COLUMN())</f>
        <v/>
      </c>
      <c r="P53" s="2025">
        <f>INDEX(SP_GF_SGA,0,COLUMN())/INDEX(SP_GF_Rev,0,COLUMN())</f>
        <v/>
      </c>
      <c r="Q53" s="2024">
        <f>INDEX(SP_GF_SGA,0,COLUMN())/INDEX(SP_GF_Rev,0,COLUMN())</f>
        <v/>
      </c>
      <c r="R53" s="2025">
        <f>INDEX(SP_GF_SGA,0,COLUMN())/INDEX(SP_GF_Rev,0,COLUMN())</f>
        <v/>
      </c>
      <c r="S53" s="2025">
        <f>INDEX(SP_GF_SGA,0,COLUMN())/INDEX(SP_GF_Rev,0,COLUMN())</f>
        <v/>
      </c>
      <c r="T53" s="2025">
        <f>INDEX(SP_GF_SGA,0,COLUMN())/INDEX(SP_GF_Rev,0,COLUMN())</f>
        <v/>
      </c>
      <c r="U53" s="2025">
        <f>INDEX(SP_GF_SGA,0,COLUMN())/INDEX(SP_GF_Rev,0,COLUMN())</f>
        <v/>
      </c>
      <c r="V53" s="2024">
        <f>INDEX(SP_GF_SGA,0,COLUMN())/INDEX(SP_GF_Rev,0,COLUMN())</f>
        <v/>
      </c>
      <c r="W53" s="2025">
        <f>INDEX(SP_GF_SGA,0,COLUMN())/INDEX(SP_GF_Rev,0,COLUMN())</f>
        <v/>
      </c>
      <c r="X53" s="2025">
        <f>INDEX(SP_GF_SGA,0,COLUMN())/INDEX(SP_GF_Rev,0,COLUMN())</f>
        <v/>
      </c>
      <c r="Y53" s="2025">
        <f>INDEX(SP_GF_SGA,0,COLUMN())/INDEX(SP_GF_Rev,0,COLUMN())</f>
        <v/>
      </c>
      <c r="Z53" s="2025">
        <f>INDEX(SP_GF_SGA,0,COLUMN())/INDEX(SP_GF_Rev,0,COLUMN())</f>
        <v/>
      </c>
      <c r="AA53" s="2024">
        <f>INDEX(SP_GF_SGA,0,COLUMN())/INDEX(SP_GF_Rev,0,COLUMN())</f>
        <v/>
      </c>
      <c r="AB53" s="2025">
        <f>INDEX(SP_GF_SGA,0,COLUMN())/INDEX(SP_GF_Rev,0,COLUMN())</f>
        <v/>
      </c>
      <c r="AC53" s="2025">
        <f>INDEX(SP_GF_SGA,0,COLUMN())/INDEX(SP_GF_Rev,0,COLUMN())</f>
        <v/>
      </c>
      <c r="AD53" s="2025">
        <f>INDEX(SP_GF_SGA,0,COLUMN())/INDEX(SP_GF_Rev,0,COLUMN())</f>
        <v/>
      </c>
      <c r="AE53" s="2025">
        <f>INDEX(SP_GF_SGA,0,COLUMN())/INDEX(SP_GF_Rev,0,COLUMN())</f>
        <v/>
      </c>
      <c r="AF53" s="2024">
        <f>INDEX(SP_GF_SGA,0,COLUMN())/INDEX(SP_GF_Rev,0,COLUMN())</f>
        <v/>
      </c>
      <c r="AG53" s="2025">
        <f>INDEX(SP_GF_SGA,0,COLUMN())/INDEX(SP_GF_Rev,0,COLUMN())</f>
        <v/>
      </c>
      <c r="AH53" s="2025">
        <f>INDEX(SP_GF_SGA,0,COLUMN())/INDEX(SP_GF_Rev,0,COLUMN())</f>
        <v/>
      </c>
      <c r="AI53" s="2025">
        <f>INDEX(SP_GF_SGA,0,COLUMN())/INDEX(SP_GF_Rev,0,COLUMN())</f>
        <v/>
      </c>
      <c r="AJ53" s="2025">
        <f>INDEX(SP_GF_SGA,0,COLUMN())/INDEX(SP_GF_Rev,0,COLUMN())</f>
        <v/>
      </c>
      <c r="AK53" s="2024">
        <f>INDEX(SP_GF_SGA,0,COLUMN())/INDEX(SP_GF_Rev,0,COLUMN())</f>
        <v/>
      </c>
      <c r="AL53" s="2025">
        <f>INDEX(SP_GF_SGA,0,COLUMN())/INDEX(SP_GF_Rev,0,COLUMN())</f>
        <v/>
      </c>
      <c r="AM53" s="2025">
        <f>INDEX(SP_GF_SGA,0,COLUMN())/INDEX(SP_GF_Rev,0,COLUMN())</f>
        <v/>
      </c>
      <c r="AN53" s="2025">
        <f>INDEX(SP_GF_SGA,0,COLUMN())/INDEX(SP_GF_Rev,0,COLUMN())</f>
        <v/>
      </c>
      <c r="AO53" s="2025">
        <f>INDEX(SP_GF_SGA,0,COLUMN())/INDEX(SP_GF_Rev,0,COLUMN())</f>
        <v/>
      </c>
      <c r="AP53" s="2024">
        <f>INDEX(SP_GF_SGA,0,COLUMN())/INDEX(SP_GF_Rev,0,COLUMN())</f>
        <v/>
      </c>
      <c r="AQ53" s="2025">
        <f>INDEX(SP_GF_SGA,0,COLUMN())/INDEX(SP_GF_Rev,0,COLUMN())</f>
        <v/>
      </c>
      <c r="AR53" s="2025">
        <f>INDEX(SP_GF_SGA,0,COLUMN())/INDEX(SP_GF_Rev,0,COLUMN())</f>
        <v/>
      </c>
      <c r="AS53" s="2025">
        <f>INDEX(SP_GF_SGA,0,COLUMN())/INDEX(SP_GF_Rev,0,COLUMN())</f>
        <v/>
      </c>
      <c r="AT53" s="2025">
        <f>INDEX(SP_GF_SGA,0,COLUMN())/INDEX(SP_GF_Rev,0,COLUMN())</f>
        <v/>
      </c>
      <c r="AU53" s="2024">
        <f>INDEX(SP_GF_SGA,0,COLUMN())/INDEX(SP_GF_Rev,0,COLUMN())</f>
        <v/>
      </c>
      <c r="AV53" s="2025">
        <f>INDEX(SP_GF_SGA,0,COLUMN())/INDEX(SP_GF_Rev,0,COLUMN())</f>
        <v/>
      </c>
      <c r="AW53" s="2025">
        <f>INDEX(SP_GF_SGA,0,COLUMN())/INDEX(SP_GF_Rev,0,COLUMN())</f>
        <v/>
      </c>
      <c r="AX53" s="2025">
        <f>INDEX(SP_GF_SGA,0,COLUMN())/INDEX(SP_GF_Rev,0,COLUMN())</f>
        <v/>
      </c>
      <c r="AY53" s="2025">
        <f>INDEX(SP_GF_SGA,0,COLUMN())/INDEX(SP_GF_Rev,0,COLUMN())</f>
        <v/>
      </c>
      <c r="AZ53" s="2024">
        <f>INDEX(SP_GF_SGA,0,COLUMN())/INDEX(SP_GF_Rev,0,COLUMN())</f>
        <v/>
      </c>
      <c r="BA53" s="2025">
        <f>INDEX(SP_GF_SGA,0,COLUMN())/INDEX(SP_GF_Rev,0,COLUMN())</f>
        <v/>
      </c>
      <c r="BB53" s="2025">
        <f>INDEX(SP_GF_SGA,0,COLUMN())/INDEX(SP_GF_Rev,0,COLUMN())</f>
        <v/>
      </c>
      <c r="BC53" s="2025">
        <f>INDEX(SP_GF_SGA,0,COLUMN())/INDEX(SP_GF_Rev,0,COLUMN())</f>
        <v/>
      </c>
      <c r="BD53" s="2025">
        <f>INDEX(SP_GF_SGA,0,COLUMN())/INDEX(SP_GF_Rev,0,COLUMN())</f>
        <v/>
      </c>
      <c r="BE53" s="2024">
        <f>INDEX(SP_GF_SGA,0,COLUMN())/INDEX(SP_GF_Rev,0,COLUMN())</f>
        <v/>
      </c>
      <c r="BF53" s="2025">
        <f>INDEX(SP_GF_SGA,0,COLUMN())/INDEX(SP_GF_Rev,0,COLUMN())</f>
        <v/>
      </c>
      <c r="BG53" s="2025">
        <f>INDEX(SP_GF_SGA,0,COLUMN())/INDEX(SP_GF_Rev,0,COLUMN())</f>
        <v/>
      </c>
      <c r="BH53" s="2025">
        <f>INDEX(SP_GF_SGA,0,COLUMN())/INDEX(SP_GF_Rev,0,COLUMN())</f>
        <v/>
      </c>
      <c r="BI53" s="2025">
        <f>INDEX(SP_GF_SGA,0,COLUMN())/INDEX(SP_GF_Rev,0,COLUMN())</f>
        <v/>
      </c>
      <c r="BJ53" s="2024">
        <f>INDEX(SP_GF_SGA,0,COLUMN())/INDEX(SP_GF_Rev,0,COLUMN())</f>
        <v/>
      </c>
      <c r="BK53" s="2025">
        <f>INDEX(SP_GF_SGA,0,COLUMN())/INDEX(SP_GF_Rev,0,COLUMN())</f>
        <v/>
      </c>
      <c r="BL53" s="2025">
        <f>INDEX(SP_GF_SGA,0,COLUMN())/INDEX(SP_GF_Rev,0,COLUMN())</f>
        <v/>
      </c>
      <c r="BM53" s="2025">
        <f>INDEX(SP_GF_SGA,0,COLUMN())/INDEX(SP_GF_Rev,0,COLUMN())</f>
        <v/>
      </c>
      <c r="BN53" s="2025">
        <f>INDEX(SP_GF_SGA,0,COLUMN())/INDEX(SP_GF_Rev,0,COLUMN())</f>
        <v/>
      </c>
      <c r="BO53" s="2026">
        <f>INDEX(SP_GF_SGA,0,COLUMN())/INDEX(SP_GF_Rev,0,COLUMN())</f>
        <v/>
      </c>
      <c r="BP53" s="2025">
        <f>INDEX(SP_GF_SGA,0,COLUMN())/INDEX(SP_GF_Rev,0,COLUMN())</f>
        <v/>
      </c>
      <c r="BQ53" s="2025">
        <f>INDEX(SP_GF_SGA,0,COLUMN())/INDEX(SP_GF_Rev,0,COLUMN())</f>
        <v/>
      </c>
      <c r="BR53" s="2025">
        <f>INDEX(SP_GF_SGA,0,COLUMN())/INDEX(SP_GF_Rev,0,COLUMN())</f>
        <v/>
      </c>
      <c r="BS53" s="2025">
        <f>INDEX(SP_GF_SGA,0,COLUMN())/INDEX(SP_GF_Rev,0,COLUMN())</f>
        <v/>
      </c>
      <c r="BT53" s="2027">
        <f>INDEX(SP_GF_SGA,0,COLUMN())/INDEX(SP_GF_Rev,0,COLUMN())</f>
        <v/>
      </c>
      <c r="BU53" s="2025">
        <f>INDEX(SP_GF_SGA,0,COLUMN())/INDEX(SP_GF_Rev,0,COLUMN())</f>
        <v/>
      </c>
      <c r="BV53" s="2025">
        <f>INDEX(SP_GF_SGA,0,COLUMN())/INDEX(SP_GF_Rev,0,COLUMN())</f>
        <v/>
      </c>
      <c r="BW53" s="2025">
        <f>INDEX(SP_GF_SGA,0,COLUMN())/INDEX(SP_GF_Rev,0,COLUMN())</f>
        <v/>
      </c>
      <c r="BX53" s="2025">
        <f>INDEX(SP_GF_SGA,0,COLUMN())/INDEX(SP_GF_Rev,0,COLUMN())</f>
        <v/>
      </c>
      <c r="BY53" s="2027">
        <f>INDEX(SP_GF_SGA,0,COLUMN())/INDEX(SP_GF_Rev,0,COLUMN())</f>
        <v/>
      </c>
      <c r="BZ53" s="2027">
        <f>INDEX(SP_GF_SGA,0,COLUMN())/INDEX(SP_GF_Rev,0,COLUMN())</f>
        <v/>
      </c>
      <c r="CA53" s="2027">
        <f>INDEX(SP_GF_SGA,0,COLUMN())/INDEX(SP_GF_Rev,0,COLUMN())</f>
        <v/>
      </c>
      <c r="CB53" s="2027">
        <f>INDEX(SP_GF_SGA,0,COLUMN())/INDEX(SP_GF_Rev,0,COLUMN())</f>
        <v/>
      </c>
      <c r="CC53" s="1527" t="n"/>
    </row>
    <row r="54" ht="14.4" customFormat="1" customHeight="1" s="1925">
      <c r="A54" s="1981">
        <f>INDEX(MO_MA_RD,0,COLUMN())</f>
        <v/>
      </c>
      <c r="B54" s="1982" t="n"/>
      <c r="C54" s="1983">
        <f>INDEX(SP_GF_RD,0,COLUMN())/INDEX(SP_GF_Rev,0,COLUMN())</f>
        <v/>
      </c>
      <c r="D54" s="1983">
        <f>INDEX(SP_GF_RD,0,COLUMN())/INDEX(SP_GF_Rev,0,COLUMN())</f>
        <v/>
      </c>
      <c r="E54" s="1983">
        <f>INDEX(SP_GF_RD,0,COLUMN())/INDEX(SP_GF_Rev,0,COLUMN())</f>
        <v/>
      </c>
      <c r="F54" s="1983">
        <f>INDEX(SP_GF_RD,0,COLUMN())/INDEX(SP_GF_Rev,0,COLUMN())</f>
        <v/>
      </c>
      <c r="G54" s="1983">
        <f>INDEX(SP_GF_RD,0,COLUMN())/INDEX(SP_GF_Rev,0,COLUMN())</f>
        <v/>
      </c>
      <c r="H54" s="1984">
        <f>INDEX(SP_GF_RD,0,COLUMN())/INDEX(SP_GF_Rev,0,COLUMN())</f>
        <v/>
      </c>
      <c r="I54" s="1984">
        <f>INDEX(SP_GF_RD,0,COLUMN())/INDEX(SP_GF_Rev,0,COLUMN())</f>
        <v/>
      </c>
      <c r="J54" s="1984">
        <f>INDEX(SP_GF_RD,0,COLUMN())/INDEX(SP_GF_Rev,0,COLUMN())</f>
        <v/>
      </c>
      <c r="K54" s="1984">
        <f>INDEX(SP_GF_RD,0,COLUMN())/INDEX(SP_GF_Rev,0,COLUMN())</f>
        <v/>
      </c>
      <c r="L54" s="1983">
        <f>INDEX(SP_GF_RD,0,COLUMN())/INDEX(SP_GF_Rev,0,COLUMN())</f>
        <v/>
      </c>
      <c r="M54" s="1984">
        <f>INDEX(SP_GF_RD,0,COLUMN())/INDEX(SP_GF_Rev,0,COLUMN())</f>
        <v/>
      </c>
      <c r="N54" s="1984">
        <f>INDEX(SP_GF_RD,0,COLUMN())/INDEX(SP_GF_Rev,0,COLUMN())</f>
        <v/>
      </c>
      <c r="O54" s="1984">
        <f>INDEX(SP_GF_RD,0,COLUMN())/INDEX(SP_GF_Rev,0,COLUMN())</f>
        <v/>
      </c>
      <c r="P54" s="1984">
        <f>INDEX(SP_GF_RD,0,COLUMN())/INDEX(SP_GF_Rev,0,COLUMN())</f>
        <v/>
      </c>
      <c r="Q54" s="1983">
        <f>INDEX(SP_GF_RD,0,COLUMN())/INDEX(SP_GF_Rev,0,COLUMN())</f>
        <v/>
      </c>
      <c r="R54" s="1984">
        <f>INDEX(SP_GF_RD,0,COLUMN())/INDEX(SP_GF_Rev,0,COLUMN())</f>
        <v/>
      </c>
      <c r="S54" s="1984">
        <f>INDEX(SP_GF_RD,0,COLUMN())/INDEX(SP_GF_Rev,0,COLUMN())</f>
        <v/>
      </c>
      <c r="T54" s="1984">
        <f>INDEX(SP_GF_RD,0,COLUMN())/INDEX(SP_GF_Rev,0,COLUMN())</f>
        <v/>
      </c>
      <c r="U54" s="1984">
        <f>INDEX(SP_GF_RD,0,COLUMN())/INDEX(SP_GF_Rev,0,COLUMN())</f>
        <v/>
      </c>
      <c r="V54" s="1983">
        <f>INDEX(SP_GF_RD,0,COLUMN())/INDEX(SP_GF_Rev,0,COLUMN())</f>
        <v/>
      </c>
      <c r="W54" s="1984">
        <f>INDEX(SP_GF_RD,0,COLUMN())/INDEX(SP_GF_Rev,0,COLUMN())</f>
        <v/>
      </c>
      <c r="X54" s="1984">
        <f>INDEX(SP_GF_RD,0,COLUMN())/INDEX(SP_GF_Rev,0,COLUMN())</f>
        <v/>
      </c>
      <c r="Y54" s="1984">
        <f>INDEX(SP_GF_RD,0,COLUMN())/INDEX(SP_GF_Rev,0,COLUMN())</f>
        <v/>
      </c>
      <c r="Z54" s="1984">
        <f>INDEX(SP_GF_RD,0,COLUMN())/INDEX(SP_GF_Rev,0,COLUMN())</f>
        <v/>
      </c>
      <c r="AA54" s="1983">
        <f>INDEX(SP_GF_RD,0,COLUMN())/INDEX(SP_GF_Rev,0,COLUMN())</f>
        <v/>
      </c>
      <c r="AB54" s="1984">
        <f>INDEX(SP_GF_RD,0,COLUMN())/INDEX(SP_GF_Rev,0,COLUMN())</f>
        <v/>
      </c>
      <c r="AC54" s="1984">
        <f>INDEX(SP_GF_RD,0,COLUMN())/INDEX(SP_GF_Rev,0,COLUMN())</f>
        <v/>
      </c>
      <c r="AD54" s="1984">
        <f>INDEX(SP_GF_RD,0,COLUMN())/INDEX(SP_GF_Rev,0,COLUMN())</f>
        <v/>
      </c>
      <c r="AE54" s="1984">
        <f>INDEX(SP_GF_RD,0,COLUMN())/INDEX(SP_GF_Rev,0,COLUMN())</f>
        <v/>
      </c>
      <c r="AF54" s="1983">
        <f>INDEX(SP_GF_RD,0,COLUMN())/INDEX(SP_GF_Rev,0,COLUMN())</f>
        <v/>
      </c>
      <c r="AG54" s="1984">
        <f>INDEX(SP_GF_RD,0,COLUMN())/INDEX(SP_GF_Rev,0,COLUMN())</f>
        <v/>
      </c>
      <c r="AH54" s="1984">
        <f>INDEX(SP_GF_RD,0,COLUMN())/INDEX(SP_GF_Rev,0,COLUMN())</f>
        <v/>
      </c>
      <c r="AI54" s="1984">
        <f>INDEX(SP_GF_RD,0,COLUMN())/INDEX(SP_GF_Rev,0,COLUMN())</f>
        <v/>
      </c>
      <c r="AJ54" s="1984">
        <f>INDEX(SP_GF_RD,0,COLUMN())/INDEX(SP_GF_Rev,0,COLUMN())</f>
        <v/>
      </c>
      <c r="AK54" s="1983">
        <f>INDEX(SP_GF_RD,0,COLUMN())/INDEX(SP_GF_Rev,0,COLUMN())</f>
        <v/>
      </c>
      <c r="AL54" s="1984">
        <f>INDEX(SP_GF_RD,0,COLUMN())/INDEX(SP_GF_Rev,0,COLUMN())</f>
        <v/>
      </c>
      <c r="AM54" s="1984">
        <f>INDEX(SP_GF_RD,0,COLUMN())/INDEX(SP_GF_Rev,0,COLUMN())</f>
        <v/>
      </c>
      <c r="AN54" s="1984">
        <f>INDEX(SP_GF_RD,0,COLUMN())/INDEX(SP_GF_Rev,0,COLUMN())</f>
        <v/>
      </c>
      <c r="AO54" s="1984">
        <f>INDEX(SP_GF_RD,0,COLUMN())/INDEX(SP_GF_Rev,0,COLUMN())</f>
        <v/>
      </c>
      <c r="AP54" s="1983">
        <f>INDEX(SP_GF_RD,0,COLUMN())/INDEX(SP_GF_Rev,0,COLUMN())</f>
        <v/>
      </c>
      <c r="AQ54" s="1984">
        <f>INDEX(SP_GF_RD,0,COLUMN())/INDEX(SP_GF_Rev,0,COLUMN())</f>
        <v/>
      </c>
      <c r="AR54" s="1984">
        <f>INDEX(SP_GF_RD,0,COLUMN())/INDEX(SP_GF_Rev,0,COLUMN())</f>
        <v/>
      </c>
      <c r="AS54" s="1984">
        <f>INDEX(SP_GF_RD,0,COLUMN())/INDEX(SP_GF_Rev,0,COLUMN())</f>
        <v/>
      </c>
      <c r="AT54" s="1984">
        <f>INDEX(SP_GF_RD,0,COLUMN())/INDEX(SP_GF_Rev,0,COLUMN())</f>
        <v/>
      </c>
      <c r="AU54" s="1983">
        <f>INDEX(SP_GF_RD,0,COLUMN())/INDEX(SP_GF_Rev,0,COLUMN())</f>
        <v/>
      </c>
      <c r="AV54" s="1984">
        <f>INDEX(SP_GF_RD,0,COLUMN())/INDEX(SP_GF_Rev,0,COLUMN())</f>
        <v/>
      </c>
      <c r="AW54" s="1984">
        <f>INDEX(SP_GF_RD,0,COLUMN())/INDEX(SP_GF_Rev,0,COLUMN())</f>
        <v/>
      </c>
      <c r="AX54" s="1984">
        <f>INDEX(SP_GF_RD,0,COLUMN())/INDEX(SP_GF_Rev,0,COLUMN())</f>
        <v/>
      </c>
      <c r="AY54" s="1984">
        <f>INDEX(SP_GF_RD,0,COLUMN())/INDEX(SP_GF_Rev,0,COLUMN())</f>
        <v/>
      </c>
      <c r="AZ54" s="1983">
        <f>INDEX(SP_GF_RD,0,COLUMN())/INDEX(SP_GF_Rev,0,COLUMN())</f>
        <v/>
      </c>
      <c r="BA54" s="1984">
        <f>INDEX(SP_GF_RD,0,COLUMN())/INDEX(SP_GF_Rev,0,COLUMN())</f>
        <v/>
      </c>
      <c r="BB54" s="1984">
        <f>INDEX(SP_GF_RD,0,COLUMN())/INDEX(SP_GF_Rev,0,COLUMN())</f>
        <v/>
      </c>
      <c r="BC54" s="1984">
        <f>INDEX(SP_GF_RD,0,COLUMN())/INDEX(SP_GF_Rev,0,COLUMN())</f>
        <v/>
      </c>
      <c r="BD54" s="1984">
        <f>INDEX(SP_GF_RD,0,COLUMN())/INDEX(SP_GF_Rev,0,COLUMN())</f>
        <v/>
      </c>
      <c r="BE54" s="1983">
        <f>INDEX(SP_GF_RD,0,COLUMN())/INDEX(SP_GF_Rev,0,COLUMN())</f>
        <v/>
      </c>
      <c r="BF54" s="1984">
        <f>INDEX(SP_GF_RD,0,COLUMN())/INDEX(SP_GF_Rev,0,COLUMN())</f>
        <v/>
      </c>
      <c r="BG54" s="1984">
        <f>INDEX(SP_GF_RD,0,COLUMN())/INDEX(SP_GF_Rev,0,COLUMN())</f>
        <v/>
      </c>
      <c r="BH54" s="1984">
        <f>INDEX(SP_GF_RD,0,COLUMN())/INDEX(SP_GF_Rev,0,COLUMN())</f>
        <v/>
      </c>
      <c r="BI54" s="1984">
        <f>INDEX(SP_GF_RD,0,COLUMN())/INDEX(SP_GF_Rev,0,COLUMN())</f>
        <v/>
      </c>
      <c r="BJ54" s="1983">
        <f>INDEX(SP_GF_RD,0,COLUMN())/INDEX(SP_GF_Rev,0,COLUMN())</f>
        <v/>
      </c>
      <c r="BK54" s="1984">
        <f>INDEX(SP_GF_RD,0,COLUMN())/INDEX(SP_GF_Rev,0,COLUMN())</f>
        <v/>
      </c>
      <c r="BL54" s="1984">
        <f>INDEX(SP_GF_RD,0,COLUMN())/INDEX(SP_GF_Rev,0,COLUMN())</f>
        <v/>
      </c>
      <c r="BM54" s="1984">
        <f>INDEX(SP_GF_RD,0,COLUMN())/INDEX(SP_GF_Rev,0,COLUMN())</f>
        <v/>
      </c>
      <c r="BN54" s="1984">
        <f>INDEX(SP_GF_RD,0,COLUMN())/INDEX(SP_GF_Rev,0,COLUMN())</f>
        <v/>
      </c>
      <c r="BO54" s="1985">
        <f>INDEX(SP_GF_RD,0,COLUMN())/INDEX(SP_GF_Rev,0,COLUMN())</f>
        <v/>
      </c>
      <c r="BP54" s="1984">
        <f>INDEX(SP_GF_RD,0,COLUMN())/INDEX(SP_GF_Rev,0,COLUMN())</f>
        <v/>
      </c>
      <c r="BQ54" s="1984">
        <f>INDEX(SP_GF_RD,0,COLUMN())/INDEX(SP_GF_Rev,0,COLUMN())</f>
        <v/>
      </c>
      <c r="BR54" s="1984">
        <f>INDEX(SP_GF_RD,0,COLUMN())/INDEX(SP_GF_Rev,0,COLUMN())</f>
        <v/>
      </c>
      <c r="BS54" s="1984">
        <f>INDEX(SP_GF_RD,0,COLUMN())/INDEX(SP_GF_Rev,0,COLUMN())</f>
        <v/>
      </c>
      <c r="BT54" s="1933">
        <f>INDEX(SP_GF_RD,0,COLUMN())/INDEX(SP_GF_Rev,0,COLUMN())</f>
        <v/>
      </c>
      <c r="BU54" s="1984">
        <f>INDEX(SP_GF_RD,0,COLUMN())/INDEX(SP_GF_Rev,0,COLUMN())</f>
        <v/>
      </c>
      <c r="BV54" s="1984">
        <f>INDEX(SP_GF_RD,0,COLUMN())/INDEX(SP_GF_Rev,0,COLUMN())</f>
        <v/>
      </c>
      <c r="BW54" s="1984">
        <f>INDEX(SP_GF_RD,0,COLUMN())/INDEX(SP_GF_Rev,0,COLUMN())</f>
        <v/>
      </c>
      <c r="BX54" s="1984">
        <f>INDEX(SP_GF_RD,0,COLUMN())/INDEX(SP_GF_Rev,0,COLUMN())</f>
        <v/>
      </c>
      <c r="BY54" s="1933">
        <f>INDEX(SP_GF_RD,0,COLUMN())/INDEX(SP_GF_Rev,0,COLUMN())</f>
        <v/>
      </c>
      <c r="BZ54" s="1933">
        <f>INDEX(SP_GF_RD,0,COLUMN())/INDEX(SP_GF_Rev,0,COLUMN())</f>
        <v/>
      </c>
      <c r="CA54" s="1933">
        <f>INDEX(SP_GF_RD,0,COLUMN())/INDEX(SP_GF_Rev,0,COLUMN())</f>
        <v/>
      </c>
      <c r="CB54" s="1933">
        <f>INDEX(SP_GF_RD,0,COLUMN())/INDEX(SP_GF_Rev,0,COLUMN())</f>
        <v/>
      </c>
      <c r="CC54" s="1527" t="n"/>
    </row>
    <row r="55" ht="14.4" customFormat="1" customHeight="1" s="1925">
      <c r="A55" s="1981">
        <f>INDEX(MO_MA_OI_Operating,0,COLUMN())</f>
        <v/>
      </c>
      <c r="B55" s="1982" t="n"/>
      <c r="C55" s="1983">
        <f>INDEX(MO_MA_OI_Operating,0,COLUMN())</f>
        <v/>
      </c>
      <c r="D55" s="1983">
        <f>INDEX(MO_MA_OI_Operating,0,COLUMN())</f>
        <v/>
      </c>
      <c r="E55" s="1983">
        <f>INDEX(MO_MA_OI_Operating,0,COLUMN())</f>
        <v/>
      </c>
      <c r="F55" s="1983">
        <f>INDEX(MO_MA_OI_Operating,0,COLUMN())</f>
        <v/>
      </c>
      <c r="G55" s="1983">
        <f>INDEX(MO_MA_OI_Operating,0,COLUMN())</f>
        <v/>
      </c>
      <c r="H55" s="1984">
        <f>INDEX(MO_MA_OI_Operating,0,COLUMN())</f>
        <v/>
      </c>
      <c r="I55" s="1984">
        <f>INDEX(MO_MA_OI_Operating,0,COLUMN())</f>
        <v/>
      </c>
      <c r="J55" s="1984">
        <f>INDEX(MO_MA_OI_Operating,0,COLUMN())</f>
        <v/>
      </c>
      <c r="K55" s="1984">
        <f>INDEX(MO_MA_OI_Operating,0,COLUMN())</f>
        <v/>
      </c>
      <c r="L55" s="1983">
        <f>INDEX(MO_MA_OI_Operating,0,COLUMN())</f>
        <v/>
      </c>
      <c r="M55" s="1984">
        <f>INDEX(MO_MA_OI_Operating,0,COLUMN())</f>
        <v/>
      </c>
      <c r="N55" s="1984">
        <f>INDEX(MO_MA_OI_Operating,0,COLUMN())</f>
        <v/>
      </c>
      <c r="O55" s="1984">
        <f>INDEX(MO_MA_OI_Operating,0,COLUMN())</f>
        <v/>
      </c>
      <c r="P55" s="1984">
        <f>INDEX(MO_MA_OI_Operating,0,COLUMN())</f>
        <v/>
      </c>
      <c r="Q55" s="1983">
        <f>INDEX(MO_MA_OI_Operating,0,COLUMN())</f>
        <v/>
      </c>
      <c r="R55" s="1984">
        <f>INDEX(MO_MA_OI_Operating,0,COLUMN())</f>
        <v/>
      </c>
      <c r="S55" s="1984">
        <f>INDEX(MO_MA_OI_Operating,0,COLUMN())</f>
        <v/>
      </c>
      <c r="T55" s="1984">
        <f>INDEX(MO_MA_OI_Operating,0,COLUMN())</f>
        <v/>
      </c>
      <c r="U55" s="1984">
        <f>INDEX(MO_MA_OI_Operating,0,COLUMN())</f>
        <v/>
      </c>
      <c r="V55" s="1983">
        <f>INDEX(MO_MA_OI_Operating,0,COLUMN())</f>
        <v/>
      </c>
      <c r="W55" s="1984">
        <f>INDEX(MO_MA_OI_Operating,0,COLUMN())</f>
        <v/>
      </c>
      <c r="X55" s="1984">
        <f>INDEX(MO_MA_OI_Operating,0,COLUMN())</f>
        <v/>
      </c>
      <c r="Y55" s="1984">
        <f>INDEX(MO_MA_OI_Operating,0,COLUMN())</f>
        <v/>
      </c>
      <c r="Z55" s="1984">
        <f>INDEX(MO_MA_OI_Operating,0,COLUMN())</f>
        <v/>
      </c>
      <c r="AA55" s="1983">
        <f>INDEX(MO_MA_OI_Operating,0,COLUMN())</f>
        <v/>
      </c>
      <c r="AB55" s="1984">
        <f>INDEX(MO_MA_OI_Operating,0,COLUMN())</f>
        <v/>
      </c>
      <c r="AC55" s="1984">
        <f>INDEX(MO_MA_OI_Operating,0,COLUMN())</f>
        <v/>
      </c>
      <c r="AD55" s="1984">
        <f>INDEX(MO_MA_OI_Operating,0,COLUMN())</f>
        <v/>
      </c>
      <c r="AE55" s="1984">
        <f>INDEX(MO_MA_OI_Operating,0,COLUMN())</f>
        <v/>
      </c>
      <c r="AF55" s="1983">
        <f>INDEX(MO_MA_OI_Operating,0,COLUMN())</f>
        <v/>
      </c>
      <c r="AG55" s="1984">
        <f>INDEX(MO_MA_OI_Operating,0,COLUMN())</f>
        <v/>
      </c>
      <c r="AH55" s="1984">
        <f>INDEX(MO_MA_OI_Operating,0,COLUMN())</f>
        <v/>
      </c>
      <c r="AI55" s="1984">
        <f>INDEX(MO_MA_OI_Operating,0,COLUMN())</f>
        <v/>
      </c>
      <c r="AJ55" s="1984">
        <f>INDEX(MO_MA_OI_Operating,0,COLUMN())</f>
        <v/>
      </c>
      <c r="AK55" s="1983">
        <f>INDEX(MO_MA_OI_Operating,0,COLUMN())</f>
        <v/>
      </c>
      <c r="AL55" s="1984">
        <f>INDEX(MO_MA_OI_Operating,0,COLUMN())</f>
        <v/>
      </c>
      <c r="AM55" s="1984">
        <f>INDEX(MO_MA_OI_Operating,0,COLUMN())</f>
        <v/>
      </c>
      <c r="AN55" s="1984">
        <f>INDEX(MO_MA_OI_Operating,0,COLUMN())</f>
        <v/>
      </c>
      <c r="AO55" s="1984">
        <f>INDEX(MO_MA_OI_Operating,0,COLUMN())</f>
        <v/>
      </c>
      <c r="AP55" s="1983">
        <f>INDEX(MO_MA_OI_Operating,0,COLUMN())</f>
        <v/>
      </c>
      <c r="AQ55" s="1984">
        <f>INDEX(MO_MA_OI_Operating,0,COLUMN())</f>
        <v/>
      </c>
      <c r="AR55" s="1984">
        <f>INDEX(MO_MA_OI_Operating,0,COLUMN())</f>
        <v/>
      </c>
      <c r="AS55" s="1984">
        <f>INDEX(MO_MA_OI_Operating,0,COLUMN())</f>
        <v/>
      </c>
      <c r="AT55" s="1984">
        <f>INDEX(MO_MA_OI_Operating,0,COLUMN())</f>
        <v/>
      </c>
      <c r="AU55" s="1983">
        <f>INDEX(MO_MA_OI_Operating,0,COLUMN())</f>
        <v/>
      </c>
      <c r="AV55" s="1984">
        <f>INDEX(MO_MA_OI_Operating,0,COLUMN())</f>
        <v/>
      </c>
      <c r="AW55" s="1984">
        <f>INDEX(MO_MA_OI_Operating,0,COLUMN())</f>
        <v/>
      </c>
      <c r="AX55" s="1984">
        <f>INDEX(MO_MA_OI_Operating,0,COLUMN())</f>
        <v/>
      </c>
      <c r="AY55" s="1984">
        <f>INDEX(MO_MA_OI_Operating,0,COLUMN())</f>
        <v/>
      </c>
      <c r="AZ55" s="1983">
        <f>INDEX(MO_MA_OI_Operating,0,COLUMN())</f>
        <v/>
      </c>
      <c r="BA55" s="1984">
        <f>INDEX(MO_MA_OI_Operating,0,COLUMN())</f>
        <v/>
      </c>
      <c r="BB55" s="1984">
        <f>INDEX(MO_MA_OI_Operating,0,COLUMN())</f>
        <v/>
      </c>
      <c r="BC55" s="1984">
        <f>INDEX(MO_MA_OI_Operating,0,COLUMN())</f>
        <v/>
      </c>
      <c r="BD55" s="1984">
        <f>INDEX(MO_MA_OI_Operating,0,COLUMN())</f>
        <v/>
      </c>
      <c r="BE55" s="1983">
        <f>INDEX(MO_MA_OI_Operating,0,COLUMN())</f>
        <v/>
      </c>
      <c r="BF55" s="1984">
        <f>INDEX(MO_MA_OI_Operating,0,COLUMN())</f>
        <v/>
      </c>
      <c r="BG55" s="1984">
        <f>INDEX(MO_MA_OI_Operating,0,COLUMN())</f>
        <v/>
      </c>
      <c r="BH55" s="1984">
        <f>INDEX(MO_MA_OI_Operating,0,COLUMN())</f>
        <v/>
      </c>
      <c r="BI55" s="1984">
        <f>INDEX(MO_MA_OI_Operating,0,COLUMN())</f>
        <v/>
      </c>
      <c r="BJ55" s="1983">
        <f>INDEX(MO_MA_OI_Operating,0,COLUMN())</f>
        <v/>
      </c>
      <c r="BK55" s="1984">
        <f>INDEX(MO_MA_OI_Operating,0,COLUMN())</f>
        <v/>
      </c>
      <c r="BL55" s="1984">
        <f>INDEX(MO_MA_OI_Operating,0,COLUMN())</f>
        <v/>
      </c>
      <c r="BM55" s="1984">
        <f>INDEX(MO_MA_OI_Operating,0,COLUMN())</f>
        <v/>
      </c>
      <c r="BN55" s="1984">
        <f>INDEX(MO_MA_OI_Operating,0,COLUMN())</f>
        <v/>
      </c>
      <c r="BO55" s="1985">
        <f>INDEX(MO_MA_OI_Operating,0,COLUMN())</f>
        <v/>
      </c>
      <c r="BP55" s="1984">
        <f>INDEX(MO_MA_OI_Operating,0,COLUMN())</f>
        <v/>
      </c>
      <c r="BQ55" s="1984">
        <f>INDEX(MO_MA_OI_Operating,0,COLUMN())</f>
        <v/>
      </c>
      <c r="BR55" s="1984">
        <f>INDEX(MO_MA_OI_Operating,0,COLUMN())</f>
        <v/>
      </c>
      <c r="BS55" s="1984">
        <f>INDEX(MO_MA_OI_Operating,0,COLUMN())</f>
        <v/>
      </c>
      <c r="BT55" s="1933">
        <f>INDEX(MO_MA_OI_Operating,0,COLUMN())</f>
        <v/>
      </c>
      <c r="BU55" s="1984">
        <f>INDEX(MO_MA_OI_Operating,0,COLUMN())</f>
        <v/>
      </c>
      <c r="BV55" s="1984">
        <f>INDEX(MO_MA_OI_Operating,0,COLUMN())</f>
        <v/>
      </c>
      <c r="BW55" s="1984">
        <f>INDEX(MO_MA_OI_Operating,0,COLUMN())</f>
        <v/>
      </c>
      <c r="BX55" s="1984">
        <f>INDEX(MO_MA_OI_Operating,0,COLUMN())</f>
        <v/>
      </c>
      <c r="BY55" s="1933">
        <f>INDEX(MO_MA_OI_Operating,0,COLUMN())</f>
        <v/>
      </c>
      <c r="BZ55" s="1933">
        <f>INDEX(MO_MA_OI_Operating,0,COLUMN())</f>
        <v/>
      </c>
      <c r="CA55" s="1933">
        <f>INDEX(MO_MA_OI_Operating,0,COLUMN())</f>
        <v/>
      </c>
      <c r="CB55" s="1933">
        <f>INDEX(MO_MA_OI_Operating,0,COLUMN())</f>
        <v/>
      </c>
      <c r="CC55" s="1527" t="n"/>
    </row>
    <row r="56" ht="14.4" customFormat="1" customHeight="1" s="1991">
      <c r="A56" s="1992">
        <f>INDEX(MO_MA_EBIT,0,COLUMN())</f>
        <v/>
      </c>
      <c r="B56" s="1993" t="n"/>
      <c r="C56" s="1994">
        <f>INDEX(MO_MA_EBIT,0,COLUMN())</f>
        <v/>
      </c>
      <c r="D56" s="1994">
        <f>INDEX(MO_MA_EBIT,0,COLUMN())</f>
        <v/>
      </c>
      <c r="E56" s="1994">
        <f>INDEX(MO_MA_EBIT,0,COLUMN())</f>
        <v/>
      </c>
      <c r="F56" s="1994">
        <f>INDEX(MO_MA_EBIT,0,COLUMN())</f>
        <v/>
      </c>
      <c r="G56" s="1994">
        <f>INDEX(MO_MA_EBIT,0,COLUMN())</f>
        <v/>
      </c>
      <c r="H56" s="1995">
        <f>INDEX(MO_MA_EBIT,0,COLUMN())</f>
        <v/>
      </c>
      <c r="I56" s="1995">
        <f>INDEX(MO_MA_EBIT,0,COLUMN())</f>
        <v/>
      </c>
      <c r="J56" s="1995">
        <f>INDEX(MO_MA_EBIT,0,COLUMN())</f>
        <v/>
      </c>
      <c r="K56" s="1995">
        <f>INDEX(MO_MA_EBIT,0,COLUMN())</f>
        <v/>
      </c>
      <c r="L56" s="1994">
        <f>INDEX(MO_MA_EBIT,0,COLUMN())</f>
        <v/>
      </c>
      <c r="M56" s="1995">
        <f>INDEX(MO_MA_EBIT,0,COLUMN())</f>
        <v/>
      </c>
      <c r="N56" s="1995">
        <f>INDEX(MO_MA_EBIT,0,COLUMN())</f>
        <v/>
      </c>
      <c r="O56" s="1995">
        <f>INDEX(MO_MA_EBIT,0,COLUMN())</f>
        <v/>
      </c>
      <c r="P56" s="1995">
        <f>INDEX(MO_MA_EBIT,0,COLUMN())</f>
        <v/>
      </c>
      <c r="Q56" s="1994">
        <f>INDEX(MO_MA_EBIT,0,COLUMN())</f>
        <v/>
      </c>
      <c r="R56" s="1995">
        <f>INDEX(MO_MA_EBIT,0,COLUMN())</f>
        <v/>
      </c>
      <c r="S56" s="1995">
        <f>INDEX(MO_MA_EBIT,0,COLUMN())</f>
        <v/>
      </c>
      <c r="T56" s="1995">
        <f>INDEX(MO_MA_EBIT,0,COLUMN())</f>
        <v/>
      </c>
      <c r="U56" s="1995">
        <f>INDEX(MO_MA_EBIT,0,COLUMN())</f>
        <v/>
      </c>
      <c r="V56" s="1994">
        <f>INDEX(MO_MA_EBIT,0,COLUMN())</f>
        <v/>
      </c>
      <c r="W56" s="1995">
        <f>INDEX(MO_MA_EBIT,0,COLUMN())</f>
        <v/>
      </c>
      <c r="X56" s="1995">
        <f>INDEX(MO_MA_EBIT,0,COLUMN())</f>
        <v/>
      </c>
      <c r="Y56" s="1995">
        <f>INDEX(MO_MA_EBIT,0,COLUMN())</f>
        <v/>
      </c>
      <c r="Z56" s="1995">
        <f>INDEX(MO_MA_EBIT,0,COLUMN())</f>
        <v/>
      </c>
      <c r="AA56" s="1994">
        <f>INDEX(MO_MA_EBIT,0,COLUMN())</f>
        <v/>
      </c>
      <c r="AB56" s="1995">
        <f>INDEX(MO_MA_EBIT,0,COLUMN())</f>
        <v/>
      </c>
      <c r="AC56" s="1995">
        <f>INDEX(MO_MA_EBIT,0,COLUMN())</f>
        <v/>
      </c>
      <c r="AD56" s="1995">
        <f>INDEX(MO_MA_EBIT,0,COLUMN())</f>
        <v/>
      </c>
      <c r="AE56" s="1995">
        <f>INDEX(MO_MA_EBIT,0,COLUMN())</f>
        <v/>
      </c>
      <c r="AF56" s="1994">
        <f>INDEX(MO_MA_EBIT,0,COLUMN())</f>
        <v/>
      </c>
      <c r="AG56" s="1995">
        <f>INDEX(MO_MA_EBIT,0,COLUMN())</f>
        <v/>
      </c>
      <c r="AH56" s="1995">
        <f>INDEX(MO_MA_EBIT,0,COLUMN())</f>
        <v/>
      </c>
      <c r="AI56" s="1995">
        <f>INDEX(MO_MA_EBIT,0,COLUMN())</f>
        <v/>
      </c>
      <c r="AJ56" s="1995">
        <f>INDEX(MO_MA_EBIT,0,COLUMN())</f>
        <v/>
      </c>
      <c r="AK56" s="1994">
        <f>INDEX(MO_MA_EBIT,0,COLUMN())</f>
        <v/>
      </c>
      <c r="AL56" s="1995">
        <f>INDEX(MO_MA_EBIT,0,COLUMN())</f>
        <v/>
      </c>
      <c r="AM56" s="1995">
        <f>INDEX(MO_MA_EBIT,0,COLUMN())</f>
        <v/>
      </c>
      <c r="AN56" s="1995">
        <f>INDEX(MO_MA_EBIT,0,COLUMN())</f>
        <v/>
      </c>
      <c r="AO56" s="1995">
        <f>INDEX(MO_MA_EBIT,0,COLUMN())</f>
        <v/>
      </c>
      <c r="AP56" s="1994">
        <f>INDEX(MO_MA_EBIT,0,COLUMN())</f>
        <v/>
      </c>
      <c r="AQ56" s="1995">
        <f>INDEX(MO_MA_EBIT,0,COLUMN())</f>
        <v/>
      </c>
      <c r="AR56" s="1995">
        <f>INDEX(MO_MA_EBIT,0,COLUMN())</f>
        <v/>
      </c>
      <c r="AS56" s="1995">
        <f>INDEX(MO_MA_EBIT,0,COLUMN())</f>
        <v/>
      </c>
      <c r="AT56" s="1995">
        <f>INDEX(MO_MA_EBIT,0,COLUMN())</f>
        <v/>
      </c>
      <c r="AU56" s="1994">
        <f>INDEX(MO_MA_EBIT,0,COLUMN())</f>
        <v/>
      </c>
      <c r="AV56" s="1995">
        <f>INDEX(MO_MA_EBIT,0,COLUMN())</f>
        <v/>
      </c>
      <c r="AW56" s="1995">
        <f>INDEX(MO_MA_EBIT,0,COLUMN())</f>
        <v/>
      </c>
      <c r="AX56" s="1995">
        <f>INDEX(MO_MA_EBIT,0,COLUMN())</f>
        <v/>
      </c>
      <c r="AY56" s="1995">
        <f>INDEX(MO_MA_EBIT,0,COLUMN())</f>
        <v/>
      </c>
      <c r="AZ56" s="1994">
        <f>INDEX(MO_MA_EBIT,0,COLUMN())</f>
        <v/>
      </c>
      <c r="BA56" s="1995">
        <f>INDEX(MO_MA_EBIT,0,COLUMN())</f>
        <v/>
      </c>
      <c r="BB56" s="1995">
        <f>INDEX(MO_MA_EBIT,0,COLUMN())</f>
        <v/>
      </c>
      <c r="BC56" s="1995">
        <f>INDEX(MO_MA_EBIT,0,COLUMN())</f>
        <v/>
      </c>
      <c r="BD56" s="1995">
        <f>INDEX(MO_MA_EBIT,0,COLUMN())</f>
        <v/>
      </c>
      <c r="BE56" s="1994">
        <f>INDEX(MO_MA_EBIT,0,COLUMN())</f>
        <v/>
      </c>
      <c r="BF56" s="1995">
        <f>INDEX(MO_MA_EBIT,0,COLUMN())</f>
        <v/>
      </c>
      <c r="BG56" s="1995">
        <f>INDEX(MO_MA_EBIT,0,COLUMN())</f>
        <v/>
      </c>
      <c r="BH56" s="1995">
        <f>INDEX(MO_MA_EBIT,0,COLUMN())</f>
        <v/>
      </c>
      <c r="BI56" s="1995">
        <f>INDEX(MO_MA_EBIT,0,COLUMN())</f>
        <v/>
      </c>
      <c r="BJ56" s="1994">
        <f>INDEX(MO_MA_EBIT,0,COLUMN())</f>
        <v/>
      </c>
      <c r="BK56" s="1995">
        <f>INDEX(MO_MA_EBIT,0,COLUMN())</f>
        <v/>
      </c>
      <c r="BL56" s="1995">
        <f>INDEX(MO_MA_EBIT,0,COLUMN())</f>
        <v/>
      </c>
      <c r="BM56" s="1995">
        <f>INDEX(MO_MA_EBIT,0,COLUMN())</f>
        <v/>
      </c>
      <c r="BN56" s="1995">
        <f>INDEX(MO_MA_EBIT,0,COLUMN())</f>
        <v/>
      </c>
      <c r="BO56" s="1996">
        <f>INDEX(MO_MA_EBIT,0,COLUMN())</f>
        <v/>
      </c>
      <c r="BP56" s="1995">
        <f>INDEX(MO_MA_EBIT,0,COLUMN())</f>
        <v/>
      </c>
      <c r="BQ56" s="1995">
        <f>INDEX(MO_MA_EBIT,0,COLUMN())</f>
        <v/>
      </c>
      <c r="BR56" s="1995">
        <f>INDEX(MO_MA_EBIT,0,COLUMN())</f>
        <v/>
      </c>
      <c r="BS56" s="1995">
        <f>INDEX(MO_MA_EBIT,0,COLUMN())</f>
        <v/>
      </c>
      <c r="BT56" s="1994">
        <f>INDEX(MO_MA_EBIT,0,COLUMN())</f>
        <v/>
      </c>
      <c r="BU56" s="1995">
        <f>INDEX(MO_MA_EBIT,0,COLUMN())</f>
        <v/>
      </c>
      <c r="BV56" s="1995">
        <f>INDEX(MO_MA_EBIT,0,COLUMN())</f>
        <v/>
      </c>
      <c r="BW56" s="1995">
        <f>INDEX(MO_MA_EBIT,0,COLUMN())</f>
        <v/>
      </c>
      <c r="BX56" s="1995">
        <f>INDEX(MO_MA_EBIT,0,COLUMN())</f>
        <v/>
      </c>
      <c r="BY56" s="1994">
        <f>INDEX(MO_MA_EBIT,0,COLUMN())</f>
        <v/>
      </c>
      <c r="BZ56" s="1994">
        <f>INDEX(MO_MA_EBIT,0,COLUMN())</f>
        <v/>
      </c>
      <c r="CA56" s="1994">
        <f>INDEX(MO_MA_EBIT,0,COLUMN())</f>
        <v/>
      </c>
      <c r="CB56" s="1994">
        <f>INDEX(MO_MA_EBIT,0,COLUMN())</f>
        <v/>
      </c>
      <c r="CC56" s="1997" t="n"/>
    </row>
    <row r="57" ht="14.4" customFormat="1" customHeight="1" s="1991">
      <c r="A57" s="1998">
        <f>INDEX(MO_MA_EBIT_Adj,0,COLUMN())</f>
        <v/>
      </c>
      <c r="B57" s="1999" t="n"/>
      <c r="C57" s="2000">
        <f>INDEX(MO_MA_EBIT_Adj,0,COLUMN())</f>
        <v/>
      </c>
      <c r="D57" s="2000">
        <f>INDEX(MO_MA_EBIT_Adj,0,COLUMN())</f>
        <v/>
      </c>
      <c r="E57" s="2000">
        <f>INDEX(MO_MA_EBIT_Adj,0,COLUMN())</f>
        <v/>
      </c>
      <c r="F57" s="2000">
        <f>INDEX(MO_MA_EBIT_Adj,0,COLUMN())</f>
        <v/>
      </c>
      <c r="G57" s="2000">
        <f>INDEX(MO_MA_EBIT_Adj,0,COLUMN())</f>
        <v/>
      </c>
      <c r="H57" s="2001">
        <f>INDEX(MO_MA_EBIT_Adj,0,COLUMN())</f>
        <v/>
      </c>
      <c r="I57" s="2001">
        <f>INDEX(MO_MA_EBIT_Adj,0,COLUMN())</f>
        <v/>
      </c>
      <c r="J57" s="2001">
        <f>INDEX(MO_MA_EBIT_Adj,0,COLUMN())</f>
        <v/>
      </c>
      <c r="K57" s="2001">
        <f>INDEX(MO_MA_EBIT_Adj,0,COLUMN())</f>
        <v/>
      </c>
      <c r="L57" s="2000">
        <f>INDEX(MO_MA_EBIT_Adj,0,COLUMN())</f>
        <v/>
      </c>
      <c r="M57" s="2001">
        <f>INDEX(MO_MA_EBIT_Adj,0,COLUMN())</f>
        <v/>
      </c>
      <c r="N57" s="2001">
        <f>INDEX(MO_MA_EBIT_Adj,0,COLUMN())</f>
        <v/>
      </c>
      <c r="O57" s="2001">
        <f>INDEX(MO_MA_EBIT_Adj,0,COLUMN())</f>
        <v/>
      </c>
      <c r="P57" s="2001">
        <f>INDEX(MO_MA_EBIT_Adj,0,COLUMN())</f>
        <v/>
      </c>
      <c r="Q57" s="2000">
        <f>INDEX(MO_MA_EBIT_Adj,0,COLUMN())</f>
        <v/>
      </c>
      <c r="R57" s="2001">
        <f>INDEX(MO_MA_EBIT_Adj,0,COLUMN())</f>
        <v/>
      </c>
      <c r="S57" s="2001">
        <f>INDEX(MO_MA_EBIT_Adj,0,COLUMN())</f>
        <v/>
      </c>
      <c r="T57" s="2001">
        <f>INDEX(MO_MA_EBIT_Adj,0,COLUMN())</f>
        <v/>
      </c>
      <c r="U57" s="2001">
        <f>INDEX(MO_MA_EBIT_Adj,0,COLUMN())</f>
        <v/>
      </c>
      <c r="V57" s="2000">
        <f>INDEX(MO_MA_EBIT_Adj,0,COLUMN())</f>
        <v/>
      </c>
      <c r="W57" s="2001">
        <f>INDEX(MO_MA_EBIT_Adj,0,COLUMN())</f>
        <v/>
      </c>
      <c r="X57" s="2001">
        <f>INDEX(MO_MA_EBIT_Adj,0,COLUMN())</f>
        <v/>
      </c>
      <c r="Y57" s="2001">
        <f>INDEX(MO_MA_EBIT_Adj,0,COLUMN())</f>
        <v/>
      </c>
      <c r="Z57" s="2001">
        <f>INDEX(MO_MA_EBIT_Adj,0,COLUMN())</f>
        <v/>
      </c>
      <c r="AA57" s="2000">
        <f>INDEX(MO_MA_EBIT_Adj,0,COLUMN())</f>
        <v/>
      </c>
      <c r="AB57" s="2001">
        <f>INDEX(MO_MA_EBIT_Adj,0,COLUMN())</f>
        <v/>
      </c>
      <c r="AC57" s="2001">
        <f>INDEX(MO_MA_EBIT_Adj,0,COLUMN())</f>
        <v/>
      </c>
      <c r="AD57" s="2001">
        <f>INDEX(MO_MA_EBIT_Adj,0,COLUMN())</f>
        <v/>
      </c>
      <c r="AE57" s="2001">
        <f>INDEX(MO_MA_EBIT_Adj,0,COLUMN())</f>
        <v/>
      </c>
      <c r="AF57" s="2000">
        <f>INDEX(MO_MA_EBIT_Adj,0,COLUMN())</f>
        <v/>
      </c>
      <c r="AG57" s="2001">
        <f>INDEX(MO_MA_EBIT_Adj,0,COLUMN())</f>
        <v/>
      </c>
      <c r="AH57" s="2001">
        <f>INDEX(MO_MA_EBIT_Adj,0,COLUMN())</f>
        <v/>
      </c>
      <c r="AI57" s="2001">
        <f>INDEX(MO_MA_EBIT_Adj,0,COLUMN())</f>
        <v/>
      </c>
      <c r="AJ57" s="2001">
        <f>INDEX(MO_MA_EBIT_Adj,0,COLUMN())</f>
        <v/>
      </c>
      <c r="AK57" s="2000">
        <f>INDEX(MO_MA_EBIT_Adj,0,COLUMN())</f>
        <v/>
      </c>
      <c r="AL57" s="2001">
        <f>INDEX(MO_MA_EBIT_Adj,0,COLUMN())</f>
        <v/>
      </c>
      <c r="AM57" s="2001">
        <f>INDEX(MO_MA_EBIT_Adj,0,COLUMN())</f>
        <v/>
      </c>
      <c r="AN57" s="2001">
        <f>INDEX(MO_MA_EBIT_Adj,0,COLUMN())</f>
        <v/>
      </c>
      <c r="AO57" s="2001">
        <f>INDEX(MO_MA_EBIT_Adj,0,COLUMN())</f>
        <v/>
      </c>
      <c r="AP57" s="2000">
        <f>INDEX(MO_MA_EBIT_Adj,0,COLUMN())</f>
        <v/>
      </c>
      <c r="AQ57" s="2001">
        <f>INDEX(MO_MA_EBIT_Adj,0,COLUMN())</f>
        <v/>
      </c>
      <c r="AR57" s="2001">
        <f>INDEX(MO_MA_EBIT_Adj,0,COLUMN())</f>
        <v/>
      </c>
      <c r="AS57" s="2001">
        <f>INDEX(MO_MA_EBIT_Adj,0,COLUMN())</f>
        <v/>
      </c>
      <c r="AT57" s="2001">
        <f>INDEX(MO_MA_EBIT_Adj,0,COLUMN())</f>
        <v/>
      </c>
      <c r="AU57" s="2000">
        <f>INDEX(MO_MA_EBIT_Adj,0,COLUMN())</f>
        <v/>
      </c>
      <c r="AV57" s="2001">
        <f>INDEX(MO_MA_EBIT_Adj,0,COLUMN())</f>
        <v/>
      </c>
      <c r="AW57" s="2001">
        <f>INDEX(MO_MA_EBIT_Adj,0,COLUMN())</f>
        <v/>
      </c>
      <c r="AX57" s="2001">
        <f>INDEX(MO_MA_EBIT_Adj,0,COLUMN())</f>
        <v/>
      </c>
      <c r="AY57" s="2001">
        <f>INDEX(MO_MA_EBIT_Adj,0,COLUMN())</f>
        <v/>
      </c>
      <c r="AZ57" s="2000">
        <f>INDEX(MO_MA_EBIT_Adj,0,COLUMN())</f>
        <v/>
      </c>
      <c r="BA57" s="2001">
        <f>INDEX(MO_MA_EBIT_Adj,0,COLUMN())</f>
        <v/>
      </c>
      <c r="BB57" s="2001">
        <f>INDEX(MO_MA_EBIT_Adj,0,COLUMN())</f>
        <v/>
      </c>
      <c r="BC57" s="2001">
        <f>INDEX(MO_MA_EBIT_Adj,0,COLUMN())</f>
        <v/>
      </c>
      <c r="BD57" s="2001">
        <f>INDEX(MO_MA_EBIT_Adj,0,COLUMN())</f>
        <v/>
      </c>
      <c r="BE57" s="2000">
        <f>INDEX(MO_MA_EBIT_Adj,0,COLUMN())</f>
        <v/>
      </c>
      <c r="BF57" s="2001">
        <f>INDEX(MO_MA_EBIT_Adj,0,COLUMN())</f>
        <v/>
      </c>
      <c r="BG57" s="2001">
        <f>INDEX(MO_MA_EBIT_Adj,0,COLUMN())</f>
        <v/>
      </c>
      <c r="BH57" s="2001">
        <f>INDEX(MO_MA_EBIT_Adj,0,COLUMN())</f>
        <v/>
      </c>
      <c r="BI57" s="2001">
        <f>INDEX(MO_MA_EBIT_Adj,0,COLUMN())</f>
        <v/>
      </c>
      <c r="BJ57" s="2000">
        <f>INDEX(MO_MA_EBIT_Adj,0,COLUMN())</f>
        <v/>
      </c>
      <c r="BK57" s="2001">
        <f>INDEX(MO_MA_EBIT_Adj,0,COLUMN())</f>
        <v/>
      </c>
      <c r="BL57" s="2001">
        <f>INDEX(MO_MA_EBIT_Adj,0,COLUMN())</f>
        <v/>
      </c>
      <c r="BM57" s="2001">
        <f>INDEX(MO_MA_EBIT_Adj,0,COLUMN())</f>
        <v/>
      </c>
      <c r="BN57" s="2001">
        <f>INDEX(MO_MA_EBIT_Adj,0,COLUMN())</f>
        <v/>
      </c>
      <c r="BO57" s="2002">
        <f>INDEX(MO_MA_EBIT_Adj,0,COLUMN())</f>
        <v/>
      </c>
      <c r="BP57" s="2001">
        <f>INDEX(MO_MA_EBIT_Adj,0,COLUMN())</f>
        <v/>
      </c>
      <c r="BQ57" s="2001">
        <f>INDEX(MO_MA_EBIT_Adj,0,COLUMN())</f>
        <v/>
      </c>
      <c r="BR57" s="2001">
        <f>INDEX(MO_MA_EBIT_Adj,0,COLUMN())</f>
        <v/>
      </c>
      <c r="BS57" s="2001">
        <f>INDEX(MO_MA_EBIT_Adj,0,COLUMN())</f>
        <v/>
      </c>
      <c r="BT57" s="2000">
        <f>INDEX(MO_MA_EBIT_Adj,0,COLUMN())</f>
        <v/>
      </c>
      <c r="BU57" s="2001">
        <f>INDEX(MO_MA_EBIT_Adj,0,COLUMN())</f>
        <v/>
      </c>
      <c r="BV57" s="2001">
        <f>INDEX(MO_MA_EBIT_Adj,0,COLUMN())</f>
        <v/>
      </c>
      <c r="BW57" s="2001">
        <f>INDEX(MO_MA_EBIT_Adj,0,COLUMN())</f>
        <v/>
      </c>
      <c r="BX57" s="2001">
        <f>INDEX(MO_MA_EBIT_Adj,0,COLUMN())</f>
        <v/>
      </c>
      <c r="BY57" s="2000">
        <f>INDEX(MO_MA_EBIT_Adj,0,COLUMN())</f>
        <v/>
      </c>
      <c r="BZ57" s="2000">
        <f>INDEX(MO_MA_EBIT_Adj,0,COLUMN())</f>
        <v/>
      </c>
      <c r="CA57" s="2000">
        <f>INDEX(MO_MA_EBIT_Adj,0,COLUMN())</f>
        <v/>
      </c>
      <c r="CB57" s="2000">
        <f>INDEX(MO_MA_EBIT_Adj,0,COLUMN())</f>
        <v/>
      </c>
      <c r="CC57" s="1997" t="n"/>
    </row>
    <row r="58" ht="14.4" customFormat="1" customHeight="1" s="1991">
      <c r="A58" s="1998">
        <f>INDEX(MO_MA_EBITDA,0,COLUMN())</f>
        <v/>
      </c>
      <c r="B58" s="1999" t="n"/>
      <c r="C58" s="2000">
        <f>INDEX(MO_MA_EBITDA,0,COLUMN())</f>
        <v/>
      </c>
      <c r="D58" s="2000">
        <f>INDEX(MO_MA_EBITDA,0,COLUMN())</f>
        <v/>
      </c>
      <c r="E58" s="2000">
        <f>INDEX(MO_MA_EBITDA,0,COLUMN())</f>
        <v/>
      </c>
      <c r="F58" s="2000">
        <f>INDEX(MO_MA_EBITDA,0,COLUMN())</f>
        <v/>
      </c>
      <c r="G58" s="2000">
        <f>INDEX(MO_MA_EBITDA,0,COLUMN())</f>
        <v/>
      </c>
      <c r="H58" s="2001">
        <f>INDEX(MO_MA_EBITDA,0,COLUMN())</f>
        <v/>
      </c>
      <c r="I58" s="2001">
        <f>INDEX(MO_MA_EBITDA,0,COLUMN())</f>
        <v/>
      </c>
      <c r="J58" s="2001">
        <f>INDEX(MO_MA_EBITDA,0,COLUMN())</f>
        <v/>
      </c>
      <c r="K58" s="2001">
        <f>INDEX(MO_MA_EBITDA,0,COLUMN())</f>
        <v/>
      </c>
      <c r="L58" s="2000">
        <f>INDEX(MO_MA_EBITDA,0,COLUMN())</f>
        <v/>
      </c>
      <c r="M58" s="2001">
        <f>INDEX(MO_MA_EBITDA,0,COLUMN())</f>
        <v/>
      </c>
      <c r="N58" s="2001">
        <f>INDEX(MO_MA_EBITDA,0,COLUMN())</f>
        <v/>
      </c>
      <c r="O58" s="2001">
        <f>INDEX(MO_MA_EBITDA,0,COLUMN())</f>
        <v/>
      </c>
      <c r="P58" s="2001">
        <f>INDEX(MO_MA_EBITDA,0,COLUMN())</f>
        <v/>
      </c>
      <c r="Q58" s="2000">
        <f>INDEX(MO_MA_EBITDA,0,COLUMN())</f>
        <v/>
      </c>
      <c r="R58" s="2001">
        <f>INDEX(MO_MA_EBITDA,0,COLUMN())</f>
        <v/>
      </c>
      <c r="S58" s="2001">
        <f>INDEX(MO_MA_EBITDA,0,COLUMN())</f>
        <v/>
      </c>
      <c r="T58" s="2001">
        <f>INDEX(MO_MA_EBITDA,0,COLUMN())</f>
        <v/>
      </c>
      <c r="U58" s="2001">
        <f>INDEX(MO_MA_EBITDA,0,COLUMN())</f>
        <v/>
      </c>
      <c r="V58" s="2000">
        <f>INDEX(MO_MA_EBITDA,0,COLUMN())</f>
        <v/>
      </c>
      <c r="W58" s="2001">
        <f>INDEX(MO_MA_EBITDA,0,COLUMN())</f>
        <v/>
      </c>
      <c r="X58" s="2001">
        <f>INDEX(MO_MA_EBITDA,0,COLUMN())</f>
        <v/>
      </c>
      <c r="Y58" s="2001">
        <f>INDEX(MO_MA_EBITDA,0,COLUMN())</f>
        <v/>
      </c>
      <c r="Z58" s="2001">
        <f>INDEX(MO_MA_EBITDA,0,COLUMN())</f>
        <v/>
      </c>
      <c r="AA58" s="2000">
        <f>INDEX(MO_MA_EBITDA,0,COLUMN())</f>
        <v/>
      </c>
      <c r="AB58" s="2001">
        <f>INDEX(MO_MA_EBITDA,0,COLUMN())</f>
        <v/>
      </c>
      <c r="AC58" s="2001">
        <f>INDEX(MO_MA_EBITDA,0,COLUMN())</f>
        <v/>
      </c>
      <c r="AD58" s="2001">
        <f>INDEX(MO_MA_EBITDA,0,COLUMN())</f>
        <v/>
      </c>
      <c r="AE58" s="2001">
        <f>INDEX(MO_MA_EBITDA,0,COLUMN())</f>
        <v/>
      </c>
      <c r="AF58" s="2000">
        <f>INDEX(MO_MA_EBITDA,0,COLUMN())</f>
        <v/>
      </c>
      <c r="AG58" s="2001">
        <f>INDEX(MO_MA_EBITDA,0,COLUMN())</f>
        <v/>
      </c>
      <c r="AH58" s="2001">
        <f>INDEX(MO_MA_EBITDA,0,COLUMN())</f>
        <v/>
      </c>
      <c r="AI58" s="2001">
        <f>INDEX(MO_MA_EBITDA,0,COLUMN())</f>
        <v/>
      </c>
      <c r="AJ58" s="2001">
        <f>INDEX(MO_MA_EBITDA,0,COLUMN())</f>
        <v/>
      </c>
      <c r="AK58" s="2000">
        <f>INDEX(MO_MA_EBITDA,0,COLUMN())</f>
        <v/>
      </c>
      <c r="AL58" s="2001">
        <f>INDEX(MO_MA_EBITDA,0,COLUMN())</f>
        <v/>
      </c>
      <c r="AM58" s="2001">
        <f>INDEX(MO_MA_EBITDA,0,COLUMN())</f>
        <v/>
      </c>
      <c r="AN58" s="2001">
        <f>INDEX(MO_MA_EBITDA,0,COLUMN())</f>
        <v/>
      </c>
      <c r="AO58" s="2001">
        <f>INDEX(MO_MA_EBITDA,0,COLUMN())</f>
        <v/>
      </c>
      <c r="AP58" s="2000">
        <f>INDEX(MO_MA_EBITDA,0,COLUMN())</f>
        <v/>
      </c>
      <c r="AQ58" s="2001">
        <f>INDEX(MO_MA_EBITDA,0,COLUMN())</f>
        <v/>
      </c>
      <c r="AR58" s="2001">
        <f>INDEX(MO_MA_EBITDA,0,COLUMN())</f>
        <v/>
      </c>
      <c r="AS58" s="2001">
        <f>INDEX(MO_MA_EBITDA,0,COLUMN())</f>
        <v/>
      </c>
      <c r="AT58" s="2001">
        <f>INDEX(MO_MA_EBITDA,0,COLUMN())</f>
        <v/>
      </c>
      <c r="AU58" s="2000">
        <f>INDEX(MO_MA_EBITDA,0,COLUMN())</f>
        <v/>
      </c>
      <c r="AV58" s="2001">
        <f>INDEX(MO_MA_EBITDA,0,COLUMN())</f>
        <v/>
      </c>
      <c r="AW58" s="2001">
        <f>INDEX(MO_MA_EBITDA,0,COLUMN())</f>
        <v/>
      </c>
      <c r="AX58" s="2001">
        <f>INDEX(MO_MA_EBITDA,0,COLUMN())</f>
        <v/>
      </c>
      <c r="AY58" s="2001">
        <f>INDEX(MO_MA_EBITDA,0,COLUMN())</f>
        <v/>
      </c>
      <c r="AZ58" s="2000">
        <f>INDEX(MO_MA_EBITDA,0,COLUMN())</f>
        <v/>
      </c>
      <c r="BA58" s="2001">
        <f>INDEX(MO_MA_EBITDA,0,COLUMN())</f>
        <v/>
      </c>
      <c r="BB58" s="2001">
        <f>INDEX(MO_MA_EBITDA,0,COLUMN())</f>
        <v/>
      </c>
      <c r="BC58" s="2001">
        <f>INDEX(MO_MA_EBITDA,0,COLUMN())</f>
        <v/>
      </c>
      <c r="BD58" s="2001">
        <f>INDEX(MO_MA_EBITDA,0,COLUMN())</f>
        <v/>
      </c>
      <c r="BE58" s="2000">
        <f>INDEX(MO_MA_EBITDA,0,COLUMN())</f>
        <v/>
      </c>
      <c r="BF58" s="2001">
        <f>INDEX(MO_MA_EBITDA,0,COLUMN())</f>
        <v/>
      </c>
      <c r="BG58" s="2001">
        <f>INDEX(MO_MA_EBITDA,0,COLUMN())</f>
        <v/>
      </c>
      <c r="BH58" s="2001">
        <f>INDEX(MO_MA_EBITDA,0,COLUMN())</f>
        <v/>
      </c>
      <c r="BI58" s="2001">
        <f>INDEX(MO_MA_EBITDA,0,COLUMN())</f>
        <v/>
      </c>
      <c r="BJ58" s="2000">
        <f>INDEX(MO_MA_EBITDA,0,COLUMN())</f>
        <v/>
      </c>
      <c r="BK58" s="2001">
        <f>INDEX(MO_MA_EBITDA,0,COLUMN())</f>
        <v/>
      </c>
      <c r="BL58" s="2001">
        <f>INDEX(MO_MA_EBITDA,0,COLUMN())</f>
        <v/>
      </c>
      <c r="BM58" s="2001">
        <f>INDEX(MO_MA_EBITDA,0,COLUMN())</f>
        <v/>
      </c>
      <c r="BN58" s="2001">
        <f>INDEX(MO_MA_EBITDA,0,COLUMN())</f>
        <v/>
      </c>
      <c r="BO58" s="2002">
        <f>INDEX(MO_MA_EBITDA,0,COLUMN())</f>
        <v/>
      </c>
      <c r="BP58" s="2001">
        <f>INDEX(MO_MA_EBITDA,0,COLUMN())</f>
        <v/>
      </c>
      <c r="BQ58" s="2001">
        <f>INDEX(MO_MA_EBITDA,0,COLUMN())</f>
        <v/>
      </c>
      <c r="BR58" s="2001">
        <f>INDEX(MO_MA_EBITDA,0,COLUMN())</f>
        <v/>
      </c>
      <c r="BS58" s="2001">
        <f>INDEX(MO_MA_EBITDA,0,COLUMN())</f>
        <v/>
      </c>
      <c r="BT58" s="2000">
        <f>INDEX(MO_MA_EBITDA,0,COLUMN())</f>
        <v/>
      </c>
      <c r="BU58" s="2001">
        <f>INDEX(MO_MA_EBITDA,0,COLUMN())</f>
        <v/>
      </c>
      <c r="BV58" s="2001">
        <f>INDEX(MO_MA_EBITDA,0,COLUMN())</f>
        <v/>
      </c>
      <c r="BW58" s="2001">
        <f>INDEX(MO_MA_EBITDA,0,COLUMN())</f>
        <v/>
      </c>
      <c r="BX58" s="2001">
        <f>INDEX(MO_MA_EBITDA,0,COLUMN())</f>
        <v/>
      </c>
      <c r="BY58" s="2000">
        <f>INDEX(MO_MA_EBITDA,0,COLUMN())</f>
        <v/>
      </c>
      <c r="BZ58" s="2000">
        <f>INDEX(MO_MA_EBITDA,0,COLUMN())</f>
        <v/>
      </c>
      <c r="CA58" s="2000">
        <f>INDEX(MO_MA_EBITDA,0,COLUMN())</f>
        <v/>
      </c>
      <c r="CB58" s="2000">
        <f>INDEX(MO_MA_EBITDA,0,COLUMN())</f>
        <v/>
      </c>
      <c r="CC58" s="1997" t="n"/>
    </row>
    <row r="59" ht="14.4" customFormat="1" customHeight="1" s="1991">
      <c r="A59" s="1998">
        <f>INDEX(MO_MA_EBITDA_Adj,0,COLUMN())</f>
        <v/>
      </c>
      <c r="B59" s="1999" t="n"/>
      <c r="C59" s="2000">
        <f>INDEX(SP_NGF_EBITDA,0,COLUMN())/INDEX(SP_GF_Rev,0,COLUMN())</f>
        <v/>
      </c>
      <c r="D59" s="2000">
        <f>INDEX(SP_NGF_EBITDA,0,COLUMN())/INDEX(SP_GF_Rev,0,COLUMN())</f>
        <v/>
      </c>
      <c r="E59" s="2000">
        <f>INDEX(SP_NGF_EBITDA,0,COLUMN())/INDEX(SP_GF_Rev,0,COLUMN())</f>
        <v/>
      </c>
      <c r="F59" s="2000">
        <f>INDEX(SP_NGF_EBITDA,0,COLUMN())/INDEX(SP_GF_Rev,0,COLUMN())</f>
        <v/>
      </c>
      <c r="G59" s="2000">
        <f>INDEX(SP_NGF_EBITDA,0,COLUMN())/INDEX(SP_GF_Rev,0,COLUMN())</f>
        <v/>
      </c>
      <c r="H59" s="2001">
        <f>INDEX(SP_NGF_EBITDA,0,COLUMN())/INDEX(SP_GF_Rev,0,COLUMN())</f>
        <v/>
      </c>
      <c r="I59" s="2001">
        <f>INDEX(SP_NGF_EBITDA,0,COLUMN())/INDEX(SP_GF_Rev,0,COLUMN())</f>
        <v/>
      </c>
      <c r="J59" s="2001">
        <f>INDEX(SP_NGF_EBITDA,0,COLUMN())/INDEX(SP_GF_Rev,0,COLUMN())</f>
        <v/>
      </c>
      <c r="K59" s="2001">
        <f>INDEX(SP_NGF_EBITDA,0,COLUMN())/INDEX(SP_GF_Rev,0,COLUMN())</f>
        <v/>
      </c>
      <c r="L59" s="2000">
        <f>INDEX(SP_NGF_EBITDA,0,COLUMN())/INDEX(SP_GF_Rev,0,COLUMN())</f>
        <v/>
      </c>
      <c r="M59" s="2001">
        <f>INDEX(SP_NGF_EBITDA,0,COLUMN())/INDEX(SP_GF_Rev,0,COLUMN())</f>
        <v/>
      </c>
      <c r="N59" s="2001">
        <f>INDEX(SP_NGF_EBITDA,0,COLUMN())/INDEX(SP_GF_Rev,0,COLUMN())</f>
        <v/>
      </c>
      <c r="O59" s="2001">
        <f>INDEX(SP_NGF_EBITDA,0,COLUMN())/INDEX(SP_GF_Rev,0,COLUMN())</f>
        <v/>
      </c>
      <c r="P59" s="2001">
        <f>INDEX(SP_NGF_EBITDA,0,COLUMN())/INDEX(SP_GF_Rev,0,COLUMN())</f>
        <v/>
      </c>
      <c r="Q59" s="2000">
        <f>INDEX(SP_NGF_EBITDA,0,COLUMN())/INDEX(SP_GF_Rev,0,COLUMN())</f>
        <v/>
      </c>
      <c r="R59" s="2001">
        <f>INDEX(SP_NGF_EBITDA,0,COLUMN())/INDEX(SP_GF_Rev,0,COLUMN())</f>
        <v/>
      </c>
      <c r="S59" s="2001">
        <f>INDEX(SP_NGF_EBITDA,0,COLUMN())/INDEX(SP_GF_Rev,0,COLUMN())</f>
        <v/>
      </c>
      <c r="T59" s="2001">
        <f>INDEX(SP_NGF_EBITDA,0,COLUMN())/INDEX(SP_GF_Rev,0,COLUMN())</f>
        <v/>
      </c>
      <c r="U59" s="2001">
        <f>INDEX(SP_NGF_EBITDA,0,COLUMN())/INDEX(SP_GF_Rev,0,COLUMN())</f>
        <v/>
      </c>
      <c r="V59" s="2000">
        <f>INDEX(SP_NGF_EBITDA,0,COLUMN())/INDEX(SP_GF_Rev,0,COLUMN())</f>
        <v/>
      </c>
      <c r="W59" s="2001">
        <f>INDEX(SP_NGF_EBITDA,0,COLUMN())/INDEX(SP_GF_Rev,0,COLUMN())</f>
        <v/>
      </c>
      <c r="X59" s="2001">
        <f>INDEX(SP_NGF_EBITDA,0,COLUMN())/INDEX(SP_GF_Rev,0,COLUMN())</f>
        <v/>
      </c>
      <c r="Y59" s="2001">
        <f>INDEX(SP_NGF_EBITDA,0,COLUMN())/INDEX(SP_GF_Rev,0,COLUMN())</f>
        <v/>
      </c>
      <c r="Z59" s="2001">
        <f>INDEX(SP_NGF_EBITDA,0,COLUMN())/INDEX(SP_GF_Rev,0,COLUMN())</f>
        <v/>
      </c>
      <c r="AA59" s="2000">
        <f>INDEX(SP_NGF_EBITDA,0,COLUMN())/INDEX(SP_GF_Rev,0,COLUMN())</f>
        <v/>
      </c>
      <c r="AB59" s="2001">
        <f>INDEX(SP_NGF_EBITDA,0,COLUMN())/INDEX(SP_GF_Rev,0,COLUMN())</f>
        <v/>
      </c>
      <c r="AC59" s="2001">
        <f>INDEX(SP_NGF_EBITDA,0,COLUMN())/INDEX(SP_GF_Rev,0,COLUMN())</f>
        <v/>
      </c>
      <c r="AD59" s="2001">
        <f>INDEX(SP_NGF_EBITDA,0,COLUMN())/INDEX(SP_GF_Rev,0,COLUMN())</f>
        <v/>
      </c>
      <c r="AE59" s="2001">
        <f>INDEX(SP_NGF_EBITDA,0,COLUMN())/INDEX(SP_GF_Rev,0,COLUMN())</f>
        <v/>
      </c>
      <c r="AF59" s="2000">
        <f>INDEX(SP_NGF_EBITDA,0,COLUMN())/INDEX(SP_GF_Rev,0,COLUMN())</f>
        <v/>
      </c>
      <c r="AG59" s="2001">
        <f>INDEX(SP_NGF_EBITDA,0,COLUMN())/INDEX(SP_GF_Rev,0,COLUMN())</f>
        <v/>
      </c>
      <c r="AH59" s="2001">
        <f>INDEX(SP_NGF_EBITDA,0,COLUMN())/INDEX(SP_GF_Rev,0,COLUMN())</f>
        <v/>
      </c>
      <c r="AI59" s="2001">
        <f>INDEX(SP_NGF_EBITDA,0,COLUMN())/INDEX(SP_GF_Rev,0,COLUMN())</f>
        <v/>
      </c>
      <c r="AJ59" s="2001">
        <f>INDEX(SP_NGF_EBITDA,0,COLUMN())/INDEX(SP_GF_Rev,0,COLUMN())</f>
        <v/>
      </c>
      <c r="AK59" s="2000">
        <f>INDEX(SP_NGF_EBITDA,0,COLUMN())/INDEX(SP_GF_Rev,0,COLUMN())</f>
        <v/>
      </c>
      <c r="AL59" s="2001">
        <f>INDEX(SP_NGF_EBITDA,0,COLUMN())/INDEX(SP_GF_Rev,0,COLUMN())</f>
        <v/>
      </c>
      <c r="AM59" s="2001">
        <f>INDEX(SP_NGF_EBITDA,0,COLUMN())/INDEX(SP_GF_Rev,0,COLUMN())</f>
        <v/>
      </c>
      <c r="AN59" s="2001">
        <f>INDEX(SP_NGF_EBITDA,0,COLUMN())/INDEX(SP_GF_Rev,0,COLUMN())</f>
        <v/>
      </c>
      <c r="AO59" s="2001">
        <f>INDEX(SP_NGF_EBITDA,0,COLUMN())/INDEX(SP_GF_Rev,0,COLUMN())</f>
        <v/>
      </c>
      <c r="AP59" s="2000">
        <f>INDEX(SP_NGF_EBITDA,0,COLUMN())/INDEX(SP_GF_Rev,0,COLUMN())</f>
        <v/>
      </c>
      <c r="AQ59" s="2001">
        <f>INDEX(SP_NGF_EBITDA,0,COLUMN())/INDEX(SP_GF_Rev,0,COLUMN())</f>
        <v/>
      </c>
      <c r="AR59" s="2001">
        <f>INDEX(SP_NGF_EBITDA,0,COLUMN())/INDEX(SP_GF_Rev,0,COLUMN())</f>
        <v/>
      </c>
      <c r="AS59" s="2001">
        <f>INDEX(SP_NGF_EBITDA,0,COLUMN())/INDEX(SP_GF_Rev,0,COLUMN())</f>
        <v/>
      </c>
      <c r="AT59" s="2001">
        <f>INDEX(SP_NGF_EBITDA,0,COLUMN())/INDEX(SP_GF_Rev,0,COLUMN())</f>
        <v/>
      </c>
      <c r="AU59" s="2000">
        <f>INDEX(SP_NGF_EBITDA,0,COLUMN())/INDEX(SP_GF_Rev,0,COLUMN())</f>
        <v/>
      </c>
      <c r="AV59" s="2001">
        <f>INDEX(SP_NGF_EBITDA,0,COLUMN())/INDEX(SP_GF_Rev,0,COLUMN())</f>
        <v/>
      </c>
      <c r="AW59" s="2001">
        <f>INDEX(SP_NGF_EBITDA,0,COLUMN())/INDEX(SP_GF_Rev,0,COLUMN())</f>
        <v/>
      </c>
      <c r="AX59" s="2001">
        <f>INDEX(SP_NGF_EBITDA,0,COLUMN())/INDEX(SP_GF_Rev,0,COLUMN())</f>
        <v/>
      </c>
      <c r="AY59" s="2001">
        <f>INDEX(SP_NGF_EBITDA,0,COLUMN())/INDEX(SP_GF_Rev,0,COLUMN())</f>
        <v/>
      </c>
      <c r="AZ59" s="2000">
        <f>INDEX(SP_NGF_EBITDA,0,COLUMN())/INDEX(SP_GF_Rev,0,COLUMN())</f>
        <v/>
      </c>
      <c r="BA59" s="2001">
        <f>INDEX(SP_NGF_EBITDA,0,COLUMN())/INDEX(SP_GF_Rev,0,COLUMN())</f>
        <v/>
      </c>
      <c r="BB59" s="2001">
        <f>INDEX(SP_NGF_EBITDA,0,COLUMN())/INDEX(SP_GF_Rev,0,COLUMN())</f>
        <v/>
      </c>
      <c r="BC59" s="2001">
        <f>INDEX(SP_NGF_EBITDA,0,COLUMN())/INDEX(SP_GF_Rev,0,COLUMN())</f>
        <v/>
      </c>
      <c r="BD59" s="2001">
        <f>INDEX(SP_NGF_EBITDA,0,COLUMN())/INDEX(SP_GF_Rev,0,COLUMN())</f>
        <v/>
      </c>
      <c r="BE59" s="2000">
        <f>INDEX(SP_NGF_EBITDA,0,COLUMN())/INDEX(SP_GF_Rev,0,COLUMN())</f>
        <v/>
      </c>
      <c r="BF59" s="2001">
        <f>INDEX(SP_NGF_EBITDA,0,COLUMN())/INDEX(SP_GF_Rev,0,COLUMN())</f>
        <v/>
      </c>
      <c r="BG59" s="2001">
        <f>INDEX(SP_NGF_EBITDA,0,COLUMN())/INDEX(SP_GF_Rev,0,COLUMN())</f>
        <v/>
      </c>
      <c r="BH59" s="2001">
        <f>INDEX(SP_NGF_EBITDA,0,COLUMN())/INDEX(SP_GF_Rev,0,COLUMN())</f>
        <v/>
      </c>
      <c r="BI59" s="2001">
        <f>INDEX(SP_NGF_EBITDA,0,COLUMN())/INDEX(SP_GF_Rev,0,COLUMN())</f>
        <v/>
      </c>
      <c r="BJ59" s="2000">
        <f>INDEX(SP_NGF_EBITDA,0,COLUMN())/INDEX(SP_GF_Rev,0,COLUMN())</f>
        <v/>
      </c>
      <c r="BK59" s="2001">
        <f>INDEX(SP_NGF_EBITDA,0,COLUMN())/INDEX(SP_GF_Rev,0,COLUMN())</f>
        <v/>
      </c>
      <c r="BL59" s="2001">
        <f>INDEX(SP_NGF_EBITDA,0,COLUMN())/INDEX(SP_GF_Rev,0,COLUMN())</f>
        <v/>
      </c>
      <c r="BM59" s="2001">
        <f>INDEX(SP_NGF_EBITDA,0,COLUMN())/INDEX(SP_GF_Rev,0,COLUMN())</f>
        <v/>
      </c>
      <c r="BN59" s="2001">
        <f>INDEX(SP_NGF_EBITDA,0,COLUMN())/INDEX(SP_GF_Rev,0,COLUMN())</f>
        <v/>
      </c>
      <c r="BO59" s="2002">
        <f>INDEX(SP_NGF_EBITDA,0,COLUMN())/INDEX(SP_GF_Rev,0,COLUMN())</f>
        <v/>
      </c>
      <c r="BP59" s="2001">
        <f>INDEX(SP_NGF_EBITDA,0,COLUMN())/INDEX(SP_GF_Rev,0,COLUMN())</f>
        <v/>
      </c>
      <c r="BQ59" s="2001">
        <f>INDEX(SP_NGF_EBITDA,0,COLUMN())/INDEX(SP_GF_Rev,0,COLUMN())</f>
        <v/>
      </c>
      <c r="BR59" s="2001">
        <f>INDEX(SP_NGF_EBITDA,0,COLUMN())/INDEX(SP_GF_Rev,0,COLUMN())</f>
        <v/>
      </c>
      <c r="BS59" s="2001">
        <f>INDEX(SP_NGF_EBITDA,0,COLUMN())/INDEX(SP_GF_Rev,0,COLUMN())</f>
        <v/>
      </c>
      <c r="BT59" s="2000">
        <f>INDEX(SP_NGF_EBITDA,0,COLUMN())/INDEX(SP_GF_Rev,0,COLUMN())</f>
        <v/>
      </c>
      <c r="BU59" s="2001">
        <f>INDEX(SP_NGF_EBITDA,0,COLUMN())/INDEX(SP_GF_Rev,0,COLUMN())</f>
        <v/>
      </c>
      <c r="BV59" s="2001">
        <f>INDEX(SP_NGF_EBITDA,0,COLUMN())/INDEX(SP_GF_Rev,0,COLUMN())</f>
        <v/>
      </c>
      <c r="BW59" s="2001">
        <f>INDEX(SP_NGF_EBITDA,0,COLUMN())/INDEX(SP_GF_Rev,0,COLUMN())</f>
        <v/>
      </c>
      <c r="BX59" s="2001">
        <f>INDEX(SP_NGF_EBITDA,0,COLUMN())/INDEX(SP_GF_Rev,0,COLUMN())</f>
        <v/>
      </c>
      <c r="BY59" s="2000">
        <f>INDEX(SP_NGF_EBITDA,0,COLUMN())/INDEX(SP_GF_Rev,0,COLUMN())</f>
        <v/>
      </c>
      <c r="BZ59" s="2000">
        <f>INDEX(SP_NGF_EBITDA,0,COLUMN())/INDEX(SP_GF_Rev,0,COLUMN())</f>
        <v/>
      </c>
      <c r="CA59" s="2000">
        <f>INDEX(SP_NGF_EBITDA,0,COLUMN())/INDEX(SP_GF_Rev,0,COLUMN())</f>
        <v/>
      </c>
      <c r="CB59" s="2000">
        <f>INDEX(SP_NGF_EBITDA,0,COLUMN())/INDEX(SP_GF_Rev,0,COLUMN())</f>
        <v/>
      </c>
      <c r="CC59" s="1997" t="n"/>
    </row>
    <row r="60" ht="14.4" customHeight="1" s="876">
      <c r="A60" s="2008" t="n"/>
      <c r="B60" s="1975" t="n"/>
      <c r="C60" s="1976" t="n"/>
      <c r="D60" s="1976" t="n"/>
      <c r="E60" s="1976" t="n"/>
      <c r="F60" s="1976" t="n"/>
      <c r="G60" s="1976" t="n"/>
      <c r="H60" s="1977" t="n"/>
      <c r="I60" s="1977" t="n"/>
      <c r="J60" s="1977" t="n"/>
      <c r="K60" s="1977" t="n"/>
      <c r="L60" s="1976" t="n"/>
      <c r="M60" s="1977" t="n"/>
      <c r="N60" s="1977" t="n"/>
      <c r="O60" s="1977" t="n"/>
      <c r="P60" s="1977" t="n"/>
      <c r="Q60" s="1976" t="n"/>
      <c r="R60" s="1977" t="n"/>
      <c r="S60" s="1977" t="n"/>
      <c r="T60" s="1977" t="n"/>
      <c r="U60" s="1977" t="n"/>
      <c r="V60" s="1976" t="n"/>
      <c r="W60" s="1977" t="n"/>
      <c r="X60" s="1977" t="n"/>
      <c r="Y60" s="1977" t="n"/>
      <c r="Z60" s="1977" t="n"/>
      <c r="AA60" s="1976" t="n"/>
      <c r="AB60" s="1977" t="n"/>
      <c r="AC60" s="1977" t="n"/>
      <c r="AD60" s="1977" t="n"/>
      <c r="AE60" s="1977" t="n"/>
      <c r="AF60" s="1976" t="n"/>
      <c r="AG60" s="1977" t="n"/>
      <c r="AH60" s="1977" t="n"/>
      <c r="AI60" s="1977" t="n"/>
      <c r="AJ60" s="1977" t="n"/>
      <c r="AK60" s="1976" t="n"/>
      <c r="AL60" s="1977" t="n"/>
      <c r="AM60" s="1977" t="n"/>
      <c r="AN60" s="1977" t="n"/>
      <c r="AO60" s="1977" t="n"/>
      <c r="AP60" s="1976" t="n"/>
      <c r="AQ60" s="1977" t="n"/>
      <c r="AR60" s="1977" t="n"/>
      <c r="AS60" s="1977" t="n"/>
      <c r="AT60" s="1977" t="n"/>
      <c r="AU60" s="1976" t="n"/>
      <c r="AV60" s="1977" t="n"/>
      <c r="AW60" s="1977" t="n"/>
      <c r="AX60" s="1977" t="n"/>
      <c r="AY60" s="1977" t="n"/>
      <c r="AZ60" s="1976" t="n"/>
      <c r="BA60" s="1977" t="n"/>
      <c r="BB60" s="1977" t="n"/>
      <c r="BC60" s="1977" t="n"/>
      <c r="BD60" s="1977" t="n"/>
      <c r="BE60" s="1976" t="n"/>
      <c r="BF60" s="1977" t="n"/>
      <c r="BG60" s="1977" t="n"/>
      <c r="BH60" s="1977" t="n"/>
      <c r="BI60" s="1977" t="n"/>
      <c r="BJ60" s="1976" t="n"/>
      <c r="BK60" s="1977" t="n"/>
      <c r="BL60" s="1977" t="n"/>
      <c r="BM60" s="1977" t="n"/>
      <c r="BN60" s="1977" t="n"/>
      <c r="BO60" s="1978" t="n"/>
      <c r="BP60" s="1977" t="n"/>
      <c r="BQ60" s="1977" t="n"/>
      <c r="BR60" s="1977" t="n"/>
      <c r="BS60" s="1977" t="n"/>
      <c r="BT60" s="1976" t="n"/>
      <c r="BU60" s="1977" t="n"/>
      <c r="BV60" s="1977" t="n"/>
      <c r="BW60" s="1977" t="n"/>
      <c r="BX60" s="1977" t="n"/>
      <c r="BY60" s="1976" t="n"/>
      <c r="BZ60" s="1976" t="n"/>
      <c r="CA60" s="1976" t="n"/>
      <c r="CB60" s="1976" t="n"/>
      <c r="CC60" s="1977" t="n"/>
    </row>
    <row r="61" ht="14.4" customHeight="1" s="876">
      <c r="A61" s="2018" t="inlineStr">
        <is>
          <t>Cash Flow Analysis</t>
        </is>
      </c>
      <c r="B61" s="1979" t="n"/>
      <c r="C61" s="1979" t="n"/>
      <c r="D61" s="1979" t="n"/>
      <c r="E61" s="1979" t="n"/>
      <c r="F61" s="1979" t="n"/>
      <c r="G61" s="1979" t="n"/>
      <c r="H61" s="1979" t="n"/>
      <c r="I61" s="1979" t="n"/>
      <c r="J61" s="1979" t="n"/>
      <c r="K61" s="1979" t="n"/>
      <c r="L61" s="1979" t="n"/>
      <c r="M61" s="1979" t="n"/>
      <c r="N61" s="1979" t="n"/>
      <c r="O61" s="1979" t="n"/>
      <c r="P61" s="1979" t="n"/>
      <c r="Q61" s="1979" t="n"/>
      <c r="R61" s="1979" t="n"/>
      <c r="S61" s="1979" t="n"/>
      <c r="T61" s="1979" t="n"/>
      <c r="U61" s="1979" t="n"/>
      <c r="V61" s="1979" t="n"/>
      <c r="W61" s="1979" t="n"/>
      <c r="X61" s="1979" t="n"/>
      <c r="Y61" s="1979" t="n"/>
      <c r="Z61" s="1979" t="n"/>
      <c r="AA61" s="1979" t="n"/>
      <c r="AB61" s="1979" t="n"/>
      <c r="AC61" s="1979" t="n"/>
      <c r="AD61" s="1979" t="n"/>
      <c r="AE61" s="1979" t="n"/>
      <c r="AF61" s="1979" t="n"/>
      <c r="AG61" s="1979" t="n"/>
      <c r="AH61" s="1979" t="n"/>
      <c r="AI61" s="1979" t="n"/>
      <c r="AJ61" s="1979" t="n"/>
      <c r="AK61" s="1979" t="n"/>
      <c r="AL61" s="1979" t="n"/>
      <c r="AM61" s="1979" t="n"/>
      <c r="AN61" s="1979" t="n"/>
      <c r="AO61" s="1979" t="n"/>
      <c r="AP61" s="1979" t="n"/>
      <c r="AQ61" s="1979" t="n"/>
      <c r="AR61" s="1979" t="n"/>
      <c r="AS61" s="1979" t="n"/>
      <c r="AT61" s="1979" t="n"/>
      <c r="AU61" s="1979" t="n"/>
      <c r="AV61" s="1979" t="n"/>
      <c r="AW61" s="1979" t="n"/>
      <c r="AX61" s="1979" t="n"/>
      <c r="AY61" s="1979" t="n"/>
      <c r="AZ61" s="1979" t="n"/>
      <c r="BA61" s="1979" t="n"/>
      <c r="BB61" s="1979" t="n"/>
      <c r="BC61" s="1979" t="n"/>
      <c r="BD61" s="1979" t="n"/>
      <c r="BE61" s="1979" t="n"/>
      <c r="BF61" s="1979" t="n"/>
      <c r="BG61" s="1979" t="n"/>
      <c r="BH61" s="1979" t="n"/>
      <c r="BI61" s="1979" t="n"/>
      <c r="BJ61" s="1979" t="n"/>
      <c r="BK61" s="1979" t="n"/>
      <c r="BL61" s="1979" t="n"/>
      <c r="BM61" s="1979" t="n"/>
      <c r="BN61" s="1979" t="n"/>
      <c r="BO61" s="1980" t="n"/>
      <c r="BP61" s="1979" t="n"/>
      <c r="BQ61" s="1979" t="n"/>
      <c r="BR61" s="1979" t="n"/>
      <c r="BS61" s="1979" t="n"/>
      <c r="BT61" s="1979" t="n"/>
      <c r="BU61" s="1979" t="n"/>
      <c r="BV61" s="1979" t="n"/>
      <c r="BW61" s="1979" t="n"/>
      <c r="BX61" s="1979" t="n"/>
      <c r="BY61" s="1979" t="n"/>
      <c r="BZ61" s="1979" t="n"/>
      <c r="CA61" s="1979" t="n"/>
      <c r="CB61" s="1979" t="n"/>
      <c r="CC61" s="1301" t="n"/>
    </row>
    <row r="62" hidden="1" outlineLevel="1" ht="14.4" customFormat="1" customHeight="1" s="1974">
      <c r="A62" s="1949">
        <f>INDEX(MO_CFSum_CFO_BeforeWC,0,COLUMN())</f>
        <v/>
      </c>
      <c r="B62" s="1975" t="n"/>
      <c r="C62" s="1976">
        <f>INDEX(MO_CFSum_CFO_BeforeWC,0,COLUMN())</f>
        <v/>
      </c>
      <c r="D62" s="1976">
        <f>INDEX(MO_CFSum_CFO_BeforeWC,0,COLUMN())</f>
        <v/>
      </c>
      <c r="E62" s="1976">
        <f>INDEX(MO_CFSum_CFO_BeforeWC,0,COLUMN())</f>
        <v/>
      </c>
      <c r="F62" s="1976">
        <f>INDEX(MO_CFSum_CFO_BeforeWC,0,COLUMN())</f>
        <v/>
      </c>
      <c r="G62" s="1976">
        <f>INDEX(MO_CFSum_CFO_BeforeWC,0,COLUMN())</f>
        <v/>
      </c>
      <c r="H62" s="1977">
        <f>INDEX(MO_CFSum_CFO_BeforeWC,0,COLUMN())</f>
        <v/>
      </c>
      <c r="I62" s="1977">
        <f>INDEX(MO_CFSum_CFO_BeforeWC,0,COLUMN())</f>
        <v/>
      </c>
      <c r="J62" s="1977">
        <f>INDEX(MO_CFSum_CFO_BeforeWC,0,COLUMN())</f>
        <v/>
      </c>
      <c r="K62" s="1977">
        <f>INDEX(MO_CFSum_CFO_BeforeWC,0,COLUMN())</f>
        <v/>
      </c>
      <c r="L62" s="1976">
        <f>INDEX(MO_CFSum_CFO_BeforeWC,0,COLUMN())</f>
        <v/>
      </c>
      <c r="M62" s="1977">
        <f>INDEX(MO_CFSum_CFO_BeforeWC,0,COLUMN())</f>
        <v/>
      </c>
      <c r="N62" s="1977">
        <f>INDEX(MO_CFSum_CFO_BeforeWC,0,COLUMN())</f>
        <v/>
      </c>
      <c r="O62" s="1977">
        <f>INDEX(MO_CFSum_CFO_BeforeWC,0,COLUMN())</f>
        <v/>
      </c>
      <c r="P62" s="1977">
        <f>INDEX(MO_CFSum_CFO_BeforeWC,0,COLUMN())</f>
        <v/>
      </c>
      <c r="Q62" s="1976">
        <f>INDEX(MO_CFSum_CFO_BeforeWC,0,COLUMN())</f>
        <v/>
      </c>
      <c r="R62" s="1977">
        <f>INDEX(MO_CFSum_CFO_BeforeWC,0,COLUMN())</f>
        <v/>
      </c>
      <c r="S62" s="1977">
        <f>INDEX(MO_CFSum_CFO_BeforeWC,0,COLUMN())</f>
        <v/>
      </c>
      <c r="T62" s="1977">
        <f>INDEX(MO_CFSum_CFO_BeforeWC,0,COLUMN())</f>
        <v/>
      </c>
      <c r="U62" s="1977">
        <f>INDEX(MO_CFSum_CFO_BeforeWC,0,COLUMN())</f>
        <v/>
      </c>
      <c r="V62" s="1976">
        <f>INDEX(MO_CFSum_CFO_BeforeWC,0,COLUMN())</f>
        <v/>
      </c>
      <c r="W62" s="1977">
        <f>INDEX(MO_CFSum_CFO_BeforeWC,0,COLUMN())</f>
        <v/>
      </c>
      <c r="X62" s="1977">
        <f>INDEX(MO_CFSum_CFO_BeforeWC,0,COLUMN())</f>
        <v/>
      </c>
      <c r="Y62" s="1977">
        <f>INDEX(MO_CFSum_CFO_BeforeWC,0,COLUMN())</f>
        <v/>
      </c>
      <c r="Z62" s="1977">
        <f>INDEX(MO_CFSum_CFO_BeforeWC,0,COLUMN())</f>
        <v/>
      </c>
      <c r="AA62" s="1976">
        <f>INDEX(MO_CFSum_CFO_BeforeWC,0,COLUMN())</f>
        <v/>
      </c>
      <c r="AB62" s="1977">
        <f>INDEX(MO_CFSum_CFO_BeforeWC,0,COLUMN())</f>
        <v/>
      </c>
      <c r="AC62" s="1977">
        <f>INDEX(MO_CFSum_CFO_BeforeWC,0,COLUMN())</f>
        <v/>
      </c>
      <c r="AD62" s="1977">
        <f>INDEX(MO_CFSum_CFO_BeforeWC,0,COLUMN())</f>
        <v/>
      </c>
      <c r="AE62" s="1977">
        <f>INDEX(MO_CFSum_CFO_BeforeWC,0,COLUMN())</f>
        <v/>
      </c>
      <c r="AF62" s="1976">
        <f>INDEX(MO_CFSum_CFO_BeforeWC,0,COLUMN())</f>
        <v/>
      </c>
      <c r="AG62" s="1977">
        <f>INDEX(MO_CFSum_CFO_BeforeWC,0,COLUMN())</f>
        <v/>
      </c>
      <c r="AH62" s="1977">
        <f>INDEX(MO_CFSum_CFO_BeforeWC,0,COLUMN())</f>
        <v/>
      </c>
      <c r="AI62" s="1977">
        <f>INDEX(MO_CFSum_CFO_BeforeWC,0,COLUMN())</f>
        <v/>
      </c>
      <c r="AJ62" s="1977">
        <f>INDEX(MO_CFSum_CFO_BeforeWC,0,COLUMN())</f>
        <v/>
      </c>
      <c r="AK62" s="1976">
        <f>INDEX(MO_CFSum_CFO_BeforeWC,0,COLUMN())</f>
        <v/>
      </c>
      <c r="AL62" s="1977">
        <f>INDEX(MO_CFSum_CFO_BeforeWC,0,COLUMN())</f>
        <v/>
      </c>
      <c r="AM62" s="1977">
        <f>INDEX(MO_CFSum_CFO_BeforeWC,0,COLUMN())</f>
        <v/>
      </c>
      <c r="AN62" s="1977">
        <f>INDEX(MO_CFSum_CFO_BeforeWC,0,COLUMN())</f>
        <v/>
      </c>
      <c r="AO62" s="1977">
        <f>INDEX(MO_CFSum_CFO_BeforeWC,0,COLUMN())</f>
        <v/>
      </c>
      <c r="AP62" s="1976">
        <f>INDEX(MO_CFSum_CFO_BeforeWC,0,COLUMN())</f>
        <v/>
      </c>
      <c r="AQ62" s="1977">
        <f>INDEX(MO_CFSum_CFO_BeforeWC,0,COLUMN())</f>
        <v/>
      </c>
      <c r="AR62" s="1977">
        <f>INDEX(MO_CFSum_CFO_BeforeWC,0,COLUMN())</f>
        <v/>
      </c>
      <c r="AS62" s="1977">
        <f>INDEX(MO_CFSum_CFO_BeforeWC,0,COLUMN())</f>
        <v/>
      </c>
      <c r="AT62" s="1977">
        <f>INDEX(MO_CFSum_CFO_BeforeWC,0,COLUMN())</f>
        <v/>
      </c>
      <c r="AU62" s="1976">
        <f>INDEX(MO_CFSum_CFO_BeforeWC,0,COLUMN())</f>
        <v/>
      </c>
      <c r="AV62" s="1977">
        <f>INDEX(MO_CFSum_CFO_BeforeWC,0,COLUMN())</f>
        <v/>
      </c>
      <c r="AW62" s="1977">
        <f>INDEX(MO_CFSum_CFO_BeforeWC,0,COLUMN())</f>
        <v/>
      </c>
      <c r="AX62" s="1977">
        <f>INDEX(MO_CFSum_CFO_BeforeWC,0,COLUMN())</f>
        <v/>
      </c>
      <c r="AY62" s="1977">
        <f>INDEX(MO_CFSum_CFO_BeforeWC,0,COLUMN())</f>
        <v/>
      </c>
      <c r="AZ62" s="1976">
        <f>INDEX(MO_CFSum_CFO_BeforeWC,0,COLUMN())</f>
        <v/>
      </c>
      <c r="BA62" s="1977">
        <f>INDEX(MO_CFSum_CFO_BeforeWC,0,COLUMN())</f>
        <v/>
      </c>
      <c r="BB62" s="1977">
        <f>INDEX(MO_CFSum_CFO_BeforeWC,0,COLUMN())</f>
        <v/>
      </c>
      <c r="BC62" s="1977">
        <f>INDEX(MO_CFSum_CFO_BeforeWC,0,COLUMN())</f>
        <v/>
      </c>
      <c r="BD62" s="1977">
        <f>INDEX(MO_CFSum_CFO_BeforeWC,0,COLUMN())</f>
        <v/>
      </c>
      <c r="BE62" s="1976">
        <f>INDEX(MO_CFSum_CFO_BeforeWC,0,COLUMN())</f>
        <v/>
      </c>
      <c r="BF62" s="1977">
        <f>INDEX(MO_CFSum_CFO_BeforeWC,0,COLUMN())</f>
        <v/>
      </c>
      <c r="BG62" s="1977">
        <f>INDEX(MO_CFSum_CFO_BeforeWC,0,COLUMN())</f>
        <v/>
      </c>
      <c r="BH62" s="1977">
        <f>INDEX(MO_CFSum_CFO_BeforeWC,0,COLUMN())</f>
        <v/>
      </c>
      <c r="BI62" s="1977">
        <f>INDEX(MO_CFSum_CFO_BeforeWC,0,COLUMN())</f>
        <v/>
      </c>
      <c r="BJ62" s="1976">
        <f>INDEX(MO_CFSum_CFO_BeforeWC,0,COLUMN())</f>
        <v/>
      </c>
      <c r="BK62" s="1977">
        <f>INDEX(MO_CFSum_CFO_BeforeWC,0,COLUMN())</f>
        <v/>
      </c>
      <c r="BL62" s="1977">
        <f>INDEX(MO_CFSum_CFO_BeforeWC,0,COLUMN())</f>
        <v/>
      </c>
      <c r="BM62" s="1977">
        <f>INDEX(MO_CFSum_CFO_BeforeWC,0,COLUMN())</f>
        <v/>
      </c>
      <c r="BN62" s="1977">
        <f>INDEX(MO_CFSum_CFO_BeforeWC,0,COLUMN())</f>
        <v/>
      </c>
      <c r="BO62" s="1978">
        <f>INDEX(MO_CFSum_CFO_BeforeWC,0,COLUMN())</f>
        <v/>
      </c>
      <c r="BP62" s="1977">
        <f>INDEX(MO_CFSum_CFO_BeforeWC,0,COLUMN())</f>
        <v/>
      </c>
      <c r="BQ62" s="1977">
        <f>INDEX(MO_CFSum_CFO_BeforeWC,0,COLUMN())</f>
        <v/>
      </c>
      <c r="BR62" s="1977">
        <f>INDEX(MO_CFSum_CFO_BeforeWC,0,COLUMN())</f>
        <v/>
      </c>
      <c r="BS62" s="1977">
        <f>INDEX(MO_CFSum_CFO_BeforeWC,0,COLUMN())</f>
        <v/>
      </c>
      <c r="BT62" s="1976">
        <f>INDEX(MO_CFSum_CFO_BeforeWC,0,COLUMN())</f>
        <v/>
      </c>
      <c r="BU62" s="1977">
        <f>INDEX(MO_CFSum_CFO_BeforeWC,0,COLUMN())</f>
        <v/>
      </c>
      <c r="BV62" s="1977">
        <f>INDEX(MO_CFSum_CFO_BeforeWC,0,COLUMN())</f>
        <v/>
      </c>
      <c r="BW62" s="1977">
        <f>INDEX(MO_CFSum_CFO_BeforeWC,0,COLUMN())</f>
        <v/>
      </c>
      <c r="BX62" s="1977">
        <f>INDEX(MO_CFSum_CFO_BeforeWC,0,COLUMN())</f>
        <v/>
      </c>
      <c r="BY62" s="1976">
        <f>INDEX(MO_CFSum_CFO_BeforeWC,0,COLUMN())</f>
        <v/>
      </c>
      <c r="BZ62" s="1976">
        <f>INDEX(MO_CFSum_CFO_BeforeWC,0,COLUMN())</f>
        <v/>
      </c>
      <c r="CA62" s="1976">
        <f>INDEX(MO_CFSum_CFO_BeforeWC,0,COLUMN())</f>
        <v/>
      </c>
      <c r="CB62" s="1976">
        <f>INDEX(MO_CFSum_CFO_BeforeWC,0,COLUMN())</f>
        <v/>
      </c>
      <c r="CC62" s="1977" t="n"/>
    </row>
    <row r="63" hidden="1" outlineLevel="1" ht="14.4" customFormat="1" customHeight="1" s="1974">
      <c r="A63" s="1955" t="inlineStr">
        <is>
          <t>Change in WC</t>
        </is>
      </c>
      <c r="B63" s="1971" t="n"/>
      <c r="C63" s="1960">
        <f>SUM(OFFSET(INDEX(MO_CFS_CFO_BeforeWC,0,COLUMN()),1,0,ROW(INDEX(MO_CFS_CFO,0,COLUMN()))-ROW(INDEX(MO_CFS_CFO_BeforeWC,0,COLUMN()))-1,1))</f>
        <v/>
      </c>
      <c r="D63" s="1960">
        <f>SUM(OFFSET(INDEX(MO_CFS_CFO_BeforeWC,0,COLUMN()),1,0,ROW(INDEX(MO_CFS_CFO,0,COLUMN()))-ROW(INDEX(MO_CFS_CFO_BeforeWC,0,COLUMN()))-1,1))</f>
        <v/>
      </c>
      <c r="E63" s="1960">
        <f>SUM(OFFSET(INDEX(MO_CFS_CFO_BeforeWC,0,COLUMN()),1,0,ROW(INDEX(MO_CFS_CFO,0,COLUMN()))-ROW(INDEX(MO_CFS_CFO_BeforeWC,0,COLUMN()))-1,1))</f>
        <v/>
      </c>
      <c r="F63" s="1960">
        <f>SUM(OFFSET(INDEX(MO_CFS_CFO_BeforeWC,0,COLUMN()),1,0,ROW(INDEX(MO_CFS_CFO,0,COLUMN()))-ROW(INDEX(MO_CFS_CFO_BeforeWC,0,COLUMN()))-1,1))</f>
        <v/>
      </c>
      <c r="G63" s="1960">
        <f>SUM(OFFSET(INDEX(MO_CFS_CFO_BeforeWC,0,COLUMN()),1,0,ROW(INDEX(MO_CFS_CFO,0,COLUMN()))-ROW(INDEX(MO_CFS_CFO_BeforeWC,0,COLUMN()))-1,1))</f>
        <v/>
      </c>
      <c r="H63" s="1972">
        <f>SUM(OFFSET(INDEX(MO_CFS_CFO_BeforeWC,0,COLUMN()),1,0,ROW(INDEX(MO_CFS_CFO,0,COLUMN()))-ROW(INDEX(MO_CFS_CFO_BeforeWC,0,COLUMN()))-1,1))</f>
        <v/>
      </c>
      <c r="I63" s="1972">
        <f>SUM(OFFSET(INDEX(MO_CFS_CFO_BeforeWC,0,COLUMN()),1,0,ROW(INDEX(MO_CFS_CFO,0,COLUMN()))-ROW(INDEX(MO_CFS_CFO_BeforeWC,0,COLUMN()))-1,1))</f>
        <v/>
      </c>
      <c r="J63" s="1972">
        <f>SUM(OFFSET(INDEX(MO_CFS_CFO_BeforeWC,0,COLUMN()),1,0,ROW(INDEX(MO_CFS_CFO,0,COLUMN()))-ROW(INDEX(MO_CFS_CFO_BeforeWC,0,COLUMN()))-1,1))</f>
        <v/>
      </c>
      <c r="K63" s="1972">
        <f>SUM(OFFSET(INDEX(MO_CFS_CFO_BeforeWC,0,COLUMN()),1,0,ROW(INDEX(MO_CFS_CFO,0,COLUMN()))-ROW(INDEX(MO_CFS_CFO_BeforeWC,0,COLUMN()))-1,1))</f>
        <v/>
      </c>
      <c r="L63" s="1960">
        <f>SUM(OFFSET(INDEX(MO_CFS_CFO_BeforeWC,0,COLUMN()),1,0,ROW(INDEX(MO_CFS_CFO,0,COLUMN()))-ROW(INDEX(MO_CFS_CFO_BeforeWC,0,COLUMN()))-1,1))</f>
        <v/>
      </c>
      <c r="M63" s="1972">
        <f>SUM(OFFSET(INDEX(MO_CFS_CFO_BeforeWC,0,COLUMN()),1,0,ROW(INDEX(MO_CFS_CFO,0,COLUMN()))-ROW(INDEX(MO_CFS_CFO_BeforeWC,0,COLUMN()))-1,1))</f>
        <v/>
      </c>
      <c r="N63" s="1972">
        <f>SUM(OFFSET(INDEX(MO_CFS_CFO_BeforeWC,0,COLUMN()),1,0,ROW(INDEX(MO_CFS_CFO,0,COLUMN()))-ROW(INDEX(MO_CFS_CFO_BeforeWC,0,COLUMN()))-1,1))</f>
        <v/>
      </c>
      <c r="O63" s="1972">
        <f>SUM(OFFSET(INDEX(MO_CFS_CFO_BeforeWC,0,COLUMN()),1,0,ROW(INDEX(MO_CFS_CFO,0,COLUMN()))-ROW(INDEX(MO_CFS_CFO_BeforeWC,0,COLUMN()))-1,1))</f>
        <v/>
      </c>
      <c r="P63" s="1972">
        <f>SUM(OFFSET(INDEX(MO_CFS_CFO_BeforeWC,0,COLUMN()),1,0,ROW(INDEX(MO_CFS_CFO,0,COLUMN()))-ROW(INDEX(MO_CFS_CFO_BeforeWC,0,COLUMN()))-1,1))</f>
        <v/>
      </c>
      <c r="Q63" s="1960">
        <f>SUM(OFFSET(INDEX(MO_CFS_CFO_BeforeWC,0,COLUMN()),1,0,ROW(INDEX(MO_CFS_CFO,0,COLUMN()))-ROW(INDEX(MO_CFS_CFO_BeforeWC,0,COLUMN()))-1,1))</f>
        <v/>
      </c>
      <c r="R63" s="1972">
        <f>SUM(OFFSET(INDEX(MO_CFS_CFO_BeforeWC,0,COLUMN()),1,0,ROW(INDEX(MO_CFS_CFO,0,COLUMN()))-ROW(INDEX(MO_CFS_CFO_BeforeWC,0,COLUMN()))-1,1))</f>
        <v/>
      </c>
      <c r="S63" s="1972">
        <f>SUM(OFFSET(INDEX(MO_CFS_CFO_BeforeWC,0,COLUMN()),1,0,ROW(INDEX(MO_CFS_CFO,0,COLUMN()))-ROW(INDEX(MO_CFS_CFO_BeforeWC,0,COLUMN()))-1,1))</f>
        <v/>
      </c>
      <c r="T63" s="1972">
        <f>SUM(OFFSET(INDEX(MO_CFS_CFO_BeforeWC,0,COLUMN()),1,0,ROW(INDEX(MO_CFS_CFO,0,COLUMN()))-ROW(INDEX(MO_CFS_CFO_BeforeWC,0,COLUMN()))-1,1))</f>
        <v/>
      </c>
      <c r="U63" s="1972">
        <f>SUM(OFFSET(INDEX(MO_CFS_CFO_BeforeWC,0,COLUMN()),1,0,ROW(INDEX(MO_CFS_CFO,0,COLUMN()))-ROW(INDEX(MO_CFS_CFO_BeforeWC,0,COLUMN()))-1,1))</f>
        <v/>
      </c>
      <c r="V63" s="1960">
        <f>SUM(OFFSET(INDEX(MO_CFS_CFO_BeforeWC,0,COLUMN()),1,0,ROW(INDEX(MO_CFS_CFO,0,COLUMN()))-ROW(INDEX(MO_CFS_CFO_BeforeWC,0,COLUMN()))-1,1))</f>
        <v/>
      </c>
      <c r="W63" s="1972">
        <f>SUM(OFFSET(INDEX(MO_CFS_CFO_BeforeWC,0,COLUMN()),1,0,ROW(INDEX(MO_CFS_CFO,0,COLUMN()))-ROW(INDEX(MO_CFS_CFO_BeforeWC,0,COLUMN()))-1,1))</f>
        <v/>
      </c>
      <c r="X63" s="1972">
        <f>SUM(OFFSET(INDEX(MO_CFS_CFO_BeforeWC,0,COLUMN()),1,0,ROW(INDEX(MO_CFS_CFO,0,COLUMN()))-ROW(INDEX(MO_CFS_CFO_BeforeWC,0,COLUMN()))-1,1))</f>
        <v/>
      </c>
      <c r="Y63" s="1972">
        <f>SUM(OFFSET(INDEX(MO_CFS_CFO_BeforeWC,0,COLUMN()),1,0,ROW(INDEX(MO_CFS_CFO,0,COLUMN()))-ROW(INDEX(MO_CFS_CFO_BeforeWC,0,COLUMN()))-1,1))</f>
        <v/>
      </c>
      <c r="Z63" s="1972">
        <f>SUM(OFFSET(INDEX(MO_CFS_CFO_BeforeWC,0,COLUMN()),1,0,ROW(INDEX(MO_CFS_CFO,0,COLUMN()))-ROW(INDEX(MO_CFS_CFO_BeforeWC,0,COLUMN()))-1,1))</f>
        <v/>
      </c>
      <c r="AA63" s="1960">
        <f>SUM(OFFSET(INDEX(MO_CFS_CFO_BeforeWC,0,COLUMN()),1,0,ROW(INDEX(MO_CFS_CFO,0,COLUMN()))-ROW(INDEX(MO_CFS_CFO_BeforeWC,0,COLUMN()))-1,1))</f>
        <v/>
      </c>
      <c r="AB63" s="1972">
        <f>SUM(OFFSET(INDEX(MO_CFS_CFO_BeforeWC,0,COLUMN()),1,0,ROW(INDEX(MO_CFS_CFO,0,COLUMN()))-ROW(INDEX(MO_CFS_CFO_BeforeWC,0,COLUMN()))-1,1))</f>
        <v/>
      </c>
      <c r="AC63" s="1972">
        <f>SUM(OFFSET(INDEX(MO_CFS_CFO_BeforeWC,0,COLUMN()),1,0,ROW(INDEX(MO_CFS_CFO,0,COLUMN()))-ROW(INDEX(MO_CFS_CFO_BeforeWC,0,COLUMN()))-1,1))</f>
        <v/>
      </c>
      <c r="AD63" s="1972">
        <f>SUM(OFFSET(INDEX(MO_CFS_CFO_BeforeWC,0,COLUMN()),1,0,ROW(INDEX(MO_CFS_CFO,0,COLUMN()))-ROW(INDEX(MO_CFS_CFO_BeforeWC,0,COLUMN()))-1,1))</f>
        <v/>
      </c>
      <c r="AE63" s="1972">
        <f>SUM(OFFSET(INDEX(MO_CFS_CFO_BeforeWC,0,COLUMN()),1,0,ROW(INDEX(MO_CFS_CFO,0,COLUMN()))-ROW(INDEX(MO_CFS_CFO_BeforeWC,0,COLUMN()))-1,1))</f>
        <v/>
      </c>
      <c r="AF63" s="1960">
        <f>SUM(OFFSET(INDEX(MO_CFS_CFO_BeforeWC,0,COLUMN()),1,0,ROW(INDEX(MO_CFS_CFO,0,COLUMN()))-ROW(INDEX(MO_CFS_CFO_BeforeWC,0,COLUMN()))-1,1))</f>
        <v/>
      </c>
      <c r="AG63" s="1972">
        <f>SUM(OFFSET(INDEX(MO_CFS_CFO_BeforeWC,0,COLUMN()),1,0,ROW(INDEX(MO_CFS_CFO,0,COLUMN()))-ROW(INDEX(MO_CFS_CFO_BeforeWC,0,COLUMN()))-1,1))</f>
        <v/>
      </c>
      <c r="AH63" s="1972">
        <f>SUM(OFFSET(INDEX(MO_CFS_CFO_BeforeWC,0,COLUMN()),1,0,ROW(INDEX(MO_CFS_CFO,0,COLUMN()))-ROW(INDEX(MO_CFS_CFO_BeforeWC,0,COLUMN()))-1,1))</f>
        <v/>
      </c>
      <c r="AI63" s="1972">
        <f>SUM(OFFSET(INDEX(MO_CFS_CFO_BeforeWC,0,COLUMN()),1,0,ROW(INDEX(MO_CFS_CFO,0,COLUMN()))-ROW(INDEX(MO_CFS_CFO_BeforeWC,0,COLUMN()))-1,1))</f>
        <v/>
      </c>
      <c r="AJ63" s="1972">
        <f>SUM(OFFSET(INDEX(MO_CFS_CFO_BeforeWC,0,COLUMN()),1,0,ROW(INDEX(MO_CFS_CFO,0,COLUMN()))-ROW(INDEX(MO_CFS_CFO_BeforeWC,0,COLUMN()))-1,1))</f>
        <v/>
      </c>
      <c r="AK63" s="1960">
        <f>SUM(OFFSET(INDEX(MO_CFS_CFO_BeforeWC,0,COLUMN()),1,0,ROW(INDEX(MO_CFS_CFO,0,COLUMN()))-ROW(INDEX(MO_CFS_CFO_BeforeWC,0,COLUMN()))-1,1))</f>
        <v/>
      </c>
      <c r="AL63" s="1972">
        <f>SUM(OFFSET(INDEX(MO_CFS_CFO_BeforeWC,0,COLUMN()),1,0,ROW(INDEX(MO_CFS_CFO,0,COLUMN()))-ROW(INDEX(MO_CFS_CFO_BeforeWC,0,COLUMN()))-1,1))</f>
        <v/>
      </c>
      <c r="AM63" s="1972">
        <f>SUM(OFFSET(INDEX(MO_CFS_CFO_BeforeWC,0,COLUMN()),1,0,ROW(INDEX(MO_CFS_CFO,0,COLUMN()))-ROW(INDEX(MO_CFS_CFO_BeforeWC,0,COLUMN()))-1,1))</f>
        <v/>
      </c>
      <c r="AN63" s="1972">
        <f>SUM(OFFSET(INDEX(MO_CFS_CFO_BeforeWC,0,COLUMN()),1,0,ROW(INDEX(MO_CFS_CFO,0,COLUMN()))-ROW(INDEX(MO_CFS_CFO_BeforeWC,0,COLUMN()))-1,1))</f>
        <v/>
      </c>
      <c r="AO63" s="1972">
        <f>SUM(OFFSET(INDEX(MO_CFS_CFO_BeforeWC,0,COLUMN()),1,0,ROW(INDEX(MO_CFS_CFO,0,COLUMN()))-ROW(INDEX(MO_CFS_CFO_BeforeWC,0,COLUMN()))-1,1))</f>
        <v/>
      </c>
      <c r="AP63" s="1960">
        <f>SUM(OFFSET(INDEX(MO_CFS_CFO_BeforeWC,0,COLUMN()),1,0,ROW(INDEX(MO_CFS_CFO,0,COLUMN()))-ROW(INDEX(MO_CFS_CFO_BeforeWC,0,COLUMN()))-1,1))</f>
        <v/>
      </c>
      <c r="AQ63" s="1972">
        <f>SUM(OFFSET(INDEX(MO_CFS_CFO_BeforeWC,0,COLUMN()),1,0,ROW(INDEX(MO_CFS_CFO,0,COLUMN()))-ROW(INDEX(MO_CFS_CFO_BeforeWC,0,COLUMN()))-1,1))</f>
        <v/>
      </c>
      <c r="AR63" s="1972">
        <f>SUM(OFFSET(INDEX(MO_CFS_CFO_BeforeWC,0,COLUMN()),1,0,ROW(INDEX(MO_CFS_CFO,0,COLUMN()))-ROW(INDEX(MO_CFS_CFO_BeforeWC,0,COLUMN()))-1,1))</f>
        <v/>
      </c>
      <c r="AS63" s="1972">
        <f>SUM(OFFSET(INDEX(MO_CFS_CFO_BeforeWC,0,COLUMN()),1,0,ROW(INDEX(MO_CFS_CFO,0,COLUMN()))-ROW(INDEX(MO_CFS_CFO_BeforeWC,0,COLUMN()))-1,1))</f>
        <v/>
      </c>
      <c r="AT63" s="1972">
        <f>SUM(OFFSET(INDEX(MO_CFS_CFO_BeforeWC,0,COLUMN()),1,0,ROW(INDEX(MO_CFS_CFO,0,COLUMN()))-ROW(INDEX(MO_CFS_CFO_BeforeWC,0,COLUMN()))-1,1))</f>
        <v/>
      </c>
      <c r="AU63" s="1960">
        <f>SUM(OFFSET(INDEX(MO_CFS_CFO_BeforeWC,0,COLUMN()),1,0,ROW(INDEX(MO_CFS_CFO,0,COLUMN()))-ROW(INDEX(MO_CFS_CFO_BeforeWC,0,COLUMN()))-1,1))</f>
        <v/>
      </c>
      <c r="AV63" s="1972">
        <f>SUM(OFFSET(INDEX(MO_CFS_CFO_BeforeWC,0,COLUMN()),1,0,ROW(INDEX(MO_CFS_CFO,0,COLUMN()))-ROW(INDEX(MO_CFS_CFO_BeforeWC,0,COLUMN()))-1,1))</f>
        <v/>
      </c>
      <c r="AW63" s="1972">
        <f>SUM(OFFSET(INDEX(MO_CFS_CFO_BeforeWC,0,COLUMN()),1,0,ROW(INDEX(MO_CFS_CFO,0,COLUMN()))-ROW(INDEX(MO_CFS_CFO_BeforeWC,0,COLUMN()))-1,1))</f>
        <v/>
      </c>
      <c r="AX63" s="1972">
        <f>SUM(OFFSET(INDEX(MO_CFS_CFO_BeforeWC,0,COLUMN()),1,0,ROW(INDEX(MO_CFS_CFO,0,COLUMN()))-ROW(INDEX(MO_CFS_CFO_BeforeWC,0,COLUMN()))-1,1))</f>
        <v/>
      </c>
      <c r="AY63" s="1972">
        <f>SUM(OFFSET(INDEX(MO_CFS_CFO_BeforeWC,0,COLUMN()),1,0,ROW(INDEX(MO_CFS_CFO,0,COLUMN()))-ROW(INDEX(MO_CFS_CFO_BeforeWC,0,COLUMN()))-1,1))</f>
        <v/>
      </c>
      <c r="AZ63" s="1960">
        <f>SUM(OFFSET(INDEX(MO_CFS_CFO_BeforeWC,0,COLUMN()),1,0,ROW(INDEX(MO_CFS_CFO,0,COLUMN()))-ROW(INDEX(MO_CFS_CFO_BeforeWC,0,COLUMN()))-1,1))</f>
        <v/>
      </c>
      <c r="BA63" s="1972">
        <f>SUM(OFFSET(INDEX(MO_CFS_CFO_BeforeWC,0,COLUMN()),1,0,ROW(INDEX(MO_CFS_CFO,0,COLUMN()))-ROW(INDEX(MO_CFS_CFO_BeforeWC,0,COLUMN()))-1,1))</f>
        <v/>
      </c>
      <c r="BB63" s="1972">
        <f>SUM(OFFSET(INDEX(MO_CFS_CFO_BeforeWC,0,COLUMN()),1,0,ROW(INDEX(MO_CFS_CFO,0,COLUMN()))-ROW(INDEX(MO_CFS_CFO_BeforeWC,0,COLUMN()))-1,1))</f>
        <v/>
      </c>
      <c r="BC63" s="1972">
        <f>SUM(OFFSET(INDEX(MO_CFS_CFO_BeforeWC,0,COLUMN()),1,0,ROW(INDEX(MO_CFS_CFO,0,COLUMN()))-ROW(INDEX(MO_CFS_CFO_BeforeWC,0,COLUMN()))-1,1))</f>
        <v/>
      </c>
      <c r="BD63" s="1972">
        <f>SUM(OFFSET(INDEX(MO_CFS_CFO_BeforeWC,0,COLUMN()),1,0,ROW(INDEX(MO_CFS_CFO,0,COLUMN()))-ROW(INDEX(MO_CFS_CFO_BeforeWC,0,COLUMN()))-1,1))</f>
        <v/>
      </c>
      <c r="BE63" s="1960">
        <f>SUM(OFFSET(INDEX(MO_CFS_CFO_BeforeWC,0,COLUMN()),1,0,ROW(INDEX(MO_CFS_CFO,0,COLUMN()))-ROW(INDEX(MO_CFS_CFO_BeforeWC,0,COLUMN()))-1,1))</f>
        <v/>
      </c>
      <c r="BF63" s="1972">
        <f>SUM(OFFSET(INDEX(MO_CFS_CFO_BeforeWC,0,COLUMN()),1,0,ROW(INDEX(MO_CFS_CFO,0,COLUMN()))-ROW(INDEX(MO_CFS_CFO_BeforeWC,0,COLUMN()))-1,1))</f>
        <v/>
      </c>
      <c r="BG63" s="1972">
        <f>SUM(OFFSET(INDEX(MO_CFS_CFO_BeforeWC,0,COLUMN()),1,0,ROW(INDEX(MO_CFS_CFO,0,COLUMN()))-ROW(INDEX(MO_CFS_CFO_BeforeWC,0,COLUMN()))-1,1))</f>
        <v/>
      </c>
      <c r="BH63" s="1972">
        <f>SUM(OFFSET(INDEX(MO_CFS_CFO_BeforeWC,0,COLUMN()),1,0,ROW(INDEX(MO_CFS_CFO,0,COLUMN()))-ROW(INDEX(MO_CFS_CFO_BeforeWC,0,COLUMN()))-1,1))</f>
        <v/>
      </c>
      <c r="BI63" s="1972">
        <f>SUM(OFFSET(INDEX(MO_CFS_CFO_BeforeWC,0,COLUMN()),1,0,ROW(INDEX(MO_CFS_CFO,0,COLUMN()))-ROW(INDEX(MO_CFS_CFO_BeforeWC,0,COLUMN()))-1,1))</f>
        <v/>
      </c>
      <c r="BJ63" s="1960">
        <f>SUM(OFFSET(INDEX(MO_CFS_CFO_BeforeWC,0,COLUMN()),1,0,ROW(INDEX(MO_CFS_CFO,0,COLUMN()))-ROW(INDEX(MO_CFS_CFO_BeforeWC,0,COLUMN()))-1,1))</f>
        <v/>
      </c>
      <c r="BK63" s="1972">
        <f>SUM(OFFSET(INDEX(MO_CFS_CFO_BeforeWC,0,COLUMN()),1,0,ROW(INDEX(MO_CFS_CFO,0,COLUMN()))-ROW(INDEX(MO_CFS_CFO_BeforeWC,0,COLUMN()))-1,1))</f>
        <v/>
      </c>
      <c r="BL63" s="1972">
        <f>SUM(OFFSET(INDEX(MO_CFS_CFO_BeforeWC,0,COLUMN()),1,0,ROW(INDEX(MO_CFS_CFO,0,COLUMN()))-ROW(INDEX(MO_CFS_CFO_BeforeWC,0,COLUMN()))-1,1))</f>
        <v/>
      </c>
      <c r="BM63" s="1972">
        <f>SUM(OFFSET(INDEX(MO_CFS_CFO_BeforeWC,0,COLUMN()),1,0,ROW(INDEX(MO_CFS_CFO,0,COLUMN()))-ROW(INDEX(MO_CFS_CFO_BeforeWC,0,COLUMN()))-1,1))</f>
        <v/>
      </c>
      <c r="BN63" s="1972">
        <f>SUM(OFFSET(INDEX(MO_CFS_CFO_BeforeWC,0,COLUMN()),1,0,ROW(INDEX(MO_CFS_CFO,0,COLUMN()))-ROW(INDEX(MO_CFS_CFO_BeforeWC,0,COLUMN()))-1,1))</f>
        <v/>
      </c>
      <c r="BO63" s="1973">
        <f>SUM(OFFSET(INDEX(MO_CFS_CFO_BeforeWC,0,COLUMN()),1,0,ROW(INDEX(MO_CFS_CFO,0,COLUMN()))-ROW(INDEX(MO_CFS_CFO_BeforeWC,0,COLUMN()))-1,1))</f>
        <v/>
      </c>
      <c r="BP63" s="1972">
        <f>SUM(OFFSET(INDEX(MO_CFS_CFO_BeforeWC,0,COLUMN()),1,0,ROW(INDEX(MO_CFS_CFO,0,COLUMN()))-ROW(INDEX(MO_CFS_CFO_BeforeWC,0,COLUMN()))-1,1))</f>
        <v/>
      </c>
      <c r="BQ63" s="1972">
        <f>SUM(OFFSET(INDEX(MO_CFS_CFO_BeforeWC,0,COLUMN()),1,0,ROW(INDEX(MO_CFS_CFO,0,COLUMN()))-ROW(INDEX(MO_CFS_CFO_BeforeWC,0,COLUMN()))-1,1))</f>
        <v/>
      </c>
      <c r="BR63" s="1972">
        <f>SUM(OFFSET(INDEX(MO_CFS_CFO_BeforeWC,0,COLUMN()),1,0,ROW(INDEX(MO_CFS_CFO,0,COLUMN()))-ROW(INDEX(MO_CFS_CFO_BeforeWC,0,COLUMN()))-1,1))</f>
        <v/>
      </c>
      <c r="BS63" s="1972">
        <f>SUM(OFFSET(INDEX(MO_CFS_CFO_BeforeWC,0,COLUMN()),1,0,ROW(INDEX(MO_CFS_CFO,0,COLUMN()))-ROW(INDEX(MO_CFS_CFO_BeforeWC,0,COLUMN()))-1,1))</f>
        <v/>
      </c>
      <c r="BT63" s="1960">
        <f>SUM(OFFSET(INDEX(MO_CFS_CFO_BeforeWC,0,COLUMN()),1,0,ROW(INDEX(MO_CFS_CFO,0,COLUMN()))-ROW(INDEX(MO_CFS_CFO_BeforeWC,0,COLUMN()))-1,1))</f>
        <v/>
      </c>
      <c r="BU63" s="1972">
        <f>SUM(OFFSET(INDEX(MO_CFS_CFO_BeforeWC,0,COLUMN()),1,0,ROW(INDEX(MO_CFS_CFO,0,COLUMN()))-ROW(INDEX(MO_CFS_CFO_BeforeWC,0,COLUMN()))-1,1))</f>
        <v/>
      </c>
      <c r="BV63" s="1972">
        <f>SUM(OFFSET(INDEX(MO_CFS_CFO_BeforeWC,0,COLUMN()),1,0,ROW(INDEX(MO_CFS_CFO,0,COLUMN()))-ROW(INDEX(MO_CFS_CFO_BeforeWC,0,COLUMN()))-1,1))</f>
        <v/>
      </c>
      <c r="BW63" s="1972">
        <f>SUM(OFFSET(INDEX(MO_CFS_CFO_BeforeWC,0,COLUMN()),1,0,ROW(INDEX(MO_CFS_CFO,0,COLUMN()))-ROW(INDEX(MO_CFS_CFO_BeforeWC,0,COLUMN()))-1,1))</f>
        <v/>
      </c>
      <c r="BX63" s="1972">
        <f>SUM(OFFSET(INDEX(MO_CFS_CFO_BeforeWC,0,COLUMN()),1,0,ROW(INDEX(MO_CFS_CFO,0,COLUMN()))-ROW(INDEX(MO_CFS_CFO_BeforeWC,0,COLUMN()))-1,1))</f>
        <v/>
      </c>
      <c r="BY63" s="1960">
        <f>SUM(OFFSET(INDEX(MO_CFS_CFO_BeforeWC,0,COLUMN()),1,0,ROW(INDEX(MO_CFS_CFO,0,COLUMN()))-ROW(INDEX(MO_CFS_CFO_BeforeWC,0,COLUMN()))-1,1))</f>
        <v/>
      </c>
      <c r="BZ63" s="1960">
        <f>SUM(OFFSET(INDEX(MO_CFS_CFO_BeforeWC,0,COLUMN()),1,0,ROW(INDEX(MO_CFS_CFO,0,COLUMN()))-ROW(INDEX(MO_CFS_CFO_BeforeWC,0,COLUMN()))-1,1))</f>
        <v/>
      </c>
      <c r="CA63" s="1960">
        <f>SUM(OFFSET(INDEX(MO_CFS_CFO_BeforeWC,0,COLUMN()),1,0,ROW(INDEX(MO_CFS_CFO,0,COLUMN()))-ROW(INDEX(MO_CFS_CFO_BeforeWC,0,COLUMN()))-1,1))</f>
        <v/>
      </c>
      <c r="CB63" s="1960">
        <f>SUM(OFFSET(INDEX(MO_CFS_CFO_BeforeWC,0,COLUMN()),1,0,ROW(INDEX(MO_CFS_CFO,0,COLUMN()))-ROW(INDEX(MO_CFS_CFO_BeforeWC,0,COLUMN()))-1,1))</f>
        <v/>
      </c>
      <c r="CC63" s="1301" t="n"/>
    </row>
    <row r="64" collapsed="1" ht="14.4" customFormat="1" customHeight="1" s="1974">
      <c r="A64" s="1949" t="inlineStr">
        <is>
          <t>Operating Cash Flow after WC</t>
        </is>
      </c>
      <c r="B64" s="1975" t="n"/>
      <c r="C64" s="1976">
        <f>SUM(C62:C63)</f>
        <v/>
      </c>
      <c r="D64" s="1976">
        <f>SUM(D62:D63)</f>
        <v/>
      </c>
      <c r="E64" s="1976">
        <f>SUM(E62:E63)</f>
        <v/>
      </c>
      <c r="F64" s="1976">
        <f>SUM(F62:F63)</f>
        <v/>
      </c>
      <c r="G64" s="1976">
        <f>SUM(G62:G63)</f>
        <v/>
      </c>
      <c r="H64" s="1977">
        <f>SUM(H62:H63)</f>
        <v/>
      </c>
      <c r="I64" s="1977">
        <f>SUM(I62:I63)</f>
        <v/>
      </c>
      <c r="J64" s="1977">
        <f>SUM(J62:J63)</f>
        <v/>
      </c>
      <c r="K64" s="1977">
        <f>SUM(K62:K63)</f>
        <v/>
      </c>
      <c r="L64" s="1976">
        <f>SUM(L62:L63)</f>
        <v/>
      </c>
      <c r="M64" s="1977">
        <f>SUM(M62:M63)</f>
        <v/>
      </c>
      <c r="N64" s="1977">
        <f>SUM(N62:N63)</f>
        <v/>
      </c>
      <c r="O64" s="1977">
        <f>SUM(O62:O63)</f>
        <v/>
      </c>
      <c r="P64" s="1977">
        <f>SUM(P62:P63)</f>
        <v/>
      </c>
      <c r="Q64" s="1976">
        <f>SUM(Q62:Q63)</f>
        <v/>
      </c>
      <c r="R64" s="1977">
        <f>SUM(R62:R63)</f>
        <v/>
      </c>
      <c r="S64" s="1977">
        <f>SUM(S62:S63)</f>
        <v/>
      </c>
      <c r="T64" s="1977">
        <f>SUM(T62:T63)</f>
        <v/>
      </c>
      <c r="U64" s="1977">
        <f>SUM(U62:U63)</f>
        <v/>
      </c>
      <c r="V64" s="1976">
        <f>SUM(V62:V63)</f>
        <v/>
      </c>
      <c r="W64" s="1977">
        <f>SUM(W62:W63)</f>
        <v/>
      </c>
      <c r="X64" s="1977">
        <f>SUM(X62:X63)</f>
        <v/>
      </c>
      <c r="Y64" s="1977">
        <f>SUM(Y62:Y63)</f>
        <v/>
      </c>
      <c r="Z64" s="1977">
        <f>SUM(Z62:Z63)</f>
        <v/>
      </c>
      <c r="AA64" s="1976">
        <f>SUM(AA62:AA63)</f>
        <v/>
      </c>
      <c r="AB64" s="1977">
        <f>SUM(AB62:AB63)</f>
        <v/>
      </c>
      <c r="AC64" s="1977">
        <f>SUM(AC62:AC63)</f>
        <v/>
      </c>
      <c r="AD64" s="1977">
        <f>SUM(AD62:AD63)</f>
        <v/>
      </c>
      <c r="AE64" s="1977">
        <f>SUM(AE62:AE63)</f>
        <v/>
      </c>
      <c r="AF64" s="1976">
        <f>SUM(AF62:AF63)</f>
        <v/>
      </c>
      <c r="AG64" s="1977">
        <f>SUM(AG62:AG63)</f>
        <v/>
      </c>
      <c r="AH64" s="1977">
        <f>SUM(AH62:AH63)</f>
        <v/>
      </c>
      <c r="AI64" s="1977">
        <f>SUM(AI62:AI63)</f>
        <v/>
      </c>
      <c r="AJ64" s="1977">
        <f>SUM(AJ62:AJ63)</f>
        <v/>
      </c>
      <c r="AK64" s="1976">
        <f>SUM(AK62:AK63)</f>
        <v/>
      </c>
      <c r="AL64" s="1977">
        <f>SUM(AL62:AL63)</f>
        <v/>
      </c>
      <c r="AM64" s="1977">
        <f>SUM(AM62:AM63)</f>
        <v/>
      </c>
      <c r="AN64" s="1977">
        <f>SUM(AN62:AN63)</f>
        <v/>
      </c>
      <c r="AO64" s="1977">
        <f>SUM(AO62:AO63)</f>
        <v/>
      </c>
      <c r="AP64" s="1976">
        <f>SUM(AP62:AP63)</f>
        <v/>
      </c>
      <c r="AQ64" s="1977">
        <f>SUM(AQ62:AQ63)</f>
        <v/>
      </c>
      <c r="AR64" s="1977">
        <f>SUM(AR62:AR63)</f>
        <v/>
      </c>
      <c r="AS64" s="1977">
        <f>SUM(AS62:AS63)</f>
        <v/>
      </c>
      <c r="AT64" s="1977">
        <f>SUM(AT62:AT63)</f>
        <v/>
      </c>
      <c r="AU64" s="1976">
        <f>SUM(AU62:AU63)</f>
        <v/>
      </c>
      <c r="AV64" s="1977">
        <f>SUM(AV62:AV63)</f>
        <v/>
      </c>
      <c r="AW64" s="1977">
        <f>SUM(AW62:AW63)</f>
        <v/>
      </c>
      <c r="AX64" s="1977">
        <f>SUM(AX62:AX63)</f>
        <v/>
      </c>
      <c r="AY64" s="1977">
        <f>SUM(AY62:AY63)</f>
        <v/>
      </c>
      <c r="AZ64" s="1976">
        <f>SUM(AZ62:AZ63)</f>
        <v/>
      </c>
      <c r="BA64" s="1977">
        <f>SUM(BA62:BA63)</f>
        <v/>
      </c>
      <c r="BB64" s="1977">
        <f>SUM(BB62:BB63)</f>
        <v/>
      </c>
      <c r="BC64" s="1977">
        <f>SUM(BC62:BC63)</f>
        <v/>
      </c>
      <c r="BD64" s="1977">
        <f>SUM(BD62:BD63)</f>
        <v/>
      </c>
      <c r="BE64" s="1976">
        <f>SUM(BE62:BE63)</f>
        <v/>
      </c>
      <c r="BF64" s="1977">
        <f>SUM(BF62:BF63)</f>
        <v/>
      </c>
      <c r="BG64" s="1977">
        <f>SUM(BG62:BG63)</f>
        <v/>
      </c>
      <c r="BH64" s="1977">
        <f>SUM(BH62:BH63)</f>
        <v/>
      </c>
      <c r="BI64" s="1977">
        <f>SUM(BI62:BI63)</f>
        <v/>
      </c>
      <c r="BJ64" s="1976">
        <f>SUM(BJ62:BJ63)</f>
        <v/>
      </c>
      <c r="BK64" s="1977">
        <f>SUM(BK62:BK63)</f>
        <v/>
      </c>
      <c r="BL64" s="1977">
        <f>SUM(BL62:BL63)</f>
        <v/>
      </c>
      <c r="BM64" s="1977">
        <f>SUM(BM62:BM63)</f>
        <v/>
      </c>
      <c r="BN64" s="1977">
        <f>SUM(BN62:BN63)</f>
        <v/>
      </c>
      <c r="BO64" s="1978">
        <f>SUM(BO62:BO63)</f>
        <v/>
      </c>
      <c r="BP64" s="1977">
        <f>SUM(BP62:BP63)</f>
        <v/>
      </c>
      <c r="BQ64" s="1977">
        <f>SUM(BQ62:BQ63)</f>
        <v/>
      </c>
      <c r="BR64" s="1977">
        <f>SUM(BR62:BR63)</f>
        <v/>
      </c>
      <c r="BS64" s="1977">
        <f>SUM(BS62:BS63)</f>
        <v/>
      </c>
      <c r="BT64" s="1976">
        <f>SUM(BT62:BT63)</f>
        <v/>
      </c>
      <c r="BU64" s="1977">
        <f>SUM(BU62:BU63)</f>
        <v/>
      </c>
      <c r="BV64" s="1977">
        <f>SUM(BV62:BV63)</f>
        <v/>
      </c>
      <c r="BW64" s="1977">
        <f>SUM(BW62:BW63)</f>
        <v/>
      </c>
      <c r="BX64" s="1977">
        <f>SUM(BX62:BX63)</f>
        <v/>
      </c>
      <c r="BY64" s="1976">
        <f>SUM(BY62:BY63)</f>
        <v/>
      </c>
      <c r="BZ64" s="1976">
        <f>SUM(BZ62:BZ63)</f>
        <v/>
      </c>
      <c r="CA64" s="1976">
        <f>SUM(CA62:CA63)</f>
        <v/>
      </c>
      <c r="CB64" s="1976">
        <f>SUM(CB62:CB63)</f>
        <v/>
      </c>
      <c r="CC64" s="1301" t="n"/>
    </row>
    <row r="65" ht="14.4" customFormat="1" customHeight="1" s="1939">
      <c r="A65" s="1955">
        <f>INDEX(MO_CFSum_Capex,0,COLUMN())</f>
        <v/>
      </c>
      <c r="B65" s="1971" t="n"/>
      <c r="C65" s="1960">
        <f>INDEX(MO_CFSum_Capex,0,COLUMN())</f>
        <v/>
      </c>
      <c r="D65" s="1960">
        <f>INDEX(MO_CFSum_Capex,0,COLUMN())</f>
        <v/>
      </c>
      <c r="E65" s="1960">
        <f>INDEX(MO_CFSum_Capex,0,COLUMN())</f>
        <v/>
      </c>
      <c r="F65" s="1960">
        <f>INDEX(MO_CFSum_Capex,0,COLUMN())</f>
        <v/>
      </c>
      <c r="G65" s="1960">
        <f>INDEX(MO_CFSum_Capex,0,COLUMN())</f>
        <v/>
      </c>
      <c r="H65" s="1972">
        <f>INDEX(MO_CFSum_Capex,0,COLUMN())</f>
        <v/>
      </c>
      <c r="I65" s="1972">
        <f>INDEX(MO_CFSum_Capex,0,COLUMN())</f>
        <v/>
      </c>
      <c r="J65" s="1972">
        <f>INDEX(MO_CFSum_Capex,0,COLUMN())</f>
        <v/>
      </c>
      <c r="K65" s="1972">
        <f>INDEX(MO_CFSum_Capex,0,COLUMN())</f>
        <v/>
      </c>
      <c r="L65" s="1960">
        <f>INDEX(MO_CFSum_Capex,0,COLUMN())</f>
        <v/>
      </c>
      <c r="M65" s="1972">
        <f>INDEX(MO_CFSum_Capex,0,COLUMN())</f>
        <v/>
      </c>
      <c r="N65" s="1972">
        <f>INDEX(MO_CFSum_Capex,0,COLUMN())</f>
        <v/>
      </c>
      <c r="O65" s="1972">
        <f>INDEX(MO_CFSum_Capex,0,COLUMN())</f>
        <v/>
      </c>
      <c r="P65" s="1972">
        <f>INDEX(MO_CFSum_Capex,0,COLUMN())</f>
        <v/>
      </c>
      <c r="Q65" s="1960">
        <f>INDEX(MO_CFSum_Capex,0,COLUMN())</f>
        <v/>
      </c>
      <c r="R65" s="1972">
        <f>INDEX(MO_CFSum_Capex,0,COLUMN())</f>
        <v/>
      </c>
      <c r="S65" s="1972">
        <f>INDEX(MO_CFSum_Capex,0,COLUMN())</f>
        <v/>
      </c>
      <c r="T65" s="1972">
        <f>INDEX(MO_CFSum_Capex,0,COLUMN())</f>
        <v/>
      </c>
      <c r="U65" s="1972">
        <f>INDEX(MO_CFSum_Capex,0,COLUMN())</f>
        <v/>
      </c>
      <c r="V65" s="1960">
        <f>INDEX(MO_CFSum_Capex,0,COLUMN())</f>
        <v/>
      </c>
      <c r="W65" s="1972">
        <f>INDEX(MO_CFSum_Capex,0,COLUMN())</f>
        <v/>
      </c>
      <c r="X65" s="1972">
        <f>INDEX(MO_CFSum_Capex,0,COLUMN())</f>
        <v/>
      </c>
      <c r="Y65" s="1972">
        <f>INDEX(MO_CFSum_Capex,0,COLUMN())</f>
        <v/>
      </c>
      <c r="Z65" s="1972">
        <f>INDEX(MO_CFSum_Capex,0,COLUMN())</f>
        <v/>
      </c>
      <c r="AA65" s="1960">
        <f>INDEX(MO_CFSum_Capex,0,COLUMN())</f>
        <v/>
      </c>
      <c r="AB65" s="1972">
        <f>INDEX(MO_CFSum_Capex,0,COLUMN())</f>
        <v/>
      </c>
      <c r="AC65" s="1972">
        <f>INDEX(MO_CFSum_Capex,0,COLUMN())</f>
        <v/>
      </c>
      <c r="AD65" s="1972">
        <f>INDEX(MO_CFSum_Capex,0,COLUMN())</f>
        <v/>
      </c>
      <c r="AE65" s="1972">
        <f>INDEX(MO_CFSum_Capex,0,COLUMN())</f>
        <v/>
      </c>
      <c r="AF65" s="1960">
        <f>INDEX(MO_CFSum_Capex,0,COLUMN())</f>
        <v/>
      </c>
      <c r="AG65" s="1972">
        <f>INDEX(MO_CFSum_Capex,0,COLUMN())</f>
        <v/>
      </c>
      <c r="AH65" s="1972">
        <f>INDEX(MO_CFSum_Capex,0,COLUMN())</f>
        <v/>
      </c>
      <c r="AI65" s="1972">
        <f>INDEX(MO_CFSum_Capex,0,COLUMN())</f>
        <v/>
      </c>
      <c r="AJ65" s="1972">
        <f>INDEX(MO_CFSum_Capex,0,COLUMN())</f>
        <v/>
      </c>
      <c r="AK65" s="1960">
        <f>INDEX(MO_CFSum_Capex,0,COLUMN())</f>
        <v/>
      </c>
      <c r="AL65" s="1972">
        <f>INDEX(MO_CFSum_Capex,0,COLUMN())</f>
        <v/>
      </c>
      <c r="AM65" s="1972">
        <f>INDEX(MO_CFSum_Capex,0,COLUMN())</f>
        <v/>
      </c>
      <c r="AN65" s="1972">
        <f>INDEX(MO_CFSum_Capex,0,COLUMN())</f>
        <v/>
      </c>
      <c r="AO65" s="1972">
        <f>INDEX(MO_CFSum_Capex,0,COLUMN())</f>
        <v/>
      </c>
      <c r="AP65" s="1960">
        <f>INDEX(MO_CFSum_Capex,0,COLUMN())</f>
        <v/>
      </c>
      <c r="AQ65" s="1972">
        <f>INDEX(MO_CFSum_Capex,0,COLUMN())</f>
        <v/>
      </c>
      <c r="AR65" s="1972">
        <f>INDEX(MO_CFSum_Capex,0,COLUMN())</f>
        <v/>
      </c>
      <c r="AS65" s="1972">
        <f>INDEX(MO_CFSum_Capex,0,COLUMN())</f>
        <v/>
      </c>
      <c r="AT65" s="1972">
        <f>INDEX(MO_CFSum_Capex,0,COLUMN())</f>
        <v/>
      </c>
      <c r="AU65" s="1960">
        <f>INDEX(MO_CFSum_Capex,0,COLUMN())</f>
        <v/>
      </c>
      <c r="AV65" s="1972">
        <f>INDEX(MO_CFSum_Capex,0,COLUMN())</f>
        <v/>
      </c>
      <c r="AW65" s="1972">
        <f>INDEX(MO_CFSum_Capex,0,COLUMN())</f>
        <v/>
      </c>
      <c r="AX65" s="1972">
        <f>INDEX(MO_CFSum_Capex,0,COLUMN())</f>
        <v/>
      </c>
      <c r="AY65" s="1972">
        <f>INDEX(MO_CFSum_Capex,0,COLUMN())</f>
        <v/>
      </c>
      <c r="AZ65" s="1960">
        <f>INDEX(MO_CFSum_Capex,0,COLUMN())</f>
        <v/>
      </c>
      <c r="BA65" s="1972">
        <f>INDEX(MO_CFSum_Capex,0,COLUMN())</f>
        <v/>
      </c>
      <c r="BB65" s="1972">
        <f>INDEX(MO_CFSum_Capex,0,COLUMN())</f>
        <v/>
      </c>
      <c r="BC65" s="1972">
        <f>INDEX(MO_CFSum_Capex,0,COLUMN())</f>
        <v/>
      </c>
      <c r="BD65" s="1972">
        <f>INDEX(MO_CFSum_Capex,0,COLUMN())</f>
        <v/>
      </c>
      <c r="BE65" s="1960">
        <f>INDEX(MO_CFSum_Capex,0,COLUMN())</f>
        <v/>
      </c>
      <c r="BF65" s="1972">
        <f>INDEX(MO_CFSum_Capex,0,COLUMN())</f>
        <v/>
      </c>
      <c r="BG65" s="1972">
        <f>INDEX(MO_CFSum_Capex,0,COLUMN())</f>
        <v/>
      </c>
      <c r="BH65" s="1972">
        <f>INDEX(MO_CFSum_Capex,0,COLUMN())</f>
        <v/>
      </c>
      <c r="BI65" s="1972">
        <f>INDEX(MO_CFSum_Capex,0,COLUMN())</f>
        <v/>
      </c>
      <c r="BJ65" s="1960">
        <f>INDEX(MO_CFSum_Capex,0,COLUMN())</f>
        <v/>
      </c>
      <c r="BK65" s="1972">
        <f>INDEX(MO_CFSum_Capex,0,COLUMN())</f>
        <v/>
      </c>
      <c r="BL65" s="1972">
        <f>INDEX(MO_CFSum_Capex,0,COLUMN())</f>
        <v/>
      </c>
      <c r="BM65" s="1972">
        <f>INDEX(MO_CFSum_Capex,0,COLUMN())</f>
        <v/>
      </c>
      <c r="BN65" s="1972">
        <f>INDEX(MO_CFSum_Capex,0,COLUMN())</f>
        <v/>
      </c>
      <c r="BO65" s="1973">
        <f>INDEX(MO_CFSum_Capex,0,COLUMN())</f>
        <v/>
      </c>
      <c r="BP65" s="1972">
        <f>INDEX(MO_CFSum_Capex,0,COLUMN())</f>
        <v/>
      </c>
      <c r="BQ65" s="1972">
        <f>INDEX(MO_CFSum_Capex,0,COLUMN())</f>
        <v/>
      </c>
      <c r="BR65" s="1972">
        <f>INDEX(MO_CFSum_Capex,0,COLUMN())</f>
        <v/>
      </c>
      <c r="BS65" s="1972">
        <f>INDEX(MO_CFSum_Capex,0,COLUMN())</f>
        <v/>
      </c>
      <c r="BT65" s="1960">
        <f>INDEX(MO_CFSum_Capex,0,COLUMN())</f>
        <v/>
      </c>
      <c r="BU65" s="1972">
        <f>INDEX(MO_CFSum_Capex,0,COLUMN())</f>
        <v/>
      </c>
      <c r="BV65" s="1972">
        <f>INDEX(MO_CFSum_Capex,0,COLUMN())</f>
        <v/>
      </c>
      <c r="BW65" s="1972">
        <f>INDEX(MO_CFSum_Capex,0,COLUMN())</f>
        <v/>
      </c>
      <c r="BX65" s="1972">
        <f>INDEX(MO_CFSum_Capex,0,COLUMN())</f>
        <v/>
      </c>
      <c r="BY65" s="1960">
        <f>INDEX(MO_CFSum_Capex,0,COLUMN())</f>
        <v/>
      </c>
      <c r="BZ65" s="1960">
        <f>INDEX(MO_CFSum_Capex,0,COLUMN())</f>
        <v/>
      </c>
      <c r="CA65" s="1960">
        <f>INDEX(MO_CFSum_Capex,0,COLUMN())</f>
        <v/>
      </c>
      <c r="CB65" s="1960">
        <f>INDEX(MO_CFSum_Capex,0,COLUMN())</f>
        <v/>
      </c>
      <c r="CC65" s="1301" t="n"/>
    </row>
    <row r="66" ht="14.4" customFormat="1" customHeight="1" s="1974">
      <c r="A66" s="2003" t="inlineStr">
        <is>
          <t>Core FCF, Pre Div</t>
        </is>
      </c>
      <c r="B66" s="2004" t="n"/>
      <c r="C66" s="2005">
        <f>SUM(C64:C65)</f>
        <v/>
      </c>
      <c r="D66" s="2005">
        <f>SUM(D64:D65)</f>
        <v/>
      </c>
      <c r="E66" s="2005">
        <f>SUM(E64:E65)</f>
        <v/>
      </c>
      <c r="F66" s="2005">
        <f>SUM(F64:F65)</f>
        <v/>
      </c>
      <c r="G66" s="2005">
        <f>SUM(G64:G65)</f>
        <v/>
      </c>
      <c r="H66" s="2006">
        <f>SUM(H64:H65)</f>
        <v/>
      </c>
      <c r="I66" s="2006">
        <f>SUM(I64:I65)</f>
        <v/>
      </c>
      <c r="J66" s="2006">
        <f>SUM(J64:J65)</f>
        <v/>
      </c>
      <c r="K66" s="2006">
        <f>SUM(K64:K65)</f>
        <v/>
      </c>
      <c r="L66" s="2005">
        <f>SUM(L64:L65)</f>
        <v/>
      </c>
      <c r="M66" s="2006">
        <f>SUM(M64:M65)</f>
        <v/>
      </c>
      <c r="N66" s="2006">
        <f>SUM(N64:N65)</f>
        <v/>
      </c>
      <c r="O66" s="2006">
        <f>SUM(O64:O65)</f>
        <v/>
      </c>
      <c r="P66" s="2006">
        <f>SUM(P64:P65)</f>
        <v/>
      </c>
      <c r="Q66" s="2005">
        <f>SUM(Q64:Q65)</f>
        <v/>
      </c>
      <c r="R66" s="2006">
        <f>SUM(R64:R65)</f>
        <v/>
      </c>
      <c r="S66" s="2006">
        <f>SUM(S64:S65)</f>
        <v/>
      </c>
      <c r="T66" s="2006">
        <f>SUM(T64:T65)</f>
        <v/>
      </c>
      <c r="U66" s="2006">
        <f>SUM(U64:U65)</f>
        <v/>
      </c>
      <c r="V66" s="2005">
        <f>SUM(V64:V65)</f>
        <v/>
      </c>
      <c r="W66" s="2006">
        <f>SUM(W64:W65)</f>
        <v/>
      </c>
      <c r="X66" s="2006">
        <f>SUM(X64:X65)</f>
        <v/>
      </c>
      <c r="Y66" s="2006">
        <f>SUM(Y64:Y65)</f>
        <v/>
      </c>
      <c r="Z66" s="2006">
        <f>SUM(Z64:Z65)</f>
        <v/>
      </c>
      <c r="AA66" s="2005">
        <f>SUM(AA64:AA65)</f>
        <v/>
      </c>
      <c r="AB66" s="2006">
        <f>SUM(AB64:AB65)</f>
        <v/>
      </c>
      <c r="AC66" s="2006">
        <f>SUM(AC64:AC65)</f>
        <v/>
      </c>
      <c r="AD66" s="2006">
        <f>SUM(AD64:AD65)</f>
        <v/>
      </c>
      <c r="AE66" s="2006">
        <f>SUM(AE64:AE65)</f>
        <v/>
      </c>
      <c r="AF66" s="2005">
        <f>SUM(AF64:AF65)</f>
        <v/>
      </c>
      <c r="AG66" s="2006">
        <f>SUM(AG64:AG65)</f>
        <v/>
      </c>
      <c r="AH66" s="2006">
        <f>SUM(AH64:AH65)</f>
        <v/>
      </c>
      <c r="AI66" s="2006">
        <f>SUM(AI64:AI65)</f>
        <v/>
      </c>
      <c r="AJ66" s="2006">
        <f>SUM(AJ64:AJ65)</f>
        <v/>
      </c>
      <c r="AK66" s="2005">
        <f>SUM(AK64:AK65)</f>
        <v/>
      </c>
      <c r="AL66" s="2006">
        <f>SUM(AL64:AL65)</f>
        <v/>
      </c>
      <c r="AM66" s="2006">
        <f>SUM(AM64:AM65)</f>
        <v/>
      </c>
      <c r="AN66" s="2006">
        <f>SUM(AN64:AN65)</f>
        <v/>
      </c>
      <c r="AO66" s="2006">
        <f>SUM(AO64:AO65)</f>
        <v/>
      </c>
      <c r="AP66" s="2005">
        <f>SUM(AP64:AP65)</f>
        <v/>
      </c>
      <c r="AQ66" s="2006">
        <f>SUM(AQ64:AQ65)</f>
        <v/>
      </c>
      <c r="AR66" s="2006">
        <f>SUM(AR64:AR65)</f>
        <v/>
      </c>
      <c r="AS66" s="2006">
        <f>SUM(AS64:AS65)</f>
        <v/>
      </c>
      <c r="AT66" s="2006">
        <f>SUM(AT64:AT65)</f>
        <v/>
      </c>
      <c r="AU66" s="2005">
        <f>SUM(AU64:AU65)</f>
        <v/>
      </c>
      <c r="AV66" s="2006">
        <f>SUM(AV64:AV65)</f>
        <v/>
      </c>
      <c r="AW66" s="2006">
        <f>SUM(AW64:AW65)</f>
        <v/>
      </c>
      <c r="AX66" s="2006">
        <f>SUM(AX64:AX65)</f>
        <v/>
      </c>
      <c r="AY66" s="2006">
        <f>SUM(AY64:AY65)</f>
        <v/>
      </c>
      <c r="AZ66" s="2005">
        <f>SUM(AZ64:AZ65)</f>
        <v/>
      </c>
      <c r="BA66" s="2006">
        <f>SUM(BA64:BA65)</f>
        <v/>
      </c>
      <c r="BB66" s="2006">
        <f>SUM(BB64:BB65)</f>
        <v/>
      </c>
      <c r="BC66" s="2006">
        <f>SUM(BC64:BC65)</f>
        <v/>
      </c>
      <c r="BD66" s="2006">
        <f>SUM(BD64:BD65)</f>
        <v/>
      </c>
      <c r="BE66" s="2005">
        <f>SUM(BE64:BE65)</f>
        <v/>
      </c>
      <c r="BF66" s="2006">
        <f>SUM(BF64:BF65)</f>
        <v/>
      </c>
      <c r="BG66" s="2006">
        <f>SUM(BG64:BG65)</f>
        <v/>
      </c>
      <c r="BH66" s="2006">
        <f>SUM(BH64:BH65)</f>
        <v/>
      </c>
      <c r="BI66" s="2006">
        <f>SUM(BI64:BI65)</f>
        <v/>
      </c>
      <c r="BJ66" s="2005">
        <f>SUM(BJ64:BJ65)</f>
        <v/>
      </c>
      <c r="BK66" s="2006">
        <f>SUM(BK64:BK65)</f>
        <v/>
      </c>
      <c r="BL66" s="2006">
        <f>SUM(BL64:BL65)</f>
        <v/>
      </c>
      <c r="BM66" s="2006">
        <f>SUM(BM64:BM65)</f>
        <v/>
      </c>
      <c r="BN66" s="2006">
        <f>SUM(BN64:BN65)</f>
        <v/>
      </c>
      <c r="BO66" s="2007">
        <f>SUM(BO64:BO65)</f>
        <v/>
      </c>
      <c r="BP66" s="2006">
        <f>SUM(BP64:BP65)</f>
        <v/>
      </c>
      <c r="BQ66" s="2006">
        <f>SUM(BQ64:BQ65)</f>
        <v/>
      </c>
      <c r="BR66" s="2006">
        <f>SUM(BR64:BR65)</f>
        <v/>
      </c>
      <c r="BS66" s="2006">
        <f>SUM(BS64:BS65)</f>
        <v/>
      </c>
      <c r="BT66" s="2005">
        <f>SUM(BT64:BT65)</f>
        <v/>
      </c>
      <c r="BU66" s="2006">
        <f>SUM(BU64:BU65)</f>
        <v/>
      </c>
      <c r="BV66" s="2006">
        <f>SUM(BV64:BV65)</f>
        <v/>
      </c>
      <c r="BW66" s="2006">
        <f>SUM(BW64:BW65)</f>
        <v/>
      </c>
      <c r="BX66" s="2006">
        <f>SUM(BX64:BX65)</f>
        <v/>
      </c>
      <c r="BY66" s="2005">
        <f>SUM(BY64:BY65)</f>
        <v/>
      </c>
      <c r="BZ66" s="2005">
        <f>SUM(BZ64:BZ65)</f>
        <v/>
      </c>
      <c r="CA66" s="2005">
        <f>SUM(CA64:CA65)</f>
        <v/>
      </c>
      <c r="CB66" s="2005">
        <f>SUM(CB64:CB65)</f>
        <v/>
      </c>
      <c r="CC66" s="1977" t="n"/>
    </row>
    <row r="67" ht="14.4" customFormat="1" customHeight="1" s="1939">
      <c r="A67" s="1955">
        <f>INDEX(MO_CFSum_Dividend,0,COLUMN())</f>
        <v/>
      </c>
      <c r="B67" s="1971" t="n"/>
      <c r="C67" s="1960">
        <f>INDEX(MO_CFSum_Dividend,0,COLUMN())</f>
        <v/>
      </c>
      <c r="D67" s="1960">
        <f>INDEX(MO_CFSum_Dividend,0,COLUMN())</f>
        <v/>
      </c>
      <c r="E67" s="1960">
        <f>INDEX(MO_CFSum_Dividend,0,COLUMN())</f>
        <v/>
      </c>
      <c r="F67" s="1960">
        <f>INDEX(MO_CFSum_Dividend,0,COLUMN())</f>
        <v/>
      </c>
      <c r="G67" s="1960">
        <f>INDEX(MO_CFSum_Dividend,0,COLUMN())</f>
        <v/>
      </c>
      <c r="H67" s="1972">
        <f>INDEX(MO_CFSum_Dividend,0,COLUMN())</f>
        <v/>
      </c>
      <c r="I67" s="1972">
        <f>INDEX(MO_CFSum_Dividend,0,COLUMN())</f>
        <v/>
      </c>
      <c r="J67" s="1972">
        <f>INDEX(MO_CFSum_Dividend,0,COLUMN())</f>
        <v/>
      </c>
      <c r="K67" s="1972">
        <f>INDEX(MO_CFSum_Dividend,0,COLUMN())</f>
        <v/>
      </c>
      <c r="L67" s="1960">
        <f>INDEX(MO_CFSum_Dividend,0,COLUMN())</f>
        <v/>
      </c>
      <c r="M67" s="1972">
        <f>INDEX(MO_CFSum_Dividend,0,COLUMN())</f>
        <v/>
      </c>
      <c r="N67" s="1972">
        <f>INDEX(MO_CFSum_Dividend,0,COLUMN())</f>
        <v/>
      </c>
      <c r="O67" s="1972">
        <f>INDEX(MO_CFSum_Dividend,0,COLUMN())</f>
        <v/>
      </c>
      <c r="P67" s="1972">
        <f>INDEX(MO_CFSum_Dividend,0,COLUMN())</f>
        <v/>
      </c>
      <c r="Q67" s="1960">
        <f>INDEX(MO_CFSum_Dividend,0,COLUMN())</f>
        <v/>
      </c>
      <c r="R67" s="1972">
        <f>INDEX(MO_CFSum_Dividend,0,COLUMN())</f>
        <v/>
      </c>
      <c r="S67" s="1972">
        <f>INDEX(MO_CFSum_Dividend,0,COLUMN())</f>
        <v/>
      </c>
      <c r="T67" s="1972">
        <f>INDEX(MO_CFSum_Dividend,0,COLUMN())</f>
        <v/>
      </c>
      <c r="U67" s="1972">
        <f>INDEX(MO_CFSum_Dividend,0,COLUMN())</f>
        <v/>
      </c>
      <c r="V67" s="1960">
        <f>INDEX(MO_CFSum_Dividend,0,COLUMN())</f>
        <v/>
      </c>
      <c r="W67" s="1972">
        <f>INDEX(MO_CFSum_Dividend,0,COLUMN())</f>
        <v/>
      </c>
      <c r="X67" s="1972">
        <f>INDEX(MO_CFSum_Dividend,0,COLUMN())</f>
        <v/>
      </c>
      <c r="Y67" s="1972">
        <f>INDEX(MO_CFSum_Dividend,0,COLUMN())</f>
        <v/>
      </c>
      <c r="Z67" s="1972">
        <f>INDEX(MO_CFSum_Dividend,0,COLUMN())</f>
        <v/>
      </c>
      <c r="AA67" s="1960">
        <f>INDEX(MO_CFSum_Dividend,0,COLUMN())</f>
        <v/>
      </c>
      <c r="AB67" s="1972">
        <f>INDEX(MO_CFSum_Dividend,0,COLUMN())</f>
        <v/>
      </c>
      <c r="AC67" s="1972">
        <f>INDEX(MO_CFSum_Dividend,0,COLUMN())</f>
        <v/>
      </c>
      <c r="AD67" s="1972">
        <f>INDEX(MO_CFSum_Dividend,0,COLUMN())</f>
        <v/>
      </c>
      <c r="AE67" s="1972">
        <f>INDEX(MO_CFSum_Dividend,0,COLUMN())</f>
        <v/>
      </c>
      <c r="AF67" s="1960">
        <f>INDEX(MO_CFSum_Dividend,0,COLUMN())</f>
        <v/>
      </c>
      <c r="AG67" s="1972">
        <f>INDEX(MO_CFSum_Dividend,0,COLUMN())</f>
        <v/>
      </c>
      <c r="AH67" s="1972">
        <f>INDEX(MO_CFSum_Dividend,0,COLUMN())</f>
        <v/>
      </c>
      <c r="AI67" s="1972">
        <f>INDEX(MO_CFSum_Dividend,0,COLUMN())</f>
        <v/>
      </c>
      <c r="AJ67" s="1972">
        <f>INDEX(MO_CFSum_Dividend,0,COLUMN())</f>
        <v/>
      </c>
      <c r="AK67" s="1960">
        <f>INDEX(MO_CFSum_Dividend,0,COLUMN())</f>
        <v/>
      </c>
      <c r="AL67" s="1972">
        <f>INDEX(MO_CFSum_Dividend,0,COLUMN())</f>
        <v/>
      </c>
      <c r="AM67" s="1972">
        <f>INDEX(MO_CFSum_Dividend,0,COLUMN())</f>
        <v/>
      </c>
      <c r="AN67" s="1972">
        <f>INDEX(MO_CFSum_Dividend,0,COLUMN())</f>
        <v/>
      </c>
      <c r="AO67" s="1972">
        <f>INDEX(MO_CFSum_Dividend,0,COLUMN())</f>
        <v/>
      </c>
      <c r="AP67" s="1960">
        <f>INDEX(MO_CFSum_Dividend,0,COLUMN())</f>
        <v/>
      </c>
      <c r="AQ67" s="1972">
        <f>INDEX(MO_CFSum_Dividend,0,COLUMN())</f>
        <v/>
      </c>
      <c r="AR67" s="1972">
        <f>INDEX(MO_CFSum_Dividend,0,COLUMN())</f>
        <v/>
      </c>
      <c r="AS67" s="1972">
        <f>INDEX(MO_CFSum_Dividend,0,COLUMN())</f>
        <v/>
      </c>
      <c r="AT67" s="1972">
        <f>INDEX(MO_CFSum_Dividend,0,COLUMN())</f>
        <v/>
      </c>
      <c r="AU67" s="1960">
        <f>INDEX(MO_CFSum_Dividend,0,COLUMN())</f>
        <v/>
      </c>
      <c r="AV67" s="1972">
        <f>INDEX(MO_CFSum_Dividend,0,COLUMN())</f>
        <v/>
      </c>
      <c r="AW67" s="1972">
        <f>INDEX(MO_CFSum_Dividend,0,COLUMN())</f>
        <v/>
      </c>
      <c r="AX67" s="1972">
        <f>INDEX(MO_CFSum_Dividend,0,COLUMN())</f>
        <v/>
      </c>
      <c r="AY67" s="1972">
        <f>INDEX(MO_CFSum_Dividend,0,COLUMN())</f>
        <v/>
      </c>
      <c r="AZ67" s="1960">
        <f>INDEX(MO_CFSum_Dividend,0,COLUMN())</f>
        <v/>
      </c>
      <c r="BA67" s="1972">
        <f>INDEX(MO_CFSum_Dividend,0,COLUMN())</f>
        <v/>
      </c>
      <c r="BB67" s="1972">
        <f>INDEX(MO_CFSum_Dividend,0,COLUMN())</f>
        <v/>
      </c>
      <c r="BC67" s="1972">
        <f>INDEX(MO_CFSum_Dividend,0,COLUMN())</f>
        <v/>
      </c>
      <c r="BD67" s="1972">
        <f>INDEX(MO_CFSum_Dividend,0,COLUMN())</f>
        <v/>
      </c>
      <c r="BE67" s="1960">
        <f>INDEX(MO_CFSum_Dividend,0,COLUMN())</f>
        <v/>
      </c>
      <c r="BF67" s="1972">
        <f>INDEX(MO_CFSum_Dividend,0,COLUMN())</f>
        <v/>
      </c>
      <c r="BG67" s="1972">
        <f>INDEX(MO_CFSum_Dividend,0,COLUMN())</f>
        <v/>
      </c>
      <c r="BH67" s="1972">
        <f>INDEX(MO_CFSum_Dividend,0,COLUMN())</f>
        <v/>
      </c>
      <c r="BI67" s="1972">
        <f>INDEX(MO_CFSum_Dividend,0,COLUMN())</f>
        <v/>
      </c>
      <c r="BJ67" s="1960">
        <f>INDEX(MO_CFSum_Dividend,0,COLUMN())</f>
        <v/>
      </c>
      <c r="BK67" s="1972">
        <f>INDEX(MO_CFSum_Dividend,0,COLUMN())</f>
        <v/>
      </c>
      <c r="BL67" s="1972">
        <f>INDEX(MO_CFSum_Dividend,0,COLUMN())</f>
        <v/>
      </c>
      <c r="BM67" s="1972">
        <f>INDEX(MO_CFSum_Dividend,0,COLUMN())</f>
        <v/>
      </c>
      <c r="BN67" s="1972">
        <f>INDEX(MO_CFSum_Dividend,0,COLUMN())</f>
        <v/>
      </c>
      <c r="BO67" s="1973">
        <f>INDEX(MO_CFSum_Dividend,0,COLUMN())</f>
        <v/>
      </c>
      <c r="BP67" s="1972">
        <f>INDEX(MO_CFSum_Dividend,0,COLUMN())</f>
        <v/>
      </c>
      <c r="BQ67" s="1972">
        <f>INDEX(MO_CFSum_Dividend,0,COLUMN())</f>
        <v/>
      </c>
      <c r="BR67" s="1972">
        <f>INDEX(MO_CFSum_Dividend,0,COLUMN())</f>
        <v/>
      </c>
      <c r="BS67" s="1972">
        <f>INDEX(MO_CFSum_Dividend,0,COLUMN())</f>
        <v/>
      </c>
      <c r="BT67" s="1960">
        <f>INDEX(MO_CFSum_Dividend,0,COLUMN())</f>
        <v/>
      </c>
      <c r="BU67" s="1972">
        <f>INDEX(MO_CFSum_Dividend,0,COLUMN())</f>
        <v/>
      </c>
      <c r="BV67" s="1972">
        <f>INDEX(MO_CFSum_Dividend,0,COLUMN())</f>
        <v/>
      </c>
      <c r="BW67" s="1972">
        <f>INDEX(MO_CFSum_Dividend,0,COLUMN())</f>
        <v/>
      </c>
      <c r="BX67" s="1972">
        <f>INDEX(MO_CFSum_Dividend,0,COLUMN())</f>
        <v/>
      </c>
      <c r="BY67" s="1960">
        <f>INDEX(MO_CFSum_Dividend,0,COLUMN())</f>
        <v/>
      </c>
      <c r="BZ67" s="1960">
        <f>INDEX(MO_CFSum_Dividend,0,COLUMN())</f>
        <v/>
      </c>
      <c r="CA67" s="1960">
        <f>INDEX(MO_CFSum_Dividend,0,COLUMN())</f>
        <v/>
      </c>
      <c r="CB67" s="1960">
        <f>INDEX(MO_CFSum_Dividend,0,COLUMN())</f>
        <v/>
      </c>
      <c r="CC67" s="1301" t="n"/>
    </row>
    <row r="68" ht="14.4" customFormat="1" customHeight="1" s="1974">
      <c r="A68" s="2003" t="inlineStr">
        <is>
          <t>Core FCF, Post Div</t>
        </is>
      </c>
      <c r="B68" s="2004" t="n"/>
      <c r="C68" s="2005">
        <f>SUM(C66:C67)</f>
        <v/>
      </c>
      <c r="D68" s="2005">
        <f>SUM(D66:D67)</f>
        <v/>
      </c>
      <c r="E68" s="2005">
        <f>SUM(E66:E67)</f>
        <v/>
      </c>
      <c r="F68" s="2005">
        <f>SUM(F66:F67)</f>
        <v/>
      </c>
      <c r="G68" s="2005">
        <f>SUM(G66:G67)</f>
        <v/>
      </c>
      <c r="H68" s="2006">
        <f>SUM(H66:H67)</f>
        <v/>
      </c>
      <c r="I68" s="2006">
        <f>SUM(I66:I67)</f>
        <v/>
      </c>
      <c r="J68" s="2006">
        <f>SUM(J66:J67)</f>
        <v/>
      </c>
      <c r="K68" s="2006">
        <f>SUM(K66:K67)</f>
        <v/>
      </c>
      <c r="L68" s="2005">
        <f>SUM(L66:L67)</f>
        <v/>
      </c>
      <c r="M68" s="2006">
        <f>SUM(M66:M67)</f>
        <v/>
      </c>
      <c r="N68" s="2006">
        <f>SUM(N66:N67)</f>
        <v/>
      </c>
      <c r="O68" s="2006">
        <f>SUM(O66:O67)</f>
        <v/>
      </c>
      <c r="P68" s="2006">
        <f>SUM(P66:P67)</f>
        <v/>
      </c>
      <c r="Q68" s="2005">
        <f>SUM(Q66:Q67)</f>
        <v/>
      </c>
      <c r="R68" s="2006">
        <f>SUM(R66:R67)</f>
        <v/>
      </c>
      <c r="S68" s="2006">
        <f>SUM(S66:S67)</f>
        <v/>
      </c>
      <c r="T68" s="2006">
        <f>SUM(T66:T67)</f>
        <v/>
      </c>
      <c r="U68" s="2006">
        <f>SUM(U66:U67)</f>
        <v/>
      </c>
      <c r="V68" s="2005">
        <f>SUM(V66:V67)</f>
        <v/>
      </c>
      <c r="W68" s="2006">
        <f>SUM(W66:W67)</f>
        <v/>
      </c>
      <c r="X68" s="2006">
        <f>SUM(X66:X67)</f>
        <v/>
      </c>
      <c r="Y68" s="2006">
        <f>SUM(Y66:Y67)</f>
        <v/>
      </c>
      <c r="Z68" s="2006">
        <f>SUM(Z66:Z67)</f>
        <v/>
      </c>
      <c r="AA68" s="2005">
        <f>SUM(AA66:AA67)</f>
        <v/>
      </c>
      <c r="AB68" s="2006">
        <f>SUM(AB66:AB67)</f>
        <v/>
      </c>
      <c r="AC68" s="2006">
        <f>SUM(AC66:AC67)</f>
        <v/>
      </c>
      <c r="AD68" s="2006">
        <f>SUM(AD66:AD67)</f>
        <v/>
      </c>
      <c r="AE68" s="2006">
        <f>SUM(AE66:AE67)</f>
        <v/>
      </c>
      <c r="AF68" s="2005">
        <f>SUM(AF66:AF67)</f>
        <v/>
      </c>
      <c r="AG68" s="2006">
        <f>SUM(AG66:AG67)</f>
        <v/>
      </c>
      <c r="AH68" s="2006">
        <f>SUM(AH66:AH67)</f>
        <v/>
      </c>
      <c r="AI68" s="2006">
        <f>SUM(AI66:AI67)</f>
        <v/>
      </c>
      <c r="AJ68" s="2006">
        <f>SUM(AJ66:AJ67)</f>
        <v/>
      </c>
      <c r="AK68" s="2005">
        <f>SUM(AK66:AK67)</f>
        <v/>
      </c>
      <c r="AL68" s="2006">
        <f>SUM(AL66:AL67)</f>
        <v/>
      </c>
      <c r="AM68" s="2006">
        <f>SUM(AM66:AM67)</f>
        <v/>
      </c>
      <c r="AN68" s="2006">
        <f>SUM(AN66:AN67)</f>
        <v/>
      </c>
      <c r="AO68" s="2006">
        <f>SUM(AO66:AO67)</f>
        <v/>
      </c>
      <c r="AP68" s="2005">
        <f>SUM(AP66:AP67)</f>
        <v/>
      </c>
      <c r="AQ68" s="2006">
        <f>SUM(AQ66:AQ67)</f>
        <v/>
      </c>
      <c r="AR68" s="2006">
        <f>SUM(AR66:AR67)</f>
        <v/>
      </c>
      <c r="AS68" s="2006">
        <f>SUM(AS66:AS67)</f>
        <v/>
      </c>
      <c r="AT68" s="2006">
        <f>SUM(AT66:AT67)</f>
        <v/>
      </c>
      <c r="AU68" s="2005">
        <f>SUM(AU66:AU67)</f>
        <v/>
      </c>
      <c r="AV68" s="2006">
        <f>SUM(AV66:AV67)</f>
        <v/>
      </c>
      <c r="AW68" s="2006">
        <f>SUM(AW66:AW67)</f>
        <v/>
      </c>
      <c r="AX68" s="2006">
        <f>SUM(AX66:AX67)</f>
        <v/>
      </c>
      <c r="AY68" s="2006">
        <f>SUM(AY66:AY67)</f>
        <v/>
      </c>
      <c r="AZ68" s="2005">
        <f>SUM(AZ66:AZ67)</f>
        <v/>
      </c>
      <c r="BA68" s="2006">
        <f>SUM(BA66:BA67)</f>
        <v/>
      </c>
      <c r="BB68" s="2006">
        <f>SUM(BB66:BB67)</f>
        <v/>
      </c>
      <c r="BC68" s="2006">
        <f>SUM(BC66:BC67)</f>
        <v/>
      </c>
      <c r="BD68" s="2006">
        <f>SUM(BD66:BD67)</f>
        <v/>
      </c>
      <c r="BE68" s="2005">
        <f>SUM(BE66:BE67)</f>
        <v/>
      </c>
      <c r="BF68" s="2006">
        <f>SUM(BF66:BF67)</f>
        <v/>
      </c>
      <c r="BG68" s="2006">
        <f>SUM(BG66:BG67)</f>
        <v/>
      </c>
      <c r="BH68" s="2006">
        <f>SUM(BH66:BH67)</f>
        <v/>
      </c>
      <c r="BI68" s="2006">
        <f>SUM(BI66:BI67)</f>
        <v/>
      </c>
      <c r="BJ68" s="2005">
        <f>SUM(BJ66:BJ67)</f>
        <v/>
      </c>
      <c r="BK68" s="2006">
        <f>SUM(BK66:BK67)</f>
        <v/>
      </c>
      <c r="BL68" s="2006">
        <f>SUM(BL66:BL67)</f>
        <v/>
      </c>
      <c r="BM68" s="2006">
        <f>SUM(BM66:BM67)</f>
        <v/>
      </c>
      <c r="BN68" s="2006">
        <f>SUM(BN66:BN67)</f>
        <v/>
      </c>
      <c r="BO68" s="2007">
        <f>SUM(BO66:BO67)</f>
        <v/>
      </c>
      <c r="BP68" s="2006">
        <f>SUM(BP66:BP67)</f>
        <v/>
      </c>
      <c r="BQ68" s="2006">
        <f>SUM(BQ66:BQ67)</f>
        <v/>
      </c>
      <c r="BR68" s="2006">
        <f>SUM(BR66:BR67)</f>
        <v/>
      </c>
      <c r="BS68" s="2006">
        <f>SUM(BS66:BS67)</f>
        <v/>
      </c>
      <c r="BT68" s="2005">
        <f>SUM(BT66:BT67)</f>
        <v/>
      </c>
      <c r="BU68" s="2006">
        <f>SUM(BU66:BU67)</f>
        <v/>
      </c>
      <c r="BV68" s="2006">
        <f>SUM(BV66:BV67)</f>
        <v/>
      </c>
      <c r="BW68" s="2006">
        <f>SUM(BW66:BW67)</f>
        <v/>
      </c>
      <c r="BX68" s="2006">
        <f>SUM(BX66:BX67)</f>
        <v/>
      </c>
      <c r="BY68" s="2005">
        <f>SUM(BY66:BY67)</f>
        <v/>
      </c>
      <c r="BZ68" s="2005">
        <f>SUM(BZ66:BZ67)</f>
        <v/>
      </c>
      <c r="CA68" s="2005">
        <f>SUM(CA66:CA67)</f>
        <v/>
      </c>
      <c r="CB68" s="2005">
        <f>SUM(CB66:CB67)</f>
        <v/>
      </c>
      <c r="CC68" s="1977" t="n"/>
    </row>
    <row r="69" ht="14.4" customFormat="1" customHeight="1" s="1939">
      <c r="A69" s="1968">
        <f>INDEX(MO_CFSum_Acquisition,0,COLUMN())</f>
        <v/>
      </c>
      <c r="B69" s="1969" t="n"/>
      <c r="C69" s="1928">
        <f>INDEX(MO_CFSum_Acquisition,0,COLUMN())</f>
        <v/>
      </c>
      <c r="D69" s="1928">
        <f>INDEX(MO_CFSum_Acquisition,0,COLUMN())</f>
        <v/>
      </c>
      <c r="E69" s="1928">
        <f>INDEX(MO_CFSum_Acquisition,0,COLUMN())</f>
        <v/>
      </c>
      <c r="F69" s="1928">
        <f>INDEX(MO_CFSum_Acquisition,0,COLUMN())</f>
        <v/>
      </c>
      <c r="G69" s="1928">
        <f>INDEX(MO_CFSum_Acquisition,0,COLUMN())</f>
        <v/>
      </c>
      <c r="H69" s="1301">
        <f>INDEX(MO_CFSum_Acquisition,0,COLUMN())</f>
        <v/>
      </c>
      <c r="I69" s="1301">
        <f>INDEX(MO_CFSum_Acquisition,0,COLUMN())</f>
        <v/>
      </c>
      <c r="J69" s="1301">
        <f>INDEX(MO_CFSum_Acquisition,0,COLUMN())</f>
        <v/>
      </c>
      <c r="K69" s="1301">
        <f>INDEX(MO_CFSum_Acquisition,0,COLUMN())</f>
        <v/>
      </c>
      <c r="L69" s="1928">
        <f>INDEX(MO_CFSum_Acquisition,0,COLUMN())</f>
        <v/>
      </c>
      <c r="M69" s="1301">
        <f>INDEX(MO_CFSum_Acquisition,0,COLUMN())</f>
        <v/>
      </c>
      <c r="N69" s="1301">
        <f>INDEX(MO_CFSum_Acquisition,0,COLUMN())</f>
        <v/>
      </c>
      <c r="O69" s="1301">
        <f>INDEX(MO_CFSum_Acquisition,0,COLUMN())</f>
        <v/>
      </c>
      <c r="P69" s="1301">
        <f>INDEX(MO_CFSum_Acquisition,0,COLUMN())</f>
        <v/>
      </c>
      <c r="Q69" s="1928">
        <f>INDEX(MO_CFSum_Acquisition,0,COLUMN())</f>
        <v/>
      </c>
      <c r="R69" s="1301">
        <f>INDEX(MO_CFSum_Acquisition,0,COLUMN())</f>
        <v/>
      </c>
      <c r="S69" s="1301">
        <f>INDEX(MO_CFSum_Acquisition,0,COLUMN())</f>
        <v/>
      </c>
      <c r="T69" s="1301">
        <f>INDEX(MO_CFSum_Acquisition,0,COLUMN())</f>
        <v/>
      </c>
      <c r="U69" s="1301">
        <f>INDEX(MO_CFSum_Acquisition,0,COLUMN())</f>
        <v/>
      </c>
      <c r="V69" s="1928">
        <f>INDEX(MO_CFSum_Acquisition,0,COLUMN())</f>
        <v/>
      </c>
      <c r="W69" s="1301">
        <f>INDEX(MO_CFSum_Acquisition,0,COLUMN())</f>
        <v/>
      </c>
      <c r="X69" s="1301">
        <f>INDEX(MO_CFSum_Acquisition,0,COLUMN())</f>
        <v/>
      </c>
      <c r="Y69" s="1301">
        <f>INDEX(MO_CFSum_Acquisition,0,COLUMN())</f>
        <v/>
      </c>
      <c r="Z69" s="1301">
        <f>INDEX(MO_CFSum_Acquisition,0,COLUMN())</f>
        <v/>
      </c>
      <c r="AA69" s="1928">
        <f>INDEX(MO_CFSum_Acquisition,0,COLUMN())</f>
        <v/>
      </c>
      <c r="AB69" s="1301">
        <f>INDEX(MO_CFSum_Acquisition,0,COLUMN())</f>
        <v/>
      </c>
      <c r="AC69" s="1301">
        <f>INDEX(MO_CFSum_Acquisition,0,COLUMN())</f>
        <v/>
      </c>
      <c r="AD69" s="1301">
        <f>INDEX(MO_CFSum_Acquisition,0,COLUMN())</f>
        <v/>
      </c>
      <c r="AE69" s="1301">
        <f>INDEX(MO_CFSum_Acquisition,0,COLUMN())</f>
        <v/>
      </c>
      <c r="AF69" s="1928">
        <f>INDEX(MO_CFSum_Acquisition,0,COLUMN())</f>
        <v/>
      </c>
      <c r="AG69" s="1301">
        <f>INDEX(MO_CFSum_Acquisition,0,COLUMN())</f>
        <v/>
      </c>
      <c r="AH69" s="1301">
        <f>INDEX(MO_CFSum_Acquisition,0,COLUMN())</f>
        <v/>
      </c>
      <c r="AI69" s="1301">
        <f>INDEX(MO_CFSum_Acquisition,0,COLUMN())</f>
        <v/>
      </c>
      <c r="AJ69" s="1301">
        <f>INDEX(MO_CFSum_Acquisition,0,COLUMN())</f>
        <v/>
      </c>
      <c r="AK69" s="1928">
        <f>INDEX(MO_CFSum_Acquisition,0,COLUMN())</f>
        <v/>
      </c>
      <c r="AL69" s="1301">
        <f>INDEX(MO_CFSum_Acquisition,0,COLUMN())</f>
        <v/>
      </c>
      <c r="AM69" s="1301">
        <f>INDEX(MO_CFSum_Acquisition,0,COLUMN())</f>
        <v/>
      </c>
      <c r="AN69" s="1301">
        <f>INDEX(MO_CFSum_Acquisition,0,COLUMN())</f>
        <v/>
      </c>
      <c r="AO69" s="1301">
        <f>INDEX(MO_CFSum_Acquisition,0,COLUMN())</f>
        <v/>
      </c>
      <c r="AP69" s="1928">
        <f>INDEX(MO_CFSum_Acquisition,0,COLUMN())</f>
        <v/>
      </c>
      <c r="AQ69" s="1301">
        <f>INDEX(MO_CFSum_Acquisition,0,COLUMN())</f>
        <v/>
      </c>
      <c r="AR69" s="1301">
        <f>INDEX(MO_CFSum_Acquisition,0,COLUMN())</f>
        <v/>
      </c>
      <c r="AS69" s="1301">
        <f>INDEX(MO_CFSum_Acquisition,0,COLUMN())</f>
        <v/>
      </c>
      <c r="AT69" s="1301">
        <f>INDEX(MO_CFSum_Acquisition,0,COLUMN())</f>
        <v/>
      </c>
      <c r="AU69" s="1928">
        <f>INDEX(MO_CFSum_Acquisition,0,COLUMN())</f>
        <v/>
      </c>
      <c r="AV69" s="1301">
        <f>INDEX(MO_CFSum_Acquisition,0,COLUMN())</f>
        <v/>
      </c>
      <c r="AW69" s="1301">
        <f>INDEX(MO_CFSum_Acquisition,0,COLUMN())</f>
        <v/>
      </c>
      <c r="AX69" s="1301">
        <f>INDEX(MO_CFSum_Acquisition,0,COLUMN())</f>
        <v/>
      </c>
      <c r="AY69" s="1301">
        <f>INDEX(MO_CFSum_Acquisition,0,COLUMN())</f>
        <v/>
      </c>
      <c r="AZ69" s="1928">
        <f>INDEX(MO_CFSum_Acquisition,0,COLUMN())</f>
        <v/>
      </c>
      <c r="BA69" s="1301">
        <f>INDEX(MO_CFSum_Acquisition,0,COLUMN())</f>
        <v/>
      </c>
      <c r="BB69" s="1301">
        <f>INDEX(MO_CFSum_Acquisition,0,COLUMN())</f>
        <v/>
      </c>
      <c r="BC69" s="1301">
        <f>INDEX(MO_CFSum_Acquisition,0,COLUMN())</f>
        <v/>
      </c>
      <c r="BD69" s="1301">
        <f>INDEX(MO_CFSum_Acquisition,0,COLUMN())</f>
        <v/>
      </c>
      <c r="BE69" s="1928">
        <f>INDEX(MO_CFSum_Acquisition,0,COLUMN())</f>
        <v/>
      </c>
      <c r="BF69" s="1301">
        <f>INDEX(MO_CFSum_Acquisition,0,COLUMN())</f>
        <v/>
      </c>
      <c r="BG69" s="1301">
        <f>INDEX(MO_CFSum_Acquisition,0,COLUMN())</f>
        <v/>
      </c>
      <c r="BH69" s="1301">
        <f>INDEX(MO_CFSum_Acquisition,0,COLUMN())</f>
        <v/>
      </c>
      <c r="BI69" s="1301">
        <f>INDEX(MO_CFSum_Acquisition,0,COLUMN())</f>
        <v/>
      </c>
      <c r="BJ69" s="1928">
        <f>INDEX(MO_CFSum_Acquisition,0,COLUMN())</f>
        <v/>
      </c>
      <c r="BK69" s="1301">
        <f>INDEX(MO_CFSum_Acquisition,0,COLUMN())</f>
        <v/>
      </c>
      <c r="BL69" s="1301">
        <f>INDEX(MO_CFSum_Acquisition,0,COLUMN())</f>
        <v/>
      </c>
      <c r="BM69" s="1301">
        <f>INDEX(MO_CFSum_Acquisition,0,COLUMN())</f>
        <v/>
      </c>
      <c r="BN69" s="1301">
        <f>INDEX(MO_CFSum_Acquisition,0,COLUMN())</f>
        <v/>
      </c>
      <c r="BO69" s="1970">
        <f>INDEX(MO_CFSum_Acquisition,0,COLUMN())</f>
        <v/>
      </c>
      <c r="BP69" s="1301">
        <f>INDEX(MO_CFSum_Acquisition,0,COLUMN())</f>
        <v/>
      </c>
      <c r="BQ69" s="1301">
        <f>INDEX(MO_CFSum_Acquisition,0,COLUMN())</f>
        <v/>
      </c>
      <c r="BR69" s="1301">
        <f>INDEX(MO_CFSum_Acquisition,0,COLUMN())</f>
        <v/>
      </c>
      <c r="BS69" s="1301">
        <f>INDEX(MO_CFSum_Acquisition,0,COLUMN())</f>
        <v/>
      </c>
      <c r="BT69" s="1928">
        <f>INDEX(MO_CFSum_Acquisition,0,COLUMN())</f>
        <v/>
      </c>
      <c r="BU69" s="1301">
        <f>INDEX(MO_CFSum_Acquisition,0,COLUMN())</f>
        <v/>
      </c>
      <c r="BV69" s="1301">
        <f>INDEX(MO_CFSum_Acquisition,0,COLUMN())</f>
        <v/>
      </c>
      <c r="BW69" s="1301">
        <f>INDEX(MO_CFSum_Acquisition,0,COLUMN())</f>
        <v/>
      </c>
      <c r="BX69" s="1301">
        <f>INDEX(MO_CFSum_Acquisition,0,COLUMN())</f>
        <v/>
      </c>
      <c r="BY69" s="1928">
        <f>INDEX(MO_CFSum_Acquisition,0,COLUMN())</f>
        <v/>
      </c>
      <c r="BZ69" s="1928">
        <f>INDEX(MO_CFSum_Acquisition,0,COLUMN())</f>
        <v/>
      </c>
      <c r="CA69" s="1928">
        <f>INDEX(MO_CFSum_Acquisition,0,COLUMN())</f>
        <v/>
      </c>
      <c r="CB69" s="1928">
        <f>INDEX(MO_CFSum_Acquisition,0,COLUMN())</f>
        <v/>
      </c>
      <c r="CC69" s="1301" t="n"/>
    </row>
    <row r="70" ht="14.4" customFormat="1" customHeight="1" s="1939">
      <c r="A70" s="1968">
        <f>INDEX(MO_CFSum_Divestiture,0,COLUMN())</f>
        <v/>
      </c>
      <c r="B70" s="1969" t="n"/>
      <c r="C70" s="1928">
        <f>INDEX(MO_CFSum_Divestiture,0,COLUMN())</f>
        <v/>
      </c>
      <c r="D70" s="1928">
        <f>INDEX(MO_CFSum_Divestiture,0,COLUMN())</f>
        <v/>
      </c>
      <c r="E70" s="1928">
        <f>INDEX(MO_CFSum_Divestiture,0,COLUMN())</f>
        <v/>
      </c>
      <c r="F70" s="1928">
        <f>INDEX(MO_CFSum_Divestiture,0,COLUMN())</f>
        <v/>
      </c>
      <c r="G70" s="1928">
        <f>INDEX(MO_CFSum_Divestiture,0,COLUMN())</f>
        <v/>
      </c>
      <c r="H70" s="1301">
        <f>INDEX(MO_CFSum_Divestiture,0,COLUMN())</f>
        <v/>
      </c>
      <c r="I70" s="1301">
        <f>INDEX(MO_CFSum_Divestiture,0,COLUMN())</f>
        <v/>
      </c>
      <c r="J70" s="1301">
        <f>INDEX(MO_CFSum_Divestiture,0,COLUMN())</f>
        <v/>
      </c>
      <c r="K70" s="1301">
        <f>INDEX(MO_CFSum_Divestiture,0,COLUMN())</f>
        <v/>
      </c>
      <c r="L70" s="1928">
        <f>INDEX(MO_CFSum_Divestiture,0,COLUMN())</f>
        <v/>
      </c>
      <c r="M70" s="1301">
        <f>INDEX(MO_CFSum_Divestiture,0,COLUMN())</f>
        <v/>
      </c>
      <c r="N70" s="1301">
        <f>INDEX(MO_CFSum_Divestiture,0,COLUMN())</f>
        <v/>
      </c>
      <c r="O70" s="1301">
        <f>INDEX(MO_CFSum_Divestiture,0,COLUMN())</f>
        <v/>
      </c>
      <c r="P70" s="1301">
        <f>INDEX(MO_CFSum_Divestiture,0,COLUMN())</f>
        <v/>
      </c>
      <c r="Q70" s="1928">
        <f>INDEX(MO_CFSum_Divestiture,0,COLUMN())</f>
        <v/>
      </c>
      <c r="R70" s="1301">
        <f>INDEX(MO_CFSum_Divestiture,0,COLUMN())</f>
        <v/>
      </c>
      <c r="S70" s="1301">
        <f>INDEX(MO_CFSum_Divestiture,0,COLUMN())</f>
        <v/>
      </c>
      <c r="T70" s="1301">
        <f>INDEX(MO_CFSum_Divestiture,0,COLUMN())</f>
        <v/>
      </c>
      <c r="U70" s="1301">
        <f>INDEX(MO_CFSum_Divestiture,0,COLUMN())</f>
        <v/>
      </c>
      <c r="V70" s="1928">
        <f>INDEX(MO_CFSum_Divestiture,0,COLUMN())</f>
        <v/>
      </c>
      <c r="W70" s="1301">
        <f>INDEX(MO_CFSum_Divestiture,0,COLUMN())</f>
        <v/>
      </c>
      <c r="X70" s="1301">
        <f>INDEX(MO_CFSum_Divestiture,0,COLUMN())</f>
        <v/>
      </c>
      <c r="Y70" s="1301">
        <f>INDEX(MO_CFSum_Divestiture,0,COLUMN())</f>
        <v/>
      </c>
      <c r="Z70" s="1301">
        <f>INDEX(MO_CFSum_Divestiture,0,COLUMN())</f>
        <v/>
      </c>
      <c r="AA70" s="1928">
        <f>INDEX(MO_CFSum_Divestiture,0,COLUMN())</f>
        <v/>
      </c>
      <c r="AB70" s="1301">
        <f>INDEX(MO_CFSum_Divestiture,0,COLUMN())</f>
        <v/>
      </c>
      <c r="AC70" s="1301">
        <f>INDEX(MO_CFSum_Divestiture,0,COLUMN())</f>
        <v/>
      </c>
      <c r="AD70" s="1301">
        <f>INDEX(MO_CFSum_Divestiture,0,COLUMN())</f>
        <v/>
      </c>
      <c r="AE70" s="1301">
        <f>INDEX(MO_CFSum_Divestiture,0,COLUMN())</f>
        <v/>
      </c>
      <c r="AF70" s="1928">
        <f>INDEX(MO_CFSum_Divestiture,0,COLUMN())</f>
        <v/>
      </c>
      <c r="AG70" s="1301">
        <f>INDEX(MO_CFSum_Divestiture,0,COLUMN())</f>
        <v/>
      </c>
      <c r="AH70" s="1301">
        <f>INDEX(MO_CFSum_Divestiture,0,COLUMN())</f>
        <v/>
      </c>
      <c r="AI70" s="1301">
        <f>INDEX(MO_CFSum_Divestiture,0,COLUMN())</f>
        <v/>
      </c>
      <c r="AJ70" s="1301">
        <f>INDEX(MO_CFSum_Divestiture,0,COLUMN())</f>
        <v/>
      </c>
      <c r="AK70" s="1928">
        <f>INDEX(MO_CFSum_Divestiture,0,COLUMN())</f>
        <v/>
      </c>
      <c r="AL70" s="1301">
        <f>INDEX(MO_CFSum_Divestiture,0,COLUMN())</f>
        <v/>
      </c>
      <c r="AM70" s="1301">
        <f>INDEX(MO_CFSum_Divestiture,0,COLUMN())</f>
        <v/>
      </c>
      <c r="AN70" s="1301">
        <f>INDEX(MO_CFSum_Divestiture,0,COLUMN())</f>
        <v/>
      </c>
      <c r="AO70" s="1301">
        <f>INDEX(MO_CFSum_Divestiture,0,COLUMN())</f>
        <v/>
      </c>
      <c r="AP70" s="1928">
        <f>INDEX(MO_CFSum_Divestiture,0,COLUMN())</f>
        <v/>
      </c>
      <c r="AQ70" s="1301">
        <f>INDEX(MO_CFSum_Divestiture,0,COLUMN())</f>
        <v/>
      </c>
      <c r="AR70" s="1301">
        <f>INDEX(MO_CFSum_Divestiture,0,COLUMN())</f>
        <v/>
      </c>
      <c r="AS70" s="1301">
        <f>INDEX(MO_CFSum_Divestiture,0,COLUMN())</f>
        <v/>
      </c>
      <c r="AT70" s="1301">
        <f>INDEX(MO_CFSum_Divestiture,0,COLUMN())</f>
        <v/>
      </c>
      <c r="AU70" s="1928">
        <f>INDEX(MO_CFSum_Divestiture,0,COLUMN())</f>
        <v/>
      </c>
      <c r="AV70" s="1301">
        <f>INDEX(MO_CFSum_Divestiture,0,COLUMN())</f>
        <v/>
      </c>
      <c r="AW70" s="1301">
        <f>INDEX(MO_CFSum_Divestiture,0,COLUMN())</f>
        <v/>
      </c>
      <c r="AX70" s="1301">
        <f>INDEX(MO_CFSum_Divestiture,0,COLUMN())</f>
        <v/>
      </c>
      <c r="AY70" s="1301">
        <f>INDEX(MO_CFSum_Divestiture,0,COLUMN())</f>
        <v/>
      </c>
      <c r="AZ70" s="1928">
        <f>INDEX(MO_CFSum_Divestiture,0,COLUMN())</f>
        <v/>
      </c>
      <c r="BA70" s="1301">
        <f>INDEX(MO_CFSum_Divestiture,0,COLUMN())</f>
        <v/>
      </c>
      <c r="BB70" s="1301">
        <f>INDEX(MO_CFSum_Divestiture,0,COLUMN())</f>
        <v/>
      </c>
      <c r="BC70" s="1301">
        <f>INDEX(MO_CFSum_Divestiture,0,COLUMN())</f>
        <v/>
      </c>
      <c r="BD70" s="1301">
        <f>INDEX(MO_CFSum_Divestiture,0,COLUMN())</f>
        <v/>
      </c>
      <c r="BE70" s="1928">
        <f>INDEX(MO_CFSum_Divestiture,0,COLUMN())</f>
        <v/>
      </c>
      <c r="BF70" s="1301">
        <f>INDEX(MO_CFSum_Divestiture,0,COLUMN())</f>
        <v/>
      </c>
      <c r="BG70" s="1301">
        <f>INDEX(MO_CFSum_Divestiture,0,COLUMN())</f>
        <v/>
      </c>
      <c r="BH70" s="1301">
        <f>INDEX(MO_CFSum_Divestiture,0,COLUMN())</f>
        <v/>
      </c>
      <c r="BI70" s="1301">
        <f>INDEX(MO_CFSum_Divestiture,0,COLUMN())</f>
        <v/>
      </c>
      <c r="BJ70" s="1928">
        <f>INDEX(MO_CFSum_Divestiture,0,COLUMN())</f>
        <v/>
      </c>
      <c r="BK70" s="1301">
        <f>INDEX(MO_CFSum_Divestiture,0,COLUMN())</f>
        <v/>
      </c>
      <c r="BL70" s="1301">
        <f>INDEX(MO_CFSum_Divestiture,0,COLUMN())</f>
        <v/>
      </c>
      <c r="BM70" s="1301">
        <f>INDEX(MO_CFSum_Divestiture,0,COLUMN())</f>
        <v/>
      </c>
      <c r="BN70" s="1301">
        <f>INDEX(MO_CFSum_Divestiture,0,COLUMN())</f>
        <v/>
      </c>
      <c r="BO70" s="1970">
        <f>INDEX(MO_CFSum_Divestiture,0,COLUMN())</f>
        <v/>
      </c>
      <c r="BP70" s="1301">
        <f>INDEX(MO_CFSum_Divestiture,0,COLUMN())</f>
        <v/>
      </c>
      <c r="BQ70" s="1301">
        <f>INDEX(MO_CFSum_Divestiture,0,COLUMN())</f>
        <v/>
      </c>
      <c r="BR70" s="1301">
        <f>INDEX(MO_CFSum_Divestiture,0,COLUMN())</f>
        <v/>
      </c>
      <c r="BS70" s="1301">
        <f>INDEX(MO_CFSum_Divestiture,0,COLUMN())</f>
        <v/>
      </c>
      <c r="BT70" s="1928">
        <f>INDEX(MO_CFSum_Divestiture,0,COLUMN())</f>
        <v/>
      </c>
      <c r="BU70" s="1301">
        <f>INDEX(MO_CFSum_Divestiture,0,COLUMN())</f>
        <v/>
      </c>
      <c r="BV70" s="1301">
        <f>INDEX(MO_CFSum_Divestiture,0,COLUMN())</f>
        <v/>
      </c>
      <c r="BW70" s="1301">
        <f>INDEX(MO_CFSum_Divestiture,0,COLUMN())</f>
        <v/>
      </c>
      <c r="BX70" s="1301">
        <f>INDEX(MO_CFSum_Divestiture,0,COLUMN())</f>
        <v/>
      </c>
      <c r="BY70" s="1928">
        <f>INDEX(MO_CFSum_Divestiture,0,COLUMN())</f>
        <v/>
      </c>
      <c r="BZ70" s="1928">
        <f>INDEX(MO_CFSum_Divestiture,0,COLUMN())</f>
        <v/>
      </c>
      <c r="CA70" s="1928">
        <f>INDEX(MO_CFSum_Divestiture,0,COLUMN())</f>
        <v/>
      </c>
      <c r="CB70" s="1928">
        <f>INDEX(MO_CFSum_Divestiture,0,COLUMN())</f>
        <v/>
      </c>
      <c r="CC70" s="1301" t="n"/>
    </row>
    <row r="71" ht="14.4" customFormat="1" customHeight="1" s="1939">
      <c r="A71" s="1968" t="inlineStr">
        <is>
          <t>New Equity Issuance</t>
        </is>
      </c>
      <c r="B71" s="1969" t="n"/>
      <c r="C71" s="1928">
        <f>INDEX(MO_CFSum_NetShares,0,COLUMN())</f>
        <v/>
      </c>
      <c r="D71" s="1928">
        <f>INDEX(MO_CFSum_NetShares,0,COLUMN())</f>
        <v/>
      </c>
      <c r="E71" s="1928">
        <f>INDEX(MO_CFSum_NetShares,0,COLUMN())</f>
        <v/>
      </c>
      <c r="F71" s="1928">
        <f>INDEX(MO_CFSum_NetShares,0,COLUMN())</f>
        <v/>
      </c>
      <c r="G71" s="1928">
        <f>INDEX(MO_CFSum_NetShares,0,COLUMN())</f>
        <v/>
      </c>
      <c r="H71" s="1301">
        <f>INDEX(MO_CFSum_NetShares,0,COLUMN())</f>
        <v/>
      </c>
      <c r="I71" s="1301">
        <f>INDEX(MO_CFSum_NetShares,0,COLUMN())</f>
        <v/>
      </c>
      <c r="J71" s="1301">
        <f>INDEX(MO_CFSum_NetShares,0,COLUMN())</f>
        <v/>
      </c>
      <c r="K71" s="1301">
        <f>INDEX(MO_CFSum_NetShares,0,COLUMN())</f>
        <v/>
      </c>
      <c r="L71" s="1928">
        <f>INDEX(MO_CFSum_NetShares,0,COLUMN())</f>
        <v/>
      </c>
      <c r="M71" s="1301">
        <f>INDEX(MO_CFSum_NetShares,0,COLUMN())</f>
        <v/>
      </c>
      <c r="N71" s="1301">
        <f>INDEX(MO_CFSum_NetShares,0,COLUMN())</f>
        <v/>
      </c>
      <c r="O71" s="1301">
        <f>INDEX(MO_CFSum_NetShares,0,COLUMN())</f>
        <v/>
      </c>
      <c r="P71" s="1301">
        <f>INDEX(MO_CFSum_NetShares,0,COLUMN())</f>
        <v/>
      </c>
      <c r="Q71" s="1928">
        <f>INDEX(MO_CFSum_NetShares,0,COLUMN())</f>
        <v/>
      </c>
      <c r="R71" s="1301">
        <f>INDEX(MO_CFSum_NetShares,0,COLUMN())</f>
        <v/>
      </c>
      <c r="S71" s="1301">
        <f>INDEX(MO_CFSum_NetShares,0,COLUMN())</f>
        <v/>
      </c>
      <c r="T71" s="1301">
        <f>INDEX(MO_CFSum_NetShares,0,COLUMN())</f>
        <v/>
      </c>
      <c r="U71" s="1301">
        <f>INDEX(MO_CFSum_NetShares,0,COLUMN())</f>
        <v/>
      </c>
      <c r="V71" s="1928">
        <f>INDEX(MO_CFSum_NetShares,0,COLUMN())</f>
        <v/>
      </c>
      <c r="W71" s="1301">
        <f>INDEX(MO_CFSum_NetShares,0,COLUMN())</f>
        <v/>
      </c>
      <c r="X71" s="1301">
        <f>INDEX(MO_CFSum_NetShares,0,COLUMN())</f>
        <v/>
      </c>
      <c r="Y71" s="1301">
        <f>INDEX(MO_CFSum_NetShares,0,COLUMN())</f>
        <v/>
      </c>
      <c r="Z71" s="1301">
        <f>INDEX(MO_CFSum_NetShares,0,COLUMN())</f>
        <v/>
      </c>
      <c r="AA71" s="1928">
        <f>INDEX(MO_CFSum_NetShares,0,COLUMN())</f>
        <v/>
      </c>
      <c r="AB71" s="1301">
        <f>INDEX(MO_CFSum_NetShares,0,COLUMN())</f>
        <v/>
      </c>
      <c r="AC71" s="1301">
        <f>INDEX(MO_CFSum_NetShares,0,COLUMN())</f>
        <v/>
      </c>
      <c r="AD71" s="1301">
        <f>INDEX(MO_CFSum_NetShares,0,COLUMN())</f>
        <v/>
      </c>
      <c r="AE71" s="1301">
        <f>INDEX(MO_CFSum_NetShares,0,COLUMN())</f>
        <v/>
      </c>
      <c r="AF71" s="1928">
        <f>INDEX(MO_CFSum_NetShares,0,COLUMN())</f>
        <v/>
      </c>
      <c r="AG71" s="1301">
        <f>INDEX(MO_CFSum_NetShares,0,COLUMN())</f>
        <v/>
      </c>
      <c r="AH71" s="1301">
        <f>INDEX(MO_CFSum_NetShares,0,COLUMN())</f>
        <v/>
      </c>
      <c r="AI71" s="1301">
        <f>INDEX(MO_CFSum_NetShares,0,COLUMN())</f>
        <v/>
      </c>
      <c r="AJ71" s="1301">
        <f>INDEX(MO_CFSum_NetShares,0,COLUMN())</f>
        <v/>
      </c>
      <c r="AK71" s="1928">
        <f>INDEX(MO_CFSum_NetShares,0,COLUMN())</f>
        <v/>
      </c>
      <c r="AL71" s="1301">
        <f>INDEX(MO_CFSum_NetShares,0,COLUMN())</f>
        <v/>
      </c>
      <c r="AM71" s="1301">
        <f>INDEX(MO_CFSum_NetShares,0,COLUMN())</f>
        <v/>
      </c>
      <c r="AN71" s="1301">
        <f>INDEX(MO_CFSum_NetShares,0,COLUMN())</f>
        <v/>
      </c>
      <c r="AO71" s="1301">
        <f>INDEX(MO_CFSum_NetShares,0,COLUMN())</f>
        <v/>
      </c>
      <c r="AP71" s="1928">
        <f>INDEX(MO_CFSum_NetShares,0,COLUMN())</f>
        <v/>
      </c>
      <c r="AQ71" s="1301">
        <f>INDEX(MO_CFSum_NetShares,0,COLUMN())</f>
        <v/>
      </c>
      <c r="AR71" s="1301">
        <f>INDEX(MO_CFSum_NetShares,0,COLUMN())</f>
        <v/>
      </c>
      <c r="AS71" s="1301">
        <f>INDEX(MO_CFSum_NetShares,0,COLUMN())</f>
        <v/>
      </c>
      <c r="AT71" s="1301">
        <f>INDEX(MO_CFSum_NetShares,0,COLUMN())</f>
        <v/>
      </c>
      <c r="AU71" s="1928">
        <f>INDEX(MO_CFSum_NetShares,0,COLUMN())</f>
        <v/>
      </c>
      <c r="AV71" s="1301">
        <f>INDEX(MO_CFSum_NetShares,0,COLUMN())</f>
        <v/>
      </c>
      <c r="AW71" s="1301">
        <f>INDEX(MO_CFSum_NetShares,0,COLUMN())</f>
        <v/>
      </c>
      <c r="AX71" s="1301">
        <f>INDEX(MO_CFSum_NetShares,0,COLUMN())</f>
        <v/>
      </c>
      <c r="AY71" s="1301">
        <f>INDEX(MO_CFSum_NetShares,0,COLUMN())</f>
        <v/>
      </c>
      <c r="AZ71" s="1928">
        <f>INDEX(MO_CFSum_NetShares,0,COLUMN())</f>
        <v/>
      </c>
      <c r="BA71" s="1301">
        <f>INDEX(MO_CFSum_NetShares,0,COLUMN())</f>
        <v/>
      </c>
      <c r="BB71" s="1301">
        <f>INDEX(MO_CFSum_NetShares,0,COLUMN())</f>
        <v/>
      </c>
      <c r="BC71" s="1301">
        <f>INDEX(MO_CFSum_NetShares,0,COLUMN())</f>
        <v/>
      </c>
      <c r="BD71" s="1301">
        <f>INDEX(MO_CFSum_NetShares,0,COLUMN())</f>
        <v/>
      </c>
      <c r="BE71" s="1928">
        <f>INDEX(MO_CFSum_NetShares,0,COLUMN())</f>
        <v/>
      </c>
      <c r="BF71" s="1301">
        <f>INDEX(MO_CFSum_NetShares,0,COLUMN())</f>
        <v/>
      </c>
      <c r="BG71" s="1301">
        <f>INDEX(MO_CFSum_NetShares,0,COLUMN())</f>
        <v/>
      </c>
      <c r="BH71" s="1301">
        <f>INDEX(MO_CFSum_NetShares,0,COLUMN())</f>
        <v/>
      </c>
      <c r="BI71" s="1301">
        <f>INDEX(MO_CFSum_NetShares,0,COLUMN())</f>
        <v/>
      </c>
      <c r="BJ71" s="1928">
        <f>INDEX(MO_CFSum_NetShares,0,COLUMN())</f>
        <v/>
      </c>
      <c r="BK71" s="1301">
        <f>INDEX(MO_CFSum_NetShares,0,COLUMN())</f>
        <v/>
      </c>
      <c r="BL71" s="1301">
        <f>INDEX(MO_CFSum_NetShares,0,COLUMN())</f>
        <v/>
      </c>
      <c r="BM71" s="1301">
        <f>INDEX(MO_CFSum_NetShares,0,COLUMN())</f>
        <v/>
      </c>
      <c r="BN71" s="1301">
        <f>INDEX(MO_CFSum_NetShares,0,COLUMN())</f>
        <v/>
      </c>
      <c r="BO71" s="1970">
        <f>INDEX(MO_CFSum_NetShares,0,COLUMN())</f>
        <v/>
      </c>
      <c r="BP71" s="1301">
        <f>INDEX(MO_CFSum_NetShares,0,COLUMN())</f>
        <v/>
      </c>
      <c r="BQ71" s="1301">
        <f>INDEX(MO_CFSum_NetShares,0,COLUMN())</f>
        <v/>
      </c>
      <c r="BR71" s="1301">
        <f>INDEX(MO_CFSum_NetShares,0,COLUMN())</f>
        <v/>
      </c>
      <c r="BS71" s="1301">
        <f>INDEX(MO_CFSum_NetShares,0,COLUMN())</f>
        <v/>
      </c>
      <c r="BT71" s="1928">
        <f>INDEX(MO_CFSum_NetShares,0,COLUMN())</f>
        <v/>
      </c>
      <c r="BU71" s="1301">
        <f>INDEX(MO_CFSum_NetShares,0,COLUMN())</f>
        <v/>
      </c>
      <c r="BV71" s="1301">
        <f>INDEX(MO_CFSum_NetShares,0,COLUMN())</f>
        <v/>
      </c>
      <c r="BW71" s="1301">
        <f>INDEX(MO_CFSum_NetShares,0,COLUMN())</f>
        <v/>
      </c>
      <c r="BX71" s="1301">
        <f>INDEX(MO_CFSum_NetShares,0,COLUMN())</f>
        <v/>
      </c>
      <c r="BY71" s="1928">
        <f>INDEX(MO_CFSum_NetShares,0,COLUMN())</f>
        <v/>
      </c>
      <c r="BZ71" s="1928">
        <f>INDEX(MO_CFSum_NetShares,0,COLUMN())</f>
        <v/>
      </c>
      <c r="CA71" s="1928">
        <f>INDEX(MO_CFSum_NetShares,0,COLUMN())</f>
        <v/>
      </c>
      <c r="CB71" s="1928">
        <f>INDEX(MO_CFSum_NetShares,0,COLUMN())</f>
        <v/>
      </c>
      <c r="CC71" s="1301" t="n"/>
    </row>
    <row r="72" ht="14.4" customFormat="1" customHeight="1" s="1939">
      <c r="A72" s="1968" t="inlineStr">
        <is>
          <t>New Debt Issuance</t>
        </is>
      </c>
      <c r="B72" s="1969" t="n"/>
      <c r="C72" s="1928">
        <f>INDEX(MO_CFSum_NetDebtIssuance,0,COLUMN())</f>
        <v/>
      </c>
      <c r="D72" s="1928">
        <f>INDEX(MO_CFSum_NetDebtIssuance,0,COLUMN())</f>
        <v/>
      </c>
      <c r="E72" s="1928">
        <f>INDEX(MO_CFSum_NetDebtIssuance,0,COLUMN())</f>
        <v/>
      </c>
      <c r="F72" s="1928">
        <f>INDEX(MO_CFSum_NetDebtIssuance,0,COLUMN())</f>
        <v/>
      </c>
      <c r="G72" s="1928">
        <f>INDEX(MO_CFSum_NetDebtIssuance,0,COLUMN())</f>
        <v/>
      </c>
      <c r="H72" s="1301">
        <f>INDEX(MO_CFSum_NetDebtIssuance,0,COLUMN())</f>
        <v/>
      </c>
      <c r="I72" s="1301">
        <f>INDEX(MO_CFSum_NetDebtIssuance,0,COLUMN())</f>
        <v/>
      </c>
      <c r="J72" s="1301">
        <f>INDEX(MO_CFSum_NetDebtIssuance,0,COLUMN())</f>
        <v/>
      </c>
      <c r="K72" s="1301">
        <f>INDEX(MO_CFSum_NetDebtIssuance,0,COLUMN())</f>
        <v/>
      </c>
      <c r="L72" s="1928">
        <f>INDEX(MO_CFSum_NetDebtIssuance,0,COLUMN())</f>
        <v/>
      </c>
      <c r="M72" s="1301">
        <f>INDEX(MO_CFSum_NetDebtIssuance,0,COLUMN())</f>
        <v/>
      </c>
      <c r="N72" s="1301">
        <f>INDEX(MO_CFSum_NetDebtIssuance,0,COLUMN())</f>
        <v/>
      </c>
      <c r="O72" s="1301">
        <f>INDEX(MO_CFSum_NetDebtIssuance,0,COLUMN())</f>
        <v/>
      </c>
      <c r="P72" s="1301">
        <f>INDEX(MO_CFSum_NetDebtIssuance,0,COLUMN())</f>
        <v/>
      </c>
      <c r="Q72" s="1928">
        <f>INDEX(MO_CFSum_NetDebtIssuance,0,COLUMN())</f>
        <v/>
      </c>
      <c r="R72" s="1301">
        <f>INDEX(MO_CFSum_NetDebtIssuance,0,COLUMN())</f>
        <v/>
      </c>
      <c r="S72" s="1301">
        <f>INDEX(MO_CFSum_NetDebtIssuance,0,COLUMN())</f>
        <v/>
      </c>
      <c r="T72" s="1301">
        <f>INDEX(MO_CFSum_NetDebtIssuance,0,COLUMN())</f>
        <v/>
      </c>
      <c r="U72" s="1301">
        <f>INDEX(MO_CFSum_NetDebtIssuance,0,COLUMN())</f>
        <v/>
      </c>
      <c r="V72" s="1928">
        <f>INDEX(MO_CFSum_NetDebtIssuance,0,COLUMN())</f>
        <v/>
      </c>
      <c r="W72" s="1301">
        <f>INDEX(MO_CFSum_NetDebtIssuance,0,COLUMN())</f>
        <v/>
      </c>
      <c r="X72" s="1301">
        <f>INDEX(MO_CFSum_NetDebtIssuance,0,COLUMN())</f>
        <v/>
      </c>
      <c r="Y72" s="1301">
        <f>INDEX(MO_CFSum_NetDebtIssuance,0,COLUMN())</f>
        <v/>
      </c>
      <c r="Z72" s="1301">
        <f>INDEX(MO_CFSum_NetDebtIssuance,0,COLUMN())</f>
        <v/>
      </c>
      <c r="AA72" s="1928">
        <f>INDEX(MO_CFSum_NetDebtIssuance,0,COLUMN())</f>
        <v/>
      </c>
      <c r="AB72" s="1301">
        <f>INDEX(MO_CFSum_NetDebtIssuance,0,COLUMN())</f>
        <v/>
      </c>
      <c r="AC72" s="1301">
        <f>INDEX(MO_CFSum_NetDebtIssuance,0,COLUMN())</f>
        <v/>
      </c>
      <c r="AD72" s="1301">
        <f>INDEX(MO_CFSum_NetDebtIssuance,0,COLUMN())</f>
        <v/>
      </c>
      <c r="AE72" s="1301">
        <f>INDEX(MO_CFSum_NetDebtIssuance,0,COLUMN())</f>
        <v/>
      </c>
      <c r="AF72" s="1928">
        <f>INDEX(MO_CFSum_NetDebtIssuance,0,COLUMN())</f>
        <v/>
      </c>
      <c r="AG72" s="1301">
        <f>INDEX(MO_CFSum_NetDebtIssuance,0,COLUMN())</f>
        <v/>
      </c>
      <c r="AH72" s="1301">
        <f>INDEX(MO_CFSum_NetDebtIssuance,0,COLUMN())</f>
        <v/>
      </c>
      <c r="AI72" s="1301">
        <f>INDEX(MO_CFSum_NetDebtIssuance,0,COLUMN())</f>
        <v/>
      </c>
      <c r="AJ72" s="1301">
        <f>INDEX(MO_CFSum_NetDebtIssuance,0,COLUMN())</f>
        <v/>
      </c>
      <c r="AK72" s="1928">
        <f>INDEX(MO_CFSum_NetDebtIssuance,0,COLUMN())</f>
        <v/>
      </c>
      <c r="AL72" s="1301">
        <f>INDEX(MO_CFSum_NetDebtIssuance,0,COLUMN())</f>
        <v/>
      </c>
      <c r="AM72" s="1301">
        <f>INDEX(MO_CFSum_NetDebtIssuance,0,COLUMN())</f>
        <v/>
      </c>
      <c r="AN72" s="1301">
        <f>INDEX(MO_CFSum_NetDebtIssuance,0,COLUMN())</f>
        <v/>
      </c>
      <c r="AO72" s="1301">
        <f>INDEX(MO_CFSum_NetDebtIssuance,0,COLUMN())</f>
        <v/>
      </c>
      <c r="AP72" s="1928">
        <f>INDEX(MO_CFSum_NetDebtIssuance,0,COLUMN())</f>
        <v/>
      </c>
      <c r="AQ72" s="1301">
        <f>INDEX(MO_CFSum_NetDebtIssuance,0,COLUMN())</f>
        <v/>
      </c>
      <c r="AR72" s="1301">
        <f>INDEX(MO_CFSum_NetDebtIssuance,0,COLUMN())</f>
        <v/>
      </c>
      <c r="AS72" s="1301">
        <f>INDEX(MO_CFSum_NetDebtIssuance,0,COLUMN())</f>
        <v/>
      </c>
      <c r="AT72" s="1301">
        <f>INDEX(MO_CFSum_NetDebtIssuance,0,COLUMN())</f>
        <v/>
      </c>
      <c r="AU72" s="1928">
        <f>INDEX(MO_CFSum_NetDebtIssuance,0,COLUMN())</f>
        <v/>
      </c>
      <c r="AV72" s="1301">
        <f>INDEX(MO_CFSum_NetDebtIssuance,0,COLUMN())</f>
        <v/>
      </c>
      <c r="AW72" s="1301">
        <f>INDEX(MO_CFSum_NetDebtIssuance,0,COLUMN())</f>
        <v/>
      </c>
      <c r="AX72" s="1301">
        <f>INDEX(MO_CFSum_NetDebtIssuance,0,COLUMN())</f>
        <v/>
      </c>
      <c r="AY72" s="1301">
        <f>INDEX(MO_CFSum_NetDebtIssuance,0,COLUMN())</f>
        <v/>
      </c>
      <c r="AZ72" s="1928">
        <f>INDEX(MO_CFSum_NetDebtIssuance,0,COLUMN())</f>
        <v/>
      </c>
      <c r="BA72" s="1301">
        <f>INDEX(MO_CFSum_NetDebtIssuance,0,COLUMN())</f>
        <v/>
      </c>
      <c r="BB72" s="1301">
        <f>INDEX(MO_CFSum_NetDebtIssuance,0,COLUMN())</f>
        <v/>
      </c>
      <c r="BC72" s="1301">
        <f>INDEX(MO_CFSum_NetDebtIssuance,0,COLUMN())</f>
        <v/>
      </c>
      <c r="BD72" s="1301">
        <f>INDEX(MO_CFSum_NetDebtIssuance,0,COLUMN())</f>
        <v/>
      </c>
      <c r="BE72" s="1928">
        <f>INDEX(MO_CFSum_NetDebtIssuance,0,COLUMN())</f>
        <v/>
      </c>
      <c r="BF72" s="1301">
        <f>INDEX(MO_CFSum_NetDebtIssuance,0,COLUMN())</f>
        <v/>
      </c>
      <c r="BG72" s="1301">
        <f>INDEX(MO_CFSum_NetDebtIssuance,0,COLUMN())</f>
        <v/>
      </c>
      <c r="BH72" s="1301">
        <f>INDEX(MO_CFSum_NetDebtIssuance,0,COLUMN())</f>
        <v/>
      </c>
      <c r="BI72" s="1301">
        <f>INDEX(MO_CFSum_NetDebtIssuance,0,COLUMN())</f>
        <v/>
      </c>
      <c r="BJ72" s="1928">
        <f>INDEX(MO_CFSum_NetDebtIssuance,0,COLUMN())</f>
        <v/>
      </c>
      <c r="BK72" s="1301">
        <f>INDEX(MO_CFSum_NetDebtIssuance,0,COLUMN())</f>
        <v/>
      </c>
      <c r="BL72" s="1301">
        <f>INDEX(MO_CFSum_NetDebtIssuance,0,COLUMN())</f>
        <v/>
      </c>
      <c r="BM72" s="1301">
        <f>INDEX(MO_CFSum_NetDebtIssuance,0,COLUMN())</f>
        <v/>
      </c>
      <c r="BN72" s="1301">
        <f>INDEX(MO_CFSum_NetDebtIssuance,0,COLUMN())</f>
        <v/>
      </c>
      <c r="BO72" s="1970">
        <f>INDEX(MO_CFSum_NetDebtIssuance,0,COLUMN())</f>
        <v/>
      </c>
      <c r="BP72" s="1301">
        <f>INDEX(MO_CFSum_NetDebtIssuance,0,COLUMN())</f>
        <v/>
      </c>
      <c r="BQ72" s="1301">
        <f>INDEX(MO_CFSum_NetDebtIssuance,0,COLUMN())</f>
        <v/>
      </c>
      <c r="BR72" s="1301">
        <f>INDEX(MO_CFSum_NetDebtIssuance,0,COLUMN())</f>
        <v/>
      </c>
      <c r="BS72" s="1301">
        <f>INDEX(MO_CFSum_NetDebtIssuance,0,COLUMN())</f>
        <v/>
      </c>
      <c r="BT72" s="1928">
        <f>INDEX(MO_CFSum_NetDebtIssuance,0,COLUMN())</f>
        <v/>
      </c>
      <c r="BU72" s="1301">
        <f>INDEX(MO_CFSum_NetDebtIssuance,0,COLUMN())</f>
        <v/>
      </c>
      <c r="BV72" s="1301">
        <f>INDEX(MO_CFSum_NetDebtIssuance,0,COLUMN())</f>
        <v/>
      </c>
      <c r="BW72" s="1301">
        <f>INDEX(MO_CFSum_NetDebtIssuance,0,COLUMN())</f>
        <v/>
      </c>
      <c r="BX72" s="1301">
        <f>INDEX(MO_CFSum_NetDebtIssuance,0,COLUMN())</f>
        <v/>
      </c>
      <c r="BY72" s="1928">
        <f>INDEX(MO_CFSum_NetDebtIssuance,0,COLUMN())</f>
        <v/>
      </c>
      <c r="BZ72" s="1928">
        <f>INDEX(MO_CFSum_NetDebtIssuance,0,COLUMN())</f>
        <v/>
      </c>
      <c r="CA72" s="1928">
        <f>INDEX(MO_CFSum_NetDebtIssuance,0,COLUMN())</f>
        <v/>
      </c>
      <c r="CB72" s="1928">
        <f>INDEX(MO_CFSum_NetDebtIssuance,0,COLUMN())</f>
        <v/>
      </c>
      <c r="CC72" s="1301" t="n"/>
    </row>
    <row r="73" ht="14.4" customFormat="1" customHeight="1" s="1939">
      <c r="A73" s="1955" t="inlineStr">
        <is>
          <t>Other Items</t>
        </is>
      </c>
      <c r="B73" s="1971" t="n"/>
      <c r="C73" s="1960">
        <f>Model!C740+Model!C741+Model!C742+Model!C743+Model!C746+Model!C752+Model!C753+Model!C754+Model!C755+Model!C757+Model!C763+Model!C764+Model!C766+Model!C767+Model!C768+Model!C769+Model!C770+Model!C773+Model!C774+Model!C776+Model!C777+Model!C779+Model!C793+Model!C798+Model!C799+Model!C800+Model!C805+Model!C809+Model!C810+Model!C748+Model!C760+Model!C761+Model!C765+Model!C780+Model!C806+Model!C749+Model!C758+Model!C747+Model!C759+Model!C794+Model!C795+Model!C796+Model!C775+Model!C804+Model!C785+Model!C771+Model!C772</f>
        <v/>
      </c>
      <c r="D73" s="1960">
        <f>Model!D740+Model!D741+Model!D742+Model!D743+Model!D746+Model!D752+Model!D753+Model!D754+Model!D755+Model!D757+Model!D763+Model!D764+Model!D766+Model!D767+Model!D768+Model!D769+Model!D770+Model!D773+Model!D774+Model!D776+Model!D777+Model!D779+Model!D793+Model!D798+Model!D799+Model!D800+Model!D805+Model!D809+Model!D810+Model!D748+Model!D760+Model!D761+Model!D765+Model!D780+Model!D806+Model!D749+Model!D758+Model!D747+Model!D759+Model!D794+Model!D795+Model!D796+Model!D775+Model!D804+Model!D785+Model!D771+Model!D772</f>
        <v/>
      </c>
      <c r="E73" s="1960">
        <f>Model!E740+Model!E741+Model!E742+Model!E743+Model!E746+Model!E752+Model!E753+Model!E754+Model!E755+Model!E757+Model!E763+Model!E764+Model!E766+Model!E767+Model!E768+Model!E769+Model!E770+Model!E773+Model!E774+Model!E776+Model!E777+Model!E779+Model!E793+Model!E798+Model!E799+Model!E800+Model!E805+Model!E809+Model!E810+Model!E748+Model!E760+Model!E761+Model!E765+Model!E780+Model!E806+Model!E749+Model!E758+Model!E747+Model!E759+Model!E794+Model!E795+Model!E796+Model!E775+Model!E804+Model!E785+Model!E771+Model!E772</f>
        <v/>
      </c>
      <c r="F73" s="1960">
        <f>Model!F740+Model!F741+Model!F742+Model!F743+Model!F746+Model!F752+Model!F753+Model!F754+Model!F755+Model!F757+Model!F763+Model!F764+Model!F766+Model!F767+Model!F768+Model!F769+Model!F770+Model!F773+Model!F774+Model!F776+Model!F777+Model!F779+Model!F793+Model!F798+Model!F799+Model!F800+Model!F805+Model!F809+Model!F810+Model!F748+Model!F760+Model!F761+Model!F765+Model!F780+Model!F806+Model!F749+Model!F758+Model!F747+Model!F759+Model!F794+Model!F795+Model!F796+Model!F775+Model!F804+Model!F785+Model!F771+Model!F772</f>
        <v/>
      </c>
      <c r="G73" s="1960">
        <f>Model!G740+Model!G741+Model!G742+Model!G743+Model!G746+Model!G752+Model!G753+Model!G754+Model!G755+Model!G757+Model!G763+Model!G764+Model!G766+Model!G767+Model!G768+Model!G769+Model!G770+Model!G773+Model!G774+Model!G776+Model!G777+Model!G779+Model!G793+Model!G798+Model!G799+Model!G800+Model!G805+Model!G809+Model!G810+Model!G748+Model!G760+Model!G761+Model!G765+Model!G780+Model!G806+Model!G749+Model!G758+Model!G747+Model!G759+Model!G794+Model!G795+Model!G796+Model!G775+Model!G804+Model!G785+Model!G771+Model!G772</f>
        <v/>
      </c>
      <c r="H73" s="1972">
        <f>Model!H740+Model!H741+Model!H742+Model!H743+Model!H746+Model!H752+Model!H753+Model!H754+Model!H755+Model!H757+Model!H763+Model!H764+Model!H766+Model!H767+Model!H768+Model!H769+Model!H770+Model!H773+Model!H774+Model!H776+Model!H777+Model!H779+Model!H793+Model!H798+Model!H799+Model!H800+Model!H805+Model!H809+Model!H810+Model!H748+Model!H760+Model!H761+Model!H765+Model!H780+Model!H806+Model!H749+Model!H758+Model!H747+Model!H759+Model!H794+Model!H795+Model!H796+Model!H775+Model!H804+Model!H785+Model!H771+Model!H772</f>
        <v/>
      </c>
      <c r="I73" s="1972">
        <f>Model!I740+Model!I741+Model!I742+Model!I743+Model!I746+Model!I752+Model!I753+Model!I754+Model!I755+Model!I757+Model!I763+Model!I764+Model!I766+Model!I767+Model!I768+Model!I769+Model!I770+Model!I773+Model!I774+Model!I776+Model!I777+Model!I779+Model!I793+Model!I798+Model!I799+Model!I800+Model!I805+Model!I809+Model!I810+Model!I748+Model!I760+Model!I761+Model!I765+Model!I780+Model!I806+Model!I749+Model!I758+Model!I747+Model!I759+Model!I794+Model!I795+Model!I796+Model!I775+Model!I804+Model!I785+Model!I771+Model!I772</f>
        <v/>
      </c>
      <c r="J73" s="1972">
        <f>Model!J740+Model!J741+Model!J742+Model!J743+Model!J746+Model!J752+Model!J753+Model!J754+Model!J755+Model!J757+Model!J763+Model!J764+Model!J766+Model!J767+Model!J768+Model!J769+Model!J770+Model!J773+Model!J774+Model!J776+Model!J777+Model!J779+Model!J793+Model!J798+Model!J799+Model!J800+Model!J805+Model!J809+Model!J810+Model!J748+Model!J760+Model!J761+Model!J765+Model!J780+Model!J806+Model!J749+Model!J758+Model!J747+Model!J759+Model!J794+Model!J795+Model!J796+Model!J775+Model!J804+Model!J785+Model!J771+Model!J772</f>
        <v/>
      </c>
      <c r="K73" s="1972">
        <f>Model!K740+Model!K741+Model!K742+Model!K743+Model!K746+Model!K752+Model!K753+Model!K754+Model!K755+Model!K757+Model!K763+Model!K764+Model!K766+Model!K767+Model!K768+Model!K769+Model!K770+Model!K773+Model!K774+Model!K776+Model!K777+Model!K779+Model!K793+Model!K798+Model!K799+Model!K800+Model!K805+Model!K809+Model!K810+Model!K748+Model!K760+Model!K761+Model!K765+Model!K780+Model!K806+Model!K749+Model!K758+Model!K747+Model!K759+Model!K794+Model!K795+Model!K796+Model!K775+Model!K804+Model!K785+Model!K771+Model!K772</f>
        <v/>
      </c>
      <c r="L73" s="1960">
        <f>Model!L740+Model!L741+Model!L742+Model!L743+Model!L746+Model!L752+Model!L753+Model!L754+Model!L755+Model!L757+Model!L763+Model!L764+Model!L766+Model!L767+Model!L768+Model!L769+Model!L770+Model!L773+Model!L774+Model!L776+Model!L777+Model!L779+Model!L793+Model!L798+Model!L799+Model!L800+Model!L805+Model!L809+Model!L810+Model!L748+Model!L760+Model!L761+Model!L765+Model!L780+Model!L806+Model!L749+Model!L758+Model!L747+Model!L759+Model!L794+Model!L795+Model!L796+Model!L775+Model!L804+Model!L785+Model!L771+Model!L772</f>
        <v/>
      </c>
      <c r="M73" s="1972">
        <f>Model!M740+Model!M741+Model!M742+Model!M743+Model!M746+Model!M752+Model!M753+Model!M754+Model!M755+Model!M757+Model!M763+Model!M764+Model!M766+Model!M767+Model!M768+Model!M769+Model!M770+Model!M773+Model!M774+Model!M776+Model!M777+Model!M779+Model!M793+Model!M798+Model!M799+Model!M800+Model!M805+Model!M809+Model!M810+Model!M748+Model!M760+Model!M761+Model!M765+Model!M780+Model!M806+Model!M749+Model!M758+Model!M747+Model!M759+Model!M794+Model!M795+Model!M796+Model!M775+Model!M804+Model!M785+Model!M771+Model!M772</f>
        <v/>
      </c>
      <c r="N73" s="1972">
        <f>Model!N740+Model!N741+Model!N742+Model!N743+Model!N746+Model!N752+Model!N753+Model!N754+Model!N755+Model!N757+Model!N763+Model!N764+Model!N766+Model!N767+Model!N768+Model!N769+Model!N770+Model!N773+Model!N774+Model!N776+Model!N777+Model!N779+Model!N793+Model!N798+Model!N799+Model!N800+Model!N805+Model!N809+Model!N810+Model!N748+Model!N760+Model!N761+Model!N765+Model!N780+Model!N806+Model!N749+Model!N758+Model!N747+Model!N759+Model!N794+Model!N795+Model!N796+Model!N775+Model!N804+Model!N785+Model!N771+Model!N772</f>
        <v/>
      </c>
      <c r="O73" s="1972">
        <f>Model!O740+Model!O741+Model!O742+Model!O743+Model!O746+Model!O752+Model!O753+Model!O754+Model!O755+Model!O757+Model!O763+Model!O764+Model!O766+Model!O767+Model!O768+Model!O769+Model!O770+Model!O773+Model!O774+Model!O776+Model!O777+Model!O779+Model!O793+Model!O798+Model!O799+Model!O800+Model!O805+Model!O809+Model!O810+Model!O748+Model!O760+Model!O761+Model!O765+Model!O780+Model!O806+Model!O749+Model!O758+Model!O747+Model!O759+Model!O794+Model!O795+Model!O796+Model!O775+Model!O804+Model!O785+Model!O771+Model!O772</f>
        <v/>
      </c>
      <c r="P73" s="1972">
        <f>Model!P740+Model!P741+Model!P742+Model!P743+Model!P746+Model!P752+Model!P753+Model!P754+Model!P755+Model!P757+Model!P763+Model!P764+Model!P766+Model!P767+Model!P768+Model!P769+Model!P770+Model!P773+Model!P774+Model!P776+Model!P777+Model!P779+Model!P793+Model!P798+Model!P799+Model!P800+Model!P805+Model!P809+Model!P810+Model!P748+Model!P760+Model!P761+Model!P765+Model!P780+Model!P806+Model!P749+Model!P758+Model!P747+Model!P759+Model!P794+Model!P795+Model!P796+Model!P775+Model!P804+Model!P785+Model!P771+Model!P772</f>
        <v/>
      </c>
      <c r="Q73" s="1960">
        <f>Model!Q740+Model!Q741+Model!Q742+Model!Q743+Model!Q746+Model!Q752+Model!Q753+Model!Q754+Model!Q755+Model!Q757+Model!Q763+Model!Q764+Model!Q766+Model!Q767+Model!Q768+Model!Q769+Model!Q770+Model!Q773+Model!Q774+Model!Q776+Model!Q777+Model!Q779+Model!Q793+Model!Q798+Model!Q799+Model!Q800+Model!Q805+Model!Q809+Model!Q810+Model!Q748+Model!Q760+Model!Q761+Model!Q765+Model!Q780+Model!Q806+Model!Q749+Model!Q758+Model!Q747+Model!Q759+Model!Q794+Model!Q795+Model!Q796+Model!Q775+Model!Q804+Model!Q785+Model!Q771+Model!Q772</f>
        <v/>
      </c>
      <c r="R73" s="1972">
        <f>Model!R740+Model!R741+Model!R742+Model!R743+Model!R746+Model!R752+Model!R753+Model!R754+Model!R755+Model!R757+Model!R763+Model!R764+Model!R766+Model!R767+Model!R768+Model!R769+Model!R770+Model!R773+Model!R774+Model!R776+Model!R777+Model!R779+Model!R793+Model!R798+Model!R799+Model!R800+Model!R805+Model!R809+Model!R810+Model!R748+Model!R760+Model!R761+Model!R765+Model!R780+Model!R806+Model!R749+Model!R758+Model!R747+Model!R759+Model!R794+Model!R795+Model!R796+Model!R775+Model!R804+Model!R785+Model!R771+Model!R772</f>
        <v/>
      </c>
      <c r="S73" s="1972">
        <f>Model!S740+Model!S741+Model!S742+Model!S743+Model!S746+Model!S752+Model!S753+Model!S754+Model!S755+Model!S757+Model!S763+Model!S764+Model!S766+Model!S767+Model!S768+Model!S769+Model!S770+Model!S773+Model!S774+Model!S776+Model!S777+Model!S779+Model!S793+Model!S798+Model!S799+Model!S800+Model!S805+Model!S809+Model!S810+Model!S748+Model!S760+Model!S761+Model!S765+Model!S780+Model!S806+Model!S749+Model!S758+Model!S747+Model!S759+Model!S794+Model!S795+Model!S796+Model!S775+Model!S804+Model!S785+Model!S771+Model!S772</f>
        <v/>
      </c>
      <c r="T73" s="1972">
        <f>Model!T740+Model!T741+Model!T742+Model!T743+Model!T746+Model!T752+Model!T753+Model!T754+Model!T755+Model!T757+Model!T763+Model!T764+Model!T766+Model!T767+Model!T768+Model!T769+Model!T770+Model!T773+Model!T774+Model!T776+Model!T777+Model!T779+Model!T793+Model!T798+Model!T799+Model!T800+Model!T805+Model!T809+Model!T810+Model!T748+Model!T760+Model!T761+Model!T765+Model!T780+Model!T806+Model!T749+Model!T758+Model!T747+Model!T759+Model!T794+Model!T795+Model!T796+Model!T775+Model!T804+Model!T785+Model!T771+Model!T772</f>
        <v/>
      </c>
      <c r="U73" s="1972">
        <f>Model!U740+Model!U741+Model!U742+Model!U743+Model!U746+Model!U752+Model!U753+Model!U754+Model!U755+Model!U757+Model!U763+Model!U764+Model!U766+Model!U767+Model!U768+Model!U769+Model!U770+Model!U773+Model!U774+Model!U776+Model!U777+Model!U779+Model!U793+Model!U798+Model!U799+Model!U800+Model!U805+Model!U809+Model!U810+Model!U748+Model!U760+Model!U761+Model!U765+Model!U780+Model!U806+Model!U749+Model!U758+Model!U747+Model!U759+Model!U794+Model!U795+Model!U796+Model!U775+Model!U804+Model!U785+Model!U771+Model!U772</f>
        <v/>
      </c>
      <c r="V73" s="1960">
        <f>Model!V740+Model!V741+Model!V742+Model!V743+Model!V746+Model!V752+Model!V753+Model!V754+Model!V755+Model!V757+Model!V763+Model!V764+Model!V766+Model!V767+Model!V768+Model!V769+Model!V770+Model!V773+Model!V774+Model!V776+Model!V777+Model!V779+Model!V793+Model!V798+Model!V799+Model!V800+Model!V805+Model!V809+Model!V810+Model!V748+Model!V760+Model!V761+Model!V765+Model!V780+Model!V806+Model!V749+Model!V758+Model!V747+Model!V759+Model!V794+Model!V795+Model!V796+Model!V775+Model!V804+Model!V785+Model!V771+Model!V772</f>
        <v/>
      </c>
      <c r="W73" s="1972">
        <f>Model!W740+Model!W741+Model!W742+Model!W743+Model!W746+Model!W752+Model!W753+Model!W754+Model!W755+Model!W757+Model!W763+Model!W764+Model!W766+Model!W767+Model!W768+Model!W769+Model!W770+Model!W773+Model!W774+Model!W776+Model!W777+Model!W779+Model!W793+Model!W798+Model!W799+Model!W800+Model!W805+Model!W809+Model!W810+Model!W748+Model!W760+Model!W761+Model!W765+Model!W780+Model!W806+Model!W749+Model!W758+Model!W747+Model!W759+Model!W794+Model!W795+Model!W796+Model!W775+Model!W804+Model!W785+Model!W771+Model!W772</f>
        <v/>
      </c>
      <c r="X73" s="1972">
        <f>Model!X740+Model!X741+Model!X742+Model!X743+Model!X746+Model!X752+Model!X753+Model!X754+Model!X755+Model!X757+Model!X763+Model!X764+Model!X766+Model!X767+Model!X768+Model!X769+Model!X770+Model!X773+Model!X774+Model!X776+Model!X777+Model!X779+Model!X793+Model!X798+Model!X799+Model!X800+Model!X805+Model!X809+Model!X810+Model!X748+Model!X760+Model!X761+Model!X765+Model!X780+Model!X806+Model!X749+Model!X758+Model!X747+Model!X759+Model!X794+Model!X795+Model!X796+Model!X775+Model!X804+Model!X785+Model!X771+Model!X772</f>
        <v/>
      </c>
      <c r="Y73" s="1972">
        <f>Model!Y740+Model!Y741+Model!Y742+Model!Y743+Model!Y746+Model!Y752+Model!Y753+Model!Y754+Model!Y755+Model!Y757+Model!Y763+Model!Y764+Model!Y766+Model!Y767+Model!Y768+Model!Y769+Model!Y770+Model!Y773+Model!Y774+Model!Y776+Model!Y777+Model!Y779+Model!Y793+Model!Y798+Model!Y799+Model!Y800+Model!Y805+Model!Y809+Model!Y810+Model!Y748+Model!Y760+Model!Y761+Model!Y765+Model!Y780+Model!Y806+Model!Y749+Model!Y758+Model!Y747+Model!Y759+Model!Y794+Model!Y795+Model!Y796+Model!Y775+Model!Y804+Model!Y785+Model!Y771+Model!Y772</f>
        <v/>
      </c>
      <c r="Z73" s="1972">
        <f>Model!Z740+Model!Z741+Model!Z742+Model!Z743+Model!Z746+Model!Z752+Model!Z753+Model!Z754+Model!Z755+Model!Z757+Model!Z763+Model!Z764+Model!Z766+Model!Z767+Model!Z768+Model!Z769+Model!Z770+Model!Z773+Model!Z774+Model!Z776+Model!Z777+Model!Z779+Model!Z793+Model!Z798+Model!Z799+Model!Z800+Model!Z805+Model!Z809+Model!Z810+Model!Z748+Model!Z760+Model!Z761+Model!Z765+Model!Z780+Model!Z806+Model!Z749+Model!Z758+Model!Z747+Model!Z759+Model!Z794+Model!Z795+Model!Z796+Model!Z775+Model!Z804+Model!Z785+Model!Z771+Model!Z772</f>
        <v/>
      </c>
      <c r="AA73" s="1960">
        <f>Model!AA740+Model!AA741+Model!AA742+Model!AA743+Model!AA746+Model!AA752+Model!AA753+Model!AA754+Model!AA755+Model!AA757+Model!AA763+Model!AA764+Model!AA766+Model!AA767+Model!AA768+Model!AA769+Model!AA770+Model!AA773+Model!AA774+Model!AA776+Model!AA777+Model!AA779+Model!AA793+Model!AA798+Model!AA799+Model!AA800+Model!AA805+Model!AA809+Model!AA810+Model!AA748+Model!AA760+Model!AA761+Model!AA765+Model!AA780+Model!AA806+Model!AA749+Model!AA758+Model!AA747+Model!AA759+Model!AA794+Model!AA795+Model!AA796+Model!AA775+Model!AA804+Model!AA785+Model!AA771+Model!AA772</f>
        <v/>
      </c>
      <c r="AB73" s="1972">
        <f>Model!AB740+Model!AB741+Model!AB742+Model!AB743+Model!AB746+Model!AB752+Model!AB753+Model!AB754+Model!AB755+Model!AB757+Model!AB763+Model!AB764+Model!AB766+Model!AB767+Model!AB768+Model!AB769+Model!AB770+Model!AB773+Model!AB774+Model!AB776+Model!AB777+Model!AB779+Model!AB793+Model!AB798+Model!AB799+Model!AB800+Model!AB805+Model!AB809+Model!AB810+Model!AB748+Model!AB760+Model!AB761+Model!AB765+Model!AB780+Model!AB806+Model!AB749+Model!AB758+Model!AB747+Model!AB759+Model!AB794+Model!AB795+Model!AB796+Model!AB775+Model!AB804+Model!AB785+Model!AB771+Model!AB772</f>
        <v/>
      </c>
      <c r="AC73" s="1972">
        <f>Model!AC740+Model!AC741+Model!AC742+Model!AC743+Model!AC746+Model!AC752+Model!AC753+Model!AC754+Model!AC755+Model!AC757+Model!AC763+Model!AC764+Model!AC766+Model!AC767+Model!AC768+Model!AC769+Model!AC770+Model!AC773+Model!AC774+Model!AC776+Model!AC777+Model!AC779+Model!AC793+Model!AC798+Model!AC799+Model!AC800+Model!AC805+Model!AC809+Model!AC810+Model!AC748+Model!AC760+Model!AC761+Model!AC765+Model!AC780+Model!AC806+Model!AC749+Model!AC758+Model!AC747+Model!AC759+Model!AC794+Model!AC795+Model!AC796+Model!AC775+Model!AC804+Model!AC785+Model!AC771+Model!AC772</f>
        <v/>
      </c>
      <c r="AD73" s="1972">
        <f>Model!AD740+Model!AD741+Model!AD742+Model!AD743+Model!AD746+Model!AD752+Model!AD753+Model!AD754+Model!AD755+Model!AD757+Model!AD763+Model!AD764+Model!AD766+Model!AD767+Model!AD768+Model!AD769+Model!AD770+Model!AD773+Model!AD774+Model!AD776+Model!AD777+Model!AD779+Model!AD793+Model!AD798+Model!AD799+Model!AD800+Model!AD805+Model!AD809+Model!AD810+Model!AD748+Model!AD760+Model!AD761+Model!AD765+Model!AD780+Model!AD806+Model!AD749+Model!AD758+Model!AD747+Model!AD759+Model!AD794+Model!AD795+Model!AD796+Model!AD775+Model!AD804+Model!AD785+Model!AD771+Model!AD772</f>
        <v/>
      </c>
      <c r="AE73" s="1972">
        <f>Model!AE740+Model!AE741+Model!AE742+Model!AE743+Model!AE746+Model!AE752+Model!AE753+Model!AE754+Model!AE755+Model!AE757+Model!AE763+Model!AE764+Model!AE766+Model!AE767+Model!AE768+Model!AE769+Model!AE770+Model!AE773+Model!AE774+Model!AE776+Model!AE777+Model!AE779+Model!AE793+Model!AE798+Model!AE799+Model!AE800+Model!AE805+Model!AE809+Model!AE810+Model!AE748+Model!AE760+Model!AE761+Model!AE765+Model!AE780+Model!AE806+Model!AE749+Model!AE758+Model!AE747+Model!AE759+Model!AE794+Model!AE795+Model!AE796+Model!AE775+Model!AE804+Model!AE785+Model!AE771+Model!AE772</f>
        <v/>
      </c>
      <c r="AF73" s="1960">
        <f>Model!AF740+Model!AF741+Model!AF742+Model!AF743+Model!AF746+Model!AF752+Model!AF753+Model!AF754+Model!AF755+Model!AF757+Model!AF763+Model!AF764+Model!AF766+Model!AF767+Model!AF768+Model!AF769+Model!AF770+Model!AF773+Model!AF774+Model!AF776+Model!AF777+Model!AF779+Model!AF793+Model!AF798+Model!AF799+Model!AF800+Model!AF805+Model!AF809+Model!AF810+Model!AF748+Model!AF760+Model!AF761+Model!AF765+Model!AF780+Model!AF806+Model!AF749+Model!AF758+Model!AF747+Model!AF759+Model!AF794+Model!AF795+Model!AF796+Model!AF775+Model!AF804+Model!AF785+Model!AF771+Model!AF772</f>
        <v/>
      </c>
      <c r="AG73" s="1972">
        <f>Model!AG740+Model!AG741+Model!AG742+Model!AG743+Model!AG746+Model!AG752+Model!AG753+Model!AG754+Model!AG755+Model!AG757+Model!AG763+Model!AG764+Model!AG766+Model!AG767+Model!AG768+Model!AG769+Model!AG770+Model!AG773+Model!AG774+Model!AG776+Model!AG777+Model!AG779+Model!AG793+Model!AG798+Model!AG799+Model!AG800+Model!AG805+Model!AG809+Model!AG810+Model!AG748+Model!AG760+Model!AG761+Model!AG765+Model!AG780+Model!AG806+Model!AG749+Model!AG758+Model!AG747+Model!AG759+Model!AG794+Model!AG795+Model!AG796+Model!AG775+Model!AG804+Model!AG785+Model!AG771+Model!AG772</f>
        <v/>
      </c>
      <c r="AH73" s="1972">
        <f>Model!AH740+Model!AH741+Model!AH742+Model!AH743+Model!AH746+Model!AH752+Model!AH753+Model!AH754+Model!AH755+Model!AH757+Model!AH763+Model!AH764+Model!AH766+Model!AH767+Model!AH768+Model!AH769+Model!AH770+Model!AH773+Model!AH774+Model!AH776+Model!AH777+Model!AH779+Model!AH793+Model!AH798+Model!AH799+Model!AH800+Model!AH805+Model!AH809+Model!AH810+Model!AH748+Model!AH760+Model!AH761+Model!AH765+Model!AH780+Model!AH806+Model!AH749+Model!AH758+Model!AH747+Model!AH759+Model!AH794+Model!AH795+Model!AH796+Model!AH775+Model!AH804+Model!AH785+Model!AH771+Model!AH772</f>
        <v/>
      </c>
      <c r="AI73" s="1972">
        <f>Model!AI740+Model!AI741+Model!AI742+Model!AI743+Model!AI746+Model!AI752+Model!AI753+Model!AI754+Model!AI755+Model!AI757+Model!AI763+Model!AI764+Model!AI766+Model!AI767+Model!AI768+Model!AI769+Model!AI770+Model!AI773+Model!AI774+Model!AI776+Model!AI777+Model!AI779+Model!AI793+Model!AI798+Model!AI799+Model!AI800+Model!AI805+Model!AI809+Model!AI810+Model!AI748+Model!AI760+Model!AI761+Model!AI765+Model!AI780+Model!AI806+Model!AI749+Model!AI758+Model!AI747+Model!AI759+Model!AI794+Model!AI795+Model!AI796+Model!AI775+Model!AI804+Model!AI785+Model!AI771+Model!AI772</f>
        <v/>
      </c>
      <c r="AJ73" s="1972">
        <f>Model!AJ740+Model!AJ741+Model!AJ742+Model!AJ743+Model!AJ746+Model!AJ752+Model!AJ753+Model!AJ754+Model!AJ755+Model!AJ757+Model!AJ763+Model!AJ764+Model!AJ766+Model!AJ767+Model!AJ768+Model!AJ769+Model!AJ770+Model!AJ773+Model!AJ774+Model!AJ776+Model!AJ777+Model!AJ779+Model!AJ793+Model!AJ798+Model!AJ799+Model!AJ800+Model!AJ805+Model!AJ809+Model!AJ810+Model!AJ748+Model!AJ760+Model!AJ761+Model!AJ765+Model!AJ780+Model!AJ806+Model!AJ749+Model!AJ758+Model!AJ747+Model!AJ759+Model!AJ794+Model!AJ795+Model!AJ796+Model!AJ775+Model!AJ804+Model!AJ785+Model!AJ771+Model!AJ772</f>
        <v/>
      </c>
      <c r="AK73" s="1960">
        <f>Model!AK740+Model!AK741+Model!AK742+Model!AK743+Model!AK746+Model!AK752+Model!AK753+Model!AK754+Model!AK755+Model!AK757+Model!AK763+Model!AK764+Model!AK766+Model!AK767+Model!AK768+Model!AK769+Model!AK770+Model!AK773+Model!AK774+Model!AK776+Model!AK777+Model!AK779+Model!AK793+Model!AK798+Model!AK799+Model!AK800+Model!AK805+Model!AK809+Model!AK810+Model!AK748+Model!AK760+Model!AK761+Model!AK765+Model!AK780+Model!AK806+Model!AK749+Model!AK758+Model!AK747+Model!AK759+Model!AK794+Model!AK795+Model!AK796+Model!AK775+Model!AK804+Model!AK785+Model!AK771+Model!AK772</f>
        <v/>
      </c>
      <c r="AL73" s="1972">
        <f>Model!AL740+Model!AL741+Model!AL742+Model!AL743+Model!AL746+Model!AL752+Model!AL753+Model!AL754+Model!AL755+Model!AL757+Model!AL763+Model!AL764+Model!AL766+Model!AL767+Model!AL768+Model!AL769+Model!AL770+Model!AL773+Model!AL774+Model!AL776+Model!AL777+Model!AL779+Model!AL793+Model!AL798+Model!AL799+Model!AL800+Model!AL805+Model!AL809+Model!AL810+Model!AL748+Model!AL760+Model!AL761+Model!AL765+Model!AL780+Model!AL806+Model!AL749+Model!AL758+Model!AL747+Model!AL759+Model!AL794+Model!AL795+Model!AL796+Model!AL775+Model!AL804+Model!AL785+Model!AL771+Model!AL772</f>
        <v/>
      </c>
      <c r="AM73" s="1972">
        <f>Model!AM740+Model!AM741+Model!AM742+Model!AM743+Model!AM746+Model!AM752+Model!AM753+Model!AM754+Model!AM755+Model!AM757+Model!AM763+Model!AM764+Model!AM766+Model!AM767+Model!AM768+Model!AM769+Model!AM770+Model!AM773+Model!AM774+Model!AM776+Model!AM777+Model!AM779+Model!AM793+Model!AM798+Model!AM799+Model!AM800+Model!AM805+Model!AM809+Model!AM810+Model!AM748+Model!AM760+Model!AM761+Model!AM765+Model!AM780+Model!AM806+Model!AM749+Model!AM758+Model!AM747+Model!AM759+Model!AM794+Model!AM795+Model!AM796+Model!AM775+Model!AM804+Model!AM785+Model!AM771+Model!AM772</f>
        <v/>
      </c>
      <c r="AN73" s="1972">
        <f>Model!AN740+Model!AN741+Model!AN742+Model!AN743+Model!AN746+Model!AN752+Model!AN753+Model!AN754+Model!AN755+Model!AN757+Model!AN763+Model!AN764+Model!AN766+Model!AN767+Model!AN768+Model!AN769+Model!AN770+Model!AN773+Model!AN774+Model!AN776+Model!AN777+Model!AN779+Model!AN793+Model!AN798+Model!AN799+Model!AN800+Model!AN805+Model!AN809+Model!AN810+Model!AN748+Model!AN760+Model!AN761+Model!AN765+Model!AN780+Model!AN806+Model!AN749+Model!AN758+Model!AN747+Model!AN759+Model!AN794+Model!AN795+Model!AN796+Model!AN775+Model!AN804+Model!AN785+Model!AN771+Model!AN772</f>
        <v/>
      </c>
      <c r="AO73" s="1972">
        <f>Model!AO740+Model!AO741+Model!AO742+Model!AO743+Model!AO746+Model!AO752+Model!AO753+Model!AO754+Model!AO755+Model!AO757+Model!AO763+Model!AO764+Model!AO766+Model!AO767+Model!AO768+Model!AO769+Model!AO770+Model!AO773+Model!AO774+Model!AO776+Model!AO777+Model!AO779+Model!AO793+Model!AO798+Model!AO799+Model!AO800+Model!AO805+Model!AO809+Model!AO810+Model!AO748+Model!AO760+Model!AO761+Model!AO765+Model!AO780+Model!AO806+Model!AO749+Model!AO758+Model!AO747+Model!AO759+Model!AO794+Model!AO795+Model!AO796+Model!AO775+Model!AO804+Model!AO785+Model!AO771+Model!AO772</f>
        <v/>
      </c>
      <c r="AP73" s="1960">
        <f>Model!AP740+Model!AP741+Model!AP742+Model!AP743+Model!AP746+Model!AP752+Model!AP753+Model!AP754+Model!AP755+Model!AP757+Model!AP763+Model!AP764+Model!AP766+Model!AP767+Model!AP768+Model!AP769+Model!AP770+Model!AP773+Model!AP774+Model!AP776+Model!AP777+Model!AP779+Model!AP793+Model!AP798+Model!AP799+Model!AP800+Model!AP805+Model!AP809+Model!AP810+Model!AP748+Model!AP760+Model!AP761+Model!AP765+Model!AP780+Model!AP806+Model!AP749+Model!AP758+Model!AP747+Model!AP759+Model!AP794+Model!AP795+Model!AP796+Model!AP775+Model!AP804+Model!AP785+Model!AP771+Model!AP772</f>
        <v/>
      </c>
      <c r="AQ73" s="1972">
        <f>Model!AQ740+Model!AQ741+Model!AQ742+Model!AQ743+Model!AQ746+Model!AQ752+Model!AQ753+Model!AQ754+Model!AQ755+Model!AQ757+Model!AQ763+Model!AQ764+Model!AQ766+Model!AQ767+Model!AQ768+Model!AQ769+Model!AQ770+Model!AQ773+Model!AQ774+Model!AQ776+Model!AQ777+Model!AQ779+Model!AQ793+Model!AQ798+Model!AQ799+Model!AQ800+Model!AQ805+Model!AQ809+Model!AQ810+Model!AQ748+Model!AQ760+Model!AQ761+Model!AQ765+Model!AQ780+Model!AQ806+Model!AQ749+Model!AQ758+Model!AQ747+Model!AQ759+Model!AQ794+Model!AQ795+Model!AQ796+Model!AQ775+Model!AQ804+Model!AQ785+Model!AQ771+Model!AQ772</f>
        <v/>
      </c>
      <c r="AR73" s="1972">
        <f>Model!AR740+Model!AR741+Model!AR742+Model!AR743+Model!AR746+Model!AR752+Model!AR753+Model!AR754+Model!AR755+Model!AR757+Model!AR763+Model!AR764+Model!AR766+Model!AR767+Model!AR768+Model!AR769+Model!AR770+Model!AR773+Model!AR774+Model!AR776+Model!AR777+Model!AR779+Model!AR793+Model!AR798+Model!AR799+Model!AR800+Model!AR805+Model!AR809+Model!AR810+Model!AR748+Model!AR760+Model!AR761+Model!AR765+Model!AR780+Model!AR806+Model!AR749+Model!AR758+Model!AR747+Model!AR759+Model!AR794+Model!AR795+Model!AR796+Model!AR775+Model!AR804+Model!AR785+Model!AR771+Model!AR772</f>
        <v/>
      </c>
      <c r="AS73" s="1972">
        <f>Model!AS740+Model!AS741+Model!AS742+Model!AS743+Model!AS746+Model!AS752+Model!AS753+Model!AS754+Model!AS755+Model!AS757+Model!AS763+Model!AS764+Model!AS766+Model!AS767+Model!AS768+Model!AS769+Model!AS770+Model!AS773+Model!AS774+Model!AS776+Model!AS777+Model!AS779+Model!AS793+Model!AS798+Model!AS799+Model!AS800+Model!AS805+Model!AS809+Model!AS810+Model!AS748+Model!AS760+Model!AS761+Model!AS765+Model!AS780+Model!AS806+Model!AS749+Model!AS758+Model!AS747+Model!AS759+Model!AS794+Model!AS795+Model!AS796+Model!AS775+Model!AS804+Model!AS785+Model!AS771+Model!AS772</f>
        <v/>
      </c>
      <c r="AT73" s="1972">
        <f>Model!AT740+Model!AT741+Model!AT742+Model!AT743+Model!AT746+Model!AT752+Model!AT753+Model!AT754+Model!AT755+Model!AT757+Model!AT763+Model!AT764+Model!AT766+Model!AT767+Model!AT768+Model!AT769+Model!AT770+Model!AT773+Model!AT774+Model!AT776+Model!AT777+Model!AT779+Model!AT793+Model!AT798+Model!AT799+Model!AT800+Model!AT805+Model!AT809+Model!AT810+Model!AT748+Model!AT760+Model!AT761+Model!AT765+Model!AT780+Model!AT806+Model!AT749+Model!AT758+Model!AT747+Model!AT759+Model!AT794+Model!AT795+Model!AT796+Model!AT775+Model!AT804+Model!AT785+Model!AT771+Model!AT772</f>
        <v/>
      </c>
      <c r="AU73" s="1960">
        <f>Model!AU740+Model!AU741+Model!AU742+Model!AU743+Model!AU746+Model!AU752+Model!AU753+Model!AU754+Model!AU755+Model!AU757+Model!AU763+Model!AU764+Model!AU766+Model!AU767+Model!AU768+Model!AU769+Model!AU770+Model!AU773+Model!AU774+Model!AU776+Model!AU777+Model!AU779+Model!AU793+Model!AU798+Model!AU799+Model!AU800+Model!AU805+Model!AU809+Model!AU810+Model!AU748+Model!AU760+Model!AU761+Model!AU765+Model!AU780+Model!AU806+Model!AU749+Model!AU758+Model!AU747+Model!AU759+Model!AU794+Model!AU795+Model!AU796+Model!AU775+Model!AU804+Model!AU785+Model!AU771+Model!AU772</f>
        <v/>
      </c>
      <c r="AV73" s="1972">
        <f>Model!AV740+Model!AV741+Model!AV742+Model!AV743+Model!AV746+Model!AV752+Model!AV753+Model!AV754+Model!AV755+Model!AV757+Model!AV763+Model!AV764+Model!AV766+Model!AV767+Model!AV768+Model!AV769+Model!AV770+Model!AV773+Model!AV774+Model!AV776+Model!AV777+Model!AV779+Model!AV793+Model!AV798+Model!AV799+Model!AV800+Model!AV805+Model!AV809+Model!AV810+Model!AV748+Model!AV760+Model!AV761+Model!AV765+Model!AV780+Model!AV806+Model!AV749+Model!AV758+Model!AV747+Model!AV759+Model!AV794+Model!AV795+Model!AV796+Model!AV775+Model!AV804+Model!AV785+Model!AV771+Model!AV772</f>
        <v/>
      </c>
      <c r="AW73" s="1972">
        <f>Model!AW740+Model!AW741+Model!AW742+Model!AW743+Model!AW746+Model!AW752+Model!AW753+Model!AW754+Model!AW755+Model!AW757+Model!AW763+Model!AW764+Model!AW766+Model!AW767+Model!AW768+Model!AW769+Model!AW770+Model!AW773+Model!AW774+Model!AW776+Model!AW777+Model!AW779+Model!AW793+Model!AW798+Model!AW799+Model!AW800+Model!AW805+Model!AW809+Model!AW810+Model!AW748+Model!AW760+Model!AW761+Model!AW765+Model!AW780+Model!AW806+Model!AW749+Model!AW758+Model!AW747+Model!AW759+Model!AW794+Model!AW795+Model!AW796+Model!AW775+Model!AW804+Model!AW785+Model!AW771+Model!AW772</f>
        <v/>
      </c>
      <c r="AX73" s="1972">
        <f>Model!AX740+Model!AX741+Model!AX742+Model!AX743+Model!AX746+Model!AX752+Model!AX753+Model!AX754+Model!AX755+Model!AX757+Model!AX763+Model!AX764+Model!AX766+Model!AX767+Model!AX768+Model!AX769+Model!AX770+Model!AX773+Model!AX774+Model!AX776+Model!AX777+Model!AX779+Model!AX793+Model!AX798+Model!AX799+Model!AX800+Model!AX805+Model!AX809+Model!AX810+Model!AX748+Model!AX760+Model!AX761+Model!AX765+Model!AX780+Model!AX806+Model!AX749+Model!AX758+Model!AX747+Model!AX759+Model!AX794+Model!AX795+Model!AX796+Model!AX775+Model!AX804+Model!AX785+Model!AX771+Model!AX772</f>
        <v/>
      </c>
      <c r="AY73" s="1972">
        <f>Model!AY740+Model!AY741+Model!AY742+Model!AY743+Model!AY746+Model!AY752+Model!AY753+Model!AY754+Model!AY755+Model!AY757+Model!AY763+Model!AY764+Model!AY766+Model!AY767+Model!AY768+Model!AY769+Model!AY770+Model!AY773+Model!AY774+Model!AY776+Model!AY777+Model!AY779+Model!AY793+Model!AY798+Model!AY799+Model!AY800+Model!AY805+Model!AY809+Model!AY810+Model!AY748+Model!AY760+Model!AY761+Model!AY765+Model!AY780+Model!AY806+Model!AY749+Model!AY758+Model!AY747+Model!AY759+Model!AY794+Model!AY795+Model!AY796+Model!AY775+Model!AY804+Model!AY785+Model!AY771+Model!AY772</f>
        <v/>
      </c>
      <c r="AZ73" s="1960">
        <f>Model!AZ740+Model!AZ741+Model!AZ742+Model!AZ743+Model!AZ746+Model!AZ752+Model!AZ753+Model!AZ754+Model!AZ755+Model!AZ757+Model!AZ763+Model!AZ764+Model!AZ766+Model!AZ767+Model!AZ768+Model!AZ769+Model!AZ770+Model!AZ773+Model!AZ774+Model!AZ776+Model!AZ777+Model!AZ779+Model!AZ793+Model!AZ798+Model!AZ799+Model!AZ800+Model!AZ805+Model!AZ809+Model!AZ810+Model!AZ748+Model!AZ760+Model!AZ761+Model!AZ765+Model!AZ780+Model!AZ806+Model!AZ749+Model!AZ758+Model!AZ747+Model!AZ759+Model!AZ794+Model!AZ795+Model!AZ796+Model!AZ775+Model!AZ804+Model!AZ785+Model!AZ771+Model!AZ772</f>
        <v/>
      </c>
      <c r="BA73" s="1972">
        <f>Model!BA740+Model!BA741+Model!BA742+Model!BA743+Model!BA746+Model!BA752+Model!BA753+Model!BA754+Model!BA755+Model!BA757+Model!BA763+Model!BA764+Model!BA766+Model!BA767+Model!BA768+Model!BA769+Model!BA770+Model!BA773+Model!BA774+Model!BA776+Model!BA777+Model!BA779+Model!BA793+Model!BA798+Model!BA799+Model!BA800+Model!BA805+Model!BA809+Model!BA810+Model!BA748+Model!BA760+Model!BA761+Model!BA765+Model!BA780+Model!BA806+Model!BA749+Model!BA758+Model!BA747+Model!BA759+Model!BA794+Model!BA795+Model!BA796+Model!BA775+Model!BA804+Model!BA785+Model!BA771+Model!BA772</f>
        <v/>
      </c>
      <c r="BB73" s="1972">
        <f>Model!BB740+Model!BB741+Model!BB742+Model!BB743+Model!BB746+Model!BB752+Model!BB753+Model!BB754+Model!BB755+Model!BB757+Model!BB763+Model!BB764+Model!BB766+Model!BB767+Model!BB768+Model!BB769+Model!BB770+Model!BB773+Model!BB774+Model!BB776+Model!BB777+Model!BB779+Model!BB793+Model!BB798+Model!BB799+Model!BB800+Model!BB805+Model!BB809+Model!BB810+Model!BB748+Model!BB760+Model!BB761+Model!BB765+Model!BB780+Model!BB806+Model!BB749+Model!BB758+Model!BB747+Model!BB759+Model!BB794+Model!BB795+Model!BB796+Model!BB775+Model!BB804+Model!BB785+Model!BB771+Model!BB772</f>
        <v/>
      </c>
      <c r="BC73" s="1972">
        <f>Model!BC740+Model!BC741+Model!BC742+Model!BC743+Model!BC746+Model!BC752+Model!BC753+Model!BC754+Model!BC755+Model!BC757+Model!BC763+Model!BC764+Model!BC766+Model!BC767+Model!BC768+Model!BC769+Model!BC770+Model!BC773+Model!BC774+Model!BC776+Model!BC777+Model!BC779+Model!BC793+Model!BC798+Model!BC799+Model!BC800+Model!BC805+Model!BC809+Model!BC810+Model!BC748+Model!BC760+Model!BC761+Model!BC765+Model!BC780+Model!BC806+Model!BC749+Model!BC758+Model!BC747+Model!BC759+Model!BC794+Model!BC795+Model!BC796+Model!BC775+Model!BC804+Model!BC785+Model!BC771+Model!BC772</f>
        <v/>
      </c>
      <c r="BD73" s="1972">
        <f>Model!BD740+Model!BD741+Model!BD742+Model!BD743+Model!BD746+Model!BD752+Model!BD753+Model!BD754+Model!BD755+Model!BD757+Model!BD763+Model!BD764+Model!BD766+Model!BD767+Model!BD768+Model!BD769+Model!BD770+Model!BD773+Model!BD774+Model!BD776+Model!BD777+Model!BD779+Model!BD793+Model!BD798+Model!BD799+Model!BD800+Model!BD805+Model!BD809+Model!BD810+Model!BD748+Model!BD760+Model!BD761+Model!BD765+Model!BD780+Model!BD806+Model!BD749+Model!BD758+Model!BD747+Model!BD759+Model!BD794+Model!BD795+Model!BD796+Model!BD775+Model!BD804+Model!BD785+Model!BD771+Model!BD772</f>
        <v/>
      </c>
      <c r="BE73" s="1960">
        <f>Model!BE740+Model!BE741+Model!BE742+Model!BE743+Model!BE746+Model!BE752+Model!BE753+Model!BE754+Model!BE755+Model!BE757+Model!BE763+Model!BE764+Model!BE766+Model!BE767+Model!BE768+Model!BE769+Model!BE770+Model!BE773+Model!BE774+Model!BE776+Model!BE777+Model!BE779+Model!BE793+Model!BE798+Model!BE799+Model!BE800+Model!BE805+Model!BE809+Model!BE810+Model!BE748+Model!BE760+Model!BE761+Model!BE765+Model!BE780+Model!BE806+Model!BE749+Model!BE758+Model!BE747+Model!BE759+Model!BE794+Model!BE795+Model!BE796+Model!BE775+Model!BE804+Model!BE785+Model!BE771+Model!BE772</f>
        <v/>
      </c>
      <c r="BF73" s="1972">
        <f>Model!BF740+Model!BF741+Model!BF742+Model!BF743+Model!BF746+Model!BF752+Model!BF753+Model!BF754+Model!BF755+Model!BF757+Model!BF763+Model!BF764+Model!BF766+Model!BF767+Model!BF768+Model!BF769+Model!BF770+Model!BF771+Model!BF772+Model!BF773+Model!BF774+Model!BF776+Model!BF777+Model!BF779+Model!BF793+Model!BF797+Model!BF798+Model!BF799+Model!BF800+Model!BF805+Model!BF809+Model!BF810+Model!BF748+Model!BF760+Model!BF761+Model!BF765+Model!BF780+Model!BF806+Model!BF749+Model!BF758+Model!BF747+Model!BF759+Model!BF794+Model!BF795+Model!BF796+Model!BF775+Model!BF804+Model!BF785+Model!BF751</f>
        <v/>
      </c>
      <c r="BG73" s="1972">
        <f>Model!BG740+Model!BG741+Model!BG742+Model!BG743+Model!BG746+Model!BG752+Model!BG753+Model!BG754+Model!BG755+Model!BG757+Model!BG763+Model!BG764+Model!BG766+Model!BG767+Model!BG768+Model!BG769+Model!BG770+Model!BG771+Model!BG772+Model!BG773+Model!BG774+Model!BG776+Model!BG777+Model!BG779+Model!BG793+Model!BG797+Model!BG798+Model!BG799+Model!BG800+Model!BG805+Model!BG809+Model!BG810+Model!BG748+Model!BG760+Model!BG761+Model!BG765+Model!BG780+Model!BG806+Model!BG749+Model!BG758+Model!BG747+Model!BG759+Model!BG794+Model!BG795+Model!BG796+Model!BG775+Model!BG804+Model!BG785+Model!BG751</f>
        <v/>
      </c>
      <c r="BH73" s="1972">
        <f>Model!BH740+Model!BH741+Model!BH742+Model!BH743+Model!BH746+Model!BH752+Model!BH753+Model!BH754+Model!BH755+Model!BH757+Model!BH763+Model!BH764+Model!BH766+Model!BH767+Model!BH768+Model!BH769+Model!BH770+Model!BH771+Model!BH772+Model!BH773+Model!BH774+Model!BH776+Model!BH777+Model!BH779+Model!BH793+Model!BH797+Model!BH798+Model!BH799+Model!BH800+Model!BH805+Model!BH809+Model!BH810+Model!BH748+Model!BH760+Model!BH761+Model!BH765+Model!BH780+Model!BH806+Model!BH749+Model!BH758+Model!BH747+Model!BH759+Model!BH794+Model!BH795+Model!BH796+Model!BH775+Model!BH804+Model!BH785+Model!BH751</f>
        <v/>
      </c>
      <c r="BI73" s="1972">
        <f>Model!BI740+Model!BI741+Model!BI742+Model!BI743+Model!BI746+Model!BI752+Model!BI753+Model!BI754+Model!BI755+Model!BI757+Model!BI763+Model!BI764+Model!BI766+Model!BI767+Model!BI768+Model!BI769+Model!BI770+Model!BI771+Model!BI772+Model!BI773+Model!BI774+Model!BI776+Model!BI777+Model!BI779+Model!BI793+Model!BI797+Model!BI798+Model!BI799+Model!BI800+Model!BI805+Model!BI809+Model!BI810+Model!BI748+Model!BI760+Model!BI761+Model!BI765+Model!BI780+Model!BI806+Model!BI749+Model!BI758+Model!BI747+Model!BI759+Model!BI794+Model!BI795+Model!BI796+Model!BI775+Model!BI804+Model!BI785+Model!BI751</f>
        <v/>
      </c>
      <c r="BJ73" s="1960">
        <f>Model!BJ740+Model!BJ741+Model!BJ742+Model!BJ743+Model!BJ746+Model!BJ752+Model!BJ753+Model!BJ754+Model!BJ755+Model!BJ757+Model!BJ763+Model!BJ764+Model!BJ766+Model!BJ767+Model!BJ768+Model!BJ769+Model!BJ770+Model!BJ771+Model!BJ772+Model!BJ773+Model!BJ774+Model!BJ776+Model!BJ777+Model!BJ779+Model!BJ793+Model!BJ797+Model!BJ798+Model!BJ799+Model!BJ800+Model!BJ805+Model!BJ809+Model!BJ810+Model!BJ748+Model!BJ760+Model!BJ761+Model!BJ765+Model!BJ780+Model!BJ806+Model!BJ749+Model!BJ758+Model!BJ747+Model!BJ759+Model!BJ794+Model!BJ795+Model!BJ796+Model!BJ775+Model!BJ804+Model!BJ785+Model!BJ751</f>
        <v/>
      </c>
      <c r="BK73" s="1972">
        <f>Model!BK740+Model!BK741+Model!BK742+Model!BK743+Model!BK746+Model!BK752+Model!BK753+Model!BK754+Model!BK755+Model!BK757+Model!BK763+Model!BK764+Model!BK766+Model!BK767+Model!BK768+Model!BK769+Model!BK770+Model!BK771+Model!BK772+Model!BK773+Model!BK774+Model!BK776+Model!BK777+Model!BK779+Model!BK793+Model!BK797+Model!BK798+Model!BK799+Model!BK800+Model!BK805+Model!BK809+Model!BK810+Model!BK748+Model!BK760+Model!BK761+Model!BK765+Model!BK780+Model!BK806+Model!BK749+Model!BK758+Model!BK747+Model!BK759+Model!BK794+Model!BK795+Model!BK796+Model!BK775+Model!BK804+Model!BK785+Model!BK751+Model!BK750</f>
        <v/>
      </c>
      <c r="BL73" s="1972">
        <f>Model!BL740+Model!BL741+Model!BL742+Model!BL743+Model!BL746+Model!BL752+Model!BL753+Model!BL754+Model!BL755+Model!BL757+Model!BL763+Model!BL764+Model!BL766+Model!BL767+Model!BL768+Model!BL769+Model!BL770+Model!BL771+Model!BL772+Model!BL773+Model!BL774+Model!BL776+Model!BL777+Model!BL779+Model!BL793+Model!BL797+Model!BL798+Model!BL799+Model!BL800+Model!BL805+Model!BL809+Model!BL810+Model!BL748+Model!BL760+Model!BL761+Model!BL765+Model!BL780+Model!BL806+Model!BL749+Model!BL758+Model!BL747+Model!BL759+Model!BL794+Model!BL795+Model!BL796+Model!BL775+Model!BL804+Model!BL785+Model!BL751+Model!BL750</f>
        <v/>
      </c>
      <c r="BM73" s="1972">
        <f>Model!BM740+Model!BM741+Model!BM742+Model!BM743+Model!BM746+Model!BM752+Model!BM753+Model!BM754+Model!BM755+Model!BM757+Model!BM763+Model!BM764+Model!BM766+Model!BM767+Model!BM768+Model!BM769+Model!BM770+Model!BM771+Model!BM772+Model!BM773+Model!BM774+Model!BM776+Model!BM777+Model!BM779+Model!BM793+Model!BM797+Model!BM798+Model!BM799+Model!BM800+Model!BM805+Model!BM809+Model!BM810+Model!BM748+Model!BM760+Model!BM761+Model!BM765+Model!BM780+Model!BM806+Model!BM749+Model!BM758+Model!BM747+Model!BM759+Model!BM794+Model!BM795+Model!BM796+Model!BM775+Model!BM804+Model!BM785+Model!BM751+Model!BM750</f>
        <v/>
      </c>
      <c r="BN73" s="1972">
        <f>Model!BN740+Model!BN741+Model!BN742+Model!BN743+Model!BN746+Model!BN752+Model!BN753+Model!BN754+Model!BN755+Model!BN757+Model!BN763+Model!BN764+Model!BN766+Model!BN767+Model!BN768+Model!BN769+Model!BN770+Model!BN771+Model!BN772+Model!BN773+Model!BN774+Model!BN776+Model!BN777+Model!BN779+Model!BN793+Model!BN797+Model!BN798+Model!BN799+Model!BN800+Model!BN805+Model!BN809+Model!BN810+Model!BN748+Model!BN760+Model!BN761+Model!BN765+Model!BN780+Model!BN806+Model!BN749+Model!BN758+Model!BN747+Model!BN759+Model!BN794+Model!BN795+Model!BN796+Model!BN775+Model!BN804+Model!BN785+Model!BN751+Model!BN750</f>
        <v/>
      </c>
      <c r="BO73" s="1973">
        <f>Model!BO740+Model!BO741+Model!BO742+Model!BO743+Model!BO746+Model!BO752+Model!BO753+Model!BO754+Model!BO755+Model!BO757+Model!BO763+Model!BO764+Model!BO766+Model!BO767+Model!BO768+Model!BO769+Model!BO770+Model!BO771+Model!BO772+Model!BO773+Model!BO774+Model!BO776+Model!BO777+Model!BO779+Model!BO793+Model!BO797+Model!BO798+Model!BO799+Model!BO800+Model!BO805+Model!BO809+Model!BO810+Model!BO748+Model!BO760+Model!BO761+Model!BO765+Model!BO780+Model!BO806+Model!BO749+Model!BO758+Model!BO747+Model!BO759+Model!BO794+Model!BO795+Model!BO796+Model!BO775+Model!BO804+Model!BO785+Model!BO751+Model!BO750</f>
        <v/>
      </c>
      <c r="BP73" s="1972">
        <f>Model!BP740+Model!BP741+Model!BP742+Model!BP743+Model!BP746+Model!BP752+Model!BP753+Model!BP754+Model!BP755+Model!BP757+Model!BP763+Model!BP764+Model!BP766+Model!BP767+Model!BP768+Model!BP769+Model!BP770+Model!BP771+Model!BP772+Model!BP773+Model!BP774+Model!BP776+Model!BP777+Model!BP779+Model!BP793+Model!BP797+Model!BP798+Model!BP799+Model!BP800+Model!BP805+Model!BP809+Model!BP810+Model!BP748+Model!BP760+Model!BP761+Model!BP765+Model!BP780+Model!BP806+Model!BP749+Model!BP758+Model!BP747+Model!BP759+Model!BP794+Model!BP795+Model!BP796+Model!BP775+Model!BP804+Model!BP785+Model!BP751+Model!BP750</f>
        <v/>
      </c>
      <c r="BQ73" s="1972">
        <f>Model!BQ740+Model!BQ741+Model!BQ742+Model!BQ743+Model!BQ746+Model!BQ752+Model!BQ753+Model!BQ754+Model!BQ755+Model!BQ757+Model!BQ763+Model!BQ764+Model!BQ766+Model!BQ767+Model!BQ768+Model!BQ769+Model!BQ770+Model!BQ771+Model!BQ772+Model!BQ773+Model!BQ774+Model!BQ776+Model!BQ777+Model!BQ779+Model!BQ793+Model!BQ797+Model!BQ798+Model!BQ799+Model!BQ800+Model!BQ805+Model!BQ809+Model!BQ810+Model!BQ748+Model!BQ760+Model!BQ761+Model!BQ765+Model!BQ780+Model!BQ806+Model!BQ749+Model!BQ758+Model!BQ747+Model!BQ759+Model!BQ794+Model!BQ795+Model!BQ796+Model!BQ775+Model!BQ804+Model!BQ785+Model!BQ751+Model!BQ750</f>
        <v/>
      </c>
      <c r="BR73" s="1972">
        <f>Model!BR740+Model!BR741+Model!BR742+Model!BR743+Model!BR746+Model!BR752+Model!BR753+Model!BR754+Model!BR755+Model!BR757+Model!BR763+Model!BR764+Model!BR766+Model!BR767+Model!BR768+Model!BR769+Model!BR770+Model!BR771+Model!BR772+Model!BR773+Model!BR774+Model!BR776+Model!BR777+Model!BR779+Model!BR793+Model!BR797+Model!BR798+Model!BR799+Model!BR800+Model!BR805+Model!BR809+Model!BR810+Model!BR748+Model!BR760+Model!BR761+Model!BR765+Model!BR780+Model!BR806+Model!BR749+Model!BR758+Model!BR747+Model!BR759+Model!BR794+Model!BR795+Model!BR796+Model!BR775+Model!BR804+Model!BR785+Model!BR751+Model!BR750</f>
        <v/>
      </c>
      <c r="BS73" s="1972">
        <f>Model!BS740+Model!BS741+Model!BS742+Model!BS743+Model!BS746+Model!BS752+Model!BS753+Model!BS754+Model!BS755+Model!BS757+Model!BS763+Model!BS764+Model!BS766+Model!BS767+Model!BS768+Model!BS769+Model!BS770+Model!BS771+Model!BS772+Model!BS773+Model!BS774+Model!BS776+Model!BS777+Model!BS779+Model!BS793+Model!BS797+Model!BS798+Model!BS799+Model!BS800+Model!BS805+Model!BS809+Model!BS810+Model!BS748+Model!BS760+Model!BS761+Model!BS765+Model!BS780+Model!BS806+Model!BS749+Model!BS758+Model!BS747+Model!BS759+Model!BS794+Model!BS795+Model!BS796+Model!BS775+Model!BS804+Model!BS785+Model!BS751+Model!BS750</f>
        <v/>
      </c>
      <c r="BT73" s="1960">
        <f>Model!BT740+Model!BT741+Model!BT742+Model!BT743+Model!BT746+Model!BT752+Model!BT753+Model!BT754+Model!BT755+Model!BT757+Model!BT763+Model!BT764+Model!BT766+Model!BT767+Model!BT768+Model!BT769+Model!BT770+Model!BT771+Model!BT772+Model!BT773+Model!BT774+Model!BT776+Model!BT777+Model!BT779+Model!BT793+Model!BT797+Model!BT798+Model!BT799+Model!BT800+Model!BT805+Model!BT809+Model!BT810+Model!BT748+Model!BT760+Model!BT761+Model!BT765+Model!BT780+Model!BT806+Model!BT749+Model!BT758+Model!BT747+Model!BT759+Model!BT794+Model!BT795+Model!BT796+Model!BT775+Model!BT804+Model!BT785+Model!BT751+Model!BT750</f>
        <v/>
      </c>
      <c r="BU73" s="1972">
        <f>Model!BU740+Model!BU741+Model!BU742+Model!BU743+Model!BU746+Model!BU752+Model!BU753+Model!BU754+Model!BU755+Model!BU757+Model!BU763+Model!BU764+Model!BU766+Model!BU767+Model!BU768+Model!BU769+Model!BU770+Model!BU771+Model!BU772+Model!BU773+Model!BU774+Model!BU776+Model!BU777+Model!BU779+Model!BU793+Model!BU797+Model!BU798+Model!BU799+Model!BU800+Model!BU805+Model!BU809+Model!BU810+Model!BU748+Model!BU760+Model!BU761+Model!BU765+Model!BU780+Model!BU806+Model!BU749+Model!BU758+Model!BU747+Model!BU759+Model!BU794+Model!BU795+Model!BU796+Model!BU775+Model!BU804+Model!BU785+Model!BU751+Model!BU750</f>
        <v/>
      </c>
      <c r="BV73" s="1972">
        <f>Model!BV740+Model!BV741+Model!BV742+Model!BV743+Model!BV746+Model!BV752+Model!BV753+Model!BV754+Model!BV755+Model!BV757+Model!BV763+Model!BV764+Model!BV766+Model!BV767+Model!BV768+Model!BV769+Model!BV770+Model!BV771+Model!BV772+Model!BV773+Model!BV774+Model!BV776+Model!BV777+Model!BV779+Model!BV793+Model!BV797+Model!BV798+Model!BV799+Model!BV800+Model!BV805+Model!BV809+Model!BV810+Model!BV748+Model!BV760+Model!BV761+Model!BV765+Model!BV780+Model!BV806+Model!BV749+Model!BV758+Model!BV747+Model!BV759+Model!BV794+Model!BV795+Model!BV796+Model!BV775+Model!BV804+Model!BV785+Model!BV751+Model!BV750</f>
        <v/>
      </c>
      <c r="BW73" s="1972">
        <f>Model!BW740+Model!BW741+Model!BW742+Model!BW743+Model!BW746+Model!BW752+Model!BW753+Model!BW754+Model!BW755+Model!BW757+Model!BW763+Model!BW764+Model!BW766+Model!BW767+Model!BW768+Model!BW769+Model!BW770+Model!BW771+Model!BW772+Model!BW773+Model!BW774+Model!BW776+Model!BW777+Model!BW779+Model!BW793+Model!BW797+Model!BW798+Model!BW799+Model!BW800+Model!BW805+Model!BW809+Model!BW810+Model!BW748+Model!BW760+Model!BW761+Model!BW765+Model!BW780+Model!BW806+Model!BW749+Model!BW758+Model!BW747+Model!BW759+Model!BW794+Model!BW795+Model!BW796+Model!BW775+Model!BW804+Model!BW785+Model!BW751+Model!BW750</f>
        <v/>
      </c>
      <c r="BX73" s="1972">
        <f>Model!BX740+Model!BX741+Model!BX742+Model!BX743+Model!BX746+Model!BX752+Model!BX753+Model!BX754+Model!BX755+Model!BX757+Model!BX763+Model!BX764+Model!BX766+Model!BX767+Model!BX768+Model!BX769+Model!BX770+Model!BX771+Model!BX772+Model!BX773+Model!BX774+Model!BX776+Model!BX777+Model!BX779+Model!BX793+Model!BX797+Model!BX798+Model!BX799+Model!BX800+Model!BX805+Model!BX809+Model!BX810+Model!BX748+Model!BX760+Model!BX761+Model!BX765+Model!BX780+Model!BX806+Model!BX749+Model!BX758+Model!BX747+Model!BX759+Model!BX794+Model!BX795+Model!BX796+Model!BX775+Model!BX804+Model!BX785+Model!BX751+Model!BX750</f>
        <v/>
      </c>
      <c r="BY73" s="1960">
        <f>Model!BY740+Model!BY741+Model!BY742+Model!BY743+Model!BY746+Model!BY752+Model!BY753+Model!BY754+Model!BY755+Model!BY757+Model!BY763+Model!BY764+Model!BY766+Model!BY767+Model!BY768+Model!BY769+Model!BY770+Model!BY771+Model!BY772+Model!BY773+Model!BY774+Model!BY776+Model!BY777+Model!BY779+Model!BY793+Model!BY797+Model!BY798+Model!BY799+Model!BY800+Model!BY805+Model!BY809+Model!BY810+Model!BY748+Model!BY760+Model!BY761+Model!BY765+Model!BY780+Model!BY806+Model!BY749+Model!BY758+Model!BY747+Model!BY759+Model!BY794+Model!BY795+Model!BY796+Model!BY775+Model!BY804+Model!BY785+Model!BY751+Model!BY750</f>
        <v/>
      </c>
      <c r="BZ73" s="1960">
        <f>Model!BZ740+Model!BZ741+Model!BZ742+Model!BZ743+Model!BZ746+Model!BZ752+Model!BZ753+Model!BZ754+Model!BZ755+Model!BZ757+Model!BZ763+Model!BZ764+Model!BZ766+Model!BZ767+Model!BZ768+Model!BZ769+Model!BZ770+Model!BZ771+Model!BZ772+Model!BZ773+Model!BZ774+Model!BZ776+Model!BZ777+Model!BZ779+Model!BZ793+Model!BZ797+Model!BZ798+Model!BZ799+Model!BZ800+Model!BZ805+Model!BZ809+Model!BZ810+Model!BZ748+Model!BZ760+Model!BZ761+Model!BZ765+Model!BZ780+Model!BZ806+Model!BZ749+Model!BZ758+Model!BZ747+Model!BZ759+Model!BZ794+Model!BZ795+Model!BZ796+Model!BZ775+Model!BZ804+Model!BZ785+Model!BZ751+Model!BZ750</f>
        <v/>
      </c>
      <c r="CA73" s="1960">
        <f>Model!CA740+Model!CA741+Model!CA742+Model!CA743+Model!CA746+Model!CA752+Model!CA753+Model!CA754+Model!CA755+Model!CA757+Model!CA763+Model!CA764+Model!CA766+Model!CA767+Model!CA768+Model!CA769+Model!CA770+Model!CA771+Model!CA772+Model!CA773+Model!CA774+Model!CA776+Model!CA777+Model!CA779+Model!CA793+Model!CA797+Model!CA798+Model!CA799+Model!CA800+Model!CA805+Model!CA809+Model!CA810+Model!CA748+Model!CA760+Model!CA761+Model!CA765+Model!CA780+Model!CA806+Model!CA749+Model!CA758+Model!CA747+Model!CA759+Model!CA794+Model!CA795+Model!CA796+Model!CA775+Model!CA804+Model!CA785+Model!CA751+Model!CA750</f>
        <v/>
      </c>
      <c r="CB73" s="1960">
        <f>Model!CB740+Model!CB741+Model!CB742+Model!CB743+Model!CB746+Model!CB752+Model!CB753+Model!CB754+Model!CB755+Model!CB757+Model!CB763+Model!CB764+Model!CB766+Model!CB767+Model!CB768+Model!CB769+Model!CB770+Model!CB771+Model!CB772+Model!CB773+Model!CB774+Model!CB776+Model!CB777+Model!CB779+Model!CB793+Model!CB797+Model!CB798+Model!CB799+Model!CB800+Model!CB805+Model!CB809+Model!CB810+Model!CB748+Model!CB760+Model!CB761+Model!CB765+Model!CB780+Model!CB806+Model!CB749+Model!CB758+Model!CB747+Model!CB759+Model!CB794+Model!CB795+Model!CB796+Model!CB775+Model!CB804+Model!CB785+Model!CB751+Model!CB750</f>
        <v/>
      </c>
      <c r="CC73" s="1301" t="n"/>
    </row>
    <row r="74" ht="14.4" customFormat="1" customHeight="1" s="1974">
      <c r="A74" s="2003" t="inlineStr">
        <is>
          <t>Change in Cash Position</t>
        </is>
      </c>
      <c r="B74" s="2004" t="n"/>
      <c r="C74" s="2005">
        <f>SUM(C68:C73)</f>
        <v/>
      </c>
      <c r="D74" s="2005">
        <f>SUM(D68:D73)</f>
        <v/>
      </c>
      <c r="E74" s="2005">
        <f>SUM(E68:E73)</f>
        <v/>
      </c>
      <c r="F74" s="2005">
        <f>SUM(F68:F73)</f>
        <v/>
      </c>
      <c r="G74" s="2005">
        <f>SUM(G68:G73)</f>
        <v/>
      </c>
      <c r="H74" s="2006">
        <f>SUM(H68:H73)</f>
        <v/>
      </c>
      <c r="I74" s="2006">
        <f>SUM(I68:I73)</f>
        <v/>
      </c>
      <c r="J74" s="2006">
        <f>SUM(J68:J73)</f>
        <v/>
      </c>
      <c r="K74" s="2006">
        <f>SUM(K68:K73)</f>
        <v/>
      </c>
      <c r="L74" s="2005">
        <f>SUM(L68:L73)</f>
        <v/>
      </c>
      <c r="M74" s="2006">
        <f>SUM(M68:M73)</f>
        <v/>
      </c>
      <c r="N74" s="2006">
        <f>SUM(N68:N73)</f>
        <v/>
      </c>
      <c r="O74" s="2006">
        <f>SUM(O68:O73)</f>
        <v/>
      </c>
      <c r="P74" s="2006">
        <f>SUM(P68:P73)</f>
        <v/>
      </c>
      <c r="Q74" s="2005">
        <f>SUM(Q68:Q73)</f>
        <v/>
      </c>
      <c r="R74" s="2006">
        <f>SUM(R68:R73)</f>
        <v/>
      </c>
      <c r="S74" s="2006">
        <f>SUM(S68:S73)</f>
        <v/>
      </c>
      <c r="T74" s="2006">
        <f>SUM(T68:T73)</f>
        <v/>
      </c>
      <c r="U74" s="2006">
        <f>SUM(U68:U73)</f>
        <v/>
      </c>
      <c r="V74" s="2005">
        <f>SUM(V68:V73)</f>
        <v/>
      </c>
      <c r="W74" s="2006">
        <f>SUM(W68:W73)</f>
        <v/>
      </c>
      <c r="X74" s="2006">
        <f>SUM(X68:X73)</f>
        <v/>
      </c>
      <c r="Y74" s="2006">
        <f>SUM(Y68:Y73)</f>
        <v/>
      </c>
      <c r="Z74" s="2006">
        <f>SUM(Z68:Z73)</f>
        <v/>
      </c>
      <c r="AA74" s="2005">
        <f>SUM(AA68:AA73)</f>
        <v/>
      </c>
      <c r="AB74" s="2006">
        <f>SUM(AB68:AB73)</f>
        <v/>
      </c>
      <c r="AC74" s="2006">
        <f>SUM(AC68:AC73)</f>
        <v/>
      </c>
      <c r="AD74" s="2006">
        <f>SUM(AD68:AD73)</f>
        <v/>
      </c>
      <c r="AE74" s="2006">
        <f>SUM(AE68:AE73)</f>
        <v/>
      </c>
      <c r="AF74" s="2005">
        <f>SUM(AF68:AF73)</f>
        <v/>
      </c>
      <c r="AG74" s="2006">
        <f>SUM(AG68:AG73)</f>
        <v/>
      </c>
      <c r="AH74" s="2006">
        <f>SUM(AH68:AH73)</f>
        <v/>
      </c>
      <c r="AI74" s="2006">
        <f>SUM(AI68:AI73)</f>
        <v/>
      </c>
      <c r="AJ74" s="2006">
        <f>SUM(AJ68:AJ73)</f>
        <v/>
      </c>
      <c r="AK74" s="2005">
        <f>SUM(AK68:AK73)</f>
        <v/>
      </c>
      <c r="AL74" s="2006">
        <f>SUM(AL68:AL73)</f>
        <v/>
      </c>
      <c r="AM74" s="2006">
        <f>SUM(AM68:AM73)</f>
        <v/>
      </c>
      <c r="AN74" s="2006">
        <f>SUM(AN68:AN73)</f>
        <v/>
      </c>
      <c r="AO74" s="2006">
        <f>SUM(AO68:AO73)</f>
        <v/>
      </c>
      <c r="AP74" s="2005">
        <f>SUM(AP68:AP73)</f>
        <v/>
      </c>
      <c r="AQ74" s="2006">
        <f>SUM(AQ68:AQ73)</f>
        <v/>
      </c>
      <c r="AR74" s="2006">
        <f>SUM(AR68:AR73)</f>
        <v/>
      </c>
      <c r="AS74" s="2006">
        <f>SUM(AS68:AS73)</f>
        <v/>
      </c>
      <c r="AT74" s="2006">
        <f>SUM(AT68:AT73)</f>
        <v/>
      </c>
      <c r="AU74" s="2005">
        <f>SUM(AU68:AU73)</f>
        <v/>
      </c>
      <c r="AV74" s="2006">
        <f>SUM(AV68:AV73)</f>
        <v/>
      </c>
      <c r="AW74" s="2006">
        <f>SUM(AW68:AW73)</f>
        <v/>
      </c>
      <c r="AX74" s="2006">
        <f>SUM(AX68:AX73)</f>
        <v/>
      </c>
      <c r="AY74" s="2006">
        <f>SUM(AY68:AY73)</f>
        <v/>
      </c>
      <c r="AZ74" s="2005">
        <f>SUM(AZ68:AZ73)</f>
        <v/>
      </c>
      <c r="BA74" s="2006">
        <f>SUM(BA68:BA73)</f>
        <v/>
      </c>
      <c r="BB74" s="2006">
        <f>SUM(BB68:BB73)</f>
        <v/>
      </c>
      <c r="BC74" s="2006">
        <f>SUM(BC68:BC73)</f>
        <v/>
      </c>
      <c r="BD74" s="2006">
        <f>SUM(BD68:BD73)</f>
        <v/>
      </c>
      <c r="BE74" s="2005">
        <f>SUM(BE68:BE73)</f>
        <v/>
      </c>
      <c r="BF74" s="2006">
        <f>SUM(BF68:BF73)</f>
        <v/>
      </c>
      <c r="BG74" s="2006">
        <f>SUM(BG68:BG73)</f>
        <v/>
      </c>
      <c r="BH74" s="2006">
        <f>SUM(BH68:BH73)</f>
        <v/>
      </c>
      <c r="BI74" s="2006">
        <f>SUM(BI68:BI73)</f>
        <v/>
      </c>
      <c r="BJ74" s="2005">
        <f>SUM(BJ68:BJ73)</f>
        <v/>
      </c>
      <c r="BK74" s="2006">
        <f>SUM(BK68:BK73)</f>
        <v/>
      </c>
      <c r="BL74" s="2006">
        <f>SUM(BL68:BL73)</f>
        <v/>
      </c>
      <c r="BM74" s="2006">
        <f>SUM(BM68:BM73)</f>
        <v/>
      </c>
      <c r="BN74" s="2006">
        <f>SUM(BN68:BN73)</f>
        <v/>
      </c>
      <c r="BO74" s="2007">
        <f>SUM(BO68:BO73)</f>
        <v/>
      </c>
      <c r="BP74" s="2006">
        <f>SUM(BP68:BP73)</f>
        <v/>
      </c>
      <c r="BQ74" s="2006">
        <f>SUM(BQ68:BQ73)</f>
        <v/>
      </c>
      <c r="BR74" s="2006">
        <f>SUM(BR68:BR73)</f>
        <v/>
      </c>
      <c r="BS74" s="2006">
        <f>SUM(BS68:BS73)</f>
        <v/>
      </c>
      <c r="BT74" s="2005">
        <f>SUM(BT68:BT73)</f>
        <v/>
      </c>
      <c r="BU74" s="2006">
        <f>SUM(BU68:BU73)</f>
        <v/>
      </c>
      <c r="BV74" s="2006">
        <f>SUM(BV68:BV73)</f>
        <v/>
      </c>
      <c r="BW74" s="2006">
        <f>SUM(BW68:BW73)</f>
        <v/>
      </c>
      <c r="BX74" s="2006">
        <f>SUM(BX68:BX73)</f>
        <v/>
      </c>
      <c r="BY74" s="2005">
        <f>SUM(BY68:BY73)</f>
        <v/>
      </c>
      <c r="BZ74" s="2005">
        <f>SUM(BZ68:BZ73)</f>
        <v/>
      </c>
      <c r="CA74" s="2005">
        <f>SUM(CA68:CA73)</f>
        <v/>
      </c>
      <c r="CB74" s="2005">
        <f>SUM(CB68:CB73)</f>
        <v/>
      </c>
      <c r="CC74" s="1977" t="n"/>
    </row>
    <row r="75" ht="14.4" customFormat="1" customHeight="1" s="1974">
      <c r="A75" s="1949" t="n"/>
      <c r="B75" s="1975" t="n"/>
      <c r="C75" s="1976" t="n"/>
      <c r="D75" s="1976" t="n"/>
      <c r="E75" s="1976" t="n"/>
      <c r="F75" s="1976" t="n"/>
      <c r="G75" s="1976" t="n"/>
      <c r="H75" s="1977" t="n"/>
      <c r="I75" s="1977" t="n"/>
      <c r="J75" s="1977" t="n"/>
      <c r="K75" s="1977" t="n"/>
      <c r="L75" s="1976" t="n"/>
      <c r="M75" s="1977" t="n"/>
      <c r="N75" s="1977" t="n"/>
      <c r="O75" s="1977" t="n"/>
      <c r="P75" s="1977" t="n"/>
      <c r="Q75" s="1976" t="n"/>
      <c r="R75" s="1977" t="n"/>
      <c r="S75" s="1977" t="n"/>
      <c r="T75" s="1977" t="n"/>
      <c r="U75" s="1977" t="n"/>
      <c r="V75" s="1976" t="n"/>
      <c r="W75" s="1977" t="n"/>
      <c r="X75" s="1977" t="n"/>
      <c r="Y75" s="1977" t="n"/>
      <c r="Z75" s="1977" t="n"/>
      <c r="AA75" s="1976" t="n"/>
      <c r="AB75" s="1977" t="n"/>
      <c r="AC75" s="1977" t="n"/>
      <c r="AD75" s="1977" t="n"/>
      <c r="AE75" s="1977" t="n"/>
      <c r="AF75" s="1976" t="n"/>
      <c r="AG75" s="1977" t="n"/>
      <c r="AH75" s="1977" t="n"/>
      <c r="AI75" s="1977" t="n"/>
      <c r="AJ75" s="1977" t="n"/>
      <c r="AK75" s="1976" t="n"/>
      <c r="AL75" s="1977" t="n"/>
      <c r="AM75" s="1977" t="n"/>
      <c r="AN75" s="1977" t="n"/>
      <c r="AO75" s="1977" t="n"/>
      <c r="AP75" s="1976" t="n"/>
      <c r="AQ75" s="1977" t="n"/>
      <c r="AR75" s="1977" t="n"/>
      <c r="AS75" s="1977" t="n"/>
      <c r="AT75" s="1977" t="n"/>
      <c r="AU75" s="1976" t="n"/>
      <c r="AV75" s="1977" t="n"/>
      <c r="AW75" s="1977" t="n"/>
      <c r="AX75" s="1977" t="n"/>
      <c r="AY75" s="1977" t="n"/>
      <c r="AZ75" s="1976" t="n"/>
      <c r="BA75" s="1977" t="n"/>
      <c r="BB75" s="1977" t="n"/>
      <c r="BC75" s="1977" t="n"/>
      <c r="BD75" s="1977" t="n"/>
      <c r="BE75" s="1976" t="n"/>
      <c r="BF75" s="1977" t="n"/>
      <c r="BG75" s="1977" t="n"/>
      <c r="BH75" s="1977" t="n"/>
      <c r="BI75" s="1977" t="n"/>
      <c r="BJ75" s="1976" t="n"/>
      <c r="BK75" s="1977" t="n"/>
      <c r="BL75" s="1977" t="n"/>
      <c r="BM75" s="1977" t="n"/>
      <c r="BN75" s="1977" t="n"/>
      <c r="BO75" s="1978" t="n"/>
      <c r="BP75" s="1977" t="n"/>
      <c r="BQ75" s="1977" t="n"/>
      <c r="BR75" s="1977" t="n"/>
      <c r="BS75" s="1977" t="n"/>
      <c r="BT75" s="1976" t="n"/>
      <c r="BU75" s="1977" t="n"/>
      <c r="BV75" s="1977" t="n"/>
      <c r="BW75" s="1977" t="n"/>
      <c r="BX75" s="1977" t="n"/>
      <c r="BY75" s="1976" t="n"/>
      <c r="BZ75" s="1976" t="n"/>
      <c r="CA75" s="1976" t="n"/>
      <c r="CB75" s="1976" t="n"/>
      <c r="CC75" s="1977" t="n"/>
    </row>
    <row r="76" ht="14.4" customFormat="1" customHeight="1" s="1947">
      <c r="A76" s="2008" t="inlineStr">
        <is>
          <t>Operating Cash Flow Per Share</t>
        </is>
      </c>
      <c r="B76" s="2009" t="n"/>
      <c r="C76" s="2010">
        <f>INDEX(SP_CFA_CFO,0,COLUMN())/INDEX(SP_GF_ShareCount,0,COLUMN())</f>
        <v/>
      </c>
      <c r="D76" s="2010">
        <f>INDEX(SP_CFA_CFO,0,COLUMN())/INDEX(SP_GF_ShareCount,0,COLUMN())</f>
        <v/>
      </c>
      <c r="E76" s="2010">
        <f>INDEX(SP_CFA_CFO,0,COLUMN())/INDEX(SP_GF_ShareCount,0,COLUMN())</f>
        <v/>
      </c>
      <c r="F76" s="2010">
        <f>INDEX(SP_CFA_CFO,0,COLUMN())/INDEX(SP_GF_ShareCount,0,COLUMN())</f>
        <v/>
      </c>
      <c r="G76" s="2010">
        <f>INDEX(SP_CFA_CFO,0,COLUMN())/INDEX(SP_GF_ShareCount,0,COLUMN())</f>
        <v/>
      </c>
      <c r="H76" s="2011">
        <f>INDEX(SP_CFA_CFO,0,COLUMN())/INDEX(SP_GF_ShareCount,0,COLUMN())</f>
        <v/>
      </c>
      <c r="I76" s="2011">
        <f>INDEX(SP_CFA_CFO,0,COLUMN())/INDEX(SP_GF_ShareCount,0,COLUMN())</f>
        <v/>
      </c>
      <c r="J76" s="2011">
        <f>INDEX(SP_CFA_CFO,0,COLUMN())/INDEX(SP_GF_ShareCount,0,COLUMN())</f>
        <v/>
      </c>
      <c r="K76" s="2011">
        <f>INDEX(SP_CFA_CFO,0,COLUMN())/INDEX(SP_GF_ShareCount,0,COLUMN())</f>
        <v/>
      </c>
      <c r="L76" s="2010">
        <f>INDEX(SP_CFA_CFO,0,COLUMN())/INDEX(SP_GF_ShareCount,0,COLUMN())</f>
        <v/>
      </c>
      <c r="M76" s="2011">
        <f>INDEX(SP_CFA_CFO,0,COLUMN())/INDEX(SP_GF_ShareCount,0,COLUMN())</f>
        <v/>
      </c>
      <c r="N76" s="2011">
        <f>INDEX(SP_CFA_CFO,0,COLUMN())/INDEX(SP_GF_ShareCount,0,COLUMN())</f>
        <v/>
      </c>
      <c r="O76" s="2011">
        <f>INDEX(SP_CFA_CFO,0,COLUMN())/INDEX(SP_GF_ShareCount,0,COLUMN())</f>
        <v/>
      </c>
      <c r="P76" s="2011">
        <f>INDEX(SP_CFA_CFO,0,COLUMN())/INDEX(SP_GF_ShareCount,0,COLUMN())</f>
        <v/>
      </c>
      <c r="Q76" s="2010">
        <f>INDEX(SP_CFA_CFO,0,COLUMN())/INDEX(SP_GF_ShareCount,0,COLUMN())</f>
        <v/>
      </c>
      <c r="R76" s="2011">
        <f>INDEX(SP_CFA_CFO,0,COLUMN())/INDEX(SP_GF_ShareCount,0,COLUMN())</f>
        <v/>
      </c>
      <c r="S76" s="2011">
        <f>INDEX(SP_CFA_CFO,0,COLUMN())/INDEX(SP_GF_ShareCount,0,COLUMN())</f>
        <v/>
      </c>
      <c r="T76" s="2011">
        <f>INDEX(SP_CFA_CFO,0,COLUMN())/INDEX(SP_GF_ShareCount,0,COLUMN())</f>
        <v/>
      </c>
      <c r="U76" s="2011">
        <f>INDEX(SP_CFA_CFO,0,COLUMN())/INDEX(SP_GF_ShareCount,0,COLUMN())</f>
        <v/>
      </c>
      <c r="V76" s="2010">
        <f>INDEX(SP_CFA_CFO,0,COLUMN())/INDEX(SP_GF_ShareCount,0,COLUMN())</f>
        <v/>
      </c>
      <c r="W76" s="2011">
        <f>INDEX(SP_CFA_CFO,0,COLUMN())/INDEX(SP_GF_ShareCount,0,COLUMN())</f>
        <v/>
      </c>
      <c r="X76" s="2011">
        <f>INDEX(SP_CFA_CFO,0,COLUMN())/INDEX(SP_GF_ShareCount,0,COLUMN())</f>
        <v/>
      </c>
      <c r="Y76" s="2011">
        <f>INDEX(SP_CFA_CFO,0,COLUMN())/INDEX(SP_GF_ShareCount,0,COLUMN())</f>
        <v/>
      </c>
      <c r="Z76" s="2011">
        <f>INDEX(SP_CFA_CFO,0,COLUMN())/INDEX(SP_GF_ShareCount,0,COLUMN())</f>
        <v/>
      </c>
      <c r="AA76" s="2010">
        <f>INDEX(SP_CFA_CFO,0,COLUMN())/INDEX(SP_GF_ShareCount,0,COLUMN())</f>
        <v/>
      </c>
      <c r="AB76" s="2011">
        <f>INDEX(SP_CFA_CFO,0,COLUMN())/INDEX(SP_GF_ShareCount,0,COLUMN())</f>
        <v/>
      </c>
      <c r="AC76" s="2011">
        <f>INDEX(SP_CFA_CFO,0,COLUMN())/INDEX(SP_GF_ShareCount,0,COLUMN())</f>
        <v/>
      </c>
      <c r="AD76" s="2011">
        <f>INDEX(SP_CFA_CFO,0,COLUMN())/INDEX(SP_GF_ShareCount,0,COLUMN())</f>
        <v/>
      </c>
      <c r="AE76" s="2011">
        <f>INDEX(SP_CFA_CFO,0,COLUMN())/INDEX(SP_GF_ShareCount,0,COLUMN())</f>
        <v/>
      </c>
      <c r="AF76" s="2010">
        <f>INDEX(SP_CFA_CFO,0,COLUMN())/INDEX(SP_GF_ShareCount,0,COLUMN())</f>
        <v/>
      </c>
      <c r="AG76" s="2011">
        <f>INDEX(SP_CFA_CFO,0,COLUMN())/INDEX(SP_GF_ShareCount,0,COLUMN())</f>
        <v/>
      </c>
      <c r="AH76" s="2011">
        <f>INDEX(SP_CFA_CFO,0,COLUMN())/INDEX(SP_GF_ShareCount,0,COLUMN())</f>
        <v/>
      </c>
      <c r="AI76" s="2011">
        <f>INDEX(SP_CFA_CFO,0,COLUMN())/INDEX(SP_GF_ShareCount,0,COLUMN())</f>
        <v/>
      </c>
      <c r="AJ76" s="2011">
        <f>INDEX(SP_CFA_CFO,0,COLUMN())/INDEX(SP_GF_ShareCount,0,COLUMN())</f>
        <v/>
      </c>
      <c r="AK76" s="2010">
        <f>INDEX(SP_CFA_CFO,0,COLUMN())/INDEX(SP_GF_ShareCount,0,COLUMN())</f>
        <v/>
      </c>
      <c r="AL76" s="2011">
        <f>INDEX(SP_CFA_CFO,0,COLUMN())/INDEX(SP_GF_ShareCount,0,COLUMN())</f>
        <v/>
      </c>
      <c r="AM76" s="2011">
        <f>INDEX(SP_CFA_CFO,0,COLUMN())/INDEX(SP_GF_ShareCount,0,COLUMN())</f>
        <v/>
      </c>
      <c r="AN76" s="2011">
        <f>INDEX(SP_CFA_CFO,0,COLUMN())/INDEX(SP_GF_ShareCount,0,COLUMN())</f>
        <v/>
      </c>
      <c r="AO76" s="2011">
        <f>INDEX(SP_CFA_CFO,0,COLUMN())/INDEX(SP_GF_ShareCount,0,COLUMN())</f>
        <v/>
      </c>
      <c r="AP76" s="2010">
        <f>INDEX(SP_CFA_CFO,0,COLUMN())/INDEX(SP_GF_ShareCount,0,COLUMN())</f>
        <v/>
      </c>
      <c r="AQ76" s="2011">
        <f>INDEX(SP_CFA_CFO,0,COLUMN())/INDEX(SP_GF_ShareCount,0,COLUMN())</f>
        <v/>
      </c>
      <c r="AR76" s="2011">
        <f>INDEX(SP_CFA_CFO,0,COLUMN())/INDEX(SP_GF_ShareCount,0,COLUMN())</f>
        <v/>
      </c>
      <c r="AS76" s="2011">
        <f>INDEX(SP_CFA_CFO,0,COLUMN())/INDEX(SP_GF_ShareCount,0,COLUMN())</f>
        <v/>
      </c>
      <c r="AT76" s="2011">
        <f>INDEX(SP_CFA_CFO,0,COLUMN())/INDEX(SP_GF_ShareCount,0,COLUMN())</f>
        <v/>
      </c>
      <c r="AU76" s="2010">
        <f>INDEX(SP_CFA_CFO,0,COLUMN())/INDEX(SP_GF_ShareCount,0,COLUMN())</f>
        <v/>
      </c>
      <c r="AV76" s="2011">
        <f>INDEX(SP_CFA_CFO,0,COLUMN())/INDEX(SP_GF_ShareCount,0,COLUMN())</f>
        <v/>
      </c>
      <c r="AW76" s="2011">
        <f>INDEX(SP_CFA_CFO,0,COLUMN())/INDEX(SP_GF_ShareCount,0,COLUMN())</f>
        <v/>
      </c>
      <c r="AX76" s="2011">
        <f>INDEX(SP_CFA_CFO,0,COLUMN())/INDEX(SP_GF_ShareCount,0,COLUMN())</f>
        <v/>
      </c>
      <c r="AY76" s="2011">
        <f>INDEX(SP_CFA_CFO,0,COLUMN())/INDEX(SP_GF_ShareCount,0,COLUMN())</f>
        <v/>
      </c>
      <c r="AZ76" s="2010">
        <f>INDEX(SP_CFA_CFO,0,COLUMN())/INDEX(SP_GF_ShareCount,0,COLUMN())</f>
        <v/>
      </c>
      <c r="BA76" s="2011">
        <f>INDEX(SP_CFA_CFO,0,COLUMN())/INDEX(SP_GF_ShareCount,0,COLUMN())</f>
        <v/>
      </c>
      <c r="BB76" s="2011">
        <f>INDEX(SP_CFA_CFO,0,COLUMN())/INDEX(SP_GF_ShareCount,0,COLUMN())</f>
        <v/>
      </c>
      <c r="BC76" s="2011">
        <f>INDEX(SP_CFA_CFO,0,COLUMN())/INDEX(SP_GF_ShareCount,0,COLUMN())</f>
        <v/>
      </c>
      <c r="BD76" s="2011">
        <f>INDEX(SP_CFA_CFO,0,COLUMN())/INDEX(SP_GF_ShareCount,0,COLUMN())</f>
        <v/>
      </c>
      <c r="BE76" s="2010">
        <f>INDEX(SP_CFA_CFO,0,COLUMN())/INDEX(SP_GF_ShareCount,0,COLUMN())</f>
        <v/>
      </c>
      <c r="BF76" s="2011">
        <f>INDEX(SP_CFA_CFO,0,COLUMN())/INDEX(SP_GF_ShareCount,0,COLUMN())</f>
        <v/>
      </c>
      <c r="BG76" s="2011">
        <f>INDEX(SP_CFA_CFO,0,COLUMN())/INDEX(SP_GF_ShareCount,0,COLUMN())</f>
        <v/>
      </c>
      <c r="BH76" s="2011">
        <f>INDEX(SP_CFA_CFO,0,COLUMN())/INDEX(SP_GF_ShareCount,0,COLUMN())</f>
        <v/>
      </c>
      <c r="BI76" s="2011">
        <f>INDEX(SP_CFA_CFO,0,COLUMN())/INDEX(SP_GF_ShareCount,0,COLUMN())</f>
        <v/>
      </c>
      <c r="BJ76" s="2010">
        <f>INDEX(SP_CFA_CFO,0,COLUMN())/INDEX(SP_GF_ShareCount,0,COLUMN())</f>
        <v/>
      </c>
      <c r="BK76" s="2011">
        <f>INDEX(SP_CFA_CFO,0,COLUMN())/INDEX(SP_GF_ShareCount,0,COLUMN())</f>
        <v/>
      </c>
      <c r="BL76" s="2011">
        <f>INDEX(SP_CFA_CFO,0,COLUMN())/INDEX(SP_GF_ShareCount,0,COLUMN())</f>
        <v/>
      </c>
      <c r="BM76" s="2011">
        <f>INDEX(SP_CFA_CFO,0,COLUMN())/INDEX(SP_GF_ShareCount,0,COLUMN())</f>
        <v/>
      </c>
      <c r="BN76" s="2011">
        <f>INDEX(SP_CFA_CFO,0,COLUMN())/INDEX(SP_GF_ShareCount,0,COLUMN())</f>
        <v/>
      </c>
      <c r="BO76" s="2012">
        <f>INDEX(SP_CFA_CFO,0,COLUMN())/INDEX(SP_GF_ShareCount,0,COLUMN())</f>
        <v/>
      </c>
      <c r="BP76" s="2011">
        <f>INDEX(SP_CFA_CFO,0,COLUMN())/INDEX(SP_GF_ShareCount,0,COLUMN())</f>
        <v/>
      </c>
      <c r="BQ76" s="2011">
        <f>INDEX(SP_CFA_CFO,0,COLUMN())/INDEX(SP_GF_ShareCount,0,COLUMN())</f>
        <v/>
      </c>
      <c r="BR76" s="2011">
        <f>INDEX(SP_CFA_CFO,0,COLUMN())/INDEX(SP_GF_ShareCount,0,COLUMN())</f>
        <v/>
      </c>
      <c r="BS76" s="2011">
        <f>INDEX(SP_CFA_CFO,0,COLUMN())/INDEX(SP_GF_ShareCount,0,COLUMN())</f>
        <v/>
      </c>
      <c r="BT76" s="2010">
        <f>INDEX(SP_CFA_CFO,0,COLUMN())/INDEX(SP_GF_ShareCount,0,COLUMN())</f>
        <v/>
      </c>
      <c r="BU76" s="2011">
        <f>INDEX(SP_CFA_CFO,0,COLUMN())/INDEX(SP_GF_ShareCount,0,COLUMN())</f>
        <v/>
      </c>
      <c r="BV76" s="2011">
        <f>INDEX(SP_CFA_CFO,0,COLUMN())/INDEX(SP_GF_ShareCount,0,COLUMN())</f>
        <v/>
      </c>
      <c r="BW76" s="2011">
        <f>INDEX(SP_CFA_CFO,0,COLUMN())/INDEX(SP_GF_ShareCount,0,COLUMN())</f>
        <v/>
      </c>
      <c r="BX76" s="2011">
        <f>INDEX(SP_CFA_CFO,0,COLUMN())/INDEX(SP_GF_ShareCount,0,COLUMN())</f>
        <v/>
      </c>
      <c r="BY76" s="2010">
        <f>INDEX(SP_CFA_CFO,0,COLUMN())/INDEX(SP_GF_ShareCount,0,COLUMN())</f>
        <v/>
      </c>
      <c r="BZ76" s="2010">
        <f>INDEX(SP_CFA_CFO,0,COLUMN())/INDEX(SP_GF_ShareCount,0,COLUMN())</f>
        <v/>
      </c>
      <c r="CA76" s="2010">
        <f>INDEX(SP_CFA_CFO,0,COLUMN())/INDEX(SP_GF_ShareCount,0,COLUMN())</f>
        <v/>
      </c>
      <c r="CB76" s="2010">
        <f>INDEX(SP_CFA_CFO,0,COLUMN())/INDEX(SP_GF_ShareCount,0,COLUMN())</f>
        <v/>
      </c>
      <c r="CC76" s="1954" t="n"/>
    </row>
    <row r="77" ht="14.4" customFormat="1" customHeight="1" s="1947">
      <c r="A77" s="2008" t="inlineStr">
        <is>
          <t>Core Free Cash Flow Per Share, Pre Div</t>
        </is>
      </c>
      <c r="B77" s="2009" t="n"/>
      <c r="C77" s="2010">
        <f>INDEX(SP_CFA_FCF_PreDiv,0,COLUMN())/INDEX(SP_GF_ShareCount,0,COLUMN())</f>
        <v/>
      </c>
      <c r="D77" s="2010">
        <f>INDEX(SP_CFA_FCF_PreDiv,0,COLUMN())/INDEX(SP_GF_ShareCount,0,COLUMN())</f>
        <v/>
      </c>
      <c r="E77" s="2010">
        <f>INDEX(SP_CFA_FCF_PreDiv,0,COLUMN())/INDEX(SP_GF_ShareCount,0,COLUMN())</f>
        <v/>
      </c>
      <c r="F77" s="2010">
        <f>INDEX(SP_CFA_FCF_PreDiv,0,COLUMN())/INDEX(SP_GF_ShareCount,0,COLUMN())</f>
        <v/>
      </c>
      <c r="G77" s="2010">
        <f>INDEX(SP_CFA_FCF_PreDiv,0,COLUMN())/INDEX(SP_GF_ShareCount,0,COLUMN())</f>
        <v/>
      </c>
      <c r="H77" s="2011">
        <f>INDEX(SP_CFA_FCF_PreDiv,0,COLUMN())/INDEX(SP_GF_ShareCount,0,COLUMN())</f>
        <v/>
      </c>
      <c r="I77" s="2011">
        <f>INDEX(SP_CFA_FCF_PreDiv,0,COLUMN())/INDEX(SP_GF_ShareCount,0,COLUMN())</f>
        <v/>
      </c>
      <c r="J77" s="2011">
        <f>INDEX(SP_CFA_FCF_PreDiv,0,COLUMN())/INDEX(SP_GF_ShareCount,0,COLUMN())</f>
        <v/>
      </c>
      <c r="K77" s="2011">
        <f>INDEX(SP_CFA_FCF_PreDiv,0,COLUMN())/INDEX(SP_GF_ShareCount,0,COLUMN())</f>
        <v/>
      </c>
      <c r="L77" s="2010">
        <f>INDEX(SP_CFA_FCF_PreDiv,0,COLUMN())/INDEX(SP_GF_ShareCount,0,COLUMN())</f>
        <v/>
      </c>
      <c r="M77" s="2011">
        <f>INDEX(SP_CFA_FCF_PreDiv,0,COLUMN())/INDEX(SP_GF_ShareCount,0,COLUMN())</f>
        <v/>
      </c>
      <c r="N77" s="2011">
        <f>INDEX(SP_CFA_FCF_PreDiv,0,COLUMN())/INDEX(SP_GF_ShareCount,0,COLUMN())</f>
        <v/>
      </c>
      <c r="O77" s="2011">
        <f>INDEX(SP_CFA_FCF_PreDiv,0,COLUMN())/INDEX(SP_GF_ShareCount,0,COLUMN())</f>
        <v/>
      </c>
      <c r="P77" s="2011">
        <f>INDEX(SP_CFA_FCF_PreDiv,0,COLUMN())/INDEX(SP_GF_ShareCount,0,COLUMN())</f>
        <v/>
      </c>
      <c r="Q77" s="2010">
        <f>INDEX(SP_CFA_FCF_PreDiv,0,COLUMN())/INDEX(SP_GF_ShareCount,0,COLUMN())</f>
        <v/>
      </c>
      <c r="R77" s="2011">
        <f>INDEX(SP_CFA_FCF_PreDiv,0,COLUMN())/INDEX(SP_GF_ShareCount,0,COLUMN())</f>
        <v/>
      </c>
      <c r="S77" s="2011">
        <f>INDEX(SP_CFA_FCF_PreDiv,0,COLUMN())/INDEX(SP_GF_ShareCount,0,COLUMN())</f>
        <v/>
      </c>
      <c r="T77" s="2011">
        <f>INDEX(SP_CFA_FCF_PreDiv,0,COLUMN())/INDEX(SP_GF_ShareCount,0,COLUMN())</f>
        <v/>
      </c>
      <c r="U77" s="2011">
        <f>INDEX(SP_CFA_FCF_PreDiv,0,COLUMN())/INDEX(SP_GF_ShareCount,0,COLUMN())</f>
        <v/>
      </c>
      <c r="V77" s="2010">
        <f>INDEX(SP_CFA_FCF_PreDiv,0,COLUMN())/INDEX(SP_GF_ShareCount,0,COLUMN())</f>
        <v/>
      </c>
      <c r="W77" s="2011">
        <f>INDEX(SP_CFA_FCF_PreDiv,0,COLUMN())/INDEX(SP_GF_ShareCount,0,COLUMN())</f>
        <v/>
      </c>
      <c r="X77" s="2011">
        <f>INDEX(SP_CFA_FCF_PreDiv,0,COLUMN())/INDEX(SP_GF_ShareCount,0,COLUMN())</f>
        <v/>
      </c>
      <c r="Y77" s="2011">
        <f>INDEX(SP_CFA_FCF_PreDiv,0,COLUMN())/INDEX(SP_GF_ShareCount,0,COLUMN())</f>
        <v/>
      </c>
      <c r="Z77" s="2011">
        <f>INDEX(SP_CFA_FCF_PreDiv,0,COLUMN())/INDEX(SP_GF_ShareCount,0,COLUMN())</f>
        <v/>
      </c>
      <c r="AA77" s="2010">
        <f>INDEX(SP_CFA_FCF_PreDiv,0,COLUMN())/INDEX(SP_GF_ShareCount,0,COLUMN())</f>
        <v/>
      </c>
      <c r="AB77" s="2011">
        <f>INDEX(SP_CFA_FCF_PreDiv,0,COLUMN())/INDEX(SP_GF_ShareCount,0,COLUMN())</f>
        <v/>
      </c>
      <c r="AC77" s="2011">
        <f>INDEX(SP_CFA_FCF_PreDiv,0,COLUMN())/INDEX(SP_GF_ShareCount,0,COLUMN())</f>
        <v/>
      </c>
      <c r="AD77" s="2011">
        <f>INDEX(SP_CFA_FCF_PreDiv,0,COLUMN())/INDEX(SP_GF_ShareCount,0,COLUMN())</f>
        <v/>
      </c>
      <c r="AE77" s="2011">
        <f>INDEX(SP_CFA_FCF_PreDiv,0,COLUMN())/INDEX(SP_GF_ShareCount,0,COLUMN())</f>
        <v/>
      </c>
      <c r="AF77" s="2010">
        <f>INDEX(SP_CFA_FCF_PreDiv,0,COLUMN())/INDEX(SP_GF_ShareCount,0,COLUMN())</f>
        <v/>
      </c>
      <c r="AG77" s="2011">
        <f>INDEX(SP_CFA_FCF_PreDiv,0,COLUMN())/INDEX(SP_GF_ShareCount,0,COLUMN())</f>
        <v/>
      </c>
      <c r="AH77" s="2011">
        <f>INDEX(SP_CFA_FCF_PreDiv,0,COLUMN())/INDEX(SP_GF_ShareCount,0,COLUMN())</f>
        <v/>
      </c>
      <c r="AI77" s="2011">
        <f>INDEX(SP_CFA_FCF_PreDiv,0,COLUMN())/INDEX(SP_GF_ShareCount,0,COLUMN())</f>
        <v/>
      </c>
      <c r="AJ77" s="2011">
        <f>INDEX(SP_CFA_FCF_PreDiv,0,COLUMN())/INDEX(SP_GF_ShareCount,0,COLUMN())</f>
        <v/>
      </c>
      <c r="AK77" s="2010">
        <f>INDEX(SP_CFA_FCF_PreDiv,0,COLUMN())/INDEX(SP_GF_ShareCount,0,COLUMN())</f>
        <v/>
      </c>
      <c r="AL77" s="2011">
        <f>INDEX(SP_CFA_FCF_PreDiv,0,COLUMN())/INDEX(SP_GF_ShareCount,0,COLUMN())</f>
        <v/>
      </c>
      <c r="AM77" s="2011">
        <f>INDEX(SP_CFA_FCF_PreDiv,0,COLUMN())/INDEX(SP_GF_ShareCount,0,COLUMN())</f>
        <v/>
      </c>
      <c r="AN77" s="2011">
        <f>INDEX(SP_CFA_FCF_PreDiv,0,COLUMN())/INDEX(SP_GF_ShareCount,0,COLUMN())</f>
        <v/>
      </c>
      <c r="AO77" s="2011">
        <f>INDEX(SP_CFA_FCF_PreDiv,0,COLUMN())/INDEX(SP_GF_ShareCount,0,COLUMN())</f>
        <v/>
      </c>
      <c r="AP77" s="2010">
        <f>INDEX(SP_CFA_FCF_PreDiv,0,COLUMN())/INDEX(SP_GF_ShareCount,0,COLUMN())</f>
        <v/>
      </c>
      <c r="AQ77" s="2011">
        <f>INDEX(SP_CFA_FCF_PreDiv,0,COLUMN())/INDEX(SP_GF_ShareCount,0,COLUMN())</f>
        <v/>
      </c>
      <c r="AR77" s="2011">
        <f>INDEX(SP_CFA_FCF_PreDiv,0,COLUMN())/INDEX(SP_GF_ShareCount,0,COLUMN())</f>
        <v/>
      </c>
      <c r="AS77" s="2011">
        <f>INDEX(SP_CFA_FCF_PreDiv,0,COLUMN())/INDEX(SP_GF_ShareCount,0,COLUMN())</f>
        <v/>
      </c>
      <c r="AT77" s="2011">
        <f>INDEX(SP_CFA_FCF_PreDiv,0,COLUMN())/INDEX(SP_GF_ShareCount,0,COLUMN())</f>
        <v/>
      </c>
      <c r="AU77" s="2010">
        <f>INDEX(SP_CFA_FCF_PreDiv,0,COLUMN())/INDEX(SP_GF_ShareCount,0,COLUMN())</f>
        <v/>
      </c>
      <c r="AV77" s="2011">
        <f>INDEX(SP_CFA_FCF_PreDiv,0,COLUMN())/INDEX(SP_GF_ShareCount,0,COLUMN())</f>
        <v/>
      </c>
      <c r="AW77" s="2011">
        <f>INDEX(SP_CFA_FCF_PreDiv,0,COLUMN())/INDEX(SP_GF_ShareCount,0,COLUMN())</f>
        <v/>
      </c>
      <c r="AX77" s="2011">
        <f>INDEX(SP_CFA_FCF_PreDiv,0,COLUMN())/INDEX(SP_GF_ShareCount,0,COLUMN())</f>
        <v/>
      </c>
      <c r="AY77" s="2011">
        <f>INDEX(SP_CFA_FCF_PreDiv,0,COLUMN())/INDEX(SP_GF_ShareCount,0,COLUMN())</f>
        <v/>
      </c>
      <c r="AZ77" s="2010">
        <f>INDEX(SP_CFA_FCF_PreDiv,0,COLUMN())/INDEX(SP_GF_ShareCount,0,COLUMN())</f>
        <v/>
      </c>
      <c r="BA77" s="2011">
        <f>INDEX(SP_CFA_FCF_PreDiv,0,COLUMN())/INDEX(SP_GF_ShareCount,0,COLUMN())</f>
        <v/>
      </c>
      <c r="BB77" s="2011">
        <f>INDEX(SP_CFA_FCF_PreDiv,0,COLUMN())/INDEX(SP_GF_ShareCount,0,COLUMN())</f>
        <v/>
      </c>
      <c r="BC77" s="2011">
        <f>INDEX(SP_CFA_FCF_PreDiv,0,COLUMN())/INDEX(SP_GF_ShareCount,0,COLUMN())</f>
        <v/>
      </c>
      <c r="BD77" s="2011">
        <f>INDEX(SP_CFA_FCF_PreDiv,0,COLUMN())/INDEX(SP_GF_ShareCount,0,COLUMN())</f>
        <v/>
      </c>
      <c r="BE77" s="2010">
        <f>INDEX(SP_CFA_FCF_PreDiv,0,COLUMN())/INDEX(SP_GF_ShareCount,0,COLUMN())</f>
        <v/>
      </c>
      <c r="BF77" s="2011">
        <f>INDEX(SP_CFA_FCF_PreDiv,0,COLUMN())/INDEX(SP_GF_ShareCount,0,COLUMN())</f>
        <v/>
      </c>
      <c r="BG77" s="2011">
        <f>INDEX(SP_CFA_FCF_PreDiv,0,COLUMN())/INDEX(SP_GF_ShareCount,0,COLUMN())</f>
        <v/>
      </c>
      <c r="BH77" s="2011">
        <f>INDEX(SP_CFA_FCF_PreDiv,0,COLUMN())/INDEX(SP_GF_ShareCount,0,COLUMN())</f>
        <v/>
      </c>
      <c r="BI77" s="2011">
        <f>INDEX(SP_CFA_FCF_PreDiv,0,COLUMN())/INDEX(SP_GF_ShareCount,0,COLUMN())</f>
        <v/>
      </c>
      <c r="BJ77" s="2010">
        <f>INDEX(SP_CFA_FCF_PreDiv,0,COLUMN())/INDEX(SP_GF_ShareCount,0,COLUMN())</f>
        <v/>
      </c>
      <c r="BK77" s="2011">
        <f>INDEX(SP_CFA_FCF_PreDiv,0,COLUMN())/INDEX(SP_GF_ShareCount,0,COLUMN())</f>
        <v/>
      </c>
      <c r="BL77" s="2011">
        <f>INDEX(SP_CFA_FCF_PreDiv,0,COLUMN())/INDEX(SP_GF_ShareCount,0,COLUMN())</f>
        <v/>
      </c>
      <c r="BM77" s="2011">
        <f>INDEX(SP_CFA_FCF_PreDiv,0,COLUMN())/INDEX(SP_GF_ShareCount,0,COLUMN())</f>
        <v/>
      </c>
      <c r="BN77" s="2011">
        <f>INDEX(SP_CFA_FCF_PreDiv,0,COLUMN())/INDEX(SP_GF_ShareCount,0,COLUMN())</f>
        <v/>
      </c>
      <c r="BO77" s="2012">
        <f>INDEX(SP_CFA_FCF_PreDiv,0,COLUMN())/INDEX(SP_GF_ShareCount,0,COLUMN())</f>
        <v/>
      </c>
      <c r="BP77" s="2011">
        <f>INDEX(SP_CFA_FCF_PreDiv,0,COLUMN())/INDEX(SP_GF_ShareCount,0,COLUMN())</f>
        <v/>
      </c>
      <c r="BQ77" s="2011">
        <f>INDEX(SP_CFA_FCF_PreDiv,0,COLUMN())/INDEX(SP_GF_ShareCount,0,COLUMN())</f>
        <v/>
      </c>
      <c r="BR77" s="2011">
        <f>INDEX(SP_CFA_FCF_PreDiv,0,COLUMN())/INDEX(SP_GF_ShareCount,0,COLUMN())</f>
        <v/>
      </c>
      <c r="BS77" s="2011">
        <f>INDEX(SP_CFA_FCF_PreDiv,0,COLUMN())/INDEX(SP_GF_ShareCount,0,COLUMN())</f>
        <v/>
      </c>
      <c r="BT77" s="2010">
        <f>INDEX(SP_CFA_FCF_PreDiv,0,COLUMN())/INDEX(SP_GF_ShareCount,0,COLUMN())</f>
        <v/>
      </c>
      <c r="BU77" s="2011">
        <f>INDEX(SP_CFA_FCF_PreDiv,0,COLUMN())/INDEX(SP_GF_ShareCount,0,COLUMN())</f>
        <v/>
      </c>
      <c r="BV77" s="2011">
        <f>INDEX(SP_CFA_FCF_PreDiv,0,COLUMN())/INDEX(SP_GF_ShareCount,0,COLUMN())</f>
        <v/>
      </c>
      <c r="BW77" s="2011">
        <f>INDEX(SP_CFA_FCF_PreDiv,0,COLUMN())/INDEX(SP_GF_ShareCount,0,COLUMN())</f>
        <v/>
      </c>
      <c r="BX77" s="2011">
        <f>INDEX(SP_CFA_FCF_PreDiv,0,COLUMN())/INDEX(SP_GF_ShareCount,0,COLUMN())</f>
        <v/>
      </c>
      <c r="BY77" s="2010">
        <f>INDEX(SP_CFA_FCF_PreDiv,0,COLUMN())/INDEX(SP_GF_ShareCount,0,COLUMN())</f>
        <v/>
      </c>
      <c r="BZ77" s="2010">
        <f>INDEX(SP_CFA_FCF_PreDiv,0,COLUMN())/INDEX(SP_GF_ShareCount,0,COLUMN())</f>
        <v/>
      </c>
      <c r="CA77" s="2010">
        <f>INDEX(SP_CFA_FCF_PreDiv,0,COLUMN())/INDEX(SP_GF_ShareCount,0,COLUMN())</f>
        <v/>
      </c>
      <c r="CB77" s="2010">
        <f>INDEX(SP_CFA_FCF_PreDiv,0,COLUMN())/INDEX(SP_GF_ShareCount,0,COLUMN())</f>
        <v/>
      </c>
      <c r="CC77" s="1954" t="n"/>
    </row>
    <row r="78" ht="14.4" customFormat="1" customHeight="1" s="1947">
      <c r="A78" s="2008">
        <f>INDEX(MO_CFSum_DPS,0,COLUMN())</f>
        <v/>
      </c>
      <c r="B78" s="2009" t="n"/>
      <c r="C78" s="2010">
        <f>INDEX(MO_CFSum_DPS,0,COLUMN())</f>
        <v/>
      </c>
      <c r="D78" s="2010">
        <f>INDEX(MO_CFSum_DPS,0,COLUMN())</f>
        <v/>
      </c>
      <c r="E78" s="2010">
        <f>INDEX(MO_CFSum_DPS,0,COLUMN())</f>
        <v/>
      </c>
      <c r="F78" s="2010">
        <f>INDEX(MO_CFSum_DPS,0,COLUMN())</f>
        <v/>
      </c>
      <c r="G78" s="2010">
        <f>INDEX(MO_CFSum_DPS,0,COLUMN())</f>
        <v/>
      </c>
      <c r="H78" s="2011">
        <f>INDEX(MO_CFSum_DPS,0,COLUMN())</f>
        <v/>
      </c>
      <c r="I78" s="2011">
        <f>INDEX(MO_CFSum_DPS,0,COLUMN())</f>
        <v/>
      </c>
      <c r="J78" s="2011">
        <f>INDEX(MO_CFSum_DPS,0,COLUMN())</f>
        <v/>
      </c>
      <c r="K78" s="2011">
        <f>INDEX(MO_CFSum_DPS,0,COLUMN())</f>
        <v/>
      </c>
      <c r="L78" s="2010">
        <f>INDEX(MO_CFSum_DPS,0,COLUMN())</f>
        <v/>
      </c>
      <c r="M78" s="2011">
        <f>INDEX(MO_CFSum_DPS,0,COLUMN())</f>
        <v/>
      </c>
      <c r="N78" s="2011">
        <f>INDEX(MO_CFSum_DPS,0,COLUMN())</f>
        <v/>
      </c>
      <c r="O78" s="2011">
        <f>INDEX(MO_CFSum_DPS,0,COLUMN())</f>
        <v/>
      </c>
      <c r="P78" s="2011">
        <f>INDEX(MO_CFSum_DPS,0,COLUMN())</f>
        <v/>
      </c>
      <c r="Q78" s="2010">
        <f>INDEX(MO_CFSum_DPS,0,COLUMN())</f>
        <v/>
      </c>
      <c r="R78" s="2011">
        <f>INDEX(MO_CFSum_DPS,0,COLUMN())</f>
        <v/>
      </c>
      <c r="S78" s="2011">
        <f>INDEX(MO_CFSum_DPS,0,COLUMN())</f>
        <v/>
      </c>
      <c r="T78" s="2011">
        <f>INDEX(MO_CFSum_DPS,0,COLUMN())</f>
        <v/>
      </c>
      <c r="U78" s="2011">
        <f>INDEX(MO_CFSum_DPS,0,COLUMN())</f>
        <v/>
      </c>
      <c r="V78" s="2010">
        <f>INDEX(MO_CFSum_DPS,0,COLUMN())</f>
        <v/>
      </c>
      <c r="W78" s="2011">
        <f>INDEX(MO_CFSum_DPS,0,COLUMN())</f>
        <v/>
      </c>
      <c r="X78" s="2011">
        <f>INDEX(MO_CFSum_DPS,0,COLUMN())</f>
        <v/>
      </c>
      <c r="Y78" s="2011">
        <f>INDEX(MO_CFSum_DPS,0,COLUMN())</f>
        <v/>
      </c>
      <c r="Z78" s="2011">
        <f>INDEX(MO_CFSum_DPS,0,COLUMN())</f>
        <v/>
      </c>
      <c r="AA78" s="2010">
        <f>INDEX(MO_CFSum_DPS,0,COLUMN())</f>
        <v/>
      </c>
      <c r="AB78" s="2011">
        <f>INDEX(MO_CFSum_DPS,0,COLUMN())</f>
        <v/>
      </c>
      <c r="AC78" s="2011">
        <f>INDEX(MO_CFSum_DPS,0,COLUMN())</f>
        <v/>
      </c>
      <c r="AD78" s="2011">
        <f>INDEX(MO_CFSum_DPS,0,COLUMN())</f>
        <v/>
      </c>
      <c r="AE78" s="2011">
        <f>INDEX(MO_CFSum_DPS,0,COLUMN())</f>
        <v/>
      </c>
      <c r="AF78" s="2010">
        <f>INDEX(MO_CFSum_DPS,0,COLUMN())</f>
        <v/>
      </c>
      <c r="AG78" s="2011">
        <f>INDEX(MO_CFSum_DPS,0,COLUMN())</f>
        <v/>
      </c>
      <c r="AH78" s="2011">
        <f>INDEX(MO_CFSum_DPS,0,COLUMN())</f>
        <v/>
      </c>
      <c r="AI78" s="2011">
        <f>INDEX(MO_CFSum_DPS,0,COLUMN())</f>
        <v/>
      </c>
      <c r="AJ78" s="2011">
        <f>INDEX(MO_CFSum_DPS,0,COLUMN())</f>
        <v/>
      </c>
      <c r="AK78" s="2010">
        <f>INDEX(MO_CFSum_DPS,0,COLUMN())</f>
        <v/>
      </c>
      <c r="AL78" s="2011">
        <f>INDEX(MO_CFSum_DPS,0,COLUMN())</f>
        <v/>
      </c>
      <c r="AM78" s="2011">
        <f>INDEX(MO_CFSum_DPS,0,COLUMN())</f>
        <v/>
      </c>
      <c r="AN78" s="2011">
        <f>INDEX(MO_CFSum_DPS,0,COLUMN())</f>
        <v/>
      </c>
      <c r="AO78" s="2011">
        <f>INDEX(MO_CFSum_DPS,0,COLUMN())</f>
        <v/>
      </c>
      <c r="AP78" s="2010">
        <f>INDEX(MO_CFSum_DPS,0,COLUMN())</f>
        <v/>
      </c>
      <c r="AQ78" s="2011">
        <f>INDEX(MO_CFSum_DPS,0,COLUMN())</f>
        <v/>
      </c>
      <c r="AR78" s="2011">
        <f>INDEX(MO_CFSum_DPS,0,COLUMN())</f>
        <v/>
      </c>
      <c r="AS78" s="2011">
        <f>INDEX(MO_CFSum_DPS,0,COLUMN())</f>
        <v/>
      </c>
      <c r="AT78" s="2011">
        <f>INDEX(MO_CFSum_DPS,0,COLUMN())</f>
        <v/>
      </c>
      <c r="AU78" s="2010">
        <f>INDEX(MO_CFSum_DPS,0,COLUMN())</f>
        <v/>
      </c>
      <c r="AV78" s="2011">
        <f>INDEX(MO_CFSum_DPS,0,COLUMN())</f>
        <v/>
      </c>
      <c r="AW78" s="2011">
        <f>INDEX(MO_CFSum_DPS,0,COLUMN())</f>
        <v/>
      </c>
      <c r="AX78" s="2011">
        <f>INDEX(MO_CFSum_DPS,0,COLUMN())</f>
        <v/>
      </c>
      <c r="AY78" s="2011">
        <f>INDEX(MO_CFSum_DPS,0,COLUMN())</f>
        <v/>
      </c>
      <c r="AZ78" s="2010">
        <f>INDEX(MO_CFSum_DPS,0,COLUMN())</f>
        <v/>
      </c>
      <c r="BA78" s="2011">
        <f>INDEX(MO_CFSum_DPS,0,COLUMN())</f>
        <v/>
      </c>
      <c r="BB78" s="2011">
        <f>INDEX(MO_CFSum_DPS,0,COLUMN())</f>
        <v/>
      </c>
      <c r="BC78" s="2011">
        <f>INDEX(MO_CFSum_DPS,0,COLUMN())</f>
        <v/>
      </c>
      <c r="BD78" s="2011">
        <f>INDEX(MO_CFSum_DPS,0,COLUMN())</f>
        <v/>
      </c>
      <c r="BE78" s="2010">
        <f>INDEX(MO_CFSum_DPS,0,COLUMN())</f>
        <v/>
      </c>
      <c r="BF78" s="2011">
        <f>INDEX(MO_CFSum_DPS,0,COLUMN())</f>
        <v/>
      </c>
      <c r="BG78" s="2011">
        <f>INDEX(MO_CFSum_DPS,0,COLUMN())</f>
        <v/>
      </c>
      <c r="BH78" s="2011">
        <f>INDEX(MO_CFSum_DPS,0,COLUMN())</f>
        <v/>
      </c>
      <c r="BI78" s="2011">
        <f>INDEX(MO_CFSum_DPS,0,COLUMN())</f>
        <v/>
      </c>
      <c r="BJ78" s="2010">
        <f>INDEX(MO_CFSum_DPS,0,COLUMN())</f>
        <v/>
      </c>
      <c r="BK78" s="2011">
        <f>INDEX(MO_CFSum_DPS,0,COLUMN())</f>
        <v/>
      </c>
      <c r="BL78" s="2011">
        <f>INDEX(MO_CFSum_DPS,0,COLUMN())</f>
        <v/>
      </c>
      <c r="BM78" s="2011">
        <f>INDEX(MO_CFSum_DPS,0,COLUMN())</f>
        <v/>
      </c>
      <c r="BN78" s="2011">
        <f>INDEX(MO_CFSum_DPS,0,COLUMN())</f>
        <v/>
      </c>
      <c r="BO78" s="2012">
        <f>INDEX(MO_CFSum_DPS,0,COLUMN())</f>
        <v/>
      </c>
      <c r="BP78" s="2011">
        <f>INDEX(MO_CFSum_DPS,0,COLUMN())</f>
        <v/>
      </c>
      <c r="BQ78" s="2011">
        <f>INDEX(MO_CFSum_DPS,0,COLUMN())</f>
        <v/>
      </c>
      <c r="BR78" s="2011">
        <f>INDEX(MO_CFSum_DPS,0,COLUMN())</f>
        <v/>
      </c>
      <c r="BS78" s="2011">
        <f>INDEX(MO_CFSum_DPS,0,COLUMN())</f>
        <v/>
      </c>
      <c r="BT78" s="2010">
        <f>INDEX(MO_CFSum_DPS,0,COLUMN())</f>
        <v/>
      </c>
      <c r="BU78" s="2011">
        <f>INDEX(MO_CFSum_DPS,0,COLUMN())</f>
        <v/>
      </c>
      <c r="BV78" s="2011">
        <f>INDEX(MO_CFSum_DPS,0,COLUMN())</f>
        <v/>
      </c>
      <c r="BW78" s="2011">
        <f>INDEX(MO_CFSum_DPS,0,COLUMN())</f>
        <v/>
      </c>
      <c r="BX78" s="2011">
        <f>INDEX(MO_CFSum_DPS,0,COLUMN())</f>
        <v/>
      </c>
      <c r="BY78" s="2010">
        <f>INDEX(MO_CFSum_DPS,0,COLUMN())</f>
        <v/>
      </c>
      <c r="BZ78" s="2010">
        <f>INDEX(MO_CFSum_DPS,0,COLUMN())</f>
        <v/>
      </c>
      <c r="CA78" s="2010">
        <f>INDEX(MO_CFSum_DPS,0,COLUMN())</f>
        <v/>
      </c>
      <c r="CB78" s="2010">
        <f>INDEX(MO_CFSum_DPS,0,COLUMN())</f>
        <v/>
      </c>
      <c r="CC78" s="1954" t="n"/>
    </row>
    <row r="79" ht="14.4" customFormat="1" customHeight="1" s="2028">
      <c r="A79" s="2029" t="inlineStr">
        <is>
          <t>Dividend Payout Ratio vs Core FCF, Pre Div</t>
        </is>
      </c>
      <c r="B79" s="2030" t="n"/>
      <c r="C79" s="2031">
        <f>C78/C77</f>
        <v/>
      </c>
      <c r="D79" s="2031">
        <f>D78/D77</f>
        <v/>
      </c>
      <c r="E79" s="2031">
        <f>E78/E77</f>
        <v/>
      </c>
      <c r="F79" s="2031">
        <f>F78/F77</f>
        <v/>
      </c>
      <c r="G79" s="2031">
        <f>G78/G77</f>
        <v/>
      </c>
      <c r="H79" s="2032">
        <f>H78/H77</f>
        <v/>
      </c>
      <c r="I79" s="2032">
        <f>I78/I77</f>
        <v/>
      </c>
      <c r="J79" s="2032">
        <f>J78/J77</f>
        <v/>
      </c>
      <c r="K79" s="2032">
        <f>K78/K77</f>
        <v/>
      </c>
      <c r="L79" s="2031">
        <f>L78/L77</f>
        <v/>
      </c>
      <c r="M79" s="2032">
        <f>M78/M77</f>
        <v/>
      </c>
      <c r="N79" s="2032">
        <f>N78/N77</f>
        <v/>
      </c>
      <c r="O79" s="2032">
        <f>O78/O77</f>
        <v/>
      </c>
      <c r="P79" s="2032">
        <f>P78/P77</f>
        <v/>
      </c>
      <c r="Q79" s="2031">
        <f>Q78/Q77</f>
        <v/>
      </c>
      <c r="R79" s="2032">
        <f>R78/R77</f>
        <v/>
      </c>
      <c r="S79" s="2032">
        <f>S78/S77</f>
        <v/>
      </c>
      <c r="T79" s="2032">
        <f>T78/T77</f>
        <v/>
      </c>
      <c r="U79" s="2032">
        <f>U78/U77</f>
        <v/>
      </c>
      <c r="V79" s="2031">
        <f>V78/V77</f>
        <v/>
      </c>
      <c r="W79" s="2032">
        <f>W78/W77</f>
        <v/>
      </c>
      <c r="X79" s="2032">
        <f>X78/X77</f>
        <v/>
      </c>
      <c r="Y79" s="2032">
        <f>Y78/Y77</f>
        <v/>
      </c>
      <c r="Z79" s="2032">
        <f>Z78/Z77</f>
        <v/>
      </c>
      <c r="AA79" s="2031">
        <f>AA78/AA77</f>
        <v/>
      </c>
      <c r="AB79" s="2032">
        <f>AB78/AB77</f>
        <v/>
      </c>
      <c r="AC79" s="2032">
        <f>AC78/AC77</f>
        <v/>
      </c>
      <c r="AD79" s="2032">
        <f>AD78/AD77</f>
        <v/>
      </c>
      <c r="AE79" s="2032">
        <f>AE78/AE77</f>
        <v/>
      </c>
      <c r="AF79" s="2031">
        <f>AF78/AF77</f>
        <v/>
      </c>
      <c r="AG79" s="2032">
        <f>AG78/AG77</f>
        <v/>
      </c>
      <c r="AH79" s="2032">
        <f>AH78/AH77</f>
        <v/>
      </c>
      <c r="AI79" s="2032">
        <f>AI78/AI77</f>
        <v/>
      </c>
      <c r="AJ79" s="2032">
        <f>AJ78/AJ77</f>
        <v/>
      </c>
      <c r="AK79" s="2031">
        <f>AK78/AK77</f>
        <v/>
      </c>
      <c r="AL79" s="2032">
        <f>AL78/AL77</f>
        <v/>
      </c>
      <c r="AM79" s="2032">
        <f>AM78/AM77</f>
        <v/>
      </c>
      <c r="AN79" s="2032">
        <f>AN78/AN77</f>
        <v/>
      </c>
      <c r="AO79" s="2032">
        <f>AO78/AO77</f>
        <v/>
      </c>
      <c r="AP79" s="2031">
        <f>AP78/AP77</f>
        <v/>
      </c>
      <c r="AQ79" s="2032">
        <f>AQ78/AQ77</f>
        <v/>
      </c>
      <c r="AR79" s="2032">
        <f>AR78/AR77</f>
        <v/>
      </c>
      <c r="AS79" s="2032">
        <f>AS78/AS77</f>
        <v/>
      </c>
      <c r="AT79" s="2032">
        <f>AT78/AT77</f>
        <v/>
      </c>
      <c r="AU79" s="2031">
        <f>AU78/AU77</f>
        <v/>
      </c>
      <c r="AV79" s="2032">
        <f>AV78/AV77</f>
        <v/>
      </c>
      <c r="AW79" s="2032">
        <f>AW78/AW77</f>
        <v/>
      </c>
      <c r="AX79" s="2032">
        <f>AX78/AX77</f>
        <v/>
      </c>
      <c r="AY79" s="2032">
        <f>AY78/AY77</f>
        <v/>
      </c>
      <c r="AZ79" s="2031">
        <f>AZ78/AZ77</f>
        <v/>
      </c>
      <c r="BA79" s="2032">
        <f>BA78/BA77</f>
        <v/>
      </c>
      <c r="BB79" s="2032">
        <f>BB78/BB77</f>
        <v/>
      </c>
      <c r="BC79" s="2032">
        <f>BC78/BC77</f>
        <v/>
      </c>
      <c r="BD79" s="2032">
        <f>BD78/BD77</f>
        <v/>
      </c>
      <c r="BE79" s="2031">
        <f>BE78/BE77</f>
        <v/>
      </c>
      <c r="BF79" s="2032">
        <f>BF78/BF77</f>
        <v/>
      </c>
      <c r="BG79" s="2032">
        <f>BG78/BG77</f>
        <v/>
      </c>
      <c r="BH79" s="2032">
        <f>BH78/BH77</f>
        <v/>
      </c>
      <c r="BI79" s="2032">
        <f>BI78/BI77</f>
        <v/>
      </c>
      <c r="BJ79" s="2031">
        <f>BJ78/BJ77</f>
        <v/>
      </c>
      <c r="BK79" s="2032">
        <f>BK78/BK77</f>
        <v/>
      </c>
      <c r="BL79" s="2032">
        <f>BL78/BL77</f>
        <v/>
      </c>
      <c r="BM79" s="2032">
        <f>BM78/BM77</f>
        <v/>
      </c>
      <c r="BN79" s="2032">
        <f>BN78/BN77</f>
        <v/>
      </c>
      <c r="BO79" s="2033">
        <f>BO78/BO77</f>
        <v/>
      </c>
      <c r="BP79" s="2032">
        <f>BP78/BP77</f>
        <v/>
      </c>
      <c r="BQ79" s="2032">
        <f>BQ78/BQ77</f>
        <v/>
      </c>
      <c r="BR79" s="2032">
        <f>BR78/BR77</f>
        <v/>
      </c>
      <c r="BS79" s="2032">
        <f>BS78/BS77</f>
        <v/>
      </c>
      <c r="BT79" s="2031">
        <f>BT78/BT77</f>
        <v/>
      </c>
      <c r="BU79" s="2032">
        <f>BU78/BU77</f>
        <v/>
      </c>
      <c r="BV79" s="2032">
        <f>BV78/BV77</f>
        <v/>
      </c>
      <c r="BW79" s="2032">
        <f>BW78/BW77</f>
        <v/>
      </c>
      <c r="BX79" s="2032">
        <f>BX78/BX77</f>
        <v/>
      </c>
      <c r="BY79" s="2031">
        <f>BY78/BY77</f>
        <v/>
      </c>
      <c r="BZ79" s="2031">
        <f>BZ78/BZ77</f>
        <v/>
      </c>
      <c r="CA79" s="2031">
        <f>CA78/CA77</f>
        <v/>
      </c>
      <c r="CB79" s="2031">
        <f>CB78/CB77</f>
        <v/>
      </c>
      <c r="CC79" s="2034" t="n"/>
    </row>
    <row r="80" ht="14.4" customFormat="1" customHeight="1" s="2028">
      <c r="A80" s="2029" t="inlineStr">
        <is>
          <t>Dividend Payout Ratio vs Earnings Per Share</t>
        </is>
      </c>
      <c r="B80" s="2030" t="n"/>
      <c r="C80" s="2031">
        <f>C78/C47</f>
        <v/>
      </c>
      <c r="D80" s="2031">
        <f>D78/D47</f>
        <v/>
      </c>
      <c r="E80" s="2031">
        <f>E78/E47</f>
        <v/>
      </c>
      <c r="F80" s="2031">
        <f>F78/F47</f>
        <v/>
      </c>
      <c r="G80" s="2031">
        <f>G78/G47</f>
        <v/>
      </c>
      <c r="H80" s="2032">
        <f>H78/H47</f>
        <v/>
      </c>
      <c r="I80" s="2032">
        <f>I78/I47</f>
        <v/>
      </c>
      <c r="J80" s="2032">
        <f>J78/J47</f>
        <v/>
      </c>
      <c r="K80" s="2032">
        <f>K78/K47</f>
        <v/>
      </c>
      <c r="L80" s="2031">
        <f>L78/L47</f>
        <v/>
      </c>
      <c r="M80" s="2032">
        <f>M78/M47</f>
        <v/>
      </c>
      <c r="N80" s="2032">
        <f>N78/N47</f>
        <v/>
      </c>
      <c r="O80" s="2032">
        <f>O78/O47</f>
        <v/>
      </c>
      <c r="P80" s="2032">
        <f>P78/P47</f>
        <v/>
      </c>
      <c r="Q80" s="2031">
        <f>Q78/Q47</f>
        <v/>
      </c>
      <c r="R80" s="2032">
        <f>R78/R47</f>
        <v/>
      </c>
      <c r="S80" s="2032">
        <f>S78/S47</f>
        <v/>
      </c>
      <c r="T80" s="2032">
        <f>T78/T47</f>
        <v/>
      </c>
      <c r="U80" s="2032">
        <f>U78/U47</f>
        <v/>
      </c>
      <c r="V80" s="2031">
        <f>V78/V47</f>
        <v/>
      </c>
      <c r="W80" s="2032">
        <f>W78/W47</f>
        <v/>
      </c>
      <c r="X80" s="2032">
        <f>X78/X47</f>
        <v/>
      </c>
      <c r="Y80" s="2032">
        <f>Y78/Y47</f>
        <v/>
      </c>
      <c r="Z80" s="2032">
        <f>Z78/Z47</f>
        <v/>
      </c>
      <c r="AA80" s="2031">
        <f>AA78/AA47</f>
        <v/>
      </c>
      <c r="AB80" s="2032">
        <f>AB78/AB47</f>
        <v/>
      </c>
      <c r="AC80" s="2032">
        <f>AC78/AC47</f>
        <v/>
      </c>
      <c r="AD80" s="2032">
        <f>AD78/AD47</f>
        <v/>
      </c>
      <c r="AE80" s="2032">
        <f>AE78/AE47</f>
        <v/>
      </c>
      <c r="AF80" s="2031">
        <f>AF78/AF47</f>
        <v/>
      </c>
      <c r="AG80" s="2032">
        <f>AG78/AG47</f>
        <v/>
      </c>
      <c r="AH80" s="2032">
        <f>AH78/AH47</f>
        <v/>
      </c>
      <c r="AI80" s="2032">
        <f>AI78/AI47</f>
        <v/>
      </c>
      <c r="AJ80" s="2032">
        <f>AJ78/AJ47</f>
        <v/>
      </c>
      <c r="AK80" s="2031">
        <f>AK78/AK47</f>
        <v/>
      </c>
      <c r="AL80" s="2032">
        <f>AL78/AL47</f>
        <v/>
      </c>
      <c r="AM80" s="2032">
        <f>AM78/AM47</f>
        <v/>
      </c>
      <c r="AN80" s="2032">
        <f>AN78/AN47</f>
        <v/>
      </c>
      <c r="AO80" s="2032">
        <f>AO78/AO47</f>
        <v/>
      </c>
      <c r="AP80" s="2031">
        <f>AP78/AP47</f>
        <v/>
      </c>
      <c r="AQ80" s="2032">
        <f>AQ78/AQ47</f>
        <v/>
      </c>
      <c r="AR80" s="2032">
        <f>AR78/AR47</f>
        <v/>
      </c>
      <c r="AS80" s="2032">
        <f>AS78/AS47</f>
        <v/>
      </c>
      <c r="AT80" s="2032">
        <f>AT78/AT47</f>
        <v/>
      </c>
      <c r="AU80" s="2031">
        <f>AU78/AU47</f>
        <v/>
      </c>
      <c r="AV80" s="2032">
        <f>AV78/AV47</f>
        <v/>
      </c>
      <c r="AW80" s="2032">
        <f>AW78/AW47</f>
        <v/>
      </c>
      <c r="AX80" s="2032">
        <f>AX78/AX47</f>
        <v/>
      </c>
      <c r="AY80" s="2032">
        <f>AY78/AY47</f>
        <v/>
      </c>
      <c r="AZ80" s="2031">
        <f>AZ78/AZ47</f>
        <v/>
      </c>
      <c r="BA80" s="2032">
        <f>BA78/BA47</f>
        <v/>
      </c>
      <c r="BB80" s="2032">
        <f>BB78/BB47</f>
        <v/>
      </c>
      <c r="BC80" s="2032">
        <f>BC78/BC47</f>
        <v/>
      </c>
      <c r="BD80" s="2032">
        <f>BD78/BD47</f>
        <v/>
      </c>
      <c r="BE80" s="2031">
        <f>BE78/BE47</f>
        <v/>
      </c>
      <c r="BF80" s="2032">
        <f>BF78/BF47</f>
        <v/>
      </c>
      <c r="BG80" s="2032">
        <f>BG78/BG47</f>
        <v/>
      </c>
      <c r="BH80" s="2032">
        <f>BH78/BH47</f>
        <v/>
      </c>
      <c r="BI80" s="2032">
        <f>BI78/BI47</f>
        <v/>
      </c>
      <c r="BJ80" s="2031">
        <f>BJ78/BJ47</f>
        <v/>
      </c>
      <c r="BK80" s="2032">
        <f>BK78/BK47</f>
        <v/>
      </c>
      <c r="BL80" s="2032">
        <f>BL78/BL47</f>
        <v/>
      </c>
      <c r="BM80" s="2032">
        <f>BM78/BM47</f>
        <v/>
      </c>
      <c r="BN80" s="2032">
        <f>BN78/BN47</f>
        <v/>
      </c>
      <c r="BO80" s="2033">
        <f>BO78/BO47</f>
        <v/>
      </c>
      <c r="BP80" s="2032">
        <f>BP78/BP47</f>
        <v/>
      </c>
      <c r="BQ80" s="2032">
        <f>BQ78/BQ47</f>
        <v/>
      </c>
      <c r="BR80" s="2032">
        <f>BR78/BR47</f>
        <v/>
      </c>
      <c r="BS80" s="2032">
        <f>BS78/BS47</f>
        <v/>
      </c>
      <c r="BT80" s="2031">
        <f>BT78/BT47</f>
        <v/>
      </c>
      <c r="BU80" s="2032">
        <f>BU78/BU47</f>
        <v/>
      </c>
      <c r="BV80" s="2032">
        <f>BV78/BV47</f>
        <v/>
      </c>
      <c r="BW80" s="2032">
        <f>BW78/BW47</f>
        <v/>
      </c>
      <c r="BX80" s="2032">
        <f>BX78/BX47</f>
        <v/>
      </c>
      <c r="BY80" s="2031">
        <f>BY78/BY47</f>
        <v/>
      </c>
      <c r="BZ80" s="2031">
        <f>BZ78/BZ47</f>
        <v/>
      </c>
      <c r="CA80" s="2031">
        <f>CA78/CA47</f>
        <v/>
      </c>
      <c r="CB80" s="2031">
        <f>CB78/CB47</f>
        <v/>
      </c>
      <c r="CC80" s="2034" t="n"/>
    </row>
    <row r="81" ht="14.4" customFormat="1" customHeight="1" s="1947">
      <c r="A81" s="2008" t="n"/>
      <c r="B81" s="2009" t="n"/>
      <c r="C81" s="2035" t="n"/>
      <c r="D81" s="2035" t="n"/>
      <c r="E81" s="2035" t="n"/>
      <c r="F81" s="2035" t="n"/>
      <c r="G81" s="2035" t="n"/>
      <c r="H81" s="1954" t="n"/>
      <c r="I81" s="1954" t="n"/>
      <c r="J81" s="1954" t="n"/>
      <c r="K81" s="1954" t="n"/>
      <c r="L81" s="2035" t="n"/>
      <c r="M81" s="1954" t="n"/>
      <c r="N81" s="1954" t="n"/>
      <c r="O81" s="1954" t="n"/>
      <c r="P81" s="1954" t="n"/>
      <c r="Q81" s="2035" t="n"/>
      <c r="R81" s="1954" t="n"/>
      <c r="S81" s="1954" t="n"/>
      <c r="T81" s="1954" t="n"/>
      <c r="U81" s="1954" t="n"/>
      <c r="V81" s="2035" t="n"/>
      <c r="W81" s="1954" t="n"/>
      <c r="X81" s="1954" t="n"/>
      <c r="Y81" s="1954" t="n"/>
      <c r="Z81" s="1954" t="n"/>
      <c r="AA81" s="2035" t="n"/>
      <c r="AB81" s="1954" t="n"/>
      <c r="AC81" s="1954" t="n"/>
      <c r="AD81" s="1954" t="n"/>
      <c r="AE81" s="1954" t="n"/>
      <c r="AF81" s="2035" t="n"/>
      <c r="AG81" s="1954" t="n"/>
      <c r="AH81" s="1954" t="n"/>
      <c r="AI81" s="1954" t="n"/>
      <c r="AJ81" s="1954" t="n"/>
      <c r="AK81" s="2035" t="n"/>
      <c r="AL81" s="1954" t="n"/>
      <c r="AM81" s="1954" t="n"/>
      <c r="AN81" s="1954" t="n"/>
      <c r="AO81" s="1954" t="n"/>
      <c r="AP81" s="2035" t="n"/>
      <c r="AQ81" s="1954" t="n"/>
      <c r="AR81" s="1954" t="n"/>
      <c r="AS81" s="1954" t="n"/>
      <c r="AT81" s="1954" t="n"/>
      <c r="AU81" s="2035" t="n"/>
      <c r="AV81" s="1954" t="n"/>
      <c r="AW81" s="1954" t="n"/>
      <c r="AX81" s="1954" t="n"/>
      <c r="AY81" s="1954" t="n"/>
      <c r="AZ81" s="2035" t="n"/>
      <c r="BA81" s="1954" t="n"/>
      <c r="BB81" s="1954" t="n"/>
      <c r="BC81" s="1954" t="n"/>
      <c r="BD81" s="1954" t="n"/>
      <c r="BE81" s="2035" t="n"/>
      <c r="BF81" s="1954" t="n"/>
      <c r="BG81" s="1954" t="n"/>
      <c r="BH81" s="1954" t="n"/>
      <c r="BI81" s="1954" t="n"/>
      <c r="BJ81" s="2035" t="n"/>
      <c r="BK81" s="1954" t="n"/>
      <c r="BL81" s="1954" t="n"/>
      <c r="BM81" s="1954" t="n"/>
      <c r="BN81" s="1954" t="n"/>
      <c r="BO81" s="2036" t="n"/>
      <c r="BP81" s="1954" t="n"/>
      <c r="BQ81" s="1954" t="n"/>
      <c r="BR81" s="1954" t="n"/>
      <c r="BS81" s="1954" t="n"/>
      <c r="BT81" s="2035" t="n"/>
      <c r="BU81" s="1954" t="n"/>
      <c r="BV81" s="1954" t="n"/>
      <c r="BW81" s="1954" t="n"/>
      <c r="BX81" s="1954" t="n"/>
      <c r="BY81" s="2035" t="n"/>
      <c r="BZ81" s="2035" t="n"/>
      <c r="CA81" s="2035" t="n"/>
      <c r="CB81" s="2035" t="n"/>
      <c r="CC81" s="1954" t="n"/>
    </row>
    <row r="82" ht="14.4" customHeight="1" s="876">
      <c r="A82" s="2018" t="inlineStr">
        <is>
          <t>Balance Sheet Ratios</t>
        </is>
      </c>
      <c r="B82" s="1979" t="n"/>
      <c r="C82" s="1979" t="n"/>
      <c r="D82" s="1979" t="n"/>
      <c r="E82" s="1979" t="n"/>
      <c r="F82" s="1979" t="n"/>
      <c r="G82" s="1979" t="n"/>
      <c r="H82" s="1979" t="n"/>
      <c r="I82" s="1979" t="n"/>
      <c r="J82" s="1979" t="n"/>
      <c r="K82" s="1979" t="n"/>
      <c r="L82" s="1979" t="n"/>
      <c r="M82" s="1979" t="n"/>
      <c r="N82" s="1979" t="n"/>
      <c r="O82" s="1979" t="n"/>
      <c r="P82" s="1979" t="n"/>
      <c r="Q82" s="1979" t="n"/>
      <c r="R82" s="1979" t="n"/>
      <c r="S82" s="1979" t="n"/>
      <c r="T82" s="1979" t="n"/>
      <c r="U82" s="1979" t="n"/>
      <c r="V82" s="1979" t="n"/>
      <c r="W82" s="1979" t="n"/>
      <c r="X82" s="1979" t="n"/>
      <c r="Y82" s="1979" t="n"/>
      <c r="Z82" s="1979" t="n"/>
      <c r="AA82" s="1979" t="n"/>
      <c r="AB82" s="1979" t="n"/>
      <c r="AC82" s="1979" t="n"/>
      <c r="AD82" s="1979" t="n"/>
      <c r="AE82" s="1979" t="n"/>
      <c r="AF82" s="1979" t="n"/>
      <c r="AG82" s="1979" t="n"/>
      <c r="AH82" s="1979" t="n"/>
      <c r="AI82" s="1979" t="n"/>
      <c r="AJ82" s="1979" t="n"/>
      <c r="AK82" s="1979" t="n"/>
      <c r="AL82" s="1979" t="n"/>
      <c r="AM82" s="1979" t="n"/>
      <c r="AN82" s="1979" t="n"/>
      <c r="AO82" s="1979" t="n"/>
      <c r="AP82" s="1979" t="n"/>
      <c r="AQ82" s="1979" t="n"/>
      <c r="AR82" s="1979" t="n"/>
      <c r="AS82" s="1979" t="n"/>
      <c r="AT82" s="1979" t="n"/>
      <c r="AU82" s="1979" t="n"/>
      <c r="AV82" s="1979" t="n"/>
      <c r="AW82" s="1979" t="n"/>
      <c r="AX82" s="1979" t="n"/>
      <c r="AY82" s="1979" t="n"/>
      <c r="AZ82" s="1979" t="n"/>
      <c r="BA82" s="1979" t="n"/>
      <c r="BB82" s="1979" t="n"/>
      <c r="BC82" s="1979" t="n"/>
      <c r="BD82" s="1979" t="n"/>
      <c r="BE82" s="1979" t="n"/>
      <c r="BF82" s="1979" t="n"/>
      <c r="BG82" s="1979" t="n"/>
      <c r="BH82" s="1979" t="n"/>
      <c r="BI82" s="1979" t="n"/>
      <c r="BJ82" s="1979" t="n"/>
      <c r="BK82" s="1979" t="n"/>
      <c r="BL82" s="1979" t="n"/>
      <c r="BM82" s="1979" t="n"/>
      <c r="BN82" s="1979" t="n"/>
      <c r="BO82" s="1980" t="n"/>
      <c r="BP82" s="1979" t="n"/>
      <c r="BQ82" s="1979" t="n"/>
      <c r="BR82" s="1979" t="n"/>
      <c r="BS82" s="1979" t="n"/>
      <c r="BT82" s="1979" t="n"/>
      <c r="BU82" s="1979" t="n"/>
      <c r="BV82" s="1979" t="n"/>
      <c r="BW82" s="1979" t="n"/>
      <c r="BX82" s="1979" t="n"/>
      <c r="BY82" s="1979" t="n"/>
      <c r="BZ82" s="1979" t="n"/>
      <c r="CA82" s="1979" t="n"/>
      <c r="CB82" s="1979" t="n"/>
      <c r="CC82" s="1301" t="n"/>
    </row>
    <row r="83" ht="14.4" customFormat="1" customHeight="1" s="2037">
      <c r="A83" s="2038" t="inlineStr">
        <is>
          <t>Net Debt / EBITDA</t>
        </is>
      </c>
      <c r="B83" s="2039" t="n"/>
      <c r="C83" s="2040">
        <f>INDEX(MO_BSS_Debt_Net,0,COLUMN())/INDEX(SP_BSR_EBITDA_LTM,0,COLUMN())</f>
        <v/>
      </c>
      <c r="D83" s="2040">
        <f>INDEX(MO_BSS_Debt_Net,0,COLUMN())/INDEX(SP_BSR_EBITDA_LTM,0,COLUMN())</f>
        <v/>
      </c>
      <c r="E83" s="2040">
        <f>INDEX(MO_BSS_Debt_Net,0,COLUMN())/INDEX(SP_BSR_EBITDA_LTM,0,COLUMN())</f>
        <v/>
      </c>
      <c r="F83" s="2040">
        <f>INDEX(MO_BSS_Debt_Net,0,COLUMN())/INDEX(SP_BSR_EBITDA_LTM,0,COLUMN())</f>
        <v/>
      </c>
      <c r="G83" s="2040">
        <f>INDEX(MO_BSS_Debt_Net,0,COLUMN())/INDEX(SP_BSR_EBITDA_LTM,0,COLUMN())</f>
        <v/>
      </c>
      <c r="H83" s="2041" t="n"/>
      <c r="I83" s="2041" t="n"/>
      <c r="J83" s="2041" t="n"/>
      <c r="K83" s="2041">
        <f>INDEX(MO_BSS_Debt_Net,0,COLUMN())/INDEX(SP_BSR_EBITDA_LTM,0,COLUMN())</f>
        <v/>
      </c>
      <c r="L83" s="2040">
        <f>INDEX(MO_BSS_Debt_Net,0,COLUMN())/INDEX(SP_BSR_EBITDA_LTM,0,COLUMN())</f>
        <v/>
      </c>
      <c r="M83" s="2041">
        <f>INDEX(MO_BSS_Debt_Net,0,COLUMN())/INDEX(SP_BSR_EBITDA_LTM,0,COLUMN())</f>
        <v/>
      </c>
      <c r="N83" s="2041">
        <f>INDEX(MO_BSS_Debt_Net,0,COLUMN())/INDEX(SP_BSR_EBITDA_LTM,0,COLUMN())</f>
        <v/>
      </c>
      <c r="O83" s="2041">
        <f>INDEX(MO_BSS_Debt_Net,0,COLUMN())/INDEX(SP_BSR_EBITDA_LTM,0,COLUMN())</f>
        <v/>
      </c>
      <c r="P83" s="2041">
        <f>INDEX(MO_BSS_Debt_Net,0,COLUMN())/INDEX(SP_BSR_EBITDA_LTM,0,COLUMN())</f>
        <v/>
      </c>
      <c r="Q83" s="2040">
        <f>INDEX(MO_BSS_Debt_Net,0,COLUMN())/INDEX(SP_BSR_EBITDA_LTM,0,COLUMN())</f>
        <v/>
      </c>
      <c r="R83" s="2041">
        <f>INDEX(MO_BSS_Debt_Net,0,COLUMN())/INDEX(SP_BSR_EBITDA_LTM,0,COLUMN())</f>
        <v/>
      </c>
      <c r="S83" s="2041">
        <f>INDEX(MO_BSS_Debt_Net,0,COLUMN())/INDEX(SP_BSR_EBITDA_LTM,0,COLUMN())</f>
        <v/>
      </c>
      <c r="T83" s="2041">
        <f>INDEX(MO_BSS_Debt_Net,0,COLUMN())/INDEX(SP_BSR_EBITDA_LTM,0,COLUMN())</f>
        <v/>
      </c>
      <c r="U83" s="2041">
        <f>INDEX(MO_BSS_Debt_Net,0,COLUMN())/INDEX(SP_BSR_EBITDA_LTM,0,COLUMN())</f>
        <v/>
      </c>
      <c r="V83" s="2040">
        <f>INDEX(MO_BSS_Debt_Net,0,COLUMN())/INDEX(SP_BSR_EBITDA_LTM,0,COLUMN())</f>
        <v/>
      </c>
      <c r="W83" s="2042">
        <f>INDEX(MO_BSS_Debt_Net,0,COLUMN())/INDEX(SP_BSR_EBITDA_LTM,0,COLUMN())</f>
        <v/>
      </c>
      <c r="X83" s="2042">
        <f>INDEX(MO_BSS_Debt_Net,0,COLUMN())/INDEX(SP_BSR_EBITDA_LTM,0,COLUMN())</f>
        <v/>
      </c>
      <c r="Y83" s="2042">
        <f>INDEX(MO_BSS_Debt_Net,0,COLUMN())/INDEX(SP_BSR_EBITDA_LTM,0,COLUMN())</f>
        <v/>
      </c>
      <c r="Z83" s="2041">
        <f>INDEX(MO_BSS_Debt_Net,0,COLUMN())/INDEX(SP_BSR_EBITDA_LTM,0,COLUMN())</f>
        <v/>
      </c>
      <c r="AA83" s="2040">
        <f>INDEX(MO_BSS_Debt_Net,0,COLUMN())/INDEX(SP_BSR_EBITDA_LTM,0,COLUMN())</f>
        <v/>
      </c>
      <c r="AB83" s="2042">
        <f>INDEX(MO_BSS_Debt_Net,0,COLUMN())/INDEX(SP_BSR_EBITDA_LTM,0,COLUMN())</f>
        <v/>
      </c>
      <c r="AC83" s="2042">
        <f>INDEX(MO_BSS_Debt_Net,0,COLUMN())/INDEX(SP_BSR_EBITDA_LTM,0,COLUMN())</f>
        <v/>
      </c>
      <c r="AD83" s="2042">
        <f>INDEX(MO_BSS_Debt_Net,0,COLUMN())/INDEX(SP_BSR_EBITDA_LTM,0,COLUMN())</f>
        <v/>
      </c>
      <c r="AE83" s="2041">
        <f>INDEX(MO_BSS_Debt_Net,0,COLUMN())/INDEX(SP_BSR_EBITDA_LTM,0,COLUMN())</f>
        <v/>
      </c>
      <c r="AF83" s="2040">
        <f>INDEX(MO_BSS_Debt_Net,0,COLUMN())/INDEX(SP_BSR_EBITDA_LTM,0,COLUMN())</f>
        <v/>
      </c>
      <c r="AG83" s="2042">
        <f>INDEX(MO_BSS_Debt_Net,0,COLUMN())/INDEX(SP_BSR_EBITDA_LTM,0,COLUMN())</f>
        <v/>
      </c>
      <c r="AH83" s="2042">
        <f>INDEX(MO_BSS_Debt_Net,0,COLUMN())/INDEX(SP_BSR_EBITDA_LTM,0,COLUMN())</f>
        <v/>
      </c>
      <c r="AI83" s="2042">
        <f>INDEX(MO_BSS_Debt_Net,0,COLUMN())/INDEX(SP_BSR_EBITDA_LTM,0,COLUMN())</f>
        <v/>
      </c>
      <c r="AJ83" s="2041">
        <f>INDEX(MO_BSS_Debt_Net,0,COLUMN())/INDEX(SP_BSR_EBITDA_LTM,0,COLUMN())</f>
        <v/>
      </c>
      <c r="AK83" s="2040">
        <f>INDEX(MO_BSS_Debt_Net,0,COLUMN())/INDEX(SP_BSR_EBITDA_LTM,0,COLUMN())</f>
        <v/>
      </c>
      <c r="AL83" s="2042">
        <f>INDEX(MO_BSS_Debt_Net,0,COLUMN())/INDEX(SP_BSR_EBITDA_LTM,0,COLUMN())</f>
        <v/>
      </c>
      <c r="AM83" s="2042">
        <f>INDEX(MO_BSS_Debt_Net,0,COLUMN())/INDEX(SP_BSR_EBITDA_LTM,0,COLUMN())</f>
        <v/>
      </c>
      <c r="AN83" s="2042">
        <f>INDEX(MO_BSS_Debt_Net,0,COLUMN())/INDEX(SP_BSR_EBITDA_LTM,0,COLUMN())</f>
        <v/>
      </c>
      <c r="AO83" s="2041">
        <f>INDEX(MO_BSS_Debt_Net,0,COLUMN())/INDEX(SP_BSR_EBITDA_LTM,0,COLUMN())</f>
        <v/>
      </c>
      <c r="AP83" s="2040">
        <f>INDEX(MO_BSS_Debt_Net,0,COLUMN())/INDEX(SP_BSR_EBITDA_LTM,0,COLUMN())</f>
        <v/>
      </c>
      <c r="AQ83" s="2042">
        <f>INDEX(MO_BSS_Debt_Net,0,COLUMN())/INDEX(SP_BSR_EBITDA_LTM,0,COLUMN())</f>
        <v/>
      </c>
      <c r="AR83" s="2042">
        <f>INDEX(MO_BSS_Debt_Net,0,COLUMN())/INDEX(SP_BSR_EBITDA_LTM,0,COLUMN())</f>
        <v/>
      </c>
      <c r="AS83" s="2042">
        <f>INDEX(MO_BSS_Debt_Net,0,COLUMN())/INDEX(SP_BSR_EBITDA_LTM,0,COLUMN())</f>
        <v/>
      </c>
      <c r="AT83" s="2041">
        <f>INDEX(MO_BSS_Debt_Net,0,COLUMN())/INDEX(SP_BSR_EBITDA_LTM,0,COLUMN())</f>
        <v/>
      </c>
      <c r="AU83" s="2040">
        <f>INDEX(MO_BSS_Debt_Net,0,COLUMN())/INDEX(SP_BSR_EBITDA_LTM,0,COLUMN())</f>
        <v/>
      </c>
      <c r="AV83" s="2042">
        <f>INDEX(MO_BSS_Debt_Net,0,COLUMN())/INDEX(SP_BSR_EBITDA_LTM,0,COLUMN())</f>
        <v/>
      </c>
      <c r="AW83" s="2042">
        <f>INDEX(MO_BSS_Debt_Net,0,COLUMN())/INDEX(SP_BSR_EBITDA_LTM,0,COLUMN())</f>
        <v/>
      </c>
      <c r="AX83" s="2042">
        <f>INDEX(MO_BSS_Debt_Net,0,COLUMN())/INDEX(SP_BSR_EBITDA_LTM,0,COLUMN())</f>
        <v/>
      </c>
      <c r="AY83" s="2041">
        <f>INDEX(MO_BSS_Debt_Net,0,COLUMN())/INDEX(SP_BSR_EBITDA_LTM,0,COLUMN())</f>
        <v/>
      </c>
      <c r="AZ83" s="2040">
        <f>INDEX(MO_BSS_Debt_Net,0,COLUMN())/INDEX(SP_BSR_EBITDA_LTM,0,COLUMN())</f>
        <v/>
      </c>
      <c r="BA83" s="2042">
        <f>INDEX(MO_BSS_Debt_Net,0,COLUMN())/INDEX(SP_BSR_EBITDA_LTM,0,COLUMN())</f>
        <v/>
      </c>
      <c r="BB83" s="2042">
        <f>INDEX(MO_BSS_Debt_Net,0,COLUMN())/INDEX(SP_BSR_EBITDA_LTM,0,COLUMN())</f>
        <v/>
      </c>
      <c r="BC83" s="2042">
        <f>INDEX(MO_BSS_Debt_Net,0,COLUMN())/INDEX(SP_BSR_EBITDA_LTM,0,COLUMN())</f>
        <v/>
      </c>
      <c r="BD83" s="2041">
        <f>INDEX(MO_BSS_Debt_Net,0,COLUMN())/INDEX(SP_BSR_EBITDA_LTM,0,COLUMN())</f>
        <v/>
      </c>
      <c r="BE83" s="2040">
        <f>INDEX(MO_BSS_Debt_Net,0,COLUMN())/INDEX(SP_BSR_EBITDA_LTM,0,COLUMN())</f>
        <v/>
      </c>
      <c r="BF83" s="2042">
        <f>INDEX(MO_BSS_Debt_Net,0,COLUMN())/INDEX(SP_BSR_EBITDA_LTM,0,COLUMN())</f>
        <v/>
      </c>
      <c r="BG83" s="2042">
        <f>INDEX(MO_BSS_Debt_Net,0,COLUMN())/INDEX(SP_BSR_EBITDA_LTM,0,COLUMN())</f>
        <v/>
      </c>
      <c r="BH83" s="2042">
        <f>INDEX(MO_BSS_Debt_Net,0,COLUMN())/INDEX(SP_BSR_EBITDA_LTM,0,COLUMN())</f>
        <v/>
      </c>
      <c r="BI83" s="2041">
        <f>INDEX(MO_BSS_Debt_Net,0,COLUMN())/INDEX(SP_BSR_EBITDA_LTM,0,COLUMN())</f>
        <v/>
      </c>
      <c r="BJ83" s="2040">
        <f>INDEX(MO_BSS_Debt_Net,0,COLUMN())/INDEX(SP_BSR_EBITDA_LTM,0,COLUMN())</f>
        <v/>
      </c>
      <c r="BK83" s="2042">
        <f>INDEX(MO_BSS_Debt_Net,0,COLUMN())/INDEX(SP_BSR_EBITDA_LTM,0,COLUMN())</f>
        <v/>
      </c>
      <c r="BL83" s="2042">
        <f>INDEX(MO_BSS_Debt_Net,0,COLUMN())/INDEX(SP_BSR_EBITDA_LTM,0,COLUMN())</f>
        <v/>
      </c>
      <c r="BM83" s="2042">
        <f>INDEX(MO_BSS_Debt_Net,0,COLUMN())/INDEX(SP_BSR_EBITDA_LTM,0,COLUMN())</f>
        <v/>
      </c>
      <c r="BN83" s="2041">
        <f>INDEX(MO_BSS_Debt_Net,0,COLUMN())/INDEX(SP_BSR_EBITDA_LTM,0,COLUMN())</f>
        <v/>
      </c>
      <c r="BO83" s="2043">
        <f>INDEX(MO_BSS_Debt_Net,0,COLUMN())/INDEX(SP_BSR_EBITDA_LTM,0,COLUMN())</f>
        <v/>
      </c>
      <c r="BP83" s="2042">
        <f>INDEX(MO_BSS_Debt_Net,0,COLUMN())/INDEX(SP_BSR_EBITDA_LTM,0,COLUMN())</f>
        <v/>
      </c>
      <c r="BQ83" s="2042">
        <f>INDEX(MO_BSS_Debt_Net,0,COLUMN())/INDEX(SP_BSR_EBITDA_LTM,0,COLUMN())</f>
        <v/>
      </c>
      <c r="BR83" s="2042">
        <f>INDEX(MO_BSS_Debt_Net,0,COLUMN())/INDEX(SP_BSR_EBITDA_LTM,0,COLUMN())</f>
        <v/>
      </c>
      <c r="BS83" s="2042">
        <f>INDEX(MO_BSS_Debt_Net,0,COLUMN())/INDEX(SP_BSR_EBITDA_LTM,0,COLUMN())</f>
        <v/>
      </c>
      <c r="BT83" s="2040">
        <f>INDEX(MO_BSS_Debt_Net,0,COLUMN())/INDEX(SP_BSR_EBITDA_LTM,0,COLUMN())</f>
        <v/>
      </c>
      <c r="BU83" s="2042">
        <f>INDEX(MO_BSS_Debt_Net,0,COLUMN())/INDEX(SP_BSR_EBITDA_LTM,0,COLUMN())</f>
        <v/>
      </c>
      <c r="BV83" s="2042">
        <f>INDEX(MO_BSS_Debt_Net,0,COLUMN())/INDEX(SP_BSR_EBITDA_LTM,0,COLUMN())</f>
        <v/>
      </c>
      <c r="BW83" s="2042">
        <f>INDEX(MO_BSS_Debt_Net,0,COLUMN())/INDEX(SP_BSR_EBITDA_LTM,0,COLUMN())</f>
        <v/>
      </c>
      <c r="BX83" s="2042">
        <f>INDEX(MO_BSS_Debt_Net,0,COLUMN())/INDEX(SP_BSR_EBITDA_LTM,0,COLUMN())</f>
        <v/>
      </c>
      <c r="BY83" s="2040">
        <f>INDEX(MO_BSS_Debt_Net,0,COLUMN())/INDEX(SP_BSR_EBITDA_LTM,0,COLUMN())</f>
        <v/>
      </c>
      <c r="BZ83" s="2040">
        <f>INDEX(MO_BSS_Debt_Net,0,COLUMN())/INDEX(SP_BSR_EBITDA_LTM,0,COLUMN())</f>
        <v/>
      </c>
      <c r="CA83" s="2040">
        <f>INDEX(MO_BSS_Debt_Net,0,COLUMN())/INDEX(SP_BSR_EBITDA_LTM,0,COLUMN())</f>
        <v/>
      </c>
      <c r="CB83" s="2040">
        <f>INDEX(MO_BSS_Debt_Net,0,COLUMN())/INDEX(SP_BSR_EBITDA_LTM,0,COLUMN())</f>
        <v/>
      </c>
      <c r="CC83" s="2042" t="n"/>
    </row>
    <row r="84" ht="14.4" customFormat="1" customHeight="1" s="2037">
      <c r="A84" s="2038" t="inlineStr">
        <is>
          <t>Net Debt / Cash Flow</t>
        </is>
      </c>
      <c r="B84" s="2039" t="n"/>
      <c r="C84" s="2040">
        <f>INDEX(MO_BSS_Debt_Net,0,COLUMN())/INDEX(SP_BSR_CashFlow_LTM,0,COLUMN())</f>
        <v/>
      </c>
      <c r="D84" s="2040">
        <f>INDEX(MO_BSS_Debt_Net,0,COLUMN())/INDEX(SP_BSR_CashFlow_LTM,0,COLUMN())</f>
        <v/>
      </c>
      <c r="E84" s="2040">
        <f>INDEX(MO_BSS_Debt_Net,0,COLUMN())/INDEX(SP_BSR_CashFlow_LTM,0,COLUMN())</f>
        <v/>
      </c>
      <c r="F84" s="2040">
        <f>INDEX(MO_BSS_Debt_Net,0,COLUMN())/INDEX(SP_BSR_CashFlow_LTM,0,COLUMN())</f>
        <v/>
      </c>
      <c r="G84" s="2040">
        <f>INDEX(MO_BSS_Debt_Net,0,COLUMN())/INDEX(SP_BSR_CashFlow_LTM,0,COLUMN())</f>
        <v/>
      </c>
      <c r="H84" s="2041" t="n"/>
      <c r="I84" s="2041" t="n"/>
      <c r="J84" s="2041" t="n"/>
      <c r="K84" s="2041">
        <f>INDEX(MO_BSS_Debt_Net,0,COLUMN())/INDEX(SP_BSR_CashFlow_LTM,0,COLUMN())</f>
        <v/>
      </c>
      <c r="L84" s="2040">
        <f>INDEX(MO_BSS_Debt_Net,0,COLUMN())/INDEX(SP_BSR_CashFlow_LTM,0,COLUMN())</f>
        <v/>
      </c>
      <c r="M84" s="2041">
        <f>INDEX(MO_BSS_Debt_Net,0,COLUMN())/INDEX(SP_BSR_CashFlow_LTM,0,COLUMN())</f>
        <v/>
      </c>
      <c r="N84" s="2041">
        <f>INDEX(MO_BSS_Debt_Net,0,COLUMN())/INDEX(SP_BSR_CashFlow_LTM,0,COLUMN())</f>
        <v/>
      </c>
      <c r="O84" s="2041">
        <f>INDEX(MO_BSS_Debt_Net,0,COLUMN())/INDEX(SP_BSR_CashFlow_LTM,0,COLUMN())</f>
        <v/>
      </c>
      <c r="P84" s="2041">
        <f>INDEX(MO_BSS_Debt_Net,0,COLUMN())/INDEX(SP_BSR_CashFlow_LTM,0,COLUMN())</f>
        <v/>
      </c>
      <c r="Q84" s="2040">
        <f>INDEX(MO_BSS_Debt_Net,0,COLUMN())/INDEX(SP_BSR_CashFlow_LTM,0,COLUMN())</f>
        <v/>
      </c>
      <c r="R84" s="2041">
        <f>INDEX(MO_BSS_Debt_Net,0,COLUMN())/INDEX(SP_BSR_CashFlow_LTM,0,COLUMN())</f>
        <v/>
      </c>
      <c r="S84" s="2041">
        <f>INDEX(MO_BSS_Debt_Net,0,COLUMN())/INDEX(SP_BSR_CashFlow_LTM,0,COLUMN())</f>
        <v/>
      </c>
      <c r="T84" s="2041">
        <f>INDEX(MO_BSS_Debt_Net,0,COLUMN())/INDEX(SP_BSR_CashFlow_LTM,0,COLUMN())</f>
        <v/>
      </c>
      <c r="U84" s="2041">
        <f>INDEX(MO_BSS_Debt_Net,0,COLUMN())/INDEX(SP_BSR_CashFlow_LTM,0,COLUMN())</f>
        <v/>
      </c>
      <c r="V84" s="2040">
        <f>INDEX(MO_BSS_Debt_Net,0,COLUMN())/INDEX(SP_BSR_CashFlow_LTM,0,COLUMN())</f>
        <v/>
      </c>
      <c r="W84" s="2042">
        <f>INDEX(MO_BSS_Debt_Net,0,COLUMN())/INDEX(SP_BSR_CashFlow_LTM,0,COLUMN())</f>
        <v/>
      </c>
      <c r="X84" s="2042">
        <f>INDEX(MO_BSS_Debt_Net,0,COLUMN())/INDEX(SP_BSR_CashFlow_LTM,0,COLUMN())</f>
        <v/>
      </c>
      <c r="Y84" s="2042">
        <f>INDEX(MO_BSS_Debt_Net,0,COLUMN())/INDEX(SP_BSR_CashFlow_LTM,0,COLUMN())</f>
        <v/>
      </c>
      <c r="Z84" s="2041">
        <f>INDEX(MO_BSS_Debt_Net,0,COLUMN())/INDEX(SP_BSR_CashFlow_LTM,0,COLUMN())</f>
        <v/>
      </c>
      <c r="AA84" s="2040">
        <f>INDEX(MO_BSS_Debt_Net,0,COLUMN())/INDEX(SP_BSR_CashFlow_LTM,0,COLUMN())</f>
        <v/>
      </c>
      <c r="AB84" s="2042">
        <f>INDEX(MO_BSS_Debt_Net,0,COLUMN())/INDEX(SP_BSR_CashFlow_LTM,0,COLUMN())</f>
        <v/>
      </c>
      <c r="AC84" s="2042">
        <f>INDEX(MO_BSS_Debt_Net,0,COLUMN())/INDEX(SP_BSR_CashFlow_LTM,0,COLUMN())</f>
        <v/>
      </c>
      <c r="AD84" s="2042">
        <f>INDEX(MO_BSS_Debt_Net,0,COLUMN())/INDEX(SP_BSR_CashFlow_LTM,0,COLUMN())</f>
        <v/>
      </c>
      <c r="AE84" s="2041">
        <f>INDEX(MO_BSS_Debt_Net,0,COLUMN())/INDEX(SP_BSR_CashFlow_LTM,0,COLUMN())</f>
        <v/>
      </c>
      <c r="AF84" s="2040">
        <f>INDEX(MO_BSS_Debt_Net,0,COLUMN())/INDEX(SP_BSR_CashFlow_LTM,0,COLUMN())</f>
        <v/>
      </c>
      <c r="AG84" s="2042">
        <f>INDEX(MO_BSS_Debt_Net,0,COLUMN())/INDEX(SP_BSR_CashFlow_LTM,0,COLUMN())</f>
        <v/>
      </c>
      <c r="AH84" s="2042">
        <f>INDEX(MO_BSS_Debt_Net,0,COLUMN())/INDEX(SP_BSR_CashFlow_LTM,0,COLUMN())</f>
        <v/>
      </c>
      <c r="AI84" s="2042">
        <f>INDEX(MO_BSS_Debt_Net,0,COLUMN())/INDEX(SP_BSR_CashFlow_LTM,0,COLUMN())</f>
        <v/>
      </c>
      <c r="AJ84" s="2041">
        <f>INDEX(MO_BSS_Debt_Net,0,COLUMN())/INDEX(SP_BSR_CashFlow_LTM,0,COLUMN())</f>
        <v/>
      </c>
      <c r="AK84" s="2040">
        <f>INDEX(MO_BSS_Debt_Net,0,COLUMN())/INDEX(SP_BSR_CashFlow_LTM,0,COLUMN())</f>
        <v/>
      </c>
      <c r="AL84" s="2042">
        <f>INDEX(MO_BSS_Debt_Net,0,COLUMN())/INDEX(SP_BSR_CashFlow_LTM,0,COLUMN())</f>
        <v/>
      </c>
      <c r="AM84" s="2042">
        <f>INDEX(MO_BSS_Debt_Net,0,COLUMN())/INDEX(SP_BSR_CashFlow_LTM,0,COLUMN())</f>
        <v/>
      </c>
      <c r="AN84" s="2042">
        <f>INDEX(MO_BSS_Debt_Net,0,COLUMN())/INDEX(SP_BSR_CashFlow_LTM,0,COLUMN())</f>
        <v/>
      </c>
      <c r="AO84" s="2041">
        <f>INDEX(MO_BSS_Debt_Net,0,COLUMN())/INDEX(SP_BSR_CashFlow_LTM,0,COLUMN())</f>
        <v/>
      </c>
      <c r="AP84" s="2040">
        <f>INDEX(MO_BSS_Debt_Net,0,COLUMN())/INDEX(SP_BSR_CashFlow_LTM,0,COLUMN())</f>
        <v/>
      </c>
      <c r="AQ84" s="2042">
        <f>INDEX(MO_BSS_Debt_Net,0,COLUMN())/INDEX(SP_BSR_CashFlow_LTM,0,COLUMN())</f>
        <v/>
      </c>
      <c r="AR84" s="2042">
        <f>INDEX(MO_BSS_Debt_Net,0,COLUMN())/INDEX(SP_BSR_CashFlow_LTM,0,COLUMN())</f>
        <v/>
      </c>
      <c r="AS84" s="2042">
        <f>INDEX(MO_BSS_Debt_Net,0,COLUMN())/INDEX(SP_BSR_CashFlow_LTM,0,COLUMN())</f>
        <v/>
      </c>
      <c r="AT84" s="2041">
        <f>INDEX(MO_BSS_Debt_Net,0,COLUMN())/INDEX(SP_BSR_CashFlow_LTM,0,COLUMN())</f>
        <v/>
      </c>
      <c r="AU84" s="2040">
        <f>INDEX(MO_BSS_Debt_Net,0,COLUMN())/INDEX(SP_BSR_CashFlow_LTM,0,COLUMN())</f>
        <v/>
      </c>
      <c r="AV84" s="2042">
        <f>INDEX(MO_BSS_Debt_Net,0,COLUMN())/INDEX(SP_BSR_CashFlow_LTM,0,COLUMN())</f>
        <v/>
      </c>
      <c r="AW84" s="2042">
        <f>INDEX(MO_BSS_Debt_Net,0,COLUMN())/INDEX(SP_BSR_CashFlow_LTM,0,COLUMN())</f>
        <v/>
      </c>
      <c r="AX84" s="2042">
        <f>INDEX(MO_BSS_Debt_Net,0,COLUMN())/INDEX(SP_BSR_CashFlow_LTM,0,COLUMN())</f>
        <v/>
      </c>
      <c r="AY84" s="2041">
        <f>INDEX(MO_BSS_Debt_Net,0,COLUMN())/INDEX(SP_BSR_CashFlow_LTM,0,COLUMN())</f>
        <v/>
      </c>
      <c r="AZ84" s="2040">
        <f>INDEX(MO_BSS_Debt_Net,0,COLUMN())/INDEX(SP_BSR_CashFlow_LTM,0,COLUMN())</f>
        <v/>
      </c>
      <c r="BA84" s="2042">
        <f>INDEX(MO_BSS_Debt_Net,0,COLUMN())/INDEX(SP_BSR_CashFlow_LTM,0,COLUMN())</f>
        <v/>
      </c>
      <c r="BB84" s="2042">
        <f>INDEX(MO_BSS_Debt_Net,0,COLUMN())/INDEX(SP_BSR_CashFlow_LTM,0,COLUMN())</f>
        <v/>
      </c>
      <c r="BC84" s="2042">
        <f>INDEX(MO_BSS_Debt_Net,0,COLUMN())/INDEX(SP_BSR_CashFlow_LTM,0,COLUMN())</f>
        <v/>
      </c>
      <c r="BD84" s="2041">
        <f>INDEX(MO_BSS_Debt_Net,0,COLUMN())/INDEX(SP_BSR_CashFlow_LTM,0,COLUMN())</f>
        <v/>
      </c>
      <c r="BE84" s="2040">
        <f>INDEX(MO_BSS_Debt_Net,0,COLUMN())/INDEX(SP_BSR_CashFlow_LTM,0,COLUMN())</f>
        <v/>
      </c>
      <c r="BF84" s="2042">
        <f>INDEX(MO_BSS_Debt_Net,0,COLUMN())/INDEX(SP_BSR_CashFlow_LTM,0,COLUMN())</f>
        <v/>
      </c>
      <c r="BG84" s="2042">
        <f>INDEX(MO_BSS_Debt_Net,0,COLUMN())/INDEX(SP_BSR_CashFlow_LTM,0,COLUMN())</f>
        <v/>
      </c>
      <c r="BH84" s="2042">
        <f>INDEX(MO_BSS_Debt_Net,0,COLUMN())/INDEX(SP_BSR_CashFlow_LTM,0,COLUMN())</f>
        <v/>
      </c>
      <c r="BI84" s="2041">
        <f>INDEX(MO_BSS_Debt_Net,0,COLUMN())/INDEX(SP_BSR_CashFlow_LTM,0,COLUMN())</f>
        <v/>
      </c>
      <c r="BJ84" s="2040">
        <f>INDEX(MO_BSS_Debt_Net,0,COLUMN())/INDEX(SP_BSR_CashFlow_LTM,0,COLUMN())</f>
        <v/>
      </c>
      <c r="BK84" s="2042">
        <f>INDEX(MO_BSS_Debt_Net,0,COLUMN())/INDEX(SP_BSR_CashFlow_LTM,0,COLUMN())</f>
        <v/>
      </c>
      <c r="BL84" s="2042">
        <f>INDEX(MO_BSS_Debt_Net,0,COLUMN())/INDEX(SP_BSR_CashFlow_LTM,0,COLUMN())</f>
        <v/>
      </c>
      <c r="BM84" s="2042">
        <f>INDEX(MO_BSS_Debt_Net,0,COLUMN())/INDEX(SP_BSR_CashFlow_LTM,0,COLUMN())</f>
        <v/>
      </c>
      <c r="BN84" s="2041">
        <f>INDEX(MO_BSS_Debt_Net,0,COLUMN())/INDEX(SP_BSR_CashFlow_LTM,0,COLUMN())</f>
        <v/>
      </c>
      <c r="BO84" s="2043">
        <f>INDEX(MO_BSS_Debt_Net,0,COLUMN())/INDEX(SP_BSR_CashFlow_LTM,0,COLUMN())</f>
        <v/>
      </c>
      <c r="BP84" s="2042">
        <f>INDEX(MO_BSS_Debt_Net,0,COLUMN())/INDEX(SP_BSR_CashFlow_LTM,0,COLUMN())</f>
        <v/>
      </c>
      <c r="BQ84" s="2042">
        <f>INDEX(MO_BSS_Debt_Net,0,COLUMN())/INDEX(SP_BSR_CashFlow_LTM,0,COLUMN())</f>
        <v/>
      </c>
      <c r="BR84" s="2042">
        <f>INDEX(MO_BSS_Debt_Net,0,COLUMN())/INDEX(SP_BSR_CashFlow_LTM,0,COLUMN())</f>
        <v/>
      </c>
      <c r="BS84" s="2042">
        <f>INDEX(MO_BSS_Debt_Net,0,COLUMN())/INDEX(SP_BSR_CashFlow_LTM,0,COLUMN())</f>
        <v/>
      </c>
      <c r="BT84" s="2040">
        <f>INDEX(MO_BSS_Debt_Net,0,COLUMN())/INDEX(SP_BSR_CashFlow_LTM,0,COLUMN())</f>
        <v/>
      </c>
      <c r="BU84" s="2042">
        <f>INDEX(MO_BSS_Debt_Net,0,COLUMN())/INDEX(SP_BSR_CashFlow_LTM,0,COLUMN())</f>
        <v/>
      </c>
      <c r="BV84" s="2042">
        <f>INDEX(MO_BSS_Debt_Net,0,COLUMN())/INDEX(SP_BSR_CashFlow_LTM,0,COLUMN())</f>
        <v/>
      </c>
      <c r="BW84" s="2042">
        <f>INDEX(MO_BSS_Debt_Net,0,COLUMN())/INDEX(SP_BSR_CashFlow_LTM,0,COLUMN())</f>
        <v/>
      </c>
      <c r="BX84" s="2042">
        <f>INDEX(MO_BSS_Debt_Net,0,COLUMN())/INDEX(SP_BSR_CashFlow_LTM,0,COLUMN())</f>
        <v/>
      </c>
      <c r="BY84" s="2040">
        <f>INDEX(MO_BSS_Debt_Net,0,COLUMN())/INDEX(SP_BSR_CashFlow_LTM,0,COLUMN())</f>
        <v/>
      </c>
      <c r="BZ84" s="2040">
        <f>INDEX(MO_BSS_Debt_Net,0,COLUMN())/INDEX(SP_BSR_CashFlow_LTM,0,COLUMN())</f>
        <v/>
      </c>
      <c r="CA84" s="2040">
        <f>INDEX(MO_BSS_Debt_Net,0,COLUMN())/INDEX(SP_BSR_CashFlow_LTM,0,COLUMN())</f>
        <v/>
      </c>
      <c r="CB84" s="2040">
        <f>INDEX(MO_BSS_Debt_Net,0,COLUMN())/INDEX(SP_BSR_CashFlow_LTM,0,COLUMN())</f>
        <v/>
      </c>
      <c r="CC84" s="2042" t="n"/>
    </row>
    <row r="85" ht="14.4" customFormat="1" customHeight="1" s="2044">
      <c r="A85" s="2045" t="inlineStr">
        <is>
          <t>Net Debt / Capital</t>
        </is>
      </c>
      <c r="B85" s="2046" t="n"/>
      <c r="C85" s="2047">
        <f>INDEX(MO_BSS_Debt_Net,0,COLUMN())/SUM(INDEX(MO_BS_SE,0,COLUMN()),INDEX(MO_BSS_Debt,0,COLUMN()),IFERROR(INDEX(MO_BSS_OL,0,COLUMN()),0))</f>
        <v/>
      </c>
      <c r="D85" s="2047">
        <f>INDEX(MO_BSS_Debt_Net,0,COLUMN())/SUM(INDEX(MO_BS_SE,0,COLUMN()),INDEX(MO_BSS_Debt,0,COLUMN()),IFERROR(INDEX(MO_BSS_OL,0,COLUMN()),0))</f>
        <v/>
      </c>
      <c r="E85" s="2047">
        <f>INDEX(MO_BSS_Debt_Net,0,COLUMN())/SUM(INDEX(MO_BS_SE,0,COLUMN()),INDEX(MO_BSS_Debt,0,COLUMN()),IFERROR(INDEX(MO_BSS_OL,0,COLUMN()),0))</f>
        <v/>
      </c>
      <c r="F85" s="2047">
        <f>INDEX(MO_BSS_Debt_Net,0,COLUMN())/SUM(INDEX(MO_BS_SE,0,COLUMN()),INDEX(MO_BSS_Debt,0,COLUMN()),IFERROR(INDEX(MO_BSS_OL,0,COLUMN()),0))</f>
        <v/>
      </c>
      <c r="G85" s="2047">
        <f>INDEX(MO_BSS_Debt_Net,0,COLUMN())/SUM(INDEX(MO_BS_SE,0,COLUMN()),INDEX(MO_BSS_Debt,0,COLUMN()),IFERROR(INDEX(MO_BSS_OL,0,COLUMN()),0))</f>
        <v/>
      </c>
      <c r="H85" s="2048" t="n"/>
      <c r="I85" s="2048" t="n"/>
      <c r="J85" s="2048" t="n"/>
      <c r="K85" s="2048">
        <f>INDEX(MO_BSS_Debt_Net,0,COLUMN())/SUM(INDEX(MO_BS_SE,0,COLUMN()),INDEX(MO_BSS_Debt,0,COLUMN()),IFERROR(INDEX(MO_BSS_OL,0,COLUMN()),0))</f>
        <v/>
      </c>
      <c r="L85" s="2047">
        <f>INDEX(MO_BSS_Debt_Net,0,COLUMN())/SUM(INDEX(MO_BS_SE,0,COLUMN()),INDEX(MO_BSS_Debt,0,COLUMN()),IFERROR(INDEX(MO_BSS_OL,0,COLUMN()),0))</f>
        <v/>
      </c>
      <c r="M85" s="2048">
        <f>INDEX(MO_BSS_Debt_Net,0,COLUMN())/SUM(INDEX(MO_BS_SE,0,COLUMN()),INDEX(MO_BSS_Debt,0,COLUMN()),IFERROR(INDEX(MO_BSS_OL,0,COLUMN()),0))</f>
        <v/>
      </c>
      <c r="N85" s="2048">
        <f>INDEX(MO_BSS_Debt_Net,0,COLUMN())/SUM(INDEX(MO_BS_SE,0,COLUMN()),INDEX(MO_BSS_Debt,0,COLUMN()),IFERROR(INDEX(MO_BSS_OL,0,COLUMN()),0))</f>
        <v/>
      </c>
      <c r="O85" s="2048">
        <f>INDEX(MO_BSS_Debt_Net,0,COLUMN())/SUM(INDEX(MO_BS_SE,0,COLUMN()),INDEX(MO_BSS_Debt,0,COLUMN()),IFERROR(INDEX(MO_BSS_OL,0,COLUMN()),0))</f>
        <v/>
      </c>
      <c r="P85" s="2048">
        <f>INDEX(MO_BSS_Debt_Net,0,COLUMN())/SUM(INDEX(MO_BS_SE,0,COLUMN()),INDEX(MO_BSS_Debt,0,COLUMN()),IFERROR(INDEX(MO_BSS_OL,0,COLUMN()),0))</f>
        <v/>
      </c>
      <c r="Q85" s="2047">
        <f>INDEX(MO_BSS_Debt_Net,0,COLUMN())/SUM(INDEX(MO_BS_SE,0,COLUMN()),INDEX(MO_BSS_Debt,0,COLUMN()),IFERROR(INDEX(MO_BSS_OL,0,COLUMN()),0))</f>
        <v/>
      </c>
      <c r="R85" s="2048">
        <f>INDEX(MO_BSS_Debt_Net,0,COLUMN())/SUM(INDEX(MO_BS_SE,0,COLUMN()),INDEX(MO_BSS_Debt,0,COLUMN()),IFERROR(INDEX(MO_BSS_OL,0,COLUMN()),0))</f>
        <v/>
      </c>
      <c r="S85" s="2048">
        <f>INDEX(MO_BSS_Debt_Net,0,COLUMN())/SUM(INDEX(MO_BS_SE,0,COLUMN()),INDEX(MO_BSS_Debt,0,COLUMN()),IFERROR(INDEX(MO_BSS_OL,0,COLUMN()),0))</f>
        <v/>
      </c>
      <c r="T85" s="2048">
        <f>INDEX(MO_BSS_Debt_Net,0,COLUMN())/SUM(INDEX(MO_BS_SE,0,COLUMN()),INDEX(MO_BSS_Debt,0,COLUMN()),IFERROR(INDEX(MO_BSS_OL,0,COLUMN()),0))</f>
        <v/>
      </c>
      <c r="U85" s="2048">
        <f>INDEX(MO_BSS_Debt_Net,0,COLUMN())/SUM(INDEX(MO_BS_SE,0,COLUMN()),INDEX(MO_BSS_Debt,0,COLUMN()),IFERROR(INDEX(MO_BSS_OL,0,COLUMN()),0))</f>
        <v/>
      </c>
      <c r="V85" s="2047">
        <f>INDEX(MO_BSS_Debt_Net,0,COLUMN())/SUM(INDEX(MO_BS_SE,0,COLUMN()),INDEX(MO_BSS_Debt,0,COLUMN()),IFERROR(INDEX(MO_BSS_OL,0,COLUMN()),0))</f>
        <v/>
      </c>
      <c r="W85" s="2048">
        <f>INDEX(MO_BSS_Debt_Net,0,COLUMN())/SUM(INDEX(MO_BS_SE,0,COLUMN()),INDEX(MO_BSS_Debt,0,COLUMN()),IFERROR(INDEX(MO_BSS_OL,0,COLUMN()),0))</f>
        <v/>
      </c>
      <c r="X85" s="2048">
        <f>INDEX(MO_BSS_Debt_Net,0,COLUMN())/SUM(INDEX(MO_BS_SE,0,COLUMN()),INDEX(MO_BSS_Debt,0,COLUMN()),IFERROR(INDEX(MO_BSS_OL,0,COLUMN()),0))</f>
        <v/>
      </c>
      <c r="Y85" s="2048">
        <f>INDEX(MO_BSS_Debt_Net,0,COLUMN())/SUM(INDEX(MO_BS_SE,0,COLUMN()),INDEX(MO_BSS_Debt,0,COLUMN()),IFERROR(INDEX(MO_BSS_OL,0,COLUMN()),0))</f>
        <v/>
      </c>
      <c r="Z85" s="2048">
        <f>INDEX(MO_BSS_Debt_Net,0,COLUMN())/SUM(INDEX(MO_BS_SE,0,COLUMN()),INDEX(MO_BSS_Debt,0,COLUMN()),IFERROR(INDEX(MO_BSS_OL,0,COLUMN()),0))</f>
        <v/>
      </c>
      <c r="AA85" s="2047">
        <f>INDEX(MO_BSS_Debt_Net,0,COLUMN())/SUM(INDEX(MO_BS_SE,0,COLUMN()),INDEX(MO_BSS_Debt,0,COLUMN()),IFERROR(INDEX(MO_BSS_OL,0,COLUMN()),0))</f>
        <v/>
      </c>
      <c r="AB85" s="2048">
        <f>INDEX(MO_BSS_Debt_Net,0,COLUMN())/SUM(INDEX(MO_BS_SE,0,COLUMN()),INDEX(MO_BSS_Debt,0,COLUMN()),IFERROR(INDEX(MO_BSS_OL,0,COLUMN()),0))</f>
        <v/>
      </c>
      <c r="AC85" s="2048">
        <f>INDEX(MO_BSS_Debt_Net,0,COLUMN())/SUM(INDEX(MO_BS_SE,0,COLUMN()),INDEX(MO_BSS_Debt,0,COLUMN()),IFERROR(INDEX(MO_BSS_OL,0,COLUMN()),0))</f>
        <v/>
      </c>
      <c r="AD85" s="2048">
        <f>INDEX(MO_BSS_Debt_Net,0,COLUMN())/SUM(INDEX(MO_BS_SE,0,COLUMN()),INDEX(MO_BSS_Debt,0,COLUMN()),IFERROR(INDEX(MO_BSS_OL,0,COLUMN()),0))</f>
        <v/>
      </c>
      <c r="AE85" s="2048">
        <f>INDEX(MO_BSS_Debt_Net,0,COLUMN())/SUM(INDEX(MO_BS_SE,0,COLUMN()),INDEX(MO_BSS_Debt,0,COLUMN()),IFERROR(INDEX(MO_BSS_OL,0,COLUMN()),0))</f>
        <v/>
      </c>
      <c r="AF85" s="2047">
        <f>INDEX(MO_BSS_Debt_Net,0,COLUMN())/SUM(INDEX(MO_BS_SE,0,COLUMN()),INDEX(MO_BSS_Debt,0,COLUMN()),IFERROR(INDEX(MO_BSS_OL,0,COLUMN()),0))</f>
        <v/>
      </c>
      <c r="AG85" s="2048">
        <f>INDEX(MO_BSS_Debt_Net,0,COLUMN())/SUM(INDEX(MO_BS_SE,0,COLUMN()),INDEX(MO_BSS_Debt,0,COLUMN()),IFERROR(INDEX(MO_BSS_OL,0,COLUMN()),0))</f>
        <v/>
      </c>
      <c r="AH85" s="2048">
        <f>INDEX(MO_BSS_Debt_Net,0,COLUMN())/SUM(INDEX(MO_BS_SE,0,COLUMN()),INDEX(MO_BSS_Debt,0,COLUMN()),IFERROR(INDEX(MO_BSS_OL,0,COLUMN()),0))</f>
        <v/>
      </c>
      <c r="AI85" s="2048">
        <f>INDEX(MO_BSS_Debt_Net,0,COLUMN())/SUM(INDEX(MO_BS_SE,0,COLUMN()),INDEX(MO_BSS_Debt,0,COLUMN()),IFERROR(INDEX(MO_BSS_OL,0,COLUMN()),0))</f>
        <v/>
      </c>
      <c r="AJ85" s="2048">
        <f>INDEX(MO_BSS_Debt_Net,0,COLUMN())/SUM(INDEX(MO_BS_SE,0,COLUMN()),INDEX(MO_BSS_Debt,0,COLUMN()),IFERROR(INDEX(MO_BSS_OL,0,COLUMN()),0))</f>
        <v/>
      </c>
      <c r="AK85" s="2047">
        <f>INDEX(MO_BSS_Debt_Net,0,COLUMN())/SUM(INDEX(MO_BS_SE,0,COLUMN()),INDEX(MO_BSS_Debt,0,COLUMN()),IFERROR(INDEX(MO_BSS_OL,0,COLUMN()),0))</f>
        <v/>
      </c>
      <c r="AL85" s="2048">
        <f>INDEX(MO_BSS_Debt_Net,0,COLUMN())/SUM(INDEX(MO_BS_SE,0,COLUMN()),INDEX(MO_BSS_Debt,0,COLUMN()),IFERROR(INDEX(MO_BSS_OL,0,COLUMN()),0))</f>
        <v/>
      </c>
      <c r="AM85" s="2048">
        <f>INDEX(MO_BSS_Debt_Net,0,COLUMN())/SUM(INDEX(MO_BS_SE,0,COLUMN()),INDEX(MO_BSS_Debt,0,COLUMN()),IFERROR(INDEX(MO_BSS_OL,0,COLUMN()),0))</f>
        <v/>
      </c>
      <c r="AN85" s="2048">
        <f>INDEX(MO_BSS_Debt_Net,0,COLUMN())/SUM(INDEX(MO_BS_SE,0,COLUMN()),INDEX(MO_BSS_Debt,0,COLUMN()),IFERROR(INDEX(MO_BSS_OL,0,COLUMN()),0))</f>
        <v/>
      </c>
      <c r="AO85" s="2048">
        <f>INDEX(MO_BSS_Debt_Net,0,COLUMN())/SUM(INDEX(MO_BS_SE,0,COLUMN()),INDEX(MO_BSS_Debt,0,COLUMN()),IFERROR(INDEX(MO_BSS_OL,0,COLUMN()),0))</f>
        <v/>
      </c>
      <c r="AP85" s="2047">
        <f>INDEX(MO_BSS_Debt_Net,0,COLUMN())/SUM(INDEX(MO_BS_SE,0,COLUMN()),INDEX(MO_BSS_Debt,0,COLUMN()),IFERROR(INDEX(MO_BSS_OL,0,COLUMN()),0))</f>
        <v/>
      </c>
      <c r="AQ85" s="2048">
        <f>INDEX(MO_BSS_Debt_Net,0,COLUMN())/SUM(INDEX(MO_BS_SE,0,COLUMN()),INDEX(MO_BSS_Debt,0,COLUMN()),IFERROR(INDEX(MO_BSS_OL,0,COLUMN()),0))</f>
        <v/>
      </c>
      <c r="AR85" s="2048">
        <f>INDEX(MO_BSS_Debt_Net,0,COLUMN())/SUM(INDEX(MO_BS_SE,0,COLUMN()),INDEX(MO_BSS_Debt,0,COLUMN()),IFERROR(INDEX(MO_BSS_OL,0,COLUMN()),0))</f>
        <v/>
      </c>
      <c r="AS85" s="2048">
        <f>INDEX(MO_BSS_Debt_Net,0,COLUMN())/SUM(INDEX(MO_BS_SE,0,COLUMN()),INDEX(MO_BSS_Debt,0,COLUMN()),IFERROR(INDEX(MO_BSS_OL,0,COLUMN()),0))</f>
        <v/>
      </c>
      <c r="AT85" s="2048">
        <f>INDEX(MO_BSS_Debt_Net,0,COLUMN())/SUM(INDEX(MO_BS_SE,0,COLUMN()),INDEX(MO_BSS_Debt,0,COLUMN()),IFERROR(INDEX(MO_BSS_OL,0,COLUMN()),0))</f>
        <v/>
      </c>
      <c r="AU85" s="2047">
        <f>INDEX(MO_BSS_Debt_Net,0,COLUMN())/SUM(INDEX(MO_BS_SE,0,COLUMN()),INDEX(MO_BSS_Debt,0,COLUMN()),IFERROR(INDEX(MO_BSS_OL,0,COLUMN()),0))</f>
        <v/>
      </c>
      <c r="AV85" s="2048">
        <f>INDEX(MO_BSS_Debt_Net,0,COLUMN())/SUM(INDEX(MO_BS_SE,0,COLUMN()),INDEX(MO_BSS_Debt,0,COLUMN()),IFERROR(INDEX(MO_BSS_OL,0,COLUMN()),0))</f>
        <v/>
      </c>
      <c r="AW85" s="2048">
        <f>INDEX(MO_BSS_Debt_Net,0,COLUMN())/SUM(INDEX(MO_BS_SE,0,COLUMN()),INDEX(MO_BSS_Debt,0,COLUMN()),IFERROR(INDEX(MO_BSS_OL,0,COLUMN()),0))</f>
        <v/>
      </c>
      <c r="AX85" s="2048">
        <f>INDEX(MO_BSS_Debt_Net,0,COLUMN())/SUM(INDEX(MO_BS_SE,0,COLUMN()),INDEX(MO_BSS_Debt,0,COLUMN()),IFERROR(INDEX(MO_BSS_OL,0,COLUMN()),0))</f>
        <v/>
      </c>
      <c r="AY85" s="2048">
        <f>INDEX(MO_BSS_Debt_Net,0,COLUMN())/SUM(INDEX(MO_BS_SE,0,COLUMN()),INDEX(MO_BSS_Debt,0,COLUMN()),IFERROR(INDEX(MO_BSS_OL,0,COLUMN()),0))</f>
        <v/>
      </c>
      <c r="AZ85" s="2047">
        <f>INDEX(MO_BSS_Debt_Net,0,COLUMN())/SUM(INDEX(MO_BS_SE,0,COLUMN()),INDEX(MO_BSS_Debt,0,COLUMN()),IFERROR(INDEX(MO_BSS_OL,0,COLUMN()),0))</f>
        <v/>
      </c>
      <c r="BA85" s="2048">
        <f>INDEX(MO_BSS_Debt_Net,0,COLUMN())/SUM(INDEX(MO_BS_SE,0,COLUMN()),INDEX(MO_BSS_Debt,0,COLUMN()),IFERROR(INDEX(MO_BSS_OL,0,COLUMN()),0))</f>
        <v/>
      </c>
      <c r="BB85" s="2048">
        <f>INDEX(MO_BSS_Debt_Net,0,COLUMN())/SUM(INDEX(MO_BS_SE,0,COLUMN()),INDEX(MO_BSS_Debt,0,COLUMN()),IFERROR(INDEX(MO_BSS_OL,0,COLUMN()),0))</f>
        <v/>
      </c>
      <c r="BC85" s="2048">
        <f>INDEX(MO_BSS_Debt_Net,0,COLUMN())/SUM(INDEX(MO_BS_SE,0,COLUMN()),INDEX(MO_BSS_Debt,0,COLUMN()),IFERROR(INDEX(MO_BSS_OL,0,COLUMN()),0))</f>
        <v/>
      </c>
      <c r="BD85" s="2048">
        <f>INDEX(MO_BSS_Debt_Net,0,COLUMN())/SUM(INDEX(MO_BS_SE,0,COLUMN()),INDEX(MO_BSS_Debt,0,COLUMN()),IFERROR(INDEX(MO_BSS_OL,0,COLUMN()),0))</f>
        <v/>
      </c>
      <c r="BE85" s="2047">
        <f>INDEX(MO_BSS_Debt_Net,0,COLUMN())/SUM(INDEX(MO_BS_SE,0,COLUMN()),INDEX(MO_BSS_Debt,0,COLUMN()),IFERROR(INDEX(MO_BSS_OL,0,COLUMN()),0))</f>
        <v/>
      </c>
      <c r="BF85" s="2048">
        <f>INDEX(MO_BSS_Debt_Net,0,COLUMN())/SUM(INDEX(MO_BS_SE,0,COLUMN()),INDEX(MO_BSS_Debt,0,COLUMN()),IFERROR(INDEX(MO_BSS_OL,0,COLUMN()),0))</f>
        <v/>
      </c>
      <c r="BG85" s="2048">
        <f>INDEX(MO_BSS_Debt_Net,0,COLUMN())/SUM(INDEX(MO_BS_SE,0,COLUMN()),INDEX(MO_BSS_Debt,0,COLUMN()),IFERROR(INDEX(MO_BSS_OL,0,COLUMN()),0))</f>
        <v/>
      </c>
      <c r="BH85" s="2048">
        <f>INDEX(MO_BSS_Debt_Net,0,COLUMN())/SUM(INDEX(MO_BS_SE,0,COLUMN()),INDEX(MO_BSS_Debt,0,COLUMN()),IFERROR(INDEX(MO_BSS_OL,0,COLUMN()),0))</f>
        <v/>
      </c>
      <c r="BI85" s="2048">
        <f>INDEX(MO_BSS_Debt_Net,0,COLUMN())/SUM(INDEX(MO_BS_SE,0,COLUMN()),INDEX(MO_BSS_Debt,0,COLUMN()),IFERROR(INDEX(MO_BSS_OL,0,COLUMN()),0))</f>
        <v/>
      </c>
      <c r="BJ85" s="2047">
        <f>INDEX(MO_BSS_Debt_Net,0,COLUMN())/SUM(INDEX(MO_BS_SE,0,COLUMN()),INDEX(MO_BSS_Debt,0,COLUMN()),IFERROR(INDEX(MO_BSS_OL,0,COLUMN()),0))</f>
        <v/>
      </c>
      <c r="BK85" s="2048">
        <f>INDEX(MO_BSS_Debt_Net,0,COLUMN())/SUM(INDEX(MO_BS_SE,0,COLUMN()),INDEX(MO_BSS_Debt,0,COLUMN()),IFERROR(INDEX(MO_BSS_OL,0,COLUMN()),0))</f>
        <v/>
      </c>
      <c r="BL85" s="2048">
        <f>INDEX(MO_BSS_Debt_Net,0,COLUMN())/SUM(INDEX(MO_BS_SE,0,COLUMN()),INDEX(MO_BSS_Debt,0,COLUMN()),IFERROR(INDEX(MO_BSS_OL,0,COLUMN()),0))</f>
        <v/>
      </c>
      <c r="BM85" s="2048">
        <f>INDEX(MO_BSS_Debt_Net,0,COLUMN())/SUM(INDEX(MO_BS_SE,0,COLUMN()),INDEX(MO_BSS_Debt,0,COLUMN()),IFERROR(INDEX(MO_BSS_OL,0,COLUMN()),0))</f>
        <v/>
      </c>
      <c r="BN85" s="2048">
        <f>INDEX(MO_BSS_Debt_Net,0,COLUMN())/SUM(INDEX(MO_BS_SE,0,COLUMN()),INDEX(MO_BSS_Debt,0,COLUMN()),IFERROR(INDEX(MO_BSS_OL,0,COLUMN()),0))</f>
        <v/>
      </c>
      <c r="BO85" s="2049">
        <f>INDEX(MO_BSS_Debt_Net,0,COLUMN())/SUM(INDEX(MO_BS_SE,0,COLUMN()),INDEX(MO_BSS_Debt,0,COLUMN()),IFERROR(INDEX(MO_BSS_OL,0,COLUMN()),0))</f>
        <v/>
      </c>
      <c r="BP85" s="2048">
        <f>INDEX(MO_BSS_Debt_Net,0,COLUMN())/SUM(INDEX(MO_BS_SE,0,COLUMN()),INDEX(MO_BSS_Debt,0,COLUMN()),IFERROR(INDEX(MO_BSS_OL,0,COLUMN()),0))</f>
        <v/>
      </c>
      <c r="BQ85" s="2048">
        <f>INDEX(MO_BSS_Debt_Net,0,COLUMN())/SUM(INDEX(MO_BS_SE,0,COLUMN()),INDEX(MO_BSS_Debt,0,COLUMN()),IFERROR(INDEX(MO_BSS_OL,0,COLUMN()),0))</f>
        <v/>
      </c>
      <c r="BR85" s="2048">
        <f>INDEX(MO_BSS_Debt_Net,0,COLUMN())/SUM(INDEX(MO_BS_SE,0,COLUMN()),INDEX(MO_BSS_Debt,0,COLUMN()),IFERROR(INDEX(MO_BSS_OL,0,COLUMN()),0))</f>
        <v/>
      </c>
      <c r="BS85" s="2048">
        <f>INDEX(MO_BSS_Debt_Net,0,COLUMN())/SUM(INDEX(MO_BS_SE,0,COLUMN()),INDEX(MO_BSS_Debt,0,COLUMN()),IFERROR(INDEX(MO_BSS_OL,0,COLUMN()),0))</f>
        <v/>
      </c>
      <c r="BT85" s="2047">
        <f>INDEX(MO_BSS_Debt_Net,0,COLUMN())/SUM(INDEX(MO_BS_SE,0,COLUMN()),INDEX(MO_BSS_Debt,0,COLUMN()),IFERROR(INDEX(MO_BSS_OL,0,COLUMN()),0))</f>
        <v/>
      </c>
      <c r="BU85" s="2048">
        <f>INDEX(MO_BSS_Debt_Net,0,COLUMN())/SUM(INDEX(MO_BS_SE,0,COLUMN()),INDEX(MO_BSS_Debt,0,COLUMN()),IFERROR(INDEX(MO_BSS_OL,0,COLUMN()),0))</f>
        <v/>
      </c>
      <c r="BV85" s="2048">
        <f>INDEX(MO_BSS_Debt_Net,0,COLUMN())/SUM(INDEX(MO_BS_SE,0,COLUMN()),INDEX(MO_BSS_Debt,0,COLUMN()),IFERROR(INDEX(MO_BSS_OL,0,COLUMN()),0))</f>
        <v/>
      </c>
      <c r="BW85" s="2048">
        <f>INDEX(MO_BSS_Debt_Net,0,COLUMN())/SUM(INDEX(MO_BS_SE,0,COLUMN()),INDEX(MO_BSS_Debt,0,COLUMN()),IFERROR(INDEX(MO_BSS_OL,0,COLUMN()),0))</f>
        <v/>
      </c>
      <c r="BX85" s="2048">
        <f>INDEX(MO_BSS_Debt_Net,0,COLUMN())/SUM(INDEX(MO_BS_SE,0,COLUMN()),INDEX(MO_BSS_Debt,0,COLUMN()),IFERROR(INDEX(MO_BSS_OL,0,COLUMN()),0))</f>
        <v/>
      </c>
      <c r="BY85" s="2047">
        <f>INDEX(MO_BSS_Debt_Net,0,COLUMN())/SUM(INDEX(MO_BS_SE,0,COLUMN()),INDEX(MO_BSS_Debt,0,COLUMN()),IFERROR(INDEX(MO_BSS_OL,0,COLUMN()),0))</f>
        <v/>
      </c>
      <c r="BZ85" s="2047">
        <f>INDEX(MO_BSS_Debt_Net,0,COLUMN())/SUM(INDEX(MO_BS_SE,0,COLUMN()),INDEX(MO_BSS_Debt,0,COLUMN()),IFERROR(INDEX(MO_BSS_OL,0,COLUMN()),0))</f>
        <v/>
      </c>
      <c r="CA85" s="2047">
        <f>INDEX(MO_BSS_Debt_Net,0,COLUMN())/SUM(INDEX(MO_BS_SE,0,COLUMN()),INDEX(MO_BSS_Debt,0,COLUMN()),IFERROR(INDEX(MO_BSS_OL,0,COLUMN()),0))</f>
        <v/>
      </c>
      <c r="CB85" s="2047">
        <f>INDEX(MO_BSS_Debt_Net,0,COLUMN())/SUM(INDEX(MO_BS_SE,0,COLUMN()),INDEX(MO_BSS_Debt,0,COLUMN()),IFERROR(INDEX(MO_BSS_OL,0,COLUMN()),0))</f>
        <v/>
      </c>
      <c r="CC85" s="2050" t="n"/>
    </row>
    <row r="86" hidden="1" outlineLevel="1" ht="14.4" customFormat="1" customHeight="1" s="1991">
      <c r="A86" s="1998" t="inlineStr">
        <is>
          <t>LTM EBITDA</t>
        </is>
      </c>
      <c r="B86" s="1999" t="n"/>
      <c r="C86" s="1928">
        <f>C44</f>
        <v/>
      </c>
      <c r="D86" s="1928">
        <f>D44</f>
        <v/>
      </c>
      <c r="E86" s="1928">
        <f>E44</f>
        <v/>
      </c>
      <c r="F86" s="1928">
        <f>F44</f>
        <v/>
      </c>
      <c r="G86" s="1928">
        <f>G44</f>
        <v/>
      </c>
      <c r="H86" s="1301" t="n"/>
      <c r="I86" s="1301" t="n"/>
      <c r="J86" s="1301" t="n"/>
      <c r="K86" s="1301">
        <f>SUM(K44,J44,I44,H44)</f>
        <v/>
      </c>
      <c r="L86" s="1928">
        <f>L44</f>
        <v/>
      </c>
      <c r="M86" s="1301">
        <f>SUM(M44,K44,J44,I44)</f>
        <v/>
      </c>
      <c r="N86" s="1301">
        <f>SUM(N44,M44,K44,J44)</f>
        <v/>
      </c>
      <c r="O86" s="1301">
        <f>SUM(O44,N44,M44,K44)</f>
        <v/>
      </c>
      <c r="P86" s="1301">
        <f>SUM(P44,O44,N44,M44)</f>
        <v/>
      </c>
      <c r="Q86" s="1928">
        <f>Q44</f>
        <v/>
      </c>
      <c r="R86" s="1301">
        <f>SUM(R44,P44,O44,N44)</f>
        <v/>
      </c>
      <c r="S86" s="1301">
        <f>SUM(S44,R44,P44,O44)</f>
        <v/>
      </c>
      <c r="T86" s="1301">
        <f>SUM(T44,S44,R44,P44)</f>
        <v/>
      </c>
      <c r="U86" s="1301">
        <f>SUM(U44,T44,S44,R44)</f>
        <v/>
      </c>
      <c r="V86" s="1928">
        <f>V44</f>
        <v/>
      </c>
      <c r="W86" s="1301">
        <f>SUM(W44,U44,T44,S44)</f>
        <v/>
      </c>
      <c r="X86" s="1301">
        <f>SUM(X44,W44,U44,T44)</f>
        <v/>
      </c>
      <c r="Y86" s="1301">
        <f>SUM(Y44,X44,W44,U44)</f>
        <v/>
      </c>
      <c r="Z86" s="1301">
        <f>SUM(Z44,Y44,X44,W44)</f>
        <v/>
      </c>
      <c r="AA86" s="1928">
        <f>AA44</f>
        <v/>
      </c>
      <c r="AB86" s="1301">
        <f>SUM(AB44,Z44,Y44,X44)</f>
        <v/>
      </c>
      <c r="AC86" s="1301">
        <f>SUM(AC44,AB44,Z44,Y44)</f>
        <v/>
      </c>
      <c r="AD86" s="1301">
        <f>SUM(AD44,AC44,AB44,Z44)</f>
        <v/>
      </c>
      <c r="AE86" s="1301">
        <f>SUM(AE44,AD44,AC44,AB44)</f>
        <v/>
      </c>
      <c r="AF86" s="1928">
        <f>AF44</f>
        <v/>
      </c>
      <c r="AG86" s="1301">
        <f>SUM(AG44,AE44,AD44,AC44)</f>
        <v/>
      </c>
      <c r="AH86" s="1301">
        <f>SUM(AH44,AG44,AE44,AD44)</f>
        <v/>
      </c>
      <c r="AI86" s="1301">
        <f>SUM(AI44,AH44,AG44,AE44)</f>
        <v/>
      </c>
      <c r="AJ86" s="1301">
        <f>SUM(AJ44,AI44,AH44,AG44)</f>
        <v/>
      </c>
      <c r="AK86" s="1928">
        <f>AK44</f>
        <v/>
      </c>
      <c r="AL86" s="1301">
        <f>SUM(AL44,AJ44,AI44,AH44)</f>
        <v/>
      </c>
      <c r="AM86" s="1301">
        <f>SUM(AM44,AL44,AJ44,AI44)</f>
        <v/>
      </c>
      <c r="AN86" s="1301">
        <f>SUM(AN44,AM44,AL44,AJ44)</f>
        <v/>
      </c>
      <c r="AO86" s="1301">
        <f>SUM(AO44,AN44,AM44,AL44)</f>
        <v/>
      </c>
      <c r="AP86" s="1928">
        <f>AP44</f>
        <v/>
      </c>
      <c r="AQ86" s="1301">
        <f>SUM(AQ44,AO44,AN44,AM44)</f>
        <v/>
      </c>
      <c r="AR86" s="1301">
        <f>SUM(AR44,AQ44,AO44,AN44)</f>
        <v/>
      </c>
      <c r="AS86" s="1301">
        <f>SUM(AS44,AR44,AQ44,AO44)</f>
        <v/>
      </c>
      <c r="AT86" s="1301">
        <f>SUM(AT44,AS44,AR44,AQ44)</f>
        <v/>
      </c>
      <c r="AU86" s="1928">
        <f>AU44</f>
        <v/>
      </c>
      <c r="AV86" s="1301">
        <f>SUM(AV44,AT44,AS44,AR44)</f>
        <v/>
      </c>
      <c r="AW86" s="1301">
        <f>SUM(AW44,AV44,AT44,AS44)</f>
        <v/>
      </c>
      <c r="AX86" s="1301">
        <f>SUM(AX44,AW44,AV44,AT44)</f>
        <v/>
      </c>
      <c r="AY86" s="1301">
        <f>SUM(AY44,AX44,AW44,AV44)</f>
        <v/>
      </c>
      <c r="AZ86" s="1928">
        <f>AZ44</f>
        <v/>
      </c>
      <c r="BA86" s="1301">
        <f>SUM(BA44,AY44,AX44,AW44)</f>
        <v/>
      </c>
      <c r="BB86" s="1301">
        <f>SUM(BB44,BA44,AY44,AX44)</f>
        <v/>
      </c>
      <c r="BC86" s="1301">
        <f>SUM(BC44,BB44,BA44,AY44)</f>
        <v/>
      </c>
      <c r="BD86" s="1301">
        <f>SUM(BD44,BC44,BB44,BA44)</f>
        <v/>
      </c>
      <c r="BE86" s="1928">
        <f>BE44</f>
        <v/>
      </c>
      <c r="BF86" s="1301">
        <f>SUM(BF44,BD44,BC44,BB44)</f>
        <v/>
      </c>
      <c r="BG86" s="1301">
        <f>SUM(BG44,BF44,BD44,BC44)</f>
        <v/>
      </c>
      <c r="BH86" s="1301">
        <f>SUM(BH44,BG44,BF44,BD44)</f>
        <v/>
      </c>
      <c r="BI86" s="1301">
        <f>SUM(BI44,BH44,BG44,BF44)</f>
        <v/>
      </c>
      <c r="BJ86" s="1928">
        <f>BJ44</f>
        <v/>
      </c>
      <c r="BK86" s="1301">
        <f>SUM(BK44,BI44,BH44,BG44)</f>
        <v/>
      </c>
      <c r="BL86" s="1301">
        <f>SUM(BL44,BK44,BI44,BH44)</f>
        <v/>
      </c>
      <c r="BM86" s="1301">
        <f>SUM(BM44,BL44,BK44,BI44)</f>
        <v/>
      </c>
      <c r="BN86" s="1301">
        <f>SUM(BN44,BM44,BL44,BK44)</f>
        <v/>
      </c>
      <c r="BO86" s="1970">
        <f>BO44</f>
        <v/>
      </c>
      <c r="BP86" s="1301">
        <f>SUM(BP44,BN44,BM44,BL44)</f>
        <v/>
      </c>
      <c r="BQ86" s="1301">
        <f>SUM(BQ44,BP44,BN44,BM44)</f>
        <v/>
      </c>
      <c r="BR86" s="1301">
        <f>SUM(BR44,BQ44,BP44,BN44)</f>
        <v/>
      </c>
      <c r="BS86" s="1301">
        <f>SUM(BS44,BR44,BQ44,BP44)</f>
        <v/>
      </c>
      <c r="BT86" s="1928">
        <f>BT44</f>
        <v/>
      </c>
      <c r="BU86" s="1301">
        <f>SUM(BU44,BS44,BR44,BQ44)</f>
        <v/>
      </c>
      <c r="BV86" s="1301">
        <f>SUM(BV44,BU44,BS44,BR44)</f>
        <v/>
      </c>
      <c r="BW86" s="1301">
        <f>SUM(BW44,BV44,BU44,BS44)</f>
        <v/>
      </c>
      <c r="BX86" s="1301">
        <f>SUM(BX44,BW44,BV44,BU44)</f>
        <v/>
      </c>
      <c r="BY86" s="1928">
        <f>BY44</f>
        <v/>
      </c>
      <c r="BZ86" s="1928">
        <f>BZ44</f>
        <v/>
      </c>
      <c r="CA86" s="1928">
        <f>CA44</f>
        <v/>
      </c>
      <c r="CB86" s="1928">
        <f>CB44</f>
        <v/>
      </c>
      <c r="CC86" s="1997" t="n"/>
    </row>
    <row r="87" hidden="1" outlineLevel="1" ht="14.4" customFormat="1" customHeight="1" s="1991">
      <c r="A87" s="1998" t="inlineStr">
        <is>
          <t>LTM Cash Flow</t>
        </is>
      </c>
      <c r="B87" s="1999" t="n"/>
      <c r="C87" s="1928">
        <f>C64</f>
        <v/>
      </c>
      <c r="D87" s="1928">
        <f>D64</f>
        <v/>
      </c>
      <c r="E87" s="1928">
        <f>E64</f>
        <v/>
      </c>
      <c r="F87" s="1928">
        <f>F64</f>
        <v/>
      </c>
      <c r="G87" s="1928">
        <f>G64</f>
        <v/>
      </c>
      <c r="H87" s="1301" t="n"/>
      <c r="I87" s="1301" t="n"/>
      <c r="J87" s="1301" t="n"/>
      <c r="K87" s="1301">
        <f>SUM(K64,J64,I64,H64)</f>
        <v/>
      </c>
      <c r="L87" s="1928">
        <f>L64</f>
        <v/>
      </c>
      <c r="M87" s="1301">
        <f>SUM(M64,K64,J64,I64)</f>
        <v/>
      </c>
      <c r="N87" s="1301">
        <f>SUM(N64,M64,K64,J64)</f>
        <v/>
      </c>
      <c r="O87" s="1301">
        <f>SUM(O64,N64,M64,K64)</f>
        <v/>
      </c>
      <c r="P87" s="1301">
        <f>SUM(P64,O64,N64,M64)</f>
        <v/>
      </c>
      <c r="Q87" s="1928">
        <f>Q64</f>
        <v/>
      </c>
      <c r="R87" s="1301">
        <f>SUM(R64,P64,O64,N64)</f>
        <v/>
      </c>
      <c r="S87" s="1301">
        <f>SUM(S64,R64,P64,O64)</f>
        <v/>
      </c>
      <c r="T87" s="1301">
        <f>SUM(T64,S64,R64,P64)</f>
        <v/>
      </c>
      <c r="U87" s="1301">
        <f>SUM(U64,T64,S64,R64)</f>
        <v/>
      </c>
      <c r="V87" s="1928">
        <f>V64</f>
        <v/>
      </c>
      <c r="W87" s="1301">
        <f>SUM(W64,U64,T64,S64)</f>
        <v/>
      </c>
      <c r="X87" s="1301">
        <f>SUM(X64,W64,U64,T64)</f>
        <v/>
      </c>
      <c r="Y87" s="1301">
        <f>SUM(Y64,X64,W64,U64)</f>
        <v/>
      </c>
      <c r="Z87" s="1301">
        <f>SUM(Z64,Y64,X64,W64)</f>
        <v/>
      </c>
      <c r="AA87" s="1928">
        <f>AA64</f>
        <v/>
      </c>
      <c r="AB87" s="1301">
        <f>SUM(AB64,Z64,Y64,X64)</f>
        <v/>
      </c>
      <c r="AC87" s="1301">
        <f>SUM(AC64,AB64,Z64,Y64)</f>
        <v/>
      </c>
      <c r="AD87" s="1301">
        <f>SUM(AD64,AC64,AB64,Z64)</f>
        <v/>
      </c>
      <c r="AE87" s="1301">
        <f>SUM(AE64,AD64,AC64,AB64)</f>
        <v/>
      </c>
      <c r="AF87" s="1928">
        <f>AF64</f>
        <v/>
      </c>
      <c r="AG87" s="1301">
        <f>SUM(AG64,AE64,AD64,AC64)</f>
        <v/>
      </c>
      <c r="AH87" s="1301">
        <f>SUM(AH64,AG64,AE64,AD64)</f>
        <v/>
      </c>
      <c r="AI87" s="1301">
        <f>SUM(AI64,AH64,AG64,AE64)</f>
        <v/>
      </c>
      <c r="AJ87" s="1301">
        <f>SUM(AJ64,AI64,AH64,AG64)</f>
        <v/>
      </c>
      <c r="AK87" s="1928">
        <f>AK64</f>
        <v/>
      </c>
      <c r="AL87" s="1301">
        <f>SUM(AL64,AJ64,AI64,AH64)</f>
        <v/>
      </c>
      <c r="AM87" s="1301">
        <f>SUM(AM64,AL64,AJ64,AI64)</f>
        <v/>
      </c>
      <c r="AN87" s="1301">
        <f>SUM(AN64,AM64,AL64,AJ64)</f>
        <v/>
      </c>
      <c r="AO87" s="1301">
        <f>SUM(AO64,AN64,AM64,AL64)</f>
        <v/>
      </c>
      <c r="AP87" s="1928">
        <f>AP64</f>
        <v/>
      </c>
      <c r="AQ87" s="1301">
        <f>SUM(AQ64,AO64,AN64,AM64)</f>
        <v/>
      </c>
      <c r="AR87" s="1301">
        <f>SUM(AR64,AQ64,AO64,AN64)</f>
        <v/>
      </c>
      <c r="AS87" s="1301">
        <f>SUM(AS64,AR64,AQ64,AO64)</f>
        <v/>
      </c>
      <c r="AT87" s="1301">
        <f>SUM(AT64,AS64,AR64,AQ64)</f>
        <v/>
      </c>
      <c r="AU87" s="1928">
        <f>AU64</f>
        <v/>
      </c>
      <c r="AV87" s="1301">
        <f>SUM(AV64,AT64,AS64,AR64)</f>
        <v/>
      </c>
      <c r="AW87" s="1301">
        <f>SUM(AW64,AV64,AT64,AS64)</f>
        <v/>
      </c>
      <c r="AX87" s="1301">
        <f>SUM(AX64,AW64,AV64,AT64)</f>
        <v/>
      </c>
      <c r="AY87" s="1301">
        <f>SUM(AY64,AX64,AW64,AV64)</f>
        <v/>
      </c>
      <c r="AZ87" s="1928">
        <f>AZ64</f>
        <v/>
      </c>
      <c r="BA87" s="1301">
        <f>SUM(BA64,AY64,AX64,AW64)</f>
        <v/>
      </c>
      <c r="BB87" s="1301">
        <f>SUM(BB64,BA64,AY64,AX64)</f>
        <v/>
      </c>
      <c r="BC87" s="1301">
        <f>SUM(BC64,BB64,BA64,AY64)</f>
        <v/>
      </c>
      <c r="BD87" s="1301">
        <f>SUM(BD64,BC64,BB64,BA64)</f>
        <v/>
      </c>
      <c r="BE87" s="1928">
        <f>BE64</f>
        <v/>
      </c>
      <c r="BF87" s="1301">
        <f>SUM(BF64,BD64,BC64,BB64)</f>
        <v/>
      </c>
      <c r="BG87" s="1301">
        <f>SUM(BG64,BF64,BD64,BC64)</f>
        <v/>
      </c>
      <c r="BH87" s="1301">
        <f>SUM(BH64,BG64,BF64,BD64)</f>
        <v/>
      </c>
      <c r="BI87" s="1301">
        <f>SUM(BI64,BH64,BG64,BF64)</f>
        <v/>
      </c>
      <c r="BJ87" s="1928">
        <f>BJ64</f>
        <v/>
      </c>
      <c r="BK87" s="1301">
        <f>SUM(BK64,BI64,BH64,BG64)</f>
        <v/>
      </c>
      <c r="BL87" s="1301">
        <f>SUM(BL64,BK64,BI64,BH64)</f>
        <v/>
      </c>
      <c r="BM87" s="1301">
        <f>SUM(BM64,BL64,BK64,BI64)</f>
        <v/>
      </c>
      <c r="BN87" s="1301">
        <f>SUM(BN64,BM64,BL64,BK64)</f>
        <v/>
      </c>
      <c r="BO87" s="1970">
        <f>BO64</f>
        <v/>
      </c>
      <c r="BP87" s="1301">
        <f>SUM(BP64,BN64,BM64,BL64)</f>
        <v/>
      </c>
      <c r="BQ87" s="1301">
        <f>SUM(BQ64,BP64,BN64,BM64)</f>
        <v/>
      </c>
      <c r="BR87" s="1301">
        <f>SUM(BR64,BQ64,BP64,BN64)</f>
        <v/>
      </c>
      <c r="BS87" s="1301">
        <f>SUM(BS64,BR64,BQ64,BP64)</f>
        <v/>
      </c>
      <c r="BT87" s="1928">
        <f>BT64</f>
        <v/>
      </c>
      <c r="BU87" s="1301">
        <f>SUM(BU64,BS64,BR64,BQ64)</f>
        <v/>
      </c>
      <c r="BV87" s="1301">
        <f>SUM(BV64,BU64,BS64,BR64)</f>
        <v/>
      </c>
      <c r="BW87" s="1301">
        <f>SUM(BW64,BV64,BU64,BS64)</f>
        <v/>
      </c>
      <c r="BX87" s="1301">
        <f>SUM(BX64,BW64,BV64,BU64)</f>
        <v/>
      </c>
      <c r="BY87" s="1928">
        <f>BY64</f>
        <v/>
      </c>
      <c r="BZ87" s="1928">
        <f>BZ64</f>
        <v/>
      </c>
      <c r="CA87" s="1928">
        <f>CA64</f>
        <v/>
      </c>
      <c r="CB87" s="1928">
        <f>CB64</f>
        <v/>
      </c>
      <c r="CC87" s="1997" t="n"/>
    </row>
    <row r="88" collapsed="1" ht="14.4" customHeight="1" s="876">
      <c r="A88" s="1949" t="n"/>
      <c r="B88" s="1975" t="n"/>
      <c r="C88" s="1976" t="n"/>
      <c r="D88" s="1976" t="n"/>
      <c r="E88" s="1976" t="n"/>
      <c r="F88" s="1976" t="n"/>
      <c r="G88" s="1976" t="n"/>
      <c r="H88" s="1977" t="n"/>
      <c r="I88" s="1977" t="n"/>
      <c r="J88" s="1977" t="n"/>
      <c r="K88" s="1977" t="n"/>
      <c r="L88" s="1976" t="n"/>
      <c r="M88" s="1977" t="n"/>
      <c r="N88" s="1977" t="n"/>
      <c r="O88" s="1977" t="n"/>
      <c r="P88" s="1977" t="n"/>
      <c r="Q88" s="1976" t="n"/>
      <c r="R88" s="1977" t="n"/>
      <c r="S88" s="1977" t="n"/>
      <c r="T88" s="1977" t="n"/>
      <c r="U88" s="1977" t="n"/>
      <c r="V88" s="1976" t="n"/>
      <c r="W88" s="1977" t="n"/>
      <c r="X88" s="1977" t="n"/>
      <c r="Y88" s="1977" t="n"/>
      <c r="Z88" s="1977" t="n"/>
      <c r="AA88" s="1976" t="n"/>
      <c r="AB88" s="1977" t="n"/>
      <c r="AC88" s="1977" t="n"/>
      <c r="AD88" s="1977" t="n"/>
      <c r="AE88" s="1977" t="n"/>
      <c r="AF88" s="1976" t="n"/>
      <c r="AG88" s="1977" t="n"/>
      <c r="AH88" s="1977" t="n"/>
      <c r="AI88" s="1977" t="n"/>
      <c r="AJ88" s="1977" t="n"/>
      <c r="AK88" s="1976" t="n"/>
      <c r="AL88" s="1977" t="n"/>
      <c r="AM88" s="1977" t="n"/>
      <c r="AN88" s="1977" t="n"/>
      <c r="AO88" s="1977" t="n"/>
      <c r="AP88" s="1976" t="n"/>
      <c r="AQ88" s="1977" t="n"/>
      <c r="AR88" s="1977" t="n"/>
      <c r="AS88" s="1977" t="n"/>
      <c r="AT88" s="1977" t="n"/>
      <c r="AU88" s="1976" t="n"/>
      <c r="AV88" s="1977" t="n"/>
      <c r="AW88" s="1977" t="n"/>
      <c r="AX88" s="1977" t="n"/>
      <c r="AY88" s="1977" t="n"/>
      <c r="AZ88" s="1976" t="n"/>
      <c r="BA88" s="1977" t="n"/>
      <c r="BB88" s="1977" t="n"/>
      <c r="BC88" s="1977" t="n"/>
      <c r="BD88" s="1977" t="n"/>
      <c r="BE88" s="1976" t="n"/>
      <c r="BF88" s="1977" t="n"/>
      <c r="BG88" s="1977" t="n"/>
      <c r="BH88" s="1977" t="n"/>
      <c r="BI88" s="1977" t="n"/>
      <c r="BJ88" s="1976" t="n"/>
      <c r="BK88" s="1977" t="n"/>
      <c r="BL88" s="1977" t="n"/>
      <c r="BM88" s="1977" t="n"/>
      <c r="BN88" s="1977" t="n"/>
      <c r="BO88" s="1978" t="n"/>
      <c r="BP88" s="1977" t="n"/>
      <c r="BQ88" s="1977" t="n"/>
      <c r="BR88" s="1977" t="n"/>
      <c r="BS88" s="1977" t="n"/>
      <c r="BT88" s="1976" t="n"/>
      <c r="BU88" s="1977" t="n"/>
      <c r="BV88" s="1977" t="n"/>
      <c r="BW88" s="1977" t="n"/>
      <c r="BX88" s="1977" t="n"/>
      <c r="BY88" s="1976" t="n"/>
      <c r="BZ88" s="1976" t="n"/>
      <c r="CA88" s="1976" t="n"/>
      <c r="CB88" s="1976" t="n"/>
      <c r="CC88" s="1977" t="n"/>
    </row>
    <row r="89" ht="14.4" customHeight="1" s="876">
      <c r="A89" s="2018" t="inlineStr">
        <is>
          <t>Profitability Ratios</t>
        </is>
      </c>
      <c r="B89" s="1979" t="n"/>
      <c r="C89" s="1979" t="n"/>
      <c r="D89" s="1979" t="n"/>
      <c r="E89" s="1979" t="n"/>
      <c r="F89" s="1979" t="n"/>
      <c r="G89" s="1979" t="n"/>
      <c r="H89" s="1979" t="n"/>
      <c r="I89" s="1979" t="n"/>
      <c r="J89" s="1979" t="n"/>
      <c r="K89" s="1979" t="n"/>
      <c r="L89" s="1979" t="n"/>
      <c r="M89" s="1979" t="n"/>
      <c r="N89" s="1979" t="n"/>
      <c r="O89" s="1979" t="n"/>
      <c r="P89" s="1979" t="n"/>
      <c r="Q89" s="1979" t="n"/>
      <c r="R89" s="1979" t="n"/>
      <c r="S89" s="1979" t="n"/>
      <c r="T89" s="1979" t="n"/>
      <c r="U89" s="1979" t="n"/>
      <c r="V89" s="1979" t="n"/>
      <c r="W89" s="1979" t="n"/>
      <c r="X89" s="1979" t="n"/>
      <c r="Y89" s="1979" t="n"/>
      <c r="Z89" s="1979" t="n"/>
      <c r="AA89" s="1979" t="n"/>
      <c r="AB89" s="1979" t="n"/>
      <c r="AC89" s="1979" t="n"/>
      <c r="AD89" s="1979" t="n"/>
      <c r="AE89" s="1979" t="n"/>
      <c r="AF89" s="1979" t="n"/>
      <c r="AG89" s="1979" t="n"/>
      <c r="AH89" s="1979" t="n"/>
      <c r="AI89" s="1979" t="n"/>
      <c r="AJ89" s="1979" t="n"/>
      <c r="AK89" s="1979" t="n"/>
      <c r="AL89" s="1979" t="n"/>
      <c r="AM89" s="1979" t="n"/>
      <c r="AN89" s="1979" t="n"/>
      <c r="AO89" s="1979" t="n"/>
      <c r="AP89" s="1979" t="n"/>
      <c r="AQ89" s="1979" t="n"/>
      <c r="AR89" s="1979" t="n"/>
      <c r="AS89" s="1979" t="n"/>
      <c r="AT89" s="1979" t="n"/>
      <c r="AU89" s="1979" t="n"/>
      <c r="AV89" s="1979" t="n"/>
      <c r="AW89" s="1979" t="n"/>
      <c r="AX89" s="1979" t="n"/>
      <c r="AY89" s="1979" t="n"/>
      <c r="AZ89" s="1979" t="n"/>
      <c r="BA89" s="1979" t="n"/>
      <c r="BB89" s="1979" t="n"/>
      <c r="BC89" s="1979" t="n"/>
      <c r="BD89" s="1979" t="n"/>
      <c r="BE89" s="1979" t="n"/>
      <c r="BF89" s="1979" t="n"/>
      <c r="BG89" s="1979" t="n"/>
      <c r="BH89" s="1979" t="n"/>
      <c r="BI89" s="1979" t="n"/>
      <c r="BJ89" s="1979" t="n"/>
      <c r="BK89" s="1979" t="n"/>
      <c r="BL89" s="1979" t="n"/>
      <c r="BM89" s="1979" t="n"/>
      <c r="BN89" s="1979" t="n"/>
      <c r="BO89" s="1980" t="n"/>
      <c r="BP89" s="1979" t="n"/>
      <c r="BQ89" s="1979" t="n"/>
      <c r="BR89" s="1979" t="n"/>
      <c r="BS89" s="1979" t="n"/>
      <c r="BT89" s="1979" t="n"/>
      <c r="BU89" s="1979" t="n"/>
      <c r="BV89" s="1979" t="n"/>
      <c r="BW89" s="1979" t="n"/>
      <c r="BX89" s="1979" t="n"/>
      <c r="BY89" s="1979" t="n"/>
      <c r="BZ89" s="1979" t="n"/>
      <c r="CA89" s="1979" t="n"/>
      <c r="CB89" s="1979" t="n"/>
      <c r="CC89" s="1301" t="n"/>
    </row>
    <row r="90" hidden="1" outlineLevel="1" ht="14.4" customHeight="1" s="876">
      <c r="A90" s="1968" t="inlineStr">
        <is>
          <t>Net Income</t>
        </is>
      </c>
      <c r="B90" s="1969" t="n"/>
      <c r="C90" s="1928">
        <f>INDEX(SP_NGF_NI,0,COLUMN())</f>
        <v/>
      </c>
      <c r="D90" s="1928">
        <f>INDEX(SP_NGF_NI,0,COLUMN())</f>
        <v/>
      </c>
      <c r="E90" s="1928">
        <f>INDEX(SP_NGF_NI,0,COLUMN())</f>
        <v/>
      </c>
      <c r="F90" s="1928">
        <f>INDEX(SP_NGF_NI,0,COLUMN())</f>
        <v/>
      </c>
      <c r="G90" s="1928">
        <f>INDEX(SP_NGF_NI,0,COLUMN())</f>
        <v/>
      </c>
      <c r="H90" s="1301">
        <f>INDEX(SP_NGF_NI,0,COLUMN())</f>
        <v/>
      </c>
      <c r="I90" s="1301">
        <f>INDEX(SP_NGF_NI,0,COLUMN())</f>
        <v/>
      </c>
      <c r="J90" s="1301">
        <f>INDEX(SP_NGF_NI,0,COLUMN())</f>
        <v/>
      </c>
      <c r="K90" s="1301">
        <f>INDEX(SP_NGF_NI,0,COLUMN())</f>
        <v/>
      </c>
      <c r="L90" s="1928">
        <f>INDEX(SP_NGF_NI,0,COLUMN())</f>
        <v/>
      </c>
      <c r="M90" s="1301">
        <f>INDEX(SP_NGF_NI,0,COLUMN())</f>
        <v/>
      </c>
      <c r="N90" s="1301">
        <f>INDEX(SP_NGF_NI,0,COLUMN())</f>
        <v/>
      </c>
      <c r="O90" s="1301">
        <f>INDEX(SP_NGF_NI,0,COLUMN())</f>
        <v/>
      </c>
      <c r="P90" s="1301">
        <f>INDEX(SP_NGF_NI,0,COLUMN())</f>
        <v/>
      </c>
      <c r="Q90" s="1928">
        <f>INDEX(SP_NGF_NI,0,COLUMN())</f>
        <v/>
      </c>
      <c r="R90" s="1301">
        <f>INDEX(SP_NGF_NI,0,COLUMN())</f>
        <v/>
      </c>
      <c r="S90" s="1301">
        <f>INDEX(SP_NGF_NI,0,COLUMN())</f>
        <v/>
      </c>
      <c r="T90" s="1301">
        <f>INDEX(SP_NGF_NI,0,COLUMN())</f>
        <v/>
      </c>
      <c r="U90" s="1301">
        <f>INDEX(SP_NGF_NI,0,COLUMN())</f>
        <v/>
      </c>
      <c r="V90" s="1928">
        <f>INDEX(SP_NGF_NI,0,COLUMN())</f>
        <v/>
      </c>
      <c r="W90" s="1301">
        <f>INDEX(SP_NGF_NI,0,COLUMN())</f>
        <v/>
      </c>
      <c r="X90" s="1301">
        <f>INDEX(SP_NGF_NI,0,COLUMN())</f>
        <v/>
      </c>
      <c r="Y90" s="1301">
        <f>INDEX(SP_NGF_NI,0,COLUMN())</f>
        <v/>
      </c>
      <c r="Z90" s="1301">
        <f>INDEX(SP_NGF_NI,0,COLUMN())</f>
        <v/>
      </c>
      <c r="AA90" s="1928">
        <f>INDEX(SP_NGF_NI,0,COLUMN())</f>
        <v/>
      </c>
      <c r="AB90" s="1301">
        <f>INDEX(SP_NGF_NI,0,COLUMN())</f>
        <v/>
      </c>
      <c r="AC90" s="1301">
        <f>INDEX(SP_NGF_NI,0,COLUMN())</f>
        <v/>
      </c>
      <c r="AD90" s="1301">
        <f>INDEX(SP_NGF_NI,0,COLUMN())</f>
        <v/>
      </c>
      <c r="AE90" s="1301">
        <f>INDEX(SP_NGF_NI,0,COLUMN())</f>
        <v/>
      </c>
      <c r="AF90" s="1928">
        <f>INDEX(SP_NGF_NI,0,COLUMN())</f>
        <v/>
      </c>
      <c r="AG90" s="1301">
        <f>INDEX(SP_NGF_NI,0,COLUMN())</f>
        <v/>
      </c>
      <c r="AH90" s="1301">
        <f>INDEX(SP_NGF_NI,0,COLUMN())</f>
        <v/>
      </c>
      <c r="AI90" s="1301">
        <f>INDEX(SP_NGF_NI,0,COLUMN())</f>
        <v/>
      </c>
      <c r="AJ90" s="1301">
        <f>INDEX(SP_NGF_NI,0,COLUMN())</f>
        <v/>
      </c>
      <c r="AK90" s="1928">
        <f>INDEX(SP_NGF_NI,0,COLUMN())</f>
        <v/>
      </c>
      <c r="AL90" s="1301">
        <f>INDEX(SP_NGF_NI,0,COLUMN())</f>
        <v/>
      </c>
      <c r="AM90" s="1301">
        <f>INDEX(SP_NGF_NI,0,COLUMN())</f>
        <v/>
      </c>
      <c r="AN90" s="1301">
        <f>INDEX(SP_NGF_NI,0,COLUMN())</f>
        <v/>
      </c>
      <c r="AO90" s="1301">
        <f>INDEX(SP_NGF_NI,0,COLUMN())</f>
        <v/>
      </c>
      <c r="AP90" s="1928">
        <f>INDEX(SP_NGF_NI,0,COLUMN())</f>
        <v/>
      </c>
      <c r="AQ90" s="1301">
        <f>INDEX(SP_NGF_NI,0,COLUMN())</f>
        <v/>
      </c>
      <c r="AR90" s="1301">
        <f>INDEX(SP_NGF_NI,0,COLUMN())</f>
        <v/>
      </c>
      <c r="AS90" s="1301">
        <f>INDEX(SP_NGF_NI,0,COLUMN())</f>
        <v/>
      </c>
      <c r="AT90" s="1301">
        <f>INDEX(SP_NGF_NI,0,COLUMN())</f>
        <v/>
      </c>
      <c r="AU90" s="1928">
        <f>INDEX(SP_NGF_NI,0,COLUMN())</f>
        <v/>
      </c>
      <c r="AV90" s="1301">
        <f>INDEX(SP_NGF_NI,0,COLUMN())</f>
        <v/>
      </c>
      <c r="AW90" s="1301">
        <f>INDEX(SP_NGF_NI,0,COLUMN())</f>
        <v/>
      </c>
      <c r="AX90" s="1301">
        <f>INDEX(SP_NGF_NI,0,COLUMN())</f>
        <v/>
      </c>
      <c r="AY90" s="1301">
        <f>INDEX(SP_NGF_NI,0,COLUMN())</f>
        <v/>
      </c>
      <c r="AZ90" s="1928">
        <f>INDEX(SP_NGF_NI,0,COLUMN())</f>
        <v/>
      </c>
      <c r="BA90" s="1301">
        <f>INDEX(SP_NGF_NI,0,COLUMN())</f>
        <v/>
      </c>
      <c r="BB90" s="1301">
        <f>INDEX(SP_NGF_NI,0,COLUMN())</f>
        <v/>
      </c>
      <c r="BC90" s="1301">
        <f>INDEX(SP_NGF_NI,0,COLUMN())</f>
        <v/>
      </c>
      <c r="BD90" s="1301">
        <f>INDEX(SP_NGF_NI,0,COLUMN())</f>
        <v/>
      </c>
      <c r="BE90" s="1928">
        <f>INDEX(SP_NGF_NI,0,COLUMN())</f>
        <v/>
      </c>
      <c r="BF90" s="1301">
        <f>INDEX(SP_NGF_NI,0,COLUMN())</f>
        <v/>
      </c>
      <c r="BG90" s="1301">
        <f>INDEX(SP_NGF_NI,0,COLUMN())</f>
        <v/>
      </c>
      <c r="BH90" s="1301">
        <f>INDEX(SP_NGF_NI,0,COLUMN())</f>
        <v/>
      </c>
      <c r="BI90" s="1301">
        <f>INDEX(SP_NGF_NI,0,COLUMN())</f>
        <v/>
      </c>
      <c r="BJ90" s="1928">
        <f>INDEX(SP_NGF_NI,0,COLUMN())</f>
        <v/>
      </c>
      <c r="BK90" s="1301">
        <f>INDEX(SP_NGF_NI,0,COLUMN())</f>
        <v/>
      </c>
      <c r="BL90" s="1301">
        <f>INDEX(SP_NGF_NI,0,COLUMN())</f>
        <v/>
      </c>
      <c r="BM90" s="1301">
        <f>INDEX(SP_NGF_NI,0,COLUMN())</f>
        <v/>
      </c>
      <c r="BN90" s="1301">
        <f>INDEX(SP_NGF_NI,0,COLUMN())</f>
        <v/>
      </c>
      <c r="BO90" s="1970">
        <f>INDEX(SP_NGF_NI,0,COLUMN())</f>
        <v/>
      </c>
      <c r="BP90" s="1301">
        <f>INDEX(SP_NGF_NI,0,COLUMN())</f>
        <v/>
      </c>
      <c r="BQ90" s="1301">
        <f>INDEX(SP_NGF_NI,0,COLUMN())</f>
        <v/>
      </c>
      <c r="BR90" s="1301">
        <f>INDEX(SP_NGF_NI,0,COLUMN())</f>
        <v/>
      </c>
      <c r="BS90" s="1301">
        <f>INDEX(SP_NGF_NI,0,COLUMN())</f>
        <v/>
      </c>
      <c r="BT90" s="1928">
        <f>INDEX(SP_NGF_NI,0,COLUMN())</f>
        <v/>
      </c>
      <c r="BU90" s="1301">
        <f>INDEX(SP_NGF_NI,0,COLUMN())</f>
        <v/>
      </c>
      <c r="BV90" s="1301">
        <f>INDEX(SP_NGF_NI,0,COLUMN())</f>
        <v/>
      </c>
      <c r="BW90" s="1301">
        <f>INDEX(SP_NGF_NI,0,COLUMN())</f>
        <v/>
      </c>
      <c r="BX90" s="1301">
        <f>INDEX(SP_NGF_NI,0,COLUMN())</f>
        <v/>
      </c>
      <c r="BY90" s="1928">
        <f>INDEX(SP_NGF_NI,0,COLUMN())</f>
        <v/>
      </c>
      <c r="BZ90" s="1928">
        <f>INDEX(SP_NGF_NI,0,COLUMN())</f>
        <v/>
      </c>
      <c r="CA90" s="1928">
        <f>INDEX(SP_NGF_NI,0,COLUMN())</f>
        <v/>
      </c>
      <c r="CB90" s="1928">
        <f>INDEX(SP_NGF_NI,0,COLUMN())</f>
        <v/>
      </c>
      <c r="CC90" s="1301" t="n"/>
    </row>
    <row r="91" hidden="1" outlineLevel="1" ht="14.4" customHeight="1" s="876">
      <c r="A91" s="1968" t="inlineStr">
        <is>
          <t>LTM Net Income</t>
        </is>
      </c>
      <c r="B91" s="1969" t="n"/>
      <c r="C91" s="1928">
        <f>C90</f>
        <v/>
      </c>
      <c r="D91" s="1928">
        <f>D90</f>
        <v/>
      </c>
      <c r="E91" s="1928">
        <f>E90</f>
        <v/>
      </c>
      <c r="F91" s="1928">
        <f>F90</f>
        <v/>
      </c>
      <c r="G91" s="1928">
        <f>G90</f>
        <v/>
      </c>
      <c r="H91" s="1301" t="n"/>
      <c r="I91" s="1301" t="n"/>
      <c r="J91" s="1301" t="n"/>
      <c r="K91" s="1301">
        <f>SUM(K90,J90,I90,H90)</f>
        <v/>
      </c>
      <c r="L91" s="1928">
        <f>L90</f>
        <v/>
      </c>
      <c r="M91" s="1301">
        <f>SUM(M90,K90,J90,I90)</f>
        <v/>
      </c>
      <c r="N91" s="1301">
        <f>SUM(N90,M90,K90,J90)</f>
        <v/>
      </c>
      <c r="O91" s="1301">
        <f>SUM(O90,N90,M90,K90)</f>
        <v/>
      </c>
      <c r="P91" s="1301">
        <f>SUM(P90,O90,N90,M90)</f>
        <v/>
      </c>
      <c r="Q91" s="1928">
        <f>Q90</f>
        <v/>
      </c>
      <c r="R91" s="1301">
        <f>SUM(R90,P90,O90,N90)</f>
        <v/>
      </c>
      <c r="S91" s="1301">
        <f>SUM(S90,R90,P90,O90)</f>
        <v/>
      </c>
      <c r="T91" s="1301">
        <f>SUM(T90,S90,R90,P90)</f>
        <v/>
      </c>
      <c r="U91" s="1301">
        <f>SUM(U90,T90,S90,R90)</f>
        <v/>
      </c>
      <c r="V91" s="1928">
        <f>V90</f>
        <v/>
      </c>
      <c r="W91" s="1301">
        <f>SUM(W90,U90,T90,S90)</f>
        <v/>
      </c>
      <c r="X91" s="1301">
        <f>SUM(X90,W90,U90,T90)</f>
        <v/>
      </c>
      <c r="Y91" s="1301">
        <f>SUM(Y90,X90,W90,U90)</f>
        <v/>
      </c>
      <c r="Z91" s="1301">
        <f>SUM(Z90,Y90,X90,W90)</f>
        <v/>
      </c>
      <c r="AA91" s="1928">
        <f>AA90</f>
        <v/>
      </c>
      <c r="AB91" s="1301">
        <f>SUM(AB90,Z90,Y90,X90)</f>
        <v/>
      </c>
      <c r="AC91" s="1301">
        <f>SUM(AC90,AB90,Z90,Y90)</f>
        <v/>
      </c>
      <c r="AD91" s="1301">
        <f>SUM(AD90,AC90,AB90,Z90)</f>
        <v/>
      </c>
      <c r="AE91" s="1301">
        <f>SUM(AE90,AD90,AC90,AB90)</f>
        <v/>
      </c>
      <c r="AF91" s="1928">
        <f>AF90</f>
        <v/>
      </c>
      <c r="AG91" s="1301">
        <f>SUM(AG90,AE90,AD90,AC90)</f>
        <v/>
      </c>
      <c r="AH91" s="1301">
        <f>SUM(AH90,AG90,AE90,AD90)</f>
        <v/>
      </c>
      <c r="AI91" s="1301">
        <f>SUM(AI90,AH90,AG90,AE90)</f>
        <v/>
      </c>
      <c r="AJ91" s="1301">
        <f>SUM(AJ90,AI90,AH90,AG90)</f>
        <v/>
      </c>
      <c r="AK91" s="1928">
        <f>AK90</f>
        <v/>
      </c>
      <c r="AL91" s="1301">
        <f>SUM(AL90,AJ90,AI90,AH90)</f>
        <v/>
      </c>
      <c r="AM91" s="1301">
        <f>SUM(AM90,AL90,AJ90,AI90)</f>
        <v/>
      </c>
      <c r="AN91" s="1301">
        <f>SUM(AN90,AM90,AL90,AJ90)</f>
        <v/>
      </c>
      <c r="AO91" s="1301">
        <f>SUM(AO90,AN90,AM90,AL90)</f>
        <v/>
      </c>
      <c r="AP91" s="1928">
        <f>AP90</f>
        <v/>
      </c>
      <c r="AQ91" s="1301">
        <f>SUM(AQ90,AO90,AN90,AM90)</f>
        <v/>
      </c>
      <c r="AR91" s="1301">
        <f>SUM(AR90,AQ90,AO90,AN90)</f>
        <v/>
      </c>
      <c r="AS91" s="1301">
        <f>SUM(AS90,AR90,AQ90,AO90)</f>
        <v/>
      </c>
      <c r="AT91" s="1301">
        <f>SUM(AT90,AS90,AR90,AQ90)</f>
        <v/>
      </c>
      <c r="AU91" s="1928">
        <f>AU90</f>
        <v/>
      </c>
      <c r="AV91" s="1301">
        <f>SUM(AV90,AT90,AS90,AR90)</f>
        <v/>
      </c>
      <c r="AW91" s="1301">
        <f>SUM(AW90,AV90,AT90,AS90)</f>
        <v/>
      </c>
      <c r="AX91" s="1301">
        <f>SUM(AX90,AW90,AV90,AT90)</f>
        <v/>
      </c>
      <c r="AY91" s="1301">
        <f>SUM(AY90,AX90,AW90,AV90)</f>
        <v/>
      </c>
      <c r="AZ91" s="1928">
        <f>AZ90</f>
        <v/>
      </c>
      <c r="BA91" s="1301">
        <f>SUM(BA90,AY90,AX90,AW90)</f>
        <v/>
      </c>
      <c r="BB91" s="1301">
        <f>SUM(BB90,BA90,AY90,AX90)</f>
        <v/>
      </c>
      <c r="BC91" s="1301">
        <f>SUM(BC90,BB90,BA90,AY90)</f>
        <v/>
      </c>
      <c r="BD91" s="1301">
        <f>SUM(BD90,BC90,BB90,BA90)</f>
        <v/>
      </c>
      <c r="BE91" s="1928">
        <f>BE90</f>
        <v/>
      </c>
      <c r="BF91" s="1301">
        <f>SUM(BF90,BD90,BC90,BB90)</f>
        <v/>
      </c>
      <c r="BG91" s="1301">
        <f>SUM(BG90,BF90,BD90,BC90)</f>
        <v/>
      </c>
      <c r="BH91" s="1301">
        <f>SUM(BH90,BG90,BF90,BD90)</f>
        <v/>
      </c>
      <c r="BI91" s="1301">
        <f>SUM(BI90,BH90,BG90,BF90)</f>
        <v/>
      </c>
      <c r="BJ91" s="1928">
        <f>BJ90</f>
        <v/>
      </c>
      <c r="BK91" s="1301">
        <f>SUM(BK90,BI90,BH90,BG90)</f>
        <v/>
      </c>
      <c r="BL91" s="1301">
        <f>SUM(BL90,BK90,BI90,BH90)</f>
        <v/>
      </c>
      <c r="BM91" s="1301">
        <f>SUM(BM90,BL90,BK90,BI90)</f>
        <v/>
      </c>
      <c r="BN91" s="1301">
        <f>SUM(BN90,BM90,BL90,BK90)</f>
        <v/>
      </c>
      <c r="BO91" s="1970">
        <f>BO90</f>
        <v/>
      </c>
      <c r="BP91" s="1301">
        <f>SUM(BP90,BN90,BM90,BL90)</f>
        <v/>
      </c>
      <c r="BQ91" s="1301">
        <f>SUM(BQ90,BP90,BN90,BM90)</f>
        <v/>
      </c>
      <c r="BR91" s="1301">
        <f>SUM(BR90,BQ90,BP90,BN90)</f>
        <v/>
      </c>
      <c r="BS91" s="1301">
        <f>SUM(BS90,BR90,BQ90,BP90)</f>
        <v/>
      </c>
      <c r="BT91" s="1928">
        <f>BT90</f>
        <v/>
      </c>
      <c r="BU91" s="1301">
        <f>SUM(BU90,BS90,BR90,BQ90)</f>
        <v/>
      </c>
      <c r="BV91" s="1301">
        <f>SUM(BV90,BU90,BS90,BR90)</f>
        <v/>
      </c>
      <c r="BW91" s="1301">
        <f>SUM(BW90,BV90,BU90,BS90)</f>
        <v/>
      </c>
      <c r="BX91" s="1301">
        <f>SUM(BX90,BW90,BV90,BU90)</f>
        <v/>
      </c>
      <c r="BY91" s="1928">
        <f>BY90</f>
        <v/>
      </c>
      <c r="BZ91" s="1928">
        <f>BZ90</f>
        <v/>
      </c>
      <c r="CA91" s="1928">
        <f>CA90</f>
        <v/>
      </c>
      <c r="CB91" s="1928">
        <f>CB90</f>
        <v/>
      </c>
      <c r="CC91" s="1301" t="n"/>
    </row>
    <row r="92" hidden="1" outlineLevel="1" ht="14.4" customHeight="1" s="876">
      <c r="A92" s="1968" t="inlineStr">
        <is>
          <t>Shareholder's Equity</t>
        </is>
      </c>
      <c r="B92" s="1969" t="n"/>
      <c r="C92" s="1928">
        <f>INDEX(MO_BS_SE,0,COLUMN())</f>
        <v/>
      </c>
      <c r="D92" s="1928">
        <f>INDEX(MO_BS_SE,0,COLUMN())</f>
        <v/>
      </c>
      <c r="E92" s="1928">
        <f>INDEX(MO_BS_SE,0,COLUMN())</f>
        <v/>
      </c>
      <c r="F92" s="1928">
        <f>INDEX(MO_BS_SE,0,COLUMN())</f>
        <v/>
      </c>
      <c r="G92" s="1928">
        <f>INDEX(MO_BS_SE,0,COLUMN())</f>
        <v/>
      </c>
      <c r="H92" s="1301">
        <f>INDEX(MO_BS_SE,0,COLUMN())</f>
        <v/>
      </c>
      <c r="I92" s="1301">
        <f>INDEX(MO_BS_SE,0,COLUMN())</f>
        <v/>
      </c>
      <c r="J92" s="1301">
        <f>INDEX(MO_BS_SE,0,COLUMN())</f>
        <v/>
      </c>
      <c r="K92" s="1301">
        <f>INDEX(MO_BS_SE,0,COLUMN())</f>
        <v/>
      </c>
      <c r="L92" s="1928">
        <f>INDEX(MO_BS_SE,0,COLUMN())</f>
        <v/>
      </c>
      <c r="M92" s="1301">
        <f>INDEX(MO_BS_SE,0,COLUMN())</f>
        <v/>
      </c>
      <c r="N92" s="1301">
        <f>INDEX(MO_BS_SE,0,COLUMN())</f>
        <v/>
      </c>
      <c r="O92" s="1301">
        <f>INDEX(MO_BS_SE,0,COLUMN())</f>
        <v/>
      </c>
      <c r="P92" s="1301">
        <f>INDEX(MO_BS_SE,0,COLUMN())</f>
        <v/>
      </c>
      <c r="Q92" s="1928">
        <f>INDEX(MO_BS_SE,0,COLUMN())</f>
        <v/>
      </c>
      <c r="R92" s="1301">
        <f>INDEX(MO_BS_SE,0,COLUMN())</f>
        <v/>
      </c>
      <c r="S92" s="1301">
        <f>INDEX(MO_BS_SE,0,COLUMN())</f>
        <v/>
      </c>
      <c r="T92" s="1301">
        <f>INDEX(MO_BS_SE,0,COLUMN())</f>
        <v/>
      </c>
      <c r="U92" s="1301">
        <f>INDEX(MO_BS_SE,0,COLUMN())</f>
        <v/>
      </c>
      <c r="V92" s="1928">
        <f>INDEX(MO_BS_SE,0,COLUMN())</f>
        <v/>
      </c>
      <c r="W92" s="1301">
        <f>INDEX(MO_BS_SE,0,COLUMN())</f>
        <v/>
      </c>
      <c r="X92" s="1301">
        <f>INDEX(MO_BS_SE,0,COLUMN())</f>
        <v/>
      </c>
      <c r="Y92" s="1301">
        <f>INDEX(MO_BS_SE,0,COLUMN())</f>
        <v/>
      </c>
      <c r="Z92" s="1301">
        <f>INDEX(MO_BS_SE,0,COLUMN())</f>
        <v/>
      </c>
      <c r="AA92" s="1928">
        <f>INDEX(MO_BS_SE,0,COLUMN())</f>
        <v/>
      </c>
      <c r="AB92" s="1301">
        <f>INDEX(MO_BS_SE,0,COLUMN())</f>
        <v/>
      </c>
      <c r="AC92" s="1301">
        <f>INDEX(MO_BS_SE,0,COLUMN())</f>
        <v/>
      </c>
      <c r="AD92" s="1301">
        <f>INDEX(MO_BS_SE,0,COLUMN())</f>
        <v/>
      </c>
      <c r="AE92" s="1301">
        <f>INDEX(MO_BS_SE,0,COLUMN())</f>
        <v/>
      </c>
      <c r="AF92" s="1928">
        <f>INDEX(MO_BS_SE,0,COLUMN())</f>
        <v/>
      </c>
      <c r="AG92" s="1301">
        <f>INDEX(MO_BS_SE,0,COLUMN())</f>
        <v/>
      </c>
      <c r="AH92" s="1301">
        <f>INDEX(MO_BS_SE,0,COLUMN())</f>
        <v/>
      </c>
      <c r="AI92" s="1301">
        <f>INDEX(MO_BS_SE,0,COLUMN())</f>
        <v/>
      </c>
      <c r="AJ92" s="1301">
        <f>INDEX(MO_BS_SE,0,COLUMN())</f>
        <v/>
      </c>
      <c r="AK92" s="1928">
        <f>INDEX(MO_BS_SE,0,COLUMN())</f>
        <v/>
      </c>
      <c r="AL92" s="1301">
        <f>INDEX(MO_BS_SE,0,COLUMN())</f>
        <v/>
      </c>
      <c r="AM92" s="1301">
        <f>INDEX(MO_BS_SE,0,COLUMN())</f>
        <v/>
      </c>
      <c r="AN92" s="1301">
        <f>INDEX(MO_BS_SE,0,COLUMN())</f>
        <v/>
      </c>
      <c r="AO92" s="1301">
        <f>INDEX(MO_BS_SE,0,COLUMN())</f>
        <v/>
      </c>
      <c r="AP92" s="1928">
        <f>INDEX(MO_BS_SE,0,COLUMN())</f>
        <v/>
      </c>
      <c r="AQ92" s="1301">
        <f>INDEX(MO_BS_SE,0,COLUMN())</f>
        <v/>
      </c>
      <c r="AR92" s="1301">
        <f>INDEX(MO_BS_SE,0,COLUMN())</f>
        <v/>
      </c>
      <c r="AS92" s="1301">
        <f>INDEX(MO_BS_SE,0,COLUMN())</f>
        <v/>
      </c>
      <c r="AT92" s="1301">
        <f>INDEX(MO_BS_SE,0,COLUMN())</f>
        <v/>
      </c>
      <c r="AU92" s="1928">
        <f>INDEX(MO_BS_SE,0,COLUMN())</f>
        <v/>
      </c>
      <c r="AV92" s="1301">
        <f>INDEX(MO_BS_SE,0,COLUMN())</f>
        <v/>
      </c>
      <c r="AW92" s="1301">
        <f>INDEX(MO_BS_SE,0,COLUMN())</f>
        <v/>
      </c>
      <c r="AX92" s="1301">
        <f>INDEX(MO_BS_SE,0,COLUMN())</f>
        <v/>
      </c>
      <c r="AY92" s="1301">
        <f>INDEX(MO_BS_SE,0,COLUMN())</f>
        <v/>
      </c>
      <c r="AZ92" s="1928">
        <f>INDEX(MO_BS_SE,0,COLUMN())</f>
        <v/>
      </c>
      <c r="BA92" s="1301">
        <f>INDEX(MO_BS_SE,0,COLUMN())</f>
        <v/>
      </c>
      <c r="BB92" s="1301">
        <f>INDEX(MO_BS_SE,0,COLUMN())</f>
        <v/>
      </c>
      <c r="BC92" s="1301">
        <f>INDEX(MO_BS_SE,0,COLUMN())</f>
        <v/>
      </c>
      <c r="BD92" s="1301">
        <f>INDEX(MO_BS_SE,0,COLUMN())</f>
        <v/>
      </c>
      <c r="BE92" s="1928">
        <f>INDEX(MO_BS_SE,0,COLUMN())</f>
        <v/>
      </c>
      <c r="BF92" s="1301">
        <f>INDEX(MO_BS_SE,0,COLUMN())</f>
        <v/>
      </c>
      <c r="BG92" s="1301">
        <f>INDEX(MO_BS_SE,0,COLUMN())</f>
        <v/>
      </c>
      <c r="BH92" s="1301">
        <f>INDEX(MO_BS_SE,0,COLUMN())</f>
        <v/>
      </c>
      <c r="BI92" s="1301">
        <f>INDEX(MO_BS_SE,0,COLUMN())</f>
        <v/>
      </c>
      <c r="BJ92" s="1928">
        <f>INDEX(MO_BS_SE,0,COLUMN())</f>
        <v/>
      </c>
      <c r="BK92" s="1301">
        <f>INDEX(MO_BS_SE,0,COLUMN())</f>
        <v/>
      </c>
      <c r="BL92" s="1301">
        <f>INDEX(MO_BS_SE,0,COLUMN())</f>
        <v/>
      </c>
      <c r="BM92" s="1301">
        <f>INDEX(MO_BS_SE,0,COLUMN())</f>
        <v/>
      </c>
      <c r="BN92" s="1301">
        <f>INDEX(MO_BS_SE,0,COLUMN())</f>
        <v/>
      </c>
      <c r="BO92" s="1970">
        <f>INDEX(MO_BS_SE,0,COLUMN())</f>
        <v/>
      </c>
      <c r="BP92" s="1301">
        <f>INDEX(MO_BS_SE,0,COLUMN())</f>
        <v/>
      </c>
      <c r="BQ92" s="1301">
        <f>INDEX(MO_BS_SE,0,COLUMN())</f>
        <v/>
      </c>
      <c r="BR92" s="1301">
        <f>INDEX(MO_BS_SE,0,COLUMN())</f>
        <v/>
      </c>
      <c r="BS92" s="1301">
        <f>INDEX(MO_BS_SE,0,COLUMN())</f>
        <v/>
      </c>
      <c r="BT92" s="1928">
        <f>INDEX(MO_BS_SE,0,COLUMN())</f>
        <v/>
      </c>
      <c r="BU92" s="1301">
        <f>INDEX(MO_BS_SE,0,COLUMN())</f>
        <v/>
      </c>
      <c r="BV92" s="1301">
        <f>INDEX(MO_BS_SE,0,COLUMN())</f>
        <v/>
      </c>
      <c r="BW92" s="1301">
        <f>INDEX(MO_BS_SE,0,COLUMN())</f>
        <v/>
      </c>
      <c r="BX92" s="1301">
        <f>INDEX(MO_BS_SE,0,COLUMN())</f>
        <v/>
      </c>
      <c r="BY92" s="1928">
        <f>INDEX(MO_BS_SE,0,COLUMN())</f>
        <v/>
      </c>
      <c r="BZ92" s="1928">
        <f>INDEX(MO_BS_SE,0,COLUMN())</f>
        <v/>
      </c>
      <c r="CA92" s="1928">
        <f>INDEX(MO_BS_SE,0,COLUMN())</f>
        <v/>
      </c>
      <c r="CB92" s="1928">
        <f>INDEX(MO_BS_SE,0,COLUMN())</f>
        <v/>
      </c>
      <c r="CC92" s="1301" t="n"/>
    </row>
    <row r="93" hidden="1" outlineLevel="1" ht="14.4" customHeight="1" s="876">
      <c r="A93" s="1968" t="inlineStr">
        <is>
          <t>Average Shareholder's Equity</t>
        </is>
      </c>
      <c r="B93" s="1969" t="n"/>
      <c r="C93" s="1928">
        <f>C92</f>
        <v/>
      </c>
      <c r="D93" s="1928">
        <f>AVERAGE(D92,C92)</f>
        <v/>
      </c>
      <c r="E93" s="1928">
        <f>AVERAGE(E92,D92)</f>
        <v/>
      </c>
      <c r="F93" s="1928">
        <f>AVERAGE(F92,E92)</f>
        <v/>
      </c>
      <c r="G93" s="1928">
        <f>AVERAGE(G92,F92)</f>
        <v/>
      </c>
      <c r="H93" s="1301" t="n"/>
      <c r="I93" s="1301" t="n"/>
      <c r="J93" s="1301" t="n"/>
      <c r="K93" s="1301">
        <f>AVERAGE(K92,J92,I92,H92)</f>
        <v/>
      </c>
      <c r="L93" s="1928">
        <f>AVERAGE(L92,G92)</f>
        <v/>
      </c>
      <c r="M93" s="1301">
        <f>AVERAGE(M92,K92,J92,I92)</f>
        <v/>
      </c>
      <c r="N93" s="1301">
        <f>AVERAGE(N92,M92,K92,J92)</f>
        <v/>
      </c>
      <c r="O93" s="1301">
        <f>AVERAGE(O92,N92,M92,K92)</f>
        <v/>
      </c>
      <c r="P93" s="1301">
        <f>AVERAGE(P92,O92,N92,M92)</f>
        <v/>
      </c>
      <c r="Q93" s="1928">
        <f>AVERAGE(Q92,L92)</f>
        <v/>
      </c>
      <c r="R93" s="1301">
        <f>AVERAGE(R92,P92,O92,N92)</f>
        <v/>
      </c>
      <c r="S93" s="1301">
        <f>AVERAGE(S92,R92,P92,O92)</f>
        <v/>
      </c>
      <c r="T93" s="1301">
        <f>AVERAGE(T92,S92,R92,P92)</f>
        <v/>
      </c>
      <c r="U93" s="1301">
        <f>AVERAGE(U92,T92,S92,R92)</f>
        <v/>
      </c>
      <c r="V93" s="1928">
        <f>AVERAGE(V92,Q92)</f>
        <v/>
      </c>
      <c r="W93" s="1301">
        <f>AVERAGE(W92,U92,T92,S92)</f>
        <v/>
      </c>
      <c r="X93" s="1301">
        <f>AVERAGE(X92,W92,U92,T92)</f>
        <v/>
      </c>
      <c r="Y93" s="1301">
        <f>AVERAGE(Y92,X92,W92,U92)</f>
        <v/>
      </c>
      <c r="Z93" s="1301">
        <f>AVERAGE(Z92,Y92,X92,W92)</f>
        <v/>
      </c>
      <c r="AA93" s="1928">
        <f>AVERAGE(AA92,V92)</f>
        <v/>
      </c>
      <c r="AB93" s="1301">
        <f>AVERAGE(AB92,Z92,Y92,X92)</f>
        <v/>
      </c>
      <c r="AC93" s="1301">
        <f>AVERAGE(AC92,AB92,Z92,Y92)</f>
        <v/>
      </c>
      <c r="AD93" s="1301">
        <f>AVERAGE(AD92,AC92,AB92,Z92)</f>
        <v/>
      </c>
      <c r="AE93" s="1301">
        <f>AVERAGE(AE92,AD92,AC92,AB92)</f>
        <v/>
      </c>
      <c r="AF93" s="1928">
        <f>AVERAGE(AF92,AA92)</f>
        <v/>
      </c>
      <c r="AG93" s="1301">
        <f>AVERAGE(AG92,AE92,AD92,AC92)</f>
        <v/>
      </c>
      <c r="AH93" s="1301">
        <f>AVERAGE(AH92,AG92,AE92,AD92)</f>
        <v/>
      </c>
      <c r="AI93" s="1301">
        <f>AVERAGE(AI92,AH92,AG92,AE92)</f>
        <v/>
      </c>
      <c r="AJ93" s="1301">
        <f>AVERAGE(AJ92,AI92,AH92,AG92)</f>
        <v/>
      </c>
      <c r="AK93" s="1928">
        <f>AVERAGE(AK92,AF92)</f>
        <v/>
      </c>
      <c r="AL93" s="1301">
        <f>AVERAGE(AL92,AJ92,AI92,AH92)</f>
        <v/>
      </c>
      <c r="AM93" s="1301">
        <f>AVERAGE(AM92,AL92,AJ92,AI92)</f>
        <v/>
      </c>
      <c r="AN93" s="1301">
        <f>AVERAGE(AN92,AM92,AL92,AJ92)</f>
        <v/>
      </c>
      <c r="AO93" s="1301">
        <f>AVERAGE(AO92,AN92,AM92,AL92)</f>
        <v/>
      </c>
      <c r="AP93" s="1928">
        <f>AVERAGE(AP92,AK92)</f>
        <v/>
      </c>
      <c r="AQ93" s="1301">
        <f>AVERAGE(AQ92,AO92,AN92,AM92)</f>
        <v/>
      </c>
      <c r="AR93" s="1301">
        <f>AVERAGE(AR92,AQ92,AO92,AN92)</f>
        <v/>
      </c>
      <c r="AS93" s="1301">
        <f>AVERAGE(AS92,AR92,AQ92,AO92)</f>
        <v/>
      </c>
      <c r="AT93" s="1301">
        <f>AVERAGE(AT92,AS92,AR92,AQ92)</f>
        <v/>
      </c>
      <c r="AU93" s="1928">
        <f>AVERAGE(AU92,AP92)</f>
        <v/>
      </c>
      <c r="AV93" s="1301">
        <f>AVERAGE(AV92,AT92,AS92,AR92)</f>
        <v/>
      </c>
      <c r="AW93" s="1301">
        <f>AVERAGE(AW92,AV92,AT92,AS92)</f>
        <v/>
      </c>
      <c r="AX93" s="1301">
        <f>AVERAGE(AX92,AW92,AV92,AT92)</f>
        <v/>
      </c>
      <c r="AY93" s="1301">
        <f>AVERAGE(AY92,AX92,AW92,AV92)</f>
        <v/>
      </c>
      <c r="AZ93" s="1928">
        <f>AVERAGE(AZ92,AU92)</f>
        <v/>
      </c>
      <c r="BA93" s="1301">
        <f>AVERAGE(BA92,AY92,AX92,AW92)</f>
        <v/>
      </c>
      <c r="BB93" s="1301">
        <f>AVERAGE(BB92,BA92,AY92,AX92)</f>
        <v/>
      </c>
      <c r="BC93" s="1301">
        <f>AVERAGE(BC92,BB92,BA92,AY92)</f>
        <v/>
      </c>
      <c r="BD93" s="1301">
        <f>AVERAGE(BD92,BC92,BB92,BA92)</f>
        <v/>
      </c>
      <c r="BE93" s="1928">
        <f>AVERAGE(BE92,AZ92)</f>
        <v/>
      </c>
      <c r="BF93" s="1301">
        <f>AVERAGE(BF92,BD92,BC92,BB92)</f>
        <v/>
      </c>
      <c r="BG93" s="1301">
        <f>AVERAGE(BG92,BF92,BD92,BC92)</f>
        <v/>
      </c>
      <c r="BH93" s="1301">
        <f>AVERAGE(BH92,BG92,BF92,BD92)</f>
        <v/>
      </c>
      <c r="BI93" s="1301">
        <f>AVERAGE(BI92,BH92,BG92,BF92)</f>
        <v/>
      </c>
      <c r="BJ93" s="1928">
        <f>AVERAGE(BJ92,BE92)</f>
        <v/>
      </c>
      <c r="BK93" s="1301">
        <f>AVERAGE(BK92,BI92,BH92,BG92)</f>
        <v/>
      </c>
      <c r="BL93" s="1301">
        <f>AVERAGE(BL92,BK92,BI92,BH92)</f>
        <v/>
      </c>
      <c r="BM93" s="1301">
        <f>AVERAGE(BM92,BL92,BK92,BI92)</f>
        <v/>
      </c>
      <c r="BN93" s="1301">
        <f>AVERAGE(BN92,BM92,BL92,BK92)</f>
        <v/>
      </c>
      <c r="BO93" s="1970">
        <f>AVERAGE(BO92,BJ92)</f>
        <v/>
      </c>
      <c r="BP93" s="1301">
        <f>AVERAGE(BP92,BN92,BM92,BL92)</f>
        <v/>
      </c>
      <c r="BQ93" s="1301">
        <f>AVERAGE(BQ92,BP92,BN92,BM92)</f>
        <v/>
      </c>
      <c r="BR93" s="1301">
        <f>AVERAGE(BR92,BQ92,BP92,BN92)</f>
        <v/>
      </c>
      <c r="BS93" s="1301">
        <f>AVERAGE(BS92,BR92,BQ92,BP92)</f>
        <v/>
      </c>
      <c r="BT93" s="1928">
        <f>AVERAGE(BT92,BO92)</f>
        <v/>
      </c>
      <c r="BU93" s="1301">
        <f>AVERAGE(BU92,BS92,BR92,BQ92)</f>
        <v/>
      </c>
      <c r="BV93" s="1301">
        <f>AVERAGE(BV92,BU92,BS92,BR92)</f>
        <v/>
      </c>
      <c r="BW93" s="1301">
        <f>AVERAGE(BW92,BV92,BU92,BS92)</f>
        <v/>
      </c>
      <c r="BX93" s="1301">
        <f>AVERAGE(BX92,BW92,BV92,BU92)</f>
        <v/>
      </c>
      <c r="BY93" s="1928">
        <f>AVERAGE(BY92,BT92)</f>
        <v/>
      </c>
      <c r="BZ93" s="1928">
        <f>AVERAGE(BZ92,BY92)</f>
        <v/>
      </c>
      <c r="CA93" s="1928">
        <f>AVERAGE(CA92,BZ92)</f>
        <v/>
      </c>
      <c r="CB93" s="1928">
        <f>AVERAGE(CB92,CA92)</f>
        <v/>
      </c>
      <c r="CC93" s="1301" t="n"/>
    </row>
    <row r="94" collapsed="1" ht="14.4" customFormat="1" customHeight="1" s="1991">
      <c r="A94" s="1998" t="inlineStr">
        <is>
          <t>ROE</t>
        </is>
      </c>
      <c r="B94" s="1999" t="n"/>
      <c r="C94" s="2000">
        <f>IF(C93&lt;0,"NMF",IF(ABS(C91/C93)&gt;1,"NMF",C91/C93))</f>
        <v/>
      </c>
      <c r="D94" s="2000">
        <f>IF(D93&lt;0,"NMF",IF(ABS(D91/D93)&gt;1,"NMF",D91/D93))</f>
        <v/>
      </c>
      <c r="E94" s="2000">
        <f>IF(E93&lt;0,"NMF",IF(ABS(E91/E93)&gt;1,"NMF",E91/E93))</f>
        <v/>
      </c>
      <c r="F94" s="2000">
        <f>IF(F93&lt;0,"NMF",IF(ABS(F91/F93)&gt;1,"NMF",F91/F93))</f>
        <v/>
      </c>
      <c r="G94" s="2000">
        <f>IF(G93&lt;0,"NMF",IF(ABS(G91/G93)&gt;1,"NMF",G91/G93))</f>
        <v/>
      </c>
      <c r="H94" s="2001" t="n"/>
      <c r="I94" s="2001" t="n"/>
      <c r="J94" s="2001" t="n"/>
      <c r="K94" s="2001" t="n"/>
      <c r="L94" s="2000">
        <f>IF(L93&lt;0,"NMF",IF(ABS(L91/L93)&gt;1,"NMF",L91/L93))</f>
        <v/>
      </c>
      <c r="M94" s="2001">
        <f>IF(M93&lt;0,"NMF",IF(ABS(M91/M93)&gt;1,"NMF",M91/M93))</f>
        <v/>
      </c>
      <c r="N94" s="2001">
        <f>IF(N93&lt;0,"NMF",IF(ABS(N91/N93)&gt;1,"NMF",N91/N93))</f>
        <v/>
      </c>
      <c r="O94" s="2001">
        <f>IF(O93&lt;0,"NMF",IF(ABS(O91/O93)&gt;1,"NMF",O91/O93))</f>
        <v/>
      </c>
      <c r="P94" s="2001">
        <f>IF(P93&lt;0,"NMF",IF(ABS(P91/P93)&gt;1,"NMF",P91/P93))</f>
        <v/>
      </c>
      <c r="Q94" s="2000">
        <f>IF(Q93&lt;0,"NMF",IF(ABS(Q91/Q93)&gt;1,"NMF",Q91/Q93))</f>
        <v/>
      </c>
      <c r="R94" s="2001">
        <f>IF(R93&lt;0,"NMF",IF(ABS(R91/R93)&gt;1,"NMF",R91/R93))</f>
        <v/>
      </c>
      <c r="S94" s="2001">
        <f>IF(S93&lt;0,"NMF",IF(ABS(S91/S93)&gt;1,"NMF",S91/S93))</f>
        <v/>
      </c>
      <c r="T94" s="2001">
        <f>IF(T93&lt;0,"NMF",IF(ABS(T91/T93)&gt;1,"NMF",T91/T93))</f>
        <v/>
      </c>
      <c r="U94" s="2001">
        <f>IF(U93&lt;0,"NMF",IF(ABS(U91/U93)&gt;1,"NMF",U91/U93))</f>
        <v/>
      </c>
      <c r="V94" s="2000">
        <f>IF(V93&lt;0,"NMF",IF(ABS(V91/V93)&gt;1,"NMF",V91/V93))</f>
        <v/>
      </c>
      <c r="W94" s="2001">
        <f>IF(W93&lt;0,"NMF",IF(ABS(W91/W93)&gt;1,"NMF",W91/W93))</f>
        <v/>
      </c>
      <c r="X94" s="2001">
        <f>IF(X93&lt;0,"NMF",IF(ABS(X91/X93)&gt;1,"NMF",X91/X93))</f>
        <v/>
      </c>
      <c r="Y94" s="2001">
        <f>IF(Y93&lt;0,"NMF",IF(ABS(Y91/Y93)&gt;1,"NMF",Y91/Y93))</f>
        <v/>
      </c>
      <c r="Z94" s="2001">
        <f>IF(Z93&lt;0,"NMF",IF(ABS(Z91/Z93)&gt;1,"NMF",Z91/Z93))</f>
        <v/>
      </c>
      <c r="AA94" s="2000">
        <f>IF(AA93&lt;0,"NMF",IF(ABS(AA91/AA93)&gt;1,"NMF",AA91/AA93))</f>
        <v/>
      </c>
      <c r="AB94" s="2001">
        <f>IF(AB93&lt;0,"NMF",IF(ABS(AB91/AB93)&gt;1,"NMF",AB91/AB93))</f>
        <v/>
      </c>
      <c r="AC94" s="2001">
        <f>IF(AC93&lt;0,"NMF",IF(ABS(AC91/AC93)&gt;1,"NMF",AC91/AC93))</f>
        <v/>
      </c>
      <c r="AD94" s="2001">
        <f>IF(AD93&lt;0,"NMF",IF(ABS(AD91/AD93)&gt;1,"NMF",AD91/AD93))</f>
        <v/>
      </c>
      <c r="AE94" s="2001">
        <f>IF(AE93&lt;0,"NMF",IF(ABS(AE91/AE93)&gt;1,"NMF",AE91/AE93))</f>
        <v/>
      </c>
      <c r="AF94" s="2000">
        <f>IF(AF93&lt;0,"NMF",IF(ABS(AF91/AF93)&gt;1,"NMF",AF91/AF93))</f>
        <v/>
      </c>
      <c r="AG94" s="2001">
        <f>IF(AG93&lt;0,"NMF",IF(ABS(AG91/AG93)&gt;1,"NMF",AG91/AG93))</f>
        <v/>
      </c>
      <c r="AH94" s="2001">
        <f>IF(AH93&lt;0,"NMF",IF(ABS(AH91/AH93)&gt;1,"NMF",AH91/AH93))</f>
        <v/>
      </c>
      <c r="AI94" s="2001">
        <f>IF(AI93&lt;0,"NMF",IF(ABS(AI91/AI93)&gt;1,"NMF",AI91/AI93))</f>
        <v/>
      </c>
      <c r="AJ94" s="2001">
        <f>IF(AJ93&lt;0,"NMF",IF(ABS(AJ91/AJ93)&gt;1,"NMF",AJ91/AJ93))</f>
        <v/>
      </c>
      <c r="AK94" s="2000">
        <f>IF(AK93&lt;0,"NMF",IF(ABS(AK91/AK93)&gt;1,"NMF",AK91/AK93))</f>
        <v/>
      </c>
      <c r="AL94" s="2001">
        <f>IF(AL93&lt;0,"NMF",IF(ABS(AL91/AL93)&gt;1,"NMF",AL91/AL93))</f>
        <v/>
      </c>
      <c r="AM94" s="2001">
        <f>IF(AM93&lt;0,"NMF",IF(ABS(AM91/AM93)&gt;1,"NMF",AM91/AM93))</f>
        <v/>
      </c>
      <c r="AN94" s="2001">
        <f>IF(AN93&lt;0,"NMF",IF(ABS(AN91/AN93)&gt;1,"NMF",AN91/AN93))</f>
        <v/>
      </c>
      <c r="AO94" s="2001">
        <f>IF(AO93&lt;0,"NMF",IF(ABS(AO91/AO93)&gt;1,"NMF",AO91/AO93))</f>
        <v/>
      </c>
      <c r="AP94" s="2000">
        <f>IF(AP93&lt;0,"NMF",IF(ABS(AP91/AP93)&gt;1,"NMF",AP91/AP93))</f>
        <v/>
      </c>
      <c r="AQ94" s="2001">
        <f>IF(AQ93&lt;0,"NMF",IF(ABS(AQ91/AQ93)&gt;1,"NMF",AQ91/AQ93))</f>
        <v/>
      </c>
      <c r="AR94" s="2001">
        <f>IF(AR93&lt;0,"NMF",IF(ABS(AR91/AR93)&gt;1,"NMF",AR91/AR93))</f>
        <v/>
      </c>
      <c r="AS94" s="2001">
        <f>IF(AS93&lt;0,"NMF",IF(ABS(AS91/AS93)&gt;1,"NMF",AS91/AS93))</f>
        <v/>
      </c>
      <c r="AT94" s="2001">
        <f>IF(AT93&lt;0,"NMF",IF(ABS(AT91/AT93)&gt;1,"NMF",AT91/AT93))</f>
        <v/>
      </c>
      <c r="AU94" s="2000">
        <f>IF(AU93&lt;0,"NMF",IF(ABS(AU91/AU93)&gt;1,"NMF",AU91/AU93))</f>
        <v/>
      </c>
      <c r="AV94" s="2001">
        <f>IF(AV93&lt;0,"NMF",IF(ABS(AV91/AV93)&gt;1,"NMF",AV91/AV93))</f>
        <v/>
      </c>
      <c r="AW94" s="2001">
        <f>IF(AW93&lt;0,"NMF",IF(ABS(AW91/AW93)&gt;1,"NMF",AW91/AW93))</f>
        <v/>
      </c>
      <c r="AX94" s="2001">
        <f>IF(AX93&lt;0,"NMF",IF(ABS(AX91/AX93)&gt;1,"NMF",AX91/AX93))</f>
        <v/>
      </c>
      <c r="AY94" s="2001">
        <f>IF(AY93&lt;0,"NMF",IF(ABS(AY91/AY93)&gt;1,"NMF",AY91/AY93))</f>
        <v/>
      </c>
      <c r="AZ94" s="2000">
        <f>IF(AZ93&lt;0,"NMF",IF(ABS(AZ91/AZ93)&gt;1,"NMF",AZ91/AZ93))</f>
        <v/>
      </c>
      <c r="BA94" s="2001">
        <f>IF(BA93&lt;0,"NMF",IF(ABS(BA91/BA93)&gt;1,"NMF",BA91/BA93))</f>
        <v/>
      </c>
      <c r="BB94" s="2001">
        <f>IF(BB93&lt;0,"NMF",IF(ABS(BB91/BB93)&gt;1,"NMF",BB91/BB93))</f>
        <v/>
      </c>
      <c r="BC94" s="2001">
        <f>IF(BC93&lt;0,"NMF",IF(ABS(BC91/BC93)&gt;1,"NMF",BC91/BC93))</f>
        <v/>
      </c>
      <c r="BD94" s="2001">
        <f>IF(BD93&lt;0,"NMF",IF(ABS(BD91/BD93)&gt;1,"NMF",BD91/BD93))</f>
        <v/>
      </c>
      <c r="BE94" s="2000">
        <f>IF(BE93&lt;0,"NMF",IF(ABS(BE91/BE93)&gt;1,"NMF",BE91/BE93))</f>
        <v/>
      </c>
      <c r="BF94" s="2001">
        <f>IF(BF93&lt;0,"NMF",IF(ABS(BF91/BF93)&gt;1,"NMF",BF91/BF93))</f>
        <v/>
      </c>
      <c r="BG94" s="2001">
        <f>IF(BG93&lt;0,"NMF",IF(ABS(BG91/BG93)&gt;1,"NMF",BG91/BG93))</f>
        <v/>
      </c>
      <c r="BH94" s="2001">
        <f>IF(BH93&lt;0,"NMF",IF(ABS(BH91/BH93)&gt;1,"NMF",BH91/BH93))</f>
        <v/>
      </c>
      <c r="BI94" s="2001">
        <f>IF(BI93&lt;0,"NMF",IF(ABS(BI91/BI93)&gt;1,"NMF",BI91/BI93))</f>
        <v/>
      </c>
      <c r="BJ94" s="2000">
        <f>IF(BJ93&lt;0,"NMF",IF(ABS(BJ91/BJ93)&gt;1,"NMF",BJ91/BJ93))</f>
        <v/>
      </c>
      <c r="BK94" s="2001">
        <f>IF(BK93&lt;0,"NMF",IF(ABS(BK91/BK93)&gt;1,"NMF",BK91/BK93))</f>
        <v/>
      </c>
      <c r="BL94" s="2001">
        <f>IF(BL93&lt;0,"NMF",IF(ABS(BL91/BL93)&gt;1,"NMF",BL91/BL93))</f>
        <v/>
      </c>
      <c r="BM94" s="2001">
        <f>IF(BM93&lt;0,"NMF",IF(ABS(BM91/BM93)&gt;1,"NMF",BM91/BM93))</f>
        <v/>
      </c>
      <c r="BN94" s="2001">
        <f>IF(BN93&lt;0,"NMF",IF(ABS(BN91/BN93)&gt;1,"NMF",BN91/BN93))</f>
        <v/>
      </c>
      <c r="BO94" s="2002">
        <f>IF(BO93&lt;0,"NMF",IF(ABS(BO91/BO93)&gt;1,"NMF",BO91/BO93))</f>
        <v/>
      </c>
      <c r="BP94" s="2001">
        <f>IF(BP93&lt;0,"NMF",IF(ABS(BP91/BP93)&gt;1,"NMF",BP91/BP93))</f>
        <v/>
      </c>
      <c r="BQ94" s="2001">
        <f>IF(BQ93&lt;0,"NMF",IF(ABS(BQ91/BQ93)&gt;1,"NMF",BQ91/BQ93))</f>
        <v/>
      </c>
      <c r="BR94" s="2001">
        <f>IF(BR93&lt;0,"NMF",IF(ABS(BR91/BR93)&gt;1,"NMF",BR91/BR93))</f>
        <v/>
      </c>
      <c r="BS94" s="2001">
        <f>IF(BS93&lt;0,"NMF",IF(ABS(BS91/BS93)&gt;1,"NMF",BS91/BS93))</f>
        <v/>
      </c>
      <c r="BT94" s="2000">
        <f>IF(BT93&lt;0,"NMF",IF(ABS(BT91/BT93)&gt;1,"NMF",BT91/BT93))</f>
        <v/>
      </c>
      <c r="BU94" s="2001">
        <f>IF(BU93&lt;0,"NMF",IF(ABS(BU91/BU93)&gt;1,"NMF",BU91/BU93))</f>
        <v/>
      </c>
      <c r="BV94" s="2001">
        <f>IF(BV93&lt;0,"NMF",IF(ABS(BV91/BV93)&gt;1,"NMF",BV91/BV93))</f>
        <v/>
      </c>
      <c r="BW94" s="2001">
        <f>IF(BW93&lt;0,"NMF",IF(ABS(BW91/BW93)&gt;1,"NMF",BW91/BW93))</f>
        <v/>
      </c>
      <c r="BX94" s="2001">
        <f>IF(BX93&lt;0,"NMF",IF(ABS(BX91/BX93)&gt;1,"NMF",BX91/BX93))</f>
        <v/>
      </c>
      <c r="BY94" s="2000">
        <f>IF(BY93&lt;0,"NMF",IF(ABS(BY91/BY93)&gt;1,"NMF",BY91/BY93))</f>
        <v/>
      </c>
      <c r="BZ94" s="2000">
        <f>IF(BZ93&lt;0,"NMF",IF(ABS(BZ91/BZ93)&gt;1,"NMF",BZ91/BZ93))</f>
        <v/>
      </c>
      <c r="CA94" s="2000">
        <f>IF(CA93&lt;0,"NMF",IF(ABS(CA91/CA93)&gt;1,"NMF",CA91/CA93))</f>
        <v/>
      </c>
      <c r="CB94" s="2000">
        <f>IF(CB93&lt;0,"NMF",IF(ABS(CB91/CB93)&gt;1,"NMF",CB91/CB93))</f>
        <v/>
      </c>
      <c r="CC94" s="1997" t="n"/>
    </row>
    <row r="95" hidden="1" outlineLevel="1" ht="14.4" customHeight="1" s="876">
      <c r="A95" s="1968" t="inlineStr">
        <is>
          <t>NOPAT</t>
        </is>
      </c>
      <c r="B95" s="1969" t="n"/>
      <c r="C95" s="1928">
        <f>INDEX(SP_GF_NI,0,COLUMN())+INDEX(SP_GF_IE,0,COLUMN())*(1-INDEX(SP_GF_Tax,0,COLUMN())/INDEX(SP_GF_EBT,0,COLUMN()))+INDEX(SP_GF_NCI,0,COLUMN())</f>
        <v/>
      </c>
      <c r="D95" s="1928">
        <f>INDEX(SP_GF_NI,0,COLUMN())+INDEX(SP_GF_IE,0,COLUMN())*(1-INDEX(SP_GF_Tax,0,COLUMN())/INDEX(SP_GF_EBT,0,COLUMN()))+INDEX(SP_GF_NCI,0,COLUMN())</f>
        <v/>
      </c>
      <c r="E95" s="1928">
        <f>INDEX(SP_GF_NI,0,COLUMN())+INDEX(SP_GF_IE,0,COLUMN())*(1-INDEX(SP_GF_Tax,0,COLUMN())/INDEX(SP_GF_EBT,0,COLUMN()))+INDEX(SP_GF_NCI,0,COLUMN())</f>
        <v/>
      </c>
      <c r="F95" s="1928">
        <f>INDEX(SP_GF_NI,0,COLUMN())+INDEX(SP_GF_IE,0,COLUMN())*(1-INDEX(SP_GF_Tax,0,COLUMN())/INDEX(SP_GF_EBT,0,COLUMN()))+INDEX(SP_GF_NCI,0,COLUMN())</f>
        <v/>
      </c>
      <c r="G95" s="1928">
        <f>INDEX(SP_GF_NI,0,COLUMN())+INDEX(SP_GF_IE,0,COLUMN())*(1-INDEX(SP_GF_Tax,0,COLUMN())/INDEX(SP_GF_EBT,0,COLUMN()))+INDEX(SP_GF_NCI,0,COLUMN())</f>
        <v/>
      </c>
      <c r="H95" s="1301">
        <f>INDEX(SP_GF_NI,0,COLUMN())+INDEX(SP_GF_IE,0,COLUMN())*(1-INDEX(SP_GF_Tax,0,COLUMN())/INDEX(SP_GF_EBT,0,COLUMN()))+INDEX(SP_GF_NCI,0,COLUMN())</f>
        <v/>
      </c>
      <c r="I95" s="1301">
        <f>INDEX(SP_GF_NI,0,COLUMN())+INDEX(SP_GF_IE,0,COLUMN())*(1-INDEX(SP_GF_Tax,0,COLUMN())/INDEX(SP_GF_EBT,0,COLUMN()))+INDEX(SP_GF_NCI,0,COLUMN())</f>
        <v/>
      </c>
      <c r="J95" s="1301">
        <f>INDEX(SP_GF_NI,0,COLUMN())+INDEX(SP_GF_IE,0,COLUMN())*(1-INDEX(SP_GF_Tax,0,COLUMN())/INDEX(SP_GF_EBT,0,COLUMN()))+INDEX(SP_GF_NCI,0,COLUMN())</f>
        <v/>
      </c>
      <c r="K95" s="1301">
        <f>INDEX(SP_GF_NI,0,COLUMN())+INDEX(SP_GF_IE,0,COLUMN())*(1-INDEX(SP_GF_Tax,0,COLUMN())/INDEX(SP_GF_EBT,0,COLUMN()))+INDEX(SP_GF_NCI,0,COLUMN())</f>
        <v/>
      </c>
      <c r="L95" s="1928">
        <f>INDEX(SP_GF_NI,0,COLUMN())+INDEX(SP_GF_IE,0,COLUMN())*(1-INDEX(SP_GF_Tax,0,COLUMN())/INDEX(SP_GF_EBT,0,COLUMN()))+INDEX(SP_GF_NCI,0,COLUMN())</f>
        <v/>
      </c>
      <c r="M95" s="1301">
        <f>INDEX(SP_GF_NI,0,COLUMN())+INDEX(SP_GF_IE,0,COLUMN())*(1-INDEX(SP_GF_Tax,0,COLUMN())/INDEX(SP_GF_EBT,0,COLUMN()))+INDEX(SP_GF_NCI,0,COLUMN())</f>
        <v/>
      </c>
      <c r="N95" s="1301">
        <f>INDEX(SP_GF_NI,0,COLUMN())+INDEX(SP_GF_IE,0,COLUMN())*(1-INDEX(SP_GF_Tax,0,COLUMN())/INDEX(SP_GF_EBT,0,COLUMN()))+INDEX(SP_GF_NCI,0,COLUMN())</f>
        <v/>
      </c>
      <c r="O95" s="1301">
        <f>INDEX(SP_GF_NI,0,COLUMN())+INDEX(SP_GF_IE,0,COLUMN())*(1-INDEX(SP_GF_Tax,0,COLUMN())/INDEX(SP_GF_EBT,0,COLUMN()))+INDEX(SP_GF_NCI,0,COLUMN())</f>
        <v/>
      </c>
      <c r="P95" s="1301">
        <f>INDEX(SP_GF_NI,0,COLUMN())+INDEX(SP_GF_IE,0,COLUMN())*(1-INDEX(SP_GF_Tax,0,COLUMN())/INDEX(SP_GF_EBT,0,COLUMN()))+INDEX(SP_GF_NCI,0,COLUMN())</f>
        <v/>
      </c>
      <c r="Q95" s="1928">
        <f>INDEX(SP_GF_NI,0,COLUMN())+INDEX(SP_GF_IE,0,COLUMN())*(1-INDEX(SP_GF_Tax,0,COLUMN())/INDEX(SP_GF_EBT,0,COLUMN()))+INDEX(SP_GF_NCI,0,COLUMN())</f>
        <v/>
      </c>
      <c r="R95" s="1301">
        <f>INDEX(SP_GF_NI,0,COLUMN())+INDEX(SP_GF_IE,0,COLUMN())*(1-INDEX(SP_GF_Tax,0,COLUMN())/INDEX(SP_GF_EBT,0,COLUMN()))+INDEX(SP_GF_NCI,0,COLUMN())</f>
        <v/>
      </c>
      <c r="S95" s="1301">
        <f>INDEX(SP_GF_NI,0,COLUMN())+INDEX(SP_GF_IE,0,COLUMN())*(1-INDEX(SP_GF_Tax,0,COLUMN())/INDEX(SP_GF_EBT,0,COLUMN()))+INDEX(SP_GF_NCI,0,COLUMN())</f>
        <v/>
      </c>
      <c r="T95" s="1301">
        <f>INDEX(SP_GF_NI,0,COLUMN())+INDEX(SP_GF_IE,0,COLUMN())*(1-INDEX(SP_GF_Tax,0,COLUMN())/INDEX(SP_GF_EBT,0,COLUMN()))+INDEX(SP_GF_NCI,0,COLUMN())</f>
        <v/>
      </c>
      <c r="U95" s="1301">
        <f>INDEX(SP_GF_NI,0,COLUMN())+INDEX(SP_GF_IE,0,COLUMN())*(1-INDEX(SP_GF_Tax,0,COLUMN())/INDEX(SP_GF_EBT,0,COLUMN()))+INDEX(SP_GF_NCI,0,COLUMN())</f>
        <v/>
      </c>
      <c r="V95" s="1928">
        <f>INDEX(SP_GF_NI,0,COLUMN())+INDEX(SP_GF_IE,0,COLUMN())*(1-INDEX(SP_GF_Tax,0,COLUMN())/INDEX(SP_GF_EBT,0,COLUMN()))+INDEX(SP_GF_NCI,0,COLUMN())</f>
        <v/>
      </c>
      <c r="W95" s="1301">
        <f>INDEX(SP_GF_NI,0,COLUMN())+INDEX(SP_GF_IE,0,COLUMN())*(1-INDEX(SP_GF_Tax,0,COLUMN())/INDEX(SP_GF_EBT,0,COLUMN()))+INDEX(SP_GF_NCI,0,COLUMN())</f>
        <v/>
      </c>
      <c r="X95" s="1301">
        <f>INDEX(SP_GF_NI,0,COLUMN())+INDEX(SP_GF_IE,0,COLUMN())*(1-INDEX(SP_GF_Tax,0,COLUMN())/INDEX(SP_GF_EBT,0,COLUMN()))+INDEX(SP_GF_NCI,0,COLUMN())</f>
        <v/>
      </c>
      <c r="Y95" s="1301">
        <f>INDEX(SP_GF_NI,0,COLUMN())+INDEX(SP_GF_IE,0,COLUMN())*(1-INDEX(SP_GF_Tax,0,COLUMN())/INDEX(SP_GF_EBT,0,COLUMN()))+INDEX(SP_GF_NCI,0,COLUMN())</f>
        <v/>
      </c>
      <c r="Z95" s="1301">
        <f>INDEX(SP_GF_NI,0,COLUMN())+INDEX(SP_GF_IE,0,COLUMN())*(1-INDEX(SP_GF_Tax,0,COLUMN())/INDEX(SP_GF_EBT,0,COLUMN()))+INDEX(SP_GF_NCI,0,COLUMN())</f>
        <v/>
      </c>
      <c r="AA95" s="1928">
        <f>INDEX(SP_GF_NI,0,COLUMN())+INDEX(SP_GF_IE,0,COLUMN())*(1-INDEX(SP_GF_Tax,0,COLUMN())/INDEX(SP_GF_EBT,0,COLUMN()))+INDEX(SP_GF_NCI,0,COLUMN())</f>
        <v/>
      </c>
      <c r="AB95" s="1301">
        <f>INDEX(SP_GF_NI,0,COLUMN())+INDEX(SP_GF_IE,0,COLUMN())*(1-INDEX(SP_GF_Tax,0,COLUMN())/INDEX(SP_GF_EBT,0,COLUMN()))+INDEX(SP_GF_NCI,0,COLUMN())</f>
        <v/>
      </c>
      <c r="AC95" s="1301">
        <f>INDEX(SP_GF_NI,0,COLUMN())+INDEX(SP_GF_IE,0,COLUMN())*(1-INDEX(SP_GF_Tax,0,COLUMN())/INDEX(SP_GF_EBT,0,COLUMN()))+INDEX(SP_GF_NCI,0,COLUMN())</f>
        <v/>
      </c>
      <c r="AD95" s="1301">
        <f>INDEX(SP_GF_NI,0,COLUMN())+INDEX(SP_GF_IE,0,COLUMN())*(1-INDEX(SP_GF_Tax,0,COLUMN())/INDEX(SP_GF_EBT,0,COLUMN()))+INDEX(SP_GF_NCI,0,COLUMN())</f>
        <v/>
      </c>
      <c r="AE95" s="1301">
        <f>INDEX(SP_GF_NI,0,COLUMN())+INDEX(SP_GF_IE,0,COLUMN())*(1-INDEX(SP_GF_Tax,0,COLUMN())/INDEX(SP_GF_EBT,0,COLUMN()))+INDEX(SP_GF_NCI,0,COLUMN())</f>
        <v/>
      </c>
      <c r="AF95" s="1928">
        <f>INDEX(SP_GF_NI,0,COLUMN())+INDEX(SP_GF_IE,0,COLUMN())*(1-INDEX(SP_GF_Tax,0,COLUMN())/INDEX(SP_GF_EBT,0,COLUMN()))+INDEX(SP_GF_NCI,0,COLUMN())</f>
        <v/>
      </c>
      <c r="AG95" s="1301">
        <f>INDEX(SP_GF_NI,0,COLUMN())+INDEX(SP_GF_IE,0,COLUMN())*(1-INDEX(SP_GF_Tax,0,COLUMN())/INDEX(SP_GF_EBT,0,COLUMN()))+INDEX(SP_GF_NCI,0,COLUMN())</f>
        <v/>
      </c>
      <c r="AH95" s="1301">
        <f>INDEX(SP_GF_NI,0,COLUMN())+INDEX(SP_GF_IE,0,COLUMN())*(1-INDEX(SP_GF_Tax,0,COLUMN())/INDEX(SP_GF_EBT,0,COLUMN()))+INDEX(SP_GF_NCI,0,COLUMN())</f>
        <v/>
      </c>
      <c r="AI95" s="1301">
        <f>INDEX(SP_GF_NI,0,COLUMN())+INDEX(SP_GF_IE,0,COLUMN())*(1-INDEX(SP_GF_Tax,0,COLUMN())/INDEX(SP_GF_EBT,0,COLUMN()))+INDEX(SP_GF_NCI,0,COLUMN())</f>
        <v/>
      </c>
      <c r="AJ95" s="1301">
        <f>INDEX(SP_GF_NI,0,COLUMN())+INDEX(SP_GF_IE,0,COLUMN())*(1-INDEX(SP_GF_Tax,0,COLUMN())/INDEX(SP_GF_EBT,0,COLUMN()))+INDEX(SP_GF_NCI,0,COLUMN())</f>
        <v/>
      </c>
      <c r="AK95" s="1928">
        <f>INDEX(SP_GF_NI,0,COLUMN())+INDEX(SP_GF_IE,0,COLUMN())*(1-INDEX(SP_GF_Tax,0,COLUMN())/INDEX(SP_GF_EBT,0,COLUMN()))+INDEX(SP_GF_NCI,0,COLUMN())</f>
        <v/>
      </c>
      <c r="AL95" s="1301">
        <f>INDEX(SP_GF_NI,0,COLUMN())+INDEX(SP_GF_IE,0,COLUMN())*(1-INDEX(SP_GF_Tax,0,COLUMN())/INDEX(SP_GF_EBT,0,COLUMN()))+INDEX(SP_GF_NCI,0,COLUMN())</f>
        <v/>
      </c>
      <c r="AM95" s="1301">
        <f>INDEX(SP_GF_NI,0,COLUMN())+INDEX(SP_GF_IE,0,COLUMN())*(1-INDEX(SP_GF_Tax,0,COLUMN())/INDEX(SP_GF_EBT,0,COLUMN()))+INDEX(SP_GF_NCI,0,COLUMN())</f>
        <v/>
      </c>
      <c r="AN95" s="1301">
        <f>INDEX(SP_GF_NI,0,COLUMN())+INDEX(SP_GF_IE,0,COLUMN())*(1-INDEX(SP_GF_Tax,0,COLUMN())/INDEX(SP_GF_EBT,0,COLUMN()))+INDEX(SP_GF_NCI,0,COLUMN())</f>
        <v/>
      </c>
      <c r="AO95" s="1301">
        <f>INDEX(SP_GF_NI,0,COLUMN())+INDEX(SP_GF_IE,0,COLUMN())*(1-INDEX(SP_GF_Tax,0,COLUMN())/INDEX(SP_GF_EBT,0,COLUMN()))+INDEX(SP_GF_NCI,0,COLUMN())</f>
        <v/>
      </c>
      <c r="AP95" s="1928">
        <f>INDEX(SP_GF_NI,0,COLUMN())+INDEX(SP_GF_IE,0,COLUMN())*(1-INDEX(SP_GF_Tax,0,COLUMN())/INDEX(SP_GF_EBT,0,COLUMN()))+INDEX(SP_GF_NCI,0,COLUMN())</f>
        <v/>
      </c>
      <c r="AQ95" s="1301">
        <f>INDEX(SP_GF_NI,0,COLUMN())+INDEX(SP_GF_IE,0,COLUMN())*(1-INDEX(SP_GF_Tax,0,COLUMN())/INDEX(SP_GF_EBT,0,COLUMN()))+INDEX(SP_GF_NCI,0,COLUMN())</f>
        <v/>
      </c>
      <c r="AR95" s="1301">
        <f>INDEX(SP_GF_NI,0,COLUMN())+INDEX(SP_GF_IE,0,COLUMN())*(1-INDEX(SP_GF_Tax,0,COLUMN())/INDEX(SP_GF_EBT,0,COLUMN()))+INDEX(SP_GF_NCI,0,COLUMN())</f>
        <v/>
      </c>
      <c r="AS95" s="1301">
        <f>INDEX(SP_GF_NI,0,COLUMN())+INDEX(SP_GF_IE,0,COLUMN())*(1-INDEX(SP_GF_Tax,0,COLUMN())/INDEX(SP_GF_EBT,0,COLUMN()))+INDEX(SP_GF_NCI,0,COLUMN())</f>
        <v/>
      </c>
      <c r="AT95" s="1301">
        <f>INDEX(SP_GF_NI,0,COLUMN())+INDEX(SP_GF_IE,0,COLUMN())*(1-INDEX(SP_GF_Tax,0,COLUMN())/INDEX(SP_GF_EBT,0,COLUMN()))+INDEX(SP_GF_NCI,0,COLUMN())</f>
        <v/>
      </c>
      <c r="AU95" s="1928">
        <f>INDEX(SP_GF_NI,0,COLUMN())+INDEX(SP_GF_IE,0,COLUMN())*(1-INDEX(SP_GF_Tax,0,COLUMN())/INDEX(SP_GF_EBT,0,COLUMN()))+INDEX(SP_GF_NCI,0,COLUMN())</f>
        <v/>
      </c>
      <c r="AV95" s="1301">
        <f>INDEX(SP_GF_NI,0,COLUMN())+INDEX(SP_GF_IE,0,COLUMN())*(1-INDEX(SP_GF_Tax,0,COLUMN())/INDEX(SP_GF_EBT,0,COLUMN()))+INDEX(SP_GF_NCI,0,COLUMN())</f>
        <v/>
      </c>
      <c r="AW95" s="1301">
        <f>INDEX(SP_GF_NI,0,COLUMN())+INDEX(SP_GF_IE,0,COLUMN())*(1-INDEX(SP_GF_Tax,0,COLUMN())/INDEX(SP_GF_EBT,0,COLUMN()))+INDEX(SP_GF_NCI,0,COLUMN())</f>
        <v/>
      </c>
      <c r="AX95" s="1301">
        <f>INDEX(SP_GF_NI,0,COLUMN())+INDEX(SP_GF_IE,0,COLUMN())*(1-INDEX(SP_GF_Tax,0,COLUMN())/INDEX(SP_GF_EBT,0,COLUMN()))+INDEX(SP_GF_NCI,0,COLUMN())</f>
        <v/>
      </c>
      <c r="AY95" s="1301">
        <f>INDEX(SP_GF_NI,0,COLUMN())+INDEX(SP_GF_IE,0,COLUMN())*(1-INDEX(SP_GF_Tax,0,COLUMN())/INDEX(SP_GF_EBT,0,COLUMN()))+INDEX(SP_GF_NCI,0,COLUMN())</f>
        <v/>
      </c>
      <c r="AZ95" s="1928">
        <f>INDEX(SP_GF_NI,0,COLUMN())+INDEX(SP_GF_IE,0,COLUMN())*(1-INDEX(SP_GF_Tax,0,COLUMN())/INDEX(SP_GF_EBT,0,COLUMN()))+INDEX(SP_GF_NCI,0,COLUMN())</f>
        <v/>
      </c>
      <c r="BA95" s="1301">
        <f>INDEX(SP_GF_NI,0,COLUMN())+INDEX(SP_GF_IE,0,COLUMN())*(1-INDEX(SP_GF_Tax,0,COLUMN())/INDEX(SP_GF_EBT,0,COLUMN()))+INDEX(SP_GF_NCI,0,COLUMN())</f>
        <v/>
      </c>
      <c r="BB95" s="1301">
        <f>INDEX(SP_GF_NI,0,COLUMN())+INDEX(SP_GF_IE,0,COLUMN())*(1-INDEX(SP_GF_Tax,0,COLUMN())/INDEX(SP_GF_EBT,0,COLUMN()))+INDEX(SP_GF_NCI,0,COLUMN())</f>
        <v/>
      </c>
      <c r="BC95" s="1301">
        <f>INDEX(SP_GF_NI,0,COLUMN())+INDEX(SP_GF_IE,0,COLUMN())*(1-INDEX(SP_GF_Tax,0,COLUMN())/INDEX(SP_GF_EBT,0,COLUMN()))+INDEX(SP_GF_NCI,0,COLUMN())</f>
        <v/>
      </c>
      <c r="BD95" s="1301">
        <f>INDEX(SP_GF_NI,0,COLUMN())+INDEX(SP_GF_IE,0,COLUMN())*(1-INDEX(SP_GF_Tax,0,COLUMN())/INDEX(SP_GF_EBT,0,COLUMN()))+INDEX(SP_GF_NCI,0,COLUMN())</f>
        <v/>
      </c>
      <c r="BE95" s="1928">
        <f>INDEX(SP_GF_NI,0,COLUMN())+INDEX(SP_GF_IE,0,COLUMN())*(1-INDEX(SP_GF_Tax,0,COLUMN())/INDEX(SP_GF_EBT,0,COLUMN()))+INDEX(SP_GF_NCI,0,COLUMN())</f>
        <v/>
      </c>
      <c r="BF95" s="1301">
        <f>INDEX(SP_GF_NI,0,COLUMN())+INDEX(SP_GF_IE,0,COLUMN())*(1-INDEX(SP_GF_Tax,0,COLUMN())/INDEX(SP_GF_EBT,0,COLUMN()))+INDEX(SP_GF_NCI,0,COLUMN())</f>
        <v/>
      </c>
      <c r="BG95" s="1301">
        <f>INDEX(SP_GF_NI,0,COLUMN())+INDEX(SP_GF_IE,0,COLUMN())*(1-INDEX(SP_GF_Tax,0,COLUMN())/INDEX(SP_GF_EBT,0,COLUMN()))+INDEX(SP_GF_NCI,0,COLUMN())</f>
        <v/>
      </c>
      <c r="BH95" s="1301">
        <f>INDEX(SP_GF_NI,0,COLUMN())+INDEX(SP_GF_IE,0,COLUMN())*(1-INDEX(SP_GF_Tax,0,COLUMN())/INDEX(SP_GF_EBT,0,COLUMN()))+INDEX(SP_GF_NCI,0,COLUMN())</f>
        <v/>
      </c>
      <c r="BI95" s="1301">
        <f>INDEX(SP_GF_NI,0,COLUMN())+INDEX(SP_GF_IE,0,COLUMN())*(1-INDEX(SP_GF_Tax,0,COLUMN())/INDEX(SP_GF_EBT,0,COLUMN()))+INDEX(SP_GF_NCI,0,COLUMN())</f>
        <v/>
      </c>
      <c r="BJ95" s="1928">
        <f>INDEX(SP_GF_NI,0,COLUMN())+INDEX(SP_GF_IE,0,COLUMN())*(1-INDEX(SP_GF_Tax,0,COLUMN())/INDEX(SP_GF_EBT,0,COLUMN()))+INDEX(SP_GF_NCI,0,COLUMN())</f>
        <v/>
      </c>
      <c r="BK95" s="1301">
        <f>INDEX(SP_GF_NI,0,COLUMN())+INDEX(SP_GF_IE,0,COLUMN())*(1-INDEX(SP_GF_Tax,0,COLUMN())/INDEX(SP_GF_EBT,0,COLUMN()))+INDEX(SP_GF_NCI,0,COLUMN())</f>
        <v/>
      </c>
      <c r="BL95" s="1301">
        <f>INDEX(SP_GF_NI,0,COLUMN())+INDEX(SP_GF_IE,0,COLUMN())*(1-INDEX(SP_GF_Tax,0,COLUMN())/INDEX(SP_GF_EBT,0,COLUMN()))+INDEX(SP_GF_NCI,0,COLUMN())</f>
        <v/>
      </c>
      <c r="BM95" s="1301">
        <f>INDEX(SP_GF_NI,0,COLUMN())+INDEX(SP_GF_IE,0,COLUMN())*(1-INDEX(SP_GF_Tax,0,COLUMN())/INDEX(SP_GF_EBT,0,COLUMN()))+INDEX(SP_GF_NCI,0,COLUMN())</f>
        <v/>
      </c>
      <c r="BN95" s="1301">
        <f>INDEX(SP_GF_NI,0,COLUMN())+INDEX(SP_GF_IE,0,COLUMN())*(1-INDEX(SP_GF_Tax,0,COLUMN())/INDEX(SP_GF_EBT,0,COLUMN()))+INDEX(SP_GF_NCI,0,COLUMN())</f>
        <v/>
      </c>
      <c r="BO95" s="1970">
        <f>INDEX(SP_GF_NI,0,COLUMN())+INDEX(SP_GF_IE,0,COLUMN())*(1-INDEX(SP_GF_Tax,0,COLUMN())/INDEX(SP_GF_EBT,0,COLUMN()))+INDEX(SP_GF_NCI,0,COLUMN())</f>
        <v/>
      </c>
      <c r="BP95" s="1301">
        <f>INDEX(SP_GF_NI,0,COLUMN())+INDEX(SP_GF_IE,0,COLUMN())*(1-INDEX(SP_GF_Tax,0,COLUMN())/INDEX(SP_GF_EBT,0,COLUMN()))+INDEX(SP_GF_NCI,0,COLUMN())</f>
        <v/>
      </c>
      <c r="BQ95" s="1301">
        <f>INDEX(SP_GF_NI,0,COLUMN())+INDEX(SP_GF_IE,0,COLUMN())*(1-INDEX(SP_GF_Tax,0,COLUMN())/INDEX(SP_GF_EBT,0,COLUMN()))+INDEX(SP_GF_NCI,0,COLUMN())</f>
        <v/>
      </c>
      <c r="BR95" s="1301">
        <f>INDEX(SP_GF_NI,0,COLUMN())+INDEX(SP_GF_IE,0,COLUMN())*(1-INDEX(SP_GF_Tax,0,COLUMN())/INDEX(SP_GF_EBT,0,COLUMN()))+INDEX(SP_GF_NCI,0,COLUMN())</f>
        <v/>
      </c>
      <c r="BS95" s="1301">
        <f>INDEX(SP_GF_NI,0,COLUMN())+INDEX(SP_GF_IE,0,COLUMN())*(1-INDEX(SP_GF_Tax,0,COLUMN())/INDEX(SP_GF_EBT,0,COLUMN()))+INDEX(SP_GF_NCI,0,COLUMN())</f>
        <v/>
      </c>
      <c r="BT95" s="1928">
        <f>INDEX(SP_GF_NI,0,COLUMN())+INDEX(SP_GF_IE,0,COLUMN())*(1-INDEX(SP_GF_Tax,0,COLUMN())/INDEX(SP_GF_EBT,0,COLUMN()))+INDEX(SP_GF_NCI,0,COLUMN())</f>
        <v/>
      </c>
      <c r="BU95" s="1301">
        <f>INDEX(SP_GF_NI,0,COLUMN())+INDEX(SP_GF_IE,0,COLUMN())*(1-INDEX(SP_GF_Tax,0,COLUMN())/INDEX(SP_GF_EBT,0,COLUMN()))+INDEX(SP_GF_NCI,0,COLUMN())</f>
        <v/>
      </c>
      <c r="BV95" s="1301">
        <f>INDEX(SP_GF_NI,0,COLUMN())+INDEX(SP_GF_IE,0,COLUMN())*(1-INDEX(SP_GF_Tax,0,COLUMN())/INDEX(SP_GF_EBT,0,COLUMN()))+INDEX(SP_GF_NCI,0,COLUMN())</f>
        <v/>
      </c>
      <c r="BW95" s="1301">
        <f>INDEX(SP_GF_NI,0,COLUMN())+INDEX(SP_GF_IE,0,COLUMN())*(1-INDEX(SP_GF_Tax,0,COLUMN())/INDEX(SP_GF_EBT,0,COLUMN()))+INDEX(SP_GF_NCI,0,COLUMN())</f>
        <v/>
      </c>
      <c r="BX95" s="1301">
        <f>INDEX(SP_GF_NI,0,COLUMN())+INDEX(SP_GF_IE,0,COLUMN())*(1-INDEX(SP_GF_Tax,0,COLUMN())/INDEX(SP_GF_EBT,0,COLUMN()))+INDEX(SP_GF_NCI,0,COLUMN())</f>
        <v/>
      </c>
      <c r="BY95" s="1928">
        <f>INDEX(SP_GF_NI,0,COLUMN())+INDEX(SP_GF_IE,0,COLUMN())*(1-INDEX(SP_GF_Tax,0,COLUMN())/INDEX(SP_GF_EBT,0,COLUMN()))+INDEX(SP_GF_NCI,0,COLUMN())</f>
        <v/>
      </c>
      <c r="BZ95" s="1928">
        <f>INDEX(SP_GF_NI,0,COLUMN())+INDEX(SP_GF_IE,0,COLUMN())*(1-INDEX(SP_GF_Tax,0,COLUMN())/INDEX(SP_GF_EBT,0,COLUMN()))+INDEX(SP_GF_NCI,0,COLUMN())</f>
        <v/>
      </c>
      <c r="CA95" s="1928">
        <f>INDEX(SP_GF_NI,0,COLUMN())+INDEX(SP_GF_IE,0,COLUMN())*(1-INDEX(SP_GF_Tax,0,COLUMN())/INDEX(SP_GF_EBT,0,COLUMN()))+INDEX(SP_GF_NCI,0,COLUMN())</f>
        <v/>
      </c>
      <c r="CB95" s="1928">
        <f>INDEX(SP_GF_NI,0,COLUMN())+INDEX(SP_GF_IE,0,COLUMN())*(1-INDEX(SP_GF_Tax,0,COLUMN())/INDEX(SP_GF_EBT,0,COLUMN()))+INDEX(SP_GF_NCI,0,COLUMN())</f>
        <v/>
      </c>
      <c r="CC95" s="1301" t="n"/>
    </row>
    <row r="96" hidden="1" outlineLevel="1" ht="14.4" customHeight="1" s="876">
      <c r="A96" s="1968" t="inlineStr">
        <is>
          <t>LTM Net Operating Profit</t>
        </is>
      </c>
      <c r="B96" s="1969" t="n"/>
      <c r="C96" s="1928">
        <f>C95</f>
        <v/>
      </c>
      <c r="D96" s="1928">
        <f>D95</f>
        <v/>
      </c>
      <c r="E96" s="1928">
        <f>E95</f>
        <v/>
      </c>
      <c r="F96" s="1928">
        <f>F95</f>
        <v/>
      </c>
      <c r="G96" s="1928">
        <f>G95</f>
        <v/>
      </c>
      <c r="H96" s="1301" t="n"/>
      <c r="I96" s="1301" t="n"/>
      <c r="J96" s="1301" t="n"/>
      <c r="K96" s="1301">
        <f>SUM(K95,J95,I95,H95)</f>
        <v/>
      </c>
      <c r="L96" s="1928">
        <f>L95</f>
        <v/>
      </c>
      <c r="M96" s="1301">
        <f>SUM(M95,K95,J95,I95)</f>
        <v/>
      </c>
      <c r="N96" s="1301">
        <f>SUM(N95,M95,K95,J95)</f>
        <v/>
      </c>
      <c r="O96" s="1301">
        <f>SUM(O95,N95,M95,K95)</f>
        <v/>
      </c>
      <c r="P96" s="1301">
        <f>SUM(P95,O95,N95,M95)</f>
        <v/>
      </c>
      <c r="Q96" s="1928">
        <f>Q95</f>
        <v/>
      </c>
      <c r="R96" s="1301">
        <f>SUM(R95,P95,O95,N95)</f>
        <v/>
      </c>
      <c r="S96" s="1301">
        <f>SUM(S95,R95,P95,O95)</f>
        <v/>
      </c>
      <c r="T96" s="1301">
        <f>SUM(T95,S95,R95,P95)</f>
        <v/>
      </c>
      <c r="U96" s="1301">
        <f>SUM(U95,T95,S95,R95)</f>
        <v/>
      </c>
      <c r="V96" s="1928">
        <f>V95</f>
        <v/>
      </c>
      <c r="W96" s="1301">
        <f>SUM(W95,U95,T95,S95)</f>
        <v/>
      </c>
      <c r="X96" s="1301">
        <f>SUM(X95,W95,U95,T95)</f>
        <v/>
      </c>
      <c r="Y96" s="1301">
        <f>SUM(Y95,X95,W95,U95)</f>
        <v/>
      </c>
      <c r="Z96" s="1301">
        <f>SUM(Z95,Y95,X95,W95)</f>
        <v/>
      </c>
      <c r="AA96" s="1928">
        <f>AA95</f>
        <v/>
      </c>
      <c r="AB96" s="1301">
        <f>SUM(AB95,Z95,Y95,X95)</f>
        <v/>
      </c>
      <c r="AC96" s="1301">
        <f>SUM(AC95,AB95,Z95,Y95)</f>
        <v/>
      </c>
      <c r="AD96" s="1301">
        <f>SUM(AD95,AC95,AB95,Z95)</f>
        <v/>
      </c>
      <c r="AE96" s="1301">
        <f>SUM(AE95,AD95,AC95,AB95)</f>
        <v/>
      </c>
      <c r="AF96" s="1928">
        <f>AF95</f>
        <v/>
      </c>
      <c r="AG96" s="1301">
        <f>SUM(AG95,AE95,AD95,AC95)</f>
        <v/>
      </c>
      <c r="AH96" s="1301">
        <f>SUM(AH95,AG95,AE95,AD95)</f>
        <v/>
      </c>
      <c r="AI96" s="1301">
        <f>SUM(AI95,AH95,AG95,AE95)</f>
        <v/>
      </c>
      <c r="AJ96" s="1301">
        <f>SUM(AJ95,AI95,AH95,AG95)</f>
        <v/>
      </c>
      <c r="AK96" s="1928">
        <f>AK95</f>
        <v/>
      </c>
      <c r="AL96" s="1301">
        <f>SUM(AL95,AJ95,AI95,AH95)</f>
        <v/>
      </c>
      <c r="AM96" s="1301">
        <f>SUM(AM95,AL95,AJ95,AI95)</f>
        <v/>
      </c>
      <c r="AN96" s="1301">
        <f>SUM(AN95,AM95,AL95,AJ95)</f>
        <v/>
      </c>
      <c r="AO96" s="1301">
        <f>SUM(AO95,AN95,AM95,AL95)</f>
        <v/>
      </c>
      <c r="AP96" s="1928">
        <f>AP95</f>
        <v/>
      </c>
      <c r="AQ96" s="1301">
        <f>SUM(AQ95,AO95,AN95,AM95)</f>
        <v/>
      </c>
      <c r="AR96" s="1301">
        <f>SUM(AR95,AQ95,AO95,AN95)</f>
        <v/>
      </c>
      <c r="AS96" s="1301">
        <f>SUM(AS95,AR95,AQ95,AO95)</f>
        <v/>
      </c>
      <c r="AT96" s="1301">
        <f>SUM(AT95,AS95,AR95,AQ95)</f>
        <v/>
      </c>
      <c r="AU96" s="1928">
        <f>AU95</f>
        <v/>
      </c>
      <c r="AV96" s="1301">
        <f>SUM(AV95,AT95,AS95,AR95)</f>
        <v/>
      </c>
      <c r="AW96" s="1301">
        <f>SUM(AW95,AV95,AT95,AS95)</f>
        <v/>
      </c>
      <c r="AX96" s="1301">
        <f>SUM(AX95,AW95,AV95,AT95)</f>
        <v/>
      </c>
      <c r="AY96" s="1301">
        <f>SUM(AY95,AX95,AW95,AV95)</f>
        <v/>
      </c>
      <c r="AZ96" s="1928">
        <f>AZ95</f>
        <v/>
      </c>
      <c r="BA96" s="1301">
        <f>SUM(BA95,AY95,AX95,AW95)</f>
        <v/>
      </c>
      <c r="BB96" s="1301">
        <f>SUM(BB95,BA95,AY95,AX95)</f>
        <v/>
      </c>
      <c r="BC96" s="1301">
        <f>SUM(BC95,BB95,BA95,AY95)</f>
        <v/>
      </c>
      <c r="BD96" s="1301">
        <f>SUM(BD95,BC95,BB95,BA95)</f>
        <v/>
      </c>
      <c r="BE96" s="1928">
        <f>BE95</f>
        <v/>
      </c>
      <c r="BF96" s="1301">
        <f>SUM(BF95,BD95,BC95,BB95)</f>
        <v/>
      </c>
      <c r="BG96" s="1301">
        <f>SUM(BG95,BF95,BD95,BC95)</f>
        <v/>
      </c>
      <c r="BH96" s="1301">
        <f>SUM(BH95,BG95,BF95,BD95)</f>
        <v/>
      </c>
      <c r="BI96" s="1301">
        <f>SUM(BI95,BH95,BG95,BF95)</f>
        <v/>
      </c>
      <c r="BJ96" s="1928">
        <f>BJ95</f>
        <v/>
      </c>
      <c r="BK96" s="1301">
        <f>SUM(BK95,BI95,BH95,BG95)</f>
        <v/>
      </c>
      <c r="BL96" s="1301">
        <f>SUM(BL95,BK95,BI95,BH95)</f>
        <v/>
      </c>
      <c r="BM96" s="1301">
        <f>SUM(BM95,BL95,BK95,BI95)</f>
        <v/>
      </c>
      <c r="BN96" s="1301">
        <f>SUM(BN95,BM95,BL95,BK95)</f>
        <v/>
      </c>
      <c r="BO96" s="1970">
        <f>BO95</f>
        <v/>
      </c>
      <c r="BP96" s="1301">
        <f>SUM(BP95,BN95,BM95,BL95)</f>
        <v/>
      </c>
      <c r="BQ96" s="1301">
        <f>SUM(BQ95,BP95,BN95,BM95)</f>
        <v/>
      </c>
      <c r="BR96" s="1301">
        <f>SUM(BR95,BQ95,BP95,BN95)</f>
        <v/>
      </c>
      <c r="BS96" s="1301">
        <f>SUM(BS95,BR95,BQ95,BP95)</f>
        <v/>
      </c>
      <c r="BT96" s="1928">
        <f>BT95</f>
        <v/>
      </c>
      <c r="BU96" s="1301">
        <f>SUM(BU95,BS95,BR95,BQ95)</f>
        <v/>
      </c>
      <c r="BV96" s="1301">
        <f>SUM(BV95,BU95,BS95,BR95)</f>
        <v/>
      </c>
      <c r="BW96" s="1301">
        <f>SUM(BW95,BV95,BU95,BS95)</f>
        <v/>
      </c>
      <c r="BX96" s="1301">
        <f>SUM(BX95,BW95,BV95,BU95)</f>
        <v/>
      </c>
      <c r="BY96" s="1928">
        <f>BY95</f>
        <v/>
      </c>
      <c r="BZ96" s="1928">
        <f>BZ95</f>
        <v/>
      </c>
      <c r="CA96" s="1928">
        <f>CA95</f>
        <v/>
      </c>
      <c r="CB96" s="1928">
        <f>CB95</f>
        <v/>
      </c>
      <c r="CC96" s="1301" t="n"/>
    </row>
    <row r="97" hidden="1" outlineLevel="1" ht="14.4" customHeight="1" s="876">
      <c r="A97" s="1968" t="inlineStr">
        <is>
          <t>Total Assets</t>
        </is>
      </c>
      <c r="B97" s="1969" t="n"/>
      <c r="C97" s="1928">
        <f>INDEX(MO_BS_TA,0,COLUMN())</f>
        <v/>
      </c>
      <c r="D97" s="1928">
        <f>INDEX(MO_BS_TA,0,COLUMN())</f>
        <v/>
      </c>
      <c r="E97" s="1928">
        <f>INDEX(MO_BS_TA,0,COLUMN())</f>
        <v/>
      </c>
      <c r="F97" s="1928">
        <f>INDEX(MO_BS_TA,0,COLUMN())</f>
        <v/>
      </c>
      <c r="G97" s="1928">
        <f>INDEX(MO_BS_TA,0,COLUMN())</f>
        <v/>
      </c>
      <c r="H97" s="1301">
        <f>INDEX(MO_BS_TA,0,COLUMN())</f>
        <v/>
      </c>
      <c r="I97" s="1301">
        <f>INDEX(MO_BS_TA,0,COLUMN())</f>
        <v/>
      </c>
      <c r="J97" s="1301">
        <f>INDEX(MO_BS_TA,0,COLUMN())</f>
        <v/>
      </c>
      <c r="K97" s="1301">
        <f>INDEX(MO_BS_TA,0,COLUMN())</f>
        <v/>
      </c>
      <c r="L97" s="1928">
        <f>INDEX(MO_BS_TA,0,COLUMN())</f>
        <v/>
      </c>
      <c r="M97" s="1301">
        <f>INDEX(MO_BS_TA,0,COLUMN())</f>
        <v/>
      </c>
      <c r="N97" s="1301">
        <f>INDEX(MO_BS_TA,0,COLUMN())</f>
        <v/>
      </c>
      <c r="O97" s="1301">
        <f>INDEX(MO_BS_TA,0,COLUMN())</f>
        <v/>
      </c>
      <c r="P97" s="1301">
        <f>INDEX(MO_BS_TA,0,COLUMN())</f>
        <v/>
      </c>
      <c r="Q97" s="1928">
        <f>INDEX(MO_BS_TA,0,COLUMN())</f>
        <v/>
      </c>
      <c r="R97" s="1301">
        <f>INDEX(MO_BS_TA,0,COLUMN())</f>
        <v/>
      </c>
      <c r="S97" s="1301">
        <f>INDEX(MO_BS_TA,0,COLUMN())</f>
        <v/>
      </c>
      <c r="T97" s="1301">
        <f>INDEX(MO_BS_TA,0,COLUMN())</f>
        <v/>
      </c>
      <c r="U97" s="1301">
        <f>INDEX(MO_BS_TA,0,COLUMN())</f>
        <v/>
      </c>
      <c r="V97" s="1928">
        <f>INDEX(MO_BS_TA,0,COLUMN())</f>
        <v/>
      </c>
      <c r="W97" s="1301">
        <f>INDEX(MO_BS_TA,0,COLUMN())</f>
        <v/>
      </c>
      <c r="X97" s="1301">
        <f>INDEX(MO_BS_TA,0,COLUMN())</f>
        <v/>
      </c>
      <c r="Y97" s="1301">
        <f>INDEX(MO_BS_TA,0,COLUMN())</f>
        <v/>
      </c>
      <c r="Z97" s="1301">
        <f>INDEX(MO_BS_TA,0,COLUMN())</f>
        <v/>
      </c>
      <c r="AA97" s="1928">
        <f>INDEX(MO_BS_TA,0,COLUMN())</f>
        <v/>
      </c>
      <c r="AB97" s="1301">
        <f>INDEX(MO_BS_TA,0,COLUMN())</f>
        <v/>
      </c>
      <c r="AC97" s="1301">
        <f>INDEX(MO_BS_TA,0,COLUMN())</f>
        <v/>
      </c>
      <c r="AD97" s="1301">
        <f>INDEX(MO_BS_TA,0,COLUMN())</f>
        <v/>
      </c>
      <c r="AE97" s="1301">
        <f>INDEX(MO_BS_TA,0,COLUMN())</f>
        <v/>
      </c>
      <c r="AF97" s="1928">
        <f>INDEX(MO_BS_TA,0,COLUMN())</f>
        <v/>
      </c>
      <c r="AG97" s="1301">
        <f>INDEX(MO_BS_TA,0,COLUMN())</f>
        <v/>
      </c>
      <c r="AH97" s="1301">
        <f>INDEX(MO_BS_TA,0,COLUMN())</f>
        <v/>
      </c>
      <c r="AI97" s="1301">
        <f>INDEX(MO_BS_TA,0,COLUMN())</f>
        <v/>
      </c>
      <c r="AJ97" s="1301">
        <f>INDEX(MO_BS_TA,0,COLUMN())</f>
        <v/>
      </c>
      <c r="AK97" s="1928">
        <f>INDEX(MO_BS_TA,0,COLUMN())</f>
        <v/>
      </c>
      <c r="AL97" s="1301">
        <f>INDEX(MO_BS_TA,0,COLUMN())</f>
        <v/>
      </c>
      <c r="AM97" s="1301">
        <f>INDEX(MO_BS_TA,0,COLUMN())</f>
        <v/>
      </c>
      <c r="AN97" s="1301">
        <f>INDEX(MO_BS_TA,0,COLUMN())</f>
        <v/>
      </c>
      <c r="AO97" s="1301">
        <f>INDEX(MO_BS_TA,0,COLUMN())</f>
        <v/>
      </c>
      <c r="AP97" s="1928">
        <f>INDEX(MO_BS_TA,0,COLUMN())</f>
        <v/>
      </c>
      <c r="AQ97" s="1301">
        <f>INDEX(MO_BS_TA,0,COLUMN())</f>
        <v/>
      </c>
      <c r="AR97" s="1301">
        <f>INDEX(MO_BS_TA,0,COLUMN())</f>
        <v/>
      </c>
      <c r="AS97" s="1301">
        <f>INDEX(MO_BS_TA,0,COLUMN())</f>
        <v/>
      </c>
      <c r="AT97" s="1301">
        <f>INDEX(MO_BS_TA,0,COLUMN())</f>
        <v/>
      </c>
      <c r="AU97" s="1928">
        <f>INDEX(MO_BS_TA,0,COLUMN())</f>
        <v/>
      </c>
      <c r="AV97" s="1301">
        <f>INDEX(MO_BS_TA,0,COLUMN())</f>
        <v/>
      </c>
      <c r="AW97" s="1301">
        <f>INDEX(MO_BS_TA,0,COLUMN())</f>
        <v/>
      </c>
      <c r="AX97" s="1301">
        <f>INDEX(MO_BS_TA,0,COLUMN())</f>
        <v/>
      </c>
      <c r="AY97" s="1301">
        <f>INDEX(MO_BS_TA,0,COLUMN())</f>
        <v/>
      </c>
      <c r="AZ97" s="1928">
        <f>INDEX(MO_BS_TA,0,COLUMN())</f>
        <v/>
      </c>
      <c r="BA97" s="1301">
        <f>INDEX(MO_BS_TA,0,COLUMN())</f>
        <v/>
      </c>
      <c r="BB97" s="1301">
        <f>INDEX(MO_BS_TA,0,COLUMN())</f>
        <v/>
      </c>
      <c r="BC97" s="1301">
        <f>INDEX(MO_BS_TA,0,COLUMN())</f>
        <v/>
      </c>
      <c r="BD97" s="1301">
        <f>INDEX(MO_BS_TA,0,COLUMN())</f>
        <v/>
      </c>
      <c r="BE97" s="1928">
        <f>INDEX(MO_BS_TA,0,COLUMN())</f>
        <v/>
      </c>
      <c r="BF97" s="1301">
        <f>INDEX(MO_BS_TA,0,COLUMN())</f>
        <v/>
      </c>
      <c r="BG97" s="1301">
        <f>INDEX(MO_BS_TA,0,COLUMN())</f>
        <v/>
      </c>
      <c r="BH97" s="1301">
        <f>INDEX(MO_BS_TA,0,COLUMN())</f>
        <v/>
      </c>
      <c r="BI97" s="1301">
        <f>INDEX(MO_BS_TA,0,COLUMN())</f>
        <v/>
      </c>
      <c r="BJ97" s="1928">
        <f>INDEX(MO_BS_TA,0,COLUMN())</f>
        <v/>
      </c>
      <c r="BK97" s="1301">
        <f>INDEX(MO_BS_TA,0,COLUMN())</f>
        <v/>
      </c>
      <c r="BL97" s="1301">
        <f>INDEX(MO_BS_TA,0,COLUMN())</f>
        <v/>
      </c>
      <c r="BM97" s="1301">
        <f>INDEX(MO_BS_TA,0,COLUMN())</f>
        <v/>
      </c>
      <c r="BN97" s="1301">
        <f>INDEX(MO_BS_TA,0,COLUMN())</f>
        <v/>
      </c>
      <c r="BO97" s="1970">
        <f>INDEX(MO_BS_TA,0,COLUMN())</f>
        <v/>
      </c>
      <c r="BP97" s="1301">
        <f>INDEX(MO_BS_TA,0,COLUMN())</f>
        <v/>
      </c>
      <c r="BQ97" s="1301">
        <f>INDEX(MO_BS_TA,0,COLUMN())</f>
        <v/>
      </c>
      <c r="BR97" s="1301">
        <f>INDEX(MO_BS_TA,0,COLUMN())</f>
        <v/>
      </c>
      <c r="BS97" s="1301">
        <f>INDEX(MO_BS_TA,0,COLUMN())</f>
        <v/>
      </c>
      <c r="BT97" s="1928">
        <f>INDEX(MO_BS_TA,0,COLUMN())</f>
        <v/>
      </c>
      <c r="BU97" s="1301">
        <f>INDEX(MO_BS_TA,0,COLUMN())</f>
        <v/>
      </c>
      <c r="BV97" s="1301">
        <f>INDEX(MO_BS_TA,0,COLUMN())</f>
        <v/>
      </c>
      <c r="BW97" s="1301">
        <f>INDEX(MO_BS_TA,0,COLUMN())</f>
        <v/>
      </c>
      <c r="BX97" s="1301">
        <f>INDEX(MO_BS_TA,0,COLUMN())</f>
        <v/>
      </c>
      <c r="BY97" s="1928">
        <f>INDEX(MO_BS_TA,0,COLUMN())</f>
        <v/>
      </c>
      <c r="BZ97" s="1928">
        <f>INDEX(MO_BS_TA,0,COLUMN())</f>
        <v/>
      </c>
      <c r="CA97" s="1928">
        <f>INDEX(MO_BS_TA,0,COLUMN())</f>
        <v/>
      </c>
      <c r="CB97" s="1928">
        <f>INDEX(MO_BS_TA,0,COLUMN())</f>
        <v/>
      </c>
      <c r="CC97" s="1301" t="n"/>
    </row>
    <row r="98" hidden="1" outlineLevel="1" ht="14.4" customHeight="1" s="876">
      <c r="A98" s="1968" t="inlineStr">
        <is>
          <t>Average Total Assets</t>
        </is>
      </c>
      <c r="B98" s="1969" t="n"/>
      <c r="C98" s="1928">
        <f>C97</f>
        <v/>
      </c>
      <c r="D98" s="1928">
        <f>AVERAGE(D97,C97)</f>
        <v/>
      </c>
      <c r="E98" s="1928">
        <f>AVERAGE(E97,D97)</f>
        <v/>
      </c>
      <c r="F98" s="1928">
        <f>AVERAGE(F97,E97)</f>
        <v/>
      </c>
      <c r="G98" s="1928">
        <f>AVERAGE(G97,F97)</f>
        <v/>
      </c>
      <c r="H98" s="1301" t="n"/>
      <c r="I98" s="1301" t="n"/>
      <c r="J98" s="1301" t="n"/>
      <c r="K98" s="1301">
        <f>AVERAGE(K97,J97,I97,H97)</f>
        <v/>
      </c>
      <c r="L98" s="1928">
        <f>AVERAGE(L97,G97)</f>
        <v/>
      </c>
      <c r="M98" s="1301">
        <f>AVERAGE(M97,K97,J97,I97)</f>
        <v/>
      </c>
      <c r="N98" s="1301">
        <f>AVERAGE(N97,M97,K97,J97)</f>
        <v/>
      </c>
      <c r="O98" s="1301">
        <f>AVERAGE(O97,N97,M97,K97)</f>
        <v/>
      </c>
      <c r="P98" s="1301">
        <f>AVERAGE(P97,O97,N97,M97)</f>
        <v/>
      </c>
      <c r="Q98" s="1928">
        <f>AVERAGE(Q97,L97)</f>
        <v/>
      </c>
      <c r="R98" s="1301">
        <f>AVERAGE(R97,P97,O97,N97)</f>
        <v/>
      </c>
      <c r="S98" s="1301">
        <f>AVERAGE(S97,R97,P97,O97)</f>
        <v/>
      </c>
      <c r="T98" s="1301">
        <f>AVERAGE(T97,S97,R97,P97)</f>
        <v/>
      </c>
      <c r="U98" s="1301">
        <f>AVERAGE(U97,T97,S97,R97)</f>
        <v/>
      </c>
      <c r="V98" s="1928">
        <f>AVERAGE(V97,Q97)</f>
        <v/>
      </c>
      <c r="W98" s="1301">
        <f>AVERAGE(W97,U97,T97,S97)</f>
        <v/>
      </c>
      <c r="X98" s="1301">
        <f>AVERAGE(X97,W97,U97,T97)</f>
        <v/>
      </c>
      <c r="Y98" s="1301">
        <f>AVERAGE(Y97,X97,W97,U97)</f>
        <v/>
      </c>
      <c r="Z98" s="1301">
        <f>AVERAGE(Z97,Y97,X97,W97)</f>
        <v/>
      </c>
      <c r="AA98" s="1928">
        <f>AVERAGE(AA97,V97)</f>
        <v/>
      </c>
      <c r="AB98" s="1301">
        <f>AVERAGE(AB97,Z97,Y97,X97)</f>
        <v/>
      </c>
      <c r="AC98" s="1301">
        <f>AVERAGE(AC97,AB97,Z97,Y97)</f>
        <v/>
      </c>
      <c r="AD98" s="1301">
        <f>AVERAGE(AD97,AC97,AB97,Z97)</f>
        <v/>
      </c>
      <c r="AE98" s="1301">
        <f>AVERAGE(AE97,AD97,AC97,AB97)</f>
        <v/>
      </c>
      <c r="AF98" s="1928">
        <f>AVERAGE(AF97,AA97)</f>
        <v/>
      </c>
      <c r="AG98" s="1301">
        <f>AVERAGE(AG97,AE97,AD97,AC97)</f>
        <v/>
      </c>
      <c r="AH98" s="1301">
        <f>AVERAGE(AH97,AG97,AE97,AD97)</f>
        <v/>
      </c>
      <c r="AI98" s="1301">
        <f>AVERAGE(AI97,AH97,AG97,AE97)</f>
        <v/>
      </c>
      <c r="AJ98" s="1301">
        <f>AVERAGE(AJ97,AI97,AH97,AG97)</f>
        <v/>
      </c>
      <c r="AK98" s="1928">
        <f>AVERAGE(AK97,AF97)</f>
        <v/>
      </c>
      <c r="AL98" s="1301">
        <f>AVERAGE(AL97,AJ97,AI97,AH97)</f>
        <v/>
      </c>
      <c r="AM98" s="1301">
        <f>AVERAGE(AM97,AL97,AJ97,AI97)</f>
        <v/>
      </c>
      <c r="AN98" s="1301">
        <f>AVERAGE(AN97,AM97,AL97,AJ97)</f>
        <v/>
      </c>
      <c r="AO98" s="1301">
        <f>AVERAGE(AO97,AN97,AM97,AL97)</f>
        <v/>
      </c>
      <c r="AP98" s="1928">
        <f>AVERAGE(AP97,AK97)</f>
        <v/>
      </c>
      <c r="AQ98" s="1301">
        <f>AVERAGE(AQ97,AO97,AN97,AM97)</f>
        <v/>
      </c>
      <c r="AR98" s="1301">
        <f>AVERAGE(AR97,AQ97,AO97,AN97)</f>
        <v/>
      </c>
      <c r="AS98" s="1301">
        <f>AVERAGE(AS97,AR97,AQ97,AO97)</f>
        <v/>
      </c>
      <c r="AT98" s="1301">
        <f>AVERAGE(AT97,AS97,AR97,AQ97)</f>
        <v/>
      </c>
      <c r="AU98" s="1928">
        <f>AVERAGE(AU97,AP97)</f>
        <v/>
      </c>
      <c r="AV98" s="1301">
        <f>AVERAGE(AV97,AT97,AS97,AR97)</f>
        <v/>
      </c>
      <c r="AW98" s="1301">
        <f>AVERAGE(AW97,AV97,AT97,AS97)</f>
        <v/>
      </c>
      <c r="AX98" s="1301">
        <f>AVERAGE(AX97,AW97,AV97,AT97)</f>
        <v/>
      </c>
      <c r="AY98" s="1301">
        <f>AVERAGE(AY97,AX97,AW97,AV97)</f>
        <v/>
      </c>
      <c r="AZ98" s="1928">
        <f>AVERAGE(AZ97,AU97)</f>
        <v/>
      </c>
      <c r="BA98" s="1301">
        <f>AVERAGE(BA97,AY97,AX97,AW97)</f>
        <v/>
      </c>
      <c r="BB98" s="1301">
        <f>AVERAGE(BB97,BA97,AY97,AX97)</f>
        <v/>
      </c>
      <c r="BC98" s="1301">
        <f>AVERAGE(BC97,BB97,BA97,AY97)</f>
        <v/>
      </c>
      <c r="BD98" s="1301">
        <f>AVERAGE(BD97,BC97,BB97,BA97)</f>
        <v/>
      </c>
      <c r="BE98" s="1928">
        <f>AVERAGE(BE97,AZ97)</f>
        <v/>
      </c>
      <c r="BF98" s="1301">
        <f>AVERAGE(BF97,BD97,BC97,BB97)</f>
        <v/>
      </c>
      <c r="BG98" s="1301">
        <f>AVERAGE(BG97,BF97,BD97,BC97)</f>
        <v/>
      </c>
      <c r="BH98" s="1301">
        <f>AVERAGE(BH97,BG97,BF97,BD97)</f>
        <v/>
      </c>
      <c r="BI98" s="1301">
        <f>AVERAGE(BI97,BH97,BG97,BF97)</f>
        <v/>
      </c>
      <c r="BJ98" s="1928">
        <f>AVERAGE(BJ97,BE97)</f>
        <v/>
      </c>
      <c r="BK98" s="1301">
        <f>AVERAGE(BK97,BI97,BH97,BG97)</f>
        <v/>
      </c>
      <c r="BL98" s="1301">
        <f>AVERAGE(BL97,BK97,BI97,BH97)</f>
        <v/>
      </c>
      <c r="BM98" s="1301">
        <f>AVERAGE(BM97,BL97,BK97,BI97)</f>
        <v/>
      </c>
      <c r="BN98" s="1301">
        <f>AVERAGE(BN97,BM97,BL97,BK97)</f>
        <v/>
      </c>
      <c r="BO98" s="1970">
        <f>AVERAGE(BO97,BJ97)</f>
        <v/>
      </c>
      <c r="BP98" s="1301">
        <f>AVERAGE(BP97,BN97,BM97,BL97)</f>
        <v/>
      </c>
      <c r="BQ98" s="1301">
        <f>AVERAGE(BQ97,BP97,BN97,BM97)</f>
        <v/>
      </c>
      <c r="BR98" s="1301">
        <f>AVERAGE(BR97,BQ97,BP97,BN97)</f>
        <v/>
      </c>
      <c r="BS98" s="1301">
        <f>AVERAGE(BS97,BR97,BQ97,BP97)</f>
        <v/>
      </c>
      <c r="BT98" s="1928">
        <f>AVERAGE(BT97,BO97)</f>
        <v/>
      </c>
      <c r="BU98" s="1301">
        <f>AVERAGE(BU97,BS97,BR97,BQ97)</f>
        <v/>
      </c>
      <c r="BV98" s="1301">
        <f>AVERAGE(BV97,BU97,BS97,BR97)</f>
        <v/>
      </c>
      <c r="BW98" s="1301">
        <f>AVERAGE(BW97,BV97,BU97,BS97)</f>
        <v/>
      </c>
      <c r="BX98" s="1301">
        <f>AVERAGE(BX97,BW97,BV97,BU97)</f>
        <v/>
      </c>
      <c r="BY98" s="1928">
        <f>AVERAGE(BY97,BT97)</f>
        <v/>
      </c>
      <c r="BZ98" s="1928">
        <f>AVERAGE(BZ97,BY97)</f>
        <v/>
      </c>
      <c r="CA98" s="1928">
        <f>AVERAGE(CA97,BZ97)</f>
        <v/>
      </c>
      <c r="CB98" s="1928">
        <f>AVERAGE(CB97,CA97)</f>
        <v/>
      </c>
      <c r="CC98" s="1301" t="n"/>
    </row>
    <row r="99" collapsed="1" ht="14.4" customFormat="1" customHeight="1" s="1991">
      <c r="A99" s="1998" t="inlineStr">
        <is>
          <t>After-tax ROA</t>
        </is>
      </c>
      <c r="B99" s="1999" t="n"/>
      <c r="C99" s="2000">
        <f>IF(C98&lt;0,"NMF",IF(ABS(C96/C98)&gt;1,"NMF",C96/C98))</f>
        <v/>
      </c>
      <c r="D99" s="2000">
        <f>IF(D98&lt;0,"NMF",IF(ABS(D96/D98)&gt;1,"NMF",D96/D98))</f>
        <v/>
      </c>
      <c r="E99" s="2000">
        <f>IF(E98&lt;0,"NMF",IF(ABS(E96/E98)&gt;1,"NMF",E96/E98))</f>
        <v/>
      </c>
      <c r="F99" s="2000">
        <f>IF(F98&lt;0,"NMF",IF(ABS(F96/F98)&gt;1,"NMF",F96/F98))</f>
        <v/>
      </c>
      <c r="G99" s="2000">
        <f>IF(G98&lt;0,"NMF",IF(ABS(G96/G98)&gt;1,"NMF",G96/G98))</f>
        <v/>
      </c>
      <c r="H99" s="2001" t="n"/>
      <c r="I99" s="2001" t="n"/>
      <c r="J99" s="2001" t="n"/>
      <c r="K99" s="2001" t="n"/>
      <c r="L99" s="2000">
        <f>IF(L98&lt;0,"NMF",IF(ABS(L96/L98)&gt;1,"NMF",L96/L98))</f>
        <v/>
      </c>
      <c r="M99" s="2001">
        <f>IF(M98&lt;0,"NMF",IF(ABS(M96/M98)&gt;1,"NMF",M96/M98))</f>
        <v/>
      </c>
      <c r="N99" s="2001">
        <f>IF(N98&lt;0,"NMF",IF(ABS(N96/N98)&gt;1,"NMF",N96/N98))</f>
        <v/>
      </c>
      <c r="O99" s="2001">
        <f>IF(O98&lt;0,"NMF",IF(ABS(O96/O98)&gt;1,"NMF",O96/O98))</f>
        <v/>
      </c>
      <c r="P99" s="2001">
        <f>IF(P98&lt;0,"NMF",IF(ABS(P96/P98)&gt;1,"NMF",P96/P98))</f>
        <v/>
      </c>
      <c r="Q99" s="2000">
        <f>IF(Q98&lt;0,"NMF",IF(ABS(Q96/Q98)&gt;1,"NMF",Q96/Q98))</f>
        <v/>
      </c>
      <c r="R99" s="2001">
        <f>IF(R98&lt;0,"NMF",IF(ABS(R96/R98)&gt;1,"NMF",R96/R98))</f>
        <v/>
      </c>
      <c r="S99" s="2001">
        <f>IF(S98&lt;0,"NMF",IF(ABS(S96/S98)&gt;1,"NMF",S96/S98))</f>
        <v/>
      </c>
      <c r="T99" s="2001">
        <f>IF(T98&lt;0,"NMF",IF(ABS(T96/T98)&gt;1,"NMF",T96/T98))</f>
        <v/>
      </c>
      <c r="U99" s="2001">
        <f>IF(U98&lt;0,"NMF",IF(ABS(U96/U98)&gt;1,"NMF",U96/U98))</f>
        <v/>
      </c>
      <c r="V99" s="2000">
        <f>IF(V98&lt;0,"NMF",IF(ABS(V96/V98)&gt;1,"NMF",V96/V98))</f>
        <v/>
      </c>
      <c r="W99" s="2001">
        <f>IF(W98&lt;0,"NMF",IF(ABS(W96/W98)&gt;1,"NMF",W96/W98))</f>
        <v/>
      </c>
      <c r="X99" s="2001">
        <f>IF(X98&lt;0,"NMF",IF(ABS(X96/X98)&gt;1,"NMF",X96/X98))</f>
        <v/>
      </c>
      <c r="Y99" s="2001">
        <f>IF(Y98&lt;0,"NMF",IF(ABS(Y96/Y98)&gt;1,"NMF",Y96/Y98))</f>
        <v/>
      </c>
      <c r="Z99" s="2001">
        <f>IF(Z98&lt;0,"NMF",IF(ABS(Z96/Z98)&gt;1,"NMF",Z96/Z98))</f>
        <v/>
      </c>
      <c r="AA99" s="2000">
        <f>IF(AA98&lt;0,"NMF",IF(ABS(AA96/AA98)&gt;1,"NMF",AA96/AA98))</f>
        <v/>
      </c>
      <c r="AB99" s="2001">
        <f>IF(AB98&lt;0,"NMF",IF(ABS(AB96/AB98)&gt;1,"NMF",AB96/AB98))</f>
        <v/>
      </c>
      <c r="AC99" s="2001">
        <f>IF(AC98&lt;0,"NMF",IF(ABS(AC96/AC98)&gt;1,"NMF",AC96/AC98))</f>
        <v/>
      </c>
      <c r="AD99" s="2001">
        <f>IF(AD98&lt;0,"NMF",IF(ABS(AD96/AD98)&gt;1,"NMF",AD96/AD98))</f>
        <v/>
      </c>
      <c r="AE99" s="2001">
        <f>IF(AE98&lt;0,"NMF",IF(ABS(AE96/AE98)&gt;1,"NMF",AE96/AE98))</f>
        <v/>
      </c>
      <c r="AF99" s="2000">
        <f>IF(AF98&lt;0,"NMF",IF(ABS(AF96/AF98)&gt;1,"NMF",AF96/AF98))</f>
        <v/>
      </c>
      <c r="AG99" s="2001">
        <f>IF(AG98&lt;0,"NMF",IF(ABS(AG96/AG98)&gt;1,"NMF",AG96/AG98))</f>
        <v/>
      </c>
      <c r="AH99" s="2001">
        <f>IF(AH98&lt;0,"NMF",IF(ABS(AH96/AH98)&gt;1,"NMF",AH96/AH98))</f>
        <v/>
      </c>
      <c r="AI99" s="2001">
        <f>IF(AI98&lt;0,"NMF",IF(ABS(AI96/AI98)&gt;1,"NMF",AI96/AI98))</f>
        <v/>
      </c>
      <c r="AJ99" s="2001">
        <f>IF(AJ98&lt;0,"NMF",IF(ABS(AJ96/AJ98)&gt;1,"NMF",AJ96/AJ98))</f>
        <v/>
      </c>
      <c r="AK99" s="2000">
        <f>IF(AK98&lt;0,"NMF",IF(ABS(AK96/AK98)&gt;1,"NMF",AK96/AK98))</f>
        <v/>
      </c>
      <c r="AL99" s="2001">
        <f>IF(AL98&lt;0,"NMF",IF(ABS(AL96/AL98)&gt;1,"NMF",AL96/AL98))</f>
        <v/>
      </c>
      <c r="AM99" s="2001">
        <f>IF(AM98&lt;0,"NMF",IF(ABS(AM96/AM98)&gt;1,"NMF",AM96/AM98))</f>
        <v/>
      </c>
      <c r="AN99" s="2001">
        <f>IF(AN98&lt;0,"NMF",IF(ABS(AN96/AN98)&gt;1,"NMF",AN96/AN98))</f>
        <v/>
      </c>
      <c r="AO99" s="2001">
        <f>IF(AO98&lt;0,"NMF",IF(ABS(AO96/AO98)&gt;1,"NMF",AO96/AO98))</f>
        <v/>
      </c>
      <c r="AP99" s="2000">
        <f>IF(AP98&lt;0,"NMF",IF(ABS(AP96/AP98)&gt;1,"NMF",AP96/AP98))</f>
        <v/>
      </c>
      <c r="AQ99" s="2001">
        <f>IF(AQ98&lt;0,"NMF",IF(ABS(AQ96/AQ98)&gt;1,"NMF",AQ96/AQ98))</f>
        <v/>
      </c>
      <c r="AR99" s="2001">
        <f>IF(AR98&lt;0,"NMF",IF(ABS(AR96/AR98)&gt;1,"NMF",AR96/AR98))</f>
        <v/>
      </c>
      <c r="AS99" s="2001">
        <f>IF(AS98&lt;0,"NMF",IF(ABS(AS96/AS98)&gt;1,"NMF",AS96/AS98))</f>
        <v/>
      </c>
      <c r="AT99" s="2001">
        <f>IF(AT98&lt;0,"NMF",IF(ABS(AT96/AT98)&gt;1,"NMF",AT96/AT98))</f>
        <v/>
      </c>
      <c r="AU99" s="2000">
        <f>IF(AU98&lt;0,"NMF",IF(ABS(AU96/AU98)&gt;1,"NMF",AU96/AU98))</f>
        <v/>
      </c>
      <c r="AV99" s="2001">
        <f>IF(AV98&lt;0,"NMF",IF(ABS(AV96/AV98)&gt;1,"NMF",AV96/AV98))</f>
        <v/>
      </c>
      <c r="AW99" s="2001">
        <f>IF(AW98&lt;0,"NMF",IF(ABS(AW96/AW98)&gt;1,"NMF",AW96/AW98))</f>
        <v/>
      </c>
      <c r="AX99" s="2001">
        <f>IF(AX98&lt;0,"NMF",IF(ABS(AX96/AX98)&gt;1,"NMF",AX96/AX98))</f>
        <v/>
      </c>
      <c r="AY99" s="2001">
        <f>IF(AY98&lt;0,"NMF",IF(ABS(AY96/AY98)&gt;1,"NMF",AY96/AY98))</f>
        <v/>
      </c>
      <c r="AZ99" s="2000">
        <f>IF(AZ98&lt;0,"NMF",IF(ABS(AZ96/AZ98)&gt;1,"NMF",AZ96/AZ98))</f>
        <v/>
      </c>
      <c r="BA99" s="2001">
        <f>IF(BA98&lt;0,"NMF",IF(ABS(BA96/BA98)&gt;1,"NMF",BA96/BA98))</f>
        <v/>
      </c>
      <c r="BB99" s="2001">
        <f>IF(BB98&lt;0,"NMF",IF(ABS(BB96/BB98)&gt;1,"NMF",BB96/BB98))</f>
        <v/>
      </c>
      <c r="BC99" s="2001">
        <f>IF(BC98&lt;0,"NMF",IF(ABS(BC96/BC98)&gt;1,"NMF",BC96/BC98))</f>
        <v/>
      </c>
      <c r="BD99" s="2001">
        <f>IF(BD98&lt;0,"NMF",IF(ABS(BD96/BD98)&gt;1,"NMF",BD96/BD98))</f>
        <v/>
      </c>
      <c r="BE99" s="2000">
        <f>IF(BE98&lt;0,"NMF",IF(ABS(BE96/BE98)&gt;1,"NMF",BE96/BE98))</f>
        <v/>
      </c>
      <c r="BF99" s="2001">
        <f>IF(BF98&lt;0,"NMF",IF(ABS(BF96/BF98)&gt;1,"NMF",BF96/BF98))</f>
        <v/>
      </c>
      <c r="BG99" s="2001">
        <f>IF(BG98&lt;0,"NMF",IF(ABS(BG96/BG98)&gt;1,"NMF",BG96/BG98))</f>
        <v/>
      </c>
      <c r="BH99" s="2001">
        <f>IF(BH98&lt;0,"NMF",IF(ABS(BH96/BH98)&gt;1,"NMF",BH96/BH98))</f>
        <v/>
      </c>
      <c r="BI99" s="2001">
        <f>IF(BI98&lt;0,"NMF",IF(ABS(BI96/BI98)&gt;1,"NMF",BI96/BI98))</f>
        <v/>
      </c>
      <c r="BJ99" s="2000">
        <f>IF(BJ98&lt;0,"NMF",IF(ABS(BJ96/BJ98)&gt;1,"NMF",BJ96/BJ98))</f>
        <v/>
      </c>
      <c r="BK99" s="2001">
        <f>IF(BK98&lt;0,"NMF",IF(ABS(BK96/BK98)&gt;1,"NMF",BK96/BK98))</f>
        <v/>
      </c>
      <c r="BL99" s="2001">
        <f>IF(BL98&lt;0,"NMF",IF(ABS(BL96/BL98)&gt;1,"NMF",BL96/BL98))</f>
        <v/>
      </c>
      <c r="BM99" s="2001">
        <f>IF(BM98&lt;0,"NMF",IF(ABS(BM96/BM98)&gt;1,"NMF",BM96/BM98))</f>
        <v/>
      </c>
      <c r="BN99" s="2001">
        <f>IF(BN98&lt;0,"NMF",IF(ABS(BN96/BN98)&gt;1,"NMF",BN96/BN98))</f>
        <v/>
      </c>
      <c r="BO99" s="2002">
        <f>IF(BO98&lt;0,"NMF",IF(ABS(BO96/BO98)&gt;1,"NMF",BO96/BO98))</f>
        <v/>
      </c>
      <c r="BP99" s="2001">
        <f>IF(BP98&lt;0,"NMF",IF(ABS(BP96/BP98)&gt;1,"NMF",BP96/BP98))</f>
        <v/>
      </c>
      <c r="BQ99" s="2001">
        <f>IF(BQ98&lt;0,"NMF",IF(ABS(BQ96/BQ98)&gt;1,"NMF",BQ96/BQ98))</f>
        <v/>
      </c>
      <c r="BR99" s="2001">
        <f>IF(BR98&lt;0,"NMF",IF(ABS(BR96/BR98)&gt;1,"NMF",BR96/BR98))</f>
        <v/>
      </c>
      <c r="BS99" s="2001">
        <f>IF(BS98&lt;0,"NMF",IF(ABS(BS96/BS98)&gt;1,"NMF",BS96/BS98))</f>
        <v/>
      </c>
      <c r="BT99" s="2000">
        <f>IF(BT98&lt;0,"NMF",IF(ABS(BT96/BT98)&gt;1,"NMF",BT96/BT98))</f>
        <v/>
      </c>
      <c r="BU99" s="2001">
        <f>IF(BU98&lt;0,"NMF",IF(ABS(BU96/BU98)&gt;1,"NMF",BU96/BU98))</f>
        <v/>
      </c>
      <c r="BV99" s="2001">
        <f>IF(BV98&lt;0,"NMF",IF(ABS(BV96/BV98)&gt;1,"NMF",BV96/BV98))</f>
        <v/>
      </c>
      <c r="BW99" s="2001">
        <f>IF(BW98&lt;0,"NMF",IF(ABS(BW96/BW98)&gt;1,"NMF",BW96/BW98))</f>
        <v/>
      </c>
      <c r="BX99" s="2001">
        <f>IF(BX98&lt;0,"NMF",IF(ABS(BX96/BX98)&gt;1,"NMF",BX96/BX98))</f>
        <v/>
      </c>
      <c r="BY99" s="2000">
        <f>IF(BY98&lt;0,"NMF",IF(ABS(BY96/BY98)&gt;1,"NMF",BY96/BY98))</f>
        <v/>
      </c>
      <c r="BZ99" s="2000">
        <f>IF(BZ98&lt;0,"NMF",IF(ABS(BZ96/BZ98)&gt;1,"NMF",BZ96/BZ98))</f>
        <v/>
      </c>
      <c r="CA99" s="2000">
        <f>IF(CA98&lt;0,"NMF",IF(ABS(CA96/CA98)&gt;1,"NMF",CA96/CA98))</f>
        <v/>
      </c>
      <c r="CB99" s="2000">
        <f>IF(CB98&lt;0,"NMF",IF(ABS(CB96/CB98)&gt;1,"NMF",CB96/CB98))</f>
        <v/>
      </c>
      <c r="CC99" s="1997" t="n"/>
    </row>
    <row r="100" hidden="1" outlineLevel="1" ht="14.4" customHeight="1" s="876">
      <c r="A100" s="1968" t="inlineStr">
        <is>
          <t>Total Debt</t>
        </is>
      </c>
      <c r="B100" s="1969" t="n"/>
      <c r="C100" s="1928">
        <f>INDEX(MO_BSS_Debt_Net,0,COLUMN())+INDEX(MO_BSS_Cash,0,COLUMN())</f>
        <v/>
      </c>
      <c r="D100" s="1928">
        <f>INDEX(MO_BSS_Debt_Net,0,COLUMN())+INDEX(MO_BSS_Cash,0,COLUMN())</f>
        <v/>
      </c>
      <c r="E100" s="1928">
        <f>INDEX(MO_BSS_Debt_Net,0,COLUMN())+INDEX(MO_BSS_Cash,0,COLUMN())</f>
        <v/>
      </c>
      <c r="F100" s="1928">
        <f>INDEX(MO_BSS_Debt_Net,0,COLUMN())+INDEX(MO_BSS_Cash,0,COLUMN())</f>
        <v/>
      </c>
      <c r="G100" s="1928">
        <f>INDEX(MO_BSS_Debt_Net,0,COLUMN())+INDEX(MO_BSS_Cash,0,COLUMN())</f>
        <v/>
      </c>
      <c r="H100" s="1301">
        <f>INDEX(MO_BSS_Debt_Net,0,COLUMN())+INDEX(MO_BSS_Cash,0,COLUMN())</f>
        <v/>
      </c>
      <c r="I100" s="1301">
        <f>INDEX(MO_BSS_Debt_Net,0,COLUMN())+INDEX(MO_BSS_Cash,0,COLUMN())</f>
        <v/>
      </c>
      <c r="J100" s="1301">
        <f>INDEX(MO_BSS_Debt_Net,0,COLUMN())+INDEX(MO_BSS_Cash,0,COLUMN())</f>
        <v/>
      </c>
      <c r="K100" s="1301">
        <f>INDEX(MO_BSS_Debt_Net,0,COLUMN())+INDEX(MO_BSS_Cash,0,COLUMN())</f>
        <v/>
      </c>
      <c r="L100" s="1928">
        <f>INDEX(MO_BSS_Debt_Net,0,COLUMN())+INDEX(MO_BSS_Cash,0,COLUMN())</f>
        <v/>
      </c>
      <c r="M100" s="1301">
        <f>INDEX(MO_BSS_Debt_Net,0,COLUMN())+INDEX(MO_BSS_Cash,0,COLUMN())</f>
        <v/>
      </c>
      <c r="N100" s="1301">
        <f>INDEX(MO_BSS_Debt_Net,0,COLUMN())+INDEX(MO_BSS_Cash,0,COLUMN())</f>
        <v/>
      </c>
      <c r="O100" s="1301">
        <f>INDEX(MO_BSS_Debt_Net,0,COLUMN())+INDEX(MO_BSS_Cash,0,COLUMN())</f>
        <v/>
      </c>
      <c r="P100" s="1301">
        <f>INDEX(MO_BSS_Debt_Net,0,COLUMN())+INDEX(MO_BSS_Cash,0,COLUMN())</f>
        <v/>
      </c>
      <c r="Q100" s="1928">
        <f>INDEX(MO_BSS_Debt_Net,0,COLUMN())+INDEX(MO_BSS_Cash,0,COLUMN())</f>
        <v/>
      </c>
      <c r="R100" s="1301">
        <f>INDEX(MO_BSS_Debt_Net,0,COLUMN())+INDEX(MO_BSS_Cash,0,COLUMN())</f>
        <v/>
      </c>
      <c r="S100" s="1301">
        <f>INDEX(MO_BSS_Debt_Net,0,COLUMN())+INDEX(MO_BSS_Cash,0,COLUMN())</f>
        <v/>
      </c>
      <c r="T100" s="1301">
        <f>INDEX(MO_BSS_Debt_Net,0,COLUMN())+INDEX(MO_BSS_Cash,0,COLUMN())</f>
        <v/>
      </c>
      <c r="U100" s="1301">
        <f>INDEX(MO_BSS_Debt_Net,0,COLUMN())+INDEX(MO_BSS_Cash,0,COLUMN())</f>
        <v/>
      </c>
      <c r="V100" s="1928">
        <f>INDEX(MO_BSS_Debt_Net,0,COLUMN())+INDEX(MO_BSS_Cash,0,COLUMN())</f>
        <v/>
      </c>
      <c r="W100" s="1301">
        <f>INDEX(MO_BSS_Debt_Net,0,COLUMN())+INDEX(MO_BSS_Cash,0,COLUMN())</f>
        <v/>
      </c>
      <c r="X100" s="1301">
        <f>INDEX(MO_BSS_Debt_Net,0,COLUMN())+INDEX(MO_BSS_Cash,0,COLUMN())</f>
        <v/>
      </c>
      <c r="Y100" s="1301">
        <f>INDEX(MO_BSS_Debt_Net,0,COLUMN())+INDEX(MO_BSS_Cash,0,COLUMN())</f>
        <v/>
      </c>
      <c r="Z100" s="1301">
        <f>INDEX(MO_BSS_Debt_Net,0,COLUMN())+INDEX(MO_BSS_Cash,0,COLUMN())</f>
        <v/>
      </c>
      <c r="AA100" s="1928">
        <f>INDEX(MO_BSS_Debt_Net,0,COLUMN())+INDEX(MO_BSS_Cash,0,COLUMN())</f>
        <v/>
      </c>
      <c r="AB100" s="1301">
        <f>INDEX(MO_BSS_Debt_Net,0,COLUMN())+INDEX(MO_BSS_Cash,0,COLUMN())</f>
        <v/>
      </c>
      <c r="AC100" s="1301">
        <f>INDEX(MO_BSS_Debt_Net,0,COLUMN())+INDEX(MO_BSS_Cash,0,COLUMN())</f>
        <v/>
      </c>
      <c r="AD100" s="1301">
        <f>INDEX(MO_BSS_Debt_Net,0,COLUMN())+INDEX(MO_BSS_Cash,0,COLUMN())</f>
        <v/>
      </c>
      <c r="AE100" s="1301">
        <f>INDEX(MO_BSS_Debt_Net,0,COLUMN())+INDEX(MO_BSS_Cash,0,COLUMN())</f>
        <v/>
      </c>
      <c r="AF100" s="1928">
        <f>INDEX(MO_BSS_Debt_Net,0,COLUMN())+INDEX(MO_BSS_Cash,0,COLUMN())</f>
        <v/>
      </c>
      <c r="AG100" s="1301">
        <f>INDEX(MO_BSS_Debt_Net,0,COLUMN())+INDEX(MO_BSS_Cash,0,COLUMN())</f>
        <v/>
      </c>
      <c r="AH100" s="1301">
        <f>INDEX(MO_BSS_Debt_Net,0,COLUMN())+INDEX(MO_BSS_Cash,0,COLUMN())</f>
        <v/>
      </c>
      <c r="AI100" s="1301">
        <f>INDEX(MO_BSS_Debt_Net,0,COLUMN())+INDEX(MO_BSS_Cash,0,COLUMN())</f>
        <v/>
      </c>
      <c r="AJ100" s="1301">
        <f>INDEX(MO_BSS_Debt_Net,0,COLUMN())+INDEX(MO_BSS_Cash,0,COLUMN())</f>
        <v/>
      </c>
      <c r="AK100" s="1928">
        <f>INDEX(MO_BSS_Debt_Net,0,COLUMN())+INDEX(MO_BSS_Cash,0,COLUMN())</f>
        <v/>
      </c>
      <c r="AL100" s="1301">
        <f>INDEX(MO_BSS_Debt_Net,0,COLUMN())+INDEX(MO_BSS_Cash,0,COLUMN())</f>
        <v/>
      </c>
      <c r="AM100" s="1301">
        <f>INDEX(MO_BSS_Debt_Net,0,COLUMN())+INDEX(MO_BSS_Cash,0,COLUMN())</f>
        <v/>
      </c>
      <c r="AN100" s="1301">
        <f>INDEX(MO_BSS_Debt_Net,0,COLUMN())+INDEX(MO_BSS_Cash,0,COLUMN())</f>
        <v/>
      </c>
      <c r="AO100" s="1301">
        <f>INDEX(MO_BSS_Debt_Net,0,COLUMN())+INDEX(MO_BSS_Cash,0,COLUMN())</f>
        <v/>
      </c>
      <c r="AP100" s="1928">
        <f>INDEX(MO_BSS_Debt_Net,0,COLUMN())+INDEX(MO_BSS_Cash,0,COLUMN())</f>
        <v/>
      </c>
      <c r="AQ100" s="1301">
        <f>INDEX(MO_BSS_Debt_Net,0,COLUMN())+INDEX(MO_BSS_Cash,0,COLUMN())</f>
        <v/>
      </c>
      <c r="AR100" s="1301">
        <f>INDEX(MO_BSS_Debt_Net,0,COLUMN())+INDEX(MO_BSS_Cash,0,COLUMN())</f>
        <v/>
      </c>
      <c r="AS100" s="1301">
        <f>INDEX(MO_BSS_Debt_Net,0,COLUMN())+INDEX(MO_BSS_Cash,0,COLUMN())</f>
        <v/>
      </c>
      <c r="AT100" s="1301">
        <f>INDEX(MO_BSS_Debt_Net,0,COLUMN())+INDEX(MO_BSS_Cash,0,COLUMN())</f>
        <v/>
      </c>
      <c r="AU100" s="1928">
        <f>INDEX(MO_BSS_Debt_Net,0,COLUMN())+INDEX(MO_BSS_Cash,0,COLUMN())</f>
        <v/>
      </c>
      <c r="AV100" s="1301">
        <f>INDEX(MO_BSS_Debt_Net,0,COLUMN())+INDEX(MO_BSS_Cash,0,COLUMN())</f>
        <v/>
      </c>
      <c r="AW100" s="1301">
        <f>INDEX(MO_BSS_Debt_Net,0,COLUMN())+INDEX(MO_BSS_Cash,0,COLUMN())</f>
        <v/>
      </c>
      <c r="AX100" s="1301">
        <f>INDEX(MO_BSS_Debt_Net,0,COLUMN())+INDEX(MO_BSS_Cash,0,COLUMN())</f>
        <v/>
      </c>
      <c r="AY100" s="1301">
        <f>INDEX(MO_BSS_Debt_Net,0,COLUMN())+INDEX(MO_BSS_Cash,0,COLUMN())</f>
        <v/>
      </c>
      <c r="AZ100" s="1928">
        <f>INDEX(MO_BSS_Debt_Net,0,COLUMN())+INDEX(MO_BSS_Cash,0,COLUMN())</f>
        <v/>
      </c>
      <c r="BA100" s="1301">
        <f>INDEX(MO_BSS_Debt_Net,0,COLUMN())+INDEX(MO_BSS_Cash,0,COLUMN())</f>
        <v/>
      </c>
      <c r="BB100" s="1301">
        <f>INDEX(MO_BSS_Debt_Net,0,COLUMN())+INDEX(MO_BSS_Cash,0,COLUMN())</f>
        <v/>
      </c>
      <c r="BC100" s="1301">
        <f>INDEX(MO_BSS_Debt_Net,0,COLUMN())+INDEX(MO_BSS_Cash,0,COLUMN())</f>
        <v/>
      </c>
      <c r="BD100" s="1301">
        <f>INDEX(MO_BSS_Debt_Net,0,COLUMN())+INDEX(MO_BSS_Cash,0,COLUMN())</f>
        <v/>
      </c>
      <c r="BE100" s="1928">
        <f>INDEX(MO_BSS_Debt_Net,0,COLUMN())+INDEX(MO_BSS_Cash,0,COLUMN())</f>
        <v/>
      </c>
      <c r="BF100" s="1301">
        <f>INDEX(MO_BSS_Debt_Net,0,COLUMN())+INDEX(MO_BSS_Cash,0,COLUMN())</f>
        <v/>
      </c>
      <c r="BG100" s="1301">
        <f>INDEX(MO_BSS_Debt_Net,0,COLUMN())+INDEX(MO_BSS_Cash,0,COLUMN())</f>
        <v/>
      </c>
      <c r="BH100" s="1301">
        <f>INDEX(MO_BSS_Debt_Net,0,COLUMN())+INDEX(MO_BSS_Cash,0,COLUMN())</f>
        <v/>
      </c>
      <c r="BI100" s="1301">
        <f>INDEX(MO_BSS_Debt_Net,0,COLUMN())+INDEX(MO_BSS_Cash,0,COLUMN())</f>
        <v/>
      </c>
      <c r="BJ100" s="1928">
        <f>INDEX(MO_BSS_Debt_Net,0,COLUMN())+INDEX(MO_BSS_Cash,0,COLUMN())</f>
        <v/>
      </c>
      <c r="BK100" s="1301">
        <f>INDEX(MO_BSS_Debt_Net,0,COLUMN())+INDEX(MO_BSS_Cash,0,COLUMN())</f>
        <v/>
      </c>
      <c r="BL100" s="1301">
        <f>INDEX(MO_BSS_Debt_Net,0,COLUMN())+INDEX(MO_BSS_Cash,0,COLUMN())</f>
        <v/>
      </c>
      <c r="BM100" s="1301">
        <f>INDEX(MO_BSS_Debt_Net,0,COLUMN())+INDEX(MO_BSS_Cash,0,COLUMN())</f>
        <v/>
      </c>
      <c r="BN100" s="1301">
        <f>INDEX(MO_BSS_Debt_Net,0,COLUMN())+INDEX(MO_BSS_Cash,0,COLUMN())</f>
        <v/>
      </c>
      <c r="BO100" s="1970">
        <f>INDEX(MO_BSS_Debt_Net,0,COLUMN())+INDEX(MO_BSS_Cash,0,COLUMN())</f>
        <v/>
      </c>
      <c r="BP100" s="1301">
        <f>INDEX(MO_BSS_Debt_Net,0,COLUMN())+INDEX(MO_BSS_Cash,0,COLUMN())</f>
        <v/>
      </c>
      <c r="BQ100" s="1301">
        <f>INDEX(MO_BSS_Debt_Net,0,COLUMN())+INDEX(MO_BSS_Cash,0,COLUMN())</f>
        <v/>
      </c>
      <c r="BR100" s="1301">
        <f>INDEX(MO_BSS_Debt_Net,0,COLUMN())+INDEX(MO_BSS_Cash,0,COLUMN())</f>
        <v/>
      </c>
      <c r="BS100" s="1301">
        <f>INDEX(MO_BSS_Debt_Net,0,COLUMN())+INDEX(MO_BSS_Cash,0,COLUMN())</f>
        <v/>
      </c>
      <c r="BT100" s="1928">
        <f>INDEX(MO_BSS_Debt_Net,0,COLUMN())+INDEX(MO_BSS_Cash,0,COLUMN())</f>
        <v/>
      </c>
      <c r="BU100" s="1301">
        <f>INDEX(MO_BSS_Debt_Net,0,COLUMN())+INDEX(MO_BSS_Cash,0,COLUMN())</f>
        <v/>
      </c>
      <c r="BV100" s="1301">
        <f>INDEX(MO_BSS_Debt_Net,0,COLUMN())+INDEX(MO_BSS_Cash,0,COLUMN())</f>
        <v/>
      </c>
      <c r="BW100" s="1301">
        <f>INDEX(MO_BSS_Debt_Net,0,COLUMN())+INDEX(MO_BSS_Cash,0,COLUMN())</f>
        <v/>
      </c>
      <c r="BX100" s="1301">
        <f>INDEX(MO_BSS_Debt_Net,0,COLUMN())+INDEX(MO_BSS_Cash,0,COLUMN())</f>
        <v/>
      </c>
      <c r="BY100" s="1928">
        <f>INDEX(MO_BSS_Debt_Net,0,COLUMN())+INDEX(MO_BSS_Cash,0,COLUMN())</f>
        <v/>
      </c>
      <c r="BZ100" s="1928">
        <f>INDEX(MO_BSS_Debt_Net,0,COLUMN())+INDEX(MO_BSS_Cash,0,COLUMN())</f>
        <v/>
      </c>
      <c r="CA100" s="1928">
        <f>INDEX(MO_BSS_Debt_Net,0,COLUMN())+INDEX(MO_BSS_Cash,0,COLUMN())</f>
        <v/>
      </c>
      <c r="CB100" s="1928">
        <f>INDEX(MO_BSS_Debt_Net,0,COLUMN())+INDEX(MO_BSS_Cash,0,COLUMN())</f>
        <v/>
      </c>
      <c r="CC100" s="1301" t="n"/>
    </row>
    <row r="101" hidden="1" outlineLevel="1" ht="14.4" customHeight="1" s="876">
      <c r="A101" s="1968" t="inlineStr">
        <is>
          <t>Average Book Value of Debt</t>
        </is>
      </c>
      <c r="B101" s="1969" t="n"/>
      <c r="C101" s="1928">
        <f>C100</f>
        <v/>
      </c>
      <c r="D101" s="1928">
        <f>AVERAGE(D100,C100)</f>
        <v/>
      </c>
      <c r="E101" s="1928">
        <f>AVERAGE(E100,D100)</f>
        <v/>
      </c>
      <c r="F101" s="1928">
        <f>AVERAGE(F100,E100)</f>
        <v/>
      </c>
      <c r="G101" s="1928">
        <f>AVERAGE(G100,F100)</f>
        <v/>
      </c>
      <c r="H101" s="1301" t="n"/>
      <c r="I101" s="1301" t="n"/>
      <c r="J101" s="1301" t="n"/>
      <c r="K101" s="1301">
        <f>AVERAGE(K100,J100,I100,H100)</f>
        <v/>
      </c>
      <c r="L101" s="1928">
        <f>AVERAGE(L100,G100)</f>
        <v/>
      </c>
      <c r="M101" s="1301">
        <f>AVERAGE(M100,K100,J100,I100)</f>
        <v/>
      </c>
      <c r="N101" s="1301">
        <f>AVERAGE(N100,M100,K100,J100)</f>
        <v/>
      </c>
      <c r="O101" s="1301">
        <f>AVERAGE(O100,N100,M100,K100)</f>
        <v/>
      </c>
      <c r="P101" s="1301">
        <f>AVERAGE(P100,O100,N100,M100)</f>
        <v/>
      </c>
      <c r="Q101" s="1928">
        <f>AVERAGE(Q100,L100)</f>
        <v/>
      </c>
      <c r="R101" s="1301">
        <f>AVERAGE(R100,P100,O100,N100)</f>
        <v/>
      </c>
      <c r="S101" s="1301">
        <f>AVERAGE(S100,R100,P100,O100)</f>
        <v/>
      </c>
      <c r="T101" s="1301">
        <f>AVERAGE(T100,S100,R100,P100)</f>
        <v/>
      </c>
      <c r="U101" s="1301">
        <f>AVERAGE(U100,T100,S100,R100)</f>
        <v/>
      </c>
      <c r="V101" s="1928">
        <f>AVERAGE(V100,Q100)</f>
        <v/>
      </c>
      <c r="W101" s="1301">
        <f>AVERAGE(W100,U100,T100,S100)</f>
        <v/>
      </c>
      <c r="X101" s="1301">
        <f>AVERAGE(X100,W100,U100,T100)</f>
        <v/>
      </c>
      <c r="Y101" s="1301">
        <f>AVERAGE(Y100,X100,W100,U100)</f>
        <v/>
      </c>
      <c r="Z101" s="1301">
        <f>AVERAGE(Z100,Y100,X100,W100)</f>
        <v/>
      </c>
      <c r="AA101" s="1928">
        <f>AVERAGE(AA100,V100)</f>
        <v/>
      </c>
      <c r="AB101" s="1301">
        <f>AVERAGE(AB100,Z100,Y100,X100)</f>
        <v/>
      </c>
      <c r="AC101" s="1301">
        <f>AVERAGE(AC100,AB100,Z100,Y100)</f>
        <v/>
      </c>
      <c r="AD101" s="1301">
        <f>AVERAGE(AD100,AC100,AB100,Z100)</f>
        <v/>
      </c>
      <c r="AE101" s="1301">
        <f>AVERAGE(AE100,AD100,AC100,AB100)</f>
        <v/>
      </c>
      <c r="AF101" s="1928">
        <f>AVERAGE(AF100,AA100)</f>
        <v/>
      </c>
      <c r="AG101" s="1301">
        <f>AVERAGE(AG100,AE100,AD100,AC100)</f>
        <v/>
      </c>
      <c r="AH101" s="1301">
        <f>AVERAGE(AH100,AG100,AE100,AD100)</f>
        <v/>
      </c>
      <c r="AI101" s="1301">
        <f>AVERAGE(AI100,AH100,AG100,AE100)</f>
        <v/>
      </c>
      <c r="AJ101" s="1301">
        <f>AVERAGE(AJ100,AI100,AH100,AG100)</f>
        <v/>
      </c>
      <c r="AK101" s="1928">
        <f>AVERAGE(AK100,AF100)</f>
        <v/>
      </c>
      <c r="AL101" s="1301">
        <f>AVERAGE(AL100,AJ100,AI100,AH100)</f>
        <v/>
      </c>
      <c r="AM101" s="1301">
        <f>AVERAGE(AM100,AL100,AJ100,AI100)</f>
        <v/>
      </c>
      <c r="AN101" s="1301">
        <f>AVERAGE(AN100,AM100,AL100,AJ100)</f>
        <v/>
      </c>
      <c r="AO101" s="1301">
        <f>AVERAGE(AO100,AN100,AM100,AL100)</f>
        <v/>
      </c>
      <c r="AP101" s="1928">
        <f>AVERAGE(AP100,AK100)</f>
        <v/>
      </c>
      <c r="AQ101" s="1301">
        <f>AVERAGE(AQ100,AO100,AN100,AM100)</f>
        <v/>
      </c>
      <c r="AR101" s="1301">
        <f>AVERAGE(AR100,AQ100,AO100,AN100)</f>
        <v/>
      </c>
      <c r="AS101" s="1301">
        <f>AVERAGE(AS100,AR100,AQ100,AO100)</f>
        <v/>
      </c>
      <c r="AT101" s="1301">
        <f>AVERAGE(AT100,AS100,AR100,AQ100)</f>
        <v/>
      </c>
      <c r="AU101" s="1928">
        <f>AVERAGE(AU100,AP100)</f>
        <v/>
      </c>
      <c r="AV101" s="1301">
        <f>AVERAGE(AV100,AT100,AS100,AR100)</f>
        <v/>
      </c>
      <c r="AW101" s="1301">
        <f>AVERAGE(AW100,AV100,AT100,AS100)</f>
        <v/>
      </c>
      <c r="AX101" s="1301">
        <f>AVERAGE(AX100,AW100,AV100,AT100)</f>
        <v/>
      </c>
      <c r="AY101" s="1301">
        <f>AVERAGE(AY100,AX100,AW100,AV100)</f>
        <v/>
      </c>
      <c r="AZ101" s="1928">
        <f>AVERAGE(AZ100,AU100)</f>
        <v/>
      </c>
      <c r="BA101" s="1301">
        <f>AVERAGE(BA100,AY100,AX100,AW100)</f>
        <v/>
      </c>
      <c r="BB101" s="1301">
        <f>AVERAGE(BB100,BA100,AY100,AX100)</f>
        <v/>
      </c>
      <c r="BC101" s="1301">
        <f>AVERAGE(BC100,BB100,BA100,AY100)</f>
        <v/>
      </c>
      <c r="BD101" s="1301">
        <f>AVERAGE(BD100,BC100,BB100,BA100)</f>
        <v/>
      </c>
      <c r="BE101" s="1928">
        <f>AVERAGE(BE100,AZ100)</f>
        <v/>
      </c>
      <c r="BF101" s="1301">
        <f>AVERAGE(BF100,BD100,BC100,BB100)</f>
        <v/>
      </c>
      <c r="BG101" s="1301">
        <f>AVERAGE(BG100,BF100,BD100,BC100)</f>
        <v/>
      </c>
      <c r="BH101" s="1301">
        <f>AVERAGE(BH100,BG100,BF100,BD100)</f>
        <v/>
      </c>
      <c r="BI101" s="1301">
        <f>AVERAGE(BI100,BH100,BG100,BF100)</f>
        <v/>
      </c>
      <c r="BJ101" s="1928">
        <f>AVERAGE(BJ100,BE100)</f>
        <v/>
      </c>
      <c r="BK101" s="1301">
        <f>AVERAGE(BK100,BI100,BH100,BG100)</f>
        <v/>
      </c>
      <c r="BL101" s="1301">
        <f>AVERAGE(BL100,BK100,BI100,BH100)</f>
        <v/>
      </c>
      <c r="BM101" s="1301">
        <f>AVERAGE(BM100,BL100,BK100,BI100)</f>
        <v/>
      </c>
      <c r="BN101" s="1301">
        <f>AVERAGE(BN100,BM100,BL100,BK100)</f>
        <v/>
      </c>
      <c r="BO101" s="1970">
        <f>AVERAGE(BO100,BJ100)</f>
        <v/>
      </c>
      <c r="BP101" s="1301">
        <f>AVERAGE(BP100,BN100,BM100,BL100)</f>
        <v/>
      </c>
      <c r="BQ101" s="1301">
        <f>AVERAGE(BQ100,BP100,BN100,BM100)</f>
        <v/>
      </c>
      <c r="BR101" s="1301">
        <f>AVERAGE(BR100,BQ100,BP100,BN100)</f>
        <v/>
      </c>
      <c r="BS101" s="1301">
        <f>AVERAGE(BS100,BR100,BQ100,BP100)</f>
        <v/>
      </c>
      <c r="BT101" s="1928">
        <f>AVERAGE(BT100,BO100)</f>
        <v/>
      </c>
      <c r="BU101" s="1301">
        <f>AVERAGE(BU100,BS100,BR100,BQ100)</f>
        <v/>
      </c>
      <c r="BV101" s="1301">
        <f>AVERAGE(BV100,BU100,BS100,BR100)</f>
        <v/>
      </c>
      <c r="BW101" s="1301">
        <f>AVERAGE(BW100,BV100,BU100,BS100)</f>
        <v/>
      </c>
      <c r="BX101" s="1301">
        <f>AVERAGE(BX100,BW100,BV100,BU100)</f>
        <v/>
      </c>
      <c r="BY101" s="1928">
        <f>AVERAGE(BY100,BT100)</f>
        <v/>
      </c>
      <c r="BZ101" s="1928">
        <f>AVERAGE(BZ100,BY100)</f>
        <v/>
      </c>
      <c r="CA101" s="1928">
        <f>AVERAGE(CA100,BZ100)</f>
        <v/>
      </c>
      <c r="CB101" s="1928">
        <f>AVERAGE(CB100,CA100)</f>
        <v/>
      </c>
      <c r="CC101" s="1301" t="n"/>
    </row>
    <row r="102" hidden="1" outlineLevel="1" ht="14.4" customHeight="1" s="876">
      <c r="A102" s="1968" t="inlineStr">
        <is>
          <t>Average Invested Capital</t>
        </is>
      </c>
      <c r="B102" s="1969" t="n"/>
      <c r="C102" s="1928">
        <f>SUM(INDEX(SP_BSR_Debt_Avg,0,COLUMN()),INDEX(SP_BSR_SE_Avg,0,COLUMN()))</f>
        <v/>
      </c>
      <c r="D102" s="1928">
        <f>SUM(INDEX(SP_BSR_Debt_Avg,0,COLUMN()),INDEX(SP_BSR_SE_Avg,0,COLUMN()))</f>
        <v/>
      </c>
      <c r="E102" s="1928">
        <f>SUM(INDEX(SP_BSR_Debt_Avg,0,COLUMN()),INDEX(SP_BSR_SE_Avg,0,COLUMN()))</f>
        <v/>
      </c>
      <c r="F102" s="1928">
        <f>SUM(INDEX(SP_BSR_Debt_Avg,0,COLUMN()),INDEX(SP_BSR_SE_Avg,0,COLUMN()))</f>
        <v/>
      </c>
      <c r="G102" s="1928">
        <f>SUM(INDEX(SP_BSR_Debt_Avg,0,COLUMN()),INDEX(SP_BSR_SE_Avg,0,COLUMN()))</f>
        <v/>
      </c>
      <c r="H102" s="1301">
        <f>SUM(INDEX(SP_BSR_Debt_Avg,0,COLUMN()),INDEX(SP_BSR_SE_Avg,0,COLUMN()))</f>
        <v/>
      </c>
      <c r="I102" s="1301">
        <f>SUM(INDEX(SP_BSR_Debt_Avg,0,COLUMN()),INDEX(SP_BSR_SE_Avg,0,COLUMN()))</f>
        <v/>
      </c>
      <c r="J102" s="1301">
        <f>SUM(INDEX(SP_BSR_Debt_Avg,0,COLUMN()),INDEX(SP_BSR_SE_Avg,0,COLUMN()))</f>
        <v/>
      </c>
      <c r="K102" s="1301">
        <f>SUM(INDEX(SP_BSR_Debt_Avg,0,COLUMN()),INDEX(SP_BSR_SE_Avg,0,COLUMN()))</f>
        <v/>
      </c>
      <c r="L102" s="1928">
        <f>SUM(INDEX(SP_BSR_Debt_Avg,0,COLUMN()),INDEX(SP_BSR_SE_Avg,0,COLUMN()))</f>
        <v/>
      </c>
      <c r="M102" s="1301">
        <f>SUM(INDEX(SP_BSR_Debt_Avg,0,COLUMN()),INDEX(SP_BSR_SE_Avg,0,COLUMN()))</f>
        <v/>
      </c>
      <c r="N102" s="1301">
        <f>SUM(INDEX(SP_BSR_Debt_Avg,0,COLUMN()),INDEX(SP_BSR_SE_Avg,0,COLUMN()))</f>
        <v/>
      </c>
      <c r="O102" s="1301">
        <f>SUM(INDEX(SP_BSR_Debt_Avg,0,COLUMN()),INDEX(SP_BSR_SE_Avg,0,COLUMN()))</f>
        <v/>
      </c>
      <c r="P102" s="1301">
        <f>SUM(INDEX(SP_BSR_Debt_Avg,0,COLUMN()),INDEX(SP_BSR_SE_Avg,0,COLUMN()))</f>
        <v/>
      </c>
      <c r="Q102" s="1928">
        <f>SUM(INDEX(SP_BSR_Debt_Avg,0,COLUMN()),INDEX(SP_BSR_SE_Avg,0,COLUMN()))</f>
        <v/>
      </c>
      <c r="R102" s="1301">
        <f>SUM(INDEX(SP_BSR_Debt_Avg,0,COLUMN()),INDEX(SP_BSR_SE_Avg,0,COLUMN()))</f>
        <v/>
      </c>
      <c r="S102" s="1301">
        <f>SUM(INDEX(SP_BSR_Debt_Avg,0,COLUMN()),INDEX(SP_BSR_SE_Avg,0,COLUMN()))</f>
        <v/>
      </c>
      <c r="T102" s="1301">
        <f>SUM(INDEX(SP_BSR_Debt_Avg,0,COLUMN()),INDEX(SP_BSR_SE_Avg,0,COLUMN()))</f>
        <v/>
      </c>
      <c r="U102" s="1301">
        <f>SUM(INDEX(SP_BSR_Debt_Avg,0,COLUMN()),INDEX(SP_BSR_SE_Avg,0,COLUMN()))</f>
        <v/>
      </c>
      <c r="V102" s="1928">
        <f>SUM(INDEX(SP_BSR_Debt_Avg,0,COLUMN()),INDEX(SP_BSR_SE_Avg,0,COLUMN()))</f>
        <v/>
      </c>
      <c r="W102" s="1301">
        <f>SUM(INDEX(SP_BSR_Debt_Avg,0,COLUMN()),INDEX(SP_BSR_SE_Avg,0,COLUMN()))</f>
        <v/>
      </c>
      <c r="X102" s="1301">
        <f>SUM(INDEX(SP_BSR_Debt_Avg,0,COLUMN()),INDEX(SP_BSR_SE_Avg,0,COLUMN()))</f>
        <v/>
      </c>
      <c r="Y102" s="1301">
        <f>SUM(INDEX(SP_BSR_Debt_Avg,0,COLUMN()),INDEX(SP_BSR_SE_Avg,0,COLUMN()))</f>
        <v/>
      </c>
      <c r="Z102" s="1301">
        <f>SUM(INDEX(SP_BSR_Debt_Avg,0,COLUMN()),INDEX(SP_BSR_SE_Avg,0,COLUMN()))</f>
        <v/>
      </c>
      <c r="AA102" s="1928">
        <f>SUM(INDEX(SP_BSR_Debt_Avg,0,COLUMN()),INDEX(SP_BSR_SE_Avg,0,COLUMN()))</f>
        <v/>
      </c>
      <c r="AB102" s="1301">
        <f>SUM(INDEX(SP_BSR_Debt_Avg,0,COLUMN()),INDEX(SP_BSR_SE_Avg,0,COLUMN()))</f>
        <v/>
      </c>
      <c r="AC102" s="1301">
        <f>SUM(INDEX(SP_BSR_Debt_Avg,0,COLUMN()),INDEX(SP_BSR_SE_Avg,0,COLUMN()))</f>
        <v/>
      </c>
      <c r="AD102" s="1301">
        <f>SUM(INDEX(SP_BSR_Debt_Avg,0,COLUMN()),INDEX(SP_BSR_SE_Avg,0,COLUMN()))</f>
        <v/>
      </c>
      <c r="AE102" s="1301">
        <f>SUM(INDEX(SP_BSR_Debt_Avg,0,COLUMN()),INDEX(SP_BSR_SE_Avg,0,COLUMN()))</f>
        <v/>
      </c>
      <c r="AF102" s="1928">
        <f>SUM(INDEX(SP_BSR_Debt_Avg,0,COLUMN()),INDEX(SP_BSR_SE_Avg,0,COLUMN()))</f>
        <v/>
      </c>
      <c r="AG102" s="1301">
        <f>SUM(INDEX(SP_BSR_Debt_Avg,0,COLUMN()),INDEX(SP_BSR_SE_Avg,0,COLUMN()))</f>
        <v/>
      </c>
      <c r="AH102" s="1301">
        <f>SUM(INDEX(SP_BSR_Debt_Avg,0,COLUMN()),INDEX(SP_BSR_SE_Avg,0,COLUMN()))</f>
        <v/>
      </c>
      <c r="AI102" s="1301">
        <f>SUM(INDEX(SP_BSR_Debt_Avg,0,COLUMN()),INDEX(SP_BSR_SE_Avg,0,COLUMN()))</f>
        <v/>
      </c>
      <c r="AJ102" s="1301">
        <f>SUM(INDEX(SP_BSR_Debt_Avg,0,COLUMN()),INDEX(SP_BSR_SE_Avg,0,COLUMN()))</f>
        <v/>
      </c>
      <c r="AK102" s="1928">
        <f>SUM(INDEX(SP_BSR_Debt_Avg,0,COLUMN()),INDEX(SP_BSR_SE_Avg,0,COLUMN()))</f>
        <v/>
      </c>
      <c r="AL102" s="1301">
        <f>SUM(INDEX(SP_BSR_Debt_Avg,0,COLUMN()),INDEX(SP_BSR_SE_Avg,0,COLUMN()))</f>
        <v/>
      </c>
      <c r="AM102" s="1301">
        <f>SUM(INDEX(SP_BSR_Debt_Avg,0,COLUMN()),INDEX(SP_BSR_SE_Avg,0,COLUMN()))</f>
        <v/>
      </c>
      <c r="AN102" s="1301">
        <f>SUM(INDEX(SP_BSR_Debt_Avg,0,COLUMN()),INDEX(SP_BSR_SE_Avg,0,COLUMN()))</f>
        <v/>
      </c>
      <c r="AO102" s="1301">
        <f>SUM(INDEX(SP_BSR_Debt_Avg,0,COLUMN()),INDEX(SP_BSR_SE_Avg,0,COLUMN()))</f>
        <v/>
      </c>
      <c r="AP102" s="1928">
        <f>SUM(INDEX(SP_BSR_Debt_Avg,0,COLUMN()),INDEX(SP_BSR_SE_Avg,0,COLUMN()))</f>
        <v/>
      </c>
      <c r="AQ102" s="1301">
        <f>SUM(INDEX(SP_BSR_Debt_Avg,0,COLUMN()),INDEX(SP_BSR_SE_Avg,0,COLUMN()))</f>
        <v/>
      </c>
      <c r="AR102" s="1301">
        <f>SUM(INDEX(SP_BSR_Debt_Avg,0,COLUMN()),INDEX(SP_BSR_SE_Avg,0,COLUMN()))</f>
        <v/>
      </c>
      <c r="AS102" s="1301">
        <f>SUM(INDEX(SP_BSR_Debt_Avg,0,COLUMN()),INDEX(SP_BSR_SE_Avg,0,COLUMN()))</f>
        <v/>
      </c>
      <c r="AT102" s="1301">
        <f>SUM(INDEX(SP_BSR_Debt_Avg,0,COLUMN()),INDEX(SP_BSR_SE_Avg,0,COLUMN()))</f>
        <v/>
      </c>
      <c r="AU102" s="1928">
        <f>SUM(INDEX(SP_BSR_Debt_Avg,0,COLUMN()),INDEX(SP_BSR_SE_Avg,0,COLUMN()))</f>
        <v/>
      </c>
      <c r="AV102" s="1301">
        <f>SUM(INDEX(SP_BSR_Debt_Avg,0,COLUMN()),INDEX(SP_BSR_SE_Avg,0,COLUMN()))</f>
        <v/>
      </c>
      <c r="AW102" s="1301">
        <f>SUM(INDEX(SP_BSR_Debt_Avg,0,COLUMN()),INDEX(SP_BSR_SE_Avg,0,COLUMN()))</f>
        <v/>
      </c>
      <c r="AX102" s="1301">
        <f>SUM(INDEX(SP_BSR_Debt_Avg,0,COLUMN()),INDEX(SP_BSR_SE_Avg,0,COLUMN()))</f>
        <v/>
      </c>
      <c r="AY102" s="1301">
        <f>SUM(INDEX(SP_BSR_Debt_Avg,0,COLUMN()),INDEX(SP_BSR_SE_Avg,0,COLUMN()))</f>
        <v/>
      </c>
      <c r="AZ102" s="1928">
        <f>SUM(INDEX(SP_BSR_Debt_Avg,0,COLUMN()),INDEX(SP_BSR_SE_Avg,0,COLUMN()))</f>
        <v/>
      </c>
      <c r="BA102" s="1301">
        <f>SUM(INDEX(SP_BSR_Debt_Avg,0,COLUMN()),INDEX(SP_BSR_SE_Avg,0,COLUMN()))</f>
        <v/>
      </c>
      <c r="BB102" s="1301">
        <f>SUM(INDEX(SP_BSR_Debt_Avg,0,COLUMN()),INDEX(SP_BSR_SE_Avg,0,COLUMN()))</f>
        <v/>
      </c>
      <c r="BC102" s="1301">
        <f>SUM(INDEX(SP_BSR_Debt_Avg,0,COLUMN()),INDEX(SP_BSR_SE_Avg,0,COLUMN()))</f>
        <v/>
      </c>
      <c r="BD102" s="1301">
        <f>SUM(INDEX(SP_BSR_Debt_Avg,0,COLUMN()),INDEX(SP_BSR_SE_Avg,0,COLUMN()))</f>
        <v/>
      </c>
      <c r="BE102" s="1928">
        <f>SUM(INDEX(SP_BSR_Debt_Avg,0,COLUMN()),INDEX(SP_BSR_SE_Avg,0,COLUMN()))</f>
        <v/>
      </c>
      <c r="BF102" s="1301">
        <f>SUM(INDEX(SP_BSR_Debt_Avg,0,COLUMN()),INDEX(SP_BSR_SE_Avg,0,COLUMN()))</f>
        <v/>
      </c>
      <c r="BG102" s="1301">
        <f>SUM(INDEX(SP_BSR_Debt_Avg,0,COLUMN()),INDEX(SP_BSR_SE_Avg,0,COLUMN()))</f>
        <v/>
      </c>
      <c r="BH102" s="1301">
        <f>SUM(INDEX(SP_BSR_Debt_Avg,0,COLUMN()),INDEX(SP_BSR_SE_Avg,0,COLUMN()))</f>
        <v/>
      </c>
      <c r="BI102" s="1301">
        <f>SUM(INDEX(SP_BSR_Debt_Avg,0,COLUMN()),INDEX(SP_BSR_SE_Avg,0,COLUMN()))</f>
        <v/>
      </c>
      <c r="BJ102" s="1928">
        <f>SUM(INDEX(SP_BSR_Debt_Avg,0,COLUMN()),INDEX(SP_BSR_SE_Avg,0,COLUMN()))</f>
        <v/>
      </c>
      <c r="BK102" s="1301">
        <f>SUM(INDEX(SP_BSR_Debt_Avg,0,COLUMN()),INDEX(SP_BSR_SE_Avg,0,COLUMN()))</f>
        <v/>
      </c>
      <c r="BL102" s="1301">
        <f>SUM(INDEX(SP_BSR_Debt_Avg,0,COLUMN()),INDEX(SP_BSR_SE_Avg,0,COLUMN()))</f>
        <v/>
      </c>
      <c r="BM102" s="1301">
        <f>SUM(INDEX(SP_BSR_Debt_Avg,0,COLUMN()),INDEX(SP_BSR_SE_Avg,0,COLUMN()))</f>
        <v/>
      </c>
      <c r="BN102" s="1301">
        <f>SUM(INDEX(SP_BSR_Debt_Avg,0,COLUMN()),INDEX(SP_BSR_SE_Avg,0,COLUMN()))</f>
        <v/>
      </c>
      <c r="BO102" s="1970">
        <f>SUM(INDEX(SP_BSR_Debt_Avg,0,COLUMN()),INDEX(SP_BSR_SE_Avg,0,COLUMN()))</f>
        <v/>
      </c>
      <c r="BP102" s="1301">
        <f>SUM(INDEX(SP_BSR_Debt_Avg,0,COLUMN()),INDEX(SP_BSR_SE_Avg,0,COLUMN()))</f>
        <v/>
      </c>
      <c r="BQ102" s="1301">
        <f>SUM(INDEX(SP_BSR_Debt_Avg,0,COLUMN()),INDEX(SP_BSR_SE_Avg,0,COLUMN()))</f>
        <v/>
      </c>
      <c r="BR102" s="1301">
        <f>SUM(INDEX(SP_BSR_Debt_Avg,0,COLUMN()),INDEX(SP_BSR_SE_Avg,0,COLUMN()))</f>
        <v/>
      </c>
      <c r="BS102" s="1301">
        <f>SUM(INDEX(SP_BSR_Debt_Avg,0,COLUMN()),INDEX(SP_BSR_SE_Avg,0,COLUMN()))</f>
        <v/>
      </c>
      <c r="BT102" s="1928">
        <f>SUM(INDEX(SP_BSR_Debt_Avg,0,COLUMN()),INDEX(SP_BSR_SE_Avg,0,COLUMN()))</f>
        <v/>
      </c>
      <c r="BU102" s="1301">
        <f>SUM(INDEX(SP_BSR_Debt_Avg,0,COLUMN()),INDEX(SP_BSR_SE_Avg,0,COLUMN()))</f>
        <v/>
      </c>
      <c r="BV102" s="1301">
        <f>SUM(INDEX(SP_BSR_Debt_Avg,0,COLUMN()),INDEX(SP_BSR_SE_Avg,0,COLUMN()))</f>
        <v/>
      </c>
      <c r="BW102" s="1301">
        <f>SUM(INDEX(SP_BSR_Debt_Avg,0,COLUMN()),INDEX(SP_BSR_SE_Avg,0,COLUMN()))</f>
        <v/>
      </c>
      <c r="BX102" s="1301">
        <f>SUM(INDEX(SP_BSR_Debt_Avg,0,COLUMN()),INDEX(SP_BSR_SE_Avg,0,COLUMN()))</f>
        <v/>
      </c>
      <c r="BY102" s="1928">
        <f>SUM(INDEX(SP_BSR_Debt_Avg,0,COLUMN()),INDEX(SP_BSR_SE_Avg,0,COLUMN()))</f>
        <v/>
      </c>
      <c r="BZ102" s="1928">
        <f>SUM(INDEX(SP_BSR_Debt_Avg,0,COLUMN()),INDEX(SP_BSR_SE_Avg,0,COLUMN()))</f>
        <v/>
      </c>
      <c r="CA102" s="1928">
        <f>SUM(INDEX(SP_BSR_Debt_Avg,0,COLUMN()),INDEX(SP_BSR_SE_Avg,0,COLUMN()))</f>
        <v/>
      </c>
      <c r="CB102" s="1928">
        <f>SUM(INDEX(SP_BSR_Debt_Avg,0,COLUMN()),INDEX(SP_BSR_SE_Avg,0,COLUMN()))</f>
        <v/>
      </c>
      <c r="CC102" s="1301" t="n"/>
    </row>
    <row r="103" collapsed="1" ht="14.4" customFormat="1" customHeight="1" s="1991">
      <c r="A103" s="1998" t="inlineStr">
        <is>
          <t>ROIC</t>
        </is>
      </c>
      <c r="B103" s="1999" t="n"/>
      <c r="C103" s="2000">
        <f>IF(C102&lt;0,"NMF",IF(ABS(C96/C102)&gt;1,"NMF",C96/C102))</f>
        <v/>
      </c>
      <c r="D103" s="2000">
        <f>IF(D102&lt;0,"NMF",IF(ABS(D96/D102)&gt;1,"NMF",D96/D102))</f>
        <v/>
      </c>
      <c r="E103" s="2000">
        <f>IF(E102&lt;0,"NMF",IF(ABS(E96/E102)&gt;1,"NMF",E96/E102))</f>
        <v/>
      </c>
      <c r="F103" s="2000">
        <f>IF(F102&lt;0,"NMF",IF(ABS(F96/F102)&gt;1,"NMF",F96/F102))</f>
        <v/>
      </c>
      <c r="G103" s="2000">
        <f>IF(G102&lt;0,"NMF",IF(ABS(G96/G102)&gt;1,"NMF",G96/G102))</f>
        <v/>
      </c>
      <c r="H103" s="2001" t="n"/>
      <c r="I103" s="2001" t="n"/>
      <c r="J103" s="2001" t="n"/>
      <c r="K103" s="2001">
        <f>IF(K102&lt;0,"NMF",IF(ABS(K96/K102)&gt;1,"NMF",K96/K102))</f>
        <v/>
      </c>
      <c r="L103" s="2000">
        <f>IF(L102&lt;0,"NMF",IF(ABS(L96/L102)&gt;1,"NMF",L96/L102))</f>
        <v/>
      </c>
      <c r="M103" s="2001">
        <f>IF(M102&lt;0,"NMF",IF(ABS(M96/M102)&gt;1,"NMF",M96/M102))</f>
        <v/>
      </c>
      <c r="N103" s="2001">
        <f>IF(N102&lt;0,"NMF",IF(ABS(N96/N102)&gt;1,"NMF",N96/N102))</f>
        <v/>
      </c>
      <c r="O103" s="2001">
        <f>IF(O102&lt;0,"NMF",IF(ABS(O96/O102)&gt;1,"NMF",O96/O102))</f>
        <v/>
      </c>
      <c r="P103" s="2001">
        <f>IF(P102&lt;0,"NMF",IF(ABS(P96/P102)&gt;1,"NMF",P96/P102))</f>
        <v/>
      </c>
      <c r="Q103" s="2000">
        <f>IF(Q102&lt;0,"NMF",IF(ABS(Q96/Q102)&gt;1,"NMF",Q96/Q102))</f>
        <v/>
      </c>
      <c r="R103" s="2001">
        <f>IF(R102&lt;0,"NMF",IF(ABS(R96/R102)&gt;1,"NMF",R96/R102))</f>
        <v/>
      </c>
      <c r="S103" s="2001">
        <f>IF(S102&lt;0,"NMF",IF(ABS(S96/S102)&gt;1,"NMF",S96/S102))</f>
        <v/>
      </c>
      <c r="T103" s="2001">
        <f>IF(T102&lt;0,"NMF",IF(ABS(T96/T102)&gt;1,"NMF",T96/T102))</f>
        <v/>
      </c>
      <c r="U103" s="2001">
        <f>IF(U102&lt;0,"NMF",IF(ABS(U96/U102)&gt;1,"NMF",U96/U102))</f>
        <v/>
      </c>
      <c r="V103" s="2000">
        <f>IF(V102&lt;0,"NMF",IF(ABS(V96/V102)&gt;1,"NMF",V96/V102))</f>
        <v/>
      </c>
      <c r="W103" s="2001">
        <f>IF(W102&lt;0,"NMF",IF(ABS(W96/W102)&gt;1,"NMF",W96/W102))</f>
        <v/>
      </c>
      <c r="X103" s="2001">
        <f>IF(X102&lt;0,"NMF",IF(ABS(X96/X102)&gt;1,"NMF",X96/X102))</f>
        <v/>
      </c>
      <c r="Y103" s="2001">
        <f>IF(Y102&lt;0,"NMF",IF(ABS(Y96/Y102)&gt;1,"NMF",Y96/Y102))</f>
        <v/>
      </c>
      <c r="Z103" s="2001">
        <f>IF(Z102&lt;0,"NMF",IF(ABS(Z96/Z102)&gt;1,"NMF",Z96/Z102))</f>
        <v/>
      </c>
      <c r="AA103" s="2000">
        <f>IF(AA102&lt;0,"NMF",IF(ABS(AA96/AA102)&gt;1,"NMF",AA96/AA102))</f>
        <v/>
      </c>
      <c r="AB103" s="2001">
        <f>IF(AB102&lt;0,"NMF",IF(ABS(AB96/AB102)&gt;1,"NMF",AB96/AB102))</f>
        <v/>
      </c>
      <c r="AC103" s="2001">
        <f>IF(AC102&lt;0,"NMF",IF(ABS(AC96/AC102)&gt;1,"NMF",AC96/AC102))</f>
        <v/>
      </c>
      <c r="AD103" s="2001">
        <f>IF(AD102&lt;0,"NMF",IF(ABS(AD96/AD102)&gt;1,"NMF",AD96/AD102))</f>
        <v/>
      </c>
      <c r="AE103" s="2001">
        <f>IF(AE102&lt;0,"NMF",IF(ABS(AE96/AE102)&gt;1,"NMF",AE96/AE102))</f>
        <v/>
      </c>
      <c r="AF103" s="2000">
        <f>IF(AF102&lt;0,"NMF",IF(ABS(AF96/AF102)&gt;1,"NMF",AF96/AF102))</f>
        <v/>
      </c>
      <c r="AG103" s="2001">
        <f>IF(AG102&lt;0,"NMF",IF(ABS(AG96/AG102)&gt;1,"NMF",AG96/AG102))</f>
        <v/>
      </c>
      <c r="AH103" s="2001">
        <f>IF(AH102&lt;0,"NMF",IF(ABS(AH96/AH102)&gt;1,"NMF",AH96/AH102))</f>
        <v/>
      </c>
      <c r="AI103" s="2001">
        <f>IF(AI102&lt;0,"NMF",IF(ABS(AI96/AI102)&gt;1,"NMF",AI96/AI102))</f>
        <v/>
      </c>
      <c r="AJ103" s="2001">
        <f>IF(AJ102&lt;0,"NMF",IF(ABS(AJ96/AJ102)&gt;1,"NMF",AJ96/AJ102))</f>
        <v/>
      </c>
      <c r="AK103" s="2000">
        <f>IF(AK102&lt;0,"NMF",IF(ABS(AK96/AK102)&gt;1,"NMF",AK96/AK102))</f>
        <v/>
      </c>
      <c r="AL103" s="2001">
        <f>IF(AL102&lt;0,"NMF",IF(ABS(AL96/AL102)&gt;1,"NMF",AL96/AL102))</f>
        <v/>
      </c>
      <c r="AM103" s="2001">
        <f>IF(AM102&lt;0,"NMF",IF(ABS(AM96/AM102)&gt;1,"NMF",AM96/AM102))</f>
        <v/>
      </c>
      <c r="AN103" s="2001">
        <f>IF(AN102&lt;0,"NMF",IF(ABS(AN96/AN102)&gt;1,"NMF",AN96/AN102))</f>
        <v/>
      </c>
      <c r="AO103" s="2001">
        <f>IF(AO102&lt;0,"NMF",IF(ABS(AO96/AO102)&gt;1,"NMF",AO96/AO102))</f>
        <v/>
      </c>
      <c r="AP103" s="2000">
        <f>IF(AP102&lt;0,"NMF",IF(ABS(AP96/AP102)&gt;1,"NMF",AP96/AP102))</f>
        <v/>
      </c>
      <c r="AQ103" s="2001">
        <f>IF(AQ102&lt;0,"NMF",IF(ABS(AQ96/AQ102)&gt;1,"NMF",AQ96/AQ102))</f>
        <v/>
      </c>
      <c r="AR103" s="2001">
        <f>IF(AR102&lt;0,"NMF",IF(ABS(AR96/AR102)&gt;1,"NMF",AR96/AR102))</f>
        <v/>
      </c>
      <c r="AS103" s="2001">
        <f>IF(AS102&lt;0,"NMF",IF(ABS(AS96/AS102)&gt;1,"NMF",AS96/AS102))</f>
        <v/>
      </c>
      <c r="AT103" s="2001">
        <f>IF(AT102&lt;0,"NMF",IF(ABS(AT96/AT102)&gt;1,"NMF",AT96/AT102))</f>
        <v/>
      </c>
      <c r="AU103" s="2000">
        <f>IF(AU102&lt;0,"NMF",IF(ABS(AU96/AU102)&gt;1,"NMF",AU96/AU102))</f>
        <v/>
      </c>
      <c r="AV103" s="2001">
        <f>IF(AV102&lt;0,"NMF",IF(ABS(AV96/AV102)&gt;1,"NMF",AV96/AV102))</f>
        <v/>
      </c>
      <c r="AW103" s="2001">
        <f>IF(AW102&lt;0,"NMF",IF(ABS(AW96/AW102)&gt;1,"NMF",AW96/AW102))</f>
        <v/>
      </c>
      <c r="AX103" s="2001">
        <f>IF(AX102&lt;0,"NMF",IF(ABS(AX96/AX102)&gt;1,"NMF",AX96/AX102))</f>
        <v/>
      </c>
      <c r="AY103" s="2001">
        <f>IF(AY102&lt;0,"NMF",IF(ABS(AY96/AY102)&gt;1,"NMF",AY96/AY102))</f>
        <v/>
      </c>
      <c r="AZ103" s="2000">
        <f>IF(AZ102&lt;0,"NMF",IF(ABS(AZ96/AZ102)&gt;1,"NMF",AZ96/AZ102))</f>
        <v/>
      </c>
      <c r="BA103" s="2001">
        <f>IF(BA102&lt;0,"NMF",IF(ABS(BA96/BA102)&gt;1,"NMF",BA96/BA102))</f>
        <v/>
      </c>
      <c r="BB103" s="2001">
        <f>IF(BB102&lt;0,"NMF",IF(ABS(BB96/BB102)&gt;1,"NMF",BB96/BB102))</f>
        <v/>
      </c>
      <c r="BC103" s="2001">
        <f>IF(BC102&lt;0,"NMF",IF(ABS(BC96/BC102)&gt;1,"NMF",BC96/BC102))</f>
        <v/>
      </c>
      <c r="BD103" s="2001">
        <f>IF(BD102&lt;0,"NMF",IF(ABS(BD96/BD102)&gt;1,"NMF",BD96/BD102))</f>
        <v/>
      </c>
      <c r="BE103" s="2000">
        <f>IF(BE102&lt;0,"NMF",IF(ABS(BE96/BE102)&gt;1,"NMF",BE96/BE102))</f>
        <v/>
      </c>
      <c r="BF103" s="2001">
        <f>IF(BF102&lt;0,"NMF",IF(ABS(BF96/BF102)&gt;1,"NMF",BF96/BF102))</f>
        <v/>
      </c>
      <c r="BG103" s="2001">
        <f>IF(BG102&lt;0,"NMF",IF(ABS(BG96/BG102)&gt;1,"NMF",BG96/BG102))</f>
        <v/>
      </c>
      <c r="BH103" s="2001">
        <f>IF(BH102&lt;0,"NMF",IF(ABS(BH96/BH102)&gt;1,"NMF",BH96/BH102))</f>
        <v/>
      </c>
      <c r="BI103" s="2001">
        <f>IF(BI102&lt;0,"NMF",IF(ABS(BI96/BI102)&gt;1,"NMF",BI96/BI102))</f>
        <v/>
      </c>
      <c r="BJ103" s="2000">
        <f>IF(BJ102&lt;0,"NMF",IF(ABS(BJ96/BJ102)&gt;1,"NMF",BJ96/BJ102))</f>
        <v/>
      </c>
      <c r="BK103" s="2001">
        <f>IF(BK102&lt;0,"NMF",IF(ABS(BK96/BK102)&gt;1,"NMF",BK96/BK102))</f>
        <v/>
      </c>
      <c r="BL103" s="2001">
        <f>IF(BL102&lt;0,"NMF",IF(ABS(BL96/BL102)&gt;1,"NMF",BL96/BL102))</f>
        <v/>
      </c>
      <c r="BM103" s="2001">
        <f>IF(BM102&lt;0,"NMF",IF(ABS(BM96/BM102)&gt;1,"NMF",BM96/BM102))</f>
        <v/>
      </c>
      <c r="BN103" s="2001">
        <f>IF(BN102&lt;0,"NMF",IF(ABS(BN96/BN102)&gt;1,"NMF",BN96/BN102))</f>
        <v/>
      </c>
      <c r="BO103" s="2002">
        <f>IF(BO102&lt;0,"NMF",IF(ABS(BO96/BO102)&gt;1,"NMF",BO96/BO102))</f>
        <v/>
      </c>
      <c r="BP103" s="2001">
        <f>IF(BP102&lt;0,"NMF",IF(ABS(BP96/BP102)&gt;1,"NMF",BP96/BP102))</f>
        <v/>
      </c>
      <c r="BQ103" s="2001">
        <f>IF(BQ102&lt;0,"NMF",IF(ABS(BQ96/BQ102)&gt;1,"NMF",BQ96/BQ102))</f>
        <v/>
      </c>
      <c r="BR103" s="2001">
        <f>IF(BR102&lt;0,"NMF",IF(ABS(BR96/BR102)&gt;1,"NMF",BR96/BR102))</f>
        <v/>
      </c>
      <c r="BS103" s="2001">
        <f>IF(BS102&lt;0,"NMF",IF(ABS(BS96/BS102)&gt;1,"NMF",BS96/BS102))</f>
        <v/>
      </c>
      <c r="BT103" s="2000">
        <f>IF(BT102&lt;0,"NMF",IF(ABS(BT96/BT102)&gt;1,"NMF",BT96/BT102))</f>
        <v/>
      </c>
      <c r="BU103" s="2001">
        <f>IF(BU102&lt;0,"NMF",IF(ABS(BU96/BU102)&gt;1,"NMF",BU96/BU102))</f>
        <v/>
      </c>
      <c r="BV103" s="2001">
        <f>IF(BV102&lt;0,"NMF",IF(ABS(BV96/BV102)&gt;1,"NMF",BV96/BV102))</f>
        <v/>
      </c>
      <c r="BW103" s="2001">
        <f>IF(BW102&lt;0,"NMF",IF(ABS(BW96/BW102)&gt;1,"NMF",BW96/BW102))</f>
        <v/>
      </c>
      <c r="BX103" s="2001">
        <f>IF(BX102&lt;0,"NMF",IF(ABS(BX96/BX102)&gt;1,"NMF",BX96/BX102))</f>
        <v/>
      </c>
      <c r="BY103" s="2000">
        <f>IF(BY102&lt;0,"NMF",IF(ABS(BY96/BY102)&gt;1,"NMF",BY96/BY102))</f>
        <v/>
      </c>
      <c r="BZ103" s="2000">
        <f>IF(BZ102&lt;0,"NMF",IF(ABS(BZ96/BZ102)&gt;1,"NMF",BZ96/BZ102))</f>
        <v/>
      </c>
      <c r="CA103" s="2000">
        <f>IF(CA102&lt;0,"NMF",IF(ABS(CA96/CA102)&gt;1,"NMF",CA96/CA102))</f>
        <v/>
      </c>
      <c r="CB103" s="2000">
        <f>IF(CB102&lt;0,"NMF",IF(ABS(CB96/CB102)&gt;1,"NMF",CB96/CB102))</f>
        <v/>
      </c>
      <c r="CC103" s="1997" t="n"/>
    </row>
    <row r="104" hidden="1" outlineLevel="1" ht="14.4" customHeight="1" s="876">
      <c r="A104" s="1968" t="inlineStr">
        <is>
          <t>EBIT</t>
        </is>
      </c>
      <c r="B104" s="1969" t="n"/>
      <c r="C104" s="1928">
        <f>INDEX(MO_RIS_EBIT,0,COLUMN())</f>
        <v/>
      </c>
      <c r="D104" s="1928">
        <f>INDEX(MO_RIS_EBIT,0,COLUMN())</f>
        <v/>
      </c>
      <c r="E104" s="1928">
        <f>INDEX(MO_RIS_EBIT,0,COLUMN())</f>
        <v/>
      </c>
      <c r="F104" s="1928">
        <f>INDEX(MO_RIS_EBIT,0,COLUMN())</f>
        <v/>
      </c>
      <c r="G104" s="1928">
        <f>INDEX(MO_RIS_EBIT,0,COLUMN())</f>
        <v/>
      </c>
      <c r="H104" s="1301">
        <f>INDEX(MO_RIS_EBIT,0,COLUMN())</f>
        <v/>
      </c>
      <c r="I104" s="1301">
        <f>INDEX(MO_RIS_EBIT,0,COLUMN())</f>
        <v/>
      </c>
      <c r="J104" s="1301">
        <f>INDEX(MO_RIS_EBIT,0,COLUMN())</f>
        <v/>
      </c>
      <c r="K104" s="1301">
        <f>INDEX(MO_RIS_EBIT,0,COLUMN())</f>
        <v/>
      </c>
      <c r="L104" s="1928">
        <f>INDEX(MO_RIS_EBIT,0,COLUMN())</f>
        <v/>
      </c>
      <c r="M104" s="1301">
        <f>INDEX(MO_RIS_EBIT,0,COLUMN())</f>
        <v/>
      </c>
      <c r="N104" s="1301">
        <f>INDEX(MO_RIS_EBIT,0,COLUMN())</f>
        <v/>
      </c>
      <c r="O104" s="1301">
        <f>INDEX(MO_RIS_EBIT,0,COLUMN())</f>
        <v/>
      </c>
      <c r="P104" s="1301">
        <f>INDEX(MO_RIS_EBIT,0,COLUMN())</f>
        <v/>
      </c>
      <c r="Q104" s="1928">
        <f>INDEX(MO_RIS_EBIT,0,COLUMN())</f>
        <v/>
      </c>
      <c r="R104" s="1301">
        <f>INDEX(MO_RIS_EBIT,0,COLUMN())</f>
        <v/>
      </c>
      <c r="S104" s="1301">
        <f>INDEX(MO_RIS_EBIT,0,COLUMN())</f>
        <v/>
      </c>
      <c r="T104" s="1301">
        <f>INDEX(MO_RIS_EBIT,0,COLUMN())</f>
        <v/>
      </c>
      <c r="U104" s="1301">
        <f>INDEX(MO_RIS_EBIT,0,COLUMN())</f>
        <v/>
      </c>
      <c r="V104" s="1928">
        <f>INDEX(MO_RIS_EBIT,0,COLUMN())</f>
        <v/>
      </c>
      <c r="W104" s="1301">
        <f>INDEX(MO_RIS_EBIT,0,COLUMN())</f>
        <v/>
      </c>
      <c r="X104" s="1301">
        <f>INDEX(MO_RIS_EBIT,0,COLUMN())</f>
        <v/>
      </c>
      <c r="Y104" s="1301">
        <f>INDEX(MO_RIS_EBIT,0,COLUMN())</f>
        <v/>
      </c>
      <c r="Z104" s="1301">
        <f>INDEX(MO_RIS_EBIT,0,COLUMN())</f>
        <v/>
      </c>
      <c r="AA104" s="1928">
        <f>INDEX(MO_RIS_EBIT,0,COLUMN())</f>
        <v/>
      </c>
      <c r="AB104" s="1301">
        <f>INDEX(MO_RIS_EBIT,0,COLUMN())</f>
        <v/>
      </c>
      <c r="AC104" s="1301">
        <f>INDEX(MO_RIS_EBIT,0,COLUMN())</f>
        <v/>
      </c>
      <c r="AD104" s="1301">
        <f>INDEX(MO_RIS_EBIT,0,COLUMN())</f>
        <v/>
      </c>
      <c r="AE104" s="1301">
        <f>INDEX(MO_RIS_EBIT,0,COLUMN())</f>
        <v/>
      </c>
      <c r="AF104" s="1928">
        <f>INDEX(MO_RIS_EBIT,0,COLUMN())</f>
        <v/>
      </c>
      <c r="AG104" s="1301">
        <f>INDEX(MO_RIS_EBIT,0,COLUMN())</f>
        <v/>
      </c>
      <c r="AH104" s="1301">
        <f>INDEX(MO_RIS_EBIT,0,COLUMN())</f>
        <v/>
      </c>
      <c r="AI104" s="1301">
        <f>INDEX(MO_RIS_EBIT,0,COLUMN())</f>
        <v/>
      </c>
      <c r="AJ104" s="1301">
        <f>INDEX(MO_RIS_EBIT,0,COLUMN())</f>
        <v/>
      </c>
      <c r="AK104" s="1928">
        <f>INDEX(MO_RIS_EBIT,0,COLUMN())</f>
        <v/>
      </c>
      <c r="AL104" s="1301">
        <f>INDEX(MO_RIS_EBIT,0,COLUMN())</f>
        <v/>
      </c>
      <c r="AM104" s="1301">
        <f>INDEX(MO_RIS_EBIT,0,COLUMN())</f>
        <v/>
      </c>
      <c r="AN104" s="1301">
        <f>INDEX(MO_RIS_EBIT,0,COLUMN())</f>
        <v/>
      </c>
      <c r="AO104" s="1301">
        <f>INDEX(MO_RIS_EBIT,0,COLUMN())</f>
        <v/>
      </c>
      <c r="AP104" s="1928">
        <f>INDEX(MO_RIS_EBIT,0,COLUMN())</f>
        <v/>
      </c>
      <c r="AQ104" s="1301">
        <f>INDEX(MO_RIS_EBIT,0,COLUMN())</f>
        <v/>
      </c>
      <c r="AR104" s="1301">
        <f>INDEX(MO_RIS_EBIT,0,COLUMN())</f>
        <v/>
      </c>
      <c r="AS104" s="1301">
        <f>INDEX(MO_RIS_EBIT,0,COLUMN())</f>
        <v/>
      </c>
      <c r="AT104" s="1301">
        <f>INDEX(MO_RIS_EBIT,0,COLUMN())</f>
        <v/>
      </c>
      <c r="AU104" s="1928">
        <f>INDEX(MO_RIS_EBIT,0,COLUMN())</f>
        <v/>
      </c>
      <c r="AV104" s="1301">
        <f>INDEX(MO_RIS_EBIT,0,COLUMN())</f>
        <v/>
      </c>
      <c r="AW104" s="1301">
        <f>INDEX(MO_RIS_EBIT,0,COLUMN())</f>
        <v/>
      </c>
      <c r="AX104" s="1301">
        <f>INDEX(MO_RIS_EBIT,0,COLUMN())</f>
        <v/>
      </c>
      <c r="AY104" s="1301">
        <f>INDEX(MO_RIS_EBIT,0,COLUMN())</f>
        <v/>
      </c>
      <c r="AZ104" s="1928">
        <f>INDEX(MO_RIS_EBIT,0,COLUMN())</f>
        <v/>
      </c>
      <c r="BA104" s="1301">
        <f>INDEX(MO_RIS_EBIT,0,COLUMN())</f>
        <v/>
      </c>
      <c r="BB104" s="1301">
        <f>INDEX(MO_RIS_EBIT,0,COLUMN())</f>
        <v/>
      </c>
      <c r="BC104" s="1301">
        <f>INDEX(MO_RIS_EBIT,0,COLUMN())</f>
        <v/>
      </c>
      <c r="BD104" s="1301">
        <f>INDEX(MO_RIS_EBIT,0,COLUMN())</f>
        <v/>
      </c>
      <c r="BE104" s="1928">
        <f>INDEX(MO_RIS_EBIT,0,COLUMN())</f>
        <v/>
      </c>
      <c r="BF104" s="1301">
        <f>INDEX(MO_RIS_EBIT,0,COLUMN())</f>
        <v/>
      </c>
      <c r="BG104" s="1301">
        <f>INDEX(MO_RIS_EBIT,0,COLUMN())</f>
        <v/>
      </c>
      <c r="BH104" s="1301">
        <f>INDEX(MO_RIS_EBIT,0,COLUMN())</f>
        <v/>
      </c>
      <c r="BI104" s="1301">
        <f>INDEX(MO_RIS_EBIT,0,COLUMN())</f>
        <v/>
      </c>
      <c r="BJ104" s="1928">
        <f>INDEX(MO_RIS_EBIT,0,COLUMN())</f>
        <v/>
      </c>
      <c r="BK104" s="1301">
        <f>INDEX(MO_RIS_EBIT,0,COLUMN())</f>
        <v/>
      </c>
      <c r="BL104" s="1301">
        <f>INDEX(MO_RIS_EBIT,0,COLUMN())</f>
        <v/>
      </c>
      <c r="BM104" s="1301">
        <f>INDEX(MO_RIS_EBIT,0,COLUMN())</f>
        <v/>
      </c>
      <c r="BN104" s="1301">
        <f>INDEX(MO_RIS_EBIT,0,COLUMN())</f>
        <v/>
      </c>
      <c r="BO104" s="1970">
        <f>INDEX(MO_RIS_EBIT,0,COLUMN())</f>
        <v/>
      </c>
      <c r="BP104" s="1301">
        <f>INDEX(MO_RIS_EBIT,0,COLUMN())</f>
        <v/>
      </c>
      <c r="BQ104" s="1301">
        <f>INDEX(MO_RIS_EBIT,0,COLUMN())</f>
        <v/>
      </c>
      <c r="BR104" s="1301">
        <f>INDEX(MO_RIS_EBIT,0,COLUMN())</f>
        <v/>
      </c>
      <c r="BS104" s="1301">
        <f>INDEX(MO_RIS_EBIT,0,COLUMN())</f>
        <v/>
      </c>
      <c r="BT104" s="1928">
        <f>INDEX(MO_RIS_EBIT,0,COLUMN())</f>
        <v/>
      </c>
      <c r="BU104" s="1301">
        <f>INDEX(MO_RIS_EBIT,0,COLUMN())</f>
        <v/>
      </c>
      <c r="BV104" s="1301">
        <f>INDEX(MO_RIS_EBIT,0,COLUMN())</f>
        <v/>
      </c>
      <c r="BW104" s="1301">
        <f>INDEX(MO_RIS_EBIT,0,COLUMN())</f>
        <v/>
      </c>
      <c r="BX104" s="1301">
        <f>INDEX(MO_RIS_EBIT,0,COLUMN())</f>
        <v/>
      </c>
      <c r="BY104" s="1928">
        <f>INDEX(MO_RIS_EBIT,0,COLUMN())</f>
        <v/>
      </c>
      <c r="BZ104" s="1928">
        <f>INDEX(MO_RIS_EBIT,0,COLUMN())</f>
        <v/>
      </c>
      <c r="CA104" s="1928">
        <f>INDEX(MO_RIS_EBIT,0,COLUMN())</f>
        <v/>
      </c>
      <c r="CB104" s="1928">
        <f>INDEX(MO_RIS_EBIT,0,COLUMN())</f>
        <v/>
      </c>
      <c r="CC104" s="1301" t="n"/>
    </row>
    <row r="105" hidden="1" outlineLevel="1" ht="14.4" customHeight="1" s="876">
      <c r="A105" s="1968" t="inlineStr">
        <is>
          <t>LTM EBIT</t>
        </is>
      </c>
      <c r="B105" s="1969" t="n"/>
      <c r="C105" s="1928">
        <f>C104</f>
        <v/>
      </c>
      <c r="D105" s="1928">
        <f>D104</f>
        <v/>
      </c>
      <c r="E105" s="1928">
        <f>E104</f>
        <v/>
      </c>
      <c r="F105" s="1928">
        <f>F104</f>
        <v/>
      </c>
      <c r="G105" s="1928">
        <f>G104</f>
        <v/>
      </c>
      <c r="H105" s="1301" t="n"/>
      <c r="I105" s="1301" t="n"/>
      <c r="J105" s="1301" t="n"/>
      <c r="K105" s="1301">
        <f>SUM(K104,J104,I104,H104)</f>
        <v/>
      </c>
      <c r="L105" s="1928">
        <f>L104</f>
        <v/>
      </c>
      <c r="M105" s="1301">
        <f>SUM(M104,K104,J104,I104)</f>
        <v/>
      </c>
      <c r="N105" s="1301">
        <f>SUM(N104,M104,K104,J104)</f>
        <v/>
      </c>
      <c r="O105" s="1301">
        <f>SUM(O104,N104,M104,K104)</f>
        <v/>
      </c>
      <c r="P105" s="1301">
        <f>SUM(P104,O104,N104,M104)</f>
        <v/>
      </c>
      <c r="Q105" s="1928">
        <f>Q104</f>
        <v/>
      </c>
      <c r="R105" s="1301">
        <f>SUM(R104,P104,O104,N104)</f>
        <v/>
      </c>
      <c r="S105" s="1301">
        <f>SUM(S104,R104,P104,O104)</f>
        <v/>
      </c>
      <c r="T105" s="1301">
        <f>SUM(T104,S104,R104,P104)</f>
        <v/>
      </c>
      <c r="U105" s="1301">
        <f>SUM(U104,T104,S104,R104)</f>
        <v/>
      </c>
      <c r="V105" s="1928">
        <f>V104</f>
        <v/>
      </c>
      <c r="W105" s="1301">
        <f>SUM(W104,U104,T104,S104)</f>
        <v/>
      </c>
      <c r="X105" s="1301">
        <f>SUM(X104,W104,U104,T104)</f>
        <v/>
      </c>
      <c r="Y105" s="1301">
        <f>SUM(Y104,X104,W104,U104)</f>
        <v/>
      </c>
      <c r="Z105" s="1301">
        <f>SUM(Z104,Y104,X104,W104)</f>
        <v/>
      </c>
      <c r="AA105" s="1928">
        <f>AA104</f>
        <v/>
      </c>
      <c r="AB105" s="1301">
        <f>SUM(AB104,Z104,Y104,X104)</f>
        <v/>
      </c>
      <c r="AC105" s="1301">
        <f>SUM(AC104,AB104,Z104,Y104)</f>
        <v/>
      </c>
      <c r="AD105" s="1301">
        <f>SUM(AD104,AC104,AB104,Z104)</f>
        <v/>
      </c>
      <c r="AE105" s="1301">
        <f>SUM(AE104,AD104,AC104,AB104)</f>
        <v/>
      </c>
      <c r="AF105" s="1928">
        <f>AF104</f>
        <v/>
      </c>
      <c r="AG105" s="1301">
        <f>SUM(AG104,AE104,AD104,AC104)</f>
        <v/>
      </c>
      <c r="AH105" s="1301">
        <f>SUM(AH104,AG104,AE104,AD104)</f>
        <v/>
      </c>
      <c r="AI105" s="1301">
        <f>SUM(AI104,AH104,AG104,AE104)</f>
        <v/>
      </c>
      <c r="AJ105" s="1301">
        <f>SUM(AJ104,AI104,AH104,AG104)</f>
        <v/>
      </c>
      <c r="AK105" s="1928">
        <f>AK104</f>
        <v/>
      </c>
      <c r="AL105" s="1301">
        <f>SUM(AL104,AJ104,AI104,AH104)</f>
        <v/>
      </c>
      <c r="AM105" s="1301">
        <f>SUM(AM104,AL104,AJ104,AI104)</f>
        <v/>
      </c>
      <c r="AN105" s="1301">
        <f>SUM(AN104,AM104,AL104,AJ104)</f>
        <v/>
      </c>
      <c r="AO105" s="1301">
        <f>SUM(AO104,AN104,AM104,AL104)</f>
        <v/>
      </c>
      <c r="AP105" s="1928">
        <f>AP104</f>
        <v/>
      </c>
      <c r="AQ105" s="1301">
        <f>SUM(AQ104,AO104,AN104,AM104)</f>
        <v/>
      </c>
      <c r="AR105" s="1301">
        <f>SUM(AR104,AQ104,AO104,AN104)</f>
        <v/>
      </c>
      <c r="AS105" s="1301">
        <f>SUM(AS104,AR104,AQ104,AO104)</f>
        <v/>
      </c>
      <c r="AT105" s="1301">
        <f>SUM(AT104,AS104,AR104,AQ104)</f>
        <v/>
      </c>
      <c r="AU105" s="1928">
        <f>AU104</f>
        <v/>
      </c>
      <c r="AV105" s="1301">
        <f>SUM(AV104,AT104,AS104,AR104)</f>
        <v/>
      </c>
      <c r="AW105" s="1301">
        <f>SUM(AW104,AV104,AT104,AS104)</f>
        <v/>
      </c>
      <c r="AX105" s="1301">
        <f>SUM(AX104,AW104,AV104,AT104)</f>
        <v/>
      </c>
      <c r="AY105" s="1301">
        <f>SUM(AY104,AX104,AW104,AV104)</f>
        <v/>
      </c>
      <c r="AZ105" s="1928">
        <f>AZ104</f>
        <v/>
      </c>
      <c r="BA105" s="1301">
        <f>SUM(BA104,AY104,AX104,AW104)</f>
        <v/>
      </c>
      <c r="BB105" s="1301">
        <f>SUM(BB104,BA104,AY104,AX104)</f>
        <v/>
      </c>
      <c r="BC105" s="1301">
        <f>SUM(BC104,BB104,BA104,AY104)</f>
        <v/>
      </c>
      <c r="BD105" s="1301">
        <f>SUM(BD104,BC104,BB104,BA104)</f>
        <v/>
      </c>
      <c r="BE105" s="1928">
        <f>BE104</f>
        <v/>
      </c>
      <c r="BF105" s="1301">
        <f>SUM(BF104,BD104,BC104,BB104)</f>
        <v/>
      </c>
      <c r="BG105" s="1301">
        <f>SUM(BG104,BF104,BD104,BC104)</f>
        <v/>
      </c>
      <c r="BH105" s="1301">
        <f>SUM(BH104,BG104,BF104,BD104)</f>
        <v/>
      </c>
      <c r="BI105" s="1301">
        <f>SUM(BI104,BH104,BG104,BF104)</f>
        <v/>
      </c>
      <c r="BJ105" s="1928">
        <f>BJ104</f>
        <v/>
      </c>
      <c r="BK105" s="1301">
        <f>SUM(BK104,BI104,BH104,BG104)</f>
        <v/>
      </c>
      <c r="BL105" s="1301">
        <f>SUM(BL104,BK104,BI104,BH104)</f>
        <v/>
      </c>
      <c r="BM105" s="1301">
        <f>SUM(BM104,BL104,BK104,BI104)</f>
        <v/>
      </c>
      <c r="BN105" s="1301">
        <f>SUM(BN104,BM104,BL104,BK104)</f>
        <v/>
      </c>
      <c r="BO105" s="1970">
        <f>BO104</f>
        <v/>
      </c>
      <c r="BP105" s="1301">
        <f>SUM(BP104,BN104,BM104,BL104)</f>
        <v/>
      </c>
      <c r="BQ105" s="1301">
        <f>SUM(BQ104,BP104,BN104,BM104)</f>
        <v/>
      </c>
      <c r="BR105" s="1301">
        <f>SUM(BR104,BQ104,BP104,BN104)</f>
        <v/>
      </c>
      <c r="BS105" s="1301">
        <f>SUM(BS104,BR104,BQ104,BP104)</f>
        <v/>
      </c>
      <c r="BT105" s="1928">
        <f>BT104</f>
        <v/>
      </c>
      <c r="BU105" s="1301">
        <f>SUM(BU104,BS104,BR104,BQ104)</f>
        <v/>
      </c>
      <c r="BV105" s="1301">
        <f>SUM(BV104,BU104,BS104,BR104)</f>
        <v/>
      </c>
      <c r="BW105" s="1301">
        <f>SUM(BW104,BV104,BU104,BS104)</f>
        <v/>
      </c>
      <c r="BX105" s="1301">
        <f>SUM(BX104,BW104,BV104,BU104)</f>
        <v/>
      </c>
      <c r="BY105" s="1928">
        <f>BY104</f>
        <v/>
      </c>
      <c r="BZ105" s="1928">
        <f>BZ104</f>
        <v/>
      </c>
      <c r="CA105" s="1928">
        <f>CA104</f>
        <v/>
      </c>
      <c r="CB105" s="1928">
        <f>CB104</f>
        <v/>
      </c>
      <c r="CC105" s="1301" t="n"/>
    </row>
    <row r="106" hidden="1" outlineLevel="1" ht="14.4" customHeight="1" s="876">
      <c r="A106" s="1968" t="inlineStr">
        <is>
          <t>Current Liabilities</t>
        </is>
      </c>
      <c r="B106" s="1969" t="n"/>
      <c r="C106" s="1928">
        <f>INDEX(MO_BS_CL,0,COLUMN())</f>
        <v/>
      </c>
      <c r="D106" s="1928">
        <f>INDEX(MO_BS_CL,0,COLUMN())</f>
        <v/>
      </c>
      <c r="E106" s="1928">
        <f>INDEX(MO_BS_CL,0,COLUMN())</f>
        <v/>
      </c>
      <c r="F106" s="1928">
        <f>INDEX(MO_BS_CL,0,COLUMN())</f>
        <v/>
      </c>
      <c r="G106" s="1928">
        <f>INDEX(MO_BS_CL,0,COLUMN())</f>
        <v/>
      </c>
      <c r="H106" s="1301">
        <f>INDEX(MO_BS_CL,0,COLUMN())</f>
        <v/>
      </c>
      <c r="I106" s="1301">
        <f>INDEX(MO_BS_CL,0,COLUMN())</f>
        <v/>
      </c>
      <c r="J106" s="1301">
        <f>INDEX(MO_BS_CL,0,COLUMN())</f>
        <v/>
      </c>
      <c r="K106" s="1301">
        <f>INDEX(MO_BS_CL,0,COLUMN())</f>
        <v/>
      </c>
      <c r="L106" s="1928">
        <f>INDEX(MO_BS_CL,0,COLUMN())</f>
        <v/>
      </c>
      <c r="M106" s="1301">
        <f>INDEX(MO_BS_CL,0,COLUMN())</f>
        <v/>
      </c>
      <c r="N106" s="1301">
        <f>INDEX(MO_BS_CL,0,COLUMN())</f>
        <v/>
      </c>
      <c r="O106" s="1301">
        <f>INDEX(MO_BS_CL,0,COLUMN())</f>
        <v/>
      </c>
      <c r="P106" s="1301">
        <f>INDEX(MO_BS_CL,0,COLUMN())</f>
        <v/>
      </c>
      <c r="Q106" s="1928">
        <f>INDEX(MO_BS_CL,0,COLUMN())</f>
        <v/>
      </c>
      <c r="R106" s="1301">
        <f>INDEX(MO_BS_CL,0,COLUMN())</f>
        <v/>
      </c>
      <c r="S106" s="1301">
        <f>INDEX(MO_BS_CL,0,COLUMN())</f>
        <v/>
      </c>
      <c r="T106" s="1301">
        <f>INDEX(MO_BS_CL,0,COLUMN())</f>
        <v/>
      </c>
      <c r="U106" s="1301">
        <f>INDEX(MO_BS_CL,0,COLUMN())</f>
        <v/>
      </c>
      <c r="V106" s="1928">
        <f>INDEX(MO_BS_CL,0,COLUMN())</f>
        <v/>
      </c>
      <c r="W106" s="1301">
        <f>INDEX(MO_BS_CL,0,COLUMN())</f>
        <v/>
      </c>
      <c r="X106" s="1301">
        <f>INDEX(MO_BS_CL,0,COLUMN())</f>
        <v/>
      </c>
      <c r="Y106" s="1301">
        <f>INDEX(MO_BS_CL,0,COLUMN())</f>
        <v/>
      </c>
      <c r="Z106" s="1301">
        <f>INDEX(MO_BS_CL,0,COLUMN())</f>
        <v/>
      </c>
      <c r="AA106" s="1928">
        <f>INDEX(MO_BS_CL,0,COLUMN())</f>
        <v/>
      </c>
      <c r="AB106" s="1301">
        <f>INDEX(MO_BS_CL,0,COLUMN())</f>
        <v/>
      </c>
      <c r="AC106" s="1301">
        <f>INDEX(MO_BS_CL,0,COLUMN())</f>
        <v/>
      </c>
      <c r="AD106" s="1301">
        <f>INDEX(MO_BS_CL,0,COLUMN())</f>
        <v/>
      </c>
      <c r="AE106" s="1301">
        <f>INDEX(MO_BS_CL,0,COLUMN())</f>
        <v/>
      </c>
      <c r="AF106" s="1928">
        <f>INDEX(MO_BS_CL,0,COLUMN())</f>
        <v/>
      </c>
      <c r="AG106" s="1301">
        <f>INDEX(MO_BS_CL,0,COLUMN())</f>
        <v/>
      </c>
      <c r="AH106" s="1301">
        <f>INDEX(MO_BS_CL,0,COLUMN())</f>
        <v/>
      </c>
      <c r="AI106" s="1301">
        <f>INDEX(MO_BS_CL,0,COLUMN())</f>
        <v/>
      </c>
      <c r="AJ106" s="1301">
        <f>INDEX(MO_BS_CL,0,COLUMN())</f>
        <v/>
      </c>
      <c r="AK106" s="1928">
        <f>INDEX(MO_BS_CL,0,COLUMN())</f>
        <v/>
      </c>
      <c r="AL106" s="1301">
        <f>INDEX(MO_BS_CL,0,COLUMN())</f>
        <v/>
      </c>
      <c r="AM106" s="1301">
        <f>INDEX(MO_BS_CL,0,COLUMN())</f>
        <v/>
      </c>
      <c r="AN106" s="1301">
        <f>INDEX(MO_BS_CL,0,COLUMN())</f>
        <v/>
      </c>
      <c r="AO106" s="1301">
        <f>INDEX(MO_BS_CL,0,COLUMN())</f>
        <v/>
      </c>
      <c r="AP106" s="1928">
        <f>INDEX(MO_BS_CL,0,COLUMN())</f>
        <v/>
      </c>
      <c r="AQ106" s="1301">
        <f>INDEX(MO_BS_CL,0,COLUMN())</f>
        <v/>
      </c>
      <c r="AR106" s="1301">
        <f>INDEX(MO_BS_CL,0,COLUMN())</f>
        <v/>
      </c>
      <c r="AS106" s="1301">
        <f>INDEX(MO_BS_CL,0,COLUMN())</f>
        <v/>
      </c>
      <c r="AT106" s="1301">
        <f>INDEX(MO_BS_CL,0,COLUMN())</f>
        <v/>
      </c>
      <c r="AU106" s="1928">
        <f>INDEX(MO_BS_CL,0,COLUMN())</f>
        <v/>
      </c>
      <c r="AV106" s="1301">
        <f>INDEX(MO_BS_CL,0,COLUMN())</f>
        <v/>
      </c>
      <c r="AW106" s="1301">
        <f>INDEX(MO_BS_CL,0,COLUMN())</f>
        <v/>
      </c>
      <c r="AX106" s="1301">
        <f>INDEX(MO_BS_CL,0,COLUMN())</f>
        <v/>
      </c>
      <c r="AY106" s="1301">
        <f>INDEX(MO_BS_CL,0,COLUMN())</f>
        <v/>
      </c>
      <c r="AZ106" s="1928">
        <f>INDEX(MO_BS_CL,0,COLUMN())</f>
        <v/>
      </c>
      <c r="BA106" s="1301">
        <f>INDEX(MO_BS_CL,0,COLUMN())</f>
        <v/>
      </c>
      <c r="BB106" s="1301">
        <f>INDEX(MO_BS_CL,0,COLUMN())</f>
        <v/>
      </c>
      <c r="BC106" s="1301">
        <f>INDEX(MO_BS_CL,0,COLUMN())</f>
        <v/>
      </c>
      <c r="BD106" s="1301">
        <f>INDEX(MO_BS_CL,0,COLUMN())</f>
        <v/>
      </c>
      <c r="BE106" s="1928">
        <f>INDEX(MO_BS_CL,0,COLUMN())</f>
        <v/>
      </c>
      <c r="BF106" s="1301">
        <f>INDEX(MO_BS_CL,0,COLUMN())</f>
        <v/>
      </c>
      <c r="BG106" s="1301">
        <f>INDEX(MO_BS_CL,0,COLUMN())</f>
        <v/>
      </c>
      <c r="BH106" s="1301">
        <f>INDEX(MO_BS_CL,0,COLUMN())</f>
        <v/>
      </c>
      <c r="BI106" s="1301">
        <f>INDEX(MO_BS_CL,0,COLUMN())</f>
        <v/>
      </c>
      <c r="BJ106" s="1928">
        <f>INDEX(MO_BS_CL,0,COLUMN())</f>
        <v/>
      </c>
      <c r="BK106" s="1301">
        <f>INDEX(MO_BS_CL,0,COLUMN())</f>
        <v/>
      </c>
      <c r="BL106" s="1301">
        <f>INDEX(MO_BS_CL,0,COLUMN())</f>
        <v/>
      </c>
      <c r="BM106" s="1301">
        <f>INDEX(MO_BS_CL,0,COLUMN())</f>
        <v/>
      </c>
      <c r="BN106" s="1301">
        <f>INDEX(MO_BS_CL,0,COLUMN())</f>
        <v/>
      </c>
      <c r="BO106" s="1970">
        <f>INDEX(MO_BS_CL,0,COLUMN())</f>
        <v/>
      </c>
      <c r="BP106" s="1301">
        <f>INDEX(MO_BS_CL,0,COLUMN())</f>
        <v/>
      </c>
      <c r="BQ106" s="1301">
        <f>INDEX(MO_BS_CL,0,COLUMN())</f>
        <v/>
      </c>
      <c r="BR106" s="1301">
        <f>INDEX(MO_BS_CL,0,COLUMN())</f>
        <v/>
      </c>
      <c r="BS106" s="1301">
        <f>INDEX(MO_BS_CL,0,COLUMN())</f>
        <v/>
      </c>
      <c r="BT106" s="1928">
        <f>INDEX(MO_BS_CL,0,COLUMN())</f>
        <v/>
      </c>
      <c r="BU106" s="1301">
        <f>INDEX(MO_BS_CL,0,COLUMN())</f>
        <v/>
      </c>
      <c r="BV106" s="1301">
        <f>INDEX(MO_BS_CL,0,COLUMN())</f>
        <v/>
      </c>
      <c r="BW106" s="1301">
        <f>INDEX(MO_BS_CL,0,COLUMN())</f>
        <v/>
      </c>
      <c r="BX106" s="1301">
        <f>INDEX(MO_BS_CL,0,COLUMN())</f>
        <v/>
      </c>
      <c r="BY106" s="1928">
        <f>INDEX(MO_BS_CL,0,COLUMN())</f>
        <v/>
      </c>
      <c r="BZ106" s="1928">
        <f>INDEX(MO_BS_CL,0,COLUMN())</f>
        <v/>
      </c>
      <c r="CA106" s="1928">
        <f>INDEX(MO_BS_CL,0,COLUMN())</f>
        <v/>
      </c>
      <c r="CB106" s="1928">
        <f>INDEX(MO_BS_CL,0,COLUMN())</f>
        <v/>
      </c>
      <c r="CC106" s="1301" t="n"/>
    </row>
    <row r="107" hidden="1" outlineLevel="1" ht="14.4" customHeight="1" s="876">
      <c r="A107" s="1968" t="inlineStr">
        <is>
          <t>Average Current Liabilities</t>
        </is>
      </c>
      <c r="B107" s="1969" t="n"/>
      <c r="C107" s="1928">
        <f>C106</f>
        <v/>
      </c>
      <c r="D107" s="1928">
        <f>AVERAGE(D106,C106)</f>
        <v/>
      </c>
      <c r="E107" s="1928">
        <f>AVERAGE(E106,D106)</f>
        <v/>
      </c>
      <c r="F107" s="1928">
        <f>AVERAGE(F106,E106)</f>
        <v/>
      </c>
      <c r="G107" s="1928">
        <f>AVERAGE(G106,F106)</f>
        <v/>
      </c>
      <c r="H107" s="1301" t="n"/>
      <c r="I107" s="1301" t="n"/>
      <c r="J107" s="1301" t="n"/>
      <c r="K107" s="1301">
        <f>AVERAGE(K106,J106,I106,H106)</f>
        <v/>
      </c>
      <c r="L107" s="1928">
        <f>AVERAGE(L106,G106)</f>
        <v/>
      </c>
      <c r="M107" s="1301">
        <f>AVERAGE(M106,K106,J106,I106)</f>
        <v/>
      </c>
      <c r="N107" s="1301">
        <f>AVERAGE(N106,M106,K106,J106)</f>
        <v/>
      </c>
      <c r="O107" s="1301">
        <f>AVERAGE(O106,N106,M106,K106)</f>
        <v/>
      </c>
      <c r="P107" s="1301">
        <f>AVERAGE(P106,O106,N106,M106)</f>
        <v/>
      </c>
      <c r="Q107" s="1928">
        <f>AVERAGE(Q106,L106)</f>
        <v/>
      </c>
      <c r="R107" s="1301">
        <f>AVERAGE(R106,P106,O106,N106)</f>
        <v/>
      </c>
      <c r="S107" s="1301">
        <f>AVERAGE(S106,R106,P106,O106)</f>
        <v/>
      </c>
      <c r="T107" s="1301">
        <f>AVERAGE(T106,S106,R106,P106)</f>
        <v/>
      </c>
      <c r="U107" s="1301">
        <f>AVERAGE(U106,T106,S106,R106)</f>
        <v/>
      </c>
      <c r="V107" s="1928">
        <f>AVERAGE(V106,Q106)</f>
        <v/>
      </c>
      <c r="W107" s="1301">
        <f>AVERAGE(W106,U106,T106,S106)</f>
        <v/>
      </c>
      <c r="X107" s="1301">
        <f>AVERAGE(X106,W106,U106,T106)</f>
        <v/>
      </c>
      <c r="Y107" s="1301">
        <f>AVERAGE(Y106,X106,W106,U106)</f>
        <v/>
      </c>
      <c r="Z107" s="1301">
        <f>AVERAGE(Z106,Y106,X106,W106)</f>
        <v/>
      </c>
      <c r="AA107" s="1928">
        <f>AVERAGE(AA106,V106)</f>
        <v/>
      </c>
      <c r="AB107" s="1301">
        <f>AVERAGE(AB106,Z106,Y106,X106)</f>
        <v/>
      </c>
      <c r="AC107" s="1301">
        <f>AVERAGE(AC106,AB106,Z106,Y106)</f>
        <v/>
      </c>
      <c r="AD107" s="1301">
        <f>AVERAGE(AD106,AC106,AB106,Z106)</f>
        <v/>
      </c>
      <c r="AE107" s="1301">
        <f>AVERAGE(AE106,AD106,AC106,AB106)</f>
        <v/>
      </c>
      <c r="AF107" s="1928">
        <f>AVERAGE(AF106,AA106)</f>
        <v/>
      </c>
      <c r="AG107" s="1301">
        <f>AVERAGE(AG106,AE106,AD106,AC106)</f>
        <v/>
      </c>
      <c r="AH107" s="1301">
        <f>AVERAGE(AH106,AG106,AE106,AD106)</f>
        <v/>
      </c>
      <c r="AI107" s="1301">
        <f>AVERAGE(AI106,AH106,AG106,AE106)</f>
        <v/>
      </c>
      <c r="AJ107" s="1301">
        <f>AVERAGE(AJ106,AI106,AH106,AG106)</f>
        <v/>
      </c>
      <c r="AK107" s="1928">
        <f>AVERAGE(AK106,AF106)</f>
        <v/>
      </c>
      <c r="AL107" s="1301">
        <f>AVERAGE(AL106,AJ106,AI106,AH106)</f>
        <v/>
      </c>
      <c r="AM107" s="1301">
        <f>AVERAGE(AM106,AL106,AJ106,AI106)</f>
        <v/>
      </c>
      <c r="AN107" s="1301">
        <f>AVERAGE(AN106,AM106,AL106,AJ106)</f>
        <v/>
      </c>
      <c r="AO107" s="1301">
        <f>AVERAGE(AO106,AN106,AM106,AL106)</f>
        <v/>
      </c>
      <c r="AP107" s="1928">
        <f>AVERAGE(AP106,AK106)</f>
        <v/>
      </c>
      <c r="AQ107" s="1301">
        <f>AVERAGE(AQ106,AO106,AN106,AM106)</f>
        <v/>
      </c>
      <c r="AR107" s="1301">
        <f>AVERAGE(AR106,AQ106,AO106,AN106)</f>
        <v/>
      </c>
      <c r="AS107" s="1301">
        <f>AVERAGE(AS106,AR106,AQ106,AO106)</f>
        <v/>
      </c>
      <c r="AT107" s="1301">
        <f>AVERAGE(AT106,AS106,AR106,AQ106)</f>
        <v/>
      </c>
      <c r="AU107" s="1928">
        <f>AVERAGE(AU106,AP106)</f>
        <v/>
      </c>
      <c r="AV107" s="1301">
        <f>AVERAGE(AV106,AT106,AS106,AR106)</f>
        <v/>
      </c>
      <c r="AW107" s="1301">
        <f>AVERAGE(AW106,AV106,AT106,AS106)</f>
        <v/>
      </c>
      <c r="AX107" s="1301">
        <f>AVERAGE(AX106,AW106,AV106,AT106)</f>
        <v/>
      </c>
      <c r="AY107" s="1301">
        <f>AVERAGE(AY106,AX106,AW106,AV106)</f>
        <v/>
      </c>
      <c r="AZ107" s="1928">
        <f>AVERAGE(AZ106,AU106)</f>
        <v/>
      </c>
      <c r="BA107" s="1301">
        <f>AVERAGE(BA106,AY106,AX106,AW106)</f>
        <v/>
      </c>
      <c r="BB107" s="1301">
        <f>AVERAGE(BB106,BA106,AY106,AX106)</f>
        <v/>
      </c>
      <c r="BC107" s="1301">
        <f>AVERAGE(BC106,BB106,BA106,AY106)</f>
        <v/>
      </c>
      <c r="BD107" s="1301">
        <f>AVERAGE(BD106,BC106,BB106,BA106)</f>
        <v/>
      </c>
      <c r="BE107" s="1928">
        <f>AVERAGE(BE106,AZ106)</f>
        <v/>
      </c>
      <c r="BF107" s="1301">
        <f>AVERAGE(BF106,BD106,BC106,BB106)</f>
        <v/>
      </c>
      <c r="BG107" s="1301">
        <f>AVERAGE(BG106,BF106,BD106,BC106)</f>
        <v/>
      </c>
      <c r="BH107" s="1301">
        <f>AVERAGE(BH106,BG106,BF106,BD106)</f>
        <v/>
      </c>
      <c r="BI107" s="1301">
        <f>AVERAGE(BI106,BH106,BG106,BF106)</f>
        <v/>
      </c>
      <c r="BJ107" s="1928">
        <f>AVERAGE(BJ106,BE106)</f>
        <v/>
      </c>
      <c r="BK107" s="1301">
        <f>AVERAGE(BK106,BI106,BH106,BG106)</f>
        <v/>
      </c>
      <c r="BL107" s="1301">
        <f>AVERAGE(BL106,BK106,BI106,BH106)</f>
        <v/>
      </c>
      <c r="BM107" s="1301">
        <f>AVERAGE(BM106,BL106,BK106,BI106)</f>
        <v/>
      </c>
      <c r="BN107" s="1301">
        <f>AVERAGE(BN106,BM106,BL106,BK106)</f>
        <v/>
      </c>
      <c r="BO107" s="1970">
        <f>AVERAGE(BO106,BJ106)</f>
        <v/>
      </c>
      <c r="BP107" s="1301">
        <f>AVERAGE(BP106,BN106,BM106,BL106)</f>
        <v/>
      </c>
      <c r="BQ107" s="1301">
        <f>AVERAGE(BQ106,BP106,BN106,BM106)</f>
        <v/>
      </c>
      <c r="BR107" s="1301">
        <f>AVERAGE(BR106,BQ106,BP106,BN106)</f>
        <v/>
      </c>
      <c r="BS107" s="1301">
        <f>AVERAGE(BS106,BR106,BQ106,BP106)</f>
        <v/>
      </c>
      <c r="BT107" s="1928">
        <f>AVERAGE(BT106,BO106)</f>
        <v/>
      </c>
      <c r="BU107" s="1301">
        <f>AVERAGE(BU106,BS106,BR106,BQ106)</f>
        <v/>
      </c>
      <c r="BV107" s="1301">
        <f>AVERAGE(BV106,BU106,BS106,BR106)</f>
        <v/>
      </c>
      <c r="BW107" s="1301">
        <f>AVERAGE(BW106,BV106,BU106,BS106)</f>
        <v/>
      </c>
      <c r="BX107" s="1301">
        <f>AVERAGE(BX106,BW106,BV106,BU106)</f>
        <v/>
      </c>
      <c r="BY107" s="1928">
        <f>AVERAGE(BY106,BT106)</f>
        <v/>
      </c>
      <c r="BZ107" s="1928">
        <f>AVERAGE(BZ106,BY106)</f>
        <v/>
      </c>
      <c r="CA107" s="1928">
        <f>AVERAGE(CA106,BZ106)</f>
        <v/>
      </c>
      <c r="CB107" s="1928">
        <f>AVERAGE(CB106,CA106)</f>
        <v/>
      </c>
      <c r="CC107" s="1301" t="n"/>
    </row>
    <row r="108" hidden="1" outlineLevel="1" ht="14.4" customHeight="1" s="876">
      <c r="A108" s="1968" t="inlineStr">
        <is>
          <t>Average Capital Employed</t>
        </is>
      </c>
      <c r="B108" s="1969" t="n"/>
      <c r="C108" s="1928">
        <f>INDEX(SP_BSR_TA_Avg,0,COLUMN())-INDEX(SP_BSR_CL_Avg,0,COLUMN())</f>
        <v/>
      </c>
      <c r="D108" s="1928">
        <f>INDEX(SP_BSR_TA_Avg,0,COLUMN())-INDEX(SP_BSR_CL_Avg,0,COLUMN())</f>
        <v/>
      </c>
      <c r="E108" s="1928">
        <f>INDEX(SP_BSR_TA_Avg,0,COLUMN())-INDEX(SP_BSR_CL_Avg,0,COLUMN())</f>
        <v/>
      </c>
      <c r="F108" s="1928">
        <f>INDEX(SP_BSR_TA_Avg,0,COLUMN())-INDEX(SP_BSR_CL_Avg,0,COLUMN())</f>
        <v/>
      </c>
      <c r="G108" s="1928">
        <f>INDEX(SP_BSR_TA_Avg,0,COLUMN())-INDEX(SP_BSR_CL_Avg,0,COLUMN())</f>
        <v/>
      </c>
      <c r="H108" s="1301">
        <f>INDEX(SP_BSR_TA_Avg,0,COLUMN())-INDEX(SP_BSR_CL_Avg,0,COLUMN())</f>
        <v/>
      </c>
      <c r="I108" s="1301">
        <f>INDEX(SP_BSR_TA_Avg,0,COLUMN())-INDEX(SP_BSR_CL_Avg,0,COLUMN())</f>
        <v/>
      </c>
      <c r="J108" s="1301">
        <f>INDEX(SP_BSR_TA_Avg,0,COLUMN())-INDEX(SP_BSR_CL_Avg,0,COLUMN())</f>
        <v/>
      </c>
      <c r="K108" s="1301">
        <f>INDEX(SP_BSR_TA_Avg,0,COLUMN())-INDEX(SP_BSR_CL_Avg,0,COLUMN())</f>
        <v/>
      </c>
      <c r="L108" s="1928">
        <f>INDEX(SP_BSR_TA_Avg,0,COLUMN())-INDEX(SP_BSR_CL_Avg,0,COLUMN())</f>
        <v/>
      </c>
      <c r="M108" s="1301">
        <f>INDEX(SP_BSR_TA_Avg,0,COLUMN())-INDEX(SP_BSR_CL_Avg,0,COLUMN())</f>
        <v/>
      </c>
      <c r="N108" s="1301">
        <f>INDEX(SP_BSR_TA_Avg,0,COLUMN())-INDEX(SP_BSR_CL_Avg,0,COLUMN())</f>
        <v/>
      </c>
      <c r="O108" s="1301">
        <f>INDEX(SP_BSR_TA_Avg,0,COLUMN())-INDEX(SP_BSR_CL_Avg,0,COLUMN())</f>
        <v/>
      </c>
      <c r="P108" s="1301">
        <f>INDEX(SP_BSR_TA_Avg,0,COLUMN())-INDEX(SP_BSR_CL_Avg,0,COLUMN())</f>
        <v/>
      </c>
      <c r="Q108" s="1928">
        <f>INDEX(SP_BSR_TA_Avg,0,COLUMN())-INDEX(SP_BSR_CL_Avg,0,COLUMN())</f>
        <v/>
      </c>
      <c r="R108" s="1301">
        <f>INDEX(SP_BSR_TA_Avg,0,COLUMN())-INDEX(SP_BSR_CL_Avg,0,COLUMN())</f>
        <v/>
      </c>
      <c r="S108" s="1301">
        <f>INDEX(SP_BSR_TA_Avg,0,COLUMN())-INDEX(SP_BSR_CL_Avg,0,COLUMN())</f>
        <v/>
      </c>
      <c r="T108" s="1301">
        <f>INDEX(SP_BSR_TA_Avg,0,COLUMN())-INDEX(SP_BSR_CL_Avg,0,COLUMN())</f>
        <v/>
      </c>
      <c r="U108" s="1301">
        <f>INDEX(SP_BSR_TA_Avg,0,COLUMN())-INDEX(SP_BSR_CL_Avg,0,COLUMN())</f>
        <v/>
      </c>
      <c r="V108" s="1928">
        <f>INDEX(SP_BSR_TA_Avg,0,COLUMN())-INDEX(SP_BSR_CL_Avg,0,COLUMN())</f>
        <v/>
      </c>
      <c r="W108" s="1301">
        <f>INDEX(SP_BSR_TA_Avg,0,COLUMN())-INDEX(SP_BSR_CL_Avg,0,COLUMN())</f>
        <v/>
      </c>
      <c r="X108" s="1301">
        <f>INDEX(SP_BSR_TA_Avg,0,COLUMN())-INDEX(SP_BSR_CL_Avg,0,COLUMN())</f>
        <v/>
      </c>
      <c r="Y108" s="1301">
        <f>INDEX(SP_BSR_TA_Avg,0,COLUMN())-INDEX(SP_BSR_CL_Avg,0,COLUMN())</f>
        <v/>
      </c>
      <c r="Z108" s="1301">
        <f>INDEX(SP_BSR_TA_Avg,0,COLUMN())-INDEX(SP_BSR_CL_Avg,0,COLUMN())</f>
        <v/>
      </c>
      <c r="AA108" s="1928">
        <f>INDEX(SP_BSR_TA_Avg,0,COLUMN())-INDEX(SP_BSR_CL_Avg,0,COLUMN())</f>
        <v/>
      </c>
      <c r="AB108" s="1301">
        <f>INDEX(SP_BSR_TA_Avg,0,COLUMN())-INDEX(SP_BSR_CL_Avg,0,COLUMN())</f>
        <v/>
      </c>
      <c r="AC108" s="1301">
        <f>INDEX(SP_BSR_TA_Avg,0,COLUMN())-INDEX(SP_BSR_CL_Avg,0,COLUMN())</f>
        <v/>
      </c>
      <c r="AD108" s="1301">
        <f>INDEX(SP_BSR_TA_Avg,0,COLUMN())-INDEX(SP_BSR_CL_Avg,0,COLUMN())</f>
        <v/>
      </c>
      <c r="AE108" s="1301">
        <f>INDEX(SP_BSR_TA_Avg,0,COLUMN())-INDEX(SP_BSR_CL_Avg,0,COLUMN())</f>
        <v/>
      </c>
      <c r="AF108" s="1928">
        <f>INDEX(SP_BSR_TA_Avg,0,COLUMN())-INDEX(SP_BSR_CL_Avg,0,COLUMN())</f>
        <v/>
      </c>
      <c r="AG108" s="1301">
        <f>INDEX(SP_BSR_TA_Avg,0,COLUMN())-INDEX(SP_BSR_CL_Avg,0,COLUMN())</f>
        <v/>
      </c>
      <c r="AH108" s="1301">
        <f>INDEX(SP_BSR_TA_Avg,0,COLUMN())-INDEX(SP_BSR_CL_Avg,0,COLUMN())</f>
        <v/>
      </c>
      <c r="AI108" s="1301">
        <f>INDEX(SP_BSR_TA_Avg,0,COLUMN())-INDEX(SP_BSR_CL_Avg,0,COLUMN())</f>
        <v/>
      </c>
      <c r="AJ108" s="1301">
        <f>INDEX(SP_BSR_TA_Avg,0,COLUMN())-INDEX(SP_BSR_CL_Avg,0,COLUMN())</f>
        <v/>
      </c>
      <c r="AK108" s="1928">
        <f>INDEX(SP_BSR_TA_Avg,0,COLUMN())-INDEX(SP_BSR_CL_Avg,0,COLUMN())</f>
        <v/>
      </c>
      <c r="AL108" s="1301">
        <f>INDEX(SP_BSR_TA_Avg,0,COLUMN())-INDEX(SP_BSR_CL_Avg,0,COLUMN())</f>
        <v/>
      </c>
      <c r="AM108" s="1301">
        <f>INDEX(SP_BSR_TA_Avg,0,COLUMN())-INDEX(SP_BSR_CL_Avg,0,COLUMN())</f>
        <v/>
      </c>
      <c r="AN108" s="1301">
        <f>INDEX(SP_BSR_TA_Avg,0,COLUMN())-INDEX(SP_BSR_CL_Avg,0,COLUMN())</f>
        <v/>
      </c>
      <c r="AO108" s="1301">
        <f>INDEX(SP_BSR_TA_Avg,0,COLUMN())-INDEX(SP_BSR_CL_Avg,0,COLUMN())</f>
        <v/>
      </c>
      <c r="AP108" s="1928">
        <f>INDEX(SP_BSR_TA_Avg,0,COLUMN())-INDEX(SP_BSR_CL_Avg,0,COLUMN())</f>
        <v/>
      </c>
      <c r="AQ108" s="1301">
        <f>INDEX(SP_BSR_TA_Avg,0,COLUMN())-INDEX(SP_BSR_CL_Avg,0,COLUMN())</f>
        <v/>
      </c>
      <c r="AR108" s="1301">
        <f>INDEX(SP_BSR_TA_Avg,0,COLUMN())-INDEX(SP_BSR_CL_Avg,0,COLUMN())</f>
        <v/>
      </c>
      <c r="AS108" s="1301">
        <f>INDEX(SP_BSR_TA_Avg,0,COLUMN())-INDEX(SP_BSR_CL_Avg,0,COLUMN())</f>
        <v/>
      </c>
      <c r="AT108" s="1301">
        <f>INDEX(SP_BSR_TA_Avg,0,COLUMN())-INDEX(SP_BSR_CL_Avg,0,COLUMN())</f>
        <v/>
      </c>
      <c r="AU108" s="1928">
        <f>INDEX(SP_BSR_TA_Avg,0,COLUMN())-INDEX(SP_BSR_CL_Avg,0,COLUMN())</f>
        <v/>
      </c>
      <c r="AV108" s="1301">
        <f>INDEX(SP_BSR_TA_Avg,0,COLUMN())-INDEX(SP_BSR_CL_Avg,0,COLUMN())</f>
        <v/>
      </c>
      <c r="AW108" s="1301">
        <f>INDEX(SP_BSR_TA_Avg,0,COLUMN())-INDEX(SP_BSR_CL_Avg,0,COLUMN())</f>
        <v/>
      </c>
      <c r="AX108" s="1301">
        <f>INDEX(SP_BSR_TA_Avg,0,COLUMN())-INDEX(SP_BSR_CL_Avg,0,COLUMN())</f>
        <v/>
      </c>
      <c r="AY108" s="1301">
        <f>INDEX(SP_BSR_TA_Avg,0,COLUMN())-INDEX(SP_BSR_CL_Avg,0,COLUMN())</f>
        <v/>
      </c>
      <c r="AZ108" s="1928">
        <f>INDEX(SP_BSR_TA_Avg,0,COLUMN())-INDEX(SP_BSR_CL_Avg,0,COLUMN())</f>
        <v/>
      </c>
      <c r="BA108" s="1301">
        <f>INDEX(SP_BSR_TA_Avg,0,COLUMN())-INDEX(SP_BSR_CL_Avg,0,COLUMN())</f>
        <v/>
      </c>
      <c r="BB108" s="1301">
        <f>INDEX(SP_BSR_TA_Avg,0,COLUMN())-INDEX(SP_BSR_CL_Avg,0,COLUMN())</f>
        <v/>
      </c>
      <c r="BC108" s="1301">
        <f>INDEX(SP_BSR_TA_Avg,0,COLUMN())-INDEX(SP_BSR_CL_Avg,0,COLUMN())</f>
        <v/>
      </c>
      <c r="BD108" s="1301">
        <f>INDEX(SP_BSR_TA_Avg,0,COLUMN())-INDEX(SP_BSR_CL_Avg,0,COLUMN())</f>
        <v/>
      </c>
      <c r="BE108" s="1928">
        <f>INDEX(SP_BSR_TA_Avg,0,COLUMN())-INDEX(SP_BSR_CL_Avg,0,COLUMN())</f>
        <v/>
      </c>
      <c r="BF108" s="1301">
        <f>INDEX(SP_BSR_TA_Avg,0,COLUMN())-INDEX(SP_BSR_CL_Avg,0,COLUMN())</f>
        <v/>
      </c>
      <c r="BG108" s="1301">
        <f>INDEX(SP_BSR_TA_Avg,0,COLUMN())-INDEX(SP_BSR_CL_Avg,0,COLUMN())</f>
        <v/>
      </c>
      <c r="BH108" s="1301">
        <f>INDEX(SP_BSR_TA_Avg,0,COLUMN())-INDEX(SP_BSR_CL_Avg,0,COLUMN())</f>
        <v/>
      </c>
      <c r="BI108" s="1301">
        <f>INDEX(SP_BSR_TA_Avg,0,COLUMN())-INDEX(SP_BSR_CL_Avg,0,COLUMN())</f>
        <v/>
      </c>
      <c r="BJ108" s="1928">
        <f>INDEX(SP_BSR_TA_Avg,0,COLUMN())-INDEX(SP_BSR_CL_Avg,0,COLUMN())</f>
        <v/>
      </c>
      <c r="BK108" s="1301">
        <f>INDEX(SP_BSR_TA_Avg,0,COLUMN())-INDEX(SP_BSR_CL_Avg,0,COLUMN())</f>
        <v/>
      </c>
      <c r="BL108" s="1301">
        <f>INDEX(SP_BSR_TA_Avg,0,COLUMN())-INDEX(SP_BSR_CL_Avg,0,COLUMN())</f>
        <v/>
      </c>
      <c r="BM108" s="1301">
        <f>INDEX(SP_BSR_TA_Avg,0,COLUMN())-INDEX(SP_BSR_CL_Avg,0,COLUMN())</f>
        <v/>
      </c>
      <c r="BN108" s="1301">
        <f>INDEX(SP_BSR_TA_Avg,0,COLUMN())-INDEX(SP_BSR_CL_Avg,0,COLUMN())</f>
        <v/>
      </c>
      <c r="BO108" s="1970">
        <f>INDEX(SP_BSR_TA_Avg,0,COLUMN())-INDEX(SP_BSR_CL_Avg,0,COLUMN())</f>
        <v/>
      </c>
      <c r="BP108" s="1301">
        <f>INDEX(SP_BSR_TA_Avg,0,COLUMN())-INDEX(SP_BSR_CL_Avg,0,COLUMN())</f>
        <v/>
      </c>
      <c r="BQ108" s="1301">
        <f>INDEX(SP_BSR_TA_Avg,0,COLUMN())-INDEX(SP_BSR_CL_Avg,0,COLUMN())</f>
        <v/>
      </c>
      <c r="BR108" s="1301">
        <f>INDEX(SP_BSR_TA_Avg,0,COLUMN())-INDEX(SP_BSR_CL_Avg,0,COLUMN())</f>
        <v/>
      </c>
      <c r="BS108" s="1301">
        <f>INDEX(SP_BSR_TA_Avg,0,COLUMN())-INDEX(SP_BSR_CL_Avg,0,COLUMN())</f>
        <v/>
      </c>
      <c r="BT108" s="1928">
        <f>INDEX(SP_BSR_TA_Avg,0,COLUMN())-INDEX(SP_BSR_CL_Avg,0,COLUMN())</f>
        <v/>
      </c>
      <c r="BU108" s="1301">
        <f>INDEX(SP_BSR_TA_Avg,0,COLUMN())-INDEX(SP_BSR_CL_Avg,0,COLUMN())</f>
        <v/>
      </c>
      <c r="BV108" s="1301">
        <f>INDEX(SP_BSR_TA_Avg,0,COLUMN())-INDEX(SP_BSR_CL_Avg,0,COLUMN())</f>
        <v/>
      </c>
      <c r="BW108" s="1301">
        <f>INDEX(SP_BSR_TA_Avg,0,COLUMN())-INDEX(SP_BSR_CL_Avg,0,COLUMN())</f>
        <v/>
      </c>
      <c r="BX108" s="1301">
        <f>INDEX(SP_BSR_TA_Avg,0,COLUMN())-INDEX(SP_BSR_CL_Avg,0,COLUMN())</f>
        <v/>
      </c>
      <c r="BY108" s="1928">
        <f>INDEX(SP_BSR_TA_Avg,0,COLUMN())-INDEX(SP_BSR_CL_Avg,0,COLUMN())</f>
        <v/>
      </c>
      <c r="BZ108" s="1928">
        <f>INDEX(SP_BSR_TA_Avg,0,COLUMN())-INDEX(SP_BSR_CL_Avg,0,COLUMN())</f>
        <v/>
      </c>
      <c r="CA108" s="1928">
        <f>INDEX(SP_BSR_TA_Avg,0,COLUMN())-INDEX(SP_BSR_CL_Avg,0,COLUMN())</f>
        <v/>
      </c>
      <c r="CB108" s="1928">
        <f>INDEX(SP_BSR_TA_Avg,0,COLUMN())-INDEX(SP_BSR_CL_Avg,0,COLUMN())</f>
        <v/>
      </c>
      <c r="CC108" s="1301" t="n"/>
    </row>
    <row r="109" collapsed="1" ht="14.4" customFormat="1" customHeight="1" s="1991">
      <c r="A109" s="1998" t="inlineStr">
        <is>
          <t>ROCE</t>
        </is>
      </c>
      <c r="B109" s="1999" t="n"/>
      <c r="C109" s="2000">
        <f>IF(C108&lt;0,"NMF",IF(ABS(C105/C108)&gt;1,"NMF",C105/C108))</f>
        <v/>
      </c>
      <c r="D109" s="2000">
        <f>IF(D108&lt;0,"NMF",IF(ABS(D105/D108)&gt;1,"NMF",D105/D108))</f>
        <v/>
      </c>
      <c r="E109" s="2000">
        <f>IF(E108&lt;0,"NMF",IF(ABS(E105/E108)&gt;1,"NMF",E105/E108))</f>
        <v/>
      </c>
      <c r="F109" s="2000">
        <f>IF(F108&lt;0,"NMF",IF(ABS(F105/F108)&gt;1,"NMF",F105/F108))</f>
        <v/>
      </c>
      <c r="G109" s="2000">
        <f>IF(G108&lt;0,"NMF",IF(ABS(G105/G108)&gt;1,"NMF",G105/G108))</f>
        <v/>
      </c>
      <c r="H109" s="2001" t="n"/>
      <c r="I109" s="2001" t="n"/>
      <c r="J109" s="2001" t="n"/>
      <c r="K109" s="2001">
        <f>IF(K108&lt;0,"NMF",IF(ABS(K105/K108)&gt;1,"NMF",K105/K108))</f>
        <v/>
      </c>
      <c r="L109" s="2000">
        <f>IF(L108&lt;0,"NMF",IF(ABS(L105/L108)&gt;1,"NMF",L105/L108))</f>
        <v/>
      </c>
      <c r="M109" s="2001">
        <f>IF(M108&lt;0,"NMF",IF(ABS(M105/M108)&gt;1,"NMF",M105/M108))</f>
        <v/>
      </c>
      <c r="N109" s="2001">
        <f>IF(N108&lt;0,"NMF",IF(ABS(N105/N108)&gt;1,"NMF",N105/N108))</f>
        <v/>
      </c>
      <c r="O109" s="2001">
        <f>IF(O108&lt;0,"NMF",IF(ABS(O105/O108)&gt;1,"NMF",O105/O108))</f>
        <v/>
      </c>
      <c r="P109" s="2001">
        <f>IF(P108&lt;0,"NMF",IF(ABS(P105/P108)&gt;1,"NMF",P105/P108))</f>
        <v/>
      </c>
      <c r="Q109" s="2000">
        <f>IF(Q108&lt;0,"NMF",IF(ABS(Q105/Q108)&gt;1,"NMF",Q105/Q108))</f>
        <v/>
      </c>
      <c r="R109" s="2001">
        <f>IF(R108&lt;0,"NMF",IF(ABS(R105/R108)&gt;1,"NMF",R105/R108))</f>
        <v/>
      </c>
      <c r="S109" s="2001">
        <f>IF(S108&lt;0,"NMF",IF(ABS(S105/S108)&gt;1,"NMF",S105/S108))</f>
        <v/>
      </c>
      <c r="T109" s="2001">
        <f>IF(T108&lt;0,"NMF",IF(ABS(T105/T108)&gt;1,"NMF",T105/T108))</f>
        <v/>
      </c>
      <c r="U109" s="2001">
        <f>IF(U108&lt;0,"NMF",IF(ABS(U105/U108)&gt;1,"NMF",U105/U108))</f>
        <v/>
      </c>
      <c r="V109" s="2000">
        <f>IF(V108&lt;0,"NMF",IF(ABS(V105/V108)&gt;1,"NMF",V105/V108))</f>
        <v/>
      </c>
      <c r="W109" s="2001">
        <f>IF(W108&lt;0,"NMF",IF(ABS(W105/W108)&gt;1,"NMF",W105/W108))</f>
        <v/>
      </c>
      <c r="X109" s="2001">
        <f>IF(X108&lt;0,"NMF",IF(ABS(X105/X108)&gt;1,"NMF",X105/X108))</f>
        <v/>
      </c>
      <c r="Y109" s="2001">
        <f>IF(Y108&lt;0,"NMF",IF(ABS(Y105/Y108)&gt;1,"NMF",Y105/Y108))</f>
        <v/>
      </c>
      <c r="Z109" s="2001">
        <f>IF(Z108&lt;0,"NMF",IF(ABS(Z105/Z108)&gt;1,"NMF",Z105/Z108))</f>
        <v/>
      </c>
      <c r="AA109" s="2000">
        <f>IF(AA108&lt;0,"NMF",IF(ABS(AA105/AA108)&gt;1,"NMF",AA105/AA108))</f>
        <v/>
      </c>
      <c r="AB109" s="2001">
        <f>IF(AB108&lt;0,"NMF",IF(ABS(AB105/AB108)&gt;1,"NMF",AB105/AB108))</f>
        <v/>
      </c>
      <c r="AC109" s="2001">
        <f>IF(AC108&lt;0,"NMF",IF(ABS(AC105/AC108)&gt;1,"NMF",AC105/AC108))</f>
        <v/>
      </c>
      <c r="AD109" s="2001">
        <f>IF(AD108&lt;0,"NMF",IF(ABS(AD105/AD108)&gt;1,"NMF",AD105/AD108))</f>
        <v/>
      </c>
      <c r="AE109" s="2001">
        <f>IF(AE108&lt;0,"NMF",IF(ABS(AE105/AE108)&gt;1,"NMF",AE105/AE108))</f>
        <v/>
      </c>
      <c r="AF109" s="2000">
        <f>IF(AF108&lt;0,"NMF",IF(ABS(AF105/AF108)&gt;1,"NMF",AF105/AF108))</f>
        <v/>
      </c>
      <c r="AG109" s="2001">
        <f>IF(AG108&lt;0,"NMF",IF(ABS(AG105/AG108)&gt;1,"NMF",AG105/AG108))</f>
        <v/>
      </c>
      <c r="AH109" s="2001">
        <f>IF(AH108&lt;0,"NMF",IF(ABS(AH105/AH108)&gt;1,"NMF",AH105/AH108))</f>
        <v/>
      </c>
      <c r="AI109" s="2001">
        <f>IF(AI108&lt;0,"NMF",IF(ABS(AI105/AI108)&gt;1,"NMF",AI105/AI108))</f>
        <v/>
      </c>
      <c r="AJ109" s="2001">
        <f>IF(AJ108&lt;0,"NMF",IF(ABS(AJ105/AJ108)&gt;1,"NMF",AJ105/AJ108))</f>
        <v/>
      </c>
      <c r="AK109" s="2000">
        <f>IF(AK108&lt;0,"NMF",IF(ABS(AK105/AK108)&gt;1,"NMF",AK105/AK108))</f>
        <v/>
      </c>
      <c r="AL109" s="2001">
        <f>IF(AL108&lt;0,"NMF",IF(ABS(AL105/AL108)&gt;1,"NMF",AL105/AL108))</f>
        <v/>
      </c>
      <c r="AM109" s="2001">
        <f>IF(AM108&lt;0,"NMF",IF(ABS(AM105/AM108)&gt;1,"NMF",AM105/AM108))</f>
        <v/>
      </c>
      <c r="AN109" s="2001">
        <f>IF(AN108&lt;0,"NMF",IF(ABS(AN105/AN108)&gt;1,"NMF",AN105/AN108))</f>
        <v/>
      </c>
      <c r="AO109" s="2001">
        <f>IF(AO108&lt;0,"NMF",IF(ABS(AO105/AO108)&gt;1,"NMF",AO105/AO108))</f>
        <v/>
      </c>
      <c r="AP109" s="2000">
        <f>IF(AP108&lt;0,"NMF",IF(ABS(AP105/AP108)&gt;1,"NMF",AP105/AP108))</f>
        <v/>
      </c>
      <c r="AQ109" s="2001">
        <f>IF(AQ108&lt;0,"NMF",IF(ABS(AQ105/AQ108)&gt;1,"NMF",AQ105/AQ108))</f>
        <v/>
      </c>
      <c r="AR109" s="2001">
        <f>IF(AR108&lt;0,"NMF",IF(ABS(AR105/AR108)&gt;1,"NMF",AR105/AR108))</f>
        <v/>
      </c>
      <c r="AS109" s="2001">
        <f>IF(AS108&lt;0,"NMF",IF(ABS(AS105/AS108)&gt;1,"NMF",AS105/AS108))</f>
        <v/>
      </c>
      <c r="AT109" s="2001">
        <f>IF(AT108&lt;0,"NMF",IF(ABS(AT105/AT108)&gt;1,"NMF",AT105/AT108))</f>
        <v/>
      </c>
      <c r="AU109" s="2000">
        <f>IF(AU108&lt;0,"NMF",IF(ABS(AU105/AU108)&gt;1,"NMF",AU105/AU108))</f>
        <v/>
      </c>
      <c r="AV109" s="2001">
        <f>IF(AV108&lt;0,"NMF",IF(ABS(AV105/AV108)&gt;1,"NMF",AV105/AV108))</f>
        <v/>
      </c>
      <c r="AW109" s="2001">
        <f>IF(AW108&lt;0,"NMF",IF(ABS(AW105/AW108)&gt;1,"NMF",AW105/AW108))</f>
        <v/>
      </c>
      <c r="AX109" s="2001">
        <f>IF(AX108&lt;0,"NMF",IF(ABS(AX105/AX108)&gt;1,"NMF",AX105/AX108))</f>
        <v/>
      </c>
      <c r="AY109" s="2001">
        <f>IF(AY108&lt;0,"NMF",IF(ABS(AY105/AY108)&gt;1,"NMF",AY105/AY108))</f>
        <v/>
      </c>
      <c r="AZ109" s="2000">
        <f>IF(AZ108&lt;0,"NMF",IF(ABS(AZ105/AZ108)&gt;1,"NMF",AZ105/AZ108))</f>
        <v/>
      </c>
      <c r="BA109" s="2001">
        <f>IF(BA108&lt;0,"NMF",IF(ABS(BA105/BA108)&gt;1,"NMF",BA105/BA108))</f>
        <v/>
      </c>
      <c r="BB109" s="2001">
        <f>IF(BB108&lt;0,"NMF",IF(ABS(BB105/BB108)&gt;1,"NMF",BB105/BB108))</f>
        <v/>
      </c>
      <c r="BC109" s="2001">
        <f>IF(BC108&lt;0,"NMF",IF(ABS(BC105/BC108)&gt;1,"NMF",BC105/BC108))</f>
        <v/>
      </c>
      <c r="BD109" s="2001">
        <f>IF(BD108&lt;0,"NMF",IF(ABS(BD105/BD108)&gt;1,"NMF",BD105/BD108))</f>
        <v/>
      </c>
      <c r="BE109" s="2000">
        <f>IF(BE108&lt;0,"NMF",IF(ABS(BE105/BE108)&gt;1,"NMF",BE105/BE108))</f>
        <v/>
      </c>
      <c r="BF109" s="2001">
        <f>IF(BF108&lt;0,"NMF",IF(ABS(BF105/BF108)&gt;1,"NMF",BF105/BF108))</f>
        <v/>
      </c>
      <c r="BG109" s="2001">
        <f>IF(BG108&lt;0,"NMF",IF(ABS(BG105/BG108)&gt;1,"NMF",BG105/BG108))</f>
        <v/>
      </c>
      <c r="BH109" s="2001">
        <f>IF(BH108&lt;0,"NMF",IF(ABS(BH105/BH108)&gt;1,"NMF",BH105/BH108))</f>
        <v/>
      </c>
      <c r="BI109" s="2001">
        <f>IF(BI108&lt;0,"NMF",IF(ABS(BI105/BI108)&gt;1,"NMF",BI105/BI108))</f>
        <v/>
      </c>
      <c r="BJ109" s="2000">
        <f>IF(BJ108&lt;0,"NMF",IF(ABS(BJ105/BJ108)&gt;1,"NMF",BJ105/BJ108))</f>
        <v/>
      </c>
      <c r="BK109" s="2001">
        <f>IF(BK108&lt;0,"NMF",IF(ABS(BK105/BK108)&gt;1,"NMF",BK105/BK108))</f>
        <v/>
      </c>
      <c r="BL109" s="2001">
        <f>IF(BL108&lt;0,"NMF",IF(ABS(BL105/BL108)&gt;1,"NMF",BL105/BL108))</f>
        <v/>
      </c>
      <c r="BM109" s="2001">
        <f>IF(BM108&lt;0,"NMF",IF(ABS(BM105/BM108)&gt;1,"NMF",BM105/BM108))</f>
        <v/>
      </c>
      <c r="BN109" s="2001">
        <f>IF(BN108&lt;0,"NMF",IF(ABS(BN105/BN108)&gt;1,"NMF",BN105/BN108))</f>
        <v/>
      </c>
      <c r="BO109" s="2002">
        <f>IF(BO108&lt;0,"NMF",IF(ABS(BO105/BO108)&gt;1,"NMF",BO105/BO108))</f>
        <v/>
      </c>
      <c r="BP109" s="2001">
        <f>IF(BP108&lt;0,"NMF",IF(ABS(BP105/BP108)&gt;1,"NMF",BP105/BP108))</f>
        <v/>
      </c>
      <c r="BQ109" s="2001">
        <f>IF(BQ108&lt;0,"NMF",IF(ABS(BQ105/BQ108)&gt;1,"NMF",BQ105/BQ108))</f>
        <v/>
      </c>
      <c r="BR109" s="2001">
        <f>IF(BR108&lt;0,"NMF",IF(ABS(BR105/BR108)&gt;1,"NMF",BR105/BR108))</f>
        <v/>
      </c>
      <c r="BS109" s="2001">
        <f>IF(BS108&lt;0,"NMF",IF(ABS(BS105/BS108)&gt;1,"NMF",BS105/BS108))</f>
        <v/>
      </c>
      <c r="BT109" s="2000">
        <f>IF(BT108&lt;0,"NMF",IF(ABS(BT105/BT108)&gt;1,"NMF",BT105/BT108))</f>
        <v/>
      </c>
      <c r="BU109" s="2001">
        <f>IF(BU108&lt;0,"NMF",IF(ABS(BU105/BU108)&gt;1,"NMF",BU105/BU108))</f>
        <v/>
      </c>
      <c r="BV109" s="2001">
        <f>IF(BV108&lt;0,"NMF",IF(ABS(BV105/BV108)&gt;1,"NMF",BV105/BV108))</f>
        <v/>
      </c>
      <c r="BW109" s="2001">
        <f>IF(BW108&lt;0,"NMF",IF(ABS(BW105/BW108)&gt;1,"NMF",BW105/BW108))</f>
        <v/>
      </c>
      <c r="BX109" s="2001">
        <f>IF(BX108&lt;0,"NMF",IF(ABS(BX105/BX108)&gt;1,"NMF",BX105/BX108))</f>
        <v/>
      </c>
      <c r="BY109" s="2000">
        <f>IF(BY108&lt;0,"NMF",IF(ABS(BY105/BY108)&gt;1,"NMF",BY105/BY108))</f>
        <v/>
      </c>
      <c r="BZ109" s="2000">
        <f>IF(BZ108&lt;0,"NMF",IF(ABS(BZ105/BZ108)&gt;1,"NMF",BZ105/BZ108))</f>
        <v/>
      </c>
      <c r="CA109" s="2000">
        <f>IF(CA108&lt;0,"NMF",IF(ABS(CA105/CA108)&gt;1,"NMF",CA105/CA108))</f>
        <v/>
      </c>
      <c r="CB109" s="2000">
        <f>IF(CB108&lt;0,"NMF",IF(ABS(CB105/CB108)&gt;1,"NMF",CB105/CB108))</f>
        <v/>
      </c>
      <c r="CC109" s="1997" t="n"/>
    </row>
    <row r="110" ht="14.4" customHeight="1" s="876">
      <c r="A110" s="1949" t="n"/>
      <c r="B110" s="1975" t="n"/>
      <c r="C110" s="1976" t="n"/>
      <c r="D110" s="1976" t="n"/>
      <c r="E110" s="1976" t="n"/>
      <c r="F110" s="1976" t="n"/>
      <c r="G110" s="1976" t="n"/>
      <c r="H110" s="1977" t="n"/>
      <c r="I110" s="1977" t="n"/>
      <c r="J110" s="1977" t="n"/>
      <c r="K110" s="1977" t="n"/>
      <c r="L110" s="1976" t="n"/>
      <c r="M110" s="1977" t="n"/>
      <c r="N110" s="1977" t="n"/>
      <c r="O110" s="1977" t="n"/>
      <c r="P110" s="1977" t="n"/>
      <c r="Q110" s="1976" t="n"/>
      <c r="R110" s="1977" t="n"/>
      <c r="S110" s="1977" t="n"/>
      <c r="T110" s="1977" t="n"/>
      <c r="U110" s="1977" t="n"/>
      <c r="V110" s="1976" t="n"/>
      <c r="W110" s="1977" t="n"/>
      <c r="X110" s="1977" t="n"/>
      <c r="Y110" s="1977" t="n"/>
      <c r="Z110" s="1977" t="n"/>
      <c r="AA110" s="1976" t="n"/>
      <c r="AB110" s="1977" t="n"/>
      <c r="AC110" s="1977" t="n"/>
      <c r="AD110" s="1977" t="n"/>
      <c r="AE110" s="1977" t="n"/>
      <c r="AF110" s="1976" t="n"/>
      <c r="AG110" s="1977" t="n"/>
      <c r="AH110" s="1977" t="n"/>
      <c r="AI110" s="1977" t="n"/>
      <c r="AJ110" s="1977" t="n"/>
      <c r="AK110" s="1976" t="n"/>
      <c r="AL110" s="1977" t="n"/>
      <c r="AM110" s="1977" t="n"/>
      <c r="AN110" s="1977" t="n"/>
      <c r="AO110" s="1977" t="n"/>
      <c r="AP110" s="1976" t="n"/>
      <c r="AQ110" s="1977" t="n"/>
      <c r="AR110" s="1977" t="n"/>
      <c r="AS110" s="1977" t="n"/>
      <c r="AT110" s="1977" t="n"/>
      <c r="AU110" s="1976" t="n"/>
      <c r="AV110" s="1977" t="n"/>
      <c r="AW110" s="1977" t="n"/>
      <c r="AX110" s="1977" t="n"/>
      <c r="AY110" s="1977" t="n"/>
      <c r="AZ110" s="1976" t="n"/>
      <c r="BA110" s="1977" t="n"/>
      <c r="BB110" s="1977" t="n"/>
      <c r="BC110" s="1977" t="n"/>
      <c r="BD110" s="1977" t="n"/>
      <c r="BE110" s="1976" t="n"/>
      <c r="BF110" s="1977" t="n"/>
      <c r="BG110" s="1977" t="n"/>
      <c r="BH110" s="1977" t="n"/>
      <c r="BI110" s="1977" t="n"/>
      <c r="BJ110" s="1976" t="n"/>
      <c r="BK110" s="1977" t="n"/>
      <c r="BL110" s="1977" t="n"/>
      <c r="BM110" s="1977" t="n"/>
      <c r="BN110" s="1977" t="n"/>
      <c r="BO110" s="1978" t="n"/>
      <c r="BP110" s="1977" t="n"/>
      <c r="BQ110" s="1977" t="n"/>
      <c r="BR110" s="1977" t="n"/>
      <c r="BS110" s="1977" t="n"/>
      <c r="BT110" s="1976" t="n"/>
      <c r="BU110" s="1977" t="n"/>
      <c r="BV110" s="1977" t="n"/>
      <c r="BW110" s="1977" t="n"/>
      <c r="BX110" s="1977" t="n"/>
      <c r="BY110" s="1976" t="n"/>
      <c r="BZ110" s="1976" t="n"/>
      <c r="CA110" s="1976" t="n"/>
      <c r="CB110" s="1976" t="n"/>
      <c r="CC110" s="1977" t="n"/>
    </row>
    <row r="111" ht="14.4" customHeight="1" s="876">
      <c r="A111" s="1945" t="inlineStr">
        <is>
          <t>Per-Share Growth Metrics</t>
        </is>
      </c>
      <c r="B111" s="1979" t="n"/>
      <c r="C111" s="1979" t="n"/>
      <c r="D111" s="1979" t="n"/>
      <c r="E111" s="1979" t="n"/>
      <c r="F111" s="1979" t="n"/>
      <c r="G111" s="1979" t="n"/>
      <c r="H111" s="1979" t="n"/>
      <c r="I111" s="1979" t="n"/>
      <c r="J111" s="1979" t="n"/>
      <c r="K111" s="1979" t="n"/>
      <c r="L111" s="1979" t="n"/>
      <c r="M111" s="1979" t="n"/>
      <c r="N111" s="1979" t="n"/>
      <c r="O111" s="1979" t="n"/>
      <c r="P111" s="1979" t="n"/>
      <c r="Q111" s="1979" t="n"/>
      <c r="R111" s="1979" t="n"/>
      <c r="S111" s="1979" t="n"/>
      <c r="T111" s="1979" t="n"/>
      <c r="U111" s="1979" t="n"/>
      <c r="V111" s="1979" t="n"/>
      <c r="W111" s="1979" t="n"/>
      <c r="X111" s="1979" t="n"/>
      <c r="Y111" s="1979" t="n"/>
      <c r="Z111" s="1979" t="n"/>
      <c r="AA111" s="1979" t="n"/>
      <c r="AB111" s="1979" t="n"/>
      <c r="AC111" s="1979" t="n"/>
      <c r="AD111" s="1979" t="n"/>
      <c r="AE111" s="1979" t="n"/>
      <c r="AF111" s="1979" t="n"/>
      <c r="AG111" s="1979" t="n"/>
      <c r="AH111" s="1979" t="n"/>
      <c r="AI111" s="1979" t="n"/>
      <c r="AJ111" s="1979" t="n"/>
      <c r="AK111" s="1979" t="n"/>
      <c r="AL111" s="1979" t="n"/>
      <c r="AM111" s="1979" t="n"/>
      <c r="AN111" s="1979" t="n"/>
      <c r="AO111" s="1979" t="n"/>
      <c r="AP111" s="1979" t="n"/>
      <c r="AQ111" s="1979" t="n"/>
      <c r="AR111" s="1979" t="n"/>
      <c r="AS111" s="1979" t="n"/>
      <c r="AT111" s="1979" t="n"/>
      <c r="AU111" s="1979" t="n"/>
      <c r="AV111" s="1979" t="n"/>
      <c r="AW111" s="1979" t="n"/>
      <c r="AX111" s="1979" t="n"/>
      <c r="AY111" s="1979" t="n"/>
      <c r="AZ111" s="1979" t="n"/>
      <c r="BA111" s="1979" t="n"/>
      <c r="BB111" s="1979" t="n"/>
      <c r="BC111" s="1979" t="n"/>
      <c r="BD111" s="1979" t="n"/>
      <c r="BE111" s="1979" t="n"/>
      <c r="BF111" s="1979" t="n"/>
      <c r="BG111" s="1979" t="n"/>
      <c r="BH111" s="1979" t="n"/>
      <c r="BI111" s="1979" t="n"/>
      <c r="BJ111" s="1979" t="n"/>
      <c r="BK111" s="1979" t="n"/>
      <c r="BL111" s="1979" t="n"/>
      <c r="BM111" s="1979" t="n"/>
      <c r="BN111" s="1979" t="n"/>
      <c r="BO111" s="1980" t="n"/>
      <c r="BP111" s="1979" t="n"/>
      <c r="BQ111" s="1979" t="n"/>
      <c r="BR111" s="1979" t="n"/>
      <c r="BS111" s="1979" t="n"/>
      <c r="BT111" s="1979" t="n"/>
      <c r="BU111" s="1979" t="n"/>
      <c r="BV111" s="1979" t="n"/>
      <c r="BW111" s="1979" t="n"/>
      <c r="BX111" s="1979" t="n"/>
      <c r="BY111" s="1979" t="n"/>
      <c r="BZ111" s="1979" t="n"/>
      <c r="CA111" s="1979" t="n"/>
      <c r="CB111" s="1979" t="n"/>
      <c r="CC111" s="1301" t="n"/>
    </row>
    <row r="112" ht="14.4" customFormat="1" customHeight="1" s="1925">
      <c r="A112" s="2051" t="inlineStr">
        <is>
          <t>Revenue Per Share Growth</t>
        </is>
      </c>
      <c r="B112" s="1982" t="n"/>
      <c r="C112" s="1983" t="n"/>
      <c r="D112" s="1983">
        <f>IF(OR(INDEX(SP_GF_Rev,0,COLUMN())&lt;=0,C23&lt;=0),"NMF",IF(ABS((INDEX(SP_GF_Rev,0,COLUMN())/INDEX(SP_GF_ShareCount,0,COLUMN()))/(C23/C41)-1)&gt;10,"NMF",(INDEX(SP_GF_Rev,0,COLUMN())/INDEX(SP_GF_ShareCount,0,COLUMN()))/(C23/C41)-1))</f>
        <v/>
      </c>
      <c r="E112" s="1983">
        <f>IF(OR(INDEX(SP_GF_Rev,0,COLUMN())&lt;=0,D23&lt;=0),"NMF",IF(ABS((INDEX(SP_GF_Rev,0,COLUMN())/INDEX(SP_GF_ShareCount,0,COLUMN()))/(D23/D41)-1)&gt;10,"NMF",(INDEX(SP_GF_Rev,0,COLUMN())/INDEX(SP_GF_ShareCount,0,COLUMN()))/(D23/D41)-1))</f>
        <v/>
      </c>
      <c r="F112" s="1983">
        <f>IF(OR(INDEX(SP_GF_Rev,0,COLUMN())&lt;=0,E23&lt;=0),"NMF",IF(ABS((INDEX(SP_GF_Rev,0,COLUMN())/INDEX(SP_GF_ShareCount,0,COLUMN()))/(E23/E41)-1)&gt;10,"NMF",(INDEX(SP_GF_Rev,0,COLUMN())/INDEX(SP_GF_ShareCount,0,COLUMN()))/(E23/E41)-1))</f>
        <v/>
      </c>
      <c r="G112" s="1983">
        <f>IF(OR(INDEX(SP_GF_Rev,0,COLUMN())&lt;=0,F23&lt;=0),"NMF",IF(ABS((INDEX(SP_GF_Rev,0,COLUMN())/INDEX(SP_GF_ShareCount,0,COLUMN()))/(F23/F41)-1)&gt;10,"NMF",(INDEX(SP_GF_Rev,0,COLUMN())/INDEX(SP_GF_ShareCount,0,COLUMN()))/(F23/F41)-1))</f>
        <v/>
      </c>
      <c r="H112" s="1984" t="n"/>
      <c r="I112" s="1984" t="n"/>
      <c r="J112" s="1984" t="n"/>
      <c r="K112" s="1984" t="n"/>
      <c r="L112" s="1983">
        <f>IF(OR(INDEX(SP_GF_Rev,0,COLUMN())&lt;=0,G23&lt;=0),"NMF",IF(ABS((INDEX(SP_GF_Rev,0,COLUMN())/INDEX(SP_GF_ShareCount,0,COLUMN()))/(G23/G41)-1)&gt;10,"NMF",(INDEX(SP_GF_Rev,0,COLUMN())/INDEX(SP_GF_ShareCount,0,COLUMN()))/(G23/G41)-1))</f>
        <v/>
      </c>
      <c r="M112" s="1984">
        <f>IF(OR(INDEX(SP_GF_Rev,0,COLUMN())&lt;=0,H23&lt;=0),"NMF",IF(ABS((INDEX(SP_GF_Rev,0,COLUMN())/INDEX(SP_GF_ShareCount,0,COLUMN()))/(H23/H41)-1)&gt;10,"NMF",(INDEX(SP_GF_Rev,0,COLUMN())/INDEX(SP_GF_ShareCount,0,COLUMN()))/(H23/H41)-1))</f>
        <v/>
      </c>
      <c r="N112" s="1984">
        <f>IF(OR(INDEX(SP_GF_Rev,0,COLUMN())&lt;=0,I23&lt;=0),"NMF",IF(ABS((INDEX(SP_GF_Rev,0,COLUMN())/INDEX(SP_GF_ShareCount,0,COLUMN()))/(I23/I41)-1)&gt;10,"NMF",(INDEX(SP_GF_Rev,0,COLUMN())/INDEX(SP_GF_ShareCount,0,COLUMN()))/(I23/I41)-1))</f>
        <v/>
      </c>
      <c r="O112" s="1984">
        <f>IF(OR(INDEX(SP_GF_Rev,0,COLUMN())&lt;=0,J23&lt;=0),"NMF",IF(ABS((INDEX(SP_GF_Rev,0,COLUMN())/INDEX(SP_GF_ShareCount,0,COLUMN()))/(J23/J41)-1)&gt;10,"NMF",(INDEX(SP_GF_Rev,0,COLUMN())/INDEX(SP_GF_ShareCount,0,COLUMN()))/(J23/J41)-1))</f>
        <v/>
      </c>
      <c r="P112" s="1984">
        <f>IF(OR(INDEX(SP_GF_Rev,0,COLUMN())&lt;=0,K23&lt;=0),"NMF",IF(ABS((INDEX(SP_GF_Rev,0,COLUMN())/INDEX(SP_GF_ShareCount,0,COLUMN()))/(K23/K41)-1)&gt;10,"NMF",(INDEX(SP_GF_Rev,0,COLUMN())/INDEX(SP_GF_ShareCount,0,COLUMN()))/(K23/K41)-1))</f>
        <v/>
      </c>
      <c r="Q112" s="1983">
        <f>IF(OR(INDEX(SP_GF_Rev,0,COLUMN())&lt;=0,L23&lt;=0),"NMF",IF(ABS((INDEX(SP_GF_Rev,0,COLUMN())/INDEX(SP_GF_ShareCount,0,COLUMN()))/(L23/L41)-1)&gt;10,"NMF",(INDEX(SP_GF_Rev,0,COLUMN())/INDEX(SP_GF_ShareCount,0,COLUMN()))/(L23/L41)-1))</f>
        <v/>
      </c>
      <c r="R112" s="1984">
        <f>IF(OR(INDEX(SP_GF_Rev,0,COLUMN())&lt;=0,M23&lt;=0),"NMF",IF(ABS((INDEX(SP_GF_Rev,0,COLUMN())/INDEX(SP_GF_ShareCount,0,COLUMN()))/(M23/M41)-1)&gt;10,"NMF",(INDEX(SP_GF_Rev,0,COLUMN())/INDEX(SP_GF_ShareCount,0,COLUMN()))/(M23/M41)-1))</f>
        <v/>
      </c>
      <c r="S112" s="1984">
        <f>IF(OR(INDEX(SP_GF_Rev,0,COLUMN())&lt;=0,N23&lt;=0),"NMF",IF(ABS((INDEX(SP_GF_Rev,0,COLUMN())/INDEX(SP_GF_ShareCount,0,COLUMN()))/(N23/N41)-1)&gt;10,"NMF",(INDEX(SP_GF_Rev,0,COLUMN())/INDEX(SP_GF_ShareCount,0,COLUMN()))/(N23/N41)-1))</f>
        <v/>
      </c>
      <c r="T112" s="1984">
        <f>IF(OR(INDEX(SP_GF_Rev,0,COLUMN())&lt;=0,O23&lt;=0),"NMF",IF(ABS((INDEX(SP_GF_Rev,0,COLUMN())/INDEX(SP_GF_ShareCount,0,COLUMN()))/(O23/O41)-1)&gt;10,"NMF",(INDEX(SP_GF_Rev,0,COLUMN())/INDEX(SP_GF_ShareCount,0,COLUMN()))/(O23/O41)-1))</f>
        <v/>
      </c>
      <c r="U112" s="1984">
        <f>IF(OR(INDEX(SP_GF_Rev,0,COLUMN())&lt;=0,P23&lt;=0),"NMF",IF(ABS((INDEX(SP_GF_Rev,0,COLUMN())/INDEX(SP_GF_ShareCount,0,COLUMN()))/(P23/P41)-1)&gt;10,"NMF",(INDEX(SP_GF_Rev,0,COLUMN())/INDEX(SP_GF_ShareCount,0,COLUMN()))/(P23/P41)-1))</f>
        <v/>
      </c>
      <c r="V112" s="1983">
        <f>IF(OR(INDEX(SP_GF_Rev,0,COLUMN())&lt;=0,Q23&lt;=0),"NMF",IF(ABS((INDEX(SP_GF_Rev,0,COLUMN())/INDEX(SP_GF_ShareCount,0,COLUMN()))/(Q23/Q41)-1)&gt;10,"NMF",(INDEX(SP_GF_Rev,0,COLUMN())/INDEX(SP_GF_ShareCount,0,COLUMN()))/(Q23/Q41)-1))</f>
        <v/>
      </c>
      <c r="W112" s="1984">
        <f>IF(OR(INDEX(SP_GF_Rev,0,COLUMN())&lt;=0,R23&lt;=0),"NMF",IF(ABS((INDEX(SP_GF_Rev,0,COLUMN())/INDEX(SP_GF_ShareCount,0,COLUMN()))/(R23/R41)-1)&gt;10,"NMF",(INDEX(SP_GF_Rev,0,COLUMN())/INDEX(SP_GF_ShareCount,0,COLUMN()))/(R23/R41)-1))</f>
        <v/>
      </c>
      <c r="X112" s="1984">
        <f>IF(OR(INDEX(SP_GF_Rev,0,COLUMN())&lt;=0,S23&lt;=0),"NMF",IF(ABS((INDEX(SP_GF_Rev,0,COLUMN())/INDEX(SP_GF_ShareCount,0,COLUMN()))/(S23/S41)-1)&gt;10,"NMF",(INDEX(SP_GF_Rev,0,COLUMN())/INDEX(SP_GF_ShareCount,0,COLUMN()))/(S23/S41)-1))</f>
        <v/>
      </c>
      <c r="Y112" s="1984">
        <f>IF(OR(INDEX(SP_GF_Rev,0,COLUMN())&lt;=0,T23&lt;=0),"NMF",IF(ABS((INDEX(SP_GF_Rev,0,COLUMN())/INDEX(SP_GF_ShareCount,0,COLUMN()))/(T23/T41)-1)&gt;10,"NMF",(INDEX(SP_GF_Rev,0,COLUMN())/INDEX(SP_GF_ShareCount,0,COLUMN()))/(T23/T41)-1))</f>
        <v/>
      </c>
      <c r="Z112" s="1984">
        <f>IF(OR(INDEX(SP_GF_Rev,0,COLUMN())&lt;=0,U23&lt;=0),"NMF",IF(ABS((INDEX(SP_GF_Rev,0,COLUMN())/INDEX(SP_GF_ShareCount,0,COLUMN()))/(U23/U41)-1)&gt;10,"NMF",(INDEX(SP_GF_Rev,0,COLUMN())/INDEX(SP_GF_ShareCount,0,COLUMN()))/(U23/U41)-1))</f>
        <v/>
      </c>
      <c r="AA112" s="1983">
        <f>IF(OR(INDEX(SP_GF_Rev,0,COLUMN())&lt;=0,V23&lt;=0),"NMF",IF(ABS((INDEX(SP_GF_Rev,0,COLUMN())/INDEX(SP_GF_ShareCount,0,COLUMN()))/(V23/V41)-1)&gt;10,"NMF",(INDEX(SP_GF_Rev,0,COLUMN())/INDEX(SP_GF_ShareCount,0,COLUMN()))/(V23/V41)-1))</f>
        <v/>
      </c>
      <c r="AB112" s="1984">
        <f>IF(OR(INDEX(SP_GF_Rev,0,COLUMN())&lt;=0,W23&lt;=0),"NMF",IF(ABS((INDEX(SP_GF_Rev,0,COLUMN())/INDEX(SP_GF_ShareCount,0,COLUMN()))/(W23/W41)-1)&gt;10,"NMF",(INDEX(SP_GF_Rev,0,COLUMN())/INDEX(SP_GF_ShareCount,0,COLUMN()))/(W23/W41)-1))</f>
        <v/>
      </c>
      <c r="AC112" s="1984">
        <f>IF(OR(INDEX(SP_GF_Rev,0,COLUMN())&lt;=0,X23&lt;=0),"NMF",IF(ABS((INDEX(SP_GF_Rev,0,COLUMN())/INDEX(SP_GF_ShareCount,0,COLUMN()))/(X23/X41)-1)&gt;10,"NMF",(INDEX(SP_GF_Rev,0,COLUMN())/INDEX(SP_GF_ShareCount,0,COLUMN()))/(X23/X41)-1))</f>
        <v/>
      </c>
      <c r="AD112" s="1984">
        <f>IF(OR(INDEX(SP_GF_Rev,0,COLUMN())&lt;=0,Y23&lt;=0),"NMF",IF(ABS((INDEX(SP_GF_Rev,0,COLUMN())/INDEX(SP_GF_ShareCount,0,COLUMN()))/(Y23/Y41)-1)&gt;10,"NMF",(INDEX(SP_GF_Rev,0,COLUMN())/INDEX(SP_GF_ShareCount,0,COLUMN()))/(Y23/Y41)-1))</f>
        <v/>
      </c>
      <c r="AE112" s="1984">
        <f>IF(OR(INDEX(SP_GF_Rev,0,COLUMN())&lt;=0,Z23&lt;=0),"NMF",IF(ABS((INDEX(SP_GF_Rev,0,COLUMN())/INDEX(SP_GF_ShareCount,0,COLUMN()))/(Z23/Z41)-1)&gt;10,"NMF",(INDEX(SP_GF_Rev,0,COLUMN())/INDEX(SP_GF_ShareCount,0,COLUMN()))/(Z23/Z41)-1))</f>
        <v/>
      </c>
      <c r="AF112" s="1983">
        <f>IF(OR(INDEX(SP_GF_Rev,0,COLUMN())&lt;=0,AA23&lt;=0),"NMF",IF(ABS((INDEX(SP_GF_Rev,0,COLUMN())/INDEX(SP_GF_ShareCount,0,COLUMN()))/(AA23/AA41)-1)&gt;10,"NMF",(INDEX(SP_GF_Rev,0,COLUMN())/INDEX(SP_GF_ShareCount,0,COLUMN()))/(AA23/AA41)-1))</f>
        <v/>
      </c>
      <c r="AG112" s="1984">
        <f>IF(OR(INDEX(SP_GF_Rev,0,COLUMN())&lt;=0,AB23&lt;=0),"NMF",IF(ABS((INDEX(SP_GF_Rev,0,COLUMN())/INDEX(SP_GF_ShareCount,0,COLUMN()))/(AB23/AB41)-1)&gt;10,"NMF",(INDEX(SP_GF_Rev,0,COLUMN())/INDEX(SP_GF_ShareCount,0,COLUMN()))/(AB23/AB41)-1))</f>
        <v/>
      </c>
      <c r="AH112" s="1984">
        <f>IF(OR(INDEX(SP_GF_Rev,0,COLUMN())&lt;=0,AC23&lt;=0),"NMF",IF(ABS((INDEX(SP_GF_Rev,0,COLUMN())/INDEX(SP_GF_ShareCount,0,COLUMN()))/(AC23/AC41)-1)&gt;10,"NMF",(INDEX(SP_GF_Rev,0,COLUMN())/INDEX(SP_GF_ShareCount,0,COLUMN()))/(AC23/AC41)-1))</f>
        <v/>
      </c>
      <c r="AI112" s="1984">
        <f>IF(OR(INDEX(SP_GF_Rev,0,COLUMN())&lt;=0,AD23&lt;=0),"NMF",IF(ABS((INDEX(SP_GF_Rev,0,COLUMN())/INDEX(SP_GF_ShareCount,0,COLUMN()))/(AD23/AD41)-1)&gt;10,"NMF",(INDEX(SP_GF_Rev,0,COLUMN())/INDEX(SP_GF_ShareCount,0,COLUMN()))/(AD23/AD41)-1))</f>
        <v/>
      </c>
      <c r="AJ112" s="1984">
        <f>IF(OR(INDEX(SP_GF_Rev,0,COLUMN())&lt;=0,AE23&lt;=0),"NMF",IF(ABS((INDEX(SP_GF_Rev,0,COLUMN())/INDEX(SP_GF_ShareCount,0,COLUMN()))/(AE23/AE41)-1)&gt;10,"NMF",(INDEX(SP_GF_Rev,0,COLUMN())/INDEX(SP_GF_ShareCount,0,COLUMN()))/(AE23/AE41)-1))</f>
        <v/>
      </c>
      <c r="AK112" s="1983">
        <f>IF(OR(INDEX(SP_GF_Rev,0,COLUMN())&lt;=0,AF23&lt;=0),"NMF",IF(ABS((INDEX(SP_GF_Rev,0,COLUMN())/INDEX(SP_GF_ShareCount,0,COLUMN()))/(AF23/AF41)-1)&gt;10,"NMF",(INDEX(SP_GF_Rev,0,COLUMN())/INDEX(SP_GF_ShareCount,0,COLUMN()))/(AF23/AF41)-1))</f>
        <v/>
      </c>
      <c r="AL112" s="1984">
        <f>IF(OR(INDEX(SP_GF_Rev,0,COLUMN())&lt;=0,AG23&lt;=0),"NMF",IF(ABS((INDEX(SP_GF_Rev,0,COLUMN())/INDEX(SP_GF_ShareCount,0,COLUMN()))/(AG23/AG41)-1)&gt;10,"NMF",(INDEX(SP_GF_Rev,0,COLUMN())/INDEX(SP_GF_ShareCount,0,COLUMN()))/(AG23/AG41)-1))</f>
        <v/>
      </c>
      <c r="AM112" s="1984">
        <f>IF(OR(INDEX(SP_GF_Rev,0,COLUMN())&lt;=0,AH23&lt;=0),"NMF",IF(ABS((INDEX(SP_GF_Rev,0,COLUMN())/INDEX(SP_GF_ShareCount,0,COLUMN()))/(AH23/AH41)-1)&gt;10,"NMF",(INDEX(SP_GF_Rev,0,COLUMN())/INDEX(SP_GF_ShareCount,0,COLUMN()))/(AH23/AH41)-1))</f>
        <v/>
      </c>
      <c r="AN112" s="1984">
        <f>IF(OR(INDEX(SP_GF_Rev,0,COLUMN())&lt;=0,AI23&lt;=0),"NMF",IF(ABS((INDEX(SP_GF_Rev,0,COLUMN())/INDEX(SP_GF_ShareCount,0,COLUMN()))/(AI23/AI41)-1)&gt;10,"NMF",(INDEX(SP_GF_Rev,0,COLUMN())/INDEX(SP_GF_ShareCount,0,COLUMN()))/(AI23/AI41)-1))</f>
        <v/>
      </c>
      <c r="AO112" s="1984">
        <f>IF(OR(INDEX(SP_GF_Rev,0,COLUMN())&lt;=0,AJ23&lt;=0),"NMF",IF(ABS((INDEX(SP_GF_Rev,0,COLUMN())/INDEX(SP_GF_ShareCount,0,COLUMN()))/(AJ23/AJ41)-1)&gt;10,"NMF",(INDEX(SP_GF_Rev,0,COLUMN())/INDEX(SP_GF_ShareCount,0,COLUMN()))/(AJ23/AJ41)-1))</f>
        <v/>
      </c>
      <c r="AP112" s="1983">
        <f>IF(OR(INDEX(SP_GF_Rev,0,COLUMN())&lt;=0,AK23&lt;=0),"NMF",IF(ABS((INDEX(SP_GF_Rev,0,COLUMN())/INDEX(SP_GF_ShareCount,0,COLUMN()))/(AK23/AK41)-1)&gt;10,"NMF",(INDEX(SP_GF_Rev,0,COLUMN())/INDEX(SP_GF_ShareCount,0,COLUMN()))/(AK23/AK41)-1))</f>
        <v/>
      </c>
      <c r="AQ112" s="1984">
        <f>IF(OR(INDEX(SP_GF_Rev,0,COLUMN())&lt;=0,AL23&lt;=0),"NMF",IF(ABS((INDEX(SP_GF_Rev,0,COLUMN())/INDEX(SP_GF_ShareCount,0,COLUMN()))/(AL23/AL41)-1)&gt;10,"NMF",(INDEX(SP_GF_Rev,0,COLUMN())/INDEX(SP_GF_ShareCount,0,COLUMN()))/(AL23/AL41)-1))</f>
        <v/>
      </c>
      <c r="AR112" s="1984">
        <f>IF(OR(INDEX(SP_GF_Rev,0,COLUMN())&lt;=0,AM23&lt;=0),"NMF",IF(ABS((INDEX(SP_GF_Rev,0,COLUMN())/INDEX(SP_GF_ShareCount,0,COLUMN()))/(AM23/AM41)-1)&gt;10,"NMF",(INDEX(SP_GF_Rev,0,COLUMN())/INDEX(SP_GF_ShareCount,0,COLUMN()))/(AM23/AM41)-1))</f>
        <v/>
      </c>
      <c r="AS112" s="1984">
        <f>IF(OR(INDEX(SP_GF_Rev,0,COLUMN())&lt;=0,AN23&lt;=0),"NMF",IF(ABS((INDEX(SP_GF_Rev,0,COLUMN())/INDEX(SP_GF_ShareCount,0,COLUMN()))/(AN23/AN41)-1)&gt;10,"NMF",(INDEX(SP_GF_Rev,0,COLUMN())/INDEX(SP_GF_ShareCount,0,COLUMN()))/(AN23/AN41)-1))</f>
        <v/>
      </c>
      <c r="AT112" s="1984">
        <f>IF(OR(INDEX(SP_GF_Rev,0,COLUMN())&lt;=0,AO23&lt;=0),"NMF",IF(ABS((INDEX(SP_GF_Rev,0,COLUMN())/INDEX(SP_GF_ShareCount,0,COLUMN()))/(AO23/AO41)-1)&gt;10,"NMF",(INDEX(SP_GF_Rev,0,COLUMN())/INDEX(SP_GF_ShareCount,0,COLUMN()))/(AO23/AO41)-1))</f>
        <v/>
      </c>
      <c r="AU112" s="1983">
        <f>IF(OR(INDEX(SP_GF_Rev,0,COLUMN())&lt;=0,AP23&lt;=0),"NMF",IF(ABS((INDEX(SP_GF_Rev,0,COLUMN())/INDEX(SP_GF_ShareCount,0,COLUMN()))/(AP23/AP41)-1)&gt;10,"NMF",(INDEX(SP_GF_Rev,0,COLUMN())/INDEX(SP_GF_ShareCount,0,COLUMN()))/(AP23/AP41)-1))</f>
        <v/>
      </c>
      <c r="AV112" s="1984">
        <f>IF(OR(INDEX(SP_GF_Rev,0,COLUMN())&lt;=0,AQ23&lt;=0),"NMF",IF(ABS((INDEX(SP_GF_Rev,0,COLUMN())/INDEX(SP_GF_ShareCount,0,COLUMN()))/(AQ23/AQ41)-1)&gt;10,"NMF",(INDEX(SP_GF_Rev,0,COLUMN())/INDEX(SP_GF_ShareCount,0,COLUMN()))/(AQ23/AQ41)-1))</f>
        <v/>
      </c>
      <c r="AW112" s="1984">
        <f>IF(OR(INDEX(SP_GF_Rev,0,COLUMN())&lt;=0,AR23&lt;=0),"NMF",IF(ABS((INDEX(SP_GF_Rev,0,COLUMN())/INDEX(SP_GF_ShareCount,0,COLUMN()))/(AR23/AR41)-1)&gt;10,"NMF",(INDEX(SP_GF_Rev,0,COLUMN())/INDEX(SP_GF_ShareCount,0,COLUMN()))/(AR23/AR41)-1))</f>
        <v/>
      </c>
      <c r="AX112" s="1984">
        <f>IF(OR(INDEX(SP_GF_Rev,0,COLUMN())&lt;=0,AS23&lt;=0),"NMF",IF(ABS((INDEX(SP_GF_Rev,0,COLUMN())/INDEX(SP_GF_ShareCount,0,COLUMN()))/(AS23/AS41)-1)&gt;10,"NMF",(INDEX(SP_GF_Rev,0,COLUMN())/INDEX(SP_GF_ShareCount,0,COLUMN()))/(AS23/AS41)-1))</f>
        <v/>
      </c>
      <c r="AY112" s="1984">
        <f>IF(OR(INDEX(SP_GF_Rev,0,COLUMN())&lt;=0,AT23&lt;=0),"NMF",IF(ABS((INDEX(SP_GF_Rev,0,COLUMN())/INDEX(SP_GF_ShareCount,0,COLUMN()))/(AT23/AT41)-1)&gt;10,"NMF",(INDEX(SP_GF_Rev,0,COLUMN())/INDEX(SP_GF_ShareCount,0,COLUMN()))/(AT23/AT41)-1))</f>
        <v/>
      </c>
      <c r="AZ112" s="1983">
        <f>IF(OR(INDEX(SP_GF_Rev,0,COLUMN())&lt;=0,AU23&lt;=0),"NMF",IF(ABS((INDEX(SP_GF_Rev,0,COLUMN())/INDEX(SP_GF_ShareCount,0,COLUMN()))/(AU23/AU41)-1)&gt;10,"NMF",(INDEX(SP_GF_Rev,0,COLUMN())/INDEX(SP_GF_ShareCount,0,COLUMN()))/(AU23/AU41)-1))</f>
        <v/>
      </c>
      <c r="BA112" s="1984">
        <f>IF(OR(INDEX(SP_GF_Rev,0,COLUMN())&lt;=0,AV23&lt;=0),"NMF",IF(ABS((INDEX(SP_GF_Rev,0,COLUMN())/INDEX(SP_GF_ShareCount,0,COLUMN()))/(AV23/AV41)-1)&gt;10,"NMF",(INDEX(SP_GF_Rev,0,COLUMN())/INDEX(SP_GF_ShareCount,0,COLUMN()))/(AV23/AV41)-1))</f>
        <v/>
      </c>
      <c r="BB112" s="1984">
        <f>IF(OR(INDEX(SP_GF_Rev,0,COLUMN())&lt;=0,AW23&lt;=0),"NMF",IF(ABS((INDEX(SP_GF_Rev,0,COLUMN())/INDEX(SP_GF_ShareCount,0,COLUMN()))/(AW23/AW41)-1)&gt;10,"NMF",(INDEX(SP_GF_Rev,0,COLUMN())/INDEX(SP_GF_ShareCount,0,COLUMN()))/(AW23/AW41)-1))</f>
        <v/>
      </c>
      <c r="BC112" s="1984">
        <f>IF(OR(INDEX(SP_GF_Rev,0,COLUMN())&lt;=0,AX23&lt;=0),"NMF",IF(ABS((INDEX(SP_GF_Rev,0,COLUMN())/INDEX(SP_GF_ShareCount,0,COLUMN()))/(AX23/AX41)-1)&gt;10,"NMF",(INDEX(SP_GF_Rev,0,COLUMN())/INDEX(SP_GF_ShareCount,0,COLUMN()))/(AX23/AX41)-1))</f>
        <v/>
      </c>
      <c r="BD112" s="1984">
        <f>IF(OR(INDEX(SP_GF_Rev,0,COLUMN())&lt;=0,AY23&lt;=0),"NMF",IF(ABS((INDEX(SP_GF_Rev,0,COLUMN())/INDEX(SP_GF_ShareCount,0,COLUMN()))/(AY23/AY41)-1)&gt;10,"NMF",(INDEX(SP_GF_Rev,0,COLUMN())/INDEX(SP_GF_ShareCount,0,COLUMN()))/(AY23/AY41)-1))</f>
        <v/>
      </c>
      <c r="BE112" s="1983">
        <f>IF(OR(INDEX(SP_GF_Rev,0,COLUMN())&lt;=0,AZ23&lt;=0),"NMF",IF(ABS((INDEX(SP_GF_Rev,0,COLUMN())/INDEX(SP_GF_ShareCount,0,COLUMN()))/(AZ23/AZ41)-1)&gt;10,"NMF",(INDEX(SP_GF_Rev,0,COLUMN())/INDEX(SP_GF_ShareCount,0,COLUMN()))/(AZ23/AZ41)-1))</f>
        <v/>
      </c>
      <c r="BF112" s="1984">
        <f>IF(OR(INDEX(SP_GF_Rev,0,COLUMN())&lt;=0,BA23&lt;=0),"NMF",IF(ABS((INDEX(SP_GF_Rev,0,COLUMN())/INDEX(SP_GF_ShareCount,0,COLUMN()))/(BA23/BA41)-1)&gt;10,"NMF",(INDEX(SP_GF_Rev,0,COLUMN())/INDEX(SP_GF_ShareCount,0,COLUMN()))/(BA23/BA41)-1))</f>
        <v/>
      </c>
      <c r="BG112" s="1984">
        <f>IF(OR(INDEX(SP_GF_Rev,0,COLUMN())&lt;=0,BB23&lt;=0),"NMF",IF(ABS((INDEX(SP_GF_Rev,0,COLUMN())/INDEX(SP_GF_ShareCount,0,COLUMN()))/(BB23/BB41)-1)&gt;10,"NMF",(INDEX(SP_GF_Rev,0,COLUMN())/INDEX(SP_GF_ShareCount,0,COLUMN()))/(BB23/BB41)-1))</f>
        <v/>
      </c>
      <c r="BH112" s="1984">
        <f>IF(OR(INDEX(SP_GF_Rev,0,COLUMN())&lt;=0,BC23&lt;=0),"NMF",IF(ABS((INDEX(SP_GF_Rev,0,COLUMN())/INDEX(SP_GF_ShareCount,0,COLUMN()))/(BC23/BC41)-1)&gt;10,"NMF",(INDEX(SP_GF_Rev,0,COLUMN())/INDEX(SP_GF_ShareCount,0,COLUMN()))/(BC23/BC41)-1))</f>
        <v/>
      </c>
      <c r="BI112" s="1984">
        <f>IF(OR(INDEX(SP_GF_Rev,0,COLUMN())&lt;=0,BD23&lt;=0),"NMF",IF(ABS((INDEX(SP_GF_Rev,0,COLUMN())/INDEX(SP_GF_ShareCount,0,COLUMN()))/(BD23/BD41)-1)&gt;10,"NMF",(INDEX(SP_GF_Rev,0,COLUMN())/INDEX(SP_GF_ShareCount,0,COLUMN()))/(BD23/BD41)-1))</f>
        <v/>
      </c>
      <c r="BJ112" s="1983">
        <f>IF(OR(INDEX(SP_GF_Rev,0,COLUMN())&lt;=0,BE23&lt;=0),"NMF",IF(ABS((INDEX(SP_GF_Rev,0,COLUMN())/INDEX(SP_GF_ShareCount,0,COLUMN()))/(BE23/BE41)-1)&gt;10,"NMF",(INDEX(SP_GF_Rev,0,COLUMN())/INDEX(SP_GF_ShareCount,0,COLUMN()))/(BE23/BE41)-1))</f>
        <v/>
      </c>
      <c r="BK112" s="1984">
        <f>IF(OR(INDEX(SP_GF_Rev,0,COLUMN())&lt;=0,BF23&lt;=0),"NMF",IF(ABS((INDEX(SP_GF_Rev,0,COLUMN())/INDEX(SP_GF_ShareCount,0,COLUMN()))/(BF23/BF41)-1)&gt;10,"NMF",(INDEX(SP_GF_Rev,0,COLUMN())/INDEX(SP_GF_ShareCount,0,COLUMN()))/(BF23/BF41)-1))</f>
        <v/>
      </c>
      <c r="BL112" s="1984">
        <f>IF(OR(INDEX(SP_GF_Rev,0,COLUMN())&lt;=0,BG23&lt;=0),"NMF",IF(ABS((INDEX(SP_GF_Rev,0,COLUMN())/INDEX(SP_GF_ShareCount,0,COLUMN()))/(BG23/BG41)-1)&gt;10,"NMF",(INDEX(SP_GF_Rev,0,COLUMN())/INDEX(SP_GF_ShareCount,0,COLUMN()))/(BG23/BG41)-1))</f>
        <v/>
      </c>
      <c r="BM112" s="1984">
        <f>IF(OR(INDEX(SP_GF_Rev,0,COLUMN())&lt;=0,BH23&lt;=0),"NMF",IF(ABS((INDEX(SP_GF_Rev,0,COLUMN())/INDEX(SP_GF_ShareCount,0,COLUMN()))/(BH23/BH41)-1)&gt;10,"NMF",(INDEX(SP_GF_Rev,0,COLUMN())/INDEX(SP_GF_ShareCount,0,COLUMN()))/(BH23/BH41)-1))</f>
        <v/>
      </c>
      <c r="BN112" s="1984">
        <f>IF(OR(INDEX(SP_GF_Rev,0,COLUMN())&lt;=0,BI23&lt;=0),"NMF",IF(ABS((INDEX(SP_GF_Rev,0,COLUMN())/INDEX(SP_GF_ShareCount,0,COLUMN()))/(BI23/BI41)-1)&gt;10,"NMF",(INDEX(SP_GF_Rev,0,COLUMN())/INDEX(SP_GF_ShareCount,0,COLUMN()))/(BI23/BI41)-1))</f>
        <v/>
      </c>
      <c r="BO112" s="1985">
        <f>IF(OR(INDEX(SP_GF_Rev,0,COLUMN())&lt;=0,BJ23&lt;=0),"NMF",IF(ABS((INDEX(SP_GF_Rev,0,COLUMN())/INDEX(SP_GF_ShareCount,0,COLUMN()))/(BJ23/BJ41)-1)&gt;10,"NMF",(INDEX(SP_GF_Rev,0,COLUMN())/INDEX(SP_GF_ShareCount,0,COLUMN()))/(BJ23/BJ41)-1))</f>
        <v/>
      </c>
      <c r="BP112" s="1984">
        <f>IF(OR(INDEX(SP_GF_Rev,0,COLUMN())&lt;=0,BK23&lt;=0),"NMF",IF(ABS((INDEX(SP_GF_Rev,0,COLUMN())/INDEX(SP_GF_ShareCount,0,COLUMN()))/(BK23/BK41)-1)&gt;10,"NMF",(INDEX(SP_GF_Rev,0,COLUMN())/INDEX(SP_GF_ShareCount,0,COLUMN()))/(BK23/BK41)-1))</f>
        <v/>
      </c>
      <c r="BQ112" s="1984">
        <f>IF(OR(INDEX(SP_GF_Rev,0,COLUMN())&lt;=0,BL23&lt;=0),"NMF",IF(ABS((INDEX(SP_GF_Rev,0,COLUMN())/INDEX(SP_GF_ShareCount,0,COLUMN()))/(BL23/BL41)-1)&gt;10,"NMF",(INDEX(SP_GF_Rev,0,COLUMN())/INDEX(SP_GF_ShareCount,0,COLUMN()))/(BL23/BL41)-1))</f>
        <v/>
      </c>
      <c r="BR112" s="1984">
        <f>IF(OR(INDEX(SP_GF_Rev,0,COLUMN())&lt;=0,BM23&lt;=0),"NMF",IF(ABS((INDEX(SP_GF_Rev,0,COLUMN())/INDEX(SP_GF_ShareCount,0,COLUMN()))/(BM23/BM41)-1)&gt;10,"NMF",(INDEX(SP_GF_Rev,0,COLUMN())/INDEX(SP_GF_ShareCount,0,COLUMN()))/(BM23/BM41)-1))</f>
        <v/>
      </c>
      <c r="BS112" s="1984">
        <f>IF(OR(INDEX(SP_GF_Rev,0,COLUMN())&lt;=0,BN23&lt;=0),"NMF",IF(ABS((INDEX(SP_GF_Rev,0,COLUMN())/INDEX(SP_GF_ShareCount,0,COLUMN()))/(BN23/BN41)-1)&gt;10,"NMF",(INDEX(SP_GF_Rev,0,COLUMN())/INDEX(SP_GF_ShareCount,0,COLUMN()))/(BN23/BN41)-1))</f>
        <v/>
      </c>
      <c r="BT112" s="1983">
        <f>IF(OR(INDEX(SP_GF_Rev,0,COLUMN())&lt;=0,BO23&lt;=0),"NMF",IF(ABS((INDEX(SP_GF_Rev,0,COLUMN())/INDEX(SP_GF_ShareCount,0,COLUMN()))/(BO23/BO41)-1)&gt;10,"NMF",(INDEX(SP_GF_Rev,0,COLUMN())/INDEX(SP_GF_ShareCount,0,COLUMN()))/(BO23/BO41)-1))</f>
        <v/>
      </c>
      <c r="BU112" s="1984">
        <f>IF(OR(INDEX(SP_GF_Rev,0,COLUMN())&lt;=0,BP23&lt;=0),"NMF",IF(ABS((INDEX(SP_GF_Rev,0,COLUMN())/INDEX(SP_GF_ShareCount,0,COLUMN()))/(BP23/BP41)-1)&gt;10,"NMF",(INDEX(SP_GF_Rev,0,COLUMN())/INDEX(SP_GF_ShareCount,0,COLUMN()))/(BP23/BP41)-1))</f>
        <v/>
      </c>
      <c r="BV112" s="1984">
        <f>IF(OR(INDEX(SP_GF_Rev,0,COLUMN())&lt;=0,BQ23&lt;=0),"NMF",IF(ABS((INDEX(SP_GF_Rev,0,COLUMN())/INDEX(SP_GF_ShareCount,0,COLUMN()))/(BQ23/BQ41)-1)&gt;10,"NMF",(INDEX(SP_GF_Rev,0,COLUMN())/INDEX(SP_GF_ShareCount,0,COLUMN()))/(BQ23/BQ41)-1))</f>
        <v/>
      </c>
      <c r="BW112" s="1984">
        <f>IF(OR(INDEX(SP_GF_Rev,0,COLUMN())&lt;=0,BR23&lt;=0),"NMF",IF(ABS((INDEX(SP_GF_Rev,0,COLUMN())/INDEX(SP_GF_ShareCount,0,COLUMN()))/(BR23/BR41)-1)&gt;10,"NMF",(INDEX(SP_GF_Rev,0,COLUMN())/INDEX(SP_GF_ShareCount,0,COLUMN()))/(BR23/BR41)-1))</f>
        <v/>
      </c>
      <c r="BX112" s="1984">
        <f>IF(OR(INDEX(SP_GF_Rev,0,COLUMN())&lt;=0,BS23&lt;=0),"NMF",IF(ABS((INDEX(SP_GF_Rev,0,COLUMN())/INDEX(SP_GF_ShareCount,0,COLUMN()))/(BS23/BS41)-1)&gt;10,"NMF",(INDEX(SP_GF_Rev,0,COLUMN())/INDEX(SP_GF_ShareCount,0,COLUMN()))/(BS23/BS41)-1))</f>
        <v/>
      </c>
      <c r="BY112" s="1983">
        <f>IF(OR(INDEX(SP_GF_Rev,0,COLUMN())&lt;=0,BT23&lt;=0),"NMF",IF(ABS((INDEX(SP_GF_Rev,0,COLUMN())/INDEX(SP_GF_ShareCount,0,COLUMN()))/(BT23/BT41)-1)&gt;10,"NMF",(INDEX(SP_GF_Rev,0,COLUMN())/INDEX(SP_GF_ShareCount,0,COLUMN()))/(BT23/BT41)-1))</f>
        <v/>
      </c>
      <c r="BZ112" s="1983">
        <f>IF(OR(INDEX(SP_GF_Rev,0,COLUMN())&lt;=0,BY23&lt;=0),"NMF",IF(ABS((INDEX(SP_GF_Rev,0,COLUMN())/INDEX(SP_GF_ShareCount,0,COLUMN()))/(BY23/BY41)-1)&gt;10,"NMF",(INDEX(SP_GF_Rev,0,COLUMN())/INDEX(SP_GF_ShareCount,0,COLUMN()))/(BY23/BY41)-1))</f>
        <v/>
      </c>
      <c r="CA112" s="1983">
        <f>IF(OR(INDEX(SP_GF_Rev,0,COLUMN())&lt;=0,BZ23&lt;=0),"NMF",IF(ABS((INDEX(SP_GF_Rev,0,COLUMN())/INDEX(SP_GF_ShareCount,0,COLUMN()))/(BZ23/BZ41)-1)&gt;10,"NMF",(INDEX(SP_GF_Rev,0,COLUMN())/INDEX(SP_GF_ShareCount,0,COLUMN()))/(BZ23/BZ41)-1))</f>
        <v/>
      </c>
      <c r="CB112" s="1983">
        <f>IF(OR(INDEX(SP_GF_Rev,0,COLUMN())&lt;=0,CA23&lt;=0),"NMF",IF(ABS((INDEX(SP_GF_Rev,0,COLUMN())/INDEX(SP_GF_ShareCount,0,COLUMN()))/(CA23/CA41)-1)&gt;10,"NMF",(INDEX(SP_GF_Rev,0,COLUMN())/INDEX(SP_GF_ShareCount,0,COLUMN()))/(CA23/CA41)-1))</f>
        <v/>
      </c>
      <c r="CC112" s="1527" t="n"/>
    </row>
    <row r="113" ht="14.4" customFormat="1" customHeight="1" s="1925">
      <c r="A113" s="2051" t="inlineStr">
        <is>
          <t>Adj. EBITDA Per Share Growth</t>
        </is>
      </c>
      <c r="B113" s="1982" t="n"/>
      <c r="C113" s="1983" t="n"/>
      <c r="D113" s="1983">
        <f>IF(OR(INDEX(SP_NGF_EBITDA,0,COLUMN())&lt;=0,C44&lt;=0),"NMF",IF(ABS((INDEX(SP_NGF_EBITDA,0,COLUMN())/INDEX(SP_GF_ShareCount,0,COLUMN()))/(C44/C41)-1)&gt;10,"NMF",(INDEX(SP_NGF_EBITDA,0,COLUMN())/INDEX(SP_GF_ShareCount,0,COLUMN()))/(C44/C41)-1))</f>
        <v/>
      </c>
      <c r="E113" s="1983">
        <f>IF(OR(INDEX(SP_NGF_EBITDA,0,COLUMN())&lt;=0,D44&lt;=0),"NMF",IF(ABS((INDEX(SP_NGF_EBITDA,0,COLUMN())/INDEX(SP_GF_ShareCount,0,COLUMN()))/(D44/D41)-1)&gt;10,"NMF",(INDEX(SP_NGF_EBITDA,0,COLUMN())/INDEX(SP_GF_ShareCount,0,COLUMN()))/(D44/D41)-1))</f>
        <v/>
      </c>
      <c r="F113" s="1983">
        <f>IF(OR(INDEX(SP_NGF_EBITDA,0,COLUMN())&lt;=0,E44&lt;=0),"NMF",IF(ABS((INDEX(SP_NGF_EBITDA,0,COLUMN())/INDEX(SP_GF_ShareCount,0,COLUMN()))/(E44/E41)-1)&gt;10,"NMF",(INDEX(SP_NGF_EBITDA,0,COLUMN())/INDEX(SP_GF_ShareCount,0,COLUMN()))/(E44/E41)-1))</f>
        <v/>
      </c>
      <c r="G113" s="1983">
        <f>IF(OR(INDEX(SP_NGF_EBITDA,0,COLUMN())&lt;=0,F44&lt;=0),"NMF",IF(ABS((INDEX(SP_NGF_EBITDA,0,COLUMN())/INDEX(SP_GF_ShareCount,0,COLUMN()))/(F44/F41)-1)&gt;10,"NMF",(INDEX(SP_NGF_EBITDA,0,COLUMN())/INDEX(SP_GF_ShareCount,0,COLUMN()))/(F44/F41)-1))</f>
        <v/>
      </c>
      <c r="H113" s="1984" t="n"/>
      <c r="I113" s="1984" t="n"/>
      <c r="J113" s="1984" t="n"/>
      <c r="K113" s="1984" t="n"/>
      <c r="L113" s="1983">
        <f>IF(OR(INDEX(SP_NGF_EBITDA,0,COLUMN())&lt;=0,G44&lt;=0),"NMF",IF(ABS((INDEX(SP_NGF_EBITDA,0,COLUMN())/INDEX(SP_GF_ShareCount,0,COLUMN()))/(G44/G41)-1)&gt;10,"NMF",(INDEX(SP_NGF_EBITDA,0,COLUMN())/INDEX(SP_GF_ShareCount,0,COLUMN()))/(G44/G41)-1))</f>
        <v/>
      </c>
      <c r="M113" s="1984">
        <f>IF(OR(INDEX(SP_NGF_EBITDA,0,COLUMN())&lt;=0,H44&lt;=0),"NMF",IF(ABS((INDEX(SP_NGF_EBITDA,0,COLUMN())/INDEX(SP_GF_ShareCount,0,COLUMN()))/(H44/H41)-1)&gt;10,"NMF",(INDEX(SP_NGF_EBITDA,0,COLUMN())/INDEX(SP_GF_ShareCount,0,COLUMN()))/(H44/H41)-1))</f>
        <v/>
      </c>
      <c r="N113" s="1984">
        <f>IF(OR(INDEX(SP_NGF_EBITDA,0,COLUMN())&lt;=0,I44&lt;=0),"NMF",IF(ABS((INDEX(SP_NGF_EBITDA,0,COLUMN())/INDEX(SP_GF_ShareCount,0,COLUMN()))/(I44/I41)-1)&gt;10,"NMF",(INDEX(SP_NGF_EBITDA,0,COLUMN())/INDEX(SP_GF_ShareCount,0,COLUMN()))/(I44/I41)-1))</f>
        <v/>
      </c>
      <c r="O113" s="1984">
        <f>IF(OR(INDEX(SP_NGF_EBITDA,0,COLUMN())&lt;=0,J44&lt;=0),"NMF",IF(ABS((INDEX(SP_NGF_EBITDA,0,COLUMN())/INDEX(SP_GF_ShareCount,0,COLUMN()))/(J44/J41)-1)&gt;10,"NMF",(INDEX(SP_NGF_EBITDA,0,COLUMN())/INDEX(SP_GF_ShareCount,0,COLUMN()))/(J44/J41)-1))</f>
        <v/>
      </c>
      <c r="P113" s="1984">
        <f>IF(OR(INDEX(SP_NGF_EBITDA,0,COLUMN())&lt;=0,K44&lt;=0),"NMF",IF(ABS((INDEX(SP_NGF_EBITDA,0,COLUMN())/INDEX(SP_GF_ShareCount,0,COLUMN()))/(K44/K41)-1)&gt;10,"NMF",(INDEX(SP_NGF_EBITDA,0,COLUMN())/INDEX(SP_GF_ShareCount,0,COLUMN()))/(K44/K41)-1))</f>
        <v/>
      </c>
      <c r="Q113" s="1983">
        <f>IF(OR(INDEX(SP_NGF_EBITDA,0,COLUMN())&lt;=0,L44&lt;=0),"NMF",IF(ABS((INDEX(SP_NGF_EBITDA,0,COLUMN())/INDEX(SP_GF_ShareCount,0,COLUMN()))/(L44/L41)-1)&gt;10,"NMF",(INDEX(SP_NGF_EBITDA,0,COLUMN())/INDEX(SP_GF_ShareCount,0,COLUMN()))/(L44/L41)-1))</f>
        <v/>
      </c>
      <c r="R113" s="1984">
        <f>IF(OR(INDEX(SP_NGF_EBITDA,0,COLUMN())&lt;=0,M44&lt;=0),"NMF",IF(ABS((INDEX(SP_NGF_EBITDA,0,COLUMN())/INDEX(SP_GF_ShareCount,0,COLUMN()))/(M44/M41)-1)&gt;10,"NMF",(INDEX(SP_NGF_EBITDA,0,COLUMN())/INDEX(SP_GF_ShareCount,0,COLUMN()))/(M44/M41)-1))</f>
        <v/>
      </c>
      <c r="S113" s="1984">
        <f>IF(OR(INDEX(SP_NGF_EBITDA,0,COLUMN())&lt;=0,N44&lt;=0),"NMF",IF(ABS((INDEX(SP_NGF_EBITDA,0,COLUMN())/INDEX(SP_GF_ShareCount,0,COLUMN()))/(N44/N41)-1)&gt;10,"NMF",(INDEX(SP_NGF_EBITDA,0,COLUMN())/INDEX(SP_GF_ShareCount,0,COLUMN()))/(N44/N41)-1))</f>
        <v/>
      </c>
      <c r="T113" s="1984">
        <f>IF(OR(INDEX(SP_NGF_EBITDA,0,COLUMN())&lt;=0,O44&lt;=0),"NMF",IF(ABS((INDEX(SP_NGF_EBITDA,0,COLUMN())/INDEX(SP_GF_ShareCount,0,COLUMN()))/(O44/O41)-1)&gt;10,"NMF",(INDEX(SP_NGF_EBITDA,0,COLUMN())/INDEX(SP_GF_ShareCount,0,COLUMN()))/(O44/O41)-1))</f>
        <v/>
      </c>
      <c r="U113" s="1984">
        <f>IF(OR(INDEX(SP_NGF_EBITDA,0,COLUMN())&lt;=0,P44&lt;=0),"NMF",IF(ABS((INDEX(SP_NGF_EBITDA,0,COLUMN())/INDEX(SP_GF_ShareCount,0,COLUMN()))/(P44/P41)-1)&gt;10,"NMF",(INDEX(SP_NGF_EBITDA,0,COLUMN())/INDEX(SP_GF_ShareCount,0,COLUMN()))/(P44/P41)-1))</f>
        <v/>
      </c>
      <c r="V113" s="1983">
        <f>IF(OR(INDEX(SP_NGF_EBITDA,0,COLUMN())&lt;=0,Q44&lt;=0),"NMF",IF(ABS((INDEX(SP_NGF_EBITDA,0,COLUMN())/INDEX(SP_GF_ShareCount,0,COLUMN()))/(Q44/Q41)-1)&gt;10,"NMF",(INDEX(SP_NGF_EBITDA,0,COLUMN())/INDEX(SP_GF_ShareCount,0,COLUMN()))/(Q44/Q41)-1))</f>
        <v/>
      </c>
      <c r="W113" s="1984">
        <f>IF(OR(INDEX(SP_NGF_EBITDA,0,COLUMN())&lt;=0,R44&lt;=0),"NMF",IF(ABS((INDEX(SP_NGF_EBITDA,0,COLUMN())/INDEX(SP_GF_ShareCount,0,COLUMN()))/(R44/R41)-1)&gt;10,"NMF",(INDEX(SP_NGF_EBITDA,0,COLUMN())/INDEX(SP_GF_ShareCount,0,COLUMN()))/(R44/R41)-1))</f>
        <v/>
      </c>
      <c r="X113" s="1984">
        <f>IF(OR(INDEX(SP_NGF_EBITDA,0,COLUMN())&lt;=0,S44&lt;=0),"NMF",IF(ABS((INDEX(SP_NGF_EBITDA,0,COLUMN())/INDEX(SP_GF_ShareCount,0,COLUMN()))/(S44/S41)-1)&gt;10,"NMF",(INDEX(SP_NGF_EBITDA,0,COLUMN())/INDEX(SP_GF_ShareCount,0,COLUMN()))/(S44/S41)-1))</f>
        <v/>
      </c>
      <c r="Y113" s="1984">
        <f>IF(OR(INDEX(SP_NGF_EBITDA,0,COLUMN())&lt;=0,T44&lt;=0),"NMF",IF(ABS((INDEX(SP_NGF_EBITDA,0,COLUMN())/INDEX(SP_GF_ShareCount,0,COLUMN()))/(T44/T41)-1)&gt;10,"NMF",(INDEX(SP_NGF_EBITDA,0,COLUMN())/INDEX(SP_GF_ShareCount,0,COLUMN()))/(T44/T41)-1))</f>
        <v/>
      </c>
      <c r="Z113" s="1984">
        <f>IF(OR(INDEX(SP_NGF_EBITDA,0,COLUMN())&lt;=0,U44&lt;=0),"NMF",IF(ABS((INDEX(SP_NGF_EBITDA,0,COLUMN())/INDEX(SP_GF_ShareCount,0,COLUMN()))/(U44/U41)-1)&gt;10,"NMF",(INDEX(SP_NGF_EBITDA,0,COLUMN())/INDEX(SP_GF_ShareCount,0,COLUMN()))/(U44/U41)-1))</f>
        <v/>
      </c>
      <c r="AA113" s="1983">
        <f>IF(OR(INDEX(SP_NGF_EBITDA,0,COLUMN())&lt;=0,V44&lt;=0),"NMF",IF(ABS((INDEX(SP_NGF_EBITDA,0,COLUMN())/INDEX(SP_GF_ShareCount,0,COLUMN()))/(V44/V41)-1)&gt;10,"NMF",(INDEX(SP_NGF_EBITDA,0,COLUMN())/INDEX(SP_GF_ShareCount,0,COLUMN()))/(V44/V41)-1))</f>
        <v/>
      </c>
      <c r="AB113" s="1984">
        <f>IF(OR(INDEX(SP_NGF_EBITDA,0,COLUMN())&lt;=0,W44&lt;=0),"NMF",IF(ABS((INDEX(SP_NGF_EBITDA,0,COLUMN())/INDEX(SP_GF_ShareCount,0,COLUMN()))/(W44/W41)-1)&gt;10,"NMF",(INDEX(SP_NGF_EBITDA,0,COLUMN())/INDEX(SP_GF_ShareCount,0,COLUMN()))/(W44/W41)-1))</f>
        <v/>
      </c>
      <c r="AC113" s="1984">
        <f>IF(OR(INDEX(SP_NGF_EBITDA,0,COLUMN())&lt;=0,X44&lt;=0),"NMF",IF(ABS((INDEX(SP_NGF_EBITDA,0,COLUMN())/INDEX(SP_GF_ShareCount,0,COLUMN()))/(X44/X41)-1)&gt;10,"NMF",(INDEX(SP_NGF_EBITDA,0,COLUMN())/INDEX(SP_GF_ShareCount,0,COLUMN()))/(X44/X41)-1))</f>
        <v/>
      </c>
      <c r="AD113" s="1984">
        <f>IF(OR(INDEX(SP_NGF_EBITDA,0,COLUMN())&lt;=0,Y44&lt;=0),"NMF",IF(ABS((INDEX(SP_NGF_EBITDA,0,COLUMN())/INDEX(SP_GF_ShareCount,0,COLUMN()))/(Y44/Y41)-1)&gt;10,"NMF",(INDEX(SP_NGF_EBITDA,0,COLUMN())/INDEX(SP_GF_ShareCount,0,COLUMN()))/(Y44/Y41)-1))</f>
        <v/>
      </c>
      <c r="AE113" s="1984">
        <f>IF(OR(INDEX(SP_NGF_EBITDA,0,COLUMN())&lt;=0,Z44&lt;=0),"NMF",IF(ABS((INDEX(SP_NGF_EBITDA,0,COLUMN())/INDEX(SP_GF_ShareCount,0,COLUMN()))/(Z44/Z41)-1)&gt;10,"NMF",(INDEX(SP_NGF_EBITDA,0,COLUMN())/INDEX(SP_GF_ShareCount,0,COLUMN()))/(Z44/Z41)-1))</f>
        <v/>
      </c>
      <c r="AF113" s="1983">
        <f>IF(OR(INDEX(SP_NGF_EBITDA,0,COLUMN())&lt;=0,AA44&lt;=0),"NMF",IF(ABS((INDEX(SP_NGF_EBITDA,0,COLUMN())/INDEX(SP_GF_ShareCount,0,COLUMN()))/(AA44/AA41)-1)&gt;10,"NMF",(INDEX(SP_NGF_EBITDA,0,COLUMN())/INDEX(SP_GF_ShareCount,0,COLUMN()))/(AA44/AA41)-1))</f>
        <v/>
      </c>
      <c r="AG113" s="1984">
        <f>IF(OR(INDEX(SP_NGF_EBITDA,0,COLUMN())&lt;=0,AB44&lt;=0),"NMF",IF(ABS((INDEX(SP_NGF_EBITDA,0,COLUMN())/INDEX(SP_GF_ShareCount,0,COLUMN()))/(AB44/AB41)-1)&gt;10,"NMF",(INDEX(SP_NGF_EBITDA,0,COLUMN())/INDEX(SP_GF_ShareCount,0,COLUMN()))/(AB44/AB41)-1))</f>
        <v/>
      </c>
      <c r="AH113" s="1984">
        <f>IF(OR(INDEX(SP_NGF_EBITDA,0,COLUMN())&lt;=0,AC44&lt;=0),"NMF",IF(ABS((INDEX(SP_NGF_EBITDA,0,COLUMN())/INDEX(SP_GF_ShareCount,0,COLUMN()))/(AC44/AC41)-1)&gt;10,"NMF",(INDEX(SP_NGF_EBITDA,0,COLUMN())/INDEX(SP_GF_ShareCount,0,COLUMN()))/(AC44/AC41)-1))</f>
        <v/>
      </c>
      <c r="AI113" s="1984">
        <f>IF(OR(INDEX(SP_NGF_EBITDA,0,COLUMN())&lt;=0,AD44&lt;=0),"NMF",IF(ABS((INDEX(SP_NGF_EBITDA,0,COLUMN())/INDEX(SP_GF_ShareCount,0,COLUMN()))/(AD44/AD41)-1)&gt;10,"NMF",(INDEX(SP_NGF_EBITDA,0,COLUMN())/INDEX(SP_GF_ShareCount,0,COLUMN()))/(AD44/AD41)-1))</f>
        <v/>
      </c>
      <c r="AJ113" s="1984">
        <f>IF(OR(INDEX(SP_NGF_EBITDA,0,COLUMN())&lt;=0,AE44&lt;=0),"NMF",IF(ABS((INDEX(SP_NGF_EBITDA,0,COLUMN())/INDEX(SP_GF_ShareCount,0,COLUMN()))/(AE44/AE41)-1)&gt;10,"NMF",(INDEX(SP_NGF_EBITDA,0,COLUMN())/INDEX(SP_GF_ShareCount,0,COLUMN()))/(AE44/AE41)-1))</f>
        <v/>
      </c>
      <c r="AK113" s="1983">
        <f>IF(OR(INDEX(SP_NGF_EBITDA,0,COLUMN())&lt;=0,AF44&lt;=0),"NMF",IF(ABS((INDEX(SP_NGF_EBITDA,0,COLUMN())/INDEX(SP_GF_ShareCount,0,COLUMN()))/(AF44/AF41)-1)&gt;10,"NMF",(INDEX(SP_NGF_EBITDA,0,COLUMN())/INDEX(SP_GF_ShareCount,0,COLUMN()))/(AF44/AF41)-1))</f>
        <v/>
      </c>
      <c r="AL113" s="1984">
        <f>IF(OR(INDEX(SP_NGF_EBITDA,0,COLUMN())&lt;=0,AG44&lt;=0),"NMF",IF(ABS((INDEX(SP_NGF_EBITDA,0,COLUMN())/INDEX(SP_GF_ShareCount,0,COLUMN()))/(AG44/AG41)-1)&gt;10,"NMF",(INDEX(SP_NGF_EBITDA,0,COLUMN())/INDEX(SP_GF_ShareCount,0,COLUMN()))/(AG44/AG41)-1))</f>
        <v/>
      </c>
      <c r="AM113" s="1984">
        <f>IF(OR(INDEX(SP_NGF_EBITDA,0,COLUMN())&lt;=0,AH44&lt;=0),"NMF",IF(ABS((INDEX(SP_NGF_EBITDA,0,COLUMN())/INDEX(SP_GF_ShareCount,0,COLUMN()))/(AH44/AH41)-1)&gt;10,"NMF",(INDEX(SP_NGF_EBITDA,0,COLUMN())/INDEX(SP_GF_ShareCount,0,COLUMN()))/(AH44/AH41)-1))</f>
        <v/>
      </c>
      <c r="AN113" s="1984">
        <f>IF(OR(INDEX(SP_NGF_EBITDA,0,COLUMN())&lt;=0,AI44&lt;=0),"NMF",IF(ABS((INDEX(SP_NGF_EBITDA,0,COLUMN())/INDEX(SP_GF_ShareCount,0,COLUMN()))/(AI44/AI41)-1)&gt;10,"NMF",(INDEX(SP_NGF_EBITDA,0,COLUMN())/INDEX(SP_GF_ShareCount,0,COLUMN()))/(AI44/AI41)-1))</f>
        <v/>
      </c>
      <c r="AO113" s="1984">
        <f>IF(OR(INDEX(SP_NGF_EBITDA,0,COLUMN())&lt;=0,AJ44&lt;=0),"NMF",IF(ABS((INDEX(SP_NGF_EBITDA,0,COLUMN())/INDEX(SP_GF_ShareCount,0,COLUMN()))/(AJ44/AJ41)-1)&gt;10,"NMF",(INDEX(SP_NGF_EBITDA,0,COLUMN())/INDEX(SP_GF_ShareCount,0,COLUMN()))/(AJ44/AJ41)-1))</f>
        <v/>
      </c>
      <c r="AP113" s="1983">
        <f>IF(OR(INDEX(SP_NGF_EBITDA,0,COLUMN())&lt;=0,AK44&lt;=0),"NMF",IF(ABS((INDEX(SP_NGF_EBITDA,0,COLUMN())/INDEX(SP_GF_ShareCount,0,COLUMN()))/(AK44/AK41)-1)&gt;10,"NMF",(INDEX(SP_NGF_EBITDA,0,COLUMN())/INDEX(SP_GF_ShareCount,0,COLUMN()))/(AK44/AK41)-1))</f>
        <v/>
      </c>
      <c r="AQ113" s="1984">
        <f>IF(OR(INDEX(SP_NGF_EBITDA,0,COLUMN())&lt;=0,AL44&lt;=0),"NMF",IF(ABS((INDEX(SP_NGF_EBITDA,0,COLUMN())/INDEX(SP_GF_ShareCount,0,COLUMN()))/(AL44/AL41)-1)&gt;10,"NMF",(INDEX(SP_NGF_EBITDA,0,COLUMN())/INDEX(SP_GF_ShareCount,0,COLUMN()))/(AL44/AL41)-1))</f>
        <v/>
      </c>
      <c r="AR113" s="1984">
        <f>IF(OR(INDEX(SP_NGF_EBITDA,0,COLUMN())&lt;=0,AM44&lt;=0),"NMF",IF(ABS((INDEX(SP_NGF_EBITDA,0,COLUMN())/INDEX(SP_GF_ShareCount,0,COLUMN()))/(AM44/AM41)-1)&gt;10,"NMF",(INDEX(SP_NGF_EBITDA,0,COLUMN())/INDEX(SP_GF_ShareCount,0,COLUMN()))/(AM44/AM41)-1))</f>
        <v/>
      </c>
      <c r="AS113" s="1984">
        <f>IF(OR(INDEX(SP_NGF_EBITDA,0,COLUMN())&lt;=0,AN44&lt;=0),"NMF",IF(ABS((INDEX(SP_NGF_EBITDA,0,COLUMN())/INDEX(SP_GF_ShareCount,0,COLUMN()))/(AN44/AN41)-1)&gt;10,"NMF",(INDEX(SP_NGF_EBITDA,0,COLUMN())/INDEX(SP_GF_ShareCount,0,COLUMN()))/(AN44/AN41)-1))</f>
        <v/>
      </c>
      <c r="AT113" s="1984">
        <f>IF(OR(INDEX(SP_NGF_EBITDA,0,COLUMN())&lt;=0,AO44&lt;=0),"NMF",IF(ABS((INDEX(SP_NGF_EBITDA,0,COLUMN())/INDEX(SP_GF_ShareCount,0,COLUMN()))/(AO44/AO41)-1)&gt;10,"NMF",(INDEX(SP_NGF_EBITDA,0,COLUMN())/INDEX(SP_GF_ShareCount,0,COLUMN()))/(AO44/AO41)-1))</f>
        <v/>
      </c>
      <c r="AU113" s="1983">
        <f>IF(OR(INDEX(SP_NGF_EBITDA,0,COLUMN())&lt;=0,AP44&lt;=0),"NMF",IF(ABS((INDEX(SP_NGF_EBITDA,0,COLUMN())/INDEX(SP_GF_ShareCount,0,COLUMN()))/(AP44/AP41)-1)&gt;10,"NMF",(INDEX(SP_NGF_EBITDA,0,COLUMN())/INDEX(SP_GF_ShareCount,0,COLUMN()))/(AP44/AP41)-1))</f>
        <v/>
      </c>
      <c r="AV113" s="1984">
        <f>IF(OR(INDEX(SP_NGF_EBITDA,0,COLUMN())&lt;=0,AQ44&lt;=0),"NMF",IF(ABS((INDEX(SP_NGF_EBITDA,0,COLUMN())/INDEX(SP_GF_ShareCount,0,COLUMN()))/(AQ44/AQ41)-1)&gt;10,"NMF",(INDEX(SP_NGF_EBITDA,0,COLUMN())/INDEX(SP_GF_ShareCount,0,COLUMN()))/(AQ44/AQ41)-1))</f>
        <v/>
      </c>
      <c r="AW113" s="1984">
        <f>IF(OR(INDEX(SP_NGF_EBITDA,0,COLUMN())&lt;=0,AR44&lt;=0),"NMF",IF(ABS((INDEX(SP_NGF_EBITDA,0,COLUMN())/INDEX(SP_GF_ShareCount,0,COLUMN()))/(AR44/AR41)-1)&gt;10,"NMF",(INDEX(SP_NGF_EBITDA,0,COLUMN())/INDEX(SP_GF_ShareCount,0,COLUMN()))/(AR44/AR41)-1))</f>
        <v/>
      </c>
      <c r="AX113" s="1984">
        <f>IF(OR(INDEX(SP_NGF_EBITDA,0,COLUMN())&lt;=0,AS44&lt;=0),"NMF",IF(ABS((INDEX(SP_NGF_EBITDA,0,COLUMN())/INDEX(SP_GF_ShareCount,0,COLUMN()))/(AS44/AS41)-1)&gt;10,"NMF",(INDEX(SP_NGF_EBITDA,0,COLUMN())/INDEX(SP_GF_ShareCount,0,COLUMN()))/(AS44/AS41)-1))</f>
        <v/>
      </c>
      <c r="AY113" s="1984">
        <f>IF(OR(INDEX(SP_NGF_EBITDA,0,COLUMN())&lt;=0,AT44&lt;=0),"NMF",IF(ABS((INDEX(SP_NGF_EBITDA,0,COLUMN())/INDEX(SP_GF_ShareCount,0,COLUMN()))/(AT44/AT41)-1)&gt;10,"NMF",(INDEX(SP_NGF_EBITDA,0,COLUMN())/INDEX(SP_GF_ShareCount,0,COLUMN()))/(AT44/AT41)-1))</f>
        <v/>
      </c>
      <c r="AZ113" s="1983">
        <f>IF(OR(INDEX(SP_NGF_EBITDA,0,COLUMN())&lt;=0,AU44&lt;=0),"NMF",IF(ABS((INDEX(SP_NGF_EBITDA,0,COLUMN())/INDEX(SP_GF_ShareCount,0,COLUMN()))/(AU44/AU41)-1)&gt;10,"NMF",(INDEX(SP_NGF_EBITDA,0,COLUMN())/INDEX(SP_GF_ShareCount,0,COLUMN()))/(AU44/AU41)-1))</f>
        <v/>
      </c>
      <c r="BA113" s="1984">
        <f>IF(OR(INDEX(SP_NGF_EBITDA,0,COLUMN())&lt;=0,AV44&lt;=0),"NMF",IF(ABS((INDEX(SP_NGF_EBITDA,0,COLUMN())/INDEX(SP_GF_ShareCount,0,COLUMN()))/(AV44/AV41)-1)&gt;10,"NMF",(INDEX(SP_NGF_EBITDA,0,COLUMN())/INDEX(SP_GF_ShareCount,0,COLUMN()))/(AV44/AV41)-1))</f>
        <v/>
      </c>
      <c r="BB113" s="1984">
        <f>IF(OR(INDEX(SP_NGF_EBITDA,0,COLUMN())&lt;=0,AW44&lt;=0),"NMF",IF(ABS((INDEX(SP_NGF_EBITDA,0,COLUMN())/INDEX(SP_GF_ShareCount,0,COLUMN()))/(AW44/AW41)-1)&gt;10,"NMF",(INDEX(SP_NGF_EBITDA,0,COLUMN())/INDEX(SP_GF_ShareCount,0,COLUMN()))/(AW44/AW41)-1))</f>
        <v/>
      </c>
      <c r="BC113" s="1984">
        <f>IF(OR(INDEX(SP_NGF_EBITDA,0,COLUMN())&lt;=0,AX44&lt;=0),"NMF",IF(ABS((INDEX(SP_NGF_EBITDA,0,COLUMN())/INDEX(SP_GF_ShareCount,0,COLUMN()))/(AX44/AX41)-1)&gt;10,"NMF",(INDEX(SP_NGF_EBITDA,0,COLUMN())/INDEX(SP_GF_ShareCount,0,COLUMN()))/(AX44/AX41)-1))</f>
        <v/>
      </c>
      <c r="BD113" s="1984">
        <f>IF(OR(INDEX(SP_NGF_EBITDA,0,COLUMN())&lt;=0,AY44&lt;=0),"NMF",IF(ABS((INDEX(SP_NGF_EBITDA,0,COLUMN())/INDEX(SP_GF_ShareCount,0,COLUMN()))/(AY44/AY41)-1)&gt;10,"NMF",(INDEX(SP_NGF_EBITDA,0,COLUMN())/INDEX(SP_GF_ShareCount,0,COLUMN()))/(AY44/AY41)-1))</f>
        <v/>
      </c>
      <c r="BE113" s="1983">
        <f>IF(OR(INDEX(SP_NGF_EBITDA,0,COLUMN())&lt;=0,AZ44&lt;=0),"NMF",IF(ABS((INDEX(SP_NGF_EBITDA,0,COLUMN())/INDEX(SP_GF_ShareCount,0,COLUMN()))/(AZ44/AZ41)-1)&gt;10,"NMF",(INDEX(SP_NGF_EBITDA,0,COLUMN())/INDEX(SP_GF_ShareCount,0,COLUMN()))/(AZ44/AZ41)-1))</f>
        <v/>
      </c>
      <c r="BF113" s="1984">
        <f>IF(OR(INDEX(SP_NGF_EBITDA,0,COLUMN())&lt;=0,BA44&lt;=0),"NMF",IF(ABS((INDEX(SP_NGF_EBITDA,0,COLUMN())/INDEX(SP_GF_ShareCount,0,COLUMN()))/(BA44/BA41)-1)&gt;10,"NMF",(INDEX(SP_NGF_EBITDA,0,COLUMN())/INDEX(SP_GF_ShareCount,0,COLUMN()))/(BA44/BA41)-1))</f>
        <v/>
      </c>
      <c r="BG113" s="1984">
        <f>IF(OR(INDEX(SP_NGF_EBITDA,0,COLUMN())&lt;=0,BB44&lt;=0),"NMF",IF(ABS((INDEX(SP_NGF_EBITDA,0,COLUMN())/INDEX(SP_GF_ShareCount,0,COLUMN()))/(BB44/BB41)-1)&gt;10,"NMF",(INDEX(SP_NGF_EBITDA,0,COLUMN())/INDEX(SP_GF_ShareCount,0,COLUMN()))/(BB44/BB41)-1))</f>
        <v/>
      </c>
      <c r="BH113" s="1984">
        <f>IF(OR(INDEX(SP_NGF_EBITDA,0,COLUMN())&lt;=0,BC44&lt;=0),"NMF",IF(ABS((INDEX(SP_NGF_EBITDA,0,COLUMN())/INDEX(SP_GF_ShareCount,0,COLUMN()))/(BC44/BC41)-1)&gt;10,"NMF",(INDEX(SP_NGF_EBITDA,0,COLUMN())/INDEX(SP_GF_ShareCount,0,COLUMN()))/(BC44/BC41)-1))</f>
        <v/>
      </c>
      <c r="BI113" s="1984">
        <f>IF(OR(INDEX(SP_NGF_EBITDA,0,COLUMN())&lt;=0,BD44&lt;=0),"NMF",IF(ABS((INDEX(SP_NGF_EBITDA,0,COLUMN())/INDEX(SP_GF_ShareCount,0,COLUMN()))/(BD44/BD41)-1)&gt;10,"NMF",(INDEX(SP_NGF_EBITDA,0,COLUMN())/INDEX(SP_GF_ShareCount,0,COLUMN()))/(BD44/BD41)-1))</f>
        <v/>
      </c>
      <c r="BJ113" s="1983">
        <f>IF(OR(INDEX(SP_NGF_EBITDA,0,COLUMN())&lt;=0,BE44&lt;=0),"NMF",IF(ABS((INDEX(SP_NGF_EBITDA,0,COLUMN())/INDEX(SP_GF_ShareCount,0,COLUMN()))/(BE44/BE41)-1)&gt;10,"NMF",(INDEX(SP_NGF_EBITDA,0,COLUMN())/INDEX(SP_GF_ShareCount,0,COLUMN()))/(BE44/BE41)-1))</f>
        <v/>
      </c>
      <c r="BK113" s="1984">
        <f>IF(OR(INDEX(SP_NGF_EBITDA,0,COLUMN())&lt;=0,BF44&lt;=0),"NMF",IF(ABS((INDEX(SP_NGF_EBITDA,0,COLUMN())/INDEX(SP_GF_ShareCount,0,COLUMN()))/(BF44/BF41)-1)&gt;10,"NMF",(INDEX(SP_NGF_EBITDA,0,COLUMN())/INDEX(SP_GF_ShareCount,0,COLUMN()))/(BF44/BF41)-1))</f>
        <v/>
      </c>
      <c r="BL113" s="1984">
        <f>IF(OR(INDEX(SP_NGF_EBITDA,0,COLUMN())&lt;=0,BG44&lt;=0),"NMF",IF(ABS((INDEX(SP_NGF_EBITDA,0,COLUMN())/INDEX(SP_GF_ShareCount,0,COLUMN()))/(BG44/BG41)-1)&gt;10,"NMF",(INDEX(SP_NGF_EBITDA,0,COLUMN())/INDEX(SP_GF_ShareCount,0,COLUMN()))/(BG44/BG41)-1))</f>
        <v/>
      </c>
      <c r="BM113" s="1984">
        <f>IF(OR(INDEX(SP_NGF_EBITDA,0,COLUMN())&lt;=0,BH44&lt;=0),"NMF",IF(ABS((INDEX(SP_NGF_EBITDA,0,COLUMN())/INDEX(SP_GF_ShareCount,0,COLUMN()))/(BH44/BH41)-1)&gt;10,"NMF",(INDEX(SP_NGF_EBITDA,0,COLUMN())/INDEX(SP_GF_ShareCount,0,COLUMN()))/(BH44/BH41)-1))</f>
        <v/>
      </c>
      <c r="BN113" s="1984">
        <f>IF(OR(INDEX(SP_NGF_EBITDA,0,COLUMN())&lt;=0,BI44&lt;=0),"NMF",IF(ABS((INDEX(SP_NGF_EBITDA,0,COLUMN())/INDEX(SP_GF_ShareCount,0,COLUMN()))/(BI44/BI41)-1)&gt;10,"NMF",(INDEX(SP_NGF_EBITDA,0,COLUMN())/INDEX(SP_GF_ShareCount,0,COLUMN()))/(BI44/BI41)-1))</f>
        <v/>
      </c>
      <c r="BO113" s="1985">
        <f>IF(OR(INDEX(SP_NGF_EBITDA,0,COLUMN())&lt;=0,BJ44&lt;=0),"NMF",IF(ABS((INDEX(SP_NGF_EBITDA,0,COLUMN())/INDEX(SP_GF_ShareCount,0,COLUMN()))/(BJ44/BJ41)-1)&gt;10,"NMF",(INDEX(SP_NGF_EBITDA,0,COLUMN())/INDEX(SP_GF_ShareCount,0,COLUMN()))/(BJ44/BJ41)-1))</f>
        <v/>
      </c>
      <c r="BP113" s="1984">
        <f>IF(OR(INDEX(SP_NGF_EBITDA,0,COLUMN())&lt;=0,BK44&lt;=0),"NMF",IF(ABS((INDEX(SP_NGF_EBITDA,0,COLUMN())/INDEX(SP_GF_ShareCount,0,COLUMN()))/(BK44/BK41)-1)&gt;10,"NMF",(INDEX(SP_NGF_EBITDA,0,COLUMN())/INDEX(SP_GF_ShareCount,0,COLUMN()))/(BK44/BK41)-1))</f>
        <v/>
      </c>
      <c r="BQ113" s="1984">
        <f>IF(OR(INDEX(SP_NGF_EBITDA,0,COLUMN())&lt;=0,BL44&lt;=0),"NMF",IF(ABS((INDEX(SP_NGF_EBITDA,0,COLUMN())/INDEX(SP_GF_ShareCount,0,COLUMN()))/(BL44/BL41)-1)&gt;10,"NMF",(INDEX(SP_NGF_EBITDA,0,COLUMN())/INDEX(SP_GF_ShareCount,0,COLUMN()))/(BL44/BL41)-1))</f>
        <v/>
      </c>
      <c r="BR113" s="1984">
        <f>IF(OR(INDEX(SP_NGF_EBITDA,0,COLUMN())&lt;=0,BM44&lt;=0),"NMF",IF(ABS((INDEX(SP_NGF_EBITDA,0,COLUMN())/INDEX(SP_GF_ShareCount,0,COLUMN()))/(BM44/BM41)-1)&gt;10,"NMF",(INDEX(SP_NGF_EBITDA,0,COLUMN())/INDEX(SP_GF_ShareCount,0,COLUMN()))/(BM44/BM41)-1))</f>
        <v/>
      </c>
      <c r="BS113" s="1984">
        <f>IF(OR(INDEX(SP_NGF_EBITDA,0,COLUMN())&lt;=0,BN44&lt;=0),"NMF",IF(ABS((INDEX(SP_NGF_EBITDA,0,COLUMN())/INDEX(SP_GF_ShareCount,0,COLUMN()))/(BN44/BN41)-1)&gt;10,"NMF",(INDEX(SP_NGF_EBITDA,0,COLUMN())/INDEX(SP_GF_ShareCount,0,COLUMN()))/(BN44/BN41)-1))</f>
        <v/>
      </c>
      <c r="BT113" s="1983">
        <f>IF(OR(INDEX(SP_NGF_EBITDA,0,COLUMN())&lt;=0,BO44&lt;=0),"NMF",IF(ABS((INDEX(SP_NGF_EBITDA,0,COLUMN())/INDEX(SP_GF_ShareCount,0,COLUMN()))/(BO44/BO41)-1)&gt;10,"NMF",(INDEX(SP_NGF_EBITDA,0,COLUMN())/INDEX(SP_GF_ShareCount,0,COLUMN()))/(BO44/BO41)-1))</f>
        <v/>
      </c>
      <c r="BU113" s="1984">
        <f>IF(OR(INDEX(SP_NGF_EBITDA,0,COLUMN())&lt;=0,BP44&lt;=0),"NMF",IF(ABS((INDEX(SP_NGF_EBITDA,0,COLUMN())/INDEX(SP_GF_ShareCount,0,COLUMN()))/(BP44/BP41)-1)&gt;10,"NMF",(INDEX(SP_NGF_EBITDA,0,COLUMN())/INDEX(SP_GF_ShareCount,0,COLUMN()))/(BP44/BP41)-1))</f>
        <v/>
      </c>
      <c r="BV113" s="1984">
        <f>IF(OR(INDEX(SP_NGF_EBITDA,0,COLUMN())&lt;=0,BQ44&lt;=0),"NMF",IF(ABS((INDEX(SP_NGF_EBITDA,0,COLUMN())/INDEX(SP_GF_ShareCount,0,COLUMN()))/(BQ44/BQ41)-1)&gt;10,"NMF",(INDEX(SP_NGF_EBITDA,0,COLUMN())/INDEX(SP_GF_ShareCount,0,COLUMN()))/(BQ44/BQ41)-1))</f>
        <v/>
      </c>
      <c r="BW113" s="1984">
        <f>IF(OR(INDEX(SP_NGF_EBITDA,0,COLUMN())&lt;=0,BR44&lt;=0),"NMF",IF(ABS((INDEX(SP_NGF_EBITDA,0,COLUMN())/INDEX(SP_GF_ShareCount,0,COLUMN()))/(BR44/BR41)-1)&gt;10,"NMF",(INDEX(SP_NGF_EBITDA,0,COLUMN())/INDEX(SP_GF_ShareCount,0,COLUMN()))/(BR44/BR41)-1))</f>
        <v/>
      </c>
      <c r="BX113" s="1984">
        <f>IF(OR(INDEX(SP_NGF_EBITDA,0,COLUMN())&lt;=0,BS44&lt;=0),"NMF",IF(ABS((INDEX(SP_NGF_EBITDA,0,COLUMN())/INDEX(SP_GF_ShareCount,0,COLUMN()))/(BS44/BS41)-1)&gt;10,"NMF",(INDEX(SP_NGF_EBITDA,0,COLUMN())/INDEX(SP_GF_ShareCount,0,COLUMN()))/(BS44/BS41)-1))</f>
        <v/>
      </c>
      <c r="BY113" s="1983">
        <f>IF(OR(INDEX(SP_NGF_EBITDA,0,COLUMN())&lt;=0,BT44&lt;=0),"NMF",IF(ABS((INDEX(SP_NGF_EBITDA,0,COLUMN())/INDEX(SP_GF_ShareCount,0,COLUMN()))/(BT44/BT41)-1)&gt;10,"NMF",(INDEX(SP_NGF_EBITDA,0,COLUMN())/INDEX(SP_GF_ShareCount,0,COLUMN()))/(BT44/BT41)-1))</f>
        <v/>
      </c>
      <c r="BZ113" s="1983">
        <f>IF(OR(INDEX(SP_NGF_EBITDA,0,COLUMN())&lt;=0,BY44&lt;=0),"NMF",IF(ABS((INDEX(SP_NGF_EBITDA,0,COLUMN())/INDEX(SP_GF_ShareCount,0,COLUMN()))/(BY44/BY41)-1)&gt;10,"NMF",(INDEX(SP_NGF_EBITDA,0,COLUMN())/INDEX(SP_GF_ShareCount,0,COLUMN()))/(BY44/BY41)-1))</f>
        <v/>
      </c>
      <c r="CA113" s="1983">
        <f>IF(OR(INDEX(SP_NGF_EBITDA,0,COLUMN())&lt;=0,BZ44&lt;=0),"NMF",IF(ABS((INDEX(SP_NGF_EBITDA,0,COLUMN())/INDEX(SP_GF_ShareCount,0,COLUMN()))/(BZ44/BZ41)-1)&gt;10,"NMF",(INDEX(SP_NGF_EBITDA,0,COLUMN())/INDEX(SP_GF_ShareCount,0,COLUMN()))/(BZ44/BZ41)-1))</f>
        <v/>
      </c>
      <c r="CB113" s="1983">
        <f>IF(OR(INDEX(SP_NGF_EBITDA,0,COLUMN())&lt;=0,CA44&lt;=0),"NMF",IF(ABS((INDEX(SP_NGF_EBITDA,0,COLUMN())/INDEX(SP_GF_ShareCount,0,COLUMN()))/(CA44/CA41)-1)&gt;10,"NMF",(INDEX(SP_NGF_EBITDA,0,COLUMN())/INDEX(SP_GF_ShareCount,0,COLUMN()))/(CA44/CA41)-1))</f>
        <v/>
      </c>
      <c r="CC113" s="1527" t="n"/>
    </row>
    <row r="114" ht="14.4" customFormat="1" customHeight="1" s="1925">
      <c r="A114" s="2051" t="inlineStr">
        <is>
          <t>Adj. Earnings Per Share Growth</t>
        </is>
      </c>
      <c r="B114" s="1982" t="n"/>
      <c r="C114" s="1983" t="n"/>
      <c r="D114" s="1983">
        <f>IF(OR(INDEX(SP_NGF_NI,0,COLUMN())&lt;=0,C46&lt;=0),"NMF",IF(ABS((INDEX(SP_NGF_NI,0,COLUMN())/INDEX(SP_GF_ShareCount,0,COLUMN()))/(C46/C41)-1)&gt;10,"NMF",(INDEX(SP_NGF_NI,0,COLUMN())/INDEX(SP_GF_ShareCount,0,COLUMN()))/(C46/C41)-1))</f>
        <v/>
      </c>
      <c r="E114" s="1983">
        <f>IF(OR(INDEX(SP_NGF_NI,0,COLUMN())&lt;=0,D46&lt;=0),"NMF",IF(ABS((INDEX(SP_NGF_NI,0,COLUMN())/INDEX(SP_GF_ShareCount,0,COLUMN()))/(D46/D41)-1)&gt;10,"NMF",(INDEX(SP_NGF_NI,0,COLUMN())/INDEX(SP_GF_ShareCount,0,COLUMN()))/(D46/D41)-1))</f>
        <v/>
      </c>
      <c r="F114" s="1983">
        <f>IF(OR(INDEX(SP_NGF_NI,0,COLUMN())&lt;=0,E46&lt;=0),"NMF",IF(ABS((INDEX(SP_NGF_NI,0,COLUMN())/INDEX(SP_GF_ShareCount,0,COLUMN()))/(E46/E41)-1)&gt;10,"NMF",(INDEX(SP_NGF_NI,0,COLUMN())/INDEX(SP_GF_ShareCount,0,COLUMN()))/(E46/E41)-1))</f>
        <v/>
      </c>
      <c r="G114" s="1983">
        <f>IF(OR(INDEX(SP_NGF_NI,0,COLUMN())&lt;=0,F46&lt;=0),"NMF",IF(ABS((INDEX(SP_NGF_NI,0,COLUMN())/INDEX(SP_GF_ShareCount,0,COLUMN()))/(F46/F41)-1)&gt;10,"NMF",(INDEX(SP_NGF_NI,0,COLUMN())/INDEX(SP_GF_ShareCount,0,COLUMN()))/(F46/F41)-1))</f>
        <v/>
      </c>
      <c r="H114" s="1984" t="n"/>
      <c r="I114" s="1984" t="n"/>
      <c r="J114" s="1984" t="n"/>
      <c r="K114" s="1984" t="n"/>
      <c r="L114" s="1983">
        <f>IF(OR(INDEX(SP_NGF_NI,0,COLUMN())&lt;=0,G46&lt;=0),"NMF",IF(ABS((INDEX(SP_NGF_NI,0,COLUMN())/INDEX(SP_GF_ShareCount,0,COLUMN()))/(G46/G41)-1)&gt;10,"NMF",(INDEX(SP_NGF_NI,0,COLUMN())/INDEX(SP_GF_ShareCount,0,COLUMN()))/(G46/G41)-1))</f>
        <v/>
      </c>
      <c r="M114" s="1984">
        <f>IF(OR(INDEX(SP_NGF_NI,0,COLUMN())&lt;=0,H46&lt;=0),"NMF",IF(ABS((INDEX(SP_NGF_NI,0,COLUMN())/INDEX(SP_GF_ShareCount,0,COLUMN()))/(H46/H41)-1)&gt;10,"NMF",(INDEX(SP_NGF_NI,0,COLUMN())/INDEX(SP_GF_ShareCount,0,COLUMN()))/(H46/H41)-1))</f>
        <v/>
      </c>
      <c r="N114" s="1984">
        <f>IF(OR(INDEX(SP_NGF_NI,0,COLUMN())&lt;=0,I46&lt;=0),"NMF",IF(ABS((INDEX(SP_NGF_NI,0,COLUMN())/INDEX(SP_GF_ShareCount,0,COLUMN()))/(I46/I41)-1)&gt;10,"NMF",(INDEX(SP_NGF_NI,0,COLUMN())/INDEX(SP_GF_ShareCount,0,COLUMN()))/(I46/I41)-1))</f>
        <v/>
      </c>
      <c r="O114" s="1984">
        <f>IF(OR(INDEX(SP_NGF_NI,0,COLUMN())&lt;=0,J46&lt;=0),"NMF",IF(ABS((INDEX(SP_NGF_NI,0,COLUMN())/INDEX(SP_GF_ShareCount,0,COLUMN()))/(J46/J41)-1)&gt;10,"NMF",(INDEX(SP_NGF_NI,0,COLUMN())/INDEX(SP_GF_ShareCount,0,COLUMN()))/(J46/J41)-1))</f>
        <v/>
      </c>
      <c r="P114" s="1984">
        <f>IF(OR(INDEX(SP_NGF_NI,0,COLUMN())&lt;=0,K46&lt;=0),"NMF",IF(ABS((INDEX(SP_NGF_NI,0,COLUMN())/INDEX(SP_GF_ShareCount,0,COLUMN()))/(K46/K41)-1)&gt;10,"NMF",(INDEX(SP_NGF_NI,0,COLUMN())/INDEX(SP_GF_ShareCount,0,COLUMN()))/(K46/K41)-1))</f>
        <v/>
      </c>
      <c r="Q114" s="1983">
        <f>IF(OR(INDEX(SP_NGF_NI,0,COLUMN())&lt;=0,L46&lt;=0),"NMF",IF(ABS((INDEX(SP_NGF_NI,0,COLUMN())/INDEX(SP_GF_ShareCount,0,COLUMN()))/(L46/L41)-1)&gt;10,"NMF",(INDEX(SP_NGF_NI,0,COLUMN())/INDEX(SP_GF_ShareCount,0,COLUMN()))/(L46/L41)-1))</f>
        <v/>
      </c>
      <c r="R114" s="1984">
        <f>IF(OR(INDEX(SP_NGF_NI,0,COLUMN())&lt;=0,M46&lt;=0),"NMF",IF(ABS((INDEX(SP_NGF_NI,0,COLUMN())/INDEX(SP_GF_ShareCount,0,COLUMN()))/(M46/M41)-1)&gt;10,"NMF",(INDEX(SP_NGF_NI,0,COLUMN())/INDEX(SP_GF_ShareCount,0,COLUMN()))/(M46/M41)-1))</f>
        <v/>
      </c>
      <c r="S114" s="1984">
        <f>IF(OR(INDEX(SP_NGF_NI,0,COLUMN())&lt;=0,N46&lt;=0),"NMF",IF(ABS((INDEX(SP_NGF_NI,0,COLUMN())/INDEX(SP_GF_ShareCount,0,COLUMN()))/(N46/N41)-1)&gt;10,"NMF",(INDEX(SP_NGF_NI,0,COLUMN())/INDEX(SP_GF_ShareCount,0,COLUMN()))/(N46/N41)-1))</f>
        <v/>
      </c>
      <c r="T114" s="1984">
        <f>IF(OR(INDEX(SP_NGF_NI,0,COLUMN())&lt;=0,O46&lt;=0),"NMF",IF(ABS((INDEX(SP_NGF_NI,0,COLUMN())/INDEX(SP_GF_ShareCount,0,COLUMN()))/(O46/O41)-1)&gt;10,"NMF",(INDEX(SP_NGF_NI,0,COLUMN())/INDEX(SP_GF_ShareCount,0,COLUMN()))/(O46/O41)-1))</f>
        <v/>
      </c>
      <c r="U114" s="1984">
        <f>IF(OR(INDEX(SP_NGF_NI,0,COLUMN())&lt;=0,P46&lt;=0),"NMF",IF(ABS((INDEX(SP_NGF_NI,0,COLUMN())/INDEX(SP_GF_ShareCount,0,COLUMN()))/(P46/P41)-1)&gt;10,"NMF",(INDEX(SP_NGF_NI,0,COLUMN())/INDEX(SP_GF_ShareCount,0,COLUMN()))/(P46/P41)-1))</f>
        <v/>
      </c>
      <c r="V114" s="1983">
        <f>IF(OR(INDEX(SP_NGF_NI,0,COLUMN())&lt;=0,Q46&lt;=0),"NMF",IF(ABS((INDEX(SP_NGF_NI,0,COLUMN())/INDEX(SP_GF_ShareCount,0,COLUMN()))/(Q46/Q41)-1)&gt;10,"NMF",(INDEX(SP_NGF_NI,0,COLUMN())/INDEX(SP_GF_ShareCount,0,COLUMN()))/(Q46/Q41)-1))</f>
        <v/>
      </c>
      <c r="W114" s="1984">
        <f>IF(OR(INDEX(SP_NGF_NI,0,COLUMN())&lt;=0,R46&lt;=0),"NMF",IF(ABS((INDEX(SP_NGF_NI,0,COLUMN())/INDEX(SP_GF_ShareCount,0,COLUMN()))/(R46/R41)-1)&gt;10,"NMF",(INDEX(SP_NGF_NI,0,COLUMN())/INDEX(SP_GF_ShareCount,0,COLUMN()))/(R46/R41)-1))</f>
        <v/>
      </c>
      <c r="X114" s="1984">
        <f>IF(OR(INDEX(SP_NGF_NI,0,COLUMN())&lt;=0,S46&lt;=0),"NMF",IF(ABS((INDEX(SP_NGF_NI,0,COLUMN())/INDEX(SP_GF_ShareCount,0,COLUMN()))/(S46/S41)-1)&gt;10,"NMF",(INDEX(SP_NGF_NI,0,COLUMN())/INDEX(SP_GF_ShareCount,0,COLUMN()))/(S46/S41)-1))</f>
        <v/>
      </c>
      <c r="Y114" s="1984">
        <f>IF(OR(INDEX(SP_NGF_NI,0,COLUMN())&lt;=0,T46&lt;=0),"NMF",IF(ABS((INDEX(SP_NGF_NI,0,COLUMN())/INDEX(SP_GF_ShareCount,0,COLUMN()))/(T46/T41)-1)&gt;10,"NMF",(INDEX(SP_NGF_NI,0,COLUMN())/INDEX(SP_GF_ShareCount,0,COLUMN()))/(T46/T41)-1))</f>
        <v/>
      </c>
      <c r="Z114" s="1984">
        <f>IF(OR(INDEX(SP_NGF_NI,0,COLUMN())&lt;=0,U46&lt;=0),"NMF",IF(ABS((INDEX(SP_NGF_NI,0,COLUMN())/INDEX(SP_GF_ShareCount,0,COLUMN()))/(U46/U41)-1)&gt;10,"NMF",(INDEX(SP_NGF_NI,0,COLUMN())/INDEX(SP_GF_ShareCount,0,COLUMN()))/(U46/U41)-1))</f>
        <v/>
      </c>
      <c r="AA114" s="1983">
        <f>IF(OR(INDEX(SP_NGF_NI,0,COLUMN())&lt;=0,V46&lt;=0),"NMF",IF(ABS((INDEX(SP_NGF_NI,0,COLUMN())/INDEX(SP_GF_ShareCount,0,COLUMN()))/(V46/V41)-1)&gt;10,"NMF",(INDEX(SP_NGF_NI,0,COLUMN())/INDEX(SP_GF_ShareCount,0,COLUMN()))/(V46/V41)-1))</f>
        <v/>
      </c>
      <c r="AB114" s="1984">
        <f>IF(OR(INDEX(SP_NGF_NI,0,COLUMN())&lt;=0,W46&lt;=0),"NMF",IF(ABS((INDEX(SP_NGF_NI,0,COLUMN())/INDEX(SP_GF_ShareCount,0,COLUMN()))/(W46/W41)-1)&gt;10,"NMF",(INDEX(SP_NGF_NI,0,COLUMN())/INDEX(SP_GF_ShareCount,0,COLUMN()))/(W46/W41)-1))</f>
        <v/>
      </c>
      <c r="AC114" s="1984">
        <f>IF(OR(INDEX(SP_NGF_NI,0,COLUMN())&lt;=0,X46&lt;=0),"NMF",IF(ABS((INDEX(SP_NGF_NI,0,COLUMN())/INDEX(SP_GF_ShareCount,0,COLUMN()))/(X46/X41)-1)&gt;10,"NMF",(INDEX(SP_NGF_NI,0,COLUMN())/INDEX(SP_GF_ShareCount,0,COLUMN()))/(X46/X41)-1))</f>
        <v/>
      </c>
      <c r="AD114" s="1984">
        <f>IF(OR(INDEX(SP_NGF_NI,0,COLUMN())&lt;=0,Y46&lt;=0),"NMF",IF(ABS((INDEX(SP_NGF_NI,0,COLUMN())/INDEX(SP_GF_ShareCount,0,COLUMN()))/(Y46/Y41)-1)&gt;10,"NMF",(INDEX(SP_NGF_NI,0,COLUMN())/INDEX(SP_GF_ShareCount,0,COLUMN()))/(Y46/Y41)-1))</f>
        <v/>
      </c>
      <c r="AE114" s="1984">
        <f>IF(OR(INDEX(SP_NGF_NI,0,COLUMN())&lt;=0,Z46&lt;=0),"NMF",IF(ABS((INDEX(SP_NGF_NI,0,COLUMN())/INDEX(SP_GF_ShareCount,0,COLUMN()))/(Z46/Z41)-1)&gt;10,"NMF",(INDEX(SP_NGF_NI,0,COLUMN())/INDEX(SP_GF_ShareCount,0,COLUMN()))/(Z46/Z41)-1))</f>
        <v/>
      </c>
      <c r="AF114" s="1983">
        <f>IF(OR(INDEX(SP_NGF_NI,0,COLUMN())&lt;=0,AA46&lt;=0),"NMF",IF(ABS((INDEX(SP_NGF_NI,0,COLUMN())/INDEX(SP_GF_ShareCount,0,COLUMN()))/(AA46/AA41)-1)&gt;10,"NMF",(INDEX(SP_NGF_NI,0,COLUMN())/INDEX(SP_GF_ShareCount,0,COLUMN()))/(AA46/AA41)-1))</f>
        <v/>
      </c>
      <c r="AG114" s="1984">
        <f>IF(OR(INDEX(SP_NGF_NI,0,COLUMN())&lt;=0,AB46&lt;=0),"NMF",IF(ABS((INDEX(SP_NGF_NI,0,COLUMN())/INDEX(SP_GF_ShareCount,0,COLUMN()))/(AB46/AB41)-1)&gt;10,"NMF",(INDEX(SP_NGF_NI,0,COLUMN())/INDEX(SP_GF_ShareCount,0,COLUMN()))/(AB46/AB41)-1))</f>
        <v/>
      </c>
      <c r="AH114" s="1984">
        <f>IF(OR(INDEX(SP_NGF_NI,0,COLUMN())&lt;=0,AC46&lt;=0),"NMF",IF(ABS((INDEX(SP_NGF_NI,0,COLUMN())/INDEX(SP_GF_ShareCount,0,COLUMN()))/(AC46/AC41)-1)&gt;10,"NMF",(INDEX(SP_NGF_NI,0,COLUMN())/INDEX(SP_GF_ShareCount,0,COLUMN()))/(AC46/AC41)-1))</f>
        <v/>
      </c>
      <c r="AI114" s="1984">
        <f>IF(OR(INDEX(SP_NGF_NI,0,COLUMN())&lt;=0,AD46&lt;=0),"NMF",IF(ABS((INDEX(SP_NGF_NI,0,COLUMN())/INDEX(SP_GF_ShareCount,0,COLUMN()))/(AD46/AD41)-1)&gt;10,"NMF",(INDEX(SP_NGF_NI,0,COLUMN())/INDEX(SP_GF_ShareCount,0,COLUMN()))/(AD46/AD41)-1))</f>
        <v/>
      </c>
      <c r="AJ114" s="1984">
        <f>IF(OR(INDEX(SP_NGF_NI,0,COLUMN())&lt;=0,AE46&lt;=0),"NMF",IF(ABS((INDEX(SP_NGF_NI,0,COLUMN())/INDEX(SP_GF_ShareCount,0,COLUMN()))/(AE46/AE41)-1)&gt;10,"NMF",(INDEX(SP_NGF_NI,0,COLUMN())/INDEX(SP_GF_ShareCount,0,COLUMN()))/(AE46/AE41)-1))</f>
        <v/>
      </c>
      <c r="AK114" s="1983">
        <f>IF(OR(INDEX(SP_NGF_NI,0,COLUMN())&lt;=0,AF46&lt;=0),"NMF",IF(ABS((INDEX(SP_NGF_NI,0,COLUMN())/INDEX(SP_GF_ShareCount,0,COLUMN()))/(AF46/AF41)-1)&gt;10,"NMF",(INDEX(SP_NGF_NI,0,COLUMN())/INDEX(SP_GF_ShareCount,0,COLUMN()))/(AF46/AF41)-1))</f>
        <v/>
      </c>
      <c r="AL114" s="1984">
        <f>IF(OR(INDEX(SP_NGF_NI,0,COLUMN())&lt;=0,AG46&lt;=0),"NMF",IF(ABS((INDEX(SP_NGF_NI,0,COLUMN())/INDEX(SP_GF_ShareCount,0,COLUMN()))/(AG46/AG41)-1)&gt;10,"NMF",(INDEX(SP_NGF_NI,0,COLUMN())/INDEX(SP_GF_ShareCount,0,COLUMN()))/(AG46/AG41)-1))</f>
        <v/>
      </c>
      <c r="AM114" s="1984">
        <f>IF(OR(INDEX(SP_NGF_NI,0,COLUMN())&lt;=0,AH46&lt;=0),"NMF",IF(ABS((INDEX(SP_NGF_NI,0,COLUMN())/INDEX(SP_GF_ShareCount,0,COLUMN()))/(AH46/AH41)-1)&gt;10,"NMF",(INDEX(SP_NGF_NI,0,COLUMN())/INDEX(SP_GF_ShareCount,0,COLUMN()))/(AH46/AH41)-1))</f>
        <v/>
      </c>
      <c r="AN114" s="1984">
        <f>IF(OR(INDEX(SP_NGF_NI,0,COLUMN())&lt;=0,AI46&lt;=0),"NMF",IF(ABS((INDEX(SP_NGF_NI,0,COLUMN())/INDEX(SP_GF_ShareCount,0,COLUMN()))/(AI46/AI41)-1)&gt;10,"NMF",(INDEX(SP_NGF_NI,0,COLUMN())/INDEX(SP_GF_ShareCount,0,COLUMN()))/(AI46/AI41)-1))</f>
        <v/>
      </c>
      <c r="AO114" s="1984">
        <f>IF(OR(INDEX(SP_NGF_NI,0,COLUMN())&lt;=0,AJ46&lt;=0),"NMF",IF(ABS((INDEX(SP_NGF_NI,0,COLUMN())/INDEX(SP_GF_ShareCount,0,COLUMN()))/(AJ46/AJ41)-1)&gt;10,"NMF",(INDEX(SP_NGF_NI,0,COLUMN())/INDEX(SP_GF_ShareCount,0,COLUMN()))/(AJ46/AJ41)-1))</f>
        <v/>
      </c>
      <c r="AP114" s="1983">
        <f>IF(OR(INDEX(SP_NGF_NI,0,COLUMN())&lt;=0,AK46&lt;=0),"NMF",IF(ABS((INDEX(SP_NGF_NI,0,COLUMN())/INDEX(SP_GF_ShareCount,0,COLUMN()))/(AK46/AK41)-1)&gt;10,"NMF",(INDEX(SP_NGF_NI,0,COLUMN())/INDEX(SP_GF_ShareCount,0,COLUMN()))/(AK46/AK41)-1))</f>
        <v/>
      </c>
      <c r="AQ114" s="1984">
        <f>IF(OR(INDEX(SP_NGF_NI,0,COLUMN())&lt;=0,AL46&lt;=0),"NMF",IF(ABS((INDEX(SP_NGF_NI,0,COLUMN())/INDEX(SP_GF_ShareCount,0,COLUMN()))/(AL46/AL41)-1)&gt;10,"NMF",(INDEX(SP_NGF_NI,0,COLUMN())/INDEX(SP_GF_ShareCount,0,COLUMN()))/(AL46/AL41)-1))</f>
        <v/>
      </c>
      <c r="AR114" s="1984">
        <f>IF(OR(INDEX(SP_NGF_NI,0,COLUMN())&lt;=0,AM46&lt;=0),"NMF",IF(ABS((INDEX(SP_NGF_NI,0,COLUMN())/INDEX(SP_GF_ShareCount,0,COLUMN()))/(AM46/AM41)-1)&gt;10,"NMF",(INDEX(SP_NGF_NI,0,COLUMN())/INDEX(SP_GF_ShareCount,0,COLUMN()))/(AM46/AM41)-1))</f>
        <v/>
      </c>
      <c r="AS114" s="1984">
        <f>IF(OR(INDEX(SP_NGF_NI,0,COLUMN())&lt;=0,AN46&lt;=0),"NMF",IF(ABS((INDEX(SP_NGF_NI,0,COLUMN())/INDEX(SP_GF_ShareCount,0,COLUMN()))/(AN46/AN41)-1)&gt;10,"NMF",(INDEX(SP_NGF_NI,0,COLUMN())/INDEX(SP_GF_ShareCount,0,COLUMN()))/(AN46/AN41)-1))</f>
        <v/>
      </c>
      <c r="AT114" s="1984">
        <f>IF(OR(INDEX(SP_NGF_NI,0,COLUMN())&lt;=0,AO46&lt;=0),"NMF",IF(ABS((INDEX(SP_NGF_NI,0,COLUMN())/INDEX(SP_GF_ShareCount,0,COLUMN()))/(AO46/AO41)-1)&gt;10,"NMF",(INDEX(SP_NGF_NI,0,COLUMN())/INDEX(SP_GF_ShareCount,0,COLUMN()))/(AO46/AO41)-1))</f>
        <v/>
      </c>
      <c r="AU114" s="1983">
        <f>IF(OR(INDEX(SP_NGF_NI,0,COLUMN())&lt;=0,AP46&lt;=0),"NMF",IF(ABS((INDEX(SP_NGF_NI,0,COLUMN())/INDEX(SP_GF_ShareCount,0,COLUMN()))/(AP46/AP41)-1)&gt;10,"NMF",(INDEX(SP_NGF_NI,0,COLUMN())/INDEX(SP_GF_ShareCount,0,COLUMN()))/(AP46/AP41)-1))</f>
        <v/>
      </c>
      <c r="AV114" s="1984">
        <f>IF(OR(INDEX(SP_NGF_NI,0,COLUMN())&lt;=0,AQ46&lt;=0),"NMF",IF(ABS((INDEX(SP_NGF_NI,0,COLUMN())/INDEX(SP_GF_ShareCount,0,COLUMN()))/(AQ46/AQ41)-1)&gt;10,"NMF",(INDEX(SP_NGF_NI,0,COLUMN())/INDEX(SP_GF_ShareCount,0,COLUMN()))/(AQ46/AQ41)-1))</f>
        <v/>
      </c>
      <c r="AW114" s="1984">
        <f>IF(OR(INDEX(SP_NGF_NI,0,COLUMN())&lt;=0,AR46&lt;=0),"NMF",IF(ABS((INDEX(SP_NGF_NI,0,COLUMN())/INDEX(SP_GF_ShareCount,0,COLUMN()))/(AR46/AR41)-1)&gt;10,"NMF",(INDEX(SP_NGF_NI,0,COLUMN())/INDEX(SP_GF_ShareCount,0,COLUMN()))/(AR46/AR41)-1))</f>
        <v/>
      </c>
      <c r="AX114" s="1984">
        <f>IF(OR(INDEX(SP_NGF_NI,0,COLUMN())&lt;=0,AS46&lt;=0),"NMF",IF(ABS((INDEX(SP_NGF_NI,0,COLUMN())/INDEX(SP_GF_ShareCount,0,COLUMN()))/(AS46/AS41)-1)&gt;10,"NMF",(INDEX(SP_NGF_NI,0,COLUMN())/INDEX(SP_GF_ShareCount,0,COLUMN()))/(AS46/AS41)-1))</f>
        <v/>
      </c>
      <c r="AY114" s="1984">
        <f>IF(OR(INDEX(SP_NGF_NI,0,COLUMN())&lt;=0,AT46&lt;=0),"NMF",IF(ABS((INDEX(SP_NGF_NI,0,COLUMN())/INDEX(SP_GF_ShareCount,0,COLUMN()))/(AT46/AT41)-1)&gt;10,"NMF",(INDEX(SP_NGF_NI,0,COLUMN())/INDEX(SP_GF_ShareCount,0,COLUMN()))/(AT46/AT41)-1))</f>
        <v/>
      </c>
      <c r="AZ114" s="1983">
        <f>IF(OR(INDEX(SP_NGF_NI,0,COLUMN())&lt;=0,AU46&lt;=0),"NMF",IF(ABS((INDEX(SP_NGF_NI,0,COLUMN())/INDEX(SP_GF_ShareCount,0,COLUMN()))/(AU46/AU41)-1)&gt;10,"NMF",(INDEX(SP_NGF_NI,0,COLUMN())/INDEX(SP_GF_ShareCount,0,COLUMN()))/(AU46/AU41)-1))</f>
        <v/>
      </c>
      <c r="BA114" s="1984">
        <f>IF(OR(INDEX(SP_NGF_NI,0,COLUMN())&lt;=0,AV46&lt;=0),"NMF",IF(ABS((INDEX(SP_NGF_NI,0,COLUMN())/INDEX(SP_GF_ShareCount,0,COLUMN()))/(AV46/AV41)-1)&gt;10,"NMF",(INDEX(SP_NGF_NI,0,COLUMN())/INDEX(SP_GF_ShareCount,0,COLUMN()))/(AV46/AV41)-1))</f>
        <v/>
      </c>
      <c r="BB114" s="1984">
        <f>IF(OR(INDEX(SP_NGF_NI,0,COLUMN())&lt;=0,AW46&lt;=0),"NMF",IF(ABS((INDEX(SP_NGF_NI,0,COLUMN())/INDEX(SP_GF_ShareCount,0,COLUMN()))/(AW46/AW41)-1)&gt;10,"NMF",(INDEX(SP_NGF_NI,0,COLUMN())/INDEX(SP_GF_ShareCount,0,COLUMN()))/(AW46/AW41)-1))</f>
        <v/>
      </c>
      <c r="BC114" s="1984">
        <f>IF(OR(INDEX(SP_NGF_NI,0,COLUMN())&lt;=0,AX46&lt;=0),"NMF",IF(ABS((INDEX(SP_NGF_NI,0,COLUMN())/INDEX(SP_GF_ShareCount,0,COLUMN()))/(AX46/AX41)-1)&gt;10,"NMF",(INDEX(SP_NGF_NI,0,COLUMN())/INDEX(SP_GF_ShareCount,0,COLUMN()))/(AX46/AX41)-1))</f>
        <v/>
      </c>
      <c r="BD114" s="1984">
        <f>IF(OR(INDEX(SP_NGF_NI,0,COLUMN())&lt;=0,AY46&lt;=0),"NMF",IF(ABS((INDEX(SP_NGF_NI,0,COLUMN())/INDEX(SP_GF_ShareCount,0,COLUMN()))/(AY46/AY41)-1)&gt;10,"NMF",(INDEX(SP_NGF_NI,0,COLUMN())/INDEX(SP_GF_ShareCount,0,COLUMN()))/(AY46/AY41)-1))</f>
        <v/>
      </c>
      <c r="BE114" s="1983">
        <f>IF(OR(INDEX(SP_NGF_NI,0,COLUMN())&lt;=0,AZ46&lt;=0),"NMF",IF(ABS((INDEX(SP_NGF_NI,0,COLUMN())/INDEX(SP_GF_ShareCount,0,COLUMN()))/(AZ46/AZ41)-1)&gt;10,"NMF",(INDEX(SP_NGF_NI,0,COLUMN())/INDEX(SP_GF_ShareCount,0,COLUMN()))/(AZ46/AZ41)-1))</f>
        <v/>
      </c>
      <c r="BF114" s="1984">
        <f>IF(OR(INDEX(SP_NGF_NI,0,COLUMN())&lt;=0,BA46&lt;=0),"NMF",IF(ABS((INDEX(SP_NGF_NI,0,COLUMN())/INDEX(SP_GF_ShareCount,0,COLUMN()))/(BA46/BA41)-1)&gt;10,"NMF",(INDEX(SP_NGF_NI,0,COLUMN())/INDEX(SP_GF_ShareCount,0,COLUMN()))/(BA46/BA41)-1))</f>
        <v/>
      </c>
      <c r="BG114" s="1984">
        <f>IF(OR(INDEX(SP_NGF_NI,0,COLUMN())&lt;=0,BB46&lt;=0),"NMF",IF(ABS((INDEX(SP_NGF_NI,0,COLUMN())/INDEX(SP_GF_ShareCount,0,COLUMN()))/(BB46/BB41)-1)&gt;10,"NMF",(INDEX(SP_NGF_NI,0,COLUMN())/INDEX(SP_GF_ShareCount,0,COLUMN()))/(BB46/BB41)-1))</f>
        <v/>
      </c>
      <c r="BH114" s="1984">
        <f>IF(OR(INDEX(SP_NGF_NI,0,COLUMN())&lt;=0,BC46&lt;=0),"NMF",IF(ABS((INDEX(SP_NGF_NI,0,COLUMN())/INDEX(SP_GF_ShareCount,0,COLUMN()))/(BC46/BC41)-1)&gt;10,"NMF",(INDEX(SP_NGF_NI,0,COLUMN())/INDEX(SP_GF_ShareCount,0,COLUMN()))/(BC46/BC41)-1))</f>
        <v/>
      </c>
      <c r="BI114" s="1984">
        <f>IF(OR(INDEX(SP_NGF_NI,0,COLUMN())&lt;=0,BD46&lt;=0),"NMF",IF(ABS((INDEX(SP_NGF_NI,0,COLUMN())/INDEX(SP_GF_ShareCount,0,COLUMN()))/(BD46/BD41)-1)&gt;10,"NMF",(INDEX(SP_NGF_NI,0,COLUMN())/INDEX(SP_GF_ShareCount,0,COLUMN()))/(BD46/BD41)-1))</f>
        <v/>
      </c>
      <c r="BJ114" s="1983">
        <f>IF(OR(INDEX(SP_NGF_NI,0,COLUMN())&lt;=0,BE46&lt;=0),"NMF",IF(ABS((INDEX(SP_NGF_NI,0,COLUMN())/INDEX(SP_GF_ShareCount,0,COLUMN()))/(BE46/BE41)-1)&gt;10,"NMF",(INDEX(SP_NGF_NI,0,COLUMN())/INDEX(SP_GF_ShareCount,0,COLUMN()))/(BE46/BE41)-1))</f>
        <v/>
      </c>
      <c r="BK114" s="1984">
        <f>IF(OR(INDEX(SP_NGF_NI,0,COLUMN())&lt;=0,BF46&lt;=0),"NMF",IF(ABS((INDEX(SP_NGF_NI,0,COLUMN())/INDEX(SP_GF_ShareCount,0,COLUMN()))/(BF46/BF41)-1)&gt;10,"NMF",(INDEX(SP_NGF_NI,0,COLUMN())/INDEX(SP_GF_ShareCount,0,COLUMN()))/(BF46/BF41)-1))</f>
        <v/>
      </c>
      <c r="BL114" s="1984">
        <f>IF(OR(INDEX(SP_NGF_NI,0,COLUMN())&lt;=0,BG46&lt;=0),"NMF",IF(ABS((INDEX(SP_NGF_NI,0,COLUMN())/INDEX(SP_GF_ShareCount,0,COLUMN()))/(BG46/BG41)-1)&gt;10,"NMF",(INDEX(SP_NGF_NI,0,COLUMN())/INDEX(SP_GF_ShareCount,0,COLUMN()))/(BG46/BG41)-1))</f>
        <v/>
      </c>
      <c r="BM114" s="1984">
        <f>IF(OR(INDEX(SP_NGF_NI,0,COLUMN())&lt;=0,BH46&lt;=0),"NMF",IF(ABS((INDEX(SP_NGF_NI,0,COLUMN())/INDEX(SP_GF_ShareCount,0,COLUMN()))/(BH46/BH41)-1)&gt;10,"NMF",(INDEX(SP_NGF_NI,0,COLUMN())/INDEX(SP_GF_ShareCount,0,COLUMN()))/(BH46/BH41)-1))</f>
        <v/>
      </c>
      <c r="BN114" s="1984">
        <f>IF(OR(INDEX(SP_NGF_NI,0,COLUMN())&lt;=0,BI46&lt;=0),"NMF",IF(ABS((INDEX(SP_NGF_NI,0,COLUMN())/INDEX(SP_GF_ShareCount,0,COLUMN()))/(BI46/BI41)-1)&gt;10,"NMF",(INDEX(SP_NGF_NI,0,COLUMN())/INDEX(SP_GF_ShareCount,0,COLUMN()))/(BI46/BI41)-1))</f>
        <v/>
      </c>
      <c r="BO114" s="1985">
        <f>IF(OR(INDEX(SP_NGF_NI,0,COLUMN())&lt;=0,BJ46&lt;=0),"NMF",IF(ABS((INDEX(SP_NGF_NI,0,COLUMN())/INDEX(SP_GF_ShareCount,0,COLUMN()))/(BJ46/BJ41)-1)&gt;10,"NMF",(INDEX(SP_NGF_NI,0,COLUMN())/INDEX(SP_GF_ShareCount,0,COLUMN()))/(BJ46/BJ41)-1))</f>
        <v/>
      </c>
      <c r="BP114" s="1984">
        <f>IF(OR(INDEX(SP_NGF_NI,0,COLUMN())&lt;=0,BK46&lt;=0),"NMF",IF(ABS((INDEX(SP_NGF_NI,0,COLUMN())/INDEX(SP_GF_ShareCount,0,COLUMN()))/(BK46/BK41)-1)&gt;10,"NMF",(INDEX(SP_NGF_NI,0,COLUMN())/INDEX(SP_GF_ShareCount,0,COLUMN()))/(BK46/BK41)-1))</f>
        <v/>
      </c>
      <c r="BQ114" s="1984">
        <f>IF(OR(INDEX(SP_NGF_NI,0,COLUMN())&lt;=0,BL46&lt;=0),"NMF",IF(ABS((INDEX(SP_NGF_NI,0,COLUMN())/INDEX(SP_GF_ShareCount,0,COLUMN()))/(BL46/BL41)-1)&gt;10,"NMF",(INDEX(SP_NGF_NI,0,COLUMN())/INDEX(SP_GF_ShareCount,0,COLUMN()))/(BL46/BL41)-1))</f>
        <v/>
      </c>
      <c r="BR114" s="1984">
        <f>IF(OR(INDEX(SP_NGF_NI,0,COLUMN())&lt;=0,BM46&lt;=0),"NMF",IF(ABS((INDEX(SP_NGF_NI,0,COLUMN())/INDEX(SP_GF_ShareCount,0,COLUMN()))/(BM46/BM41)-1)&gt;10,"NMF",(INDEX(SP_NGF_NI,0,COLUMN())/INDEX(SP_GF_ShareCount,0,COLUMN()))/(BM46/BM41)-1))</f>
        <v/>
      </c>
      <c r="BS114" s="1984">
        <f>IF(OR(INDEX(SP_NGF_NI,0,COLUMN())&lt;=0,BN46&lt;=0),"NMF",IF(ABS((INDEX(SP_NGF_NI,0,COLUMN())/INDEX(SP_GF_ShareCount,0,COLUMN()))/(BN46/BN41)-1)&gt;10,"NMF",(INDEX(SP_NGF_NI,0,COLUMN())/INDEX(SP_GF_ShareCount,0,COLUMN()))/(BN46/BN41)-1))</f>
        <v/>
      </c>
      <c r="BT114" s="1983">
        <f>IF(OR(INDEX(SP_NGF_NI,0,COLUMN())&lt;=0,BO46&lt;=0),"NMF",IF(ABS((INDEX(SP_NGF_NI,0,COLUMN())/INDEX(SP_GF_ShareCount,0,COLUMN()))/(BO46/BO41)-1)&gt;10,"NMF",(INDEX(SP_NGF_NI,0,COLUMN())/INDEX(SP_GF_ShareCount,0,COLUMN()))/(BO46/BO41)-1))</f>
        <v/>
      </c>
      <c r="BU114" s="1984">
        <f>IF(OR(INDEX(SP_NGF_NI,0,COLUMN())&lt;=0,BP46&lt;=0),"NMF",IF(ABS((INDEX(SP_NGF_NI,0,COLUMN())/INDEX(SP_GF_ShareCount,0,COLUMN()))/(BP46/BP41)-1)&gt;10,"NMF",(INDEX(SP_NGF_NI,0,COLUMN())/INDEX(SP_GF_ShareCount,0,COLUMN()))/(BP46/BP41)-1))</f>
        <v/>
      </c>
      <c r="BV114" s="1984">
        <f>IF(OR(INDEX(SP_NGF_NI,0,COLUMN())&lt;=0,BQ46&lt;=0),"NMF",IF(ABS((INDEX(SP_NGF_NI,0,COLUMN())/INDEX(SP_GF_ShareCount,0,COLUMN()))/(BQ46/BQ41)-1)&gt;10,"NMF",(INDEX(SP_NGF_NI,0,COLUMN())/INDEX(SP_GF_ShareCount,0,COLUMN()))/(BQ46/BQ41)-1))</f>
        <v/>
      </c>
      <c r="BW114" s="1984">
        <f>IF(OR(INDEX(SP_NGF_NI,0,COLUMN())&lt;=0,BR46&lt;=0),"NMF",IF(ABS((INDEX(SP_NGF_NI,0,COLUMN())/INDEX(SP_GF_ShareCount,0,COLUMN()))/(BR46/BR41)-1)&gt;10,"NMF",(INDEX(SP_NGF_NI,0,COLUMN())/INDEX(SP_GF_ShareCount,0,COLUMN()))/(BR46/BR41)-1))</f>
        <v/>
      </c>
      <c r="BX114" s="1984">
        <f>IF(OR(INDEX(SP_NGF_NI,0,COLUMN())&lt;=0,BS46&lt;=0),"NMF",IF(ABS((INDEX(SP_NGF_NI,0,COLUMN())/INDEX(SP_GF_ShareCount,0,COLUMN()))/(BS46/BS41)-1)&gt;10,"NMF",(INDEX(SP_NGF_NI,0,COLUMN())/INDEX(SP_GF_ShareCount,0,COLUMN()))/(BS46/BS41)-1))</f>
        <v/>
      </c>
      <c r="BY114" s="1983">
        <f>IF(OR(INDEX(SP_NGF_NI,0,COLUMN())&lt;=0,BT46&lt;=0),"NMF",IF(ABS((INDEX(SP_NGF_NI,0,COLUMN())/INDEX(SP_GF_ShareCount,0,COLUMN()))/(BT46/BT41)-1)&gt;10,"NMF",(INDEX(SP_NGF_NI,0,COLUMN())/INDEX(SP_GF_ShareCount,0,COLUMN()))/(BT46/BT41)-1))</f>
        <v/>
      </c>
      <c r="BZ114" s="1983">
        <f>IF(OR(INDEX(SP_NGF_NI,0,COLUMN())&lt;=0,BY46&lt;=0),"NMF",IF(ABS((INDEX(SP_NGF_NI,0,COLUMN())/INDEX(SP_GF_ShareCount,0,COLUMN()))/(BY46/BY41)-1)&gt;10,"NMF",(INDEX(SP_NGF_NI,0,COLUMN())/INDEX(SP_GF_ShareCount,0,COLUMN()))/(BY46/BY41)-1))</f>
        <v/>
      </c>
      <c r="CA114" s="1983">
        <f>IF(OR(INDEX(SP_NGF_NI,0,COLUMN())&lt;=0,BZ46&lt;=0),"NMF",IF(ABS((INDEX(SP_NGF_NI,0,COLUMN())/INDEX(SP_GF_ShareCount,0,COLUMN()))/(BZ46/BZ41)-1)&gt;10,"NMF",(INDEX(SP_NGF_NI,0,COLUMN())/INDEX(SP_GF_ShareCount,0,COLUMN()))/(BZ46/BZ41)-1))</f>
        <v/>
      </c>
      <c r="CB114" s="1983">
        <f>IF(OR(INDEX(SP_NGF_NI,0,COLUMN())&lt;=0,CA46&lt;=0),"NMF",IF(ABS((INDEX(SP_NGF_NI,0,COLUMN())/INDEX(SP_GF_ShareCount,0,COLUMN()))/(CA46/CA41)-1)&gt;10,"NMF",(INDEX(SP_NGF_NI,0,COLUMN())/INDEX(SP_GF_ShareCount,0,COLUMN()))/(CA46/CA41)-1))</f>
        <v/>
      </c>
      <c r="CC114" s="1527" t="n"/>
    </row>
    <row r="115" ht="14.4" customFormat="1" customHeight="1" s="1925">
      <c r="A115" s="2051" t="inlineStr">
        <is>
          <t>Operating Cash Flow Per Share Growth</t>
        </is>
      </c>
      <c r="B115" s="1982" t="n"/>
      <c r="C115" s="1983" t="n"/>
      <c r="D115" s="1983">
        <f>IF(OR(INDEX(SP_CFA_CFO,0,COLUMN())&lt;=0,C64&lt;=0),"NMF",IF(ABS((INDEX(SP_CFA_CFO,0,COLUMN())/INDEX(SP_GF_ShareCount,0,COLUMN()))/(C64/C41)-1)&gt;10,"NMF",(INDEX(SP_CFA_CFO,0,COLUMN())/INDEX(SP_GF_ShareCount,0,COLUMN()))/(C64/C41)-1))</f>
        <v/>
      </c>
      <c r="E115" s="1983">
        <f>IF(OR(INDEX(SP_CFA_CFO,0,COLUMN())&lt;=0,D64&lt;=0),"NMF",IF(ABS((INDEX(SP_CFA_CFO,0,COLUMN())/INDEX(SP_GF_ShareCount,0,COLUMN()))/(D64/D41)-1)&gt;10,"NMF",(INDEX(SP_CFA_CFO,0,COLUMN())/INDEX(SP_GF_ShareCount,0,COLUMN()))/(D64/D41)-1))</f>
        <v/>
      </c>
      <c r="F115" s="1983">
        <f>IF(OR(INDEX(SP_CFA_CFO,0,COLUMN())&lt;=0,E64&lt;=0),"NMF",IF(ABS((INDEX(SP_CFA_CFO,0,COLUMN())/INDEX(SP_GF_ShareCount,0,COLUMN()))/(E64/E41)-1)&gt;10,"NMF",(INDEX(SP_CFA_CFO,0,COLUMN())/INDEX(SP_GF_ShareCount,0,COLUMN()))/(E64/E41)-1))</f>
        <v/>
      </c>
      <c r="G115" s="1983">
        <f>IF(OR(INDEX(SP_CFA_CFO,0,COLUMN())&lt;=0,F64&lt;=0),"NMF",IF(ABS((INDEX(SP_CFA_CFO,0,COLUMN())/INDEX(SP_GF_ShareCount,0,COLUMN()))/(F64/F41)-1)&gt;10,"NMF",(INDEX(SP_CFA_CFO,0,COLUMN())/INDEX(SP_GF_ShareCount,0,COLUMN()))/(F64/F41)-1))</f>
        <v/>
      </c>
      <c r="H115" s="1984" t="n"/>
      <c r="I115" s="1984" t="n"/>
      <c r="J115" s="1984" t="n"/>
      <c r="K115" s="1984" t="n"/>
      <c r="L115" s="1983">
        <f>IF(OR(INDEX(SP_CFA_CFO,0,COLUMN())&lt;=0,G64&lt;=0),"NMF",IF(ABS((INDEX(SP_CFA_CFO,0,COLUMN())/INDEX(SP_GF_ShareCount,0,COLUMN()))/(G64/G41)-1)&gt;10,"NMF",(INDEX(SP_CFA_CFO,0,COLUMN())/INDEX(SP_GF_ShareCount,0,COLUMN()))/(G64/G41)-1))</f>
        <v/>
      </c>
      <c r="M115" s="1984">
        <f>IF(OR(INDEX(SP_CFA_CFO,0,COLUMN())&lt;=0,H64&lt;=0),"NMF",IF(ABS((INDEX(SP_CFA_CFO,0,COLUMN())/INDEX(SP_GF_ShareCount,0,COLUMN()))/(H64/H41)-1)&gt;10,"NMF",(INDEX(SP_CFA_CFO,0,COLUMN())/INDEX(SP_GF_ShareCount,0,COLUMN()))/(H64/H41)-1))</f>
        <v/>
      </c>
      <c r="N115" s="1984">
        <f>IF(OR(INDEX(SP_CFA_CFO,0,COLUMN())&lt;=0,I64&lt;=0),"NMF",IF(ABS((INDEX(SP_CFA_CFO,0,COLUMN())/INDEX(SP_GF_ShareCount,0,COLUMN()))/(I64/I41)-1)&gt;10,"NMF",(INDEX(SP_CFA_CFO,0,COLUMN())/INDEX(SP_GF_ShareCount,0,COLUMN()))/(I64/I41)-1))</f>
        <v/>
      </c>
      <c r="O115" s="1984">
        <f>IF(OR(INDEX(SP_CFA_CFO,0,COLUMN())&lt;=0,J64&lt;=0),"NMF",IF(ABS((INDEX(SP_CFA_CFO,0,COLUMN())/INDEX(SP_GF_ShareCount,0,COLUMN()))/(J64/J41)-1)&gt;10,"NMF",(INDEX(SP_CFA_CFO,0,COLUMN())/INDEX(SP_GF_ShareCount,0,COLUMN()))/(J64/J41)-1))</f>
        <v/>
      </c>
      <c r="P115" s="1984">
        <f>IF(OR(INDEX(SP_CFA_CFO,0,COLUMN())&lt;=0,K64&lt;=0),"NMF",IF(ABS((INDEX(SP_CFA_CFO,0,COLUMN())/INDEX(SP_GF_ShareCount,0,COLUMN()))/(K64/K41)-1)&gt;10,"NMF",(INDEX(SP_CFA_CFO,0,COLUMN())/INDEX(SP_GF_ShareCount,0,COLUMN()))/(K64/K41)-1))</f>
        <v/>
      </c>
      <c r="Q115" s="1983">
        <f>IF(OR(INDEX(SP_CFA_CFO,0,COLUMN())&lt;=0,L64&lt;=0),"NMF",IF(ABS((INDEX(SP_CFA_CFO,0,COLUMN())/INDEX(SP_GF_ShareCount,0,COLUMN()))/(L64/L41)-1)&gt;10,"NMF",(INDEX(SP_CFA_CFO,0,COLUMN())/INDEX(SP_GF_ShareCount,0,COLUMN()))/(L64/L41)-1))</f>
        <v/>
      </c>
      <c r="R115" s="1984">
        <f>IF(OR(INDEX(SP_CFA_CFO,0,COLUMN())&lt;=0,M64&lt;=0),"NMF",IF(ABS((INDEX(SP_CFA_CFO,0,COLUMN())/INDEX(SP_GF_ShareCount,0,COLUMN()))/(M64/M41)-1)&gt;10,"NMF",(INDEX(SP_CFA_CFO,0,COLUMN())/INDEX(SP_GF_ShareCount,0,COLUMN()))/(M64/M41)-1))</f>
        <v/>
      </c>
      <c r="S115" s="1984">
        <f>IF(OR(INDEX(SP_CFA_CFO,0,COLUMN())&lt;=0,N64&lt;=0),"NMF",IF(ABS((INDEX(SP_CFA_CFO,0,COLUMN())/INDEX(SP_GF_ShareCount,0,COLUMN()))/(N64/N41)-1)&gt;10,"NMF",(INDEX(SP_CFA_CFO,0,COLUMN())/INDEX(SP_GF_ShareCount,0,COLUMN()))/(N64/N41)-1))</f>
        <v/>
      </c>
      <c r="T115" s="1984">
        <f>IF(OR(INDEX(SP_CFA_CFO,0,COLUMN())&lt;=0,O64&lt;=0),"NMF",IF(ABS((INDEX(SP_CFA_CFO,0,COLUMN())/INDEX(SP_GF_ShareCount,0,COLUMN()))/(O64/O41)-1)&gt;10,"NMF",(INDEX(SP_CFA_CFO,0,COLUMN())/INDEX(SP_GF_ShareCount,0,COLUMN()))/(O64/O41)-1))</f>
        <v/>
      </c>
      <c r="U115" s="1984">
        <f>IF(OR(INDEX(SP_CFA_CFO,0,COLUMN())&lt;=0,P64&lt;=0),"NMF",IF(ABS((INDEX(SP_CFA_CFO,0,COLUMN())/INDEX(SP_GF_ShareCount,0,COLUMN()))/(P64/P41)-1)&gt;10,"NMF",(INDEX(SP_CFA_CFO,0,COLUMN())/INDEX(SP_GF_ShareCount,0,COLUMN()))/(P64/P41)-1))</f>
        <v/>
      </c>
      <c r="V115" s="1983">
        <f>IF(OR(INDEX(SP_CFA_CFO,0,COLUMN())&lt;=0,Q64&lt;=0),"NMF",IF(ABS((INDEX(SP_CFA_CFO,0,COLUMN())/INDEX(SP_GF_ShareCount,0,COLUMN()))/(Q64/Q41)-1)&gt;10,"NMF",(INDEX(SP_CFA_CFO,0,COLUMN())/INDEX(SP_GF_ShareCount,0,COLUMN()))/(Q64/Q41)-1))</f>
        <v/>
      </c>
      <c r="W115" s="1984">
        <f>IF(OR(INDEX(SP_CFA_CFO,0,COLUMN())&lt;=0,R64&lt;=0),"NMF",IF(ABS((INDEX(SP_CFA_CFO,0,COLUMN())/INDEX(SP_GF_ShareCount,0,COLUMN()))/(R64/R41)-1)&gt;10,"NMF",(INDEX(SP_CFA_CFO,0,COLUMN())/INDEX(SP_GF_ShareCount,0,COLUMN()))/(R64/R41)-1))</f>
        <v/>
      </c>
      <c r="X115" s="1984">
        <f>IF(OR(INDEX(SP_CFA_CFO,0,COLUMN())&lt;=0,S64&lt;=0),"NMF",IF(ABS((INDEX(SP_CFA_CFO,0,COLUMN())/INDEX(SP_GF_ShareCount,0,COLUMN()))/(S64/S41)-1)&gt;10,"NMF",(INDEX(SP_CFA_CFO,0,COLUMN())/INDEX(SP_GF_ShareCount,0,COLUMN()))/(S64/S41)-1))</f>
        <v/>
      </c>
      <c r="Y115" s="1984">
        <f>IF(OR(INDEX(SP_CFA_CFO,0,COLUMN())&lt;=0,T64&lt;=0),"NMF",IF(ABS((INDEX(SP_CFA_CFO,0,COLUMN())/INDEX(SP_GF_ShareCount,0,COLUMN()))/(T64/T41)-1)&gt;10,"NMF",(INDEX(SP_CFA_CFO,0,COLUMN())/INDEX(SP_GF_ShareCount,0,COLUMN()))/(T64/T41)-1))</f>
        <v/>
      </c>
      <c r="Z115" s="1984">
        <f>IF(OR(INDEX(SP_CFA_CFO,0,COLUMN())&lt;=0,U64&lt;=0),"NMF",IF(ABS((INDEX(SP_CFA_CFO,0,COLUMN())/INDEX(SP_GF_ShareCount,0,COLUMN()))/(U64/U41)-1)&gt;10,"NMF",(INDEX(SP_CFA_CFO,0,COLUMN())/INDEX(SP_GF_ShareCount,0,COLUMN()))/(U64/U41)-1))</f>
        <v/>
      </c>
      <c r="AA115" s="1983">
        <f>IF(OR(INDEX(SP_CFA_CFO,0,COLUMN())&lt;=0,V64&lt;=0),"NMF",IF(ABS((INDEX(SP_CFA_CFO,0,COLUMN())/INDEX(SP_GF_ShareCount,0,COLUMN()))/(V64/V41)-1)&gt;10,"NMF",(INDEX(SP_CFA_CFO,0,COLUMN())/INDEX(SP_GF_ShareCount,0,COLUMN()))/(V64/V41)-1))</f>
        <v/>
      </c>
      <c r="AB115" s="1984">
        <f>IF(OR(INDEX(SP_CFA_CFO,0,COLUMN())&lt;=0,W64&lt;=0),"NMF",IF(ABS((INDEX(SP_CFA_CFO,0,COLUMN())/INDEX(SP_GF_ShareCount,0,COLUMN()))/(W64/W41)-1)&gt;10,"NMF",(INDEX(SP_CFA_CFO,0,COLUMN())/INDEX(SP_GF_ShareCount,0,COLUMN()))/(W64/W41)-1))</f>
        <v/>
      </c>
      <c r="AC115" s="1984">
        <f>IF(OR(INDEX(SP_CFA_CFO,0,COLUMN())&lt;=0,X64&lt;=0),"NMF",IF(ABS((INDEX(SP_CFA_CFO,0,COLUMN())/INDEX(SP_GF_ShareCount,0,COLUMN()))/(X64/X41)-1)&gt;10,"NMF",(INDEX(SP_CFA_CFO,0,COLUMN())/INDEX(SP_GF_ShareCount,0,COLUMN()))/(X64/X41)-1))</f>
        <v/>
      </c>
      <c r="AD115" s="1984">
        <f>IF(OR(INDEX(SP_CFA_CFO,0,COLUMN())&lt;=0,Y64&lt;=0),"NMF",IF(ABS((INDEX(SP_CFA_CFO,0,COLUMN())/INDEX(SP_GF_ShareCount,0,COLUMN()))/(Y64/Y41)-1)&gt;10,"NMF",(INDEX(SP_CFA_CFO,0,COLUMN())/INDEX(SP_GF_ShareCount,0,COLUMN()))/(Y64/Y41)-1))</f>
        <v/>
      </c>
      <c r="AE115" s="1984">
        <f>IF(OR(INDEX(SP_CFA_CFO,0,COLUMN())&lt;=0,Z64&lt;=0),"NMF",IF(ABS((INDEX(SP_CFA_CFO,0,COLUMN())/INDEX(SP_GF_ShareCount,0,COLUMN()))/(Z64/Z41)-1)&gt;10,"NMF",(INDEX(SP_CFA_CFO,0,COLUMN())/INDEX(SP_GF_ShareCount,0,COLUMN()))/(Z64/Z41)-1))</f>
        <v/>
      </c>
      <c r="AF115" s="1983">
        <f>IF(OR(INDEX(SP_CFA_CFO,0,COLUMN())&lt;=0,AA64&lt;=0),"NMF",IF(ABS((INDEX(SP_CFA_CFO,0,COLUMN())/INDEX(SP_GF_ShareCount,0,COLUMN()))/(AA64/AA41)-1)&gt;10,"NMF",(INDEX(SP_CFA_CFO,0,COLUMN())/INDEX(SP_GF_ShareCount,0,COLUMN()))/(AA64/AA41)-1))</f>
        <v/>
      </c>
      <c r="AG115" s="1984">
        <f>IF(OR(INDEX(SP_CFA_CFO,0,COLUMN())&lt;=0,AB64&lt;=0),"NMF",IF(ABS((INDEX(SP_CFA_CFO,0,COLUMN())/INDEX(SP_GF_ShareCount,0,COLUMN()))/(AB64/AB41)-1)&gt;10,"NMF",(INDEX(SP_CFA_CFO,0,COLUMN())/INDEX(SP_GF_ShareCount,0,COLUMN()))/(AB64/AB41)-1))</f>
        <v/>
      </c>
      <c r="AH115" s="1984">
        <f>IF(OR(INDEX(SP_CFA_CFO,0,COLUMN())&lt;=0,AC64&lt;=0),"NMF",IF(ABS((INDEX(SP_CFA_CFO,0,COLUMN())/INDEX(SP_GF_ShareCount,0,COLUMN()))/(AC64/AC41)-1)&gt;10,"NMF",(INDEX(SP_CFA_CFO,0,COLUMN())/INDEX(SP_GF_ShareCount,0,COLUMN()))/(AC64/AC41)-1))</f>
        <v/>
      </c>
      <c r="AI115" s="1984">
        <f>IF(OR(INDEX(SP_CFA_CFO,0,COLUMN())&lt;=0,AD64&lt;=0),"NMF",IF(ABS((INDEX(SP_CFA_CFO,0,COLUMN())/INDEX(SP_GF_ShareCount,0,COLUMN()))/(AD64/AD41)-1)&gt;10,"NMF",(INDEX(SP_CFA_CFO,0,COLUMN())/INDEX(SP_GF_ShareCount,0,COLUMN()))/(AD64/AD41)-1))</f>
        <v/>
      </c>
      <c r="AJ115" s="1984">
        <f>IF(OR(INDEX(SP_CFA_CFO,0,COLUMN())&lt;=0,AE64&lt;=0),"NMF",IF(ABS((INDEX(SP_CFA_CFO,0,COLUMN())/INDEX(SP_GF_ShareCount,0,COLUMN()))/(AE64/AE41)-1)&gt;10,"NMF",(INDEX(SP_CFA_CFO,0,COLUMN())/INDEX(SP_GF_ShareCount,0,COLUMN()))/(AE64/AE41)-1))</f>
        <v/>
      </c>
      <c r="AK115" s="1983">
        <f>IF(OR(INDEX(SP_CFA_CFO,0,COLUMN())&lt;=0,AF64&lt;=0),"NMF",IF(ABS((INDEX(SP_CFA_CFO,0,COLUMN())/INDEX(SP_GF_ShareCount,0,COLUMN()))/(AF64/AF41)-1)&gt;10,"NMF",(INDEX(SP_CFA_CFO,0,COLUMN())/INDEX(SP_GF_ShareCount,0,COLUMN()))/(AF64/AF41)-1))</f>
        <v/>
      </c>
      <c r="AL115" s="1984">
        <f>IF(OR(INDEX(SP_CFA_CFO,0,COLUMN())&lt;=0,AG64&lt;=0),"NMF",IF(ABS((INDEX(SP_CFA_CFO,0,COLUMN())/INDEX(SP_GF_ShareCount,0,COLUMN()))/(AG64/AG41)-1)&gt;10,"NMF",(INDEX(SP_CFA_CFO,0,COLUMN())/INDEX(SP_GF_ShareCount,0,COLUMN()))/(AG64/AG41)-1))</f>
        <v/>
      </c>
      <c r="AM115" s="1984">
        <f>IF(OR(INDEX(SP_CFA_CFO,0,COLUMN())&lt;=0,AH64&lt;=0),"NMF",IF(ABS((INDEX(SP_CFA_CFO,0,COLUMN())/INDEX(SP_GF_ShareCount,0,COLUMN()))/(AH64/AH41)-1)&gt;10,"NMF",(INDEX(SP_CFA_CFO,0,COLUMN())/INDEX(SP_GF_ShareCount,0,COLUMN()))/(AH64/AH41)-1))</f>
        <v/>
      </c>
      <c r="AN115" s="1984">
        <f>IF(OR(INDEX(SP_CFA_CFO,0,COLUMN())&lt;=0,AI64&lt;=0),"NMF",IF(ABS((INDEX(SP_CFA_CFO,0,COLUMN())/INDEX(SP_GF_ShareCount,0,COLUMN()))/(AI64/AI41)-1)&gt;10,"NMF",(INDEX(SP_CFA_CFO,0,COLUMN())/INDEX(SP_GF_ShareCount,0,COLUMN()))/(AI64/AI41)-1))</f>
        <v/>
      </c>
      <c r="AO115" s="1984">
        <f>IF(OR(INDEX(SP_CFA_CFO,0,COLUMN())&lt;=0,AJ64&lt;=0),"NMF",IF(ABS((INDEX(SP_CFA_CFO,0,COLUMN())/INDEX(SP_GF_ShareCount,0,COLUMN()))/(AJ64/AJ41)-1)&gt;10,"NMF",(INDEX(SP_CFA_CFO,0,COLUMN())/INDEX(SP_GF_ShareCount,0,COLUMN()))/(AJ64/AJ41)-1))</f>
        <v/>
      </c>
      <c r="AP115" s="1983">
        <f>IF(OR(INDEX(SP_CFA_CFO,0,COLUMN())&lt;=0,AK64&lt;=0),"NMF",IF(ABS((INDEX(SP_CFA_CFO,0,COLUMN())/INDEX(SP_GF_ShareCount,0,COLUMN()))/(AK64/AK41)-1)&gt;10,"NMF",(INDEX(SP_CFA_CFO,0,COLUMN())/INDEX(SP_GF_ShareCount,0,COLUMN()))/(AK64/AK41)-1))</f>
        <v/>
      </c>
      <c r="AQ115" s="1984">
        <f>IF(OR(INDEX(SP_CFA_CFO,0,COLUMN())&lt;=0,AL64&lt;=0),"NMF",IF(ABS((INDEX(SP_CFA_CFO,0,COLUMN())/INDEX(SP_GF_ShareCount,0,COLUMN()))/(AL64/AL41)-1)&gt;10,"NMF",(INDEX(SP_CFA_CFO,0,COLUMN())/INDEX(SP_GF_ShareCount,0,COLUMN()))/(AL64/AL41)-1))</f>
        <v/>
      </c>
      <c r="AR115" s="1984">
        <f>IF(OR(INDEX(SP_CFA_CFO,0,COLUMN())&lt;=0,AM64&lt;=0),"NMF",IF(ABS((INDEX(SP_CFA_CFO,0,COLUMN())/INDEX(SP_GF_ShareCount,0,COLUMN()))/(AM64/AM41)-1)&gt;10,"NMF",(INDEX(SP_CFA_CFO,0,COLUMN())/INDEX(SP_GF_ShareCount,0,COLUMN()))/(AM64/AM41)-1))</f>
        <v/>
      </c>
      <c r="AS115" s="1984">
        <f>IF(OR(INDEX(SP_CFA_CFO,0,COLUMN())&lt;=0,AN64&lt;=0),"NMF",IF(ABS((INDEX(SP_CFA_CFO,0,COLUMN())/INDEX(SP_GF_ShareCount,0,COLUMN()))/(AN64/AN41)-1)&gt;10,"NMF",(INDEX(SP_CFA_CFO,0,COLUMN())/INDEX(SP_GF_ShareCount,0,COLUMN()))/(AN64/AN41)-1))</f>
        <v/>
      </c>
      <c r="AT115" s="1984">
        <f>IF(OR(INDEX(SP_CFA_CFO,0,COLUMN())&lt;=0,AO64&lt;=0),"NMF",IF(ABS((INDEX(SP_CFA_CFO,0,COLUMN())/INDEX(SP_GF_ShareCount,0,COLUMN()))/(AO64/AO41)-1)&gt;10,"NMF",(INDEX(SP_CFA_CFO,0,COLUMN())/INDEX(SP_GF_ShareCount,0,COLUMN()))/(AO64/AO41)-1))</f>
        <v/>
      </c>
      <c r="AU115" s="1983">
        <f>IF(OR(INDEX(SP_CFA_CFO,0,COLUMN())&lt;=0,AP64&lt;=0),"NMF",IF(ABS((INDEX(SP_CFA_CFO,0,COLUMN())/INDEX(SP_GF_ShareCount,0,COLUMN()))/(AP64/AP41)-1)&gt;10,"NMF",(INDEX(SP_CFA_CFO,0,COLUMN())/INDEX(SP_GF_ShareCount,0,COLUMN()))/(AP64/AP41)-1))</f>
        <v/>
      </c>
      <c r="AV115" s="1984">
        <f>IF(OR(INDEX(SP_CFA_CFO,0,COLUMN())&lt;=0,AQ64&lt;=0),"NMF",IF(ABS((INDEX(SP_CFA_CFO,0,COLUMN())/INDEX(SP_GF_ShareCount,0,COLUMN()))/(AQ64/AQ41)-1)&gt;10,"NMF",(INDEX(SP_CFA_CFO,0,COLUMN())/INDEX(SP_GF_ShareCount,0,COLUMN()))/(AQ64/AQ41)-1))</f>
        <v/>
      </c>
      <c r="AW115" s="1984">
        <f>IF(OR(INDEX(SP_CFA_CFO,0,COLUMN())&lt;=0,AR64&lt;=0),"NMF",IF(ABS((INDEX(SP_CFA_CFO,0,COLUMN())/INDEX(SP_GF_ShareCount,0,COLUMN()))/(AR64/AR41)-1)&gt;10,"NMF",(INDEX(SP_CFA_CFO,0,COLUMN())/INDEX(SP_GF_ShareCount,0,COLUMN()))/(AR64/AR41)-1))</f>
        <v/>
      </c>
      <c r="AX115" s="1984">
        <f>IF(OR(INDEX(SP_CFA_CFO,0,COLUMN())&lt;=0,AS64&lt;=0),"NMF",IF(ABS((INDEX(SP_CFA_CFO,0,COLUMN())/INDEX(SP_GF_ShareCount,0,COLUMN()))/(AS64/AS41)-1)&gt;10,"NMF",(INDEX(SP_CFA_CFO,0,COLUMN())/INDEX(SP_GF_ShareCount,0,COLUMN()))/(AS64/AS41)-1))</f>
        <v/>
      </c>
      <c r="AY115" s="1984">
        <f>IF(OR(INDEX(SP_CFA_CFO,0,COLUMN())&lt;=0,AT64&lt;=0),"NMF",IF(ABS((INDEX(SP_CFA_CFO,0,COLUMN())/INDEX(SP_GF_ShareCount,0,COLUMN()))/(AT64/AT41)-1)&gt;10,"NMF",(INDEX(SP_CFA_CFO,0,COLUMN())/INDEX(SP_GF_ShareCount,0,COLUMN()))/(AT64/AT41)-1))</f>
        <v/>
      </c>
      <c r="AZ115" s="1983">
        <f>IF(OR(INDEX(SP_CFA_CFO,0,COLUMN())&lt;=0,AU64&lt;=0),"NMF",IF(ABS((INDEX(SP_CFA_CFO,0,COLUMN())/INDEX(SP_GF_ShareCount,0,COLUMN()))/(AU64/AU41)-1)&gt;10,"NMF",(INDEX(SP_CFA_CFO,0,COLUMN())/INDEX(SP_GF_ShareCount,0,COLUMN()))/(AU64/AU41)-1))</f>
        <v/>
      </c>
      <c r="BA115" s="1984">
        <f>IF(OR(INDEX(SP_CFA_CFO,0,COLUMN())&lt;=0,AV64&lt;=0),"NMF",IF(ABS((INDEX(SP_CFA_CFO,0,COLUMN())/INDEX(SP_GF_ShareCount,0,COLUMN()))/(AV64/AV41)-1)&gt;10,"NMF",(INDEX(SP_CFA_CFO,0,COLUMN())/INDEX(SP_GF_ShareCount,0,COLUMN()))/(AV64/AV41)-1))</f>
        <v/>
      </c>
      <c r="BB115" s="1984">
        <f>IF(OR(INDEX(SP_CFA_CFO,0,COLUMN())&lt;=0,AW64&lt;=0),"NMF",IF(ABS((INDEX(SP_CFA_CFO,0,COLUMN())/INDEX(SP_GF_ShareCount,0,COLUMN()))/(AW64/AW41)-1)&gt;10,"NMF",(INDEX(SP_CFA_CFO,0,COLUMN())/INDEX(SP_GF_ShareCount,0,COLUMN()))/(AW64/AW41)-1))</f>
        <v/>
      </c>
      <c r="BC115" s="1984">
        <f>IF(OR(INDEX(SP_CFA_CFO,0,COLUMN())&lt;=0,AX64&lt;=0),"NMF",IF(ABS((INDEX(SP_CFA_CFO,0,COLUMN())/INDEX(SP_GF_ShareCount,0,COLUMN()))/(AX64/AX41)-1)&gt;10,"NMF",(INDEX(SP_CFA_CFO,0,COLUMN())/INDEX(SP_GF_ShareCount,0,COLUMN()))/(AX64/AX41)-1))</f>
        <v/>
      </c>
      <c r="BD115" s="1984">
        <f>IF(OR(INDEX(SP_CFA_CFO,0,COLUMN())&lt;=0,AY64&lt;=0),"NMF",IF(ABS((INDEX(SP_CFA_CFO,0,COLUMN())/INDEX(SP_GF_ShareCount,0,COLUMN()))/(AY64/AY41)-1)&gt;10,"NMF",(INDEX(SP_CFA_CFO,0,COLUMN())/INDEX(SP_GF_ShareCount,0,COLUMN()))/(AY64/AY41)-1))</f>
        <v/>
      </c>
      <c r="BE115" s="1983">
        <f>IF(OR(INDEX(SP_CFA_CFO,0,COLUMN())&lt;=0,AZ64&lt;=0),"NMF",IF(ABS((INDEX(SP_CFA_CFO,0,COLUMN())/INDEX(SP_GF_ShareCount,0,COLUMN()))/(AZ64/AZ41)-1)&gt;10,"NMF",(INDEX(SP_CFA_CFO,0,COLUMN())/INDEX(SP_GF_ShareCount,0,COLUMN()))/(AZ64/AZ41)-1))</f>
        <v/>
      </c>
      <c r="BF115" s="1984">
        <f>IF(OR(INDEX(SP_CFA_CFO,0,COLUMN())&lt;=0,BA64&lt;=0),"NMF",IF(ABS((INDEX(SP_CFA_CFO,0,COLUMN())/INDEX(SP_GF_ShareCount,0,COLUMN()))/(BA64/BA41)-1)&gt;10,"NMF",(INDEX(SP_CFA_CFO,0,COLUMN())/INDEX(SP_GF_ShareCount,0,COLUMN()))/(BA64/BA41)-1))</f>
        <v/>
      </c>
      <c r="BG115" s="1984">
        <f>IF(OR(INDEX(SP_CFA_CFO,0,COLUMN())&lt;=0,BB64&lt;=0),"NMF",IF(ABS((INDEX(SP_CFA_CFO,0,COLUMN())/INDEX(SP_GF_ShareCount,0,COLUMN()))/(BB64/BB41)-1)&gt;10,"NMF",(INDEX(SP_CFA_CFO,0,COLUMN())/INDEX(SP_GF_ShareCount,0,COLUMN()))/(BB64/BB41)-1))</f>
        <v/>
      </c>
      <c r="BH115" s="1984">
        <f>IF(OR(INDEX(SP_CFA_CFO,0,COLUMN())&lt;=0,BC64&lt;=0),"NMF",IF(ABS((INDEX(SP_CFA_CFO,0,COLUMN())/INDEX(SP_GF_ShareCount,0,COLUMN()))/(BC64/BC41)-1)&gt;10,"NMF",(INDEX(SP_CFA_CFO,0,COLUMN())/INDEX(SP_GF_ShareCount,0,COLUMN()))/(BC64/BC41)-1))</f>
        <v/>
      </c>
      <c r="BI115" s="1984">
        <f>IF(OR(INDEX(SP_CFA_CFO,0,COLUMN())&lt;=0,BD64&lt;=0),"NMF",IF(ABS((INDEX(SP_CFA_CFO,0,COLUMN())/INDEX(SP_GF_ShareCount,0,COLUMN()))/(BD64/BD41)-1)&gt;10,"NMF",(INDEX(SP_CFA_CFO,0,COLUMN())/INDEX(SP_GF_ShareCount,0,COLUMN()))/(BD64/BD41)-1))</f>
        <v/>
      </c>
      <c r="BJ115" s="1983">
        <f>IF(OR(INDEX(SP_CFA_CFO,0,COLUMN())&lt;=0,BE64&lt;=0),"NMF",IF(ABS((INDEX(SP_CFA_CFO,0,COLUMN())/INDEX(SP_GF_ShareCount,0,COLUMN()))/(BE64/BE41)-1)&gt;10,"NMF",(INDEX(SP_CFA_CFO,0,COLUMN())/INDEX(SP_GF_ShareCount,0,COLUMN()))/(BE64/BE41)-1))</f>
        <v/>
      </c>
      <c r="BK115" s="1984">
        <f>IF(OR(INDEX(SP_CFA_CFO,0,COLUMN())&lt;=0,BF64&lt;=0),"NMF",IF(ABS((INDEX(SP_CFA_CFO,0,COLUMN())/INDEX(SP_GF_ShareCount,0,COLUMN()))/(BF64/BF41)-1)&gt;10,"NMF",(INDEX(SP_CFA_CFO,0,COLUMN())/INDEX(SP_GF_ShareCount,0,COLUMN()))/(BF64/BF41)-1))</f>
        <v/>
      </c>
      <c r="BL115" s="1984">
        <f>IF(OR(INDEX(SP_CFA_CFO,0,COLUMN())&lt;=0,BG64&lt;=0),"NMF",IF(ABS((INDEX(SP_CFA_CFO,0,COLUMN())/INDEX(SP_GF_ShareCount,0,COLUMN()))/(BG64/BG41)-1)&gt;10,"NMF",(INDEX(SP_CFA_CFO,0,COLUMN())/INDEX(SP_GF_ShareCount,0,COLUMN()))/(BG64/BG41)-1))</f>
        <v/>
      </c>
      <c r="BM115" s="1984">
        <f>IF(OR(INDEX(SP_CFA_CFO,0,COLUMN())&lt;=0,BH64&lt;=0),"NMF",IF(ABS((INDEX(SP_CFA_CFO,0,COLUMN())/INDEX(SP_GF_ShareCount,0,COLUMN()))/(BH64/BH41)-1)&gt;10,"NMF",(INDEX(SP_CFA_CFO,0,COLUMN())/INDEX(SP_GF_ShareCount,0,COLUMN()))/(BH64/BH41)-1))</f>
        <v/>
      </c>
      <c r="BN115" s="1984">
        <f>IF(OR(INDEX(SP_CFA_CFO,0,COLUMN())&lt;=0,BI64&lt;=0),"NMF",IF(ABS((INDEX(SP_CFA_CFO,0,COLUMN())/INDEX(SP_GF_ShareCount,0,COLUMN()))/(BI64/BI41)-1)&gt;10,"NMF",(INDEX(SP_CFA_CFO,0,COLUMN())/INDEX(SP_GF_ShareCount,0,COLUMN()))/(BI64/BI41)-1))</f>
        <v/>
      </c>
      <c r="BO115" s="1985">
        <f>IF(OR(INDEX(SP_CFA_CFO,0,COLUMN())&lt;=0,BJ64&lt;=0),"NMF",IF(ABS((INDEX(SP_CFA_CFO,0,COLUMN())/INDEX(SP_GF_ShareCount,0,COLUMN()))/(BJ64/BJ41)-1)&gt;10,"NMF",(INDEX(SP_CFA_CFO,0,COLUMN())/INDEX(SP_GF_ShareCount,0,COLUMN()))/(BJ64/BJ41)-1))</f>
        <v/>
      </c>
      <c r="BP115" s="1984">
        <f>IF(OR(INDEX(SP_CFA_CFO,0,COLUMN())&lt;=0,BK64&lt;=0),"NMF",IF(ABS((INDEX(SP_CFA_CFO,0,COLUMN())/INDEX(SP_GF_ShareCount,0,COLUMN()))/(BK64/BK41)-1)&gt;10,"NMF",(INDEX(SP_CFA_CFO,0,COLUMN())/INDEX(SP_GF_ShareCount,0,COLUMN()))/(BK64/BK41)-1))</f>
        <v/>
      </c>
      <c r="BQ115" s="1984">
        <f>IF(OR(INDEX(SP_CFA_CFO,0,COLUMN())&lt;=0,BL64&lt;=0),"NMF",IF(ABS((INDEX(SP_CFA_CFO,0,COLUMN())/INDEX(SP_GF_ShareCount,0,COLUMN()))/(BL64/BL41)-1)&gt;10,"NMF",(INDEX(SP_CFA_CFO,0,COLUMN())/INDEX(SP_GF_ShareCount,0,COLUMN()))/(BL64/BL41)-1))</f>
        <v/>
      </c>
      <c r="BR115" s="1984">
        <f>IF(OR(INDEX(SP_CFA_CFO,0,COLUMN())&lt;=0,BM64&lt;=0),"NMF",IF(ABS((INDEX(SP_CFA_CFO,0,COLUMN())/INDEX(SP_GF_ShareCount,0,COLUMN()))/(BM64/BM41)-1)&gt;10,"NMF",(INDEX(SP_CFA_CFO,0,COLUMN())/INDEX(SP_GF_ShareCount,0,COLUMN()))/(BM64/BM41)-1))</f>
        <v/>
      </c>
      <c r="BS115" s="1984">
        <f>IF(OR(INDEX(SP_CFA_CFO,0,COLUMN())&lt;=0,BN64&lt;=0),"NMF",IF(ABS((INDEX(SP_CFA_CFO,0,COLUMN())/INDEX(SP_GF_ShareCount,0,COLUMN()))/(BN64/BN41)-1)&gt;10,"NMF",(INDEX(SP_CFA_CFO,0,COLUMN())/INDEX(SP_GF_ShareCount,0,COLUMN()))/(BN64/BN41)-1))</f>
        <v/>
      </c>
      <c r="BT115" s="1983">
        <f>IF(OR(INDEX(SP_CFA_CFO,0,COLUMN())&lt;=0,BO64&lt;=0),"NMF",IF(ABS((INDEX(SP_CFA_CFO,0,COLUMN())/INDEX(SP_GF_ShareCount,0,COLUMN()))/(BO64/BO41)-1)&gt;10,"NMF",(INDEX(SP_CFA_CFO,0,COLUMN())/INDEX(SP_GF_ShareCount,0,COLUMN()))/(BO64/BO41)-1))</f>
        <v/>
      </c>
      <c r="BU115" s="1984">
        <f>IF(OR(INDEX(SP_CFA_CFO,0,COLUMN())&lt;=0,BP64&lt;=0),"NMF",IF(ABS((INDEX(SP_CFA_CFO,0,COLUMN())/INDEX(SP_GF_ShareCount,0,COLUMN()))/(BP64/BP41)-1)&gt;10,"NMF",(INDEX(SP_CFA_CFO,0,COLUMN())/INDEX(SP_GF_ShareCount,0,COLUMN()))/(BP64/BP41)-1))</f>
        <v/>
      </c>
      <c r="BV115" s="1984">
        <f>IF(OR(INDEX(SP_CFA_CFO,0,COLUMN())&lt;=0,BQ64&lt;=0),"NMF",IF(ABS((INDEX(SP_CFA_CFO,0,COLUMN())/INDEX(SP_GF_ShareCount,0,COLUMN()))/(BQ64/BQ41)-1)&gt;10,"NMF",(INDEX(SP_CFA_CFO,0,COLUMN())/INDEX(SP_GF_ShareCount,0,COLUMN()))/(BQ64/BQ41)-1))</f>
        <v/>
      </c>
      <c r="BW115" s="1984">
        <f>IF(OR(INDEX(SP_CFA_CFO,0,COLUMN())&lt;=0,BR64&lt;=0),"NMF",IF(ABS((INDEX(SP_CFA_CFO,0,COLUMN())/INDEX(SP_GF_ShareCount,0,COLUMN()))/(BR64/BR41)-1)&gt;10,"NMF",(INDEX(SP_CFA_CFO,0,COLUMN())/INDEX(SP_GF_ShareCount,0,COLUMN()))/(BR64/BR41)-1))</f>
        <v/>
      </c>
      <c r="BX115" s="1984">
        <f>IF(OR(INDEX(SP_CFA_CFO,0,COLUMN())&lt;=0,BS64&lt;=0),"NMF",IF(ABS((INDEX(SP_CFA_CFO,0,COLUMN())/INDEX(SP_GF_ShareCount,0,COLUMN()))/(BS64/BS41)-1)&gt;10,"NMF",(INDEX(SP_CFA_CFO,0,COLUMN())/INDEX(SP_GF_ShareCount,0,COLUMN()))/(BS64/BS41)-1))</f>
        <v/>
      </c>
      <c r="BY115" s="1983">
        <f>IF(OR(INDEX(SP_CFA_CFO,0,COLUMN())&lt;=0,BT64&lt;=0),"NMF",IF(ABS((INDEX(SP_CFA_CFO,0,COLUMN())/INDEX(SP_GF_ShareCount,0,COLUMN()))/(BT64/BT41)-1)&gt;10,"NMF",(INDEX(SP_CFA_CFO,0,COLUMN())/INDEX(SP_GF_ShareCount,0,COLUMN()))/(BT64/BT41)-1))</f>
        <v/>
      </c>
      <c r="BZ115" s="1983">
        <f>IF(OR(INDEX(SP_CFA_CFO,0,COLUMN())&lt;=0,BY64&lt;=0),"NMF",IF(ABS((INDEX(SP_CFA_CFO,0,COLUMN())/INDEX(SP_GF_ShareCount,0,COLUMN()))/(BY64/BY41)-1)&gt;10,"NMF",(INDEX(SP_CFA_CFO,0,COLUMN())/INDEX(SP_GF_ShareCount,0,COLUMN()))/(BY64/BY41)-1))</f>
        <v/>
      </c>
      <c r="CA115" s="1983">
        <f>IF(OR(INDEX(SP_CFA_CFO,0,COLUMN())&lt;=0,BZ64&lt;=0),"NMF",IF(ABS((INDEX(SP_CFA_CFO,0,COLUMN())/INDEX(SP_GF_ShareCount,0,COLUMN()))/(BZ64/BZ41)-1)&gt;10,"NMF",(INDEX(SP_CFA_CFO,0,COLUMN())/INDEX(SP_GF_ShareCount,0,COLUMN()))/(BZ64/BZ41)-1))</f>
        <v/>
      </c>
      <c r="CB115" s="1983">
        <f>IF(OR(INDEX(SP_CFA_CFO,0,COLUMN())&lt;=0,CA64&lt;=0),"NMF",IF(ABS((INDEX(SP_CFA_CFO,0,COLUMN())/INDEX(SP_GF_ShareCount,0,COLUMN()))/(CA64/CA41)-1)&gt;10,"NMF",(INDEX(SP_CFA_CFO,0,COLUMN())/INDEX(SP_GF_ShareCount,0,COLUMN()))/(CA64/CA41)-1))</f>
        <v/>
      </c>
      <c r="CC115" s="1527" t="n"/>
    </row>
    <row r="116" ht="14.4" customFormat="1" customHeight="1" s="1925">
      <c r="A116" s="2051" t="inlineStr">
        <is>
          <t>Free Cash Flow Per Share Growth</t>
        </is>
      </c>
      <c r="B116" s="1982" t="n"/>
      <c r="C116" s="1983" t="n"/>
      <c r="D116" s="1983">
        <f>IF(OR(INDEX(SP_CFA_FCF_PreDiv,0,COLUMN())&lt;=0,C66&lt;=0),"NMF",IF(ABS((INDEX(SP_CFA_FCF_PreDiv,0,COLUMN())/INDEX(SP_GF_ShareCount,0,COLUMN()))/(C66/C41)-1)&gt;10,"NMF",(INDEX(SP_CFA_FCF_PreDiv,0,COLUMN())/INDEX(SP_GF_ShareCount,0,COLUMN()))/(C66/C41)-1))</f>
        <v/>
      </c>
      <c r="E116" s="1983">
        <f>IF(OR(INDEX(SP_CFA_FCF_PreDiv,0,COLUMN())&lt;=0,D66&lt;=0),"NMF",IF(ABS((INDEX(SP_CFA_FCF_PreDiv,0,COLUMN())/INDEX(SP_GF_ShareCount,0,COLUMN()))/(D66/D41)-1)&gt;10,"NMF",(INDEX(SP_CFA_FCF_PreDiv,0,COLUMN())/INDEX(SP_GF_ShareCount,0,COLUMN()))/(D66/D41)-1))</f>
        <v/>
      </c>
      <c r="F116" s="1983">
        <f>IF(OR(INDEX(SP_CFA_FCF_PreDiv,0,COLUMN())&lt;=0,E66&lt;=0),"NMF",IF(ABS((INDEX(SP_CFA_FCF_PreDiv,0,COLUMN())/INDEX(SP_GF_ShareCount,0,COLUMN()))/(E66/E41)-1)&gt;10,"NMF",(INDEX(SP_CFA_FCF_PreDiv,0,COLUMN())/INDEX(SP_GF_ShareCount,0,COLUMN()))/(E66/E41)-1))</f>
        <v/>
      </c>
      <c r="G116" s="1983">
        <f>IF(OR(INDEX(SP_CFA_FCF_PreDiv,0,COLUMN())&lt;=0,F66&lt;=0),"NMF",IF(ABS((INDEX(SP_CFA_FCF_PreDiv,0,COLUMN())/INDEX(SP_GF_ShareCount,0,COLUMN()))/(F66/F41)-1)&gt;10,"NMF",(INDEX(SP_CFA_FCF_PreDiv,0,COLUMN())/INDEX(SP_GF_ShareCount,0,COLUMN()))/(F66/F41)-1))</f>
        <v/>
      </c>
      <c r="H116" s="1984" t="n"/>
      <c r="I116" s="1984" t="n"/>
      <c r="J116" s="1984" t="n"/>
      <c r="K116" s="1984" t="n"/>
      <c r="L116" s="1983">
        <f>IF(OR(INDEX(SP_CFA_FCF_PreDiv,0,COLUMN())&lt;=0,G66&lt;=0),"NMF",IF(ABS((INDEX(SP_CFA_FCF_PreDiv,0,COLUMN())/INDEX(SP_GF_ShareCount,0,COLUMN()))/(G66/G41)-1)&gt;10,"NMF",(INDEX(SP_CFA_FCF_PreDiv,0,COLUMN())/INDEX(SP_GF_ShareCount,0,COLUMN()))/(G66/G41)-1))</f>
        <v/>
      </c>
      <c r="M116" s="1984">
        <f>IF(OR(INDEX(SP_CFA_FCF_PreDiv,0,COLUMN())&lt;=0,H66&lt;=0),"NMF",IF(ABS((INDEX(SP_CFA_FCF_PreDiv,0,COLUMN())/INDEX(SP_GF_ShareCount,0,COLUMN()))/(H66/H41)-1)&gt;10,"NMF",(INDEX(SP_CFA_FCF_PreDiv,0,COLUMN())/INDEX(SP_GF_ShareCount,0,COLUMN()))/(H66/H41)-1))</f>
        <v/>
      </c>
      <c r="N116" s="1984">
        <f>IF(OR(INDEX(SP_CFA_FCF_PreDiv,0,COLUMN())&lt;=0,I66&lt;=0),"NMF",IF(ABS((INDEX(SP_CFA_FCF_PreDiv,0,COLUMN())/INDEX(SP_GF_ShareCount,0,COLUMN()))/(I66/I41)-1)&gt;10,"NMF",(INDEX(SP_CFA_FCF_PreDiv,0,COLUMN())/INDEX(SP_GF_ShareCount,0,COLUMN()))/(I66/I41)-1))</f>
        <v/>
      </c>
      <c r="O116" s="1984">
        <f>IF(OR(INDEX(SP_CFA_FCF_PreDiv,0,COLUMN())&lt;=0,J66&lt;=0),"NMF",IF(ABS((INDEX(SP_CFA_FCF_PreDiv,0,COLUMN())/INDEX(SP_GF_ShareCount,0,COLUMN()))/(J66/J41)-1)&gt;10,"NMF",(INDEX(SP_CFA_FCF_PreDiv,0,COLUMN())/INDEX(SP_GF_ShareCount,0,COLUMN()))/(J66/J41)-1))</f>
        <v/>
      </c>
      <c r="P116" s="1984">
        <f>IF(OR(INDEX(SP_CFA_FCF_PreDiv,0,COLUMN())&lt;=0,K66&lt;=0),"NMF",IF(ABS((INDEX(SP_CFA_FCF_PreDiv,0,COLUMN())/INDEX(SP_GF_ShareCount,0,COLUMN()))/(K66/K41)-1)&gt;10,"NMF",(INDEX(SP_CFA_FCF_PreDiv,0,COLUMN())/INDEX(SP_GF_ShareCount,0,COLUMN()))/(K66/K41)-1))</f>
        <v/>
      </c>
      <c r="Q116" s="1983">
        <f>IF(OR(INDEX(SP_CFA_FCF_PreDiv,0,COLUMN())&lt;=0,L66&lt;=0),"NMF",IF(ABS((INDEX(SP_CFA_FCF_PreDiv,0,COLUMN())/INDEX(SP_GF_ShareCount,0,COLUMN()))/(L66/L41)-1)&gt;10,"NMF",(INDEX(SP_CFA_FCF_PreDiv,0,COLUMN())/INDEX(SP_GF_ShareCount,0,COLUMN()))/(L66/L41)-1))</f>
        <v/>
      </c>
      <c r="R116" s="1984">
        <f>IF(OR(INDEX(SP_CFA_FCF_PreDiv,0,COLUMN())&lt;=0,M66&lt;=0),"NMF",IF(ABS((INDEX(SP_CFA_FCF_PreDiv,0,COLUMN())/INDEX(SP_GF_ShareCount,0,COLUMN()))/(M66/M41)-1)&gt;10,"NMF",(INDEX(SP_CFA_FCF_PreDiv,0,COLUMN())/INDEX(SP_GF_ShareCount,0,COLUMN()))/(M66/M41)-1))</f>
        <v/>
      </c>
      <c r="S116" s="1984">
        <f>IF(OR(INDEX(SP_CFA_FCF_PreDiv,0,COLUMN())&lt;=0,N66&lt;=0),"NMF",IF(ABS((INDEX(SP_CFA_FCF_PreDiv,0,COLUMN())/INDEX(SP_GF_ShareCount,0,COLUMN()))/(N66/N41)-1)&gt;10,"NMF",(INDEX(SP_CFA_FCF_PreDiv,0,COLUMN())/INDEX(SP_GF_ShareCount,0,COLUMN()))/(N66/N41)-1))</f>
        <v/>
      </c>
      <c r="T116" s="1984">
        <f>IF(OR(INDEX(SP_CFA_FCF_PreDiv,0,COLUMN())&lt;=0,O66&lt;=0),"NMF",IF(ABS((INDEX(SP_CFA_FCF_PreDiv,0,COLUMN())/INDEX(SP_GF_ShareCount,0,COLUMN()))/(O66/O41)-1)&gt;10,"NMF",(INDEX(SP_CFA_FCF_PreDiv,0,COLUMN())/INDEX(SP_GF_ShareCount,0,COLUMN()))/(O66/O41)-1))</f>
        <v/>
      </c>
      <c r="U116" s="1984">
        <f>IF(OR(INDEX(SP_CFA_FCF_PreDiv,0,COLUMN())&lt;=0,P66&lt;=0),"NMF",IF(ABS((INDEX(SP_CFA_FCF_PreDiv,0,COLUMN())/INDEX(SP_GF_ShareCount,0,COLUMN()))/(P66/P41)-1)&gt;10,"NMF",(INDEX(SP_CFA_FCF_PreDiv,0,COLUMN())/INDEX(SP_GF_ShareCount,0,COLUMN()))/(P66/P41)-1))</f>
        <v/>
      </c>
      <c r="V116" s="1983">
        <f>IF(OR(INDEX(SP_CFA_FCF_PreDiv,0,COLUMN())&lt;=0,Q66&lt;=0),"NMF",IF(ABS((INDEX(SP_CFA_FCF_PreDiv,0,COLUMN())/INDEX(SP_GF_ShareCount,0,COLUMN()))/(Q66/Q41)-1)&gt;10,"NMF",(INDEX(SP_CFA_FCF_PreDiv,0,COLUMN())/INDEX(SP_GF_ShareCount,0,COLUMN()))/(Q66/Q41)-1))</f>
        <v/>
      </c>
      <c r="W116" s="1984">
        <f>IF(OR(INDEX(SP_CFA_FCF_PreDiv,0,COLUMN())&lt;=0,R66&lt;=0),"NMF",IF(ABS((INDEX(SP_CFA_FCF_PreDiv,0,COLUMN())/INDEX(SP_GF_ShareCount,0,COLUMN()))/(R66/R41)-1)&gt;10,"NMF",(INDEX(SP_CFA_FCF_PreDiv,0,COLUMN())/INDEX(SP_GF_ShareCount,0,COLUMN()))/(R66/R41)-1))</f>
        <v/>
      </c>
      <c r="X116" s="1984">
        <f>IF(OR(INDEX(SP_CFA_FCF_PreDiv,0,COLUMN())&lt;=0,S66&lt;=0),"NMF",IF(ABS((INDEX(SP_CFA_FCF_PreDiv,0,COLUMN())/INDEX(SP_GF_ShareCount,0,COLUMN()))/(S66/S41)-1)&gt;10,"NMF",(INDEX(SP_CFA_FCF_PreDiv,0,COLUMN())/INDEX(SP_GF_ShareCount,0,COLUMN()))/(S66/S41)-1))</f>
        <v/>
      </c>
      <c r="Y116" s="1984">
        <f>IF(OR(INDEX(SP_CFA_FCF_PreDiv,0,COLUMN())&lt;=0,T66&lt;=0),"NMF",IF(ABS((INDEX(SP_CFA_FCF_PreDiv,0,COLUMN())/INDEX(SP_GF_ShareCount,0,COLUMN()))/(T66/T41)-1)&gt;10,"NMF",(INDEX(SP_CFA_FCF_PreDiv,0,COLUMN())/INDEX(SP_GF_ShareCount,0,COLUMN()))/(T66/T41)-1))</f>
        <v/>
      </c>
      <c r="Z116" s="1984">
        <f>IF(OR(INDEX(SP_CFA_FCF_PreDiv,0,COLUMN())&lt;=0,U66&lt;=0),"NMF",IF(ABS((INDEX(SP_CFA_FCF_PreDiv,0,COLUMN())/INDEX(SP_GF_ShareCount,0,COLUMN()))/(U66/U41)-1)&gt;10,"NMF",(INDEX(SP_CFA_FCF_PreDiv,0,COLUMN())/INDEX(SP_GF_ShareCount,0,COLUMN()))/(U66/U41)-1))</f>
        <v/>
      </c>
      <c r="AA116" s="1983">
        <f>IF(OR(INDEX(SP_CFA_FCF_PreDiv,0,COLUMN())&lt;=0,V66&lt;=0),"NMF",IF(ABS((INDEX(SP_CFA_FCF_PreDiv,0,COLUMN())/INDEX(SP_GF_ShareCount,0,COLUMN()))/(V66/V41)-1)&gt;10,"NMF",(INDEX(SP_CFA_FCF_PreDiv,0,COLUMN())/INDEX(SP_GF_ShareCount,0,COLUMN()))/(V66/V41)-1))</f>
        <v/>
      </c>
      <c r="AB116" s="1984">
        <f>IF(OR(INDEX(SP_CFA_FCF_PreDiv,0,COLUMN())&lt;=0,W66&lt;=0),"NMF",IF(ABS((INDEX(SP_CFA_FCF_PreDiv,0,COLUMN())/INDEX(SP_GF_ShareCount,0,COLUMN()))/(W66/W41)-1)&gt;10,"NMF",(INDEX(SP_CFA_FCF_PreDiv,0,COLUMN())/INDEX(SP_GF_ShareCount,0,COLUMN()))/(W66/W41)-1))</f>
        <v/>
      </c>
      <c r="AC116" s="1984">
        <f>IF(OR(INDEX(SP_CFA_FCF_PreDiv,0,COLUMN())&lt;=0,X66&lt;=0),"NMF",IF(ABS((INDEX(SP_CFA_FCF_PreDiv,0,COLUMN())/INDEX(SP_GF_ShareCount,0,COLUMN()))/(X66/X41)-1)&gt;10,"NMF",(INDEX(SP_CFA_FCF_PreDiv,0,COLUMN())/INDEX(SP_GF_ShareCount,0,COLUMN()))/(X66/X41)-1))</f>
        <v/>
      </c>
      <c r="AD116" s="1984">
        <f>IF(OR(INDEX(SP_CFA_FCF_PreDiv,0,COLUMN())&lt;=0,Y66&lt;=0),"NMF",IF(ABS((INDEX(SP_CFA_FCF_PreDiv,0,COLUMN())/INDEX(SP_GF_ShareCount,0,COLUMN()))/(Y66/Y41)-1)&gt;10,"NMF",(INDEX(SP_CFA_FCF_PreDiv,0,COLUMN())/INDEX(SP_GF_ShareCount,0,COLUMN()))/(Y66/Y41)-1))</f>
        <v/>
      </c>
      <c r="AE116" s="1984">
        <f>IF(OR(INDEX(SP_CFA_FCF_PreDiv,0,COLUMN())&lt;=0,Z66&lt;=0),"NMF",IF(ABS((INDEX(SP_CFA_FCF_PreDiv,0,COLUMN())/INDEX(SP_GF_ShareCount,0,COLUMN()))/(Z66/Z41)-1)&gt;10,"NMF",(INDEX(SP_CFA_FCF_PreDiv,0,COLUMN())/INDEX(SP_GF_ShareCount,0,COLUMN()))/(Z66/Z41)-1))</f>
        <v/>
      </c>
      <c r="AF116" s="1983">
        <f>IF(OR(INDEX(SP_CFA_FCF_PreDiv,0,COLUMN())&lt;=0,AA66&lt;=0),"NMF",IF(ABS((INDEX(SP_CFA_FCF_PreDiv,0,COLUMN())/INDEX(SP_GF_ShareCount,0,COLUMN()))/(AA66/AA41)-1)&gt;10,"NMF",(INDEX(SP_CFA_FCF_PreDiv,0,COLUMN())/INDEX(SP_GF_ShareCount,0,COLUMN()))/(AA66/AA41)-1))</f>
        <v/>
      </c>
      <c r="AG116" s="1984">
        <f>IF(OR(INDEX(SP_CFA_FCF_PreDiv,0,COLUMN())&lt;=0,AB66&lt;=0),"NMF",IF(ABS((INDEX(SP_CFA_FCF_PreDiv,0,COLUMN())/INDEX(SP_GF_ShareCount,0,COLUMN()))/(AB66/AB41)-1)&gt;10,"NMF",(INDEX(SP_CFA_FCF_PreDiv,0,COLUMN())/INDEX(SP_GF_ShareCount,0,COLUMN()))/(AB66/AB41)-1))</f>
        <v/>
      </c>
      <c r="AH116" s="1984">
        <f>IF(OR(INDEX(SP_CFA_FCF_PreDiv,0,COLUMN())&lt;=0,AC66&lt;=0),"NMF",IF(ABS((INDEX(SP_CFA_FCF_PreDiv,0,COLUMN())/INDEX(SP_GF_ShareCount,0,COLUMN()))/(AC66/AC41)-1)&gt;10,"NMF",(INDEX(SP_CFA_FCF_PreDiv,0,COLUMN())/INDEX(SP_GF_ShareCount,0,COLUMN()))/(AC66/AC41)-1))</f>
        <v/>
      </c>
      <c r="AI116" s="1984">
        <f>IF(OR(INDEX(SP_CFA_FCF_PreDiv,0,COLUMN())&lt;=0,AD66&lt;=0),"NMF",IF(ABS((INDEX(SP_CFA_FCF_PreDiv,0,COLUMN())/INDEX(SP_GF_ShareCount,0,COLUMN()))/(AD66/AD41)-1)&gt;10,"NMF",(INDEX(SP_CFA_FCF_PreDiv,0,COLUMN())/INDEX(SP_GF_ShareCount,0,COLUMN()))/(AD66/AD41)-1))</f>
        <v/>
      </c>
      <c r="AJ116" s="1984">
        <f>IF(OR(INDEX(SP_CFA_FCF_PreDiv,0,COLUMN())&lt;=0,AE66&lt;=0),"NMF",IF(ABS((INDEX(SP_CFA_FCF_PreDiv,0,COLUMN())/INDEX(SP_GF_ShareCount,0,COLUMN()))/(AE66/AE41)-1)&gt;10,"NMF",(INDEX(SP_CFA_FCF_PreDiv,0,COLUMN())/INDEX(SP_GF_ShareCount,0,COLUMN()))/(AE66/AE41)-1))</f>
        <v/>
      </c>
      <c r="AK116" s="1983">
        <f>IF(OR(INDEX(SP_CFA_FCF_PreDiv,0,COLUMN())&lt;=0,AF66&lt;=0),"NMF",IF(ABS((INDEX(SP_CFA_FCF_PreDiv,0,COLUMN())/INDEX(SP_GF_ShareCount,0,COLUMN()))/(AF66/AF41)-1)&gt;10,"NMF",(INDEX(SP_CFA_FCF_PreDiv,0,COLUMN())/INDEX(SP_GF_ShareCount,0,COLUMN()))/(AF66/AF41)-1))</f>
        <v/>
      </c>
      <c r="AL116" s="1984">
        <f>IF(OR(INDEX(SP_CFA_FCF_PreDiv,0,COLUMN())&lt;=0,AG66&lt;=0),"NMF",IF(ABS((INDEX(SP_CFA_FCF_PreDiv,0,COLUMN())/INDEX(SP_GF_ShareCount,0,COLUMN()))/(AG66/AG41)-1)&gt;10,"NMF",(INDEX(SP_CFA_FCF_PreDiv,0,COLUMN())/INDEX(SP_GF_ShareCount,0,COLUMN()))/(AG66/AG41)-1))</f>
        <v/>
      </c>
      <c r="AM116" s="1984">
        <f>IF(OR(INDEX(SP_CFA_FCF_PreDiv,0,COLUMN())&lt;=0,AH66&lt;=0),"NMF",IF(ABS((INDEX(SP_CFA_FCF_PreDiv,0,COLUMN())/INDEX(SP_GF_ShareCount,0,COLUMN()))/(AH66/AH41)-1)&gt;10,"NMF",(INDEX(SP_CFA_FCF_PreDiv,0,COLUMN())/INDEX(SP_GF_ShareCount,0,COLUMN()))/(AH66/AH41)-1))</f>
        <v/>
      </c>
      <c r="AN116" s="1984">
        <f>IF(OR(INDEX(SP_CFA_FCF_PreDiv,0,COLUMN())&lt;=0,AI66&lt;=0),"NMF",IF(ABS((INDEX(SP_CFA_FCF_PreDiv,0,COLUMN())/INDEX(SP_GF_ShareCount,0,COLUMN()))/(AI66/AI41)-1)&gt;10,"NMF",(INDEX(SP_CFA_FCF_PreDiv,0,COLUMN())/INDEX(SP_GF_ShareCount,0,COLUMN()))/(AI66/AI41)-1))</f>
        <v/>
      </c>
      <c r="AO116" s="1984">
        <f>IF(OR(INDEX(SP_CFA_FCF_PreDiv,0,COLUMN())&lt;=0,AJ66&lt;=0),"NMF",IF(ABS((INDEX(SP_CFA_FCF_PreDiv,0,COLUMN())/INDEX(SP_GF_ShareCount,0,COLUMN()))/(AJ66/AJ41)-1)&gt;10,"NMF",(INDEX(SP_CFA_FCF_PreDiv,0,COLUMN())/INDEX(SP_GF_ShareCount,0,COLUMN()))/(AJ66/AJ41)-1))</f>
        <v/>
      </c>
      <c r="AP116" s="1983">
        <f>IF(OR(INDEX(SP_CFA_FCF_PreDiv,0,COLUMN())&lt;=0,AK66&lt;=0),"NMF",IF(ABS((INDEX(SP_CFA_FCF_PreDiv,0,COLUMN())/INDEX(SP_GF_ShareCount,0,COLUMN()))/(AK66/AK41)-1)&gt;10,"NMF",(INDEX(SP_CFA_FCF_PreDiv,0,COLUMN())/INDEX(SP_GF_ShareCount,0,COLUMN()))/(AK66/AK41)-1))</f>
        <v/>
      </c>
      <c r="AQ116" s="1984">
        <f>IF(OR(INDEX(SP_CFA_FCF_PreDiv,0,COLUMN())&lt;=0,AL66&lt;=0),"NMF",IF(ABS((INDEX(SP_CFA_FCF_PreDiv,0,COLUMN())/INDEX(SP_GF_ShareCount,0,COLUMN()))/(AL66/AL41)-1)&gt;10,"NMF",(INDEX(SP_CFA_FCF_PreDiv,0,COLUMN())/INDEX(SP_GF_ShareCount,0,COLUMN()))/(AL66/AL41)-1))</f>
        <v/>
      </c>
      <c r="AR116" s="1984">
        <f>IF(OR(INDEX(SP_CFA_FCF_PreDiv,0,COLUMN())&lt;=0,AM66&lt;=0),"NMF",IF(ABS((INDEX(SP_CFA_FCF_PreDiv,0,COLUMN())/INDEX(SP_GF_ShareCount,0,COLUMN()))/(AM66/AM41)-1)&gt;10,"NMF",(INDEX(SP_CFA_FCF_PreDiv,0,COLUMN())/INDEX(SP_GF_ShareCount,0,COLUMN()))/(AM66/AM41)-1))</f>
        <v/>
      </c>
      <c r="AS116" s="1984">
        <f>IF(OR(INDEX(SP_CFA_FCF_PreDiv,0,COLUMN())&lt;=0,AN66&lt;=0),"NMF",IF(ABS((INDEX(SP_CFA_FCF_PreDiv,0,COLUMN())/INDEX(SP_GF_ShareCount,0,COLUMN()))/(AN66/AN41)-1)&gt;10,"NMF",(INDEX(SP_CFA_FCF_PreDiv,0,COLUMN())/INDEX(SP_GF_ShareCount,0,COLUMN()))/(AN66/AN41)-1))</f>
        <v/>
      </c>
      <c r="AT116" s="1984">
        <f>IF(OR(INDEX(SP_CFA_FCF_PreDiv,0,COLUMN())&lt;=0,AO66&lt;=0),"NMF",IF(ABS((INDEX(SP_CFA_FCF_PreDiv,0,COLUMN())/INDEX(SP_GF_ShareCount,0,COLUMN()))/(AO66/AO41)-1)&gt;10,"NMF",(INDEX(SP_CFA_FCF_PreDiv,0,COLUMN())/INDEX(SP_GF_ShareCount,0,COLUMN()))/(AO66/AO41)-1))</f>
        <v/>
      </c>
      <c r="AU116" s="1983">
        <f>IF(OR(INDEX(SP_CFA_FCF_PreDiv,0,COLUMN())&lt;=0,AP66&lt;=0),"NMF",IF(ABS((INDEX(SP_CFA_FCF_PreDiv,0,COLUMN())/INDEX(SP_GF_ShareCount,0,COLUMN()))/(AP66/AP41)-1)&gt;10,"NMF",(INDEX(SP_CFA_FCF_PreDiv,0,COLUMN())/INDEX(SP_GF_ShareCount,0,COLUMN()))/(AP66/AP41)-1))</f>
        <v/>
      </c>
      <c r="AV116" s="1984">
        <f>IF(OR(INDEX(SP_CFA_FCF_PreDiv,0,COLUMN())&lt;=0,AQ66&lt;=0),"NMF",IF(ABS((INDEX(SP_CFA_FCF_PreDiv,0,COLUMN())/INDEX(SP_GF_ShareCount,0,COLUMN()))/(AQ66/AQ41)-1)&gt;10,"NMF",(INDEX(SP_CFA_FCF_PreDiv,0,COLUMN())/INDEX(SP_GF_ShareCount,0,COLUMN()))/(AQ66/AQ41)-1))</f>
        <v/>
      </c>
      <c r="AW116" s="1984">
        <f>IF(OR(INDEX(SP_CFA_FCF_PreDiv,0,COLUMN())&lt;=0,AR66&lt;=0),"NMF",IF(ABS((INDEX(SP_CFA_FCF_PreDiv,0,COLUMN())/INDEX(SP_GF_ShareCount,0,COLUMN()))/(AR66/AR41)-1)&gt;10,"NMF",(INDEX(SP_CFA_FCF_PreDiv,0,COLUMN())/INDEX(SP_GF_ShareCount,0,COLUMN()))/(AR66/AR41)-1))</f>
        <v/>
      </c>
      <c r="AX116" s="1984">
        <f>IF(OR(INDEX(SP_CFA_FCF_PreDiv,0,COLUMN())&lt;=0,AS66&lt;=0),"NMF",IF(ABS((INDEX(SP_CFA_FCF_PreDiv,0,COLUMN())/INDEX(SP_GF_ShareCount,0,COLUMN()))/(AS66/AS41)-1)&gt;10,"NMF",(INDEX(SP_CFA_FCF_PreDiv,0,COLUMN())/INDEX(SP_GF_ShareCount,0,COLUMN()))/(AS66/AS41)-1))</f>
        <v/>
      </c>
      <c r="AY116" s="1984">
        <f>IF(OR(INDEX(SP_CFA_FCF_PreDiv,0,COLUMN())&lt;=0,AT66&lt;=0),"NMF",IF(ABS((INDEX(SP_CFA_FCF_PreDiv,0,COLUMN())/INDEX(SP_GF_ShareCount,0,COLUMN()))/(AT66/AT41)-1)&gt;10,"NMF",(INDEX(SP_CFA_FCF_PreDiv,0,COLUMN())/INDEX(SP_GF_ShareCount,0,COLUMN()))/(AT66/AT41)-1))</f>
        <v/>
      </c>
      <c r="AZ116" s="1983">
        <f>IF(OR(INDEX(SP_CFA_FCF_PreDiv,0,COLUMN())&lt;=0,AU66&lt;=0),"NMF",IF(ABS((INDEX(SP_CFA_FCF_PreDiv,0,COLUMN())/INDEX(SP_GF_ShareCount,0,COLUMN()))/(AU66/AU41)-1)&gt;10,"NMF",(INDEX(SP_CFA_FCF_PreDiv,0,COLUMN())/INDEX(SP_GF_ShareCount,0,COLUMN()))/(AU66/AU41)-1))</f>
        <v/>
      </c>
      <c r="BA116" s="1984">
        <f>IF(OR(INDEX(SP_CFA_FCF_PreDiv,0,COLUMN())&lt;=0,AV66&lt;=0),"NMF",IF(ABS((INDEX(SP_CFA_FCF_PreDiv,0,COLUMN())/INDEX(SP_GF_ShareCount,0,COLUMN()))/(AV66/AV41)-1)&gt;10,"NMF",(INDEX(SP_CFA_FCF_PreDiv,0,COLUMN())/INDEX(SP_GF_ShareCount,0,COLUMN()))/(AV66/AV41)-1))</f>
        <v/>
      </c>
      <c r="BB116" s="1984">
        <f>IF(OR(INDEX(SP_CFA_FCF_PreDiv,0,COLUMN())&lt;=0,AW66&lt;=0),"NMF",IF(ABS((INDEX(SP_CFA_FCF_PreDiv,0,COLUMN())/INDEX(SP_GF_ShareCount,0,COLUMN()))/(AW66/AW41)-1)&gt;10,"NMF",(INDEX(SP_CFA_FCF_PreDiv,0,COLUMN())/INDEX(SP_GF_ShareCount,0,COLUMN()))/(AW66/AW41)-1))</f>
        <v/>
      </c>
      <c r="BC116" s="1984">
        <f>IF(OR(INDEX(SP_CFA_FCF_PreDiv,0,COLUMN())&lt;=0,AX66&lt;=0),"NMF",IF(ABS((INDEX(SP_CFA_FCF_PreDiv,0,COLUMN())/INDEX(SP_GF_ShareCount,0,COLUMN()))/(AX66/AX41)-1)&gt;10,"NMF",(INDEX(SP_CFA_FCF_PreDiv,0,COLUMN())/INDEX(SP_GF_ShareCount,0,COLUMN()))/(AX66/AX41)-1))</f>
        <v/>
      </c>
      <c r="BD116" s="1984">
        <f>IF(OR(INDEX(SP_CFA_FCF_PreDiv,0,COLUMN())&lt;=0,AY66&lt;=0),"NMF",IF(ABS((INDEX(SP_CFA_FCF_PreDiv,0,COLUMN())/INDEX(SP_GF_ShareCount,0,COLUMN()))/(AY66/AY41)-1)&gt;10,"NMF",(INDEX(SP_CFA_FCF_PreDiv,0,COLUMN())/INDEX(SP_GF_ShareCount,0,COLUMN()))/(AY66/AY41)-1))</f>
        <v/>
      </c>
      <c r="BE116" s="1983">
        <f>IF(OR(INDEX(SP_CFA_FCF_PreDiv,0,COLUMN())&lt;=0,AZ66&lt;=0),"NMF",IF(ABS((INDEX(SP_CFA_FCF_PreDiv,0,COLUMN())/INDEX(SP_GF_ShareCount,0,COLUMN()))/(AZ66/AZ41)-1)&gt;10,"NMF",(INDEX(SP_CFA_FCF_PreDiv,0,COLUMN())/INDEX(SP_GF_ShareCount,0,COLUMN()))/(AZ66/AZ41)-1))</f>
        <v/>
      </c>
      <c r="BF116" s="1984">
        <f>IF(OR(INDEX(SP_CFA_FCF_PreDiv,0,COLUMN())&lt;=0,BA66&lt;=0),"NMF",IF(ABS((INDEX(SP_CFA_FCF_PreDiv,0,COLUMN())/INDEX(SP_GF_ShareCount,0,COLUMN()))/(BA66/BA41)-1)&gt;10,"NMF",(INDEX(SP_CFA_FCF_PreDiv,0,COLUMN())/INDEX(SP_GF_ShareCount,0,COLUMN()))/(BA66/BA41)-1))</f>
        <v/>
      </c>
      <c r="BG116" s="1984">
        <f>IF(OR(INDEX(SP_CFA_FCF_PreDiv,0,COLUMN())&lt;=0,BB66&lt;=0),"NMF",IF(ABS((INDEX(SP_CFA_FCF_PreDiv,0,COLUMN())/INDEX(SP_GF_ShareCount,0,COLUMN()))/(BB66/BB41)-1)&gt;10,"NMF",(INDEX(SP_CFA_FCF_PreDiv,0,COLUMN())/INDEX(SP_GF_ShareCount,0,COLUMN()))/(BB66/BB41)-1))</f>
        <v/>
      </c>
      <c r="BH116" s="1984">
        <f>IF(OR(INDEX(SP_CFA_FCF_PreDiv,0,COLUMN())&lt;=0,BC66&lt;=0),"NMF",IF(ABS((INDEX(SP_CFA_FCF_PreDiv,0,COLUMN())/INDEX(SP_GF_ShareCount,0,COLUMN()))/(BC66/BC41)-1)&gt;10,"NMF",(INDEX(SP_CFA_FCF_PreDiv,0,COLUMN())/INDEX(SP_GF_ShareCount,0,COLUMN()))/(BC66/BC41)-1))</f>
        <v/>
      </c>
      <c r="BI116" s="1984">
        <f>IF(OR(INDEX(SP_CFA_FCF_PreDiv,0,COLUMN())&lt;=0,BD66&lt;=0),"NMF",IF(ABS((INDEX(SP_CFA_FCF_PreDiv,0,COLUMN())/INDEX(SP_GF_ShareCount,0,COLUMN()))/(BD66/BD41)-1)&gt;10,"NMF",(INDEX(SP_CFA_FCF_PreDiv,0,COLUMN())/INDEX(SP_GF_ShareCount,0,COLUMN()))/(BD66/BD41)-1))</f>
        <v/>
      </c>
      <c r="BJ116" s="1983">
        <f>IF(OR(INDEX(SP_CFA_FCF_PreDiv,0,COLUMN())&lt;=0,BE66&lt;=0),"NMF",IF(ABS((INDEX(SP_CFA_FCF_PreDiv,0,COLUMN())/INDEX(SP_GF_ShareCount,0,COLUMN()))/(BE66/BE41)-1)&gt;10,"NMF",(INDEX(SP_CFA_FCF_PreDiv,0,COLUMN())/INDEX(SP_GF_ShareCount,0,COLUMN()))/(BE66/BE41)-1))</f>
        <v/>
      </c>
      <c r="BK116" s="1984">
        <f>IF(OR(INDEX(SP_CFA_FCF_PreDiv,0,COLUMN())&lt;=0,BF66&lt;=0),"NMF",IF(ABS((INDEX(SP_CFA_FCF_PreDiv,0,COLUMN())/INDEX(SP_GF_ShareCount,0,COLUMN()))/(BF66/BF41)-1)&gt;10,"NMF",(INDEX(SP_CFA_FCF_PreDiv,0,COLUMN())/INDEX(SP_GF_ShareCount,0,COLUMN()))/(BF66/BF41)-1))</f>
        <v/>
      </c>
      <c r="BL116" s="1984">
        <f>IF(OR(INDEX(SP_CFA_FCF_PreDiv,0,COLUMN())&lt;=0,BG66&lt;=0),"NMF",IF(ABS((INDEX(SP_CFA_FCF_PreDiv,0,COLUMN())/INDEX(SP_GF_ShareCount,0,COLUMN()))/(BG66/BG41)-1)&gt;10,"NMF",(INDEX(SP_CFA_FCF_PreDiv,0,COLUMN())/INDEX(SP_GF_ShareCount,0,COLUMN()))/(BG66/BG41)-1))</f>
        <v/>
      </c>
      <c r="BM116" s="1984">
        <f>IF(OR(INDEX(SP_CFA_FCF_PreDiv,0,COLUMN())&lt;=0,BH66&lt;=0),"NMF",IF(ABS((INDEX(SP_CFA_FCF_PreDiv,0,COLUMN())/INDEX(SP_GF_ShareCount,0,COLUMN()))/(BH66/BH41)-1)&gt;10,"NMF",(INDEX(SP_CFA_FCF_PreDiv,0,COLUMN())/INDEX(SP_GF_ShareCount,0,COLUMN()))/(BH66/BH41)-1))</f>
        <v/>
      </c>
      <c r="BN116" s="1984">
        <f>IF(OR(INDEX(SP_CFA_FCF_PreDiv,0,COLUMN())&lt;=0,BI66&lt;=0),"NMF",IF(ABS((INDEX(SP_CFA_FCF_PreDiv,0,COLUMN())/INDEX(SP_GF_ShareCount,0,COLUMN()))/(BI66/BI41)-1)&gt;10,"NMF",(INDEX(SP_CFA_FCF_PreDiv,0,COLUMN())/INDEX(SP_GF_ShareCount,0,COLUMN()))/(BI66/BI41)-1))</f>
        <v/>
      </c>
      <c r="BO116" s="1985">
        <f>IF(OR(INDEX(SP_CFA_FCF_PreDiv,0,COLUMN())&lt;=0,BJ66&lt;=0),"NMF",IF(ABS((INDEX(SP_CFA_FCF_PreDiv,0,COLUMN())/INDEX(SP_GF_ShareCount,0,COLUMN()))/(BJ66/BJ41)-1)&gt;10,"NMF",(INDEX(SP_CFA_FCF_PreDiv,0,COLUMN())/INDEX(SP_GF_ShareCount,0,COLUMN()))/(BJ66/BJ41)-1))</f>
        <v/>
      </c>
      <c r="BP116" s="1984">
        <f>IF(OR(INDEX(SP_CFA_FCF_PreDiv,0,COLUMN())&lt;=0,BK66&lt;=0),"NMF",IF(ABS((INDEX(SP_CFA_FCF_PreDiv,0,COLUMN())/INDEX(SP_GF_ShareCount,0,COLUMN()))/(BK66/BK41)-1)&gt;10,"NMF",(INDEX(SP_CFA_FCF_PreDiv,0,COLUMN())/INDEX(SP_GF_ShareCount,0,COLUMN()))/(BK66/BK41)-1))</f>
        <v/>
      </c>
      <c r="BQ116" s="1984">
        <f>IF(OR(INDEX(SP_CFA_FCF_PreDiv,0,COLUMN())&lt;=0,BL66&lt;=0),"NMF",IF(ABS((INDEX(SP_CFA_FCF_PreDiv,0,COLUMN())/INDEX(SP_GF_ShareCount,0,COLUMN()))/(BL66/BL41)-1)&gt;10,"NMF",(INDEX(SP_CFA_FCF_PreDiv,0,COLUMN())/INDEX(SP_GF_ShareCount,0,COLUMN()))/(BL66/BL41)-1))</f>
        <v/>
      </c>
      <c r="BR116" s="1984">
        <f>IF(OR(INDEX(SP_CFA_FCF_PreDiv,0,COLUMN())&lt;=0,BM66&lt;=0),"NMF",IF(ABS((INDEX(SP_CFA_FCF_PreDiv,0,COLUMN())/INDEX(SP_GF_ShareCount,0,COLUMN()))/(BM66/BM41)-1)&gt;10,"NMF",(INDEX(SP_CFA_FCF_PreDiv,0,COLUMN())/INDEX(SP_GF_ShareCount,0,COLUMN()))/(BM66/BM41)-1))</f>
        <v/>
      </c>
      <c r="BS116" s="1984">
        <f>IF(OR(INDEX(SP_CFA_FCF_PreDiv,0,COLUMN())&lt;=0,BN66&lt;=0),"NMF",IF(ABS((INDEX(SP_CFA_FCF_PreDiv,0,COLUMN())/INDEX(SP_GF_ShareCount,0,COLUMN()))/(BN66/BN41)-1)&gt;10,"NMF",(INDEX(SP_CFA_FCF_PreDiv,0,COLUMN())/INDEX(SP_GF_ShareCount,0,COLUMN()))/(BN66/BN41)-1))</f>
        <v/>
      </c>
      <c r="BT116" s="1983">
        <f>IF(OR(INDEX(SP_CFA_FCF_PreDiv,0,COLUMN())&lt;=0,BO66&lt;=0),"NMF",IF(ABS((INDEX(SP_CFA_FCF_PreDiv,0,COLUMN())/INDEX(SP_GF_ShareCount,0,COLUMN()))/(BO66/BO41)-1)&gt;10,"NMF",(INDEX(SP_CFA_FCF_PreDiv,0,COLUMN())/INDEX(SP_GF_ShareCount,0,COLUMN()))/(BO66/BO41)-1))</f>
        <v/>
      </c>
      <c r="BU116" s="1984">
        <f>IF(OR(INDEX(SP_CFA_FCF_PreDiv,0,COLUMN())&lt;=0,BP66&lt;=0),"NMF",IF(ABS((INDEX(SP_CFA_FCF_PreDiv,0,COLUMN())/INDEX(SP_GF_ShareCount,0,COLUMN()))/(BP66/BP41)-1)&gt;10,"NMF",(INDEX(SP_CFA_FCF_PreDiv,0,COLUMN())/INDEX(SP_GF_ShareCount,0,COLUMN()))/(BP66/BP41)-1))</f>
        <v/>
      </c>
      <c r="BV116" s="1984">
        <f>IF(OR(INDEX(SP_CFA_FCF_PreDiv,0,COLUMN())&lt;=0,BQ66&lt;=0),"NMF",IF(ABS((INDEX(SP_CFA_FCF_PreDiv,0,COLUMN())/INDEX(SP_GF_ShareCount,0,COLUMN()))/(BQ66/BQ41)-1)&gt;10,"NMF",(INDEX(SP_CFA_FCF_PreDiv,0,COLUMN())/INDEX(SP_GF_ShareCount,0,COLUMN()))/(BQ66/BQ41)-1))</f>
        <v/>
      </c>
      <c r="BW116" s="1984">
        <f>IF(OR(INDEX(SP_CFA_FCF_PreDiv,0,COLUMN())&lt;=0,BR66&lt;=0),"NMF",IF(ABS((INDEX(SP_CFA_FCF_PreDiv,0,COLUMN())/INDEX(SP_GF_ShareCount,0,COLUMN()))/(BR66/BR41)-1)&gt;10,"NMF",(INDEX(SP_CFA_FCF_PreDiv,0,COLUMN())/INDEX(SP_GF_ShareCount,0,COLUMN()))/(BR66/BR41)-1))</f>
        <v/>
      </c>
      <c r="BX116" s="1984">
        <f>IF(OR(INDEX(SP_CFA_FCF_PreDiv,0,COLUMN())&lt;=0,BS66&lt;=0),"NMF",IF(ABS((INDEX(SP_CFA_FCF_PreDiv,0,COLUMN())/INDEX(SP_GF_ShareCount,0,COLUMN()))/(BS66/BS41)-1)&gt;10,"NMF",(INDEX(SP_CFA_FCF_PreDiv,0,COLUMN())/INDEX(SP_GF_ShareCount,0,COLUMN()))/(BS66/BS41)-1))</f>
        <v/>
      </c>
      <c r="BY116" s="1983">
        <f>IF(OR(INDEX(SP_CFA_FCF_PreDiv,0,COLUMN())&lt;=0,BT66&lt;=0),"NMF",IF(ABS((INDEX(SP_CFA_FCF_PreDiv,0,COLUMN())/INDEX(SP_GF_ShareCount,0,COLUMN()))/(BT66/BT41)-1)&gt;10,"NMF",(INDEX(SP_CFA_FCF_PreDiv,0,COLUMN())/INDEX(SP_GF_ShareCount,0,COLUMN()))/(BT66/BT41)-1))</f>
        <v/>
      </c>
      <c r="BZ116" s="1983">
        <f>IF(OR(INDEX(SP_CFA_FCF_PreDiv,0,COLUMN())&lt;=0,BY66&lt;=0),"NMF",IF(ABS((INDEX(SP_CFA_FCF_PreDiv,0,COLUMN())/INDEX(SP_GF_ShareCount,0,COLUMN()))/(BY66/BY41)-1)&gt;10,"NMF",(INDEX(SP_CFA_FCF_PreDiv,0,COLUMN())/INDEX(SP_GF_ShareCount,0,COLUMN()))/(BY66/BY41)-1))</f>
        <v/>
      </c>
      <c r="CA116" s="1983">
        <f>IF(OR(INDEX(SP_CFA_FCF_PreDiv,0,COLUMN())&lt;=0,BZ66&lt;=0),"NMF",IF(ABS((INDEX(SP_CFA_FCF_PreDiv,0,COLUMN())/INDEX(SP_GF_ShareCount,0,COLUMN()))/(BZ66/BZ41)-1)&gt;10,"NMF",(INDEX(SP_CFA_FCF_PreDiv,0,COLUMN())/INDEX(SP_GF_ShareCount,0,COLUMN()))/(BZ66/BZ41)-1))</f>
        <v/>
      </c>
      <c r="CB116" s="1983">
        <f>IF(OR(INDEX(SP_CFA_FCF_PreDiv,0,COLUMN())&lt;=0,CA66&lt;=0),"NMF",IF(ABS((INDEX(SP_CFA_FCF_PreDiv,0,COLUMN())/INDEX(SP_GF_ShareCount,0,COLUMN()))/(CA66/CA41)-1)&gt;10,"NMF",(INDEX(SP_CFA_FCF_PreDiv,0,COLUMN())/INDEX(SP_GF_ShareCount,0,COLUMN()))/(CA66/CA41)-1))</f>
        <v/>
      </c>
      <c r="CC116" s="1527" t="n"/>
    </row>
    <row r="117" ht="14.4" customHeight="1" s="876">
      <c r="A117" s="1949" t="n"/>
      <c r="B117" s="1975" t="n"/>
      <c r="C117" s="1976" t="n"/>
      <c r="D117" s="1976" t="n"/>
      <c r="E117" s="1976" t="n"/>
      <c r="F117" s="1976" t="n"/>
      <c r="G117" s="1976" t="n"/>
      <c r="H117" s="1977" t="n"/>
      <c r="I117" s="1977" t="n"/>
      <c r="J117" s="1977" t="n"/>
      <c r="K117" s="1977" t="n"/>
      <c r="L117" s="1976" t="n"/>
      <c r="M117" s="1977" t="n"/>
      <c r="N117" s="1977" t="n"/>
      <c r="O117" s="1977" t="n"/>
      <c r="P117" s="1977" t="n"/>
      <c r="Q117" s="1976" t="n"/>
      <c r="R117" s="1977" t="n"/>
      <c r="S117" s="1977" t="n"/>
      <c r="T117" s="1977" t="n"/>
      <c r="U117" s="1977" t="n"/>
      <c r="V117" s="1976" t="n"/>
      <c r="W117" s="1977" t="n"/>
      <c r="X117" s="1977" t="n"/>
      <c r="Y117" s="1977" t="n"/>
      <c r="Z117" s="1977" t="n"/>
      <c r="AA117" s="1976" t="n"/>
      <c r="AB117" s="1977" t="n"/>
      <c r="AC117" s="1977" t="n"/>
      <c r="AD117" s="1977" t="n"/>
      <c r="AE117" s="1977" t="n"/>
      <c r="AF117" s="1976" t="n"/>
      <c r="AG117" s="1977" t="n"/>
      <c r="AH117" s="1977" t="n"/>
      <c r="AI117" s="1977" t="n"/>
      <c r="AJ117" s="1977" t="n"/>
      <c r="AK117" s="1976" t="n"/>
      <c r="AL117" s="1977" t="n"/>
      <c r="AM117" s="1977" t="n"/>
      <c r="AN117" s="1977" t="n"/>
      <c r="AO117" s="1977" t="n"/>
      <c r="AP117" s="1976" t="n"/>
      <c r="AQ117" s="1977" t="n"/>
      <c r="AR117" s="1977" t="n"/>
      <c r="AS117" s="1977" t="n"/>
      <c r="AT117" s="1977" t="n"/>
      <c r="AU117" s="1976" t="n"/>
      <c r="AV117" s="1977" t="n"/>
      <c r="AW117" s="1977" t="n"/>
      <c r="AX117" s="1977" t="n"/>
      <c r="AY117" s="1977" t="n"/>
      <c r="AZ117" s="1976" t="n"/>
      <c r="BA117" s="1977" t="n"/>
      <c r="BB117" s="1977" t="n"/>
      <c r="BC117" s="1977" t="n"/>
      <c r="BD117" s="1977" t="n"/>
      <c r="BE117" s="1976" t="n"/>
      <c r="BF117" s="1977" t="n"/>
      <c r="BG117" s="1977" t="n"/>
      <c r="BH117" s="1977" t="n"/>
      <c r="BI117" s="1977" t="n"/>
      <c r="BJ117" s="1976" t="n"/>
      <c r="BK117" s="1977" t="n"/>
      <c r="BL117" s="1977" t="n"/>
      <c r="BM117" s="1977" t="n"/>
      <c r="BN117" s="1977" t="n"/>
      <c r="BO117" s="1978" t="n"/>
      <c r="BP117" s="1977" t="n"/>
      <c r="BQ117" s="1977" t="n"/>
      <c r="BR117" s="1977" t="n"/>
      <c r="BS117" s="1977" t="n"/>
      <c r="BT117" s="1976" t="n"/>
      <c r="BU117" s="1977" t="n"/>
      <c r="BV117" s="1977" t="n"/>
      <c r="BW117" s="1977" t="n"/>
      <c r="BX117" s="1977" t="n"/>
      <c r="BY117" s="1976" t="n"/>
      <c r="BZ117" s="1976" t="n"/>
      <c r="CA117" s="1976" t="n"/>
      <c r="CB117" s="1976" t="n"/>
      <c r="CC117" s="1977" t="n"/>
    </row>
    <row r="118" ht="14.4" customHeight="1" s="876">
      <c r="A118" s="1945" t="inlineStr">
        <is>
          <t>Valuation Metrics</t>
        </is>
      </c>
      <c r="B118" s="1979" t="n"/>
      <c r="C118" s="1979" t="n"/>
      <c r="D118" s="1979" t="n"/>
      <c r="E118" s="1979" t="n"/>
      <c r="F118" s="1979" t="n"/>
      <c r="G118" s="1979" t="n"/>
      <c r="H118" s="1979" t="n"/>
      <c r="I118" s="1979" t="n"/>
      <c r="J118" s="1979" t="n"/>
      <c r="K118" s="1979" t="n"/>
      <c r="L118" s="1979" t="n"/>
      <c r="M118" s="1979" t="n"/>
      <c r="N118" s="1979" t="n"/>
      <c r="O118" s="1979" t="n"/>
      <c r="P118" s="1979" t="n"/>
      <c r="Q118" s="1979" t="n"/>
      <c r="R118" s="1979" t="n"/>
      <c r="S118" s="1979" t="n"/>
      <c r="T118" s="1979" t="n"/>
      <c r="U118" s="1979" t="n"/>
      <c r="V118" s="1979" t="n"/>
      <c r="W118" s="1979" t="n"/>
      <c r="X118" s="1979" t="n"/>
      <c r="Y118" s="1979" t="n"/>
      <c r="Z118" s="1979" t="n"/>
      <c r="AA118" s="1979" t="n"/>
      <c r="AB118" s="1979" t="n"/>
      <c r="AC118" s="1979" t="n"/>
      <c r="AD118" s="1979" t="n"/>
      <c r="AE118" s="1979" t="n"/>
      <c r="AF118" s="1979" t="n"/>
      <c r="AG118" s="1979" t="n"/>
      <c r="AH118" s="1979" t="n"/>
      <c r="AI118" s="1979" t="n"/>
      <c r="AJ118" s="1979" t="n"/>
      <c r="AK118" s="1979" t="n"/>
      <c r="AL118" s="1979" t="n"/>
      <c r="AM118" s="1979" t="n"/>
      <c r="AN118" s="1979" t="n"/>
      <c r="AO118" s="1979" t="n"/>
      <c r="AP118" s="1979" t="n"/>
      <c r="AQ118" s="1979" t="n"/>
      <c r="AR118" s="1979" t="n"/>
      <c r="AS118" s="1979" t="n"/>
      <c r="AT118" s="1979" t="n"/>
      <c r="AU118" s="1979" t="n"/>
      <c r="AV118" s="1979" t="n"/>
      <c r="AW118" s="1979" t="n"/>
      <c r="AX118" s="1979" t="n"/>
      <c r="AY118" s="1979" t="n"/>
      <c r="AZ118" s="1979" t="n"/>
      <c r="BA118" s="1979" t="n"/>
      <c r="BB118" s="1979" t="n"/>
      <c r="BC118" s="1979" t="n"/>
      <c r="BD118" s="1979" t="n"/>
      <c r="BE118" s="1979" t="n"/>
      <c r="BF118" s="1979" t="n"/>
      <c r="BG118" s="1979" t="n"/>
      <c r="BH118" s="1979" t="n"/>
      <c r="BI118" s="1979" t="n"/>
      <c r="BJ118" s="1979" t="n"/>
      <c r="BK118" s="1979" t="n"/>
      <c r="BL118" s="1979" t="n"/>
      <c r="BM118" s="1979" t="n"/>
      <c r="BN118" s="1979" t="n"/>
      <c r="BO118" s="1980" t="n"/>
      <c r="BP118" s="1979" t="n"/>
      <c r="BQ118" s="1979" t="n"/>
      <c r="BR118" s="1979" t="n"/>
      <c r="BS118" s="1979" t="n"/>
      <c r="BT118" s="1979" t="n"/>
      <c r="BU118" s="1979" t="n"/>
      <c r="BV118" s="1979" t="n"/>
      <c r="BW118" s="1979" t="n"/>
      <c r="BX118" s="1979" t="n"/>
      <c r="BY118" s="1979" t="n"/>
      <c r="BZ118" s="1979" t="n"/>
      <c r="CA118" s="1979" t="n"/>
      <c r="CB118" s="1979" t="n"/>
      <c r="CC118" s="1301" t="n"/>
    </row>
    <row r="119" ht="14.4" customFormat="1" customHeight="1" s="2052">
      <c r="A119" s="2053">
        <f>"P/E - "&amp;SP.ValuationToggle</f>
        <v/>
      </c>
      <c r="B119" s="2054" t="n"/>
      <c r="C119" s="2055">
        <f>INDEX(SP_CS_StockPrice,0,COLUMN())/INDEX(SP_NGF_EPS,0,COLUMN())</f>
        <v/>
      </c>
      <c r="D119" s="2055">
        <f>INDEX(SP_CS_StockPrice,0,COLUMN())/INDEX(SP_NGF_EPS,0,COLUMN())</f>
        <v/>
      </c>
      <c r="E119" s="2055">
        <f>INDEX(SP_CS_StockPrice,0,COLUMN())/INDEX(SP_NGF_EPS,0,COLUMN())</f>
        <v/>
      </c>
      <c r="F119" s="2055">
        <f>INDEX(SP_CS_StockPrice,0,COLUMN())/INDEX(SP_NGF_EPS,0,COLUMN())</f>
        <v/>
      </c>
      <c r="G119" s="2055">
        <f>INDEX(SP_CS_StockPrice,0,COLUMN())/INDEX(SP_NGF_EPS,0,COLUMN())</f>
        <v/>
      </c>
      <c r="H119" s="2056" t="n"/>
      <c r="I119" s="2056" t="n"/>
      <c r="J119" s="2056" t="n"/>
      <c r="K119" s="2056" t="n"/>
      <c r="L119" s="2055">
        <f>INDEX(SP_CS_StockPrice,0,COLUMN())/INDEX(SP_NGF_EPS,0,COLUMN())</f>
        <v/>
      </c>
      <c r="M119" s="2056" t="n"/>
      <c r="N119" s="2056" t="n"/>
      <c r="O119" s="2056" t="n"/>
      <c r="P119" s="2056" t="n"/>
      <c r="Q119" s="2055">
        <f>INDEX(SP_CS_StockPrice,0,COLUMN())/INDEX(SP_NGF_EPS,0,COLUMN())</f>
        <v/>
      </c>
      <c r="R119" s="2056" t="n"/>
      <c r="S119" s="2056" t="n"/>
      <c r="T119" s="2056" t="n"/>
      <c r="U119" s="2056" t="n"/>
      <c r="V119" s="2055">
        <f>INDEX(SP_CS_StockPrice,0,COLUMN())/INDEX(SP_NGF_EPS,0,COLUMN())</f>
        <v/>
      </c>
      <c r="W119" s="2057" t="n"/>
      <c r="X119" s="2057" t="n"/>
      <c r="Y119" s="2057" t="n"/>
      <c r="Z119" s="2056" t="n"/>
      <c r="AA119" s="2055">
        <f>INDEX(SP_CS_StockPrice,0,COLUMN())/INDEX(SP_NGF_EPS,0,COLUMN())</f>
        <v/>
      </c>
      <c r="AB119" s="2057" t="n"/>
      <c r="AC119" s="2057" t="n"/>
      <c r="AD119" s="2057" t="n"/>
      <c r="AE119" s="2056" t="n"/>
      <c r="AF119" s="2055">
        <f>INDEX(SP_CS_StockPrice,0,COLUMN())/INDEX(SP_NGF_EPS,0,COLUMN())</f>
        <v/>
      </c>
      <c r="AG119" s="2057" t="n"/>
      <c r="AH119" s="2057" t="n"/>
      <c r="AI119" s="2057" t="n"/>
      <c r="AJ119" s="2056" t="n"/>
      <c r="AK119" s="2055">
        <f>INDEX(SP_CS_StockPrice,0,COLUMN())/INDEX(SP_NGF_EPS,0,COLUMN())</f>
        <v/>
      </c>
      <c r="AL119" s="2057" t="n"/>
      <c r="AM119" s="2057" t="n"/>
      <c r="AN119" s="2057" t="n"/>
      <c r="AO119" s="2056" t="n"/>
      <c r="AP119" s="2055">
        <f>INDEX(SP_CS_StockPrice,0,COLUMN())/INDEX(SP_NGF_EPS,0,COLUMN())</f>
        <v/>
      </c>
      <c r="AQ119" s="2057" t="n"/>
      <c r="AR119" s="2057" t="n"/>
      <c r="AS119" s="2057" t="n"/>
      <c r="AT119" s="2056" t="n"/>
      <c r="AU119" s="2055">
        <f>INDEX(SP_CS_StockPrice,0,COLUMN())/INDEX(SP_NGF_EPS,0,COLUMN())</f>
        <v/>
      </c>
      <c r="AV119" s="2057" t="n"/>
      <c r="AW119" s="2057" t="n"/>
      <c r="AX119" s="2057" t="n"/>
      <c r="AY119" s="2056" t="n"/>
      <c r="AZ119" s="2055">
        <f>INDEX(SP_CS_StockPrice,0,COLUMN())/INDEX(SP_NGF_EPS,0,COLUMN())</f>
        <v/>
      </c>
      <c r="BA119" s="2057" t="n"/>
      <c r="BB119" s="2057" t="n"/>
      <c r="BC119" s="2057" t="n"/>
      <c r="BD119" s="2056" t="n"/>
      <c r="BE119" s="2055">
        <f>INDEX(SP_CS_StockPrice,0,COLUMN())/INDEX(SP_NGF_EPS,0,COLUMN())</f>
        <v/>
      </c>
      <c r="BF119" s="2057" t="n"/>
      <c r="BG119" s="2057" t="n"/>
      <c r="BH119" s="2057" t="n"/>
      <c r="BI119" s="2056" t="n"/>
      <c r="BJ119" s="2055">
        <f>INDEX(SP_CS_StockPrice,0,COLUMN())/INDEX(SP_NGF_EPS,0,COLUMN())</f>
        <v/>
      </c>
      <c r="BK119" s="2057" t="n"/>
      <c r="BL119" s="2057" t="n"/>
      <c r="BM119" s="2057" t="n"/>
      <c r="BN119" s="2056" t="n"/>
      <c r="BO119" s="2058">
        <f>INDEX(SP_CS_StockPrice,0,COLUMN())/INDEX(SP_NGF_EPS,0,COLUMN())</f>
        <v/>
      </c>
      <c r="BP119" s="2057" t="n"/>
      <c r="BQ119" s="2057" t="n"/>
      <c r="BR119" s="2057" t="n"/>
      <c r="BS119" s="2057" t="n"/>
      <c r="BT119" s="2055">
        <f>INDEX(SP_CS_StockPrice,0,COLUMN())/INDEX(SP_NGF_EPS,0,COLUMN())</f>
        <v/>
      </c>
      <c r="BU119" s="2057" t="n"/>
      <c r="BV119" s="2057" t="n"/>
      <c r="BW119" s="2057" t="n"/>
      <c r="BX119" s="2057" t="n"/>
      <c r="BY119" s="2055">
        <f>INDEX(SP_CS_StockPrice,0,COLUMN())/INDEX(SP_NGF_EPS,0,COLUMN())</f>
        <v/>
      </c>
      <c r="BZ119" s="2055">
        <f>INDEX(SP_CS_StockPrice,0,COLUMN())/INDEX(SP_NGF_EPS,0,COLUMN())</f>
        <v/>
      </c>
      <c r="CA119" s="2055">
        <f>INDEX(SP_CS_StockPrice,0,COLUMN())/INDEX(SP_NGF_EPS,0,COLUMN())</f>
        <v/>
      </c>
      <c r="CB119" s="2055">
        <f>INDEX(SP_CS_StockPrice,0,COLUMN())/INDEX(SP_NGF_EPS,0,COLUMN())</f>
        <v/>
      </c>
      <c r="CC119" s="2057" t="n"/>
    </row>
    <row r="120" ht="14.4" customFormat="1" customHeight="1" s="2052">
      <c r="A120" s="2053">
        <f>"EV/Sales - "&amp;SP.ValuationToggle</f>
        <v/>
      </c>
      <c r="B120" s="2054" t="n"/>
      <c r="C120" s="2055">
        <f>INDEX(SP_CS_EV,0,COLUMN())/INDEX(SP_GF_Rev,0,COLUMN())</f>
        <v/>
      </c>
      <c r="D120" s="2055">
        <f>INDEX(SP_CS_EV,0,COLUMN())/INDEX(SP_GF_Rev,0,COLUMN())</f>
        <v/>
      </c>
      <c r="E120" s="2055">
        <f>INDEX(SP_CS_EV,0,COLUMN())/INDEX(SP_GF_Rev,0,COLUMN())</f>
        <v/>
      </c>
      <c r="F120" s="2055">
        <f>INDEX(SP_CS_EV,0,COLUMN())/INDEX(SP_GF_Rev,0,COLUMN())</f>
        <v/>
      </c>
      <c r="G120" s="2055">
        <f>INDEX(SP_CS_EV,0,COLUMN())/INDEX(SP_GF_Rev,0,COLUMN())</f>
        <v/>
      </c>
      <c r="H120" s="2056" t="n"/>
      <c r="I120" s="2056" t="n"/>
      <c r="J120" s="2056" t="n"/>
      <c r="K120" s="2056" t="n"/>
      <c r="L120" s="2055">
        <f>INDEX(SP_CS_EV,0,COLUMN())/INDEX(SP_GF_Rev,0,COLUMN())</f>
        <v/>
      </c>
      <c r="M120" s="2056" t="n"/>
      <c r="N120" s="2056" t="n"/>
      <c r="O120" s="2056" t="n"/>
      <c r="P120" s="2056" t="n"/>
      <c r="Q120" s="2055">
        <f>INDEX(SP_CS_EV,0,COLUMN())/INDEX(SP_GF_Rev,0,COLUMN())</f>
        <v/>
      </c>
      <c r="R120" s="2056" t="n"/>
      <c r="S120" s="2056" t="n"/>
      <c r="T120" s="2056" t="n"/>
      <c r="U120" s="2056" t="n"/>
      <c r="V120" s="2055">
        <f>INDEX(SP_CS_EV,0,COLUMN())/INDEX(SP_GF_Rev,0,COLUMN())</f>
        <v/>
      </c>
      <c r="W120" s="2057" t="n"/>
      <c r="X120" s="2057" t="n"/>
      <c r="Y120" s="2057" t="n"/>
      <c r="Z120" s="2056" t="n"/>
      <c r="AA120" s="2055">
        <f>INDEX(SP_CS_EV,0,COLUMN())/INDEX(SP_GF_Rev,0,COLUMN())</f>
        <v/>
      </c>
      <c r="AB120" s="2057" t="n"/>
      <c r="AC120" s="2057" t="n"/>
      <c r="AD120" s="2057" t="n"/>
      <c r="AE120" s="2056" t="n"/>
      <c r="AF120" s="2055">
        <f>INDEX(SP_CS_EV,0,COLUMN())/INDEX(SP_GF_Rev,0,COLUMN())</f>
        <v/>
      </c>
      <c r="AG120" s="2057" t="n"/>
      <c r="AH120" s="2057" t="n"/>
      <c r="AI120" s="2057" t="n"/>
      <c r="AJ120" s="2056" t="n"/>
      <c r="AK120" s="2055">
        <f>INDEX(SP_CS_EV,0,COLUMN())/INDEX(SP_GF_Rev,0,COLUMN())</f>
        <v/>
      </c>
      <c r="AL120" s="2057" t="n"/>
      <c r="AM120" s="2057" t="n"/>
      <c r="AN120" s="2057" t="n"/>
      <c r="AO120" s="2056" t="n"/>
      <c r="AP120" s="2055">
        <f>INDEX(SP_CS_EV,0,COLUMN())/INDEX(SP_GF_Rev,0,COLUMN())</f>
        <v/>
      </c>
      <c r="AQ120" s="2057" t="n"/>
      <c r="AR120" s="2057" t="n"/>
      <c r="AS120" s="2057" t="n"/>
      <c r="AT120" s="2056" t="n"/>
      <c r="AU120" s="2055">
        <f>INDEX(SP_CS_EV,0,COLUMN())/INDEX(SP_GF_Rev,0,COLUMN())</f>
        <v/>
      </c>
      <c r="AV120" s="2057" t="n"/>
      <c r="AW120" s="2057" t="n"/>
      <c r="AX120" s="2057" t="n"/>
      <c r="AY120" s="2056" t="n"/>
      <c r="AZ120" s="2055">
        <f>INDEX(SP_CS_EV,0,COLUMN())/INDEX(SP_GF_Rev,0,COLUMN())</f>
        <v/>
      </c>
      <c r="BA120" s="2057" t="n"/>
      <c r="BB120" s="2057" t="n"/>
      <c r="BC120" s="2057" t="n"/>
      <c r="BD120" s="2056" t="n"/>
      <c r="BE120" s="2055">
        <f>INDEX(SP_CS_EV,0,COLUMN())/INDEX(SP_GF_Rev,0,COLUMN())</f>
        <v/>
      </c>
      <c r="BF120" s="2057" t="n"/>
      <c r="BG120" s="2057" t="n"/>
      <c r="BH120" s="2057" t="n"/>
      <c r="BI120" s="2056" t="n"/>
      <c r="BJ120" s="2055">
        <f>INDEX(SP_CS_EV,0,COLUMN())/INDEX(SP_GF_Rev,0,COLUMN())</f>
        <v/>
      </c>
      <c r="BK120" s="2057" t="n"/>
      <c r="BL120" s="2057" t="n"/>
      <c r="BM120" s="2057" t="n"/>
      <c r="BN120" s="2056" t="n"/>
      <c r="BO120" s="2058">
        <f>INDEX(SP_CS_EV,0,COLUMN())/INDEX(SP_GF_Rev,0,COLUMN())</f>
        <v/>
      </c>
      <c r="BP120" s="2057" t="n"/>
      <c r="BQ120" s="2057" t="n"/>
      <c r="BR120" s="2057" t="n"/>
      <c r="BS120" s="2057" t="n"/>
      <c r="BT120" s="2055">
        <f>INDEX(SP_CS_EV,0,COLUMN())/INDEX(SP_GF_Rev,0,COLUMN())</f>
        <v/>
      </c>
      <c r="BU120" s="2057" t="n"/>
      <c r="BV120" s="2057" t="n"/>
      <c r="BW120" s="2057" t="n"/>
      <c r="BX120" s="2057" t="n"/>
      <c r="BY120" s="2055">
        <f>INDEX(SP_CS_EV,0,COLUMN())/INDEX(SP_GF_Rev,0,COLUMN())</f>
        <v/>
      </c>
      <c r="BZ120" s="2055">
        <f>INDEX(SP_CS_EV,0,COLUMN())/INDEX(SP_GF_Rev,0,COLUMN())</f>
        <v/>
      </c>
      <c r="CA120" s="2055">
        <f>INDEX(SP_CS_EV,0,COLUMN())/INDEX(SP_GF_Rev,0,COLUMN())</f>
        <v/>
      </c>
      <c r="CB120" s="2055">
        <f>INDEX(SP_CS_EV,0,COLUMN())/INDEX(SP_GF_Rev,0,COLUMN())</f>
        <v/>
      </c>
      <c r="CC120" s="2057" t="n"/>
    </row>
    <row r="121" ht="14.4" customFormat="1" customHeight="1" s="2052">
      <c r="A121" s="2053">
        <f>"EV/EBITDA - "&amp;SP.ValuationToggle</f>
        <v/>
      </c>
      <c r="B121" s="2054" t="n"/>
      <c r="C121" s="2055">
        <f>INDEX(SP_CS_EV,0,COLUMN())/INDEX(SP_NGF_EBITDA,0,COLUMN())</f>
        <v/>
      </c>
      <c r="D121" s="2055">
        <f>INDEX(SP_CS_EV,0,COLUMN())/INDEX(SP_NGF_EBITDA,0,COLUMN())</f>
        <v/>
      </c>
      <c r="E121" s="2055">
        <f>INDEX(SP_CS_EV,0,COLUMN())/INDEX(SP_NGF_EBITDA,0,COLUMN())</f>
        <v/>
      </c>
      <c r="F121" s="2055">
        <f>INDEX(SP_CS_EV,0,COLUMN())/INDEX(SP_NGF_EBITDA,0,COLUMN())</f>
        <v/>
      </c>
      <c r="G121" s="2055">
        <f>INDEX(SP_CS_EV,0,COLUMN())/INDEX(SP_NGF_EBITDA,0,COLUMN())</f>
        <v/>
      </c>
      <c r="H121" s="2056" t="n"/>
      <c r="I121" s="2056" t="n"/>
      <c r="J121" s="2056" t="n"/>
      <c r="K121" s="2056" t="n"/>
      <c r="L121" s="2055">
        <f>INDEX(SP_CS_EV,0,COLUMN())/INDEX(SP_NGF_EBITDA,0,COLUMN())</f>
        <v/>
      </c>
      <c r="M121" s="2056" t="n"/>
      <c r="N121" s="2056" t="n"/>
      <c r="O121" s="2056" t="n"/>
      <c r="P121" s="2056" t="n"/>
      <c r="Q121" s="2055">
        <f>INDEX(SP_CS_EV,0,COLUMN())/INDEX(SP_NGF_EBITDA,0,COLUMN())</f>
        <v/>
      </c>
      <c r="R121" s="2056" t="n"/>
      <c r="S121" s="2056" t="n"/>
      <c r="T121" s="2056" t="n"/>
      <c r="U121" s="2056" t="n"/>
      <c r="V121" s="2055">
        <f>INDEX(SP_CS_EV,0,COLUMN())/INDEX(SP_NGF_EBITDA,0,COLUMN())</f>
        <v/>
      </c>
      <c r="W121" s="2057" t="n"/>
      <c r="X121" s="2057" t="n"/>
      <c r="Y121" s="2057" t="n"/>
      <c r="Z121" s="2056" t="n"/>
      <c r="AA121" s="2055">
        <f>INDEX(SP_CS_EV,0,COLUMN())/INDEX(SP_NGF_EBITDA,0,COLUMN())</f>
        <v/>
      </c>
      <c r="AB121" s="2057" t="n"/>
      <c r="AC121" s="2057" t="n"/>
      <c r="AD121" s="2057" t="n"/>
      <c r="AE121" s="2056" t="n"/>
      <c r="AF121" s="2055">
        <f>INDEX(SP_CS_EV,0,COLUMN())/INDEX(SP_NGF_EBITDA,0,COLUMN())</f>
        <v/>
      </c>
      <c r="AG121" s="2057" t="n"/>
      <c r="AH121" s="2057" t="n"/>
      <c r="AI121" s="2057" t="n"/>
      <c r="AJ121" s="2056" t="n"/>
      <c r="AK121" s="2055">
        <f>INDEX(SP_CS_EV,0,COLUMN())/INDEX(SP_NGF_EBITDA,0,COLUMN())</f>
        <v/>
      </c>
      <c r="AL121" s="2057" t="n"/>
      <c r="AM121" s="2057" t="n"/>
      <c r="AN121" s="2057" t="n"/>
      <c r="AO121" s="2056" t="n"/>
      <c r="AP121" s="2055">
        <f>INDEX(SP_CS_EV,0,COLUMN())/INDEX(SP_NGF_EBITDA,0,COLUMN())</f>
        <v/>
      </c>
      <c r="AQ121" s="2057" t="n"/>
      <c r="AR121" s="2057" t="n"/>
      <c r="AS121" s="2057" t="n"/>
      <c r="AT121" s="2056" t="n"/>
      <c r="AU121" s="2055">
        <f>INDEX(SP_CS_EV,0,COLUMN())/INDEX(SP_NGF_EBITDA,0,COLUMN())</f>
        <v/>
      </c>
      <c r="AV121" s="2057" t="n"/>
      <c r="AW121" s="2057" t="n"/>
      <c r="AX121" s="2057" t="n"/>
      <c r="AY121" s="2056" t="n"/>
      <c r="AZ121" s="2055">
        <f>INDEX(SP_CS_EV,0,COLUMN())/INDEX(SP_NGF_EBITDA,0,COLUMN())</f>
        <v/>
      </c>
      <c r="BA121" s="2057" t="n"/>
      <c r="BB121" s="2057" t="n"/>
      <c r="BC121" s="2057" t="n"/>
      <c r="BD121" s="2056" t="n"/>
      <c r="BE121" s="2055">
        <f>INDEX(SP_CS_EV,0,COLUMN())/INDEX(SP_NGF_EBITDA,0,COLUMN())</f>
        <v/>
      </c>
      <c r="BF121" s="2057" t="n"/>
      <c r="BG121" s="2057" t="n"/>
      <c r="BH121" s="2057" t="n"/>
      <c r="BI121" s="2056" t="n"/>
      <c r="BJ121" s="2055">
        <f>INDEX(SP_CS_EV,0,COLUMN())/INDEX(SP_NGF_EBITDA,0,COLUMN())</f>
        <v/>
      </c>
      <c r="BK121" s="2057" t="n"/>
      <c r="BL121" s="2057" t="n"/>
      <c r="BM121" s="2057" t="n"/>
      <c r="BN121" s="2056" t="n"/>
      <c r="BO121" s="2058">
        <f>INDEX(SP_CS_EV,0,COLUMN())/INDEX(SP_NGF_EBITDA,0,COLUMN())</f>
        <v/>
      </c>
      <c r="BP121" s="2057" t="n"/>
      <c r="BQ121" s="2057" t="n"/>
      <c r="BR121" s="2057" t="n"/>
      <c r="BS121" s="2057" t="n"/>
      <c r="BT121" s="2055">
        <f>INDEX(SP_CS_EV,0,COLUMN())/INDEX(SP_NGF_EBITDA,0,COLUMN())</f>
        <v/>
      </c>
      <c r="BU121" s="2057" t="n"/>
      <c r="BV121" s="2057" t="n"/>
      <c r="BW121" s="2057" t="n"/>
      <c r="BX121" s="2057" t="n"/>
      <c r="BY121" s="2055">
        <f>INDEX(SP_CS_EV,0,COLUMN())/INDEX(SP_NGF_EBITDA,0,COLUMN())</f>
        <v/>
      </c>
      <c r="BZ121" s="2055">
        <f>INDEX(SP_CS_EV,0,COLUMN())/INDEX(SP_NGF_EBITDA,0,COLUMN())</f>
        <v/>
      </c>
      <c r="CA121" s="2055">
        <f>INDEX(SP_CS_EV,0,COLUMN())/INDEX(SP_NGF_EBITDA,0,COLUMN())</f>
        <v/>
      </c>
      <c r="CB121" s="2055">
        <f>INDEX(SP_CS_EV,0,COLUMN())/INDEX(SP_NGF_EBITDA,0,COLUMN())</f>
        <v/>
      </c>
      <c r="CC121" s="2057" t="n"/>
    </row>
    <row r="122" ht="14.4" customFormat="1" customHeight="1" s="2052">
      <c r="A122" s="2053">
        <f>"P/CF - "&amp;SP.ValuationToggle</f>
        <v/>
      </c>
      <c r="B122" s="2054" t="n"/>
      <c r="C122" s="2055">
        <f>INDEX(SP_CS_StockPrice,0,COLUMN())/INDEX(SP_CFA_CFO_PerShare,0,COLUMN())</f>
        <v/>
      </c>
      <c r="D122" s="2055">
        <f>INDEX(SP_CS_StockPrice,0,COLUMN())/INDEX(SP_CFA_CFO_PerShare,0,COLUMN())</f>
        <v/>
      </c>
      <c r="E122" s="2055">
        <f>INDEX(SP_CS_StockPrice,0,COLUMN())/INDEX(SP_CFA_CFO_PerShare,0,COLUMN())</f>
        <v/>
      </c>
      <c r="F122" s="2055">
        <f>INDEX(SP_CS_StockPrice,0,COLUMN())/INDEX(SP_CFA_CFO_PerShare,0,COLUMN())</f>
        <v/>
      </c>
      <c r="G122" s="2055">
        <f>INDEX(SP_CS_StockPrice,0,COLUMN())/INDEX(SP_CFA_CFO_PerShare,0,COLUMN())</f>
        <v/>
      </c>
      <c r="H122" s="2056" t="n"/>
      <c r="I122" s="2056" t="n"/>
      <c r="J122" s="2056" t="n"/>
      <c r="K122" s="2056" t="n"/>
      <c r="L122" s="2055">
        <f>INDEX(SP_CS_StockPrice,0,COLUMN())/INDEX(SP_CFA_CFO_PerShare,0,COLUMN())</f>
        <v/>
      </c>
      <c r="M122" s="2056" t="n"/>
      <c r="N122" s="2056" t="n"/>
      <c r="O122" s="2056" t="n"/>
      <c r="P122" s="2056" t="n"/>
      <c r="Q122" s="2055">
        <f>INDEX(SP_CS_StockPrice,0,COLUMN())/INDEX(SP_CFA_CFO_PerShare,0,COLUMN())</f>
        <v/>
      </c>
      <c r="R122" s="2056" t="n"/>
      <c r="S122" s="2056" t="n"/>
      <c r="T122" s="2056" t="n"/>
      <c r="U122" s="2056" t="n"/>
      <c r="V122" s="2055">
        <f>INDEX(SP_CS_StockPrice,0,COLUMN())/INDEX(SP_CFA_CFO_PerShare,0,COLUMN())</f>
        <v/>
      </c>
      <c r="W122" s="2057" t="n"/>
      <c r="X122" s="2057" t="n"/>
      <c r="Y122" s="2057" t="n"/>
      <c r="Z122" s="2056" t="n"/>
      <c r="AA122" s="2055">
        <f>INDEX(SP_CS_StockPrice,0,COLUMN())/INDEX(SP_CFA_CFO_PerShare,0,COLUMN())</f>
        <v/>
      </c>
      <c r="AB122" s="2057" t="n"/>
      <c r="AC122" s="2057" t="n"/>
      <c r="AD122" s="2057" t="n"/>
      <c r="AE122" s="2056" t="n"/>
      <c r="AF122" s="2055">
        <f>INDEX(SP_CS_StockPrice,0,COLUMN())/INDEX(SP_CFA_CFO_PerShare,0,COLUMN())</f>
        <v/>
      </c>
      <c r="AG122" s="2057" t="n"/>
      <c r="AH122" s="2057" t="n"/>
      <c r="AI122" s="2057" t="n"/>
      <c r="AJ122" s="2056" t="n"/>
      <c r="AK122" s="2055">
        <f>INDEX(SP_CS_StockPrice,0,COLUMN())/INDEX(SP_CFA_CFO_PerShare,0,COLUMN())</f>
        <v/>
      </c>
      <c r="AL122" s="2057" t="n"/>
      <c r="AM122" s="2057" t="n"/>
      <c r="AN122" s="2057" t="n"/>
      <c r="AO122" s="2056" t="n"/>
      <c r="AP122" s="2055">
        <f>INDEX(SP_CS_StockPrice,0,COLUMN())/INDEX(SP_CFA_CFO_PerShare,0,COLUMN())</f>
        <v/>
      </c>
      <c r="AQ122" s="2057" t="n"/>
      <c r="AR122" s="2057" t="n"/>
      <c r="AS122" s="2057" t="n"/>
      <c r="AT122" s="2056" t="n"/>
      <c r="AU122" s="2055">
        <f>INDEX(SP_CS_StockPrice,0,COLUMN())/INDEX(SP_CFA_CFO_PerShare,0,COLUMN())</f>
        <v/>
      </c>
      <c r="AV122" s="2057" t="n"/>
      <c r="AW122" s="2057" t="n"/>
      <c r="AX122" s="2057" t="n"/>
      <c r="AY122" s="2056" t="n"/>
      <c r="AZ122" s="2055">
        <f>INDEX(SP_CS_StockPrice,0,COLUMN())/INDEX(SP_CFA_CFO_PerShare,0,COLUMN())</f>
        <v/>
      </c>
      <c r="BA122" s="2057" t="n"/>
      <c r="BB122" s="2057" t="n"/>
      <c r="BC122" s="2057" t="n"/>
      <c r="BD122" s="2056" t="n"/>
      <c r="BE122" s="2055">
        <f>INDEX(SP_CS_StockPrice,0,COLUMN())/INDEX(SP_CFA_CFO_PerShare,0,COLUMN())</f>
        <v/>
      </c>
      <c r="BF122" s="2057" t="n"/>
      <c r="BG122" s="2057" t="n"/>
      <c r="BH122" s="2057" t="n"/>
      <c r="BI122" s="2056" t="n"/>
      <c r="BJ122" s="2055">
        <f>INDEX(SP_CS_StockPrice,0,COLUMN())/INDEX(SP_CFA_CFO_PerShare,0,COLUMN())</f>
        <v/>
      </c>
      <c r="BK122" s="2057" t="n"/>
      <c r="BL122" s="2057" t="n"/>
      <c r="BM122" s="2057" t="n"/>
      <c r="BN122" s="2056" t="n"/>
      <c r="BO122" s="2058">
        <f>INDEX(SP_CS_StockPrice,0,COLUMN())/INDEX(SP_CFA_CFO_PerShare,0,COLUMN())</f>
        <v/>
      </c>
      <c r="BP122" s="2057" t="n"/>
      <c r="BQ122" s="2057" t="n"/>
      <c r="BR122" s="2057" t="n"/>
      <c r="BS122" s="2057" t="n"/>
      <c r="BT122" s="2055">
        <f>INDEX(SP_CS_StockPrice,0,COLUMN())/INDEX(SP_CFA_CFO_PerShare,0,COLUMN())</f>
        <v/>
      </c>
      <c r="BU122" s="2057" t="n"/>
      <c r="BV122" s="2057" t="n"/>
      <c r="BW122" s="2057" t="n"/>
      <c r="BX122" s="2057" t="n"/>
      <c r="BY122" s="2055">
        <f>INDEX(SP_CS_StockPrice,0,COLUMN())/INDEX(SP_CFA_CFO_PerShare,0,COLUMN())</f>
        <v/>
      </c>
      <c r="BZ122" s="2055">
        <f>INDEX(SP_CS_StockPrice,0,COLUMN())/INDEX(SP_CFA_CFO_PerShare,0,COLUMN())</f>
        <v/>
      </c>
      <c r="CA122" s="2055">
        <f>INDEX(SP_CS_StockPrice,0,COLUMN())/INDEX(SP_CFA_CFO_PerShare,0,COLUMN())</f>
        <v/>
      </c>
      <c r="CB122" s="2055">
        <f>INDEX(SP_CS_StockPrice,0,COLUMN())/INDEX(SP_CFA_CFO_PerShare,0,COLUMN())</f>
        <v/>
      </c>
      <c r="CC122" s="2057" t="n"/>
    </row>
    <row r="123" ht="14.4" customFormat="1" customHeight="1" s="1925">
      <c r="A123" s="2051">
        <f>"FCF Yield % to "&amp;SP.ValuationToggle&amp;" Market Cap"</f>
        <v/>
      </c>
      <c r="B123" s="1982" t="n"/>
      <c r="C123" s="1983">
        <f>INDEX(SP_CFA_FCF_PreDiv,0,COLUMN())/INDEX(SP_CS_MarketCap,0,COLUMN())</f>
        <v/>
      </c>
      <c r="D123" s="1983">
        <f>INDEX(SP_CFA_FCF_PreDiv,0,COLUMN())/INDEX(SP_CS_MarketCap,0,COLUMN())</f>
        <v/>
      </c>
      <c r="E123" s="1983">
        <f>INDEX(SP_CFA_FCF_PreDiv,0,COLUMN())/INDEX(SP_CS_MarketCap,0,COLUMN())</f>
        <v/>
      </c>
      <c r="F123" s="1983">
        <f>INDEX(SP_CFA_FCF_PreDiv,0,COLUMN())/INDEX(SP_CS_MarketCap,0,COLUMN())</f>
        <v/>
      </c>
      <c r="G123" s="1983">
        <f>INDEX(SP_CFA_FCF_PreDiv,0,COLUMN())/INDEX(SP_CS_MarketCap,0,COLUMN())</f>
        <v/>
      </c>
      <c r="H123" s="1984" t="n"/>
      <c r="I123" s="1984" t="n"/>
      <c r="J123" s="1984" t="n"/>
      <c r="K123" s="1984" t="n"/>
      <c r="L123" s="1983">
        <f>INDEX(SP_CFA_FCF_PreDiv,0,COLUMN())/INDEX(SP_CS_MarketCap,0,COLUMN())</f>
        <v/>
      </c>
      <c r="M123" s="1984" t="n"/>
      <c r="N123" s="1984" t="n"/>
      <c r="O123" s="1984" t="n"/>
      <c r="P123" s="1984" t="n"/>
      <c r="Q123" s="1983">
        <f>INDEX(SP_CFA_FCF_PreDiv,0,COLUMN())/INDEX(SP_CS_MarketCap,0,COLUMN())</f>
        <v/>
      </c>
      <c r="R123" s="1984" t="n"/>
      <c r="S123" s="1984" t="n"/>
      <c r="T123" s="1984" t="n"/>
      <c r="U123" s="1984" t="n"/>
      <c r="V123" s="1983">
        <f>INDEX(SP_CFA_FCF_PreDiv,0,COLUMN())/INDEX(SP_CS_MarketCap,0,COLUMN())</f>
        <v/>
      </c>
      <c r="W123" s="1984" t="n"/>
      <c r="X123" s="1984" t="n"/>
      <c r="Y123" s="1984" t="n"/>
      <c r="Z123" s="1984" t="n"/>
      <c r="AA123" s="1983">
        <f>INDEX(SP_CFA_FCF_PreDiv,0,COLUMN())/INDEX(SP_CS_MarketCap,0,COLUMN())</f>
        <v/>
      </c>
      <c r="AB123" s="1984" t="n"/>
      <c r="AC123" s="1984" t="n"/>
      <c r="AD123" s="1984" t="n"/>
      <c r="AE123" s="1984" t="n"/>
      <c r="AF123" s="1983">
        <f>IFERROR(INDEX(SP_CFA_FCF_PreDiv,0,COLUMN())/INDEX(SP_CS_MarketCap,0,COLUMN()),"N/A")</f>
        <v/>
      </c>
      <c r="AG123" s="1984" t="n"/>
      <c r="AH123" s="1984" t="n"/>
      <c r="AI123" s="1984" t="n"/>
      <c r="AJ123" s="1984" t="n"/>
      <c r="AK123" s="1983">
        <f>IFERROR(INDEX(SP_CFA_FCF_PreDiv,0,COLUMN())/INDEX(SP_CS_MarketCap,0,COLUMN()),"N/A")</f>
        <v/>
      </c>
      <c r="AL123" s="1984" t="n"/>
      <c r="AM123" s="1984" t="n"/>
      <c r="AN123" s="1984" t="n"/>
      <c r="AO123" s="1984" t="n"/>
      <c r="AP123" s="1983">
        <f>IFERROR(INDEX(SP_CFA_FCF_PreDiv,0,COLUMN())/INDEX(SP_CS_MarketCap,0,COLUMN()),"N/A")</f>
        <v/>
      </c>
      <c r="AQ123" s="1984" t="n"/>
      <c r="AR123" s="1984" t="n"/>
      <c r="AS123" s="1984" t="n"/>
      <c r="AT123" s="1984" t="n"/>
      <c r="AU123" s="1983">
        <f>IFERROR(INDEX(SP_CFA_FCF_PreDiv,0,COLUMN())/INDEX(SP_CS_MarketCap,0,COLUMN()),"N/A")</f>
        <v/>
      </c>
      <c r="AV123" s="1984" t="n"/>
      <c r="AW123" s="1984" t="n"/>
      <c r="AX123" s="1984" t="n"/>
      <c r="AY123" s="1984" t="n"/>
      <c r="AZ123" s="1983">
        <f>IFERROR(INDEX(SP_CFA_FCF_PreDiv,0,COLUMN())/INDEX(SP_CS_MarketCap,0,COLUMN()),"N/A")</f>
        <v/>
      </c>
      <c r="BA123" s="1984" t="n"/>
      <c r="BB123" s="1984" t="n"/>
      <c r="BC123" s="1984" t="n"/>
      <c r="BD123" s="1984" t="n"/>
      <c r="BE123" s="1983">
        <f>IFERROR(INDEX(SP_CFA_FCF_PreDiv,0,COLUMN())/INDEX(SP_CS_MarketCap,0,COLUMN()),"N/A")</f>
        <v/>
      </c>
      <c r="BF123" s="1984" t="n"/>
      <c r="BG123" s="1984" t="n"/>
      <c r="BH123" s="1984" t="n"/>
      <c r="BI123" s="1984" t="n"/>
      <c r="BJ123" s="1983">
        <f>IFERROR(INDEX(SP_CFA_FCF_PreDiv,0,COLUMN())/INDEX(SP_CS_MarketCap,0,COLUMN()),"N/A")</f>
        <v/>
      </c>
      <c r="BK123" s="1984" t="n"/>
      <c r="BL123" s="1984" t="n"/>
      <c r="BM123" s="1984" t="n"/>
      <c r="BN123" s="1984" t="n"/>
      <c r="BO123" s="1985">
        <f>IFERROR(INDEX(SP_CFA_FCF_PreDiv,0,COLUMN())/INDEX(SP_CS_MarketCap,0,COLUMN()),"N/A")</f>
        <v/>
      </c>
      <c r="BP123" s="1984" t="n"/>
      <c r="BQ123" s="1984" t="n"/>
      <c r="BR123" s="1984" t="n"/>
      <c r="BS123" s="1984" t="n"/>
      <c r="BT123" s="1983">
        <f>INDEX(SP_CFA_FCF_PreDiv,0,COLUMN())/INDEX(SP_CS_MarketCap,0,COLUMN())</f>
        <v/>
      </c>
      <c r="BU123" s="1984" t="n"/>
      <c r="BV123" s="1984" t="n"/>
      <c r="BW123" s="1984" t="n"/>
      <c r="BX123" s="1984" t="n"/>
      <c r="BY123" s="1983">
        <f>INDEX(SP_CFA_FCF_PreDiv,0,COLUMN())/INDEX(SP_CS_MarketCap,0,COLUMN())</f>
        <v/>
      </c>
      <c r="BZ123" s="1983">
        <f>INDEX(SP_CFA_FCF_PreDiv,0,COLUMN())/INDEX(SP_CS_MarketCap,0,COLUMN())</f>
        <v/>
      </c>
      <c r="CA123" s="1983">
        <f>INDEX(SP_CFA_FCF_PreDiv,0,COLUMN())/INDEX(SP_CS_MarketCap,0,COLUMN())</f>
        <v/>
      </c>
      <c r="CB123" s="1983">
        <f>INDEX(SP_CFA_FCF_PreDiv,0,COLUMN())/INDEX(SP_CS_MarketCap,0,COLUMN())</f>
        <v/>
      </c>
      <c r="CC123" s="1527" t="n"/>
    </row>
    <row r="124" ht="14.4" customFormat="1" customHeight="1" s="1925">
      <c r="A124" s="2051">
        <f>"FCF Yield % to "&amp;SP.ValuationToggle&amp;" Enterprise Value"</f>
        <v/>
      </c>
      <c r="B124" s="1982" t="n"/>
      <c r="C124" s="1983">
        <f>INDEX(SP_CFA_FCF_PreDiv,0,COLUMN())/INDEX(SP_CS_EV,0,COLUMN())</f>
        <v/>
      </c>
      <c r="D124" s="1983">
        <f>INDEX(SP_CFA_FCF_PreDiv,0,COLUMN())/INDEX(SP_CS_EV,0,COLUMN())</f>
        <v/>
      </c>
      <c r="E124" s="1983">
        <f>INDEX(SP_CFA_FCF_PreDiv,0,COLUMN())/INDEX(SP_CS_EV,0,COLUMN())</f>
        <v/>
      </c>
      <c r="F124" s="1983">
        <f>INDEX(SP_CFA_FCF_PreDiv,0,COLUMN())/INDEX(SP_CS_EV,0,COLUMN())</f>
        <v/>
      </c>
      <c r="G124" s="1983">
        <f>INDEX(SP_CFA_FCF_PreDiv,0,COLUMN())/INDEX(SP_CS_EV,0,COLUMN())</f>
        <v/>
      </c>
      <c r="H124" s="1984" t="n"/>
      <c r="I124" s="1984" t="n"/>
      <c r="J124" s="1984" t="n"/>
      <c r="K124" s="1984" t="n"/>
      <c r="L124" s="1983">
        <f>INDEX(SP_CFA_FCF_PreDiv,0,COLUMN())/INDEX(SP_CS_EV,0,COLUMN())</f>
        <v/>
      </c>
      <c r="M124" s="1984" t="n"/>
      <c r="N124" s="1984" t="n"/>
      <c r="O124" s="1984" t="n"/>
      <c r="P124" s="1984" t="n"/>
      <c r="Q124" s="1983">
        <f>INDEX(SP_CFA_FCF_PreDiv,0,COLUMN())/INDEX(SP_CS_EV,0,COLUMN())</f>
        <v/>
      </c>
      <c r="R124" s="1984" t="n"/>
      <c r="S124" s="1984" t="n"/>
      <c r="T124" s="1984" t="n"/>
      <c r="U124" s="1984" t="n"/>
      <c r="V124" s="1983">
        <f>INDEX(SP_CFA_FCF_PreDiv,0,COLUMN())/INDEX(SP_CS_EV,0,COLUMN())</f>
        <v/>
      </c>
      <c r="W124" s="1984" t="n"/>
      <c r="X124" s="1984" t="n"/>
      <c r="Y124" s="1984" t="n"/>
      <c r="Z124" s="1984" t="n"/>
      <c r="AA124" s="1983">
        <f>INDEX(SP_CFA_FCF_PreDiv,0,COLUMN())/INDEX(SP_CS_EV,0,COLUMN())</f>
        <v/>
      </c>
      <c r="AB124" s="1984" t="n"/>
      <c r="AC124" s="1984" t="n"/>
      <c r="AD124" s="1984" t="n"/>
      <c r="AE124" s="1984" t="n"/>
      <c r="AF124" s="1983">
        <f>INDEX(SP_CFA_FCF_PreDiv,0,COLUMN())/INDEX(SP_CS_EV,0,COLUMN())</f>
        <v/>
      </c>
      <c r="AG124" s="1984" t="n"/>
      <c r="AH124" s="1984" t="n"/>
      <c r="AI124" s="1984" t="n"/>
      <c r="AJ124" s="1984" t="n"/>
      <c r="AK124" s="1983">
        <f>INDEX(SP_CFA_FCF_PreDiv,0,COLUMN())/INDEX(SP_CS_EV,0,COLUMN())</f>
        <v/>
      </c>
      <c r="AL124" s="1984" t="n"/>
      <c r="AM124" s="1984" t="n"/>
      <c r="AN124" s="1984" t="n"/>
      <c r="AO124" s="1984" t="n"/>
      <c r="AP124" s="1983">
        <f>INDEX(SP_CFA_FCF_PreDiv,0,COLUMN())/INDEX(SP_CS_EV,0,COLUMN())</f>
        <v/>
      </c>
      <c r="AQ124" s="1984" t="n"/>
      <c r="AR124" s="1984" t="n"/>
      <c r="AS124" s="1984" t="n"/>
      <c r="AT124" s="1984" t="n"/>
      <c r="AU124" s="1983">
        <f>INDEX(SP_CFA_FCF_PreDiv,0,COLUMN())/INDEX(SP_CS_EV,0,COLUMN())</f>
        <v/>
      </c>
      <c r="AV124" s="1984" t="n"/>
      <c r="AW124" s="1984" t="n"/>
      <c r="AX124" s="1984" t="n"/>
      <c r="AY124" s="1984" t="n"/>
      <c r="AZ124" s="1983">
        <f>INDEX(SP_CFA_FCF_PreDiv,0,COLUMN())/INDEX(SP_CS_EV,0,COLUMN())</f>
        <v/>
      </c>
      <c r="BA124" s="1984" t="n"/>
      <c r="BB124" s="1984" t="n"/>
      <c r="BC124" s="1984" t="n"/>
      <c r="BD124" s="1984" t="n"/>
      <c r="BE124" s="1983">
        <f>INDEX(SP_CFA_FCF_PreDiv,0,COLUMN())/INDEX(SP_CS_EV,0,COLUMN())</f>
        <v/>
      </c>
      <c r="BF124" s="1984" t="n"/>
      <c r="BG124" s="1984" t="n"/>
      <c r="BH124" s="1984" t="n"/>
      <c r="BI124" s="1984" t="n"/>
      <c r="BJ124" s="1983">
        <f>INDEX(SP_CFA_FCF_PreDiv,0,COLUMN())/INDEX(SP_CS_EV,0,COLUMN())</f>
        <v/>
      </c>
      <c r="BK124" s="1984" t="n"/>
      <c r="BL124" s="1984" t="n"/>
      <c r="BM124" s="1984" t="n"/>
      <c r="BN124" s="1984" t="n"/>
      <c r="BO124" s="1985">
        <f>INDEX(SP_CFA_FCF_PreDiv,0,COLUMN())/INDEX(SP_CS_EV,0,COLUMN())</f>
        <v/>
      </c>
      <c r="BP124" s="1984" t="n"/>
      <c r="BQ124" s="1984" t="n"/>
      <c r="BR124" s="1984" t="n"/>
      <c r="BS124" s="1984" t="n"/>
      <c r="BT124" s="1983">
        <f>INDEX(SP_CFA_FCF_PreDiv,0,COLUMN())/INDEX(SP_CS_EV,0,COLUMN())</f>
        <v/>
      </c>
      <c r="BU124" s="1984" t="n"/>
      <c r="BV124" s="1984" t="n"/>
      <c r="BW124" s="1984" t="n"/>
      <c r="BX124" s="1984" t="n"/>
      <c r="BY124" s="1983">
        <f>INDEX(SP_CFA_FCF_PreDiv,0,COLUMN())/INDEX(SP_CS_EV,0,COLUMN())</f>
        <v/>
      </c>
      <c r="BZ124" s="1983">
        <f>INDEX(SP_CFA_FCF_PreDiv,0,COLUMN())/INDEX(SP_CS_EV,0,COLUMN())</f>
        <v/>
      </c>
      <c r="CA124" s="1983">
        <f>INDEX(SP_CFA_FCF_PreDiv,0,COLUMN())/INDEX(SP_CS_EV,0,COLUMN())</f>
        <v/>
      </c>
      <c r="CB124" s="1983">
        <f>INDEX(SP_CFA_FCF_PreDiv,0,COLUMN())/INDEX(SP_CS_EV,0,COLUMN())</f>
        <v/>
      </c>
      <c r="CC124" s="1527" t="n"/>
    </row>
    <row r="125" ht="14.4" customFormat="1" customHeight="1" s="1925">
      <c r="A125" s="2051" t="n"/>
      <c r="B125" s="1982" t="n"/>
      <c r="C125" s="1983" t="n"/>
      <c r="D125" s="1983" t="n"/>
      <c r="E125" s="1983" t="n"/>
      <c r="F125" s="1983" t="n"/>
      <c r="G125" s="1983" t="n"/>
      <c r="H125" s="1984" t="n"/>
      <c r="I125" s="1984" t="n"/>
      <c r="J125" s="1984" t="n"/>
      <c r="K125" s="1984" t="n"/>
      <c r="L125" s="1983" t="n"/>
      <c r="M125" s="1984" t="n"/>
      <c r="N125" s="1984" t="n"/>
      <c r="O125" s="1984" t="n"/>
      <c r="P125" s="1984" t="n"/>
      <c r="Q125" s="1983" t="n"/>
      <c r="R125" s="1984" t="n"/>
      <c r="S125" s="1984" t="n"/>
      <c r="T125" s="1984" t="n"/>
      <c r="U125" s="1984" t="n"/>
      <c r="V125" s="1983" t="n"/>
      <c r="W125" s="1984" t="n"/>
      <c r="X125" s="1984" t="n"/>
      <c r="Y125" s="1984" t="n"/>
      <c r="Z125" s="1984" t="n"/>
      <c r="AA125" s="1983" t="n"/>
      <c r="AB125" s="1984" t="n"/>
      <c r="AC125" s="1984" t="n"/>
      <c r="AD125" s="1984" t="n"/>
      <c r="AE125" s="1984" t="n"/>
      <c r="AF125" s="1983" t="n"/>
      <c r="AG125" s="1984" t="n"/>
      <c r="AH125" s="1984" t="n"/>
      <c r="AI125" s="1984" t="n"/>
      <c r="AJ125" s="1984" t="n"/>
      <c r="AK125" s="1983" t="n"/>
      <c r="AL125" s="1984" t="n"/>
      <c r="AM125" s="1984" t="n"/>
      <c r="AN125" s="1984" t="n"/>
      <c r="AO125" s="1984" t="n"/>
      <c r="AP125" s="1983" t="n"/>
      <c r="AQ125" s="1984" t="n"/>
      <c r="AR125" s="1984" t="n"/>
      <c r="AS125" s="1984" t="n"/>
      <c r="AT125" s="1984" t="n"/>
      <c r="AU125" s="1983" t="n"/>
      <c r="AV125" s="1984" t="n"/>
      <c r="AW125" s="1984" t="n"/>
      <c r="AX125" s="1984" t="n"/>
      <c r="AY125" s="1984" t="n"/>
      <c r="AZ125" s="1983" t="n"/>
      <c r="BA125" s="1984" t="n"/>
      <c r="BB125" s="1984" t="n"/>
      <c r="BC125" s="1984" t="n"/>
      <c r="BD125" s="1984" t="n"/>
      <c r="BE125" s="1983" t="n"/>
      <c r="BF125" s="1984" t="n"/>
      <c r="BG125" s="1984" t="n"/>
      <c r="BH125" s="1984" t="n"/>
      <c r="BI125" s="1984" t="n"/>
      <c r="BJ125" s="1983" t="n"/>
      <c r="BK125" s="1984" t="n"/>
      <c r="BL125" s="1984" t="n"/>
      <c r="BM125" s="1984" t="n"/>
      <c r="BN125" s="1984" t="n"/>
      <c r="BO125" s="1985" t="n"/>
      <c r="BP125" s="1984" t="n"/>
      <c r="BQ125" s="1984" t="n"/>
      <c r="BR125" s="1984" t="n"/>
      <c r="BS125" s="1984" t="n"/>
      <c r="BT125" s="1983" t="n"/>
      <c r="BU125" s="1984" t="n"/>
      <c r="BV125" s="1984" t="n"/>
      <c r="BW125" s="1984" t="n"/>
      <c r="BX125" s="1984" t="n"/>
      <c r="BY125" s="1983" t="n"/>
      <c r="BZ125" s="1983" t="n"/>
      <c r="CA125" s="1983" t="n"/>
      <c r="CB125" s="1983" t="n"/>
      <c r="CC125" s="1527" t="n"/>
    </row>
    <row r="126" ht="14.4" customHeight="1" s="876">
      <c r="A126" s="1945" t="inlineStr">
        <is>
          <t>Check</t>
        </is>
      </c>
      <c r="B126" s="1979" t="n"/>
      <c r="C126" s="1979" t="n"/>
      <c r="D126" s="1979" t="n"/>
      <c r="E126" s="1979" t="n"/>
      <c r="F126" s="1979" t="n"/>
      <c r="G126" s="1979" t="n"/>
      <c r="H126" s="1979" t="n"/>
      <c r="I126" s="1979" t="n"/>
      <c r="J126" s="1979" t="n"/>
      <c r="K126" s="1979" t="n"/>
      <c r="L126" s="1979" t="n"/>
      <c r="M126" s="1979" t="n"/>
      <c r="N126" s="1979" t="n"/>
      <c r="O126" s="1979" t="n"/>
      <c r="P126" s="1979" t="n"/>
      <c r="Q126" s="1979" t="n"/>
      <c r="R126" s="1979" t="n"/>
      <c r="S126" s="1979" t="n"/>
      <c r="T126" s="1979" t="n"/>
      <c r="U126" s="1979" t="n"/>
      <c r="V126" s="1979" t="n"/>
      <c r="W126" s="1979" t="n"/>
      <c r="X126" s="1979" t="n"/>
      <c r="Y126" s="1979" t="n"/>
      <c r="Z126" s="1979" t="n"/>
      <c r="AA126" s="1979" t="n"/>
      <c r="AB126" s="1979" t="n"/>
      <c r="AC126" s="1979" t="n"/>
      <c r="AD126" s="1979" t="n"/>
      <c r="AE126" s="1979" t="n"/>
      <c r="AF126" s="1979" t="n"/>
      <c r="AG126" s="1979" t="n"/>
      <c r="AH126" s="1979" t="n"/>
      <c r="AI126" s="1979" t="n"/>
      <c r="AJ126" s="1979" t="n"/>
      <c r="AK126" s="1979" t="n"/>
      <c r="AL126" s="1979" t="n"/>
      <c r="AM126" s="1979" t="n"/>
      <c r="AN126" s="1979" t="n"/>
      <c r="AO126" s="1979" t="n"/>
      <c r="AP126" s="1979" t="n"/>
      <c r="AQ126" s="1979" t="n"/>
      <c r="AR126" s="1979" t="n"/>
      <c r="AS126" s="1979" t="n"/>
      <c r="AT126" s="1979" t="n"/>
      <c r="AU126" s="1979" t="n"/>
      <c r="AV126" s="1979" t="n"/>
      <c r="AW126" s="1979" t="n"/>
      <c r="AX126" s="1979" t="n"/>
      <c r="AY126" s="1979" t="n"/>
      <c r="AZ126" s="1979" t="n"/>
      <c r="BA126" s="1979" t="n"/>
      <c r="BB126" s="1979" t="n"/>
      <c r="BC126" s="1979" t="n"/>
      <c r="BD126" s="1979" t="n"/>
      <c r="BE126" s="1979" t="n"/>
      <c r="BF126" s="1979" t="n"/>
      <c r="BG126" s="1979" t="n"/>
      <c r="BH126" s="1979" t="n"/>
      <c r="BI126" s="1979" t="n"/>
      <c r="BJ126" s="1979" t="n"/>
      <c r="BK126" s="1979" t="n"/>
      <c r="BL126" s="1979" t="n"/>
      <c r="BM126" s="1979" t="n"/>
      <c r="BN126" s="1979" t="n"/>
      <c r="BO126" s="1980" t="n"/>
      <c r="BP126" s="1979" t="n"/>
      <c r="BQ126" s="1979" t="n"/>
      <c r="BR126" s="1979" t="n"/>
      <c r="BS126" s="1979" t="n"/>
      <c r="BT126" s="1979" t="n"/>
      <c r="BU126" s="1979" t="n"/>
      <c r="BV126" s="1979" t="n"/>
      <c r="BW126" s="1979" t="n"/>
      <c r="BX126" s="1979" t="n"/>
      <c r="BY126" s="1979" t="n"/>
      <c r="BZ126" s="1979" t="n"/>
      <c r="CA126" s="1979" t="n"/>
      <c r="CB126" s="1979" t="n"/>
      <c r="CC126" s="1527" t="n"/>
    </row>
    <row r="127" hidden="1" outlineLevel="1" ht="14.4" customHeight="1" s="876">
      <c r="A127" s="1301" t="inlineStr">
        <is>
          <t>EBIT</t>
        </is>
      </c>
      <c r="B127" s="166" t="n"/>
      <c r="C127" s="1606">
        <f>ROUND(INDEX(SP_GF_EBIT,0,COLUMN())-INDEX(MO_RIS_EBIT,0,COLUMN()),6)</f>
        <v/>
      </c>
      <c r="D127" s="1606">
        <f>ROUND(INDEX(SP_GF_EBIT,0,COLUMN())-INDEX(MO_RIS_EBIT,0,COLUMN()),6)</f>
        <v/>
      </c>
      <c r="E127" s="1606">
        <f>ROUND(INDEX(SP_GF_EBIT,0,COLUMN())-INDEX(MO_RIS_EBIT,0,COLUMN()),6)</f>
        <v/>
      </c>
      <c r="F127" s="1606">
        <f>ROUND(INDEX(SP_GF_EBIT,0,COLUMN())-INDEX(MO_RIS_EBIT,0,COLUMN()),6)</f>
        <v/>
      </c>
      <c r="G127" s="1606">
        <f>ROUND(INDEX(SP_GF_EBIT,0,COLUMN())-INDEX(MO_RIS_EBIT,0,COLUMN()),6)</f>
        <v/>
      </c>
      <c r="H127" s="1606">
        <f>ROUND(INDEX(SP_GF_EBIT,0,COLUMN())-INDEX(MO_RIS_EBIT,0,COLUMN()),6)</f>
        <v/>
      </c>
      <c r="I127" s="1606">
        <f>ROUND(INDEX(SP_GF_EBIT,0,COLUMN())-INDEX(MO_RIS_EBIT,0,COLUMN()),6)</f>
        <v/>
      </c>
      <c r="J127" s="1606">
        <f>ROUND(INDEX(SP_GF_EBIT,0,COLUMN())-INDEX(MO_RIS_EBIT,0,COLUMN()),6)</f>
        <v/>
      </c>
      <c r="K127" s="1606">
        <f>ROUND(INDEX(SP_GF_EBIT,0,COLUMN())-INDEX(MO_RIS_EBIT,0,COLUMN()),6)</f>
        <v/>
      </c>
      <c r="L127" s="1606">
        <f>ROUND(INDEX(SP_GF_EBIT,0,COLUMN())-INDEX(MO_RIS_EBIT,0,COLUMN()),6)</f>
        <v/>
      </c>
      <c r="M127" s="1606">
        <f>ROUND(INDEX(SP_GF_EBIT,0,COLUMN())-INDEX(MO_RIS_EBIT,0,COLUMN()),6)</f>
        <v/>
      </c>
      <c r="N127" s="1606">
        <f>ROUND(INDEX(SP_GF_EBIT,0,COLUMN())-INDEX(MO_RIS_EBIT,0,COLUMN()),6)</f>
        <v/>
      </c>
      <c r="O127" s="1606">
        <f>ROUND(INDEX(SP_GF_EBIT,0,COLUMN())-INDEX(MO_RIS_EBIT,0,COLUMN()),6)</f>
        <v/>
      </c>
      <c r="P127" s="1606">
        <f>ROUND(INDEX(SP_GF_EBIT,0,COLUMN())-INDEX(MO_RIS_EBIT,0,COLUMN()),6)</f>
        <v/>
      </c>
      <c r="Q127" s="1606">
        <f>ROUND(INDEX(SP_GF_EBIT,0,COLUMN())-INDEX(MO_RIS_EBIT,0,COLUMN()),6)</f>
        <v/>
      </c>
      <c r="R127" s="1606">
        <f>ROUND(INDEX(SP_GF_EBIT,0,COLUMN())-INDEX(MO_RIS_EBIT,0,COLUMN()),6)</f>
        <v/>
      </c>
      <c r="S127" s="1606">
        <f>ROUND(INDEX(SP_GF_EBIT,0,COLUMN())-INDEX(MO_RIS_EBIT,0,COLUMN()),6)</f>
        <v/>
      </c>
      <c r="T127" s="1606">
        <f>ROUND(INDEX(SP_GF_EBIT,0,COLUMN())-INDEX(MO_RIS_EBIT,0,COLUMN()),6)</f>
        <v/>
      </c>
      <c r="U127" s="1606">
        <f>ROUND(INDEX(SP_GF_EBIT,0,COLUMN())-INDEX(MO_RIS_EBIT,0,COLUMN()),6)</f>
        <v/>
      </c>
      <c r="V127" s="1606">
        <f>ROUND(INDEX(SP_GF_EBIT,0,COLUMN())-INDEX(MO_RIS_EBIT,0,COLUMN()),6)</f>
        <v/>
      </c>
      <c r="W127" s="1606">
        <f>ROUND(INDEX(SP_GF_EBIT,0,COLUMN())-INDEX(MO_RIS_EBIT,0,COLUMN()),6)</f>
        <v/>
      </c>
      <c r="X127" s="1606">
        <f>ROUND(INDEX(SP_GF_EBIT,0,COLUMN())-INDEX(MO_RIS_EBIT,0,COLUMN()),6)</f>
        <v/>
      </c>
      <c r="Y127" s="1606">
        <f>ROUND(INDEX(SP_GF_EBIT,0,COLUMN())-INDEX(MO_RIS_EBIT,0,COLUMN()),6)</f>
        <v/>
      </c>
      <c r="Z127" s="1606">
        <f>ROUND(INDEX(SP_GF_EBIT,0,COLUMN())-INDEX(MO_RIS_EBIT,0,COLUMN()),6)</f>
        <v/>
      </c>
      <c r="AA127" s="1606">
        <f>ROUND(INDEX(SP_GF_EBIT,0,COLUMN())-INDEX(MO_RIS_EBIT,0,COLUMN()),6)</f>
        <v/>
      </c>
      <c r="AB127" s="1606">
        <f>ROUND(INDEX(SP_GF_EBIT,0,COLUMN())-INDEX(MO_RIS_EBIT,0,COLUMN()),6)</f>
        <v/>
      </c>
      <c r="AC127" s="1606">
        <f>ROUND(INDEX(SP_GF_EBIT,0,COLUMN())-INDEX(MO_RIS_EBIT,0,COLUMN()),6)</f>
        <v/>
      </c>
      <c r="AD127" s="1606">
        <f>ROUND(INDEX(SP_GF_EBIT,0,COLUMN())-INDEX(MO_RIS_EBIT,0,COLUMN()),6)</f>
        <v/>
      </c>
      <c r="AE127" s="1606">
        <f>ROUND(INDEX(SP_GF_EBIT,0,COLUMN())-INDEX(MO_RIS_EBIT,0,COLUMN()),6)</f>
        <v/>
      </c>
      <c r="AF127" s="1606">
        <f>ROUND(INDEX(SP_GF_EBIT,0,COLUMN())-INDEX(MO_RIS_EBIT,0,COLUMN()),6)</f>
        <v/>
      </c>
      <c r="AG127" s="1606">
        <f>ROUND(INDEX(SP_GF_EBIT,0,COLUMN())-INDEX(MO_RIS_EBIT,0,COLUMN()),6)</f>
        <v/>
      </c>
      <c r="AH127" s="1606">
        <f>ROUND(INDEX(SP_GF_EBIT,0,COLUMN())-INDEX(MO_RIS_EBIT,0,COLUMN()),6)</f>
        <v/>
      </c>
      <c r="AI127" s="1606">
        <f>ROUND(INDEX(SP_GF_EBIT,0,COLUMN())-INDEX(MO_RIS_EBIT,0,COLUMN()),6)</f>
        <v/>
      </c>
      <c r="AJ127" s="1606">
        <f>ROUND(INDEX(SP_GF_EBIT,0,COLUMN())-INDEX(MO_RIS_EBIT,0,COLUMN()),6)</f>
        <v/>
      </c>
      <c r="AK127" s="1606">
        <f>ROUND(INDEX(SP_GF_EBIT,0,COLUMN())-INDEX(MO_RIS_EBIT,0,COLUMN()),6)</f>
        <v/>
      </c>
      <c r="AL127" s="1606">
        <f>ROUND(INDEX(SP_GF_EBIT,0,COLUMN())-INDEX(MO_RIS_EBIT,0,COLUMN()),6)</f>
        <v/>
      </c>
      <c r="AM127" s="1606">
        <f>ROUND(INDEX(SP_GF_EBIT,0,COLUMN())-INDEX(MO_RIS_EBIT,0,COLUMN()),6)</f>
        <v/>
      </c>
      <c r="AN127" s="1606">
        <f>ROUND(INDEX(SP_GF_EBIT,0,COLUMN())-INDEX(MO_RIS_EBIT,0,COLUMN()),6)</f>
        <v/>
      </c>
      <c r="AO127" s="1606">
        <f>ROUND(INDEX(SP_GF_EBIT,0,COLUMN())-INDEX(MO_RIS_EBIT,0,COLUMN()),6)</f>
        <v/>
      </c>
      <c r="AP127" s="1606">
        <f>ROUND(INDEX(SP_GF_EBIT,0,COLUMN())-INDEX(MO_RIS_EBIT,0,COLUMN()),6)</f>
        <v/>
      </c>
      <c r="AQ127" s="1606">
        <f>ROUND(INDEX(SP_GF_EBIT,0,COLUMN())-INDEX(MO_RIS_EBIT,0,COLUMN()),6)</f>
        <v/>
      </c>
      <c r="AR127" s="1606">
        <f>ROUND(INDEX(SP_GF_EBIT,0,COLUMN())-INDEX(MO_RIS_EBIT,0,COLUMN()),6)</f>
        <v/>
      </c>
      <c r="AS127" s="1606">
        <f>ROUND(INDEX(SP_GF_EBIT,0,COLUMN())-INDEX(MO_RIS_EBIT,0,COLUMN()),6)</f>
        <v/>
      </c>
      <c r="AT127" s="1606">
        <f>ROUND(INDEX(SP_GF_EBIT,0,COLUMN())-INDEX(MO_RIS_EBIT,0,COLUMN()),6)</f>
        <v/>
      </c>
      <c r="AU127" s="1606">
        <f>ROUND(INDEX(SP_GF_EBIT,0,COLUMN())-INDEX(MO_RIS_EBIT,0,COLUMN()),6)</f>
        <v/>
      </c>
      <c r="AV127" s="1606">
        <f>ROUND(INDEX(SP_GF_EBIT,0,COLUMN())-INDEX(MO_RIS_EBIT,0,COLUMN()),6)</f>
        <v/>
      </c>
      <c r="AW127" s="1606">
        <f>ROUND(INDEX(SP_GF_EBIT,0,COLUMN())-INDEX(MO_RIS_EBIT,0,COLUMN()),6)</f>
        <v/>
      </c>
      <c r="AX127" s="1606">
        <f>ROUND(INDEX(SP_GF_EBIT,0,COLUMN())-INDEX(MO_RIS_EBIT,0,COLUMN()),6)</f>
        <v/>
      </c>
      <c r="AY127" s="1606">
        <f>ROUND(INDEX(SP_GF_EBIT,0,COLUMN())-INDEX(MO_RIS_EBIT,0,COLUMN()),6)</f>
        <v/>
      </c>
      <c r="AZ127" s="1606">
        <f>ROUND(INDEX(SP_GF_EBIT,0,COLUMN())-INDEX(MO_RIS_EBIT,0,COLUMN()),6)</f>
        <v/>
      </c>
      <c r="BA127" s="1606">
        <f>ROUND(INDEX(SP_GF_EBIT,0,COLUMN())-INDEX(MO_RIS_EBIT,0,COLUMN()),6)</f>
        <v/>
      </c>
      <c r="BB127" s="1606">
        <f>ROUND(INDEX(SP_GF_EBIT,0,COLUMN())-INDEX(MO_RIS_EBIT,0,COLUMN()),6)</f>
        <v/>
      </c>
      <c r="BC127" s="1606">
        <f>ROUND(INDEX(SP_GF_EBIT,0,COLUMN())-INDEX(MO_RIS_EBIT,0,COLUMN()),6)</f>
        <v/>
      </c>
      <c r="BD127" s="1606">
        <f>ROUND(INDEX(SP_GF_EBIT,0,COLUMN())-INDEX(MO_RIS_EBIT,0,COLUMN()),6)</f>
        <v/>
      </c>
      <c r="BE127" s="1606">
        <f>ROUND(INDEX(SP_GF_EBIT,0,COLUMN())-INDEX(MO_RIS_EBIT,0,COLUMN()),6)</f>
        <v/>
      </c>
      <c r="BF127" s="1606">
        <f>ROUND(INDEX(SP_GF_EBIT,0,COLUMN())-INDEX(MO_RIS_EBIT,0,COLUMN()),6)</f>
        <v/>
      </c>
      <c r="BG127" s="1606">
        <f>ROUND(INDEX(SP_GF_EBIT,0,COLUMN())-INDEX(MO_RIS_EBIT,0,COLUMN()),6)</f>
        <v/>
      </c>
      <c r="BH127" s="1606">
        <f>ROUND(INDEX(SP_GF_EBIT,0,COLUMN())-INDEX(MO_RIS_EBIT,0,COLUMN()),6)</f>
        <v/>
      </c>
      <c r="BI127" s="1606">
        <f>ROUND(INDEX(SP_GF_EBIT,0,COLUMN())-INDEX(MO_RIS_EBIT,0,COLUMN()),6)</f>
        <v/>
      </c>
      <c r="BJ127" s="1606">
        <f>ROUND(INDEX(SP_GF_EBIT,0,COLUMN())-INDEX(MO_RIS_EBIT,0,COLUMN()),6)</f>
        <v/>
      </c>
      <c r="BK127" s="1606">
        <f>ROUND(INDEX(SP_GF_EBIT,0,COLUMN())-INDEX(MO_RIS_EBIT,0,COLUMN()),6)</f>
        <v/>
      </c>
      <c r="BL127" s="1606">
        <f>ROUND(INDEX(SP_GF_EBIT,0,COLUMN())-INDEX(MO_RIS_EBIT,0,COLUMN()),6)</f>
        <v/>
      </c>
      <c r="BM127" s="1606">
        <f>ROUND(INDEX(SP_GF_EBIT,0,COLUMN())-INDEX(MO_RIS_EBIT,0,COLUMN()),6)</f>
        <v/>
      </c>
      <c r="BN127" s="1606">
        <f>ROUND(INDEX(SP_GF_EBIT,0,COLUMN())-INDEX(MO_RIS_EBIT,0,COLUMN()),6)</f>
        <v/>
      </c>
      <c r="BO127" s="1607">
        <f>ROUND(INDEX(SP_GF_EBIT,0,COLUMN())-INDEX(MO_RIS_EBIT,0,COLUMN()),6)</f>
        <v/>
      </c>
      <c r="BP127" s="1606">
        <f>ROUND(INDEX(SP_GF_EBIT,0,COLUMN())-INDEX(MO_RIS_EBIT,0,COLUMN()),6)</f>
        <v/>
      </c>
      <c r="BQ127" s="1606">
        <f>ROUND(INDEX(SP_GF_EBIT,0,COLUMN())-INDEX(MO_RIS_EBIT,0,COLUMN()),6)</f>
        <v/>
      </c>
      <c r="BR127" s="1606">
        <f>ROUND(INDEX(SP_GF_EBIT,0,COLUMN())-INDEX(MO_RIS_EBIT,0,COLUMN()),6)</f>
        <v/>
      </c>
      <c r="BS127" s="1606">
        <f>ROUND(INDEX(SP_GF_EBIT,0,COLUMN())-INDEX(MO_RIS_EBIT,0,COLUMN()),6)</f>
        <v/>
      </c>
      <c r="BT127" s="1606">
        <f>ROUND(INDEX(SP_GF_EBIT,0,COLUMN())-INDEX(MO_RIS_EBIT,0,COLUMN()),6)</f>
        <v/>
      </c>
      <c r="BU127" s="1606">
        <f>ROUND(INDEX(SP_GF_EBIT,0,COLUMN())-INDEX(MO_RIS_EBIT,0,COLUMN()),6)</f>
        <v/>
      </c>
      <c r="BV127" s="1606">
        <f>ROUND(INDEX(SP_GF_EBIT,0,COLUMN())-INDEX(MO_RIS_EBIT,0,COLUMN()),6)</f>
        <v/>
      </c>
      <c r="BW127" s="1606">
        <f>ROUND(INDEX(SP_GF_EBIT,0,COLUMN())-INDEX(MO_RIS_EBIT,0,COLUMN()),6)</f>
        <v/>
      </c>
      <c r="BX127" s="1606">
        <f>ROUND(INDEX(SP_GF_EBIT,0,COLUMN())-INDEX(MO_RIS_EBIT,0,COLUMN()),6)</f>
        <v/>
      </c>
      <c r="BY127" s="1606">
        <f>ROUND(INDEX(SP_GF_EBIT,0,COLUMN())-INDEX(MO_RIS_EBIT,0,COLUMN()),6)</f>
        <v/>
      </c>
      <c r="BZ127" s="1606">
        <f>ROUND(INDEX(SP_GF_EBIT,0,COLUMN())-INDEX(MO_RIS_EBIT,0,COLUMN()),6)</f>
        <v/>
      </c>
      <c r="CA127" s="1606">
        <f>ROUND(INDEX(SP_GF_EBIT,0,COLUMN())-INDEX(MO_RIS_EBIT,0,COLUMN()),6)</f>
        <v/>
      </c>
      <c r="CB127" s="1606">
        <f>ROUND(INDEX(SP_GF_EBIT,0,COLUMN())-INDEX(MO_RIS_EBIT,0,COLUMN()),6)</f>
        <v/>
      </c>
      <c r="CC127" s="1527" t="n"/>
    </row>
    <row r="128" hidden="1" outlineLevel="1" ht="14.4" customHeight="1" s="876">
      <c r="A128" s="1301" t="inlineStr">
        <is>
          <t>Adjusted EBITDA</t>
        </is>
      </c>
      <c r="B128" s="166" t="n"/>
      <c r="C128" s="1606">
        <f>ROUND(INDEX(SP_NGF_EBITDA,0,COLUMN())-INDEX(MO_RIS_EBITDA_Adj,0,COLUMN()),6)</f>
        <v/>
      </c>
      <c r="D128" s="1606">
        <f>ROUND(INDEX(SP_NGF_EBITDA,0,COLUMN())-INDEX(MO_RIS_EBITDA_Adj,0,COLUMN()),6)</f>
        <v/>
      </c>
      <c r="E128" s="1606">
        <f>ROUND(INDEX(SP_NGF_EBITDA,0,COLUMN())-INDEX(MO_RIS_EBITDA_Adj,0,COLUMN()),6)</f>
        <v/>
      </c>
      <c r="F128" s="1606">
        <f>ROUND(INDEX(SP_NGF_EBITDA,0,COLUMN())-INDEX(MO_RIS_EBITDA_Adj,0,COLUMN()),6)</f>
        <v/>
      </c>
      <c r="G128" s="1606">
        <f>ROUND(INDEX(SP_NGF_EBITDA,0,COLUMN())-INDEX(MO_RIS_EBITDA_Adj,0,COLUMN()),6)</f>
        <v/>
      </c>
      <c r="H128" s="1606">
        <f>ROUND(INDEX(SP_NGF_EBITDA,0,COLUMN())-INDEX(MO_RIS_EBITDA_Adj,0,COLUMN()),6)</f>
        <v/>
      </c>
      <c r="I128" s="1606">
        <f>ROUND(INDEX(SP_NGF_EBITDA,0,COLUMN())-INDEX(MO_RIS_EBITDA_Adj,0,COLUMN()),6)</f>
        <v/>
      </c>
      <c r="J128" s="1606">
        <f>ROUND(INDEX(SP_NGF_EBITDA,0,COLUMN())-INDEX(MO_RIS_EBITDA_Adj,0,COLUMN()),6)</f>
        <v/>
      </c>
      <c r="K128" s="1606">
        <f>ROUND(INDEX(SP_NGF_EBITDA,0,COLUMN())-INDEX(MO_RIS_EBITDA_Adj,0,COLUMN()),6)</f>
        <v/>
      </c>
      <c r="L128" s="1606">
        <f>ROUND(INDEX(SP_NGF_EBITDA,0,COLUMN())-INDEX(MO_RIS_EBITDA_Adj,0,COLUMN()),6)</f>
        <v/>
      </c>
      <c r="M128" s="1606">
        <f>ROUND(INDEX(SP_NGF_EBITDA,0,COLUMN())-INDEX(MO_RIS_EBITDA_Adj,0,COLUMN()),6)</f>
        <v/>
      </c>
      <c r="N128" s="1606">
        <f>ROUND(INDEX(SP_NGF_EBITDA,0,COLUMN())-INDEX(MO_RIS_EBITDA_Adj,0,COLUMN()),6)</f>
        <v/>
      </c>
      <c r="O128" s="1606">
        <f>ROUND(INDEX(SP_NGF_EBITDA,0,COLUMN())-INDEX(MO_RIS_EBITDA_Adj,0,COLUMN()),6)</f>
        <v/>
      </c>
      <c r="P128" s="1606">
        <f>ROUND(INDEX(SP_NGF_EBITDA,0,COLUMN())-INDEX(MO_RIS_EBITDA_Adj,0,COLUMN()),6)</f>
        <v/>
      </c>
      <c r="Q128" s="1606">
        <f>ROUND(INDEX(SP_NGF_EBITDA,0,COLUMN())-INDEX(MO_RIS_EBITDA_Adj,0,COLUMN()),6)</f>
        <v/>
      </c>
      <c r="R128" s="1606">
        <f>ROUND(INDEX(SP_NGF_EBITDA,0,COLUMN())-INDEX(MO_RIS_EBITDA_Adj,0,COLUMN()),6)</f>
        <v/>
      </c>
      <c r="S128" s="1606">
        <f>ROUND(INDEX(SP_NGF_EBITDA,0,COLUMN())-INDEX(MO_RIS_EBITDA_Adj,0,COLUMN()),6)</f>
        <v/>
      </c>
      <c r="T128" s="1606">
        <f>ROUND(INDEX(SP_NGF_EBITDA,0,COLUMN())-INDEX(MO_RIS_EBITDA_Adj,0,COLUMN()),6)</f>
        <v/>
      </c>
      <c r="U128" s="1606">
        <f>ROUND(INDEX(SP_NGF_EBITDA,0,COLUMN())-INDEX(MO_RIS_EBITDA_Adj,0,COLUMN()),6)</f>
        <v/>
      </c>
      <c r="V128" s="1606">
        <f>ROUND(INDEX(SP_NGF_EBITDA,0,COLUMN())-INDEX(MO_RIS_EBITDA_Adj,0,COLUMN()),6)</f>
        <v/>
      </c>
      <c r="W128" s="1606">
        <f>ROUND(INDEX(SP_NGF_EBITDA,0,COLUMN())-INDEX(MO_RIS_EBITDA_Adj,0,COLUMN()),6)</f>
        <v/>
      </c>
      <c r="X128" s="1606">
        <f>ROUND(INDEX(SP_NGF_EBITDA,0,COLUMN())-INDEX(MO_RIS_EBITDA_Adj,0,COLUMN()),6)</f>
        <v/>
      </c>
      <c r="Y128" s="1606">
        <f>ROUND(INDEX(SP_NGF_EBITDA,0,COLUMN())-INDEX(MO_RIS_EBITDA_Adj,0,COLUMN()),6)</f>
        <v/>
      </c>
      <c r="Z128" s="1606">
        <f>ROUND(INDEX(SP_NGF_EBITDA,0,COLUMN())-INDEX(MO_RIS_EBITDA_Adj,0,COLUMN()),6)</f>
        <v/>
      </c>
      <c r="AA128" s="1606">
        <f>ROUND(INDEX(SP_NGF_EBITDA,0,COLUMN())-INDEX(MO_RIS_EBITDA_Adj,0,COLUMN()),6)</f>
        <v/>
      </c>
      <c r="AB128" s="1606">
        <f>ROUND(INDEX(SP_NGF_EBITDA,0,COLUMN())-INDEX(MO_RIS_EBITDA_Adj,0,COLUMN()),6)</f>
        <v/>
      </c>
      <c r="AC128" s="1606">
        <f>ROUND(INDEX(SP_NGF_EBITDA,0,COLUMN())-INDEX(MO_RIS_EBITDA_Adj,0,COLUMN()),6)</f>
        <v/>
      </c>
      <c r="AD128" s="1606">
        <f>ROUND(INDEX(SP_NGF_EBITDA,0,COLUMN())-INDEX(MO_RIS_EBITDA_Adj,0,COLUMN()),6)</f>
        <v/>
      </c>
      <c r="AE128" s="1606">
        <f>ROUND(INDEX(SP_NGF_EBITDA,0,COLUMN())-INDEX(MO_RIS_EBITDA_Adj,0,COLUMN()),6)</f>
        <v/>
      </c>
      <c r="AF128" s="1606">
        <f>ROUND(INDEX(SP_NGF_EBITDA,0,COLUMN())-INDEX(MO_RIS_EBITDA_Adj,0,COLUMN()),6)</f>
        <v/>
      </c>
      <c r="AG128" s="1606">
        <f>ROUND(INDEX(SP_NGF_EBITDA,0,COLUMN())-INDEX(MO_RIS_EBITDA_Adj,0,COLUMN()),6)</f>
        <v/>
      </c>
      <c r="AH128" s="1606">
        <f>ROUND(INDEX(SP_NGF_EBITDA,0,COLUMN())-INDEX(MO_RIS_EBITDA_Adj,0,COLUMN()),6)</f>
        <v/>
      </c>
      <c r="AI128" s="1606">
        <f>ROUND(INDEX(SP_NGF_EBITDA,0,COLUMN())-INDEX(MO_RIS_EBITDA_Adj,0,COLUMN()),6)</f>
        <v/>
      </c>
      <c r="AJ128" s="1606">
        <f>ROUND(INDEX(SP_NGF_EBITDA,0,COLUMN())-INDEX(MO_RIS_EBITDA_Adj,0,COLUMN()),6)</f>
        <v/>
      </c>
      <c r="AK128" s="1606">
        <f>ROUND(INDEX(SP_NGF_EBITDA,0,COLUMN())-INDEX(MO_RIS_EBITDA_Adj,0,COLUMN()),6)</f>
        <v/>
      </c>
      <c r="AL128" s="1606">
        <f>ROUND(INDEX(SP_NGF_EBITDA,0,COLUMN())-INDEX(MO_RIS_EBITDA_Adj,0,COLUMN()),6)</f>
        <v/>
      </c>
      <c r="AM128" s="1606">
        <f>ROUND(INDEX(SP_NGF_EBITDA,0,COLUMN())-INDEX(MO_RIS_EBITDA_Adj,0,COLUMN()),6)</f>
        <v/>
      </c>
      <c r="AN128" s="1606">
        <f>ROUND(INDEX(SP_NGF_EBITDA,0,COLUMN())-INDEX(MO_RIS_EBITDA_Adj,0,COLUMN()),6)</f>
        <v/>
      </c>
      <c r="AO128" s="1606">
        <f>ROUND(INDEX(SP_NGF_EBITDA,0,COLUMN())-INDEX(MO_RIS_EBITDA_Adj,0,COLUMN()),6)</f>
        <v/>
      </c>
      <c r="AP128" s="1606">
        <f>ROUND(INDEX(SP_NGF_EBITDA,0,COLUMN())-INDEX(MO_RIS_EBITDA_Adj,0,COLUMN()),6)</f>
        <v/>
      </c>
      <c r="AQ128" s="1606">
        <f>ROUND(INDEX(SP_NGF_EBITDA,0,COLUMN())-INDEX(MO_RIS_EBITDA_Adj,0,COLUMN()),6)</f>
        <v/>
      </c>
      <c r="AR128" s="1606">
        <f>ROUND(INDEX(SP_NGF_EBITDA,0,COLUMN())-INDEX(MO_RIS_EBITDA_Adj,0,COLUMN()),6)</f>
        <v/>
      </c>
      <c r="AS128" s="1606">
        <f>ROUND(INDEX(SP_NGF_EBITDA,0,COLUMN())-INDEX(MO_RIS_EBITDA_Adj,0,COLUMN()),6)</f>
        <v/>
      </c>
      <c r="AT128" s="1606">
        <f>ROUND(INDEX(SP_NGF_EBITDA,0,COLUMN())-INDEX(MO_RIS_EBITDA_Adj,0,COLUMN()),6)</f>
        <v/>
      </c>
      <c r="AU128" s="1606">
        <f>ROUND(INDEX(SP_NGF_EBITDA,0,COLUMN())-INDEX(MO_RIS_EBITDA_Adj,0,COLUMN()),6)</f>
        <v/>
      </c>
      <c r="AV128" s="1606">
        <f>ROUND(INDEX(SP_NGF_EBITDA,0,COLUMN())-INDEX(MO_RIS_EBITDA_Adj,0,COLUMN()),6)</f>
        <v/>
      </c>
      <c r="AW128" s="1606">
        <f>ROUND(INDEX(SP_NGF_EBITDA,0,COLUMN())-INDEX(MO_RIS_EBITDA_Adj,0,COLUMN()),6)</f>
        <v/>
      </c>
      <c r="AX128" s="1606">
        <f>ROUND(INDEX(SP_NGF_EBITDA,0,COLUMN())-INDEX(MO_RIS_EBITDA_Adj,0,COLUMN()),6)</f>
        <v/>
      </c>
      <c r="AY128" s="1606">
        <f>ROUND(INDEX(SP_NGF_EBITDA,0,COLUMN())-INDEX(MO_RIS_EBITDA_Adj,0,COLUMN()),6)</f>
        <v/>
      </c>
      <c r="AZ128" s="1606">
        <f>ROUND(INDEX(SP_NGF_EBITDA,0,COLUMN())-INDEX(MO_RIS_EBITDA_Adj,0,COLUMN()),6)</f>
        <v/>
      </c>
      <c r="BA128" s="1606">
        <f>ROUND(INDEX(SP_NGF_EBITDA,0,COLUMN())-INDEX(MO_RIS_EBITDA_Adj,0,COLUMN()),6)</f>
        <v/>
      </c>
      <c r="BB128" s="1606">
        <f>ROUND(INDEX(SP_NGF_EBITDA,0,COLUMN())-INDEX(MO_RIS_EBITDA_Adj,0,COLUMN()),6)</f>
        <v/>
      </c>
      <c r="BC128" s="1606">
        <f>ROUND(INDEX(SP_NGF_EBITDA,0,COLUMN())-INDEX(MO_RIS_EBITDA_Adj,0,COLUMN()),6)</f>
        <v/>
      </c>
      <c r="BD128" s="1606">
        <f>ROUND(INDEX(SP_NGF_EBITDA,0,COLUMN())-INDEX(MO_RIS_EBITDA_Adj,0,COLUMN()),6)</f>
        <v/>
      </c>
      <c r="BE128" s="1606">
        <f>ROUND(INDEX(SP_NGF_EBITDA,0,COLUMN())-INDEX(MO_RIS_EBITDA_Adj,0,COLUMN()),6)</f>
        <v/>
      </c>
      <c r="BF128" s="1606">
        <f>ROUND(INDEX(SP_NGF_EBITDA,0,COLUMN())-INDEX(MO_RIS_EBITDA_Adj,0,COLUMN()),6)</f>
        <v/>
      </c>
      <c r="BG128" s="1606">
        <f>ROUND(INDEX(SP_NGF_EBITDA,0,COLUMN())-INDEX(MO_RIS_EBITDA_Adj,0,COLUMN()),6)</f>
        <v/>
      </c>
      <c r="BH128" s="1606">
        <f>ROUND(INDEX(SP_NGF_EBITDA,0,COLUMN())-INDEX(MO_RIS_EBITDA_Adj,0,COLUMN()),6)</f>
        <v/>
      </c>
      <c r="BI128" s="1606">
        <f>ROUND(INDEX(SP_NGF_EBITDA,0,COLUMN())-INDEX(MO_RIS_EBITDA_Adj,0,COLUMN()),6)</f>
        <v/>
      </c>
      <c r="BJ128" s="1606">
        <f>ROUND(INDEX(SP_NGF_EBITDA,0,COLUMN())-INDEX(MO_RIS_EBITDA_Adj,0,COLUMN()),6)</f>
        <v/>
      </c>
      <c r="BK128" s="1606">
        <f>ROUND(INDEX(SP_NGF_EBITDA,0,COLUMN())-INDEX(MO_RIS_EBITDA_Adj,0,COLUMN()),6)</f>
        <v/>
      </c>
      <c r="BL128" s="1606">
        <f>ROUND(INDEX(SP_NGF_EBITDA,0,COLUMN())-INDEX(MO_RIS_EBITDA_Adj,0,COLUMN()),6)</f>
        <v/>
      </c>
      <c r="BM128" s="1606">
        <f>ROUND(INDEX(SP_NGF_EBITDA,0,COLUMN())-INDEX(MO_RIS_EBITDA_Adj,0,COLUMN()),6)</f>
        <v/>
      </c>
      <c r="BN128" s="1606">
        <f>ROUND(INDEX(SP_NGF_EBITDA,0,COLUMN())-INDEX(MO_RIS_EBITDA_Adj,0,COLUMN()),6)</f>
        <v/>
      </c>
      <c r="BO128" s="1607">
        <f>ROUND(INDEX(SP_NGF_EBITDA,0,COLUMN())-INDEX(MO_RIS_EBITDA_Adj,0,COLUMN()),6)</f>
        <v/>
      </c>
      <c r="BP128" s="1606">
        <f>ROUND(INDEX(SP_NGF_EBITDA,0,COLUMN())-INDEX(MO_RIS_EBITDA_Adj,0,COLUMN()),6)</f>
        <v/>
      </c>
      <c r="BQ128" s="1606">
        <f>ROUND(INDEX(SP_NGF_EBITDA,0,COLUMN())-INDEX(MO_RIS_EBITDA_Adj,0,COLUMN()),6)</f>
        <v/>
      </c>
      <c r="BR128" s="1606">
        <f>ROUND(INDEX(SP_NGF_EBITDA,0,COLUMN())-INDEX(MO_RIS_EBITDA_Adj,0,COLUMN()),6)</f>
        <v/>
      </c>
      <c r="BS128" s="1606">
        <f>ROUND(INDEX(SP_NGF_EBITDA,0,COLUMN())-INDEX(MO_RIS_EBITDA_Adj,0,COLUMN()),6)</f>
        <v/>
      </c>
      <c r="BT128" s="1606">
        <f>ROUND(INDEX(SP_NGF_EBITDA,0,COLUMN())-INDEX(MO_RIS_EBITDA_Adj,0,COLUMN()),6)</f>
        <v/>
      </c>
      <c r="BU128" s="1606">
        <f>ROUND(INDEX(SP_NGF_EBITDA,0,COLUMN())-INDEX(MO_RIS_EBITDA_Adj,0,COLUMN()),6)</f>
        <v/>
      </c>
      <c r="BV128" s="1606">
        <f>ROUND(INDEX(SP_NGF_EBITDA,0,COLUMN())-INDEX(MO_RIS_EBITDA_Adj,0,COLUMN()),6)</f>
        <v/>
      </c>
      <c r="BW128" s="1606">
        <f>ROUND(INDEX(SP_NGF_EBITDA,0,COLUMN())-INDEX(MO_RIS_EBITDA_Adj,0,COLUMN()),6)</f>
        <v/>
      </c>
      <c r="BX128" s="1606">
        <f>ROUND(INDEX(SP_NGF_EBITDA,0,COLUMN())-INDEX(MO_RIS_EBITDA_Adj,0,COLUMN()),6)</f>
        <v/>
      </c>
      <c r="BY128" s="1606">
        <f>ROUND(INDEX(SP_NGF_EBITDA,0,COLUMN())-INDEX(MO_RIS_EBITDA_Adj,0,COLUMN()),6)</f>
        <v/>
      </c>
      <c r="BZ128" s="1606">
        <f>ROUND(INDEX(SP_NGF_EBITDA,0,COLUMN())-INDEX(MO_RIS_EBITDA_Adj,0,COLUMN()),6)</f>
        <v/>
      </c>
      <c r="CA128" s="1606">
        <f>ROUND(INDEX(SP_NGF_EBITDA,0,COLUMN())-INDEX(MO_RIS_EBITDA_Adj,0,COLUMN()),6)</f>
        <v/>
      </c>
      <c r="CB128" s="1606">
        <f>ROUND(INDEX(SP_NGF_EBITDA,0,COLUMN())-INDEX(MO_RIS_EBITDA_Adj,0,COLUMN()),6)</f>
        <v/>
      </c>
      <c r="CC128" s="1527" t="n"/>
    </row>
    <row r="129" hidden="1" outlineLevel="1" ht="14.4" customHeight="1" s="876">
      <c r="A129" s="1301" t="inlineStr">
        <is>
          <t>Adjusted EBIT</t>
        </is>
      </c>
      <c r="B129" s="166" t="n"/>
      <c r="C129" s="1606">
        <f>ROUND(INDEX(SP_NGF_EBIT,0,COLUMN())-INDEX(MO_RIS_EBIT_Adj,0,COLUMN()),6)</f>
        <v/>
      </c>
      <c r="D129" s="1606">
        <f>ROUND(INDEX(SP_NGF_EBIT,0,COLUMN())-INDEX(MO_RIS_EBIT_Adj,0,COLUMN()),6)</f>
        <v/>
      </c>
      <c r="E129" s="1606">
        <f>ROUND(INDEX(SP_NGF_EBIT,0,COLUMN())-INDEX(MO_RIS_EBIT_Adj,0,COLUMN()),6)</f>
        <v/>
      </c>
      <c r="F129" s="1606">
        <f>ROUND(INDEX(SP_NGF_EBIT,0,COLUMN())-INDEX(MO_RIS_EBIT_Adj,0,COLUMN()),6)</f>
        <v/>
      </c>
      <c r="G129" s="1606">
        <f>ROUND(INDEX(SP_NGF_EBIT,0,COLUMN())-INDEX(MO_RIS_EBIT_Adj,0,COLUMN()),6)</f>
        <v/>
      </c>
      <c r="H129" s="1606">
        <f>ROUND(INDEX(SP_NGF_EBIT,0,COLUMN())-INDEX(MO_RIS_EBIT_Adj,0,COLUMN()),6)</f>
        <v/>
      </c>
      <c r="I129" s="1606">
        <f>ROUND(INDEX(SP_NGF_EBIT,0,COLUMN())-INDEX(MO_RIS_EBIT_Adj,0,COLUMN()),6)</f>
        <v/>
      </c>
      <c r="J129" s="1606">
        <f>ROUND(INDEX(SP_NGF_EBIT,0,COLUMN())-INDEX(MO_RIS_EBIT_Adj,0,COLUMN()),6)</f>
        <v/>
      </c>
      <c r="K129" s="1606">
        <f>ROUND(INDEX(SP_NGF_EBIT,0,COLUMN())-INDEX(MO_RIS_EBIT_Adj,0,COLUMN()),6)</f>
        <v/>
      </c>
      <c r="L129" s="1606">
        <f>ROUND(INDEX(SP_NGF_EBIT,0,COLUMN())-INDEX(MO_RIS_EBIT_Adj,0,COLUMN()),6)</f>
        <v/>
      </c>
      <c r="M129" s="1606">
        <f>ROUND(INDEX(SP_NGF_EBIT,0,COLUMN())-INDEX(MO_RIS_EBIT_Adj,0,COLUMN()),6)</f>
        <v/>
      </c>
      <c r="N129" s="1606">
        <f>ROUND(INDEX(SP_NGF_EBIT,0,COLUMN())-INDEX(MO_RIS_EBIT_Adj,0,COLUMN()),6)</f>
        <v/>
      </c>
      <c r="O129" s="1606">
        <f>ROUND(INDEX(SP_NGF_EBIT,0,COLUMN())-INDEX(MO_RIS_EBIT_Adj,0,COLUMN()),6)</f>
        <v/>
      </c>
      <c r="P129" s="1606">
        <f>ROUND(INDEX(SP_NGF_EBIT,0,COLUMN())-INDEX(MO_RIS_EBIT_Adj,0,COLUMN()),6)</f>
        <v/>
      </c>
      <c r="Q129" s="1606">
        <f>ROUND(INDEX(SP_NGF_EBIT,0,COLUMN())-INDEX(MO_RIS_EBIT_Adj,0,COLUMN()),6)</f>
        <v/>
      </c>
      <c r="R129" s="1606">
        <f>ROUND(INDEX(SP_NGF_EBIT,0,COLUMN())-INDEX(MO_RIS_EBIT_Adj,0,COLUMN()),6)</f>
        <v/>
      </c>
      <c r="S129" s="1606">
        <f>ROUND(INDEX(SP_NGF_EBIT,0,COLUMN())-INDEX(MO_RIS_EBIT_Adj,0,COLUMN()),6)</f>
        <v/>
      </c>
      <c r="T129" s="1606">
        <f>ROUND(INDEX(SP_NGF_EBIT,0,COLUMN())-INDEX(MO_RIS_EBIT_Adj,0,COLUMN()),6)</f>
        <v/>
      </c>
      <c r="U129" s="1606">
        <f>ROUND(INDEX(SP_NGF_EBIT,0,COLUMN())-INDEX(MO_RIS_EBIT_Adj,0,COLUMN()),6)</f>
        <v/>
      </c>
      <c r="V129" s="1606">
        <f>ROUND(INDEX(SP_NGF_EBIT,0,COLUMN())-INDEX(MO_RIS_EBIT_Adj,0,COLUMN()),6)</f>
        <v/>
      </c>
      <c r="W129" s="1606">
        <f>ROUND(INDEX(SP_NGF_EBIT,0,COLUMN())-INDEX(MO_RIS_EBIT_Adj,0,COLUMN()),6)</f>
        <v/>
      </c>
      <c r="X129" s="1606">
        <f>ROUND(INDEX(SP_NGF_EBIT,0,COLUMN())-INDEX(MO_RIS_EBIT_Adj,0,COLUMN()),6)</f>
        <v/>
      </c>
      <c r="Y129" s="1606">
        <f>ROUND(INDEX(SP_NGF_EBIT,0,COLUMN())-INDEX(MO_RIS_EBIT_Adj,0,COLUMN()),6)</f>
        <v/>
      </c>
      <c r="Z129" s="1606">
        <f>ROUND(INDEX(SP_NGF_EBIT,0,COLUMN())-INDEX(MO_RIS_EBIT_Adj,0,COLUMN()),6)</f>
        <v/>
      </c>
      <c r="AA129" s="1606">
        <f>ROUND(INDEX(SP_NGF_EBIT,0,COLUMN())-INDEX(MO_RIS_EBIT_Adj,0,COLUMN()),6)</f>
        <v/>
      </c>
      <c r="AB129" s="1606">
        <f>ROUND(INDEX(SP_NGF_EBIT,0,COLUMN())-INDEX(MO_RIS_EBIT_Adj,0,COLUMN()),6)</f>
        <v/>
      </c>
      <c r="AC129" s="1606">
        <f>ROUND(INDEX(SP_NGF_EBIT,0,COLUMN())-INDEX(MO_RIS_EBIT_Adj,0,COLUMN()),6)</f>
        <v/>
      </c>
      <c r="AD129" s="1606">
        <f>ROUND(INDEX(SP_NGF_EBIT,0,COLUMN())-INDEX(MO_RIS_EBIT_Adj,0,COLUMN()),6)</f>
        <v/>
      </c>
      <c r="AE129" s="1606">
        <f>ROUND(INDEX(SP_NGF_EBIT,0,COLUMN())-INDEX(MO_RIS_EBIT_Adj,0,COLUMN()),6)</f>
        <v/>
      </c>
      <c r="AF129" s="1606">
        <f>ROUND(INDEX(SP_NGF_EBIT,0,COLUMN())-INDEX(MO_RIS_EBIT_Adj,0,COLUMN()),6)</f>
        <v/>
      </c>
      <c r="AG129" s="1606">
        <f>ROUND(INDEX(SP_NGF_EBIT,0,COLUMN())-INDEX(MO_RIS_EBIT_Adj,0,COLUMN()),6)</f>
        <v/>
      </c>
      <c r="AH129" s="1606">
        <f>ROUND(INDEX(SP_NGF_EBIT,0,COLUMN())-INDEX(MO_RIS_EBIT_Adj,0,COLUMN()),6)</f>
        <v/>
      </c>
      <c r="AI129" s="1606">
        <f>ROUND(INDEX(SP_NGF_EBIT,0,COLUMN())-INDEX(MO_RIS_EBIT_Adj,0,COLUMN()),6)</f>
        <v/>
      </c>
      <c r="AJ129" s="1606">
        <f>ROUND(INDEX(SP_NGF_EBIT,0,COLUMN())-INDEX(MO_RIS_EBIT_Adj,0,COLUMN()),6)</f>
        <v/>
      </c>
      <c r="AK129" s="1606">
        <f>ROUND(INDEX(SP_NGF_EBIT,0,COLUMN())-INDEX(MO_RIS_EBIT_Adj,0,COLUMN()),6)</f>
        <v/>
      </c>
      <c r="AL129" s="1606">
        <f>ROUND(INDEX(SP_NGF_EBIT,0,COLUMN())-INDEX(MO_RIS_EBIT_Adj,0,COLUMN()),6)</f>
        <v/>
      </c>
      <c r="AM129" s="1606">
        <f>ROUND(INDEX(SP_NGF_EBIT,0,COLUMN())-INDEX(MO_RIS_EBIT_Adj,0,COLUMN()),6)</f>
        <v/>
      </c>
      <c r="AN129" s="1606">
        <f>ROUND(INDEX(SP_NGF_EBIT,0,COLUMN())-INDEX(MO_RIS_EBIT_Adj,0,COLUMN()),6)</f>
        <v/>
      </c>
      <c r="AO129" s="1606">
        <f>ROUND(INDEX(SP_NGF_EBIT,0,COLUMN())-INDEX(MO_RIS_EBIT_Adj,0,COLUMN()),6)</f>
        <v/>
      </c>
      <c r="AP129" s="1606">
        <f>ROUND(INDEX(SP_NGF_EBIT,0,COLUMN())-INDEX(MO_RIS_EBIT_Adj,0,COLUMN()),6)</f>
        <v/>
      </c>
      <c r="AQ129" s="1606">
        <f>ROUND(INDEX(SP_NGF_EBIT,0,COLUMN())-INDEX(MO_RIS_EBIT_Adj,0,COLUMN()),6)</f>
        <v/>
      </c>
      <c r="AR129" s="1606">
        <f>ROUND(INDEX(SP_NGF_EBIT,0,COLUMN())-INDEX(MO_RIS_EBIT_Adj,0,COLUMN()),6)</f>
        <v/>
      </c>
      <c r="AS129" s="1606">
        <f>ROUND(INDEX(SP_NGF_EBIT,0,COLUMN())-INDEX(MO_RIS_EBIT_Adj,0,COLUMN()),6)</f>
        <v/>
      </c>
      <c r="AT129" s="1606">
        <f>ROUND(INDEX(SP_NGF_EBIT,0,COLUMN())-INDEX(MO_RIS_EBIT_Adj,0,COLUMN()),6)</f>
        <v/>
      </c>
      <c r="AU129" s="1606">
        <f>ROUND(INDEX(SP_NGF_EBIT,0,COLUMN())-INDEX(MO_RIS_EBIT_Adj,0,COLUMN()),6)</f>
        <v/>
      </c>
      <c r="AV129" s="1606">
        <f>ROUND(INDEX(SP_NGF_EBIT,0,COLUMN())-INDEX(MO_RIS_EBIT_Adj,0,COLUMN()),6)</f>
        <v/>
      </c>
      <c r="AW129" s="1606">
        <f>ROUND(INDEX(SP_NGF_EBIT,0,COLUMN())-INDEX(MO_RIS_EBIT_Adj,0,COLUMN()),6)</f>
        <v/>
      </c>
      <c r="AX129" s="1606">
        <f>ROUND(INDEX(SP_NGF_EBIT,0,COLUMN())-INDEX(MO_RIS_EBIT_Adj,0,COLUMN()),6)</f>
        <v/>
      </c>
      <c r="AY129" s="1606">
        <f>ROUND(INDEX(SP_NGF_EBIT,0,COLUMN())-INDEX(MO_RIS_EBIT_Adj,0,COLUMN()),6)</f>
        <v/>
      </c>
      <c r="AZ129" s="1606">
        <f>ROUND(INDEX(SP_NGF_EBIT,0,COLUMN())-INDEX(MO_RIS_EBIT_Adj,0,COLUMN()),6)</f>
        <v/>
      </c>
      <c r="BA129" s="1606">
        <f>ROUND(INDEX(SP_NGF_EBIT,0,COLUMN())-INDEX(MO_RIS_EBIT_Adj,0,COLUMN()),6)</f>
        <v/>
      </c>
      <c r="BB129" s="1606">
        <f>ROUND(INDEX(SP_NGF_EBIT,0,COLUMN())-INDEX(MO_RIS_EBIT_Adj,0,COLUMN()),6)</f>
        <v/>
      </c>
      <c r="BC129" s="1606">
        <f>ROUND(INDEX(SP_NGF_EBIT,0,COLUMN())-INDEX(MO_RIS_EBIT_Adj,0,COLUMN()),6)</f>
        <v/>
      </c>
      <c r="BD129" s="1606">
        <f>ROUND(INDEX(SP_NGF_EBIT,0,COLUMN())-INDEX(MO_RIS_EBIT_Adj,0,COLUMN()),6)</f>
        <v/>
      </c>
      <c r="BE129" s="1606">
        <f>ROUND(INDEX(SP_NGF_EBIT,0,COLUMN())-INDEX(MO_RIS_EBIT_Adj,0,COLUMN()),6)</f>
        <v/>
      </c>
      <c r="BF129" s="1606">
        <f>ROUND(INDEX(SP_NGF_EBIT,0,COLUMN())-INDEX(MO_RIS_EBIT_Adj,0,COLUMN()),6)</f>
        <v/>
      </c>
      <c r="BG129" s="1606">
        <f>ROUND(INDEX(SP_NGF_EBIT,0,COLUMN())-INDEX(MO_RIS_EBIT_Adj,0,COLUMN()),6)</f>
        <v/>
      </c>
      <c r="BH129" s="1606">
        <f>ROUND(INDEX(SP_NGF_EBIT,0,COLUMN())-INDEX(MO_RIS_EBIT_Adj,0,COLUMN()),6)</f>
        <v/>
      </c>
      <c r="BI129" s="1606">
        <f>ROUND(INDEX(SP_NGF_EBIT,0,COLUMN())-INDEX(MO_RIS_EBIT_Adj,0,COLUMN()),6)</f>
        <v/>
      </c>
      <c r="BJ129" s="1606">
        <f>ROUND(INDEX(SP_NGF_EBIT,0,COLUMN())-INDEX(MO_RIS_EBIT_Adj,0,COLUMN()),6)</f>
        <v/>
      </c>
      <c r="BK129" s="1606">
        <f>ROUND(INDEX(SP_NGF_EBIT,0,COLUMN())-INDEX(MO_RIS_EBIT_Adj,0,COLUMN()),6)</f>
        <v/>
      </c>
      <c r="BL129" s="1606">
        <f>ROUND(INDEX(SP_NGF_EBIT,0,COLUMN())-INDEX(MO_RIS_EBIT_Adj,0,COLUMN()),6)</f>
        <v/>
      </c>
      <c r="BM129" s="1606">
        <f>ROUND(INDEX(SP_NGF_EBIT,0,COLUMN())-INDEX(MO_RIS_EBIT_Adj,0,COLUMN()),6)</f>
        <v/>
      </c>
      <c r="BN129" s="1606">
        <f>ROUND(INDEX(SP_NGF_EBIT,0,COLUMN())-INDEX(MO_RIS_EBIT_Adj,0,COLUMN()),6)</f>
        <v/>
      </c>
      <c r="BO129" s="1607">
        <f>ROUND(INDEX(SP_NGF_EBIT,0,COLUMN())-INDEX(MO_RIS_EBIT_Adj,0,COLUMN()),6)</f>
        <v/>
      </c>
      <c r="BP129" s="1606">
        <f>ROUND(INDEX(SP_NGF_EBIT,0,COLUMN())-INDEX(MO_RIS_EBIT_Adj,0,COLUMN()),6)</f>
        <v/>
      </c>
      <c r="BQ129" s="1606">
        <f>ROUND(INDEX(SP_NGF_EBIT,0,COLUMN())-INDEX(MO_RIS_EBIT_Adj,0,COLUMN()),6)</f>
        <v/>
      </c>
      <c r="BR129" s="1606">
        <f>ROUND(INDEX(SP_NGF_EBIT,0,COLUMN())-INDEX(MO_RIS_EBIT_Adj,0,COLUMN()),6)</f>
        <v/>
      </c>
      <c r="BS129" s="1606">
        <f>ROUND(INDEX(SP_NGF_EBIT,0,COLUMN())-INDEX(MO_RIS_EBIT_Adj,0,COLUMN()),6)</f>
        <v/>
      </c>
      <c r="BT129" s="1606">
        <f>ROUND(INDEX(SP_NGF_EBIT,0,COLUMN())-INDEX(MO_RIS_EBIT_Adj,0,COLUMN()),6)</f>
        <v/>
      </c>
      <c r="BU129" s="1606">
        <f>ROUND(INDEX(SP_NGF_EBIT,0,COLUMN())-INDEX(MO_RIS_EBIT_Adj,0,COLUMN()),6)</f>
        <v/>
      </c>
      <c r="BV129" s="1606">
        <f>ROUND(INDEX(SP_NGF_EBIT,0,COLUMN())-INDEX(MO_RIS_EBIT_Adj,0,COLUMN()),6)</f>
        <v/>
      </c>
      <c r="BW129" s="1606">
        <f>ROUND(INDEX(SP_NGF_EBIT,0,COLUMN())-INDEX(MO_RIS_EBIT_Adj,0,COLUMN()),6)</f>
        <v/>
      </c>
      <c r="BX129" s="1606">
        <f>ROUND(INDEX(SP_NGF_EBIT,0,COLUMN())-INDEX(MO_RIS_EBIT_Adj,0,COLUMN()),6)</f>
        <v/>
      </c>
      <c r="BY129" s="1606">
        <f>ROUND(INDEX(SP_NGF_EBIT,0,COLUMN())-INDEX(MO_RIS_EBIT_Adj,0,COLUMN()),6)</f>
        <v/>
      </c>
      <c r="BZ129" s="1606">
        <f>ROUND(INDEX(SP_NGF_EBIT,0,COLUMN())-INDEX(MO_RIS_EBIT_Adj,0,COLUMN()),6)</f>
        <v/>
      </c>
      <c r="CA129" s="1606">
        <f>ROUND(INDEX(SP_NGF_EBIT,0,COLUMN())-INDEX(MO_RIS_EBIT_Adj,0,COLUMN()),6)</f>
        <v/>
      </c>
      <c r="CB129" s="1606">
        <f>ROUND(INDEX(SP_NGF_EBIT,0,COLUMN())-INDEX(MO_RIS_EBIT_Adj,0,COLUMN()),6)</f>
        <v/>
      </c>
      <c r="CC129" s="1527" t="n"/>
    </row>
    <row r="130" hidden="1" outlineLevel="1" ht="14.4" customHeight="1" s="876">
      <c r="A130" s="1301" t="inlineStr">
        <is>
          <t>Non GAAP NI</t>
        </is>
      </c>
      <c r="B130" s="166" t="n"/>
      <c r="C130" s="1606">
        <f>ROUND(INDEX(SP_NGF_NI,0,COLUMN())-INDEX(MO_RIS_NI_NONGAAP_Diluted,0,COLUMN()),6)</f>
        <v/>
      </c>
      <c r="D130" s="1606">
        <f>ROUND(INDEX(SP_NGF_NI,0,COLUMN())-INDEX(MO_RIS_NI_NONGAAP_Diluted,0,COLUMN()),6)</f>
        <v/>
      </c>
      <c r="E130" s="1606">
        <f>ROUND(INDEX(SP_NGF_NI,0,COLUMN())-INDEX(MO_RIS_NI_NONGAAP_Diluted,0,COLUMN()),6)</f>
        <v/>
      </c>
      <c r="F130" s="1606">
        <f>ROUND(INDEX(SP_NGF_NI,0,COLUMN())-INDEX(MO_RIS_NI_NONGAAP_Diluted,0,COLUMN()),6)</f>
        <v/>
      </c>
      <c r="G130" s="1606">
        <f>ROUND(INDEX(SP_NGF_NI,0,COLUMN())-INDEX(MO_RIS_NI_NONGAAP_Diluted,0,COLUMN()),6)</f>
        <v/>
      </c>
      <c r="H130" s="1606">
        <f>ROUND(INDEX(SP_NGF_NI,0,COLUMN())-INDEX(MO_RIS_NI_NONGAAP_Diluted,0,COLUMN()),6)</f>
        <v/>
      </c>
      <c r="I130" s="1606">
        <f>ROUND(INDEX(SP_NGF_NI,0,COLUMN())-INDEX(MO_RIS_NI_NONGAAP_Diluted,0,COLUMN()),6)</f>
        <v/>
      </c>
      <c r="J130" s="1606">
        <f>ROUND(INDEX(SP_NGF_NI,0,COLUMN())-INDEX(MO_RIS_NI_NONGAAP_Diluted,0,COLUMN()),6)</f>
        <v/>
      </c>
      <c r="K130" s="1606">
        <f>ROUND(INDEX(SP_NGF_NI,0,COLUMN())-INDEX(MO_RIS_NI_NONGAAP_Diluted,0,COLUMN()),6)</f>
        <v/>
      </c>
      <c r="L130" s="1606">
        <f>ROUND(INDEX(SP_NGF_NI,0,COLUMN())-INDEX(MO_RIS_NI_NONGAAP_Diluted,0,COLUMN()),6)</f>
        <v/>
      </c>
      <c r="M130" s="1606">
        <f>ROUND(INDEX(SP_NGF_NI,0,COLUMN())-INDEX(MO_RIS_NI_NONGAAP_Diluted,0,COLUMN()),6)</f>
        <v/>
      </c>
      <c r="N130" s="1606">
        <f>ROUND(INDEX(SP_NGF_NI,0,COLUMN())-INDEX(MO_RIS_NI_NONGAAP_Diluted,0,COLUMN()),6)</f>
        <v/>
      </c>
      <c r="O130" s="1606">
        <f>ROUND(INDEX(SP_NGF_NI,0,COLUMN())-INDEX(MO_RIS_NI_NONGAAP_Diluted,0,COLUMN()),6)</f>
        <v/>
      </c>
      <c r="P130" s="1606">
        <f>ROUND(INDEX(SP_NGF_NI,0,COLUMN())-INDEX(MO_RIS_NI_NONGAAP_Diluted,0,COLUMN()),6)</f>
        <v/>
      </c>
      <c r="Q130" s="1606">
        <f>ROUND(INDEX(SP_NGF_NI,0,COLUMN())-INDEX(MO_RIS_NI_NONGAAP_Diluted,0,COLUMN()),6)</f>
        <v/>
      </c>
      <c r="R130" s="1606">
        <f>ROUND(INDEX(SP_NGF_NI,0,COLUMN())-INDEX(MO_RIS_NI_NONGAAP_Diluted,0,COLUMN()),6)</f>
        <v/>
      </c>
      <c r="S130" s="1606">
        <f>ROUND(INDEX(SP_NGF_NI,0,COLUMN())-INDEX(MO_RIS_NI_NONGAAP_Diluted,0,COLUMN()),6)</f>
        <v/>
      </c>
      <c r="T130" s="1606">
        <f>ROUND(INDEX(SP_NGF_NI,0,COLUMN())-INDEX(MO_RIS_NI_NONGAAP_Diluted,0,COLUMN()),6)</f>
        <v/>
      </c>
      <c r="U130" s="1606">
        <f>ROUND(INDEX(SP_NGF_NI,0,COLUMN())-INDEX(MO_RIS_NI_NONGAAP_Diluted,0,COLUMN()),6)</f>
        <v/>
      </c>
      <c r="V130" s="1606">
        <f>ROUND(INDEX(SP_NGF_NI,0,COLUMN())-INDEX(MO_RIS_NI_NONGAAP_Diluted,0,COLUMN()),6)</f>
        <v/>
      </c>
      <c r="W130" s="1606">
        <f>ROUND(INDEX(SP_NGF_NI,0,COLUMN())-INDEX(MO_RIS_NI_NONGAAP_Diluted,0,COLUMN()),6)</f>
        <v/>
      </c>
      <c r="X130" s="1606">
        <f>ROUND(INDEX(SP_NGF_NI,0,COLUMN())-INDEX(MO_RIS_NI_NONGAAP_Diluted,0,COLUMN()),6)</f>
        <v/>
      </c>
      <c r="Y130" s="1606">
        <f>ROUND(INDEX(SP_NGF_NI,0,COLUMN())-INDEX(MO_RIS_NI_NONGAAP_Diluted,0,COLUMN()),6)</f>
        <v/>
      </c>
      <c r="Z130" s="1606">
        <f>ROUND(INDEX(SP_NGF_NI,0,COLUMN())-INDEX(MO_RIS_NI_NONGAAP_Diluted,0,COLUMN()),6)</f>
        <v/>
      </c>
      <c r="AA130" s="1606">
        <f>ROUND(INDEX(SP_NGF_NI,0,COLUMN())-INDEX(MO_RIS_NI_NONGAAP_Diluted,0,COLUMN()),6)</f>
        <v/>
      </c>
      <c r="AB130" s="1606">
        <f>ROUND(INDEX(SP_NGF_NI,0,COLUMN())-INDEX(MO_RIS_NI_NONGAAP_Diluted,0,COLUMN()),6)</f>
        <v/>
      </c>
      <c r="AC130" s="1606">
        <f>ROUND(INDEX(SP_NGF_NI,0,COLUMN())-INDEX(MO_RIS_NI_NONGAAP_Diluted,0,COLUMN()),6)</f>
        <v/>
      </c>
      <c r="AD130" s="1606">
        <f>ROUND(INDEX(SP_NGF_NI,0,COLUMN())-INDEX(MO_RIS_NI_NONGAAP_Diluted,0,COLUMN()),6)</f>
        <v/>
      </c>
      <c r="AE130" s="1606">
        <f>ROUND(INDEX(SP_NGF_NI,0,COLUMN())-INDEX(MO_RIS_NI_NONGAAP_Diluted,0,COLUMN()),6)</f>
        <v/>
      </c>
      <c r="AF130" s="1606">
        <f>ROUND(INDEX(SP_NGF_NI,0,COLUMN())-INDEX(MO_RIS_NI_NONGAAP_Diluted,0,COLUMN()),6)</f>
        <v/>
      </c>
      <c r="AG130" s="1606">
        <f>ROUND(INDEX(SP_NGF_NI,0,COLUMN())-INDEX(MO_RIS_NI_NONGAAP_Diluted,0,COLUMN()),6)</f>
        <v/>
      </c>
      <c r="AH130" s="1606">
        <f>ROUND(INDEX(SP_NGF_NI,0,COLUMN())-INDEX(MO_RIS_NI_NONGAAP_Diluted,0,COLUMN()),6)</f>
        <v/>
      </c>
      <c r="AI130" s="1606">
        <f>ROUND(INDEX(SP_NGF_NI,0,COLUMN())-INDEX(MO_RIS_NI_NONGAAP_Diluted,0,COLUMN()),6)</f>
        <v/>
      </c>
      <c r="AJ130" s="1606">
        <f>ROUND(INDEX(SP_NGF_NI,0,COLUMN())-INDEX(MO_RIS_NI_NONGAAP_Diluted,0,COLUMN()),6)</f>
        <v/>
      </c>
      <c r="AK130" s="1606">
        <f>ROUND(INDEX(SP_NGF_NI,0,COLUMN())-INDEX(MO_RIS_NI_NONGAAP_Diluted,0,COLUMN()),6)</f>
        <v/>
      </c>
      <c r="AL130" s="1606">
        <f>ROUND(INDEX(SP_NGF_NI,0,COLUMN())-INDEX(MO_RIS_NI_NONGAAP_Diluted,0,COLUMN()),6)</f>
        <v/>
      </c>
      <c r="AM130" s="1606">
        <f>ROUND(INDEX(SP_NGF_NI,0,COLUMN())-INDEX(MO_RIS_NI_NONGAAP_Diluted,0,COLUMN()),6)</f>
        <v/>
      </c>
      <c r="AN130" s="1606">
        <f>ROUND(INDEX(SP_NGF_NI,0,COLUMN())-INDEX(MO_RIS_NI_NONGAAP_Diluted,0,COLUMN()),6)</f>
        <v/>
      </c>
      <c r="AO130" s="1606">
        <f>ROUND(INDEX(SP_NGF_NI,0,COLUMN())-INDEX(MO_RIS_NI_NONGAAP_Diluted,0,COLUMN()),6)</f>
        <v/>
      </c>
      <c r="AP130" s="1606">
        <f>ROUND(INDEX(SP_NGF_NI,0,COLUMN())-INDEX(MO_RIS_NI_NONGAAP_Diluted,0,COLUMN()),6)</f>
        <v/>
      </c>
      <c r="AQ130" s="1606">
        <f>ROUND(INDEX(SP_NGF_NI,0,COLUMN())-INDEX(MO_RIS_NI_NONGAAP_Diluted,0,COLUMN()),6)</f>
        <v/>
      </c>
      <c r="AR130" s="1606">
        <f>ROUND(INDEX(SP_NGF_NI,0,COLUMN())-INDEX(MO_RIS_NI_NONGAAP_Diluted,0,COLUMN()),6)</f>
        <v/>
      </c>
      <c r="AS130" s="1606">
        <f>ROUND(INDEX(SP_NGF_NI,0,COLUMN())-INDEX(MO_RIS_NI_NONGAAP_Diluted,0,COLUMN()),6)</f>
        <v/>
      </c>
      <c r="AT130" s="1606">
        <f>ROUND(INDEX(SP_NGF_NI,0,COLUMN())-INDEX(MO_RIS_NI_NONGAAP_Diluted,0,COLUMN()),6)</f>
        <v/>
      </c>
      <c r="AU130" s="1606">
        <f>ROUND(INDEX(SP_NGF_NI,0,COLUMN())-INDEX(MO_RIS_NI_NONGAAP_Diluted,0,COLUMN()),6)</f>
        <v/>
      </c>
      <c r="AV130" s="1606">
        <f>ROUND(INDEX(SP_NGF_NI,0,COLUMN())-INDEX(MO_RIS_NI_NONGAAP_Diluted,0,COLUMN()),6)</f>
        <v/>
      </c>
      <c r="AW130" s="1606">
        <f>ROUND(INDEX(SP_NGF_NI,0,COLUMN())-INDEX(MO_RIS_NI_NONGAAP_Diluted,0,COLUMN()),6)</f>
        <v/>
      </c>
      <c r="AX130" s="1606">
        <f>ROUND(INDEX(SP_NGF_NI,0,COLUMN())-INDEX(MO_RIS_NI_NONGAAP_Diluted,0,COLUMN()),6)</f>
        <v/>
      </c>
      <c r="AY130" s="1606">
        <f>ROUND(INDEX(SP_NGF_NI,0,COLUMN())-INDEX(MO_RIS_NI_NONGAAP_Diluted,0,COLUMN()),6)</f>
        <v/>
      </c>
      <c r="AZ130" s="1606">
        <f>ROUND(INDEX(SP_NGF_NI,0,COLUMN())-INDEX(MO_RIS_NI_NONGAAP_Diluted,0,COLUMN()),6)</f>
        <v/>
      </c>
      <c r="BA130" s="1606">
        <f>ROUND(INDEX(SP_NGF_NI,0,COLUMN())-INDEX(MO_RIS_NI_NONGAAP_Diluted,0,COLUMN()),6)</f>
        <v/>
      </c>
      <c r="BB130" s="1606">
        <f>ROUND(INDEX(SP_NGF_NI,0,COLUMN())-INDEX(MO_RIS_NI_NONGAAP_Diluted,0,COLUMN()),6)</f>
        <v/>
      </c>
      <c r="BC130" s="1606">
        <f>ROUND(INDEX(SP_NGF_NI,0,COLUMN())-INDEX(MO_RIS_NI_NONGAAP_Diluted,0,COLUMN()),6)</f>
        <v/>
      </c>
      <c r="BD130" s="1606">
        <f>ROUND(INDEX(SP_NGF_NI,0,COLUMN())-INDEX(MO_RIS_NI_NONGAAP_Diluted,0,COLUMN()),6)</f>
        <v/>
      </c>
      <c r="BE130" s="1606">
        <f>ROUND(INDEX(SP_NGF_NI,0,COLUMN())-INDEX(MO_RIS_NI_NONGAAP_Diluted,0,COLUMN()),6)</f>
        <v/>
      </c>
      <c r="BF130" s="1606">
        <f>ROUND(INDEX(SP_NGF_NI,0,COLUMN())-INDEX(MO_RIS_NI_NONGAAP_Diluted,0,COLUMN()),6)</f>
        <v/>
      </c>
      <c r="BG130" s="1606">
        <f>ROUND(INDEX(SP_NGF_NI,0,COLUMN())-INDEX(MO_RIS_NI_NONGAAP_Diluted,0,COLUMN()),6)</f>
        <v/>
      </c>
      <c r="BH130" s="1606">
        <f>ROUND(INDEX(SP_NGF_NI,0,COLUMN())-INDEX(MO_RIS_NI_NONGAAP_Diluted,0,COLUMN()),6)</f>
        <v/>
      </c>
      <c r="BI130" s="1606">
        <f>ROUND(INDEX(SP_NGF_NI,0,COLUMN())-INDEX(MO_RIS_NI_NONGAAP_Diluted,0,COLUMN()),6)</f>
        <v/>
      </c>
      <c r="BJ130" s="1606">
        <f>ROUND(INDEX(SP_NGF_NI,0,COLUMN())-INDEX(MO_RIS_NI_NONGAAP_Diluted,0,COLUMN()),6)</f>
        <v/>
      </c>
      <c r="BK130" s="1606">
        <f>ROUND(INDEX(SP_NGF_NI,0,COLUMN())-INDEX(MO_RIS_NI_NONGAAP_Diluted,0,COLUMN()),6)</f>
        <v/>
      </c>
      <c r="BL130" s="1606">
        <f>ROUND(INDEX(SP_NGF_NI,0,COLUMN())-INDEX(MO_RIS_NI_NONGAAP_Diluted,0,COLUMN()),6)</f>
        <v/>
      </c>
      <c r="BM130" s="1606">
        <f>ROUND(INDEX(SP_NGF_NI,0,COLUMN())-INDEX(MO_RIS_NI_NONGAAP_Diluted,0,COLUMN()),6)</f>
        <v/>
      </c>
      <c r="BN130" s="1606">
        <f>ROUND(INDEX(SP_NGF_NI,0,COLUMN())-INDEX(MO_RIS_NI_NONGAAP_Diluted,0,COLUMN()),6)</f>
        <v/>
      </c>
      <c r="BO130" s="1607">
        <f>ROUND(INDEX(SP_NGF_NI,0,COLUMN())-INDEX(MO_RIS_NI_NONGAAP_Diluted,0,COLUMN()),6)</f>
        <v/>
      </c>
      <c r="BP130" s="1606">
        <f>ROUND(INDEX(SP_NGF_NI,0,COLUMN())-INDEX(MO_RIS_NI_NONGAAP_Diluted,0,COLUMN()),6)</f>
        <v/>
      </c>
      <c r="BQ130" s="1606">
        <f>ROUND(INDEX(SP_NGF_NI,0,COLUMN())-INDEX(MO_RIS_NI_NONGAAP_Diluted,0,COLUMN()),6)</f>
        <v/>
      </c>
      <c r="BR130" s="1606">
        <f>ROUND(INDEX(SP_NGF_NI,0,COLUMN())-INDEX(MO_RIS_NI_NONGAAP_Diluted,0,COLUMN()),6)</f>
        <v/>
      </c>
      <c r="BS130" s="1606">
        <f>ROUND(INDEX(SP_NGF_NI,0,COLUMN())-INDEX(MO_RIS_NI_NONGAAP_Diluted,0,COLUMN()),6)</f>
        <v/>
      </c>
      <c r="BT130" s="1606">
        <f>ROUND(INDEX(SP_NGF_NI,0,COLUMN())-INDEX(MO_RIS_NI_NONGAAP_Diluted,0,COLUMN()),6)</f>
        <v/>
      </c>
      <c r="BU130" s="1606">
        <f>ROUND(INDEX(SP_NGF_NI,0,COLUMN())-INDEX(MO_RIS_NI_NONGAAP_Diluted,0,COLUMN()),6)</f>
        <v/>
      </c>
      <c r="BV130" s="1606">
        <f>ROUND(INDEX(SP_NGF_NI,0,COLUMN())-INDEX(MO_RIS_NI_NONGAAP_Diluted,0,COLUMN()),6)</f>
        <v/>
      </c>
      <c r="BW130" s="1606">
        <f>ROUND(INDEX(SP_NGF_NI,0,COLUMN())-INDEX(MO_RIS_NI_NONGAAP_Diluted,0,COLUMN()),6)</f>
        <v/>
      </c>
      <c r="BX130" s="1606">
        <f>ROUND(INDEX(SP_NGF_NI,0,COLUMN())-INDEX(MO_RIS_NI_NONGAAP_Diluted,0,COLUMN()),6)</f>
        <v/>
      </c>
      <c r="BY130" s="1606">
        <f>ROUND(INDEX(SP_NGF_NI,0,COLUMN())-INDEX(MO_RIS_NI_NONGAAP_Diluted,0,COLUMN()),6)</f>
        <v/>
      </c>
      <c r="BZ130" s="1606">
        <f>ROUND(INDEX(SP_NGF_NI,0,COLUMN())-INDEX(MO_RIS_NI_NONGAAP_Diluted,0,COLUMN()),6)</f>
        <v/>
      </c>
      <c r="CA130" s="1606">
        <f>ROUND(INDEX(SP_NGF_NI,0,COLUMN())-INDEX(MO_RIS_NI_NONGAAP_Diluted,0,COLUMN()),6)</f>
        <v/>
      </c>
      <c r="CB130" s="1606">
        <f>ROUND(INDEX(SP_NGF_NI,0,COLUMN())-INDEX(MO_RIS_NI_NONGAAP_Diluted,0,COLUMN()),6)</f>
        <v/>
      </c>
      <c r="CC130" s="1527" t="n"/>
    </row>
    <row r="131" hidden="1" outlineLevel="1" ht="14.4" customHeight="1" s="876">
      <c r="A131" s="1301" t="inlineStr">
        <is>
          <t>GAAP NI</t>
        </is>
      </c>
      <c r="B131" s="166" t="n"/>
      <c r="C131" s="1606">
        <f>ROUND(INDEX(SP_GF_NI,0,COLUMN())-INDEX(MO_RIS_NI_GAAP_Basic,0,COLUMN()),6)</f>
        <v/>
      </c>
      <c r="D131" s="1606">
        <f>ROUND(INDEX(SP_GF_NI,0,COLUMN())-INDEX(MO_RIS_NI_GAAP_Basic,0,COLUMN()),6)</f>
        <v/>
      </c>
      <c r="E131" s="1606">
        <f>ROUND(INDEX(SP_GF_NI,0,COLUMN())-INDEX(MO_RIS_NI_GAAP_Basic,0,COLUMN()),6)</f>
        <v/>
      </c>
      <c r="F131" s="1606">
        <f>ROUND(INDEX(SP_GF_NI,0,COLUMN())-INDEX(MO_RIS_NI_GAAP_Basic,0,COLUMN()),6)</f>
        <v/>
      </c>
      <c r="G131" s="1606">
        <f>ROUND(INDEX(SP_GF_NI,0,COLUMN())-INDEX(MO_RIS_NI_GAAP_Basic,0,COLUMN()),6)</f>
        <v/>
      </c>
      <c r="H131" s="1606">
        <f>ROUND(INDEX(SP_GF_NI,0,COLUMN())-INDEX(MO_RIS_NI_GAAP_Basic,0,COLUMN()),6)</f>
        <v/>
      </c>
      <c r="I131" s="1606">
        <f>ROUND(INDEX(SP_GF_NI,0,COLUMN())-INDEX(MO_RIS_NI_GAAP_Basic,0,COLUMN()),6)</f>
        <v/>
      </c>
      <c r="J131" s="1606">
        <f>ROUND(INDEX(SP_GF_NI,0,COLUMN())-INDEX(MO_RIS_NI_GAAP_Basic,0,COLUMN()),6)</f>
        <v/>
      </c>
      <c r="K131" s="1606">
        <f>ROUND(INDEX(SP_GF_NI,0,COLUMN())-INDEX(MO_RIS_NI_GAAP_Basic,0,COLUMN()),6)</f>
        <v/>
      </c>
      <c r="L131" s="1606">
        <f>ROUND(INDEX(SP_GF_NI,0,COLUMN())-INDEX(MO_RIS_NI_GAAP_Basic,0,COLUMN()),6)</f>
        <v/>
      </c>
      <c r="M131" s="1606">
        <f>ROUND(INDEX(SP_GF_NI,0,COLUMN())-INDEX(MO_RIS_NI_GAAP_Basic,0,COLUMN()),6)</f>
        <v/>
      </c>
      <c r="N131" s="1606">
        <f>ROUND(INDEX(SP_GF_NI,0,COLUMN())-INDEX(MO_RIS_NI_GAAP_Basic,0,COLUMN()),6)</f>
        <v/>
      </c>
      <c r="O131" s="1606">
        <f>ROUND(INDEX(SP_GF_NI,0,COLUMN())-INDEX(MO_RIS_NI_GAAP_Basic,0,COLUMN()),6)</f>
        <v/>
      </c>
      <c r="P131" s="1606">
        <f>ROUND(INDEX(SP_GF_NI,0,COLUMN())-INDEX(MO_RIS_NI_GAAP_Basic,0,COLUMN()),6)</f>
        <v/>
      </c>
      <c r="Q131" s="1606">
        <f>ROUND(INDEX(SP_GF_NI,0,COLUMN())-INDEX(MO_RIS_NI_GAAP_Basic,0,COLUMN()),6)</f>
        <v/>
      </c>
      <c r="R131" s="1606">
        <f>ROUND(INDEX(SP_GF_NI,0,COLUMN())-INDEX(MO_RIS_NI_GAAP_Basic,0,COLUMN()),6)</f>
        <v/>
      </c>
      <c r="S131" s="1606">
        <f>ROUND(INDEX(SP_GF_NI,0,COLUMN())-INDEX(MO_RIS_NI_GAAP_Basic,0,COLUMN()),6)</f>
        <v/>
      </c>
      <c r="T131" s="1606">
        <f>ROUND(INDEX(SP_GF_NI,0,COLUMN())-INDEX(MO_RIS_NI_GAAP_Basic,0,COLUMN()),6)</f>
        <v/>
      </c>
      <c r="U131" s="1606">
        <f>ROUND(INDEX(SP_GF_NI,0,COLUMN())-INDEX(MO_RIS_NI_GAAP_Basic,0,COLUMN()),6)</f>
        <v/>
      </c>
      <c r="V131" s="1606">
        <f>ROUND(INDEX(SP_GF_NI,0,COLUMN())-INDEX(MO_RIS_NI_GAAP_Basic,0,COLUMN()),6)</f>
        <v/>
      </c>
      <c r="W131" s="1606">
        <f>ROUND(INDEX(SP_GF_NI,0,COLUMN())-INDEX(MO_RIS_NI_GAAP_Basic,0,COLUMN()),6)</f>
        <v/>
      </c>
      <c r="X131" s="1606">
        <f>ROUND(INDEX(SP_GF_NI,0,COLUMN())-INDEX(MO_RIS_NI_GAAP_Basic,0,COLUMN()),6)</f>
        <v/>
      </c>
      <c r="Y131" s="1606">
        <f>ROUND(INDEX(SP_GF_NI,0,COLUMN())-INDEX(MO_RIS_NI_GAAP_Basic,0,COLUMN()),6)</f>
        <v/>
      </c>
      <c r="Z131" s="1606">
        <f>ROUND(INDEX(SP_GF_NI,0,COLUMN())-INDEX(MO_RIS_NI_GAAP_Basic,0,COLUMN()),6)</f>
        <v/>
      </c>
      <c r="AA131" s="1606">
        <f>ROUND(INDEX(SP_GF_NI,0,COLUMN())-INDEX(MO_RIS_NI_GAAP_Basic,0,COLUMN()),6)</f>
        <v/>
      </c>
      <c r="AB131" s="1606">
        <f>ROUND(INDEX(SP_GF_NI,0,COLUMN())-INDEX(MO_RIS_NI_GAAP_Basic,0,COLUMN()),6)</f>
        <v/>
      </c>
      <c r="AC131" s="1606">
        <f>ROUND(INDEX(SP_GF_NI,0,COLUMN())-INDEX(MO_RIS_NI_GAAP_Basic,0,COLUMN()),6)</f>
        <v/>
      </c>
      <c r="AD131" s="1606">
        <f>ROUND(INDEX(SP_GF_NI,0,COLUMN())-INDEX(MO_RIS_NI_GAAP_Basic,0,COLUMN()),6)</f>
        <v/>
      </c>
      <c r="AE131" s="1606">
        <f>ROUND(INDEX(SP_GF_NI,0,COLUMN())-INDEX(MO_RIS_NI_GAAP_Basic,0,COLUMN()),6)</f>
        <v/>
      </c>
      <c r="AF131" s="1606">
        <f>ROUND(INDEX(SP_GF_NI,0,COLUMN())-INDEX(MO_RIS_NI_GAAP_Basic,0,COLUMN()),6)</f>
        <v/>
      </c>
      <c r="AG131" s="1606">
        <f>ROUND(INDEX(SP_GF_NI,0,COLUMN())-INDEX(MO_RIS_NI_GAAP_Basic,0,COLUMN()),6)</f>
        <v/>
      </c>
      <c r="AH131" s="1606">
        <f>ROUND(INDEX(SP_GF_NI,0,COLUMN())-INDEX(MO_RIS_NI_GAAP_Basic,0,COLUMN()),6)</f>
        <v/>
      </c>
      <c r="AI131" s="1606">
        <f>ROUND(INDEX(SP_GF_NI,0,COLUMN())-INDEX(MO_RIS_NI_GAAP_Basic,0,COLUMN()),6)</f>
        <v/>
      </c>
      <c r="AJ131" s="1606">
        <f>ROUND(INDEX(SP_GF_NI,0,COLUMN())-INDEX(MO_RIS_NI_GAAP_Basic,0,COLUMN()),6)</f>
        <v/>
      </c>
      <c r="AK131" s="1606">
        <f>ROUND(INDEX(SP_GF_NI,0,COLUMN())-INDEX(MO_RIS_NI_GAAP_Basic,0,COLUMN()),6)</f>
        <v/>
      </c>
      <c r="AL131" s="1606">
        <f>ROUND(INDEX(SP_GF_NI,0,COLUMN())-INDEX(MO_RIS_NI_GAAP_Basic,0,COLUMN()),6)</f>
        <v/>
      </c>
      <c r="AM131" s="1606">
        <f>ROUND(INDEX(SP_GF_NI,0,COLUMN())-INDEX(MO_RIS_NI_GAAP_Basic,0,COLUMN()),6)</f>
        <v/>
      </c>
      <c r="AN131" s="1606">
        <f>ROUND(INDEX(SP_GF_NI,0,COLUMN())-INDEX(MO_RIS_NI_GAAP_Basic,0,COLUMN()),6)</f>
        <v/>
      </c>
      <c r="AO131" s="1606">
        <f>ROUND(INDEX(SP_GF_NI,0,COLUMN())-INDEX(MO_RIS_NI_GAAP_Basic,0,COLUMN()),6)</f>
        <v/>
      </c>
      <c r="AP131" s="1606">
        <f>ROUND(INDEX(SP_GF_NI,0,COLUMN())-INDEX(MO_RIS_NI_GAAP_Basic,0,COLUMN()),6)</f>
        <v/>
      </c>
      <c r="AQ131" s="1606">
        <f>ROUND(INDEX(SP_GF_NI,0,COLUMN())-INDEX(MO_RIS_NI_GAAP_Basic,0,COLUMN()),6)</f>
        <v/>
      </c>
      <c r="AR131" s="1606">
        <f>ROUND(INDEX(SP_GF_NI,0,COLUMN())-INDEX(MO_RIS_NI_GAAP_Basic,0,COLUMN()),6)</f>
        <v/>
      </c>
      <c r="AS131" s="1606">
        <f>ROUND(INDEX(SP_GF_NI,0,COLUMN())-INDEX(MO_RIS_NI_GAAP_Basic,0,COLUMN()),6)</f>
        <v/>
      </c>
      <c r="AT131" s="1606">
        <f>ROUND(INDEX(SP_GF_NI,0,COLUMN())-INDEX(MO_RIS_NI_GAAP_Basic,0,COLUMN()),6)</f>
        <v/>
      </c>
      <c r="AU131" s="1606">
        <f>ROUND(INDEX(SP_GF_NI,0,COLUMN())-INDEX(MO_RIS_NI_GAAP_Basic,0,COLUMN()),6)</f>
        <v/>
      </c>
      <c r="AV131" s="1606">
        <f>ROUND(INDEX(SP_GF_NI,0,COLUMN())-INDEX(MO_RIS_NI_GAAP_Basic,0,COLUMN()),6)</f>
        <v/>
      </c>
      <c r="AW131" s="1606">
        <f>ROUND(INDEX(SP_GF_NI,0,COLUMN())-INDEX(MO_RIS_NI_GAAP_Basic,0,COLUMN()),6)</f>
        <v/>
      </c>
      <c r="AX131" s="1606">
        <f>ROUND(INDEX(SP_GF_NI,0,COLUMN())-INDEX(MO_RIS_NI_GAAP_Basic,0,COLUMN()),6)</f>
        <v/>
      </c>
      <c r="AY131" s="1606">
        <f>ROUND(INDEX(SP_GF_NI,0,COLUMN())-INDEX(MO_RIS_NI_GAAP_Basic,0,COLUMN()),6)</f>
        <v/>
      </c>
      <c r="AZ131" s="1606">
        <f>ROUND(INDEX(SP_GF_NI,0,COLUMN())-INDEX(MO_RIS_NI_GAAP_Basic,0,COLUMN()),6)</f>
        <v/>
      </c>
      <c r="BA131" s="1606">
        <f>ROUND(INDEX(SP_GF_NI,0,COLUMN())-INDEX(MO_RIS_NI_GAAP_Basic,0,COLUMN()),6)</f>
        <v/>
      </c>
      <c r="BB131" s="1606">
        <f>ROUND(INDEX(SP_GF_NI,0,COLUMN())-INDEX(MO_RIS_NI_GAAP_Basic,0,COLUMN()),6)</f>
        <v/>
      </c>
      <c r="BC131" s="1606">
        <f>ROUND(INDEX(SP_GF_NI,0,COLUMN())-INDEX(MO_RIS_NI_GAAP_Basic,0,COLUMN()),6)</f>
        <v/>
      </c>
      <c r="BD131" s="1606">
        <f>ROUND(INDEX(SP_GF_NI,0,COLUMN())-INDEX(MO_RIS_NI_GAAP_Basic,0,COLUMN()),6)</f>
        <v/>
      </c>
      <c r="BE131" s="1606">
        <f>ROUND(INDEX(SP_GF_NI,0,COLUMN())-INDEX(MO_RIS_NI_GAAP_Basic,0,COLUMN()),6)</f>
        <v/>
      </c>
      <c r="BF131" s="1606">
        <f>ROUND(INDEX(SP_GF_NI,0,COLUMN())-INDEX(MO_RIS_NI_GAAP_Basic,0,COLUMN()),6)</f>
        <v/>
      </c>
      <c r="BG131" s="1606">
        <f>ROUND(INDEX(SP_GF_NI,0,COLUMN())-INDEX(MO_RIS_NI_GAAP_Basic,0,COLUMN()),6)</f>
        <v/>
      </c>
      <c r="BH131" s="1606">
        <f>ROUND(INDEX(SP_GF_NI,0,COLUMN())-INDEX(MO_RIS_NI_GAAP_Basic,0,COLUMN()),6)</f>
        <v/>
      </c>
      <c r="BI131" s="1606">
        <f>ROUND(INDEX(SP_GF_NI,0,COLUMN())-INDEX(MO_RIS_NI_GAAP_Basic,0,COLUMN()),6)</f>
        <v/>
      </c>
      <c r="BJ131" s="1606">
        <f>ROUND(INDEX(SP_GF_NI,0,COLUMN())-INDEX(MO_RIS_NI_GAAP_Basic,0,COLUMN()),6)</f>
        <v/>
      </c>
      <c r="BK131" s="1606">
        <f>ROUND(INDEX(SP_GF_NI,0,COLUMN())-INDEX(MO_RIS_NI_GAAP_Basic,0,COLUMN()),6)</f>
        <v/>
      </c>
      <c r="BL131" s="1606">
        <f>ROUND(INDEX(SP_GF_NI,0,COLUMN())-INDEX(MO_RIS_NI_GAAP_Basic,0,COLUMN()),6)</f>
        <v/>
      </c>
      <c r="BM131" s="1606">
        <f>ROUND(INDEX(SP_GF_NI,0,COLUMN())-INDEX(MO_RIS_NI_GAAP_Basic,0,COLUMN()),6)</f>
        <v/>
      </c>
      <c r="BN131" s="1606">
        <f>ROUND(INDEX(SP_GF_NI,0,COLUMN())-INDEX(MO_RIS_NI_GAAP_Basic,0,COLUMN()),6)</f>
        <v/>
      </c>
      <c r="BO131" s="1607">
        <f>ROUND(INDEX(SP_GF_NI,0,COLUMN())-INDEX(MO_RIS_NI_GAAP_Basic,0,COLUMN()),6)</f>
        <v/>
      </c>
      <c r="BP131" s="1606">
        <f>ROUND(INDEX(SP_GF_NI,0,COLUMN())-INDEX(MO_RIS_NI_GAAP_Basic,0,COLUMN()),6)</f>
        <v/>
      </c>
      <c r="BQ131" s="1606">
        <f>ROUND(INDEX(SP_GF_NI,0,COLUMN())-INDEX(MO_RIS_NI_GAAP_Basic,0,COLUMN()),6)</f>
        <v/>
      </c>
      <c r="BR131" s="1606">
        <f>ROUND(INDEX(SP_GF_NI,0,COLUMN())-INDEX(MO_RIS_NI_GAAP_Basic,0,COLUMN()),6)</f>
        <v/>
      </c>
      <c r="BS131" s="1606">
        <f>ROUND(INDEX(SP_GF_NI,0,COLUMN())-INDEX(MO_RIS_NI_GAAP_Basic,0,COLUMN()),6)</f>
        <v/>
      </c>
      <c r="BT131" s="1606">
        <f>ROUND(INDEX(SP_GF_NI,0,COLUMN())-INDEX(MO_RIS_NI_GAAP_Basic,0,COLUMN()),6)</f>
        <v/>
      </c>
      <c r="BU131" s="1606">
        <f>ROUND(INDEX(SP_GF_NI,0,COLUMN())-INDEX(MO_RIS_NI_GAAP_Basic,0,COLUMN()),6)</f>
        <v/>
      </c>
      <c r="BV131" s="1606">
        <f>ROUND(INDEX(SP_GF_NI,0,COLUMN())-INDEX(MO_RIS_NI_GAAP_Basic,0,COLUMN()),6)</f>
        <v/>
      </c>
      <c r="BW131" s="1606">
        <f>ROUND(INDEX(SP_GF_NI,0,COLUMN())-INDEX(MO_RIS_NI_GAAP_Basic,0,COLUMN()),6)</f>
        <v/>
      </c>
      <c r="BX131" s="1606">
        <f>ROUND(INDEX(SP_GF_NI,0,COLUMN())-INDEX(MO_RIS_NI_GAAP_Basic,0,COLUMN()),6)</f>
        <v/>
      </c>
      <c r="BY131" s="1606">
        <f>ROUND(INDEX(SP_GF_NI,0,COLUMN())-INDEX(MO_RIS_NI_GAAP_Basic,0,COLUMN()),6)</f>
        <v/>
      </c>
      <c r="BZ131" s="1606">
        <f>ROUND(INDEX(SP_GF_NI,0,COLUMN())-INDEX(MO_RIS_NI_GAAP_Basic,0,COLUMN()),6)</f>
        <v/>
      </c>
      <c r="CA131" s="1606">
        <f>ROUND(INDEX(SP_GF_NI,0,COLUMN())-INDEX(MO_RIS_NI_GAAP_Basic,0,COLUMN()),6)</f>
        <v/>
      </c>
      <c r="CB131" s="1606">
        <f>ROUND(INDEX(SP_GF_NI,0,COLUMN())-INDEX(MO_RIS_NI_GAAP_Basic,0,COLUMN()),6)</f>
        <v/>
      </c>
      <c r="CC131" s="1527" t="n"/>
    </row>
    <row r="132" hidden="1" outlineLevel="1" ht="14.4" customHeight="1" s="876">
      <c r="A132" s="1301" t="inlineStr">
        <is>
          <t>Change in Cash Summary = Change in Cash Model</t>
        </is>
      </c>
      <c r="B132" s="166" t="n"/>
      <c r="C132" s="1606">
        <f>ROUND(INDEX(SP_CFA_NetChange,0,COLUMN())-INDEX(MO_CFS_NetChange,0,COLUMN()),6)</f>
        <v/>
      </c>
      <c r="D132" s="1606">
        <f>ROUND(INDEX(SP_CFA_NetChange,0,COLUMN())-INDEX(MO_CFS_NetChange,0,COLUMN()),6)</f>
        <v/>
      </c>
      <c r="E132" s="1606">
        <f>ROUND(INDEX(SP_CFA_NetChange,0,COLUMN())-INDEX(MO_CFS_NetChange,0,COLUMN()),6)</f>
        <v/>
      </c>
      <c r="F132" s="1606">
        <f>ROUND(INDEX(SP_CFA_NetChange,0,COLUMN())-INDEX(MO_CFS_NetChange,0,COLUMN()),6)</f>
        <v/>
      </c>
      <c r="G132" s="1606">
        <f>ROUND(INDEX(SP_CFA_NetChange,0,COLUMN())-INDEX(MO_CFS_NetChange,0,COLUMN()),6)</f>
        <v/>
      </c>
      <c r="H132" s="1606">
        <f>ROUND(INDEX(SP_CFA_NetChange,0,COLUMN())-INDEX(MO_CFS_NetChange,0,COLUMN()),6)</f>
        <v/>
      </c>
      <c r="I132" s="1606">
        <f>ROUND(INDEX(SP_CFA_NetChange,0,COLUMN())-INDEX(MO_CFS_NetChange,0,COLUMN()),6)</f>
        <v/>
      </c>
      <c r="J132" s="1606">
        <f>ROUND(INDEX(SP_CFA_NetChange,0,COLUMN())-INDEX(MO_CFS_NetChange,0,COLUMN()),6)</f>
        <v/>
      </c>
      <c r="K132" s="1606">
        <f>ROUND(INDEX(SP_CFA_NetChange,0,COLUMN())-INDEX(MO_CFS_NetChange,0,COLUMN()),6)</f>
        <v/>
      </c>
      <c r="L132" s="1606">
        <f>ROUND(INDEX(SP_CFA_NetChange,0,COLUMN())-INDEX(MO_CFS_NetChange,0,COLUMN()),6)</f>
        <v/>
      </c>
      <c r="M132" s="1606">
        <f>ROUND(INDEX(SP_CFA_NetChange,0,COLUMN())-INDEX(MO_CFS_NetChange,0,COLUMN()),6)</f>
        <v/>
      </c>
      <c r="N132" s="1606">
        <f>ROUND(INDEX(SP_CFA_NetChange,0,COLUMN())-INDEX(MO_CFS_NetChange,0,COLUMN()),6)</f>
        <v/>
      </c>
      <c r="O132" s="1606">
        <f>ROUND(INDEX(SP_CFA_NetChange,0,COLUMN())-INDEX(MO_CFS_NetChange,0,COLUMN()),6)</f>
        <v/>
      </c>
      <c r="P132" s="1606">
        <f>ROUND(INDEX(SP_CFA_NetChange,0,COLUMN())-INDEX(MO_CFS_NetChange,0,COLUMN()),6)</f>
        <v/>
      </c>
      <c r="Q132" s="1606">
        <f>ROUND(INDEX(SP_CFA_NetChange,0,COLUMN())-INDEX(MO_CFS_NetChange,0,COLUMN()),6)</f>
        <v/>
      </c>
      <c r="R132" s="1606">
        <f>ROUND(INDEX(SP_CFA_NetChange,0,COLUMN())-INDEX(MO_CFS_NetChange,0,COLUMN()),6)</f>
        <v/>
      </c>
      <c r="S132" s="1606">
        <f>ROUND(INDEX(SP_CFA_NetChange,0,COLUMN())-INDEX(MO_CFS_NetChange,0,COLUMN()),6)</f>
        <v/>
      </c>
      <c r="T132" s="1606">
        <f>ROUND(INDEX(SP_CFA_NetChange,0,COLUMN())-INDEX(MO_CFS_NetChange,0,COLUMN()),6)</f>
        <v/>
      </c>
      <c r="U132" s="1606">
        <f>ROUND(INDEX(SP_CFA_NetChange,0,COLUMN())-INDEX(MO_CFS_NetChange,0,COLUMN()),6)</f>
        <v/>
      </c>
      <c r="V132" s="1606">
        <f>ROUND(INDEX(SP_CFA_NetChange,0,COLUMN())-INDEX(MO_CFS_NetChange,0,COLUMN()),6)</f>
        <v/>
      </c>
      <c r="W132" s="1606">
        <f>ROUND(INDEX(SP_CFA_NetChange,0,COLUMN())-INDEX(MO_CFS_NetChange,0,COLUMN()),6)</f>
        <v/>
      </c>
      <c r="X132" s="1606">
        <f>ROUND(INDEX(SP_CFA_NetChange,0,COLUMN())-INDEX(MO_CFS_NetChange,0,COLUMN()),6)</f>
        <v/>
      </c>
      <c r="Y132" s="1606">
        <f>ROUND(INDEX(SP_CFA_NetChange,0,COLUMN())-INDEX(MO_CFS_NetChange,0,COLUMN()),6)</f>
        <v/>
      </c>
      <c r="Z132" s="1606">
        <f>ROUND(INDEX(SP_CFA_NetChange,0,COLUMN())-INDEX(MO_CFS_NetChange,0,COLUMN()),6)</f>
        <v/>
      </c>
      <c r="AA132" s="1606">
        <f>ROUND(INDEX(SP_CFA_NetChange,0,COLUMN())-INDEX(MO_CFS_NetChange,0,COLUMN()),6)</f>
        <v/>
      </c>
      <c r="AB132" s="1606">
        <f>ROUND(INDEX(SP_CFA_NetChange,0,COLUMN())-INDEX(MO_CFS_NetChange,0,COLUMN()),6)</f>
        <v/>
      </c>
      <c r="AC132" s="1606" t="n"/>
      <c r="AD132" s="1606">
        <f>ROUND(INDEX(SP_CFA_NetChange,0,COLUMN())-INDEX(MO_CFS_NetChange,0,COLUMN()),6)</f>
        <v/>
      </c>
      <c r="AE132" s="1606">
        <f>ROUND(INDEX(SP_CFA_NetChange,0,COLUMN())-INDEX(MO_CFS_NetChange,0,COLUMN()),6)</f>
        <v/>
      </c>
      <c r="AF132" s="1606">
        <f>ROUND(INDEX(SP_CFA_NetChange,0,COLUMN())-INDEX(MO_CFS_NetChange,0,COLUMN()),6)</f>
        <v/>
      </c>
      <c r="AG132" s="1606">
        <f>ROUND(INDEX(SP_CFA_NetChange,0,COLUMN())-INDEX(MO_CFS_NetChange,0,COLUMN()),6)</f>
        <v/>
      </c>
      <c r="AH132" s="1606">
        <f>ROUND(INDEX(SP_CFA_NetChange,0,COLUMN())-INDEX(MO_CFS_NetChange,0,COLUMN()),6)</f>
        <v/>
      </c>
      <c r="AI132" s="1606">
        <f>ROUND(INDEX(SP_CFA_NetChange,0,COLUMN())-INDEX(MO_CFS_NetChange,0,COLUMN()),6)</f>
        <v/>
      </c>
      <c r="AJ132" s="1606">
        <f>ROUND(INDEX(SP_CFA_NetChange,0,COLUMN())-INDEX(MO_CFS_NetChange,0,COLUMN()),6)</f>
        <v/>
      </c>
      <c r="AK132" s="1606">
        <f>ROUND(INDEX(SP_CFA_NetChange,0,COLUMN())-INDEX(MO_CFS_NetChange,0,COLUMN()),6)</f>
        <v/>
      </c>
      <c r="AL132" s="1606">
        <f>ROUND(INDEX(SP_CFA_NetChange,0,COLUMN())-INDEX(MO_CFS_NetChange,0,COLUMN()),6)</f>
        <v/>
      </c>
      <c r="AM132" s="1606">
        <f>ROUND(INDEX(SP_CFA_NetChange,0,COLUMN())-INDEX(MO_CFS_NetChange,0,COLUMN()),6)</f>
        <v/>
      </c>
      <c r="AN132" s="1606">
        <f>ROUND(INDEX(SP_CFA_NetChange,0,COLUMN())-INDEX(MO_CFS_NetChange,0,COLUMN()),6)</f>
        <v/>
      </c>
      <c r="AO132" s="1606">
        <f>ROUND(INDEX(SP_CFA_NetChange,0,COLUMN())-INDEX(MO_CFS_NetChange,0,COLUMN()),6)</f>
        <v/>
      </c>
      <c r="AP132" s="1606">
        <f>ROUND(INDEX(SP_CFA_NetChange,0,COLUMN())-INDEX(MO_CFS_NetChange,0,COLUMN()),6)</f>
        <v/>
      </c>
      <c r="AQ132" s="1606">
        <f>ROUND(INDEX(SP_CFA_NetChange,0,COLUMN())-INDEX(MO_CFS_NetChange,0,COLUMN()),6)</f>
        <v/>
      </c>
      <c r="AR132" s="1606">
        <f>ROUND(INDEX(SP_CFA_NetChange,0,COLUMN())-INDEX(MO_CFS_NetChange,0,COLUMN()),6)</f>
        <v/>
      </c>
      <c r="AS132" s="1606">
        <f>ROUND(INDEX(SP_CFA_NetChange,0,COLUMN())-INDEX(MO_CFS_NetChange,0,COLUMN()),6)</f>
        <v/>
      </c>
      <c r="AT132" s="1606">
        <f>ROUND(INDEX(SP_CFA_NetChange,0,COLUMN())-INDEX(MO_CFS_NetChange,0,COLUMN()),6)</f>
        <v/>
      </c>
      <c r="AU132" s="1606">
        <f>ROUND(INDEX(SP_CFA_NetChange,0,COLUMN())-INDEX(MO_CFS_NetChange,0,COLUMN()),6)</f>
        <v/>
      </c>
      <c r="AV132" s="1606">
        <f>ROUND(INDEX(SP_CFA_NetChange,0,COLUMN())-INDEX(MO_CFS_NetChange,0,COLUMN()),6)</f>
        <v/>
      </c>
      <c r="AW132" s="1606">
        <f>ROUND(INDEX(SP_CFA_NetChange,0,COLUMN())-INDEX(MO_CFS_NetChange,0,COLUMN()),6)</f>
        <v/>
      </c>
      <c r="AX132" s="1606">
        <f>ROUND(INDEX(SP_CFA_NetChange,0,COLUMN())-INDEX(MO_CFS_NetChange,0,COLUMN()),6)</f>
        <v/>
      </c>
      <c r="AY132" s="1606">
        <f>ROUND(INDEX(SP_CFA_NetChange,0,COLUMN())-INDEX(MO_CFS_NetChange,0,COLUMN()),6)</f>
        <v/>
      </c>
      <c r="AZ132" s="1606">
        <f>ROUND(INDEX(SP_CFA_NetChange,0,COLUMN())-INDEX(MO_CFS_NetChange,0,COLUMN()),6)</f>
        <v/>
      </c>
      <c r="BA132" s="1606">
        <f>ROUND(INDEX(SP_CFA_NetChange,0,COLUMN())-INDEX(MO_CFS_NetChange,0,COLUMN()),6)</f>
        <v/>
      </c>
      <c r="BB132" s="1606">
        <f>ROUND(INDEX(SP_CFA_NetChange,0,COLUMN())-INDEX(MO_CFS_NetChange,0,COLUMN()),6)</f>
        <v/>
      </c>
      <c r="BC132" s="1606">
        <f>ROUND(INDEX(SP_CFA_NetChange,0,COLUMN())-INDEX(MO_CFS_NetChange,0,COLUMN()),6)</f>
        <v/>
      </c>
      <c r="BD132" s="1606">
        <f>ROUND(INDEX(SP_CFA_NetChange,0,COLUMN())-INDEX(MO_CFS_NetChange,0,COLUMN()),6)</f>
        <v/>
      </c>
      <c r="BE132" s="1606">
        <f>ROUND(INDEX(SP_CFA_NetChange,0,COLUMN())-INDEX(MO_CFS_NetChange,0,COLUMN()),6)</f>
        <v/>
      </c>
      <c r="BF132" s="1606">
        <f>ROUND(INDEX(SP_CFA_NetChange,0,COLUMN())-INDEX(MO_CFS_NetChange,0,COLUMN()),6)</f>
        <v/>
      </c>
      <c r="BG132" s="1606">
        <f>ROUND(INDEX(SP_CFA_NetChange,0,COLUMN())-INDEX(MO_CFS_NetChange,0,COLUMN()),6)</f>
        <v/>
      </c>
      <c r="BH132" s="1606">
        <f>ROUND(INDEX(SP_CFA_NetChange,0,COLUMN())-INDEX(MO_CFS_NetChange,0,COLUMN()),6)</f>
        <v/>
      </c>
      <c r="BI132" s="1606">
        <f>ROUND(INDEX(SP_CFA_NetChange,0,COLUMN())-INDEX(MO_CFS_NetChange,0,COLUMN()),6)</f>
        <v/>
      </c>
      <c r="BJ132" s="1606">
        <f>ROUND(INDEX(SP_CFA_NetChange,0,COLUMN())-INDEX(MO_CFS_NetChange,0,COLUMN()),6)</f>
        <v/>
      </c>
      <c r="BK132" s="1606">
        <f>ROUND(INDEX(SP_CFA_NetChange,0,COLUMN())-INDEX(MO_CFS_NetChange,0,COLUMN()),6)</f>
        <v/>
      </c>
      <c r="BL132" s="1606">
        <f>ROUND(INDEX(SP_CFA_NetChange,0,COLUMN())-INDEX(MO_CFS_NetChange,0,COLUMN()),6)</f>
        <v/>
      </c>
      <c r="BM132" s="1606">
        <f>ROUND(INDEX(SP_CFA_NetChange,0,COLUMN())-INDEX(MO_CFS_NetChange,0,COLUMN()),6)</f>
        <v/>
      </c>
      <c r="BN132" s="1606">
        <f>ROUND(INDEX(SP_CFA_NetChange,0,COLUMN())-INDEX(MO_CFS_NetChange,0,COLUMN()),6)</f>
        <v/>
      </c>
      <c r="BO132" s="1607">
        <f>ROUND(INDEX(SP_CFA_NetChange,0,COLUMN())-INDEX(MO_CFS_NetChange,0,COLUMN()),6)</f>
        <v/>
      </c>
      <c r="BP132" s="1606">
        <f>ROUND(INDEX(SP_CFA_NetChange,0,COLUMN())-INDEX(MO_CFS_NetChange,0,COLUMN()),6)</f>
        <v/>
      </c>
      <c r="BQ132" s="1606">
        <f>ROUND(INDEX(SP_CFA_NetChange,0,COLUMN())-INDEX(MO_CFS_NetChange,0,COLUMN()),6)</f>
        <v/>
      </c>
      <c r="BR132" s="1606">
        <f>ROUND(INDEX(SP_CFA_NetChange,0,COLUMN())-INDEX(MO_CFS_NetChange,0,COLUMN()),6)</f>
        <v/>
      </c>
      <c r="BS132" s="1606">
        <f>ROUND(INDEX(SP_CFA_NetChange,0,COLUMN())-INDEX(MO_CFS_NetChange,0,COLUMN()),6)</f>
        <v/>
      </c>
      <c r="BT132" s="1606">
        <f>ROUND(INDEX(SP_CFA_NetChange,0,COLUMN())-INDEX(MO_CFS_NetChange,0,COLUMN()),6)</f>
        <v/>
      </c>
      <c r="BU132" s="1606">
        <f>ROUND(INDEX(SP_CFA_NetChange,0,COLUMN())-INDEX(MO_CFS_NetChange,0,COLUMN()),6)</f>
        <v/>
      </c>
      <c r="BV132" s="1606">
        <f>ROUND(INDEX(SP_CFA_NetChange,0,COLUMN())-INDEX(MO_CFS_NetChange,0,COLUMN()),6)</f>
        <v/>
      </c>
      <c r="BW132" s="1606">
        <f>ROUND(INDEX(SP_CFA_NetChange,0,COLUMN())-INDEX(MO_CFS_NetChange,0,COLUMN()),6)</f>
        <v/>
      </c>
      <c r="BX132" s="1606">
        <f>ROUND(INDEX(SP_CFA_NetChange,0,COLUMN())-INDEX(MO_CFS_NetChange,0,COLUMN()),6)</f>
        <v/>
      </c>
      <c r="BY132" s="1606">
        <f>ROUND(INDEX(SP_CFA_NetChange,0,COLUMN())-INDEX(MO_CFS_NetChange,0,COLUMN()),6)</f>
        <v/>
      </c>
      <c r="BZ132" s="1606">
        <f>ROUND(INDEX(SP_CFA_NetChange,0,COLUMN())-INDEX(MO_CFS_NetChange,0,COLUMN()),6)</f>
        <v/>
      </c>
      <c r="CA132" s="1606">
        <f>ROUND(INDEX(SP_CFA_NetChange,0,COLUMN())-INDEX(MO_CFS_NetChange,0,COLUMN()),6)</f>
        <v/>
      </c>
      <c r="CB132" s="1606">
        <f>ROUND(INDEX(SP_CFA_NetChange,0,COLUMN())-INDEX(MO_CFS_NetChange,0,COLUMN()),6)</f>
        <v/>
      </c>
      <c r="CC132" s="1527" t="n"/>
    </row>
    <row r="133" collapsed="1" ht="14.4" customHeight="1" s="876">
      <c r="A133" s="1527" t="n"/>
      <c r="B133" s="1527" t="n"/>
      <c r="C133" s="1933" t="n"/>
      <c r="D133" s="1933" t="n"/>
      <c r="E133" s="1933" t="n"/>
      <c r="F133" s="1933" t="n"/>
      <c r="G133" s="1933" t="n"/>
      <c r="H133" s="1527" t="n"/>
      <c r="I133" s="1527" t="n"/>
      <c r="J133" s="1527" t="n"/>
      <c r="K133" s="1527" t="n"/>
      <c r="L133" s="1933" t="n"/>
      <c r="M133" s="1527" t="n"/>
      <c r="N133" s="1527" t="n"/>
      <c r="O133" s="1527" t="n"/>
      <c r="P133" s="1527" t="n"/>
      <c r="Q133" s="1933" t="n"/>
      <c r="R133" s="1527" t="n"/>
      <c r="S133" s="1527" t="n"/>
      <c r="T133" s="1527" t="n"/>
      <c r="U133" s="1527" t="n"/>
      <c r="V133" s="1933" t="n"/>
      <c r="W133" s="1527" t="n"/>
      <c r="X133" s="1527" t="n"/>
      <c r="Y133" s="1527" t="n"/>
      <c r="Z133" s="1527" t="n"/>
      <c r="AA133" s="1933" t="n"/>
      <c r="AB133" s="1527" t="n"/>
      <c r="AC133" s="1527" t="n"/>
      <c r="AD133" s="1527" t="n"/>
      <c r="AE133" s="1527" t="n"/>
      <c r="AF133" s="1933" t="n"/>
      <c r="AG133" s="1527" t="n"/>
      <c r="AH133" s="1527" t="n"/>
      <c r="AI133" s="1527" t="n"/>
      <c r="AJ133" s="1527" t="n"/>
      <c r="AK133" s="1933" t="n"/>
      <c r="AL133" s="1527" t="n"/>
      <c r="AM133" s="1527" t="n"/>
      <c r="AN133" s="1527" t="n"/>
      <c r="AO133" s="1527" t="n"/>
      <c r="AP133" s="1933" t="n"/>
      <c r="AQ133" s="1527" t="n"/>
      <c r="AR133" s="1527" t="n"/>
      <c r="AS133" s="1527" t="n"/>
      <c r="AT133" s="1527" t="n"/>
      <c r="AU133" s="1933" t="n"/>
      <c r="AV133" s="1527" t="n"/>
      <c r="AW133" s="1527" t="n"/>
      <c r="AX133" s="1527" t="n"/>
      <c r="AY133" s="1527" t="n"/>
      <c r="AZ133" s="1933" t="n"/>
      <c r="BA133" s="1527" t="n"/>
      <c r="BB133" s="1527" t="n"/>
      <c r="BC133" s="1527" t="n"/>
      <c r="BD133" s="1527" t="n"/>
      <c r="BE133" s="1933" t="n"/>
      <c r="BF133" s="1527" t="n"/>
      <c r="BG133" s="1527" t="n"/>
      <c r="BH133" s="1527" t="n"/>
      <c r="BI133" s="1527" t="n"/>
      <c r="BJ133" s="1933" t="n"/>
      <c r="BK133" s="1527" t="n"/>
      <c r="BL133" s="1527" t="n"/>
      <c r="BM133" s="1527" t="n"/>
      <c r="BN133" s="1527" t="n"/>
      <c r="BO133" s="2059" t="n"/>
      <c r="BP133" s="1527" t="n"/>
      <c r="BQ133" s="1527" t="n"/>
      <c r="BR133" s="1527" t="n"/>
      <c r="BS133" s="1527" t="n"/>
      <c r="BT133" s="1933" t="n"/>
      <c r="BU133" s="1527" t="n"/>
      <c r="BV133" s="1527" t="n"/>
      <c r="BW133" s="1527" t="n"/>
      <c r="BX133" s="1527" t="n"/>
      <c r="BY133" s="1933" t="n"/>
      <c r="BZ133" s="1933" t="n"/>
      <c r="CA133" s="1933" t="n"/>
      <c r="CB133" s="1933" t="n"/>
      <c r="CC133" s="1527" t="n"/>
    </row>
    <row r="134" ht="14.4" customHeight="1" s="876">
      <c r="A134" s="2060" t="inlineStr">
        <is>
          <t>Tegus</t>
        </is>
      </c>
      <c r="B134" s="2015" t="n"/>
      <c r="C134" s="2015" t="n"/>
      <c r="D134" s="2015" t="n"/>
      <c r="E134" s="2015" t="n"/>
      <c r="F134" s="2015" t="n"/>
      <c r="G134" s="2015" t="n"/>
      <c r="H134" s="2015" t="n"/>
      <c r="I134" s="2015" t="n"/>
      <c r="J134" s="2015" t="n"/>
      <c r="K134" s="2015" t="n"/>
      <c r="L134" s="2015" t="n"/>
      <c r="M134" s="2015" t="n"/>
      <c r="N134" s="2015" t="n"/>
      <c r="O134" s="2015" t="n"/>
      <c r="P134" s="2015" t="n"/>
      <c r="Q134" s="2015" t="n"/>
      <c r="R134" s="2015" t="n"/>
      <c r="S134" s="2015" t="n"/>
      <c r="T134" s="2015" t="n"/>
      <c r="U134" s="2015" t="n"/>
      <c r="V134" s="2015" t="n"/>
      <c r="W134" s="2015" t="n"/>
      <c r="X134" s="2015" t="n"/>
      <c r="Y134" s="2015" t="n"/>
      <c r="Z134" s="2015" t="n"/>
      <c r="AA134" s="2015" t="n"/>
      <c r="AB134" s="2015" t="n"/>
      <c r="AC134" s="2015" t="n"/>
      <c r="AD134" s="2015" t="n"/>
      <c r="AE134" s="2015" t="n"/>
      <c r="AF134" s="2015" t="n"/>
      <c r="AG134" s="2015" t="n"/>
      <c r="AH134" s="2015" t="n"/>
      <c r="AI134" s="2015" t="n"/>
      <c r="AJ134" s="2015" t="n"/>
      <c r="AK134" s="2015" t="n"/>
      <c r="AL134" s="2015" t="n"/>
      <c r="AM134" s="2015" t="n"/>
      <c r="AN134" s="2015" t="n"/>
      <c r="AO134" s="2015" t="n"/>
      <c r="AP134" s="2015" t="n"/>
      <c r="AQ134" s="2015" t="n"/>
      <c r="AR134" s="2015" t="n"/>
      <c r="AS134" s="2015" t="n"/>
      <c r="AT134" s="2015" t="n"/>
      <c r="AU134" s="2015" t="n"/>
      <c r="AV134" s="2015" t="n"/>
      <c r="AW134" s="2015" t="n"/>
      <c r="AX134" s="2015" t="n"/>
      <c r="AY134" s="2015" t="n"/>
      <c r="AZ134" s="2015" t="n"/>
      <c r="BA134" s="2015" t="n"/>
      <c r="BB134" s="2015" t="n"/>
      <c r="BC134" s="2015" t="n"/>
      <c r="BD134" s="2015" t="n"/>
      <c r="BE134" s="2015" t="n"/>
      <c r="BF134" s="2015" t="n"/>
      <c r="BG134" s="2015" t="n"/>
      <c r="BH134" s="2015" t="n"/>
      <c r="BI134" s="2015" t="n"/>
      <c r="BJ134" s="2015" t="n"/>
      <c r="BK134" s="2015" t="n"/>
      <c r="BL134" s="2015" t="n"/>
      <c r="BM134" s="2015" t="n"/>
      <c r="BN134" s="2015" t="n"/>
      <c r="BO134" s="2015" t="n"/>
      <c r="BP134" s="2015" t="n"/>
      <c r="BQ134" s="2015" t="n"/>
      <c r="BR134" s="2015" t="n"/>
      <c r="BS134" s="2015" t="n"/>
      <c r="BT134" s="2015" t="n"/>
      <c r="BU134" s="2015" t="n"/>
      <c r="BV134" s="2015" t="n"/>
      <c r="BW134" s="2015" t="n"/>
      <c r="BX134" s="2015" t="n"/>
      <c r="BY134" s="2015" t="n"/>
      <c r="BZ134" s="2015" t="n"/>
      <c r="CA134" s="2015" t="n"/>
      <c r="CB134" s="2015" t="n"/>
      <c r="CC134" s="1527" t="n"/>
    </row>
    <row r="135" collapsed="1" ht="14.4" customHeight="1" s="876">
      <c r="A135" s="1967" t="n"/>
      <c r="B135" s="1527" t="n"/>
      <c r="C135" s="1527" t="n"/>
      <c r="D135" s="1527" t="n"/>
      <c r="E135" s="1527" t="n"/>
      <c r="F135" s="1527" t="n"/>
      <c r="G135" s="1527" t="n"/>
      <c r="H135" s="1527" t="n"/>
      <c r="I135" s="1527" t="n"/>
      <c r="J135" s="1527" t="n"/>
      <c r="K135" s="1527" t="n"/>
      <c r="L135" s="1527" t="n"/>
      <c r="M135" s="1527" t="n"/>
      <c r="N135" s="1527" t="n"/>
      <c r="O135" s="1527" t="n"/>
      <c r="P135" s="1527" t="n"/>
      <c r="Q135" s="1527" t="n"/>
      <c r="R135" s="1527" t="n"/>
      <c r="S135" s="1527" t="n"/>
      <c r="T135" s="1527" t="n"/>
      <c r="U135" s="1527" t="n"/>
      <c r="V135" s="1527" t="n"/>
      <c r="W135" s="1527" t="n"/>
      <c r="X135" s="1527" t="n"/>
      <c r="Y135" s="1527" t="n"/>
      <c r="Z135" s="1527" t="n"/>
      <c r="AA135" s="1527" t="n"/>
      <c r="AB135" s="1527" t="n"/>
      <c r="AC135" s="1527" t="n"/>
      <c r="AD135" s="1527" t="n"/>
      <c r="AE135" s="1527" t="n"/>
      <c r="AF135" s="1527" t="n"/>
      <c r="AG135" s="1527" t="n"/>
      <c r="AH135" s="1527" t="n"/>
      <c r="AI135" s="1527" t="n"/>
      <c r="AJ135" s="1527" t="n"/>
      <c r="AK135" s="1527" t="n"/>
      <c r="AL135" s="1527" t="n"/>
      <c r="AM135" s="1527" t="n"/>
      <c r="AN135" s="1527" t="n"/>
      <c r="AO135" s="1527" t="n"/>
      <c r="AP135" s="1527" t="n"/>
      <c r="AQ135" s="1527" t="n"/>
      <c r="AR135" s="1527" t="n"/>
      <c r="AS135" s="1527" t="n"/>
      <c r="AT135" s="1527" t="n"/>
      <c r="AU135" s="1527" t="n"/>
      <c r="AV135" s="1527" t="n"/>
      <c r="AW135" s="1527" t="n"/>
      <c r="AX135" s="1527" t="n"/>
      <c r="AY135" s="1527" t="n"/>
      <c r="AZ135" s="1527" t="n"/>
      <c r="BA135" s="1527" t="n"/>
      <c r="BB135" s="1527" t="n"/>
      <c r="BC135" s="1527" t="n"/>
      <c r="BD135" s="1527" t="n"/>
      <c r="BE135" s="1527" t="n"/>
      <c r="BF135" s="1527" t="n"/>
      <c r="BG135" s="1527" t="n"/>
      <c r="BH135" s="1527" t="n"/>
      <c r="BI135" s="1527" t="n"/>
      <c r="BJ135" s="1527" t="n"/>
      <c r="BK135" s="1527" t="n"/>
      <c r="BL135" s="1527" t="n"/>
      <c r="BM135" s="1527" t="n"/>
      <c r="BN135" s="1527" t="n"/>
      <c r="BO135" s="1527" t="n"/>
      <c r="BP135" s="1527" t="n"/>
      <c r="BQ135" s="1527" t="n"/>
      <c r="BR135" s="1527" t="n"/>
      <c r="BS135" s="1527" t="n"/>
      <c r="BT135" s="1527" t="n"/>
      <c r="BU135" s="1527" t="n"/>
      <c r="BV135" s="1527" t="n"/>
      <c r="BW135" s="1527" t="n"/>
      <c r="BX135" s="1527" t="n"/>
      <c r="BY135" s="1527" t="n"/>
      <c r="BZ135" s="1527" t="n"/>
      <c r="CA135" s="1527" t="n"/>
      <c r="CB135" s="1527" t="n"/>
      <c r="CC135" s="1527" t="n"/>
    </row>
  </sheetData>
  <conditionalFormatting sqref="C127:CB131 C132:AB132 AD132:CB132">
    <cfRule type="cellIs" priority="292" operator="notEqual" dxfId="1">
      <formula>0</formula>
    </cfRule>
    <cfRule type="cellIs" priority="293" operator="equal" dxfId="0">
      <formula>0</formula>
    </cfRule>
  </conditionalFormatting>
  <dataValidations count="1">
    <dataValidation sqref="B4" showDropDown="0" showInputMessage="1" showErrorMessage="1" allowBlank="1" type="list">
      <formula1>OFFSET(tb_ValuationToggle,1,0,4,1)</formula1>
    </dataValidation>
  </dataValidations>
  <pageMargins left="0.7" right="0.7" top="0.75" bottom="0.75" header="0.3" footer="0.3"/>
  <pageSetup orientation="portrait" paperSize="1" scale="32"/>
  <legacyDrawing xmlns:r="http://schemas.openxmlformats.org/officeDocument/2006/relationships" r:id="anysvml"/>
</worksheet>
</file>

<file path=xl/worksheets/sheet6.xml><?xml version="1.0" encoding="utf-8"?>
<worksheet xmlns="http://schemas.openxmlformats.org/spreadsheetml/2006/main">
  <sheetPr codeName="Sheet41">
    <outlinePr summaryBelow="1" summaryRight="1"/>
    <pageSetUpPr/>
  </sheetPr>
  <dimension ref="A1:J100"/>
  <sheetViews>
    <sheetView showGridLines="0" topLeftCell="A1" workbookViewId="0">
      <selection activeCell="A1" sqref="A1"/>
    </sheetView>
  </sheetViews>
  <sheetFormatPr baseColWidth="8" defaultColWidth="8.77428571428571" defaultRowHeight="14.4"/>
  <cols>
    <col width="4.42857142857143" customWidth="1" style="15" min="1" max="1"/>
    <col width="9.71428571428571" customWidth="1" style="15" min="2" max="2"/>
    <col width="15.7142857142857" customWidth="1" style="15" min="3" max="3"/>
    <col width="20.7142857142857" customWidth="1" style="15" min="4" max="4"/>
    <col width="30.7142857142857" customWidth="1" style="15" min="5" max="5"/>
    <col width="20.7142857142857" customWidth="1" style="15" min="6" max="6"/>
    <col width="21.5714285714286" bestFit="1" customWidth="1" style="15" min="7" max="7"/>
    <col width="45.7142857142857" customWidth="1" style="15" min="8" max="8"/>
    <col width="7.71428571428571" customWidth="1" style="15" min="9" max="9"/>
    <col width="8.71428571428571" customWidth="1" style="15" min="10" max="13"/>
    <col width="8.71428571428571" customWidth="1" style="15" min="14" max="16384"/>
  </cols>
  <sheetData>
    <row r="1" ht="14.4" customHeight="1" s="876">
      <c r="A1" s="16" t="n"/>
      <c r="B1" s="16" t="n"/>
      <c r="C1" s="16" t="n"/>
      <c r="D1" s="16" t="n"/>
      <c r="E1" s="16" t="n"/>
      <c r="F1" s="16" t="n"/>
      <c r="G1" s="16" t="n"/>
      <c r="H1" s="16" t="n"/>
      <c r="I1" s="16" t="n"/>
      <c r="J1" s="16" t="n"/>
    </row>
    <row r="2" ht="14.4" customHeight="1" s="876">
      <c r="A2" s="16" t="n"/>
      <c r="B2" s="16" t="n"/>
      <c r="C2" s="16" t="n"/>
      <c r="D2" s="16" t="n"/>
      <c r="E2" s="16" t="n"/>
      <c r="F2" s="16" t="n"/>
      <c r="G2" s="16" t="n"/>
      <c r="H2" s="16" t="n"/>
      <c r="I2" s="16" t="n"/>
      <c r="J2" s="16" t="n"/>
    </row>
    <row r="3" ht="14.4" customHeight="1" s="876">
      <c r="A3" s="16" t="n"/>
      <c r="B3" s="16" t="n"/>
      <c r="C3" s="16" t="n"/>
      <c r="D3" s="16" t="n"/>
      <c r="E3" s="16" t="n"/>
      <c r="F3" s="16" t="n"/>
      <c r="G3" s="16" t="n"/>
      <c r="H3" s="16" t="n"/>
      <c r="I3" s="16" t="n"/>
      <c r="J3" s="16" t="n"/>
    </row>
    <row r="4" ht="14.4" customHeight="1" s="876">
      <c r="A4" s="16" t="n"/>
      <c r="B4" s="16" t="n"/>
      <c r="C4" s="16" t="n"/>
      <c r="D4" s="16" t="n"/>
      <c r="E4" s="16" t="n"/>
      <c r="F4" s="16" t="n"/>
      <c r="G4" s="16" t="n"/>
      <c r="H4" s="16" t="n"/>
      <c r="I4" s="16" t="n"/>
      <c r="J4" s="16" t="n"/>
    </row>
    <row r="5" ht="14.4" customHeight="1" s="876">
      <c r="A5" s="16" t="n"/>
      <c r="B5" s="16" t="n"/>
      <c r="C5" s="16" t="n"/>
      <c r="D5" s="16" t="n"/>
      <c r="E5" s="16" t="n"/>
      <c r="F5" s="16" t="n"/>
      <c r="G5" s="16" t="n"/>
      <c r="H5" s="16" t="n"/>
      <c r="I5" s="16" t="n"/>
      <c r="J5" s="16" t="n"/>
    </row>
    <row r="6" ht="14.4" customHeight="1" s="876">
      <c r="A6" s="16" t="n"/>
      <c r="B6" s="16" t="n"/>
      <c r="C6" s="16" t="n"/>
      <c r="D6" s="16" t="n"/>
      <c r="E6" s="16" t="n"/>
      <c r="F6" s="16" t="n"/>
      <c r="G6" s="16" t="n"/>
      <c r="H6" s="16" t="n"/>
      <c r="I6" s="16" t="n"/>
      <c r="J6" s="16" t="n"/>
    </row>
    <row r="7" ht="18" customHeight="1" s="876">
      <c r="A7" s="16" t="n"/>
      <c r="B7" s="16" t="n"/>
      <c r="C7" s="16" t="n"/>
      <c r="D7" s="16" t="n"/>
      <c r="E7" s="2061">
        <f>MO.MRFPColumnNumber</f>
        <v/>
      </c>
      <c r="F7" s="513">
        <f>MO.MRFP</f>
        <v/>
      </c>
      <c r="G7" s="513" t="n"/>
      <c r="H7" s="2062">
        <f>AA.CSIN</f>
        <v/>
      </c>
      <c r="I7" s="509" t="n"/>
      <c r="J7" s="508" t="n"/>
    </row>
    <row r="8" ht="14.4" customHeight="1" s="876">
      <c r="A8" s="16" t="n"/>
      <c r="B8" s="16" t="n"/>
      <c r="C8" s="16" t="n"/>
      <c r="D8" s="16" t="n"/>
      <c r="E8" s="16" t="n"/>
      <c r="F8" s="16" t="n"/>
      <c r="G8" s="16" t="n"/>
      <c r="H8" s="2063">
        <f>+AA.ModelVersion</f>
        <v/>
      </c>
      <c r="I8" s="16" t="n"/>
      <c r="J8" s="16" t="n"/>
    </row>
    <row r="9" ht="14.4" customHeight="1" s="876">
      <c r="A9" s="16" t="n"/>
      <c r="B9" s="16" t="n"/>
      <c r="C9" s="16" t="n"/>
      <c r="D9" s="16" t="n"/>
      <c r="E9" s="16" t="n"/>
      <c r="F9" s="16" t="n"/>
      <c r="G9" s="16" t="n"/>
      <c r="H9" s="572" t="n"/>
      <c r="I9" s="16" t="n"/>
      <c r="J9" s="16" t="n"/>
    </row>
    <row r="10" ht="14.4" customHeight="1" s="876">
      <c r="A10" s="16" t="n"/>
      <c r="B10" s="16" t="n"/>
      <c r="C10" s="549" t="inlineStr">
        <is>
          <t>Update Date</t>
        </is>
      </c>
      <c r="D10" s="549" t="inlineStr">
        <is>
          <t>Updated By (Initials)</t>
        </is>
      </c>
      <c r="E10" s="549" t="inlineStr">
        <is>
          <t>Update Type</t>
        </is>
      </c>
      <c r="F10" s="549" t="inlineStr">
        <is>
          <t>Most Recent Period</t>
        </is>
      </c>
      <c r="G10" s="549" t="inlineStr">
        <is>
          <t>Special Comments</t>
        </is>
      </c>
      <c r="H10" s="582" t="inlineStr">
        <is>
          <t>Link to Press Release / News Item</t>
        </is>
      </c>
      <c r="I10" s="16" t="n"/>
      <c r="J10" s="16" t="n"/>
    </row>
    <row r="11" ht="14.4" customHeight="1" s="876">
      <c r="A11" s="16" t="n"/>
      <c r="B11" s="16" t="n"/>
      <c r="C11" s="524" t="n">
        <v>46036</v>
      </c>
      <c r="D11" s="525" t="inlineStr">
        <is>
          <t>AN</t>
        </is>
      </c>
      <c r="E11" s="526" t="inlineStr">
        <is>
          <t>Initial (Press Release)</t>
        </is>
      </c>
      <c r="F11" s="526" t="inlineStr">
        <is>
          <t>FY2025</t>
        </is>
      </c>
      <c r="G11" s="527" t="n"/>
      <c r="H11" s="278" t="inlineStr">
        <is>
          <t>Earnings Press Release</t>
        </is>
      </c>
      <c r="I11" s="16" t="n"/>
      <c r="J11" s="16" t="n"/>
    </row>
    <row r="12" ht="14.4" customHeight="1" s="876">
      <c r="A12" s="16" t="n"/>
      <c r="B12" s="16" t="n"/>
      <c r="C12" s="524" t="n">
        <v>45975</v>
      </c>
      <c r="D12" s="525" t="inlineStr">
        <is>
          <t>AR</t>
        </is>
      </c>
      <c r="E12" s="526" t="inlineStr">
        <is>
          <t>Quarterly (Earnings Report)</t>
        </is>
      </c>
      <c r="F12" s="526" t="inlineStr">
        <is>
          <t>Q3-2025</t>
        </is>
      </c>
      <c r="G12" s="527" t="n"/>
      <c r="H12" s="281" t="inlineStr">
        <is>
          <t>Earnings Press Release</t>
        </is>
      </c>
      <c r="I12" s="16" t="n"/>
      <c r="J12" s="16" t="n"/>
    </row>
    <row r="13" ht="14.4" customHeight="1" s="876">
      <c r="A13" s="16" t="n"/>
      <c r="B13" s="16" t="n"/>
      <c r="C13" s="524" t="n">
        <v>45945</v>
      </c>
      <c r="D13" s="525" t="inlineStr">
        <is>
          <t>AA</t>
        </is>
      </c>
      <c r="E13" s="526" t="inlineStr">
        <is>
          <t>Initial (Press Release)</t>
        </is>
      </c>
      <c r="F13" s="526" t="inlineStr">
        <is>
          <t>Q3-2025</t>
        </is>
      </c>
      <c r="G13" s="527" t="n"/>
      <c r="H13" s="281" t="inlineStr">
        <is>
          <t>Earnings Press Release</t>
        </is>
      </c>
      <c r="I13" s="16" t="n"/>
      <c r="J13" s="16" t="n"/>
    </row>
    <row r="14" ht="14.4" customHeight="1" s="876">
      <c r="A14" s="16" t="n"/>
      <c r="B14" s="16" t="n"/>
      <c r="C14" s="524" t="n">
        <v>45883</v>
      </c>
      <c r="D14" s="525" t="inlineStr">
        <is>
          <t>WW</t>
        </is>
      </c>
      <c r="E14" s="526" t="inlineStr">
        <is>
          <t>Quarterly (Earnings Report)</t>
        </is>
      </c>
      <c r="F14" s="526" t="inlineStr">
        <is>
          <t>Q2-2025</t>
        </is>
      </c>
      <c r="G14" s="527" t="n"/>
      <c r="H14" s="278" t="inlineStr">
        <is>
          <t>Earnings Press Release</t>
        </is>
      </c>
      <c r="I14" s="16" t="n"/>
      <c r="J14" s="16" t="n"/>
    </row>
    <row r="15" ht="14.4" customHeight="1" s="876">
      <c r="A15" s="16" t="n"/>
      <c r="B15" s="16" t="n"/>
      <c r="C15" s="524" t="n">
        <v>45854</v>
      </c>
      <c r="D15" s="525" t="inlineStr">
        <is>
          <t>TP</t>
        </is>
      </c>
      <c r="E15" s="526" t="inlineStr">
        <is>
          <t>Initial (Press Release)</t>
        </is>
      </c>
      <c r="F15" s="526" t="inlineStr">
        <is>
          <t>Q2-2025</t>
        </is>
      </c>
      <c r="G15" s="527" t="n"/>
      <c r="H15" s="281" t="inlineStr">
        <is>
          <t>Earnings Press Release</t>
        </is>
      </c>
      <c r="I15" s="16" t="n"/>
      <c r="J15" s="16" t="n"/>
    </row>
    <row r="16" ht="14.4" customHeight="1" s="876">
      <c r="A16" s="16" t="n"/>
      <c r="B16" s="16" t="n"/>
      <c r="C16" s="524" t="n">
        <v>45792</v>
      </c>
      <c r="D16" s="525" t="inlineStr">
        <is>
          <t>ASr</t>
        </is>
      </c>
      <c r="E16" s="526" t="inlineStr">
        <is>
          <t>Quarterly (Earnings Report)</t>
        </is>
      </c>
      <c r="F16" s="526" t="inlineStr">
        <is>
          <t>Q1-2025</t>
        </is>
      </c>
      <c r="G16" s="527" t="n"/>
      <c r="H16" s="281" t="inlineStr">
        <is>
          <t>Earnings Press Release</t>
        </is>
      </c>
      <c r="I16" s="16" t="n"/>
      <c r="J16" s="16" t="n"/>
    </row>
    <row r="17" ht="14.4" customHeight="1" s="876">
      <c r="A17" s="16" t="n"/>
      <c r="B17" s="16" t="n"/>
      <c r="C17" s="524" t="n">
        <v>45763</v>
      </c>
      <c r="D17" s="525" t="inlineStr">
        <is>
          <t>TP</t>
        </is>
      </c>
      <c r="E17" s="526" t="inlineStr">
        <is>
          <t>Initial (Press Release)</t>
        </is>
      </c>
      <c r="F17" s="526" t="inlineStr">
        <is>
          <t>Q1-2025</t>
        </is>
      </c>
      <c r="G17" s="527" t="n"/>
      <c r="H17" s="281" t="inlineStr">
        <is>
          <t>Earnings Press Release</t>
        </is>
      </c>
      <c r="I17" s="16" t="n"/>
      <c r="J17" s="16" t="n"/>
    </row>
    <row r="18" ht="14.4" customHeight="1" s="876">
      <c r="A18" s="16" t="n"/>
      <c r="B18" s="16" t="n"/>
      <c r="C18" s="524" t="n">
        <v>45715</v>
      </c>
      <c r="D18" s="525" t="inlineStr">
        <is>
          <t>SH</t>
        </is>
      </c>
      <c r="E18" s="526" t="inlineStr">
        <is>
          <t>6-K</t>
        </is>
      </c>
      <c r="F18" s="526" t="inlineStr">
        <is>
          <t>FY2024</t>
        </is>
      </c>
      <c r="G18" s="527" t="n"/>
      <c r="H18" s="281" t="inlineStr">
        <is>
          <t>Earnings Press Release</t>
        </is>
      </c>
      <c r="I18" s="16" t="n"/>
      <c r="J18" s="16" t="n"/>
    </row>
    <row r="19" ht="14.4" customHeight="1" s="876">
      <c r="A19" s="16" t="n"/>
      <c r="B19" s="16" t="n"/>
      <c r="C19" s="524" t="n">
        <v>45672</v>
      </c>
      <c r="D19" s="525" t="inlineStr">
        <is>
          <t>TP</t>
        </is>
      </c>
      <c r="E19" s="526" t="inlineStr">
        <is>
          <t>Initial (Press Release)</t>
        </is>
      </c>
      <c r="F19" s="526" t="inlineStr">
        <is>
          <t>FY2024</t>
        </is>
      </c>
      <c r="G19" s="527" t="n"/>
      <c r="H19" s="278" t="inlineStr">
        <is>
          <t>Earnings Press Release</t>
        </is>
      </c>
      <c r="I19" s="16" t="n"/>
      <c r="J19" s="16" t="n"/>
    </row>
    <row r="20" ht="14.4" customHeight="1" s="876">
      <c r="A20" s="16" t="n"/>
      <c r="B20" s="16" t="n"/>
      <c r="C20" s="524" t="n">
        <v>45610</v>
      </c>
      <c r="D20" s="525" t="inlineStr">
        <is>
          <t>WW</t>
        </is>
      </c>
      <c r="E20" s="526" t="inlineStr">
        <is>
          <t>Quarterly (Earnings Report)</t>
        </is>
      </c>
      <c r="F20" s="526" t="inlineStr">
        <is>
          <t>Q3-2024</t>
        </is>
      </c>
      <c r="G20" s="527" t="n"/>
      <c r="H20" s="281" t="inlineStr">
        <is>
          <t>Earnings Press Release</t>
        </is>
      </c>
      <c r="I20" s="16" t="n"/>
      <c r="J20" s="16" t="n"/>
    </row>
    <row r="21" ht="14.4" customHeight="1" s="876">
      <c r="A21" s="16" t="n"/>
      <c r="B21" s="16" t="n"/>
      <c r="C21" s="524" t="n">
        <v>45581</v>
      </c>
      <c r="D21" s="525" t="inlineStr">
        <is>
          <t>AA</t>
        </is>
      </c>
      <c r="E21" s="526" t="inlineStr">
        <is>
          <t>Initial (Press Release)</t>
        </is>
      </c>
      <c r="F21" s="526" t="inlineStr">
        <is>
          <t>Q3-2024</t>
        </is>
      </c>
      <c r="G21" s="527" t="n"/>
      <c r="H21" s="281" t="inlineStr">
        <is>
          <t>Earnings Press Release</t>
        </is>
      </c>
      <c r="I21" s="16" t="n"/>
      <c r="J21" s="16" t="n"/>
    </row>
    <row r="22" ht="14.4" customHeight="1" s="876">
      <c r="A22" s="16" t="n"/>
      <c r="B22" s="16" t="n"/>
      <c r="C22" s="524" t="n">
        <v>45545</v>
      </c>
      <c r="D22" s="525" t="inlineStr">
        <is>
          <t>TP</t>
        </is>
      </c>
      <c r="E22" s="526" t="inlineStr">
        <is>
          <t>Quarterly (Earnings Report)</t>
        </is>
      </c>
      <c r="F22" s="526" t="inlineStr">
        <is>
          <t>Q2-2024</t>
        </is>
      </c>
      <c r="G22" s="527" t="n"/>
      <c r="H22" s="278" t="inlineStr">
        <is>
          <t>Earnings Press Release</t>
        </is>
      </c>
      <c r="I22" s="16" t="n"/>
      <c r="J22" s="16" t="n"/>
    </row>
    <row r="23" ht="14.4" customHeight="1" s="876">
      <c r="A23" s="16" t="n"/>
      <c r="B23" s="16" t="n"/>
      <c r="C23" s="524" t="n">
        <v>45491</v>
      </c>
      <c r="D23" s="525" t="inlineStr">
        <is>
          <t>TP</t>
        </is>
      </c>
      <c r="E23" s="526" t="inlineStr">
        <is>
          <t>Initial (Press Release)</t>
        </is>
      </c>
      <c r="F23" s="526" t="inlineStr">
        <is>
          <t>Q2-2024</t>
        </is>
      </c>
      <c r="G23" s="527" t="n"/>
      <c r="H23" s="281" t="inlineStr">
        <is>
          <t>Earnings Press Release</t>
        </is>
      </c>
      <c r="I23" s="16" t="n"/>
      <c r="J23" s="16" t="n"/>
    </row>
    <row r="24" ht="14.4" customHeight="1" s="876">
      <c r="A24" s="16" t="n"/>
      <c r="B24" s="16" t="n"/>
      <c r="C24" s="524" t="n">
        <v>45470</v>
      </c>
      <c r="D24" s="525" t="inlineStr">
        <is>
          <t>HZ</t>
        </is>
      </c>
      <c r="E24" s="526" t="inlineStr">
        <is>
          <t>Quarterly (Earnings Report)</t>
        </is>
      </c>
      <c r="F24" s="526" t="inlineStr">
        <is>
          <t>Q1-2024</t>
        </is>
      </c>
      <c r="G24" s="527" t="n"/>
      <c r="H24" s="281" t="inlineStr">
        <is>
          <t>Earnings Press Release</t>
        </is>
      </c>
      <c r="I24" s="16" t="n"/>
      <c r="J24" s="16" t="n"/>
    </row>
    <row r="25" ht="14.4" customHeight="1" s="876">
      <c r="A25" s="16" t="n"/>
      <c r="B25" s="16" t="n"/>
      <c r="C25" s="524" t="n">
        <v>45399</v>
      </c>
      <c r="D25" s="525" t="inlineStr">
        <is>
          <t>AW</t>
        </is>
      </c>
      <c r="E25" s="526" t="inlineStr">
        <is>
          <t>Initial (Press Release)</t>
        </is>
      </c>
      <c r="F25" s="526" t="inlineStr">
        <is>
          <t>Q1-2024</t>
        </is>
      </c>
      <c r="G25" s="527" t="n"/>
      <c r="H25" s="571" t="inlineStr">
        <is>
          <t>Earnings Press Release</t>
        </is>
      </c>
      <c r="I25" s="16" t="n"/>
      <c r="J25" s="16" t="n"/>
    </row>
    <row r="26" ht="14.4" customHeight="1" s="876">
      <c r="A26" s="16" t="n"/>
      <c r="B26" s="16" t="n"/>
      <c r="C26" s="524" t="n">
        <v>45400</v>
      </c>
      <c r="D26" s="525" t="inlineStr">
        <is>
          <t>WW</t>
        </is>
      </c>
      <c r="E26" s="526" t="inlineStr">
        <is>
          <t>20-F</t>
        </is>
      </c>
      <c r="F26" s="526" t="inlineStr">
        <is>
          <t>FY2023</t>
        </is>
      </c>
      <c r="G26" s="528" t="n"/>
      <c r="H26" s="281" t="inlineStr">
        <is>
          <t>Earnings Press Release</t>
        </is>
      </c>
      <c r="I26" s="16" t="n"/>
      <c r="J26" s="16" t="n"/>
    </row>
    <row r="27" ht="14.4" customHeight="1" s="876">
      <c r="A27" s="16" t="n"/>
      <c r="B27" s="16" t="n"/>
      <c r="C27" s="524" t="n">
        <v>45351</v>
      </c>
      <c r="D27" s="525" t="inlineStr">
        <is>
          <t>AN</t>
        </is>
      </c>
      <c r="E27" s="526" t="inlineStr">
        <is>
          <t>6-K</t>
        </is>
      </c>
      <c r="F27" s="526" t="inlineStr">
        <is>
          <t>FY2023</t>
        </is>
      </c>
      <c r="G27" s="527" t="n"/>
      <c r="H27" s="571" t="inlineStr">
        <is>
          <t>Earnings Press Release</t>
        </is>
      </c>
      <c r="I27" s="16" t="n"/>
      <c r="J27" s="16" t="n"/>
    </row>
    <row r="28" ht="14.4" customHeight="1" s="876">
      <c r="A28" s="16" t="n"/>
      <c r="B28" s="16" t="n"/>
      <c r="C28" s="524" t="n">
        <v>45309</v>
      </c>
      <c r="D28" s="525" t="inlineStr">
        <is>
          <t>TP</t>
        </is>
      </c>
      <c r="E28" s="526" t="inlineStr">
        <is>
          <t>Initial (Press Release)</t>
        </is>
      </c>
      <c r="F28" s="526" t="inlineStr">
        <is>
          <t>FY2023</t>
        </is>
      </c>
      <c r="G28" s="527" t="n"/>
      <c r="H28" s="570" t="inlineStr">
        <is>
          <t>Earnings Press Release</t>
        </is>
      </c>
      <c r="I28" s="16" t="n"/>
      <c r="J28" s="16" t="n"/>
    </row>
    <row r="29" ht="14.4" customHeight="1" s="876">
      <c r="A29" s="16" t="n"/>
      <c r="B29" s="16" t="n"/>
      <c r="C29" s="524" t="n">
        <v>45244</v>
      </c>
      <c r="D29" s="525" t="inlineStr">
        <is>
          <t>HZ</t>
        </is>
      </c>
      <c r="E29" s="526" t="inlineStr">
        <is>
          <t>Quarterly (Earnings Report)</t>
        </is>
      </c>
      <c r="F29" s="526" t="inlineStr">
        <is>
          <t>Q3-2023</t>
        </is>
      </c>
      <c r="G29" s="527" t="n"/>
      <c r="H29" s="281" t="inlineStr">
        <is>
          <t>Earnings Press Release</t>
        </is>
      </c>
      <c r="I29" s="16" t="n"/>
      <c r="J29" s="16" t="n"/>
    </row>
    <row r="30" ht="14.4" customHeight="1" s="876">
      <c r="A30" s="16" t="n"/>
      <c r="B30" s="16" t="n"/>
      <c r="C30" s="524" t="n">
        <v>45218</v>
      </c>
      <c r="D30" s="525" t="inlineStr">
        <is>
          <t>CZ</t>
        </is>
      </c>
      <c r="E30" s="526" t="inlineStr">
        <is>
          <t>Initial (Press Release)</t>
        </is>
      </c>
      <c r="F30" s="526" t="inlineStr">
        <is>
          <t>Q3-2023</t>
        </is>
      </c>
      <c r="G30" s="527" t="n"/>
      <c r="H30" s="281" t="inlineStr">
        <is>
          <t>Earnings Press Release</t>
        </is>
      </c>
      <c r="I30" s="16" t="n"/>
      <c r="J30" s="16" t="n"/>
    </row>
    <row r="31" ht="14.4" customHeight="1" s="876">
      <c r="A31" s="16" t="n"/>
      <c r="B31" s="16" t="n"/>
      <c r="C31" s="524" t="n">
        <v>45152</v>
      </c>
      <c r="D31" s="525" t="inlineStr">
        <is>
          <t>AN</t>
        </is>
      </c>
      <c r="E31" s="526" t="inlineStr">
        <is>
          <t>Quarterly (Earnings Report)</t>
        </is>
      </c>
      <c r="F31" s="526" t="inlineStr">
        <is>
          <t>Q2-2023</t>
        </is>
      </c>
      <c r="G31" s="527" t="n"/>
      <c r="H31" s="281" t="inlineStr">
        <is>
          <t>Earnings Press Release</t>
        </is>
      </c>
      <c r="I31" s="16" t="n"/>
      <c r="J31" s="16" t="n"/>
    </row>
    <row r="32" ht="14.4" customHeight="1" s="876">
      <c r="A32" s="16" t="n"/>
      <c r="B32" s="16" t="n"/>
      <c r="C32" s="524" t="n">
        <v>45127</v>
      </c>
      <c r="D32" s="525" t="inlineStr">
        <is>
          <t>TP</t>
        </is>
      </c>
      <c r="E32" s="526" t="inlineStr">
        <is>
          <t>Initial (Press Release)</t>
        </is>
      </c>
      <c r="F32" s="526" t="inlineStr">
        <is>
          <t>Q2-2023</t>
        </is>
      </c>
      <c r="G32" s="527" t="n"/>
      <c r="H32" s="281" t="inlineStr">
        <is>
          <t>Earnings Press Release</t>
        </is>
      </c>
      <c r="I32" s="16" t="n"/>
      <c r="J32" s="16" t="n"/>
    </row>
    <row r="33" ht="14.4" customHeight="1" s="876">
      <c r="A33" s="16" t="n"/>
      <c r="B33" s="16" t="n"/>
      <c r="C33" s="524" t="n">
        <v>45058</v>
      </c>
      <c r="D33" s="525" t="inlineStr">
        <is>
          <t>BL</t>
        </is>
      </c>
      <c r="E33" s="526" t="inlineStr">
        <is>
          <t>Quarterly (Earnings Report)</t>
        </is>
      </c>
      <c r="F33" s="526" t="inlineStr">
        <is>
          <t>Q1-2023</t>
        </is>
      </c>
      <c r="G33" s="527" t="n"/>
      <c r="H33" s="281" t="inlineStr">
        <is>
          <t>Earnings Press Release</t>
        </is>
      </c>
      <c r="I33" s="16" t="n"/>
      <c r="J33" s="16" t="n"/>
    </row>
    <row r="34" ht="14.4" customHeight="1" s="876">
      <c r="A34" s="16" t="n"/>
      <c r="B34" s="16" t="n"/>
      <c r="C34" s="524" t="n">
        <v>45036</v>
      </c>
      <c r="D34" s="525" t="inlineStr">
        <is>
          <t>MP</t>
        </is>
      </c>
      <c r="E34" s="526" t="inlineStr">
        <is>
          <t>Initial (Press Release)</t>
        </is>
      </c>
      <c r="F34" s="526" t="inlineStr">
        <is>
          <t>Q1-2023</t>
        </is>
      </c>
      <c r="G34" s="527" t="n"/>
      <c r="H34" s="454" t="inlineStr">
        <is>
          <t>Earnings Press Release</t>
        </is>
      </c>
      <c r="I34" s="16" t="n"/>
      <c r="J34" s="16" t="n"/>
    </row>
    <row r="35" ht="14.4" customHeight="1" s="876">
      <c r="A35" s="16" t="n"/>
      <c r="B35" s="16" t="n"/>
      <c r="C35" s="524" t="n">
        <v>45036</v>
      </c>
      <c r="D35" s="525" t="inlineStr">
        <is>
          <t>DY</t>
        </is>
      </c>
      <c r="E35" s="526" t="inlineStr">
        <is>
          <t>20-F</t>
        </is>
      </c>
      <c r="F35" s="526" t="inlineStr">
        <is>
          <t>FY2022</t>
        </is>
      </c>
      <c r="G35" s="528" t="n"/>
      <c r="H35" s="281" t="inlineStr">
        <is>
          <t>Earnings Press Release</t>
        </is>
      </c>
      <c r="I35" s="16" t="n"/>
      <c r="J35" s="16" t="n"/>
    </row>
    <row r="36" ht="14.4" customHeight="1" s="876">
      <c r="A36" s="16" t="n"/>
      <c r="B36" s="16" t="n"/>
      <c r="C36" s="524" t="n">
        <v>44981</v>
      </c>
      <c r="D36" s="525" t="inlineStr">
        <is>
          <t>DY</t>
        </is>
      </c>
      <c r="E36" s="526" t="inlineStr">
        <is>
          <t>6-K</t>
        </is>
      </c>
      <c r="F36" s="526" t="inlineStr">
        <is>
          <t>FY2022</t>
        </is>
      </c>
      <c r="G36" s="527" t="n"/>
      <c r="H36" s="281" t="inlineStr">
        <is>
          <t>Earnings Press Release</t>
        </is>
      </c>
      <c r="I36" s="16" t="n"/>
      <c r="J36" s="16" t="n"/>
    </row>
    <row r="37" ht="14.4" customHeight="1" s="876">
      <c r="A37" s="16" t="n"/>
      <c r="B37" s="16" t="n"/>
      <c r="C37" s="524" t="n">
        <v>44937</v>
      </c>
      <c r="D37" s="525" t="inlineStr">
        <is>
          <t>CZ</t>
        </is>
      </c>
      <c r="E37" s="526" t="inlineStr">
        <is>
          <t>Initial (Press Release)</t>
        </is>
      </c>
      <c r="F37" s="526" t="inlineStr">
        <is>
          <t>FY2022</t>
        </is>
      </c>
      <c r="G37" s="527" t="n"/>
      <c r="H37" s="281" t="inlineStr">
        <is>
          <t>Earnings Press Release</t>
        </is>
      </c>
      <c r="I37" s="16" t="n"/>
      <c r="J37" s="16" t="n"/>
    </row>
    <row r="38" ht="14.4" customHeight="1" s="876">
      <c r="A38" s="16" t="n"/>
      <c r="B38" s="16" t="n"/>
      <c r="C38" s="524" t="n">
        <v>44880</v>
      </c>
      <c r="D38" s="525" t="inlineStr">
        <is>
          <t>BL</t>
        </is>
      </c>
      <c r="E38" s="526" t="inlineStr">
        <is>
          <t>Quarterly (Earnings Report)</t>
        </is>
      </c>
      <c r="F38" s="526" t="inlineStr">
        <is>
          <t>Q3-2022</t>
        </is>
      </c>
      <c r="G38" s="527" t="n"/>
      <c r="H38" s="278" t="inlineStr">
        <is>
          <t>Earnings Press Release</t>
        </is>
      </c>
      <c r="I38" s="16" t="n"/>
      <c r="J38" s="16" t="n"/>
    </row>
    <row r="39" ht="14.4" customHeight="1" s="876">
      <c r="A39" s="16" t="n"/>
      <c r="B39" s="16" t="n"/>
      <c r="C39" s="524" t="n">
        <v>44846</v>
      </c>
      <c r="D39" s="525" t="inlineStr">
        <is>
          <t>TP</t>
        </is>
      </c>
      <c r="E39" s="526" t="inlineStr">
        <is>
          <t>Initial (Press Release)</t>
        </is>
      </c>
      <c r="F39" s="526" t="inlineStr">
        <is>
          <t>Q3-2022</t>
        </is>
      </c>
      <c r="G39" s="527" t="n"/>
      <c r="H39" s="281" t="inlineStr">
        <is>
          <t>Earnings Press Release</t>
        </is>
      </c>
      <c r="I39" s="16" t="n"/>
      <c r="J39" s="16" t="n"/>
    </row>
    <row r="40" ht="14.4" customHeight="1" s="876">
      <c r="A40" s="16" t="n"/>
      <c r="B40" s="16" t="n"/>
      <c r="C40" s="524" t="n">
        <v>44791</v>
      </c>
      <c r="D40" s="525" t="inlineStr">
        <is>
          <t>BL</t>
        </is>
      </c>
      <c r="E40" s="526" t="inlineStr">
        <is>
          <t>Quarterly (Earnings Report)</t>
        </is>
      </c>
      <c r="F40" s="526" t="inlineStr">
        <is>
          <t>Q2-2022</t>
        </is>
      </c>
      <c r="G40" s="527" t="n"/>
      <c r="H40" s="281" t="inlineStr">
        <is>
          <t>Earnings Press Release</t>
        </is>
      </c>
      <c r="I40" s="16" t="n"/>
      <c r="J40" s="16" t="n"/>
    </row>
    <row r="41" ht="14.4" customHeight="1" s="876">
      <c r="A41" s="16" t="n"/>
      <c r="B41" s="16" t="n"/>
      <c r="C41" s="524" t="n">
        <v>44756</v>
      </c>
      <c r="D41" s="525" t="inlineStr">
        <is>
          <t>AK</t>
        </is>
      </c>
      <c r="E41" s="526" t="inlineStr">
        <is>
          <t>Initial (Press Release)</t>
        </is>
      </c>
      <c r="F41" s="526" t="inlineStr">
        <is>
          <t>Q2-2022</t>
        </is>
      </c>
      <c r="G41" s="527" t="n"/>
      <c r="H41" s="281" t="inlineStr">
        <is>
          <t>Earnings Press Release</t>
        </is>
      </c>
      <c r="I41" s="16" t="n"/>
      <c r="J41" s="16" t="n"/>
    </row>
    <row r="42" ht="14.4" customHeight="1" s="876">
      <c r="A42" s="16" t="n"/>
      <c r="B42" s="16" t="n"/>
      <c r="C42" s="524" t="n">
        <v>44699</v>
      </c>
      <c r="D42" s="525" t="inlineStr">
        <is>
          <t>EC</t>
        </is>
      </c>
      <c r="E42" s="526" t="inlineStr">
        <is>
          <t>Quarterly (Earnings Report)</t>
        </is>
      </c>
      <c r="F42" s="526" t="inlineStr">
        <is>
          <t>Q1-2022</t>
        </is>
      </c>
      <c r="G42" s="527" t="n"/>
      <c r="H42" s="281" t="inlineStr">
        <is>
          <t>Earnings Press Release</t>
        </is>
      </c>
      <c r="I42" s="16" t="n"/>
      <c r="J42" s="16" t="n"/>
    </row>
    <row r="43" ht="14.4" customHeight="1" s="876">
      <c r="A43" s="16" t="n"/>
      <c r="B43" s="16" t="n"/>
      <c r="C43" s="524" t="n">
        <v>44665</v>
      </c>
      <c r="D43" s="525" t="inlineStr">
        <is>
          <t>AK</t>
        </is>
      </c>
      <c r="E43" s="526" t="inlineStr">
        <is>
          <t>Initial (Press Release)</t>
        </is>
      </c>
      <c r="F43" s="526" t="inlineStr">
        <is>
          <t>Q1-2022</t>
        </is>
      </c>
      <c r="G43" s="527" t="n"/>
      <c r="H43" s="281" t="inlineStr">
        <is>
          <t>Earnings Press Release</t>
        </is>
      </c>
      <c r="I43" s="16" t="n"/>
      <c r="J43" s="16" t="n"/>
    </row>
    <row r="44" ht="14.4" customHeight="1" s="876">
      <c r="A44" s="16" t="n"/>
      <c r="B44" s="16" t="n"/>
      <c r="C44" s="524" t="n">
        <v>44620</v>
      </c>
      <c r="D44" s="525" t="inlineStr">
        <is>
          <t>TP</t>
        </is>
      </c>
      <c r="E44" s="526" t="inlineStr">
        <is>
          <t>Initial (Press Release)</t>
        </is>
      </c>
      <c r="F44" s="526" t="inlineStr">
        <is>
          <t>FY2021</t>
        </is>
      </c>
      <c r="G44" s="527" t="n"/>
      <c r="H44" s="281" t="inlineStr">
        <is>
          <t>Earnings Press Release</t>
        </is>
      </c>
      <c r="I44" s="16" t="n"/>
      <c r="J44" s="16" t="n"/>
    </row>
    <row r="45" ht="14.4" customHeight="1" s="876">
      <c r="A45" s="16" t="n"/>
      <c r="B45" s="16" t="n"/>
      <c r="C45" s="524" t="n">
        <v>44573</v>
      </c>
      <c r="D45" s="525" t="inlineStr">
        <is>
          <t>AW</t>
        </is>
      </c>
      <c r="E45" s="526" t="inlineStr">
        <is>
          <t>Initial (Press Release)</t>
        </is>
      </c>
      <c r="F45" s="526" t="inlineStr">
        <is>
          <t>FY2021</t>
        </is>
      </c>
      <c r="G45" s="527" t="n"/>
      <c r="H45" s="454" t="inlineStr">
        <is>
          <t>Earnings Press Release</t>
        </is>
      </c>
      <c r="I45" s="16" t="n"/>
      <c r="J45" s="16" t="n"/>
    </row>
    <row r="46" ht="14.4" customHeight="1" s="876">
      <c r="A46" s="16" t="n"/>
      <c r="B46" s="16" t="n"/>
      <c r="C46" s="524" t="n">
        <v>44524</v>
      </c>
      <c r="D46" s="525" t="inlineStr">
        <is>
          <t>DH</t>
        </is>
      </c>
      <c r="E46" s="526" t="inlineStr">
        <is>
          <t>Quarterly (Earnings Report)</t>
        </is>
      </c>
      <c r="F46" s="526" t="inlineStr">
        <is>
          <t>Q3-2021</t>
        </is>
      </c>
      <c r="G46" s="527" t="n"/>
      <c r="H46" s="281" t="inlineStr">
        <is>
          <t>Earnings Press Release</t>
        </is>
      </c>
      <c r="I46" s="16" t="n"/>
      <c r="J46" s="16" t="n"/>
    </row>
    <row r="47" ht="14.4" customHeight="1" s="876">
      <c r="A47" s="16" t="n"/>
      <c r="B47" s="16" t="n"/>
      <c r="C47" s="524" t="n">
        <v>44483</v>
      </c>
      <c r="D47" s="525" t="inlineStr">
        <is>
          <t>TP</t>
        </is>
      </c>
      <c r="E47" s="526" t="inlineStr">
        <is>
          <t>Initial (Press Release)</t>
        </is>
      </c>
      <c r="F47" s="526" t="inlineStr">
        <is>
          <t>Q3-2021</t>
        </is>
      </c>
      <c r="G47" s="527" t="n"/>
      <c r="H47" s="281" t="inlineStr">
        <is>
          <t>Earnings Press Release</t>
        </is>
      </c>
      <c r="I47" s="16" t="n"/>
      <c r="J47" s="16" t="n"/>
    </row>
    <row r="48" ht="14.4" customHeight="1" s="876">
      <c r="A48" s="16" t="n"/>
      <c r="B48" s="16" t="n"/>
      <c r="C48" s="524" t="n">
        <v>44427</v>
      </c>
      <c r="D48" s="525" t="inlineStr">
        <is>
          <t>AW</t>
        </is>
      </c>
      <c r="E48" s="526" t="inlineStr">
        <is>
          <t>Quarterly (Earnings Report)</t>
        </is>
      </c>
      <c r="F48" s="526" t="inlineStr">
        <is>
          <t>Q2-2021</t>
        </is>
      </c>
      <c r="G48" s="527" t="n"/>
      <c r="H48" s="281" t="inlineStr">
        <is>
          <t>Earnings Press Release</t>
        </is>
      </c>
      <c r="I48" s="16" t="n"/>
      <c r="J48" s="16" t="n"/>
    </row>
    <row r="49" ht="14.4" customHeight="1" s="876">
      <c r="A49" s="16" t="n"/>
      <c r="B49" s="16" t="n"/>
      <c r="C49" s="524" t="n">
        <v>44391</v>
      </c>
      <c r="D49" s="525" t="inlineStr">
        <is>
          <t>AW</t>
        </is>
      </c>
      <c r="E49" s="526" t="inlineStr">
        <is>
          <t>Initial (Press Release)</t>
        </is>
      </c>
      <c r="F49" s="526" t="inlineStr">
        <is>
          <t>Q2-2021</t>
        </is>
      </c>
      <c r="G49" s="527" t="n"/>
      <c r="H49" s="454" t="inlineStr">
        <is>
          <t>Earnings Press Release</t>
        </is>
      </c>
      <c r="I49" s="16" t="n"/>
      <c r="J49" s="16" t="n"/>
    </row>
    <row r="50" ht="14.4" customHeight="1" s="876">
      <c r="A50" s="16" t="n"/>
      <c r="B50" s="16" t="n"/>
      <c r="C50" s="524" t="n">
        <v>44333</v>
      </c>
      <c r="D50" s="525" t="inlineStr">
        <is>
          <t>TP</t>
        </is>
      </c>
      <c r="E50" s="526" t="inlineStr">
        <is>
          <t>Quarterly (Earnings Report)</t>
        </is>
      </c>
      <c r="F50" s="526" t="inlineStr">
        <is>
          <t>Q1-2021</t>
        </is>
      </c>
      <c r="G50" s="527" t="n"/>
      <c r="H50" s="281" t="inlineStr">
        <is>
          <t>Earnings Press Release</t>
        </is>
      </c>
      <c r="I50" s="16" t="n"/>
      <c r="J50" s="16" t="n"/>
    </row>
    <row r="51" ht="14.4" customHeight="1" s="876">
      <c r="A51" s="16" t="n"/>
      <c r="B51" s="16" t="n"/>
      <c r="C51" s="524" t="n">
        <v>44300</v>
      </c>
      <c r="D51" s="525" t="inlineStr">
        <is>
          <t>AW</t>
        </is>
      </c>
      <c r="E51" s="526" t="inlineStr">
        <is>
          <t>Initial (Press Release)</t>
        </is>
      </c>
      <c r="F51" s="526" t="inlineStr">
        <is>
          <t>Q1-2021</t>
        </is>
      </c>
      <c r="G51" s="527" t="n"/>
      <c r="H51" s="454" t="inlineStr">
        <is>
          <t>Earnings Press Release</t>
        </is>
      </c>
      <c r="I51" s="16" t="n"/>
      <c r="J51" s="16" t="n"/>
    </row>
    <row r="52" ht="14.4" customHeight="1" s="876">
      <c r="A52" s="16" t="n"/>
      <c r="B52" s="16" t="n"/>
      <c r="C52" s="524" t="n">
        <v>44300</v>
      </c>
      <c r="D52" s="525" t="inlineStr">
        <is>
          <t>AW</t>
        </is>
      </c>
      <c r="E52" s="526" t="inlineStr">
        <is>
          <t>Annual (Earnings Report)</t>
        </is>
      </c>
      <c r="F52" s="526" t="inlineStr">
        <is>
          <t>FY2020</t>
        </is>
      </c>
      <c r="G52" s="527" t="n"/>
      <c r="H52" s="281" t="inlineStr">
        <is>
          <t>Earnings Press Release</t>
        </is>
      </c>
      <c r="I52" s="16" t="n"/>
      <c r="J52" s="16" t="n"/>
    </row>
    <row r="53" ht="14.4" customHeight="1" s="876">
      <c r="A53" s="16" t="n"/>
      <c r="B53" s="16" t="n"/>
      <c r="C53" s="524" t="n">
        <v>44210</v>
      </c>
      <c r="D53" s="525" t="inlineStr">
        <is>
          <t>AW</t>
        </is>
      </c>
      <c r="E53" s="526" t="inlineStr">
        <is>
          <t>Initial (Press Release)</t>
        </is>
      </c>
      <c r="F53" s="526" t="inlineStr">
        <is>
          <t>FY2020</t>
        </is>
      </c>
      <c r="G53" s="527" t="n"/>
      <c r="H53" s="454" t="inlineStr">
        <is>
          <t>Earnings Press Release</t>
        </is>
      </c>
      <c r="I53" s="16" t="n"/>
      <c r="J53" s="16" t="n"/>
    </row>
    <row r="54" ht="14.4" customHeight="1" s="876">
      <c r="A54" s="16" t="n"/>
      <c r="B54" s="16" t="n"/>
      <c r="C54" s="524" t="n">
        <v>44210</v>
      </c>
      <c r="D54" s="525" t="inlineStr">
        <is>
          <t>AW</t>
        </is>
      </c>
      <c r="E54" s="526" t="inlineStr">
        <is>
          <t>Quarterly (Earnings Report)</t>
        </is>
      </c>
      <c r="F54" s="526" t="inlineStr">
        <is>
          <t>Q3-2020</t>
        </is>
      </c>
      <c r="G54" s="528" t="n"/>
      <c r="H54" s="281" t="inlineStr">
        <is>
          <t>Earnings Press Release</t>
        </is>
      </c>
      <c r="I54" s="16" t="n"/>
      <c r="J54" s="16" t="n"/>
    </row>
    <row r="55" ht="14.4" customHeight="1" s="876">
      <c r="A55" s="16" t="n"/>
      <c r="B55" s="16" t="n"/>
      <c r="C55" s="524" t="n">
        <v>44119</v>
      </c>
      <c r="D55" s="525" t="inlineStr">
        <is>
          <t>KZZH</t>
        </is>
      </c>
      <c r="E55" s="526" t="inlineStr">
        <is>
          <t>Initial (Press Release)</t>
        </is>
      </c>
      <c r="F55" s="526" t="inlineStr">
        <is>
          <t>Q3-2020</t>
        </is>
      </c>
      <c r="G55" s="527" t="n"/>
      <c r="H55" s="281" t="inlineStr">
        <is>
          <t>Earnings Press Release</t>
        </is>
      </c>
      <c r="I55" s="16" t="n"/>
      <c r="J55" s="16" t="n"/>
    </row>
    <row r="56" ht="14.4" customHeight="1" s="876">
      <c r="A56" s="16" t="n"/>
      <c r="B56" s="16" t="n"/>
      <c r="C56" s="524" t="n">
        <v>44119</v>
      </c>
      <c r="D56" s="525" t="inlineStr">
        <is>
          <t>HS</t>
        </is>
      </c>
      <c r="E56" s="526" t="inlineStr">
        <is>
          <t>Quarterly (Earnings Report)</t>
        </is>
      </c>
      <c r="F56" s="526" t="inlineStr">
        <is>
          <t>Q2-2020</t>
        </is>
      </c>
      <c r="G56" s="527" t="n"/>
      <c r="H56" s="281" t="inlineStr">
        <is>
          <t>Earnings Press Release</t>
        </is>
      </c>
      <c r="I56" s="16" t="n"/>
      <c r="J56" s="16" t="n"/>
    </row>
    <row r="57" ht="14.4" customHeight="1" s="876">
      <c r="A57" s="16" t="n"/>
      <c r="B57" s="16" t="n"/>
      <c r="C57" s="524" t="n">
        <v>44028</v>
      </c>
      <c r="D57" s="525" t="inlineStr">
        <is>
          <t>KZZH</t>
        </is>
      </c>
      <c r="E57" s="526" t="inlineStr">
        <is>
          <t>Initial (Press Release)</t>
        </is>
      </c>
      <c r="F57" s="526" t="inlineStr">
        <is>
          <t>Q2-2020</t>
        </is>
      </c>
      <c r="G57" s="527" t="n"/>
      <c r="H57" s="281" t="inlineStr">
        <is>
          <t>Earnings Press Release</t>
        </is>
      </c>
      <c r="I57" s="16" t="n"/>
      <c r="J57" s="16" t="n"/>
    </row>
    <row r="58" ht="14.4" customHeight="1" s="876">
      <c r="A58" s="16" t="n"/>
      <c r="B58" s="16" t="n"/>
      <c r="C58" s="524" t="n">
        <v>44005</v>
      </c>
      <c r="D58" s="525" t="inlineStr">
        <is>
          <t>AP</t>
        </is>
      </c>
      <c r="E58" s="526" t="inlineStr">
        <is>
          <t>Quarterly (Earnings Report)</t>
        </is>
      </c>
      <c r="F58" s="526" t="inlineStr">
        <is>
          <t>Q1-2020</t>
        </is>
      </c>
      <c r="G58" s="527" t="n"/>
      <c r="H58" s="281" t="inlineStr">
        <is>
          <t>Earnings Press Release</t>
        </is>
      </c>
      <c r="I58" s="16" t="n"/>
      <c r="J58" s="16" t="n"/>
    </row>
    <row r="59" ht="14.4" customHeight="1" s="876">
      <c r="A59" s="16" t="n"/>
      <c r="B59" s="16" t="n"/>
      <c r="C59" s="524" t="n">
        <v>43937</v>
      </c>
      <c r="D59" s="525" t="inlineStr">
        <is>
          <t>AW</t>
        </is>
      </c>
      <c r="E59" s="526" t="inlineStr">
        <is>
          <t>Initial (Press Release)</t>
        </is>
      </c>
      <c r="F59" s="526" t="inlineStr">
        <is>
          <t>Q1-2020</t>
        </is>
      </c>
      <c r="G59" s="527" t="n"/>
      <c r="H59" s="454" t="inlineStr">
        <is>
          <t>Earnings Press Release</t>
        </is>
      </c>
      <c r="I59" s="16" t="n"/>
      <c r="J59" s="16" t="n"/>
    </row>
    <row r="60" ht="14.4" customHeight="1" s="876">
      <c r="A60" s="16" t="n"/>
      <c r="B60" s="16" t="n"/>
      <c r="C60" s="524" t="n">
        <v>43937</v>
      </c>
      <c r="D60" s="525" t="inlineStr">
        <is>
          <t>AW</t>
        </is>
      </c>
      <c r="E60" s="526" t="inlineStr">
        <is>
          <t>Annual (Earnings Report)</t>
        </is>
      </c>
      <c r="F60" s="526" t="inlineStr">
        <is>
          <t>FY2019</t>
        </is>
      </c>
      <c r="G60" s="529" t="n"/>
      <c r="H60" s="281" t="inlineStr">
        <is>
          <t>Earnings Press Release</t>
        </is>
      </c>
      <c r="I60" s="16" t="n"/>
      <c r="J60" s="16" t="n"/>
    </row>
    <row r="61" ht="14.4" customHeight="1" s="876">
      <c r="A61" s="16" t="n"/>
      <c r="B61" s="16" t="n"/>
      <c r="C61" s="524" t="n">
        <v>43894</v>
      </c>
      <c r="D61" s="525" t="inlineStr">
        <is>
          <t>LZ</t>
        </is>
      </c>
      <c r="E61" s="526" t="inlineStr">
        <is>
          <t>Annual (Earnings Report)</t>
        </is>
      </c>
      <c r="F61" s="526" t="inlineStr">
        <is>
          <t>FY2019</t>
        </is>
      </c>
      <c r="G61" s="529" t="n"/>
      <c r="H61" s="278" t="inlineStr">
        <is>
          <t>Earnings Press Release</t>
        </is>
      </c>
      <c r="I61" s="16" t="n"/>
      <c r="J61" s="16" t="n"/>
    </row>
    <row r="62" ht="14.4" customHeight="1" s="876">
      <c r="A62" s="16" t="n"/>
      <c r="B62" s="16" t="n"/>
      <c r="C62" s="524" t="n">
        <v>43846</v>
      </c>
      <c r="D62" s="525" t="inlineStr">
        <is>
          <t>AK</t>
        </is>
      </c>
      <c r="E62" s="526" t="inlineStr">
        <is>
          <t>Initial (Press Release)</t>
        </is>
      </c>
      <c r="F62" s="526" t="inlineStr">
        <is>
          <t>FY2019</t>
        </is>
      </c>
      <c r="G62" s="529" t="n"/>
      <c r="H62" s="454" t="inlineStr">
        <is>
          <t>Earnings Press Release</t>
        </is>
      </c>
      <c r="I62" s="16" t="n"/>
      <c r="J62" s="16" t="n"/>
    </row>
    <row r="63" ht="14.4" customHeight="1" s="876">
      <c r="A63" s="16" t="n"/>
      <c r="B63" s="16" t="n"/>
      <c r="C63" s="524" t="n">
        <v>43784</v>
      </c>
      <c r="D63" s="525" t="inlineStr">
        <is>
          <t>WC</t>
        </is>
      </c>
      <c r="E63" s="526" t="inlineStr">
        <is>
          <t>Quarterly (Earnings Report)</t>
        </is>
      </c>
      <c r="F63" s="526" t="inlineStr">
        <is>
          <t>Q3-2019</t>
        </is>
      </c>
      <c r="G63" s="529" t="n"/>
      <c r="H63" s="530" t="inlineStr">
        <is>
          <t>Earnings Press Release</t>
        </is>
      </c>
      <c r="I63" s="16" t="n"/>
      <c r="J63" s="16" t="n"/>
    </row>
    <row r="64" ht="14.4" customHeight="1" s="876">
      <c r="A64" s="16" t="n"/>
      <c r="B64" s="16" t="n"/>
      <c r="C64" s="524" t="n">
        <v>43755</v>
      </c>
      <c r="D64" s="525" t="inlineStr">
        <is>
          <t>WC AP</t>
        </is>
      </c>
      <c r="E64" s="526" t="inlineStr">
        <is>
          <t>Initial (Press Release)</t>
        </is>
      </c>
      <c r="F64" s="526" t="inlineStr">
        <is>
          <t>Q3-2019</t>
        </is>
      </c>
      <c r="G64" s="529" t="n"/>
      <c r="H64" s="530" t="inlineStr">
        <is>
          <t>Earnings Press Release</t>
        </is>
      </c>
      <c r="I64" s="16" t="n"/>
      <c r="J64" s="16" t="n"/>
    </row>
    <row r="65" ht="14.4" customHeight="1" s="876">
      <c r="A65" s="16" t="n"/>
      <c r="B65" s="16" t="n"/>
      <c r="C65" s="531" t="n">
        <v>43693</v>
      </c>
      <c r="D65" s="532" t="inlineStr">
        <is>
          <t>WC</t>
        </is>
      </c>
      <c r="E65" s="533" t="inlineStr">
        <is>
          <t>Quarterly (Earnings Report)</t>
        </is>
      </c>
      <c r="F65" s="533" t="inlineStr">
        <is>
          <t>Q2-2019</t>
        </is>
      </c>
      <c r="G65" s="534" t="n"/>
      <c r="H65" s="535" t="inlineStr">
        <is>
          <t>Earnings Press Release</t>
        </is>
      </c>
      <c r="I65" s="16" t="n"/>
      <c r="J65" s="16" t="n"/>
    </row>
    <row r="66" ht="14.4" customHeight="1" s="876">
      <c r="A66" s="16" t="n"/>
      <c r="B66" s="16" t="n"/>
      <c r="C66" s="536" t="n">
        <v>43664</v>
      </c>
      <c r="D66" s="537" t="inlineStr">
        <is>
          <t>WC</t>
        </is>
      </c>
      <c r="E66" s="533" t="inlineStr">
        <is>
          <t>Initial (Press Release)</t>
        </is>
      </c>
      <c r="F66" s="533" t="inlineStr">
        <is>
          <t>Q2-2019</t>
        </is>
      </c>
      <c r="G66" s="534" t="n"/>
      <c r="H66" s="535" t="inlineStr">
        <is>
          <t>Earnings Press Release</t>
        </is>
      </c>
      <c r="I66" s="16" t="n"/>
      <c r="J66" s="16" t="n"/>
    </row>
    <row r="67" ht="14.4" customHeight="1" s="876">
      <c r="A67" s="16" t="n"/>
      <c r="B67" s="16" t="n"/>
      <c r="C67" s="536" t="n">
        <v>43648</v>
      </c>
      <c r="D67" s="537" t="inlineStr">
        <is>
          <t>WC</t>
        </is>
      </c>
      <c r="E67" s="533" t="inlineStr">
        <is>
          <t>Quarterly (Earnings Report)</t>
        </is>
      </c>
      <c r="F67" s="533" t="inlineStr">
        <is>
          <t>Q1-2019</t>
        </is>
      </c>
      <c r="G67" s="534" t="n"/>
      <c r="H67" s="538" t="inlineStr">
        <is>
          <t>Earnings Press Release</t>
        </is>
      </c>
      <c r="I67" s="16" t="n"/>
      <c r="J67" s="16" t="n"/>
    </row>
    <row r="68" ht="14.4" customHeight="1" s="876">
      <c r="A68" s="16" t="n"/>
      <c r="B68" s="16" t="n"/>
      <c r="C68" s="536" t="n">
        <v>43573</v>
      </c>
      <c r="D68" s="537" t="inlineStr">
        <is>
          <t>WC</t>
        </is>
      </c>
      <c r="E68" s="533" t="inlineStr">
        <is>
          <t>Model Improvement</t>
        </is>
      </c>
      <c r="F68" s="533" t="inlineStr">
        <is>
          <t>Q1-2019</t>
        </is>
      </c>
      <c r="G68" s="534" t="inlineStr">
        <is>
          <t>Resegmentation &amp; redrive</t>
        </is>
      </c>
      <c r="H68" s="538" t="n"/>
      <c r="I68" s="16" t="n"/>
      <c r="J68" s="16" t="n"/>
    </row>
    <row r="69" ht="14.4" customHeight="1" s="876">
      <c r="A69" s="16" t="n"/>
      <c r="B69" s="16" t="n"/>
      <c r="C69" s="536" t="n">
        <v>43573</v>
      </c>
      <c r="D69" s="537" t="inlineStr">
        <is>
          <t>AH</t>
        </is>
      </c>
      <c r="E69" s="533" t="inlineStr">
        <is>
          <t>Initial (Press Release)</t>
        </is>
      </c>
      <c r="F69" s="533" t="inlineStr">
        <is>
          <t>Q1-2019</t>
        </is>
      </c>
      <c r="G69" s="534" t="n"/>
      <c r="H69" s="538" t="inlineStr">
        <is>
          <t>Earnings Press Release</t>
        </is>
      </c>
      <c r="I69" s="16" t="n"/>
      <c r="J69" s="16" t="n"/>
    </row>
    <row r="70" ht="14.4" customHeight="1" s="876">
      <c r="A70" s="16" t="n"/>
      <c r="B70" s="16" t="n"/>
      <c r="C70" s="536" t="n">
        <v>43572</v>
      </c>
      <c r="D70" s="537" t="inlineStr">
        <is>
          <t>WC</t>
        </is>
      </c>
      <c r="E70" s="533" t="inlineStr">
        <is>
          <t>Annual (Earnings Report)</t>
        </is>
      </c>
      <c r="F70" s="533" t="inlineStr">
        <is>
          <t>FY2018</t>
        </is>
      </c>
      <c r="G70" s="534" t="n"/>
      <c r="H70" s="535" t="inlineStr">
        <is>
          <t>Earnings Press Release</t>
        </is>
      </c>
      <c r="I70" s="16" t="n"/>
      <c r="J70" s="16" t="n"/>
    </row>
    <row r="71" ht="14.4" customHeight="1" s="876">
      <c r="A71" s="16" t="n"/>
      <c r="B71" s="16" t="n"/>
      <c r="C71" s="536" t="n">
        <v>43441</v>
      </c>
      <c r="D71" s="537" t="inlineStr">
        <is>
          <t>RL</t>
        </is>
      </c>
      <c r="E71" s="533" t="inlineStr">
        <is>
          <t>WC Project</t>
        </is>
      </c>
      <c r="F71" s="533" t="inlineStr">
        <is>
          <t>Q3-2018</t>
        </is>
      </c>
      <c r="G71" s="534" t="n"/>
      <c r="H71" s="539" t="n"/>
      <c r="I71" s="16" t="n"/>
      <c r="J71" s="16" t="n"/>
    </row>
    <row r="72" ht="14.4" customHeight="1" s="876">
      <c r="A72" s="16" t="n"/>
      <c r="B72" s="16" t="n"/>
      <c r="C72" s="536" t="n">
        <v>43418</v>
      </c>
      <c r="D72" s="537" t="inlineStr">
        <is>
          <t>HS FL</t>
        </is>
      </c>
      <c r="E72" s="533" t="inlineStr">
        <is>
          <t>Quarterly (Earnings Report)</t>
        </is>
      </c>
      <c r="F72" s="533" t="inlineStr">
        <is>
          <t>Q3-2018</t>
        </is>
      </c>
      <c r="G72" s="534" t="n"/>
      <c r="H72" s="539" t="inlineStr">
        <is>
          <t>Earnings Press Release</t>
        </is>
      </c>
      <c r="I72" s="16" t="n"/>
      <c r="J72" s="16" t="n"/>
    </row>
    <row r="73" ht="14.4" customHeight="1" s="876">
      <c r="A73" s="16" t="n"/>
      <c r="B73" s="16" t="n"/>
      <c r="C73" s="536" t="n">
        <v>43329</v>
      </c>
      <c r="D73" s="537" t="inlineStr">
        <is>
          <t>RG AY</t>
        </is>
      </c>
      <c r="E73" s="533" t="inlineStr">
        <is>
          <t>Quarterly (Earnings Report)</t>
        </is>
      </c>
      <c r="F73" s="533" t="inlineStr">
        <is>
          <t>Q2-2018</t>
        </is>
      </c>
      <c r="G73" s="534" t="n"/>
      <c r="H73" s="539" t="inlineStr">
        <is>
          <t>Earnings Press Release</t>
        </is>
      </c>
      <c r="I73" s="16" t="n"/>
      <c r="J73" s="16" t="n"/>
    </row>
    <row r="74" ht="14.4" customHeight="1" s="876">
      <c r="A74" s="16" t="n"/>
      <c r="B74" s="16" t="n"/>
      <c r="C74" s="540" t="n">
        <v>43227</v>
      </c>
      <c r="D74" s="541" t="inlineStr">
        <is>
          <t>RG AlyD</t>
        </is>
      </c>
      <c r="E74" s="542" t="inlineStr">
        <is>
          <t>Quarterly (Earnings Report)</t>
        </is>
      </c>
      <c r="F74" s="542" t="inlineStr">
        <is>
          <t>Q1-2018</t>
        </is>
      </c>
      <c r="G74" s="527" t="n"/>
      <c r="H74" s="543" t="inlineStr">
        <is>
          <t>Earnings Press Release</t>
        </is>
      </c>
      <c r="I74" s="16" t="n"/>
      <c r="J74" s="16" t="n"/>
    </row>
    <row r="75" ht="14.4" customHeight="1" s="876">
      <c r="A75" s="16" t="n"/>
      <c r="B75" s="16" t="n"/>
      <c r="C75" s="524" t="n">
        <v>43209</v>
      </c>
      <c r="D75" s="525" t="inlineStr">
        <is>
          <t>AB VT</t>
        </is>
      </c>
      <c r="E75" s="526" t="inlineStr">
        <is>
          <t>Annual (Earnings Report)</t>
        </is>
      </c>
      <c r="F75" s="526" t="inlineStr">
        <is>
          <t>FY2017</t>
        </is>
      </c>
      <c r="G75" s="529" t="n"/>
      <c r="H75" s="544" t="inlineStr">
        <is>
          <t>Earnings Press Release</t>
        </is>
      </c>
      <c r="I75" s="16" t="n"/>
      <c r="J75" s="16" t="n"/>
    </row>
    <row r="76" ht="14.4" customHeight="1" s="876">
      <c r="A76" s="16" t="n"/>
      <c r="B76" s="16" t="n"/>
      <c r="C76" s="524" t="n">
        <v>43088</v>
      </c>
      <c r="D76" s="525" t="inlineStr">
        <is>
          <t>BZ</t>
        </is>
      </c>
      <c r="E76" s="526" t="inlineStr">
        <is>
          <t>New Build</t>
        </is>
      </c>
      <c r="F76" s="526" t="inlineStr">
        <is>
          <t>Q3-2017</t>
        </is>
      </c>
      <c r="G76" s="529" t="n"/>
      <c r="H76" s="544" t="n"/>
      <c r="I76" s="16" t="n"/>
      <c r="J76" s="16" t="n"/>
    </row>
    <row r="77" ht="14.4" customHeight="1" s="876">
      <c r="A77" s="16" t="n"/>
      <c r="B77" s="16" t="n"/>
      <c r="C77" s="16" t="n"/>
      <c r="D77" s="16" t="n"/>
      <c r="E77" s="16" t="n"/>
      <c r="F77" s="16" t="n"/>
      <c r="G77" s="16" t="n"/>
      <c r="H77" s="16" t="n"/>
      <c r="I77" s="16" t="n"/>
      <c r="J77" s="16" t="n"/>
    </row>
    <row r="78" ht="14.4" customHeight="1" s="876">
      <c r="A78" s="16" t="n"/>
      <c r="B78" s="16" t="n"/>
      <c r="C78" s="16" t="n"/>
      <c r="D78" s="16" t="n"/>
      <c r="E78" s="16" t="n"/>
      <c r="F78" s="16" t="n"/>
      <c r="G78" s="16" t="n"/>
      <c r="H78" s="16" t="n"/>
      <c r="I78" s="16" t="n"/>
      <c r="J78" s="16" t="n"/>
    </row>
    <row r="79" ht="14.4" customHeight="1" s="876">
      <c r="A79" s="16" t="n"/>
      <c r="B79" s="16" t="n"/>
      <c r="C79" s="16" t="n"/>
      <c r="D79" s="16" t="n"/>
      <c r="E79" s="16" t="n"/>
      <c r="F79" s="16" t="n"/>
      <c r="G79" s="16" t="n"/>
      <c r="H79" s="16" t="n"/>
      <c r="I79" s="16" t="n"/>
      <c r="J79" s="16" t="n"/>
    </row>
    <row r="80" ht="14.4" customHeight="1" s="876">
      <c r="A80" s="16" t="n"/>
      <c r="B80" s="16" t="n"/>
      <c r="C80" s="16" t="n"/>
      <c r="D80" s="16" t="n"/>
      <c r="E80" s="16" t="n"/>
      <c r="F80" s="16" t="n"/>
      <c r="G80" s="16" t="n"/>
      <c r="H80" s="16" t="n"/>
      <c r="I80" s="16" t="n"/>
      <c r="J80" s="16" t="n"/>
    </row>
    <row r="81" ht="14.4" customHeight="1" s="876">
      <c r="A81" s="16" t="n"/>
      <c r="B81" s="16" t="n"/>
      <c r="C81" s="16" t="n"/>
      <c r="D81" s="16" t="n"/>
      <c r="E81" s="16" t="n"/>
      <c r="F81" s="16" t="n"/>
      <c r="G81" s="16" t="n"/>
      <c r="H81" s="16" t="n"/>
      <c r="I81" s="16" t="n"/>
      <c r="J81" s="16" t="n"/>
    </row>
    <row r="82" ht="14.4" customHeight="1" s="876">
      <c r="A82" s="16" t="n"/>
      <c r="B82" s="16" t="n"/>
      <c r="C82" s="16" t="n"/>
      <c r="D82" s="16" t="n"/>
      <c r="E82" s="16" t="n"/>
      <c r="F82" s="16" t="n"/>
      <c r="G82" s="16" t="n"/>
      <c r="H82" s="16" t="n"/>
      <c r="I82" s="16" t="n"/>
      <c r="J82" s="16" t="n"/>
    </row>
    <row r="83" ht="14.4" customHeight="1" s="876">
      <c r="A83" s="16" t="n"/>
      <c r="B83" s="16" t="n"/>
      <c r="C83" s="16" t="n"/>
      <c r="D83" s="16" t="n"/>
      <c r="E83" s="16" t="n"/>
      <c r="F83" s="16" t="n"/>
      <c r="G83" s="16" t="n"/>
      <c r="H83" s="16" t="n"/>
      <c r="I83" s="16" t="n"/>
      <c r="J83" s="16" t="n"/>
    </row>
    <row r="84" ht="14.4" customHeight="1" s="876">
      <c r="A84" s="16" t="n"/>
      <c r="B84" s="16" t="n"/>
      <c r="C84" s="16" t="n"/>
      <c r="D84" s="16" t="n"/>
      <c r="E84" s="16" t="n"/>
      <c r="F84" s="16" t="n"/>
      <c r="G84" s="16" t="n"/>
      <c r="H84" s="16" t="n"/>
      <c r="I84" s="16" t="n"/>
      <c r="J84" s="16" t="n"/>
    </row>
    <row r="85" ht="14.4" customHeight="1" s="876">
      <c r="A85" s="16" t="n"/>
      <c r="B85" s="16" t="n"/>
      <c r="C85" s="16" t="n"/>
      <c r="D85" s="16" t="n"/>
      <c r="E85" s="16" t="n"/>
      <c r="F85" s="16" t="n"/>
      <c r="G85" s="16" t="n"/>
      <c r="H85" s="16" t="n"/>
      <c r="I85" s="16" t="n"/>
      <c r="J85" s="16" t="n"/>
    </row>
    <row r="86" ht="14.4" customHeight="1" s="876">
      <c r="A86" s="16" t="n"/>
      <c r="B86" s="16" t="n"/>
      <c r="C86" s="16" t="n"/>
      <c r="D86" s="16" t="n"/>
      <c r="E86" s="16" t="n"/>
      <c r="F86" s="16" t="n"/>
      <c r="G86" s="16" t="n"/>
      <c r="H86" s="16" t="n"/>
      <c r="I86" s="16" t="n"/>
      <c r="J86" s="16" t="n"/>
    </row>
    <row r="87" ht="14.4" customHeight="1" s="876">
      <c r="A87" s="16" t="n"/>
      <c r="B87" s="16" t="n"/>
      <c r="C87" s="16" t="n"/>
      <c r="D87" s="16" t="n"/>
      <c r="E87" s="16" t="n"/>
      <c r="F87" s="16" t="n"/>
      <c r="G87" s="16" t="n"/>
      <c r="H87" s="16" t="n"/>
      <c r="I87" s="16" t="n"/>
      <c r="J87" s="16" t="n"/>
    </row>
    <row r="88" ht="14.4" customHeight="1" s="876">
      <c r="A88" s="16" t="n"/>
      <c r="B88" s="16" t="n"/>
      <c r="C88" s="16" t="n"/>
      <c r="D88" s="16" t="n"/>
      <c r="E88" s="16" t="n"/>
      <c r="F88" s="16" t="n"/>
      <c r="G88" s="16" t="n"/>
      <c r="H88" s="16" t="n"/>
      <c r="I88" s="16" t="n"/>
      <c r="J88" s="16" t="n"/>
    </row>
    <row r="89" ht="14.4" customHeight="1" s="876">
      <c r="A89" s="16" t="n"/>
      <c r="B89" s="16" t="n"/>
      <c r="C89" s="16" t="n"/>
      <c r="D89" s="16" t="n"/>
      <c r="E89" s="16" t="n"/>
      <c r="F89" s="16" t="n"/>
      <c r="G89" s="16" t="n"/>
      <c r="H89" s="16" t="n"/>
      <c r="I89" s="16" t="n"/>
      <c r="J89" s="16" t="n"/>
    </row>
    <row r="90" ht="14.4" customHeight="1" s="876">
      <c r="A90" s="16" t="n"/>
      <c r="B90" s="16" t="n"/>
      <c r="C90" s="16" t="n"/>
      <c r="D90" s="16" t="n"/>
      <c r="E90" s="16" t="n"/>
      <c r="F90" s="16" t="n"/>
      <c r="G90" s="16" t="n"/>
      <c r="H90" s="16" t="n"/>
      <c r="I90" s="16" t="n"/>
      <c r="J90" s="16" t="n"/>
    </row>
    <row r="91" ht="14.4" customHeight="1" s="876">
      <c r="A91" s="16" t="n"/>
      <c r="B91" s="16" t="n"/>
      <c r="C91" s="16" t="n"/>
      <c r="D91" s="16" t="n"/>
      <c r="E91" s="16" t="n"/>
      <c r="F91" s="16" t="n"/>
      <c r="G91" s="16" t="n"/>
      <c r="H91" s="16" t="n"/>
      <c r="I91" s="16" t="n"/>
      <c r="J91" s="16" t="n"/>
    </row>
    <row r="92" ht="14.4" customHeight="1" s="876">
      <c r="A92" s="16" t="n"/>
      <c r="B92" s="16" t="n"/>
      <c r="C92" s="16" t="n"/>
      <c r="D92" s="16" t="n"/>
      <c r="E92" s="16" t="n"/>
      <c r="F92" s="16" t="n"/>
      <c r="G92" s="16" t="n"/>
      <c r="H92" s="16" t="n"/>
      <c r="I92" s="16" t="n"/>
      <c r="J92" s="16" t="n"/>
    </row>
    <row r="93" ht="14.4" customHeight="1" s="876">
      <c r="A93" s="16" t="n"/>
      <c r="B93" s="16" t="n"/>
      <c r="C93" s="16" t="n"/>
      <c r="D93" s="16" t="n"/>
      <c r="E93" s="16" t="n"/>
      <c r="F93" s="16" t="n"/>
      <c r="G93" s="16" t="n"/>
      <c r="H93" s="16" t="n"/>
      <c r="I93" s="16" t="n"/>
      <c r="J93" s="16" t="n"/>
    </row>
    <row r="94" ht="14.4" customHeight="1" s="876">
      <c r="A94" s="16" t="n"/>
      <c r="B94" s="16" t="n"/>
      <c r="C94" s="16" t="n"/>
      <c r="D94" s="16" t="n"/>
      <c r="E94" s="16" t="n"/>
      <c r="F94" s="16" t="n"/>
      <c r="G94" s="16" t="n"/>
      <c r="H94" s="16" t="n"/>
      <c r="I94" s="16" t="n"/>
      <c r="J94" s="16" t="n"/>
    </row>
    <row r="95" ht="14.4" customHeight="1" s="876">
      <c r="A95" s="16" t="n"/>
      <c r="B95" s="16" t="n"/>
      <c r="C95" s="16" t="n"/>
      <c r="D95" s="16" t="n"/>
      <c r="E95" s="16" t="n"/>
      <c r="F95" s="16" t="n"/>
      <c r="G95" s="16" t="n"/>
      <c r="H95" s="16" t="n"/>
      <c r="I95" s="16" t="n"/>
      <c r="J95" s="16" t="n"/>
    </row>
    <row r="96" ht="14.4" customHeight="1" s="876">
      <c r="A96" s="16" t="n"/>
      <c r="B96" s="16" t="n"/>
      <c r="C96" s="16" t="n"/>
      <c r="D96" s="16" t="n"/>
      <c r="E96" s="16" t="n"/>
      <c r="F96" s="16" t="n"/>
      <c r="G96" s="16" t="n"/>
      <c r="H96" s="16" t="n"/>
      <c r="I96" s="16" t="n"/>
      <c r="J96" s="16" t="n"/>
    </row>
    <row r="97" ht="14.4" customHeight="1" s="876">
      <c r="A97" s="16" t="n"/>
      <c r="B97" s="16" t="n"/>
      <c r="C97" s="16" t="n"/>
      <c r="D97" s="16" t="n"/>
      <c r="E97" s="16" t="n"/>
      <c r="F97" s="16" t="n"/>
      <c r="G97" s="16" t="n"/>
      <c r="H97" s="16" t="n"/>
      <c r="I97" s="16" t="n"/>
      <c r="J97" s="16" t="n"/>
    </row>
    <row r="98" ht="14.4" customHeight="1" s="876">
      <c r="A98" s="16" t="n"/>
      <c r="B98" s="16" t="n"/>
      <c r="C98" s="16" t="n"/>
      <c r="D98" s="16" t="n"/>
      <c r="E98" s="16" t="n"/>
      <c r="F98" s="16" t="n"/>
      <c r="G98" s="16" t="n"/>
      <c r="H98" s="16" t="n"/>
      <c r="I98" s="16" t="n"/>
      <c r="J98" s="16" t="n"/>
    </row>
    <row r="99" ht="14.4" customHeight="1" s="876">
      <c r="A99" s="16" t="n"/>
      <c r="B99" s="16" t="n"/>
      <c r="C99" s="16" t="n"/>
      <c r="D99" s="16" t="n"/>
      <c r="E99" s="16" t="n"/>
      <c r="F99" s="16" t="n"/>
      <c r="G99" s="16" t="n"/>
      <c r="H99" s="16" t="n"/>
      <c r="I99" s="16" t="n"/>
      <c r="J99" s="16" t="n"/>
    </row>
    <row r="100" ht="14.4" customHeight="1" s="876">
      <c r="A100" s="16" t="n"/>
      <c r="B100" s="16" t="n"/>
      <c r="C100" s="16" t="n"/>
      <c r="D100" s="16" t="n"/>
      <c r="E100" s="16" t="n"/>
      <c r="F100" s="16" t="n"/>
      <c r="G100" s="16" t="n"/>
      <c r="H100" s="16" t="n"/>
      <c r="I100" s="16" t="n"/>
      <c r="J100" s="16" t="n"/>
    </row>
  </sheetData>
  <hyperlinks>
    <hyperlink xmlns:r="http://schemas.openxmlformats.org/officeDocument/2006/relationships" ref="H11" tooltip="Website Link" display="Earnings Press Release" r:id="rId1"/>
    <hyperlink xmlns:r="http://schemas.openxmlformats.org/officeDocument/2006/relationships" ref="H12" tooltip="Website Link" display="Earnings Press Release" r:id="rId2"/>
    <hyperlink xmlns:r="http://schemas.openxmlformats.org/officeDocument/2006/relationships" ref="H13" display="Earnings Press Release" r:id="rId3"/>
    <hyperlink xmlns:r="http://schemas.openxmlformats.org/officeDocument/2006/relationships" ref="H14" tooltip="Website Link" display="Earnings Press Release" r:id="rId4"/>
    <hyperlink xmlns:r="http://schemas.openxmlformats.org/officeDocument/2006/relationships" ref="H15" tooltip="Website Link" display="Earnings Press Release" r:id="rId5"/>
    <hyperlink xmlns:r="http://schemas.openxmlformats.org/officeDocument/2006/relationships" ref="H16" tooltip="Website Link" display="Earnings Press Release" r:id="rId6"/>
    <hyperlink xmlns:r="http://schemas.openxmlformats.org/officeDocument/2006/relationships" ref="H17" tooltip="Website Link" display="Earnings Press Release" r:id="rId7"/>
    <hyperlink xmlns:r="http://schemas.openxmlformats.org/officeDocument/2006/relationships" ref="H18" display="Earnings Press Release" r:id="rId8"/>
    <hyperlink xmlns:r="http://schemas.openxmlformats.org/officeDocument/2006/relationships" ref="H19" display="Earnings Press Release" r:id="rId9"/>
    <hyperlink xmlns:r="http://schemas.openxmlformats.org/officeDocument/2006/relationships" ref="H20" tooltip="Website Link" display="Earnings Press Release" r:id="rId10"/>
    <hyperlink xmlns:r="http://schemas.openxmlformats.org/officeDocument/2006/relationships" ref="H21" display="Earnings Press Release" r:id="rId11"/>
    <hyperlink xmlns:r="http://schemas.openxmlformats.org/officeDocument/2006/relationships" ref="H22" tooltip="Website Link" display="Earnings Press Release" r:id="rId12"/>
    <hyperlink xmlns:r="http://schemas.openxmlformats.org/officeDocument/2006/relationships" ref="H23" tooltip="Website Link" display="Earnings Press Release" r:id="rId13"/>
    <hyperlink xmlns:r="http://schemas.openxmlformats.org/officeDocument/2006/relationships" ref="H24" tooltip="Website Link" display="Earnings Press Release" r:id="rId14"/>
    <hyperlink xmlns:r="http://schemas.openxmlformats.org/officeDocument/2006/relationships" ref="H25" tooltip="Website Link" display="Earnings Press Release" r:id="rId15"/>
    <hyperlink xmlns:r="http://schemas.openxmlformats.org/officeDocument/2006/relationships" ref="H26" tooltip="Website Link" display="Earnings Press Release" r:id="rId16"/>
    <hyperlink xmlns:r="http://schemas.openxmlformats.org/officeDocument/2006/relationships" ref="H27" tooltip="Website Link" display="Earnings Press Release" r:id="rId17"/>
    <hyperlink xmlns:r="http://schemas.openxmlformats.org/officeDocument/2006/relationships" ref="H28" tooltip="Website Link" display="Earnings Press Release" r:id="rId18"/>
    <hyperlink xmlns:r="http://schemas.openxmlformats.org/officeDocument/2006/relationships" ref="H29" tooltip="Website Link" display="Earnings Press Release" r:id="rId19"/>
    <hyperlink xmlns:r="http://schemas.openxmlformats.org/officeDocument/2006/relationships" ref="H30" tooltip="Website Link" display="Earnings Press Release" r:id="rId20"/>
    <hyperlink xmlns:r="http://schemas.openxmlformats.org/officeDocument/2006/relationships" ref="H31" tooltip="Website Link" display="Earnings Press Release" r:id="rId21"/>
    <hyperlink xmlns:r="http://schemas.openxmlformats.org/officeDocument/2006/relationships" ref="H32" tooltip="Website Link" display="Earnings Press Release" r:id="rId22"/>
    <hyperlink xmlns:r="http://schemas.openxmlformats.org/officeDocument/2006/relationships" ref="H33" tooltip="Website Link" display="Earnings Press Release" r:id="rId23"/>
    <hyperlink xmlns:r="http://schemas.openxmlformats.org/officeDocument/2006/relationships" ref="H34" tooltip="Website Link" display="Earnings Press Release" r:id="rId24"/>
    <hyperlink xmlns:r="http://schemas.openxmlformats.org/officeDocument/2006/relationships" ref="H35" tooltip="Website Link" display="Earnings Press Release" r:id="rId25"/>
    <hyperlink xmlns:r="http://schemas.openxmlformats.org/officeDocument/2006/relationships" ref="H36" tooltip="Website Link" display="Earnings Press Release" r:id="rId26"/>
    <hyperlink xmlns:r="http://schemas.openxmlformats.org/officeDocument/2006/relationships" ref="H37" display="Earnings Press Release" r:id="rId27"/>
    <hyperlink xmlns:r="http://schemas.openxmlformats.org/officeDocument/2006/relationships" ref="H38" tooltip="Website Link" display="Earnings Press Release" r:id="rId28"/>
    <hyperlink xmlns:r="http://schemas.openxmlformats.org/officeDocument/2006/relationships" ref="H39" tooltip="Website Link" display="Earnings Press Release" r:id="rId29"/>
    <hyperlink xmlns:r="http://schemas.openxmlformats.org/officeDocument/2006/relationships" ref="H40" tooltip="Website Link" display="Earnings Press Release" r:id="rId30"/>
    <hyperlink xmlns:r="http://schemas.openxmlformats.org/officeDocument/2006/relationships" ref="H41" tooltip="Website Link" display="Earnings Press Release" r:id="rId31"/>
    <hyperlink xmlns:r="http://schemas.openxmlformats.org/officeDocument/2006/relationships" ref="H42" tooltip="Website Link" display="Earnings Press Release" r:id="rId32"/>
    <hyperlink xmlns:r="http://schemas.openxmlformats.org/officeDocument/2006/relationships" ref="H43" tooltip="Website Link" display="Earnings Press Release" r:id="rId33"/>
    <hyperlink xmlns:r="http://schemas.openxmlformats.org/officeDocument/2006/relationships" ref="H44" tooltip="Website Link" display="Earnings Press Release" r:id="rId34"/>
    <hyperlink xmlns:r="http://schemas.openxmlformats.org/officeDocument/2006/relationships" ref="H45" tooltip="Website Link" display="Earnings Press Release" r:id="rId35"/>
    <hyperlink xmlns:r="http://schemas.openxmlformats.org/officeDocument/2006/relationships" ref="H46" tooltip="Website Link" display="Earnings Press Release" r:id="rId36"/>
    <hyperlink xmlns:r="http://schemas.openxmlformats.org/officeDocument/2006/relationships" ref="H47" tooltip="Website Link" display="Earnings Press Release" r:id="rId37"/>
    <hyperlink xmlns:r="http://schemas.openxmlformats.org/officeDocument/2006/relationships" ref="H48" tooltip="Website Link" display="Earnings Press Release" r:id="rId38"/>
    <hyperlink xmlns:r="http://schemas.openxmlformats.org/officeDocument/2006/relationships" ref="H49" tooltip="Website Link" display="Earnings Press Release" r:id="rId39"/>
    <hyperlink xmlns:r="http://schemas.openxmlformats.org/officeDocument/2006/relationships" ref="H50" tooltip="Website Link" display="Earnings Press Release" r:id="rId40"/>
    <hyperlink xmlns:r="http://schemas.openxmlformats.org/officeDocument/2006/relationships" ref="H51" tooltip="Website Link" display="Earnings Press Release" r:id="rId41"/>
    <hyperlink xmlns:r="http://schemas.openxmlformats.org/officeDocument/2006/relationships" ref="H52" tooltip="Website Link" display="Earnings Press Release" r:id="rId42"/>
    <hyperlink xmlns:r="http://schemas.openxmlformats.org/officeDocument/2006/relationships" ref="H53" tooltip="Website Link" display="Earnings Press Release" r:id="rId43"/>
    <hyperlink xmlns:r="http://schemas.openxmlformats.org/officeDocument/2006/relationships" ref="H54" tooltip="Website Link" display="Earnings Press Release" r:id="rId44"/>
    <hyperlink xmlns:r="http://schemas.openxmlformats.org/officeDocument/2006/relationships" ref="H55" tooltip="Website Link" display="Earnings Press Release" r:id="rId45"/>
    <hyperlink xmlns:r="http://schemas.openxmlformats.org/officeDocument/2006/relationships" ref="H56" tooltip="Website Link" display="Earnings Press Release" r:id="rId46"/>
    <hyperlink xmlns:r="http://schemas.openxmlformats.org/officeDocument/2006/relationships" ref="H57" tooltip="Website Link" display="Earnings Press Release" r:id="rId47"/>
    <hyperlink xmlns:r="http://schemas.openxmlformats.org/officeDocument/2006/relationships" ref="H58" tooltip="Website Link" display="Earnings Press Release" r:id="rId48"/>
    <hyperlink xmlns:r="http://schemas.openxmlformats.org/officeDocument/2006/relationships" ref="H59" tooltip="Website Link" display="Earnings Press Release" r:id="rId49"/>
    <hyperlink xmlns:r="http://schemas.openxmlformats.org/officeDocument/2006/relationships" ref="H60" tooltip="Website Link" display="Earnings Press Release" r:id="rId50"/>
    <hyperlink xmlns:r="http://schemas.openxmlformats.org/officeDocument/2006/relationships" ref="H61" tooltip="Website Link" display="Earnings Press Release" r:id="rId51"/>
    <hyperlink xmlns:r="http://schemas.openxmlformats.org/officeDocument/2006/relationships" ref="H62" tooltip="Website Link" display="Earnings Press Release" r:id="rId52"/>
    <hyperlink xmlns:r="http://schemas.openxmlformats.org/officeDocument/2006/relationships" ref="H63" tooltip="Website Link" display="Earnings Press Release" r:id="rId53"/>
    <hyperlink xmlns:r="http://schemas.openxmlformats.org/officeDocument/2006/relationships" ref="H64" tooltip="Website Link" display="Earnings Press Release" r:id="rId54"/>
    <hyperlink xmlns:r="http://schemas.openxmlformats.org/officeDocument/2006/relationships" ref="H65" tooltip="Website Link" display="Earnings Press Release" r:id="rId55"/>
    <hyperlink xmlns:r="http://schemas.openxmlformats.org/officeDocument/2006/relationships" ref="H66" tooltip="Website Link" display="Earnings Press Release" r:id="rId56"/>
    <hyperlink xmlns:r="http://schemas.openxmlformats.org/officeDocument/2006/relationships" ref="H67" tooltip="Website Link" display="Earnings Press Release" r:id="rId57"/>
    <hyperlink xmlns:r="http://schemas.openxmlformats.org/officeDocument/2006/relationships" ref="H69" tooltip="Website Link" display="Earnings Press Release" r:id="rId58"/>
    <hyperlink xmlns:r="http://schemas.openxmlformats.org/officeDocument/2006/relationships" ref="H70" tooltip="Website Link" display="Earnings Press Release" r:id="rId59"/>
    <hyperlink xmlns:r="http://schemas.openxmlformats.org/officeDocument/2006/relationships" ref="H72" tooltip="Website Link" display="Earnings Press Release" r:id="rId60"/>
    <hyperlink xmlns:r="http://schemas.openxmlformats.org/officeDocument/2006/relationships" ref="H73" tooltip="Website Link" display="Earnings Press Release" r:id="rId61"/>
    <hyperlink xmlns:r="http://schemas.openxmlformats.org/officeDocument/2006/relationships" ref="H74" tooltip="Website Link" display="Earnings Press Release" r:id="rId62"/>
    <hyperlink xmlns:r="http://schemas.openxmlformats.org/officeDocument/2006/relationships" ref="H75" display="Earnings Press Release" r:id="rId63"/>
  </hyperlinks>
  <pageMargins left="0.7" right="0.7" top="0.75" bottom="0.75" header="0.3" footer="0.3"/>
  <pageSetup orientation="portrait" paperSize="1"/>
  <drawing xmlns:r="http://schemas.openxmlformats.org/officeDocument/2006/relationships" r:id="rId6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Canalyst</dc:creator>
  <dcterms:created xmlns:dcterms="http://purl.org/dc/terms/" xmlns:xsi="http://www.w3.org/2001/XMLSchema-instance" xsi:type="dcterms:W3CDTF">2016-04-22T21:21:10Z</dcterms:created>
  <dcterms:modified xmlns:dcterms="http://purl.org/dc/terms/" xmlns:xsi="http://www.w3.org/2001/XMLSchema-instance" xsi:type="dcterms:W3CDTF">2026-02-18T04:58:12Z</dcterms:modified>
  <cp:lastModifiedBy>Tegus (TP)</cp:lastModifiedBy>
  <cp:lastPrinted>2019-10-17T17:23:21Z</cp:lastPrinted>
</cp:coreProperties>
</file>